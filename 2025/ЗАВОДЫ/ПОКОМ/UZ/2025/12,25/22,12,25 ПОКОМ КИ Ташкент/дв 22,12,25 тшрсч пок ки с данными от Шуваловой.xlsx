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ПОКОМ КИ Ташкент\"/>
    </mc:Choice>
  </mc:AlternateContent>
  <xr:revisionPtr revIDLastSave="0" documentId="13_ncr:1_{2DA5573D-438F-42F5-99DD-CF31D2AC99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1" i="1" l="1"/>
  <c r="AE53" i="1" l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68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AD69" i="1"/>
  <c r="AG69" i="1" s="1"/>
  <c r="AE69" i="1" s="1"/>
  <c r="AD70" i="1"/>
  <c r="AG70" i="1" s="1"/>
  <c r="AE70" i="1" s="1"/>
  <c r="AD71" i="1"/>
  <c r="AG71" i="1" s="1"/>
  <c r="AE71" i="1" s="1"/>
  <c r="AD72" i="1"/>
  <c r="AG72" i="1" s="1"/>
  <c r="AE72" i="1" s="1"/>
  <c r="AD73" i="1"/>
  <c r="AG73" i="1" s="1"/>
  <c r="AE73" i="1" s="1"/>
  <c r="AD74" i="1"/>
  <c r="AG74" i="1" s="1"/>
  <c r="AD75" i="1"/>
  <c r="AG75" i="1" s="1"/>
  <c r="AE75" i="1" s="1"/>
  <c r="AD76" i="1"/>
  <c r="AG76" i="1" s="1"/>
  <c r="AE76" i="1" s="1"/>
  <c r="AD77" i="1"/>
  <c r="AG77" i="1" s="1"/>
  <c r="AE77" i="1" s="1"/>
  <c r="AD78" i="1"/>
  <c r="AG78" i="1" s="1"/>
  <c r="AE78" i="1" s="1"/>
  <c r="AD79" i="1"/>
  <c r="AG79" i="1" s="1"/>
  <c r="AE79" i="1" s="1"/>
  <c r="AD80" i="1"/>
  <c r="AG80" i="1" s="1"/>
  <c r="AD81" i="1"/>
  <c r="AG81" i="1" s="1"/>
  <c r="AE81" i="1" s="1"/>
  <c r="AD82" i="1"/>
  <c r="AG82" i="1" s="1"/>
  <c r="AE82" i="1" s="1"/>
  <c r="AD83" i="1"/>
  <c r="AG83" i="1" s="1"/>
  <c r="AE83" i="1" s="1"/>
  <c r="AD84" i="1"/>
  <c r="AG84" i="1" s="1"/>
  <c r="AE84" i="1" s="1"/>
  <c r="AD85" i="1"/>
  <c r="AG85" i="1" s="1"/>
  <c r="AE85" i="1" s="1"/>
  <c r="AD87" i="1"/>
  <c r="AG87" i="1" s="1"/>
  <c r="AE87" i="1" s="1"/>
  <c r="AD88" i="1"/>
  <c r="AG88" i="1" s="1"/>
  <c r="AE88" i="1" s="1"/>
  <c r="AD89" i="1"/>
  <c r="AG89" i="1" s="1"/>
  <c r="AE89" i="1" s="1"/>
  <c r="AD68" i="1"/>
  <c r="AG68" i="1" s="1"/>
  <c r="AE68" i="1" s="1"/>
  <c r="R7" i="1"/>
  <c r="AE7" i="1" s="1"/>
  <c r="R8" i="1"/>
  <c r="AE8" i="1" s="1"/>
  <c r="R9" i="1"/>
  <c r="AE9" i="1" s="1"/>
  <c r="R10" i="1"/>
  <c r="AE10" i="1" s="1"/>
  <c r="R11" i="1"/>
  <c r="AE11" i="1" s="1"/>
  <c r="R12" i="1"/>
  <c r="AE12" i="1" s="1"/>
  <c r="R13" i="1"/>
  <c r="AE13" i="1" s="1"/>
  <c r="R14" i="1"/>
  <c r="AE14" i="1" s="1"/>
  <c r="R15" i="1"/>
  <c r="AE15" i="1" s="1"/>
  <c r="R16" i="1"/>
  <c r="AE16" i="1" s="1"/>
  <c r="R17" i="1"/>
  <c r="AE17" i="1" s="1"/>
  <c r="R18" i="1"/>
  <c r="AE18" i="1" s="1"/>
  <c r="R19" i="1"/>
  <c r="AE19" i="1" s="1"/>
  <c r="R20" i="1"/>
  <c r="AE20" i="1" s="1"/>
  <c r="R21" i="1"/>
  <c r="AE21" i="1" s="1"/>
  <c r="R22" i="1"/>
  <c r="AE22" i="1" s="1"/>
  <c r="R23" i="1"/>
  <c r="AE23" i="1" s="1"/>
  <c r="R24" i="1"/>
  <c r="AE24" i="1" s="1"/>
  <c r="R25" i="1"/>
  <c r="AE25" i="1" s="1"/>
  <c r="R26" i="1"/>
  <c r="AE26" i="1" s="1"/>
  <c r="R27" i="1"/>
  <c r="AE27" i="1" s="1"/>
  <c r="R28" i="1"/>
  <c r="AE28" i="1" s="1"/>
  <c r="R29" i="1"/>
  <c r="AE29" i="1" s="1"/>
  <c r="R30" i="1"/>
  <c r="AE30" i="1" s="1"/>
  <c r="R31" i="1"/>
  <c r="AE31" i="1" s="1"/>
  <c r="R32" i="1"/>
  <c r="AE32" i="1" s="1"/>
  <c r="R33" i="1"/>
  <c r="AE33" i="1" s="1"/>
  <c r="R34" i="1"/>
  <c r="AE34" i="1" s="1"/>
  <c r="R35" i="1"/>
  <c r="AE35" i="1" s="1"/>
  <c r="R36" i="1"/>
  <c r="AE36" i="1" s="1"/>
  <c r="R37" i="1"/>
  <c r="AE37" i="1" s="1"/>
  <c r="R38" i="1"/>
  <c r="AE38" i="1" s="1"/>
  <c r="R39" i="1"/>
  <c r="AE39" i="1" s="1"/>
  <c r="R40" i="1"/>
  <c r="AE40" i="1" s="1"/>
  <c r="R41" i="1"/>
  <c r="AE41" i="1" s="1"/>
  <c r="R42" i="1"/>
  <c r="AE42" i="1" s="1"/>
  <c r="R43" i="1"/>
  <c r="AE43" i="1" s="1"/>
  <c r="R44" i="1"/>
  <c r="AE44" i="1" s="1"/>
  <c r="R45" i="1"/>
  <c r="AE45" i="1" s="1"/>
  <c r="R46" i="1"/>
  <c r="AE46" i="1" s="1"/>
  <c r="R47" i="1"/>
  <c r="AE47" i="1" s="1"/>
  <c r="R48" i="1"/>
  <c r="AE48" i="1" s="1"/>
  <c r="R49" i="1"/>
  <c r="AE49" i="1" s="1"/>
  <c r="R50" i="1"/>
  <c r="AE50" i="1" s="1"/>
  <c r="R51" i="1"/>
  <c r="R52" i="1"/>
  <c r="AE52" i="1" s="1"/>
  <c r="R6" i="1"/>
  <c r="AE6" i="1" s="1"/>
  <c r="P67" i="1" l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F52" i="1"/>
  <c r="E52" i="1"/>
  <c r="L52" i="1" s="1"/>
  <c r="P51" i="1"/>
  <c r="U51" i="1" s="1"/>
  <c r="L51" i="1"/>
  <c r="P50" i="1"/>
  <c r="Q50" i="1" s="1"/>
  <c r="L50" i="1"/>
  <c r="P49" i="1"/>
  <c r="U49" i="1" s="1"/>
  <c r="L49" i="1"/>
  <c r="P48" i="1"/>
  <c r="Q48" i="1" s="1"/>
  <c r="L48" i="1"/>
  <c r="P47" i="1"/>
  <c r="U47" i="1" s="1"/>
  <c r="L47" i="1"/>
  <c r="P46" i="1"/>
  <c r="L46" i="1"/>
  <c r="F45" i="1"/>
  <c r="E45" i="1"/>
  <c r="P45" i="1" s="1"/>
  <c r="F44" i="1"/>
  <c r="E44" i="1"/>
  <c r="L44" i="1" s="1"/>
  <c r="P43" i="1"/>
  <c r="U43" i="1" s="1"/>
  <c r="L43" i="1"/>
  <c r="P42" i="1"/>
  <c r="U42" i="1" s="1"/>
  <c r="L42" i="1"/>
  <c r="F41" i="1"/>
  <c r="E41" i="1"/>
  <c r="L41" i="1" s="1"/>
  <c r="P40" i="1"/>
  <c r="U40" i="1" s="1"/>
  <c r="L40" i="1"/>
  <c r="P39" i="1"/>
  <c r="U39" i="1" s="1"/>
  <c r="L39" i="1"/>
  <c r="P38" i="1"/>
  <c r="L38" i="1"/>
  <c r="F37" i="1"/>
  <c r="E37" i="1"/>
  <c r="P37" i="1" s="1"/>
  <c r="F36" i="1"/>
  <c r="E36" i="1"/>
  <c r="L36" i="1" s="1"/>
  <c r="F35" i="1"/>
  <c r="E35" i="1"/>
  <c r="P35" i="1" s="1"/>
  <c r="F34" i="1"/>
  <c r="E34" i="1"/>
  <c r="L34" i="1" s="1"/>
  <c r="P33" i="1"/>
  <c r="L33" i="1"/>
  <c r="F33" i="1"/>
  <c r="U33" i="1" s="1"/>
  <c r="F32" i="1"/>
  <c r="E32" i="1"/>
  <c r="P32" i="1" s="1"/>
  <c r="P31" i="1"/>
  <c r="Q31" i="1" s="1"/>
  <c r="L31" i="1"/>
  <c r="P30" i="1"/>
  <c r="U30" i="1" s="1"/>
  <c r="L30" i="1"/>
  <c r="F29" i="1"/>
  <c r="E29" i="1"/>
  <c r="L29" i="1" s="1"/>
  <c r="P28" i="1"/>
  <c r="U28" i="1" s="1"/>
  <c r="L28" i="1"/>
  <c r="P27" i="1"/>
  <c r="Q27" i="1" s="1"/>
  <c r="L27" i="1"/>
  <c r="P26" i="1"/>
  <c r="T26" i="1" s="1"/>
  <c r="L26" i="1"/>
  <c r="P25" i="1"/>
  <c r="U25" i="1" s="1"/>
  <c r="L25" i="1"/>
  <c r="F24" i="1"/>
  <c r="E24" i="1"/>
  <c r="L24" i="1" s="1"/>
  <c r="P23" i="1"/>
  <c r="U23" i="1" s="1"/>
  <c r="L23" i="1"/>
  <c r="F22" i="1"/>
  <c r="E22" i="1"/>
  <c r="L22" i="1" s="1"/>
  <c r="F21" i="1"/>
  <c r="E21" i="1"/>
  <c r="P21" i="1" s="1"/>
  <c r="P20" i="1"/>
  <c r="U20" i="1" s="1"/>
  <c r="L20" i="1"/>
  <c r="P19" i="1"/>
  <c r="Q19" i="1" s="1"/>
  <c r="L19" i="1"/>
  <c r="P18" i="1"/>
  <c r="U18" i="1" s="1"/>
  <c r="L18" i="1"/>
  <c r="P17" i="1"/>
  <c r="L17" i="1"/>
  <c r="P16" i="1"/>
  <c r="U16" i="1" s="1"/>
  <c r="L16" i="1"/>
  <c r="P15" i="1"/>
  <c r="L15" i="1"/>
  <c r="F14" i="1"/>
  <c r="E14" i="1"/>
  <c r="P14" i="1" s="1"/>
  <c r="F13" i="1"/>
  <c r="E13" i="1"/>
  <c r="L13" i="1" s="1"/>
  <c r="P12" i="1"/>
  <c r="U12" i="1" s="1"/>
  <c r="L12" i="1"/>
  <c r="P11" i="1"/>
  <c r="Q11" i="1" s="1"/>
  <c r="L11" i="1"/>
  <c r="P10" i="1"/>
  <c r="U10" i="1" s="1"/>
  <c r="L10" i="1"/>
  <c r="P9" i="1"/>
  <c r="U9" i="1" s="1"/>
  <c r="L9" i="1"/>
  <c r="P8" i="1"/>
  <c r="U8" i="1" s="1"/>
  <c r="L8" i="1"/>
  <c r="P7" i="1"/>
  <c r="U7" i="1" s="1"/>
  <c r="L7" i="1"/>
  <c r="P6" i="1"/>
  <c r="Q6" i="1" s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14" i="1" l="1"/>
  <c r="Q21" i="1"/>
  <c r="Q32" i="1"/>
  <c r="Q33" i="1"/>
  <c r="Q7" i="1"/>
  <c r="Q16" i="1"/>
  <c r="Q49" i="1"/>
  <c r="Q15" i="1"/>
  <c r="Q47" i="1"/>
  <c r="T47" i="1" s="1"/>
  <c r="Q17" i="1"/>
  <c r="Q10" i="1"/>
  <c r="U6" i="1"/>
  <c r="T64" i="1"/>
  <c r="Q51" i="1"/>
  <c r="Q37" i="1"/>
  <c r="Q40" i="1"/>
  <c r="T9" i="1"/>
  <c r="U32" i="1"/>
  <c r="Q35" i="1"/>
  <c r="Q45" i="1"/>
  <c r="T56" i="1"/>
  <c r="Q8" i="1"/>
  <c r="T8" i="1" s="1"/>
  <c r="Q43" i="1"/>
  <c r="T60" i="1"/>
  <c r="T40" i="1"/>
  <c r="Q18" i="1"/>
  <c r="Q23" i="1"/>
  <c r="Q28" i="1"/>
  <c r="Q30" i="1"/>
  <c r="Q38" i="1"/>
  <c r="Q46" i="1"/>
  <c r="T11" i="1"/>
  <c r="T27" i="1"/>
  <c r="T19" i="1"/>
  <c r="T31" i="1"/>
  <c r="T20" i="1"/>
  <c r="T25" i="1"/>
  <c r="U27" i="1"/>
  <c r="T42" i="1"/>
  <c r="U45" i="1"/>
  <c r="T54" i="1"/>
  <c r="T58" i="1"/>
  <c r="T62" i="1"/>
  <c r="T66" i="1"/>
  <c r="P13" i="1"/>
  <c r="Q13" i="1" s="1"/>
  <c r="P22" i="1"/>
  <c r="Q22" i="1" s="1"/>
  <c r="P24" i="1"/>
  <c r="P29" i="1"/>
  <c r="P34" i="1"/>
  <c r="P41" i="1"/>
  <c r="Q41" i="1" s="1"/>
  <c r="E5" i="1"/>
  <c r="T32" i="1"/>
  <c r="P36" i="1"/>
  <c r="T39" i="1"/>
  <c r="P44" i="1"/>
  <c r="P52" i="1"/>
  <c r="Q52" i="1" s="1"/>
  <c r="T53" i="1"/>
  <c r="T55" i="1"/>
  <c r="T57" i="1"/>
  <c r="T59" i="1"/>
  <c r="T61" i="1"/>
  <c r="T63" i="1"/>
  <c r="T65" i="1"/>
  <c r="T67" i="1"/>
  <c r="F5" i="1"/>
  <c r="L14" i="1"/>
  <c r="L21" i="1"/>
  <c r="L35" i="1"/>
  <c r="L37" i="1"/>
  <c r="T6" i="1"/>
  <c r="U11" i="1"/>
  <c r="U14" i="1"/>
  <c r="U15" i="1"/>
  <c r="U17" i="1"/>
  <c r="U19" i="1"/>
  <c r="U21" i="1"/>
  <c r="U26" i="1"/>
  <c r="U31" i="1"/>
  <c r="L32" i="1"/>
  <c r="U35" i="1"/>
  <c r="U37" i="1"/>
  <c r="U38" i="1"/>
  <c r="L45" i="1"/>
  <c r="U46" i="1"/>
  <c r="U48" i="1"/>
  <c r="U50" i="1"/>
  <c r="T35" i="1" l="1"/>
  <c r="T49" i="1"/>
  <c r="T15" i="1"/>
  <c r="T41" i="1"/>
  <c r="U22" i="1"/>
  <c r="T17" i="1"/>
  <c r="T45" i="1"/>
  <c r="T21" i="1"/>
  <c r="T37" i="1"/>
  <c r="T18" i="1"/>
  <c r="T46" i="1"/>
  <c r="T10" i="1"/>
  <c r="T33" i="1"/>
  <c r="U52" i="1"/>
  <c r="Q44" i="1"/>
  <c r="U36" i="1"/>
  <c r="U29" i="1"/>
  <c r="Q29" i="1"/>
  <c r="T23" i="1"/>
  <c r="T16" i="1"/>
  <c r="T7" i="1"/>
  <c r="T48" i="1"/>
  <c r="U41" i="1"/>
  <c r="T51" i="1"/>
  <c r="T43" i="1"/>
  <c r="U24" i="1"/>
  <c r="Q24" i="1"/>
  <c r="T28" i="1"/>
  <c r="T12" i="1"/>
  <c r="T30" i="1"/>
  <c r="T50" i="1"/>
  <c r="T14" i="1"/>
  <c r="T38" i="1"/>
  <c r="U44" i="1"/>
  <c r="P5" i="1"/>
  <c r="U34" i="1"/>
  <c r="U13" i="1"/>
  <c r="L5" i="1"/>
  <c r="T36" i="1"/>
  <c r="T52" i="1" l="1"/>
  <c r="T22" i="1"/>
  <c r="T44" i="1"/>
  <c r="T24" i="1"/>
  <c r="T13" i="1"/>
  <c r="T34" i="1"/>
  <c r="Q5" i="1"/>
  <c r="T29" i="1"/>
  <c r="AE5" i="1" l="1"/>
</calcChain>
</file>

<file path=xl/sharedStrings.xml><?xml version="1.0" encoding="utf-8"?>
<sst xmlns="http://schemas.openxmlformats.org/spreadsheetml/2006/main" count="336" uniqueCount="132">
  <si>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</si>
  <si>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</si>
  <si>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</si>
  <si>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</si>
  <si>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</si>
  <si>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</si>
  <si>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</si>
  <si>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</si>
  <si>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</si>
  <si>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</si>
  <si>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</si>
  <si>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</si>
  <si>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</si>
  <si>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</si>
  <si>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</si>
  <si>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</si>
  <si>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</si>
  <si>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</si>
  <si>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</si>
  <si>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</si>
  <si>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</si>
  <si>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</si>
  <si>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</si>
  <si>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17,12,</t>
  </si>
  <si>
    <t>22,12,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</si>
  <si>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</si>
  <si>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</si>
  <si>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</si>
  <si>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</si>
  <si>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</si>
  <si>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</si>
  <si>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</si>
  <si>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</si>
  <si>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</si>
  <si>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</si>
  <si>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</si>
  <si>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</si>
  <si>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</si>
  <si>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</si>
  <si>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</si>
  <si>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</si>
  <si>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</si>
  <si>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</si>
  <si>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</si>
  <si>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</si>
  <si>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</si>
  <si>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</si>
  <si>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</si>
  <si>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</si>
  <si>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</si>
  <si>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</si>
  <si>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</si>
  <si>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</si>
  <si>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</si>
  <si>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</si>
  <si>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</si>
  <si>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</si>
  <si>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</si>
  <si>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</si>
  <si>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</si>
  <si>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не в матрице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</si>
  <si>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</si>
  <si>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</si>
  <si>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</si>
  <si>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</si>
  <si>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</si>
  <si>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</si>
  <si>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</si>
  <si>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</si>
  <si>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</si>
  <si>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</si>
  <si>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</si>
  <si>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</si>
  <si>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</si>
  <si>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</si>
  <si>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</si>
  <si>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</si>
  <si>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</si>
  <si>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</si>
  <si>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</si>
  <si>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</si>
  <si>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</si>
  <si>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</si>
  <si>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</si>
  <si>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</si>
  <si>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</si>
  <si>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</si>
  <si>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</si>
  <si>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</si>
  <si>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</si>
  <si>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</si>
  <si>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</si>
  <si>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</si>
  <si>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</si>
  <si>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</si>
  <si>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</si>
  <si>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</si>
  <si>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</si>
  <si>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</si>
  <si>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</si>
  <si>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</si>
  <si>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</si>
  <si>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</si>
  <si>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нужно увеличить продажи</t>
  </si>
  <si>
    <t>от Шуваловой</t>
  </si>
  <si>
    <t>заказ</t>
  </si>
  <si>
    <t>29,12,</t>
  </si>
  <si>
    <t>Сосиски «Ганноверские» Фикс.вес 0,5 П/а мгс ТМ «Стародворье»</t>
  </si>
  <si>
    <t>Сервелат Филедворский  350 г</t>
  </si>
  <si>
    <t>Колбаса полукопченая Кракушка  Фасовка: 280 г </t>
  </si>
  <si>
    <t>Сосиски Ганноверские 1.350 г   </t>
  </si>
  <si>
    <t>Сосиски «Сочинки Сливочные» Фикс.вес 0,4 п/а мгс ТМ «Стародворье»</t>
  </si>
  <si>
    <t>Вареные колбасы Докторская ГОСТ Золоченная в печи Весовые ц/о в/у Стародворье</t>
  </si>
  <si>
    <t>Вареные колбасы «Филедворская со шпиком по-стародворски» Весовой п/а ТМ «Стародворье»</t>
  </si>
  <si>
    <t>Сосиски Сочинки по-баварски Бавария Фикс.вес 0,4 П/а мгс Стародворье</t>
  </si>
  <si>
    <t>Сосиски «Венские» ф/в 0,6 п/а ТМ «Стародворье»</t>
  </si>
  <si>
    <t>В/к колбасы Зернистый Бордо Весовые Фиброуз в/у Стародворье</t>
  </si>
  <si>
    <t>Сардельки «Шпикачки Стародворские» Весовой NDX ТМ «Стародворье»</t>
  </si>
  <si>
    <t>Сардельки «Стародворские с говядиной» Весовые NDX ТМ «Стародворье»</t>
  </si>
  <si>
    <t>Вареные колбасы «Дугушка со шпиком» Весовой Вектор ТМ «Дугушка»</t>
  </si>
  <si>
    <t>Колбаса полукопченая Мясорубская  Фасовка: 280 г  </t>
  </si>
  <si>
    <t>Вареные колбасы Классическая Вязанка Фикс.вес 0,6 Вектор Вязанка</t>
  </si>
  <si>
    <t>Сосиски «Молокуши» ф/в 0,45 п/а мгс ТМ «Вязанка»</t>
  </si>
  <si>
    <t>Вареные колбасы Сливушка Вязанка Фикс.вес 0,75 П/а Вязанка</t>
  </si>
  <si>
    <t>Сардельки «Сливушки» фикс.вес 0,33 п/а мгс ТМ «Вязанка»</t>
  </si>
  <si>
    <t>Сардельки «Сливушки  0.33  </t>
  </si>
  <si>
    <t>Копченые колбасы «Салями Филейбургская зернистая» Весовой фиброуз ТМ «Баварушка»</t>
  </si>
  <si>
    <t>В/к колбасы Сервелат Филейбургский с филе сочного окорока срез Филейбургская Фикс.вес 0,35 Фиброуз в/у Баварушка</t>
  </si>
  <si>
    <t>матрица / новинка</t>
  </si>
  <si>
    <t>по 1 коробке, не больше</t>
  </si>
  <si>
    <t>дубль</t>
  </si>
  <si>
    <t>нет в бланке (25,12,25)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</si>
</sst>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1" fillId="9" borderId="1" xfId="1" applyNumberFormat="1" applyFill="1"/>
    <xf numFmtId="165" fontId="1" fillId="0" borderId="1" xfId="1" applyNumberFormat="1"/>
    <xf numFmtId="165" fontId="0" fillId="0" borderId="0" xfId="0" applyNumberFormat="1" applyBorder="1"/>
    <xf numFmtId="166" fontId="1" fillId="0" borderId="1" xfId="1" applyNumberFormat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6" fontId="1" fillId="10" borderId="1" xfId="1" applyNumberFormat="1" applyFill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_23,12,25_&#1090;&#1096;&#1088;&#1089;&#1095;_&#1087;&#1086;&#1082;_&#1082;&#1080;%20(&#1086;&#1090;%20&#1064;&#1091;&#1074;&#1072;&#1083;&#1086;&#1074;&#1086;&#1081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74;%20&#1073;&#1083;&#1072;&#1085;&#1082;&#1080;%20&#1079;&#1072;&#1074;&#1086;&#1076;&#1086;&#1074;/&#1055;&#1054;&#1050;&#1054;&#1052;%20&#1050;&#1048;/pokom_ki/&#1095;&#1080;&#1089;&#1090;&#1099;&#1081;%20&#1073;&#1083;&#1072;&#1085;&#1082;/&#1041;&#1083;&#1072;&#1085;&#1082;%20&#1050;&#1048;%20%20&#1082;&#1083;&#1080;&#1077;&#1085;&#1090;%20&#1054;&#1054;&#1054;%20MOS%20PROD%20TORG%20&#1085;&#1072;%20&#1086;&#1090;&#1075;&#1088;&#1091;&#1079;&#1082;&#1091;%20&#1089;%2029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S1">
            <v>10505</v>
          </cell>
        </row>
        <row r="2">
          <cell r="S2" t="str">
            <v>ШТУКИ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P4" t="str">
            <v>17,12,</v>
          </cell>
          <cell r="Q4" t="str">
            <v>11,12,</v>
          </cell>
          <cell r="S4">
            <v>46020</v>
          </cell>
        </row>
        <row r="5">
          <cell r="E5">
            <v>13581.516000000001</v>
          </cell>
          <cell r="F5">
            <v>12158</v>
          </cell>
          <cell r="K5">
            <v>0</v>
          </cell>
          <cell r="L5">
            <v>13581.516000000001</v>
          </cell>
          <cell r="M5">
            <v>0</v>
          </cell>
          <cell r="N5">
            <v>0</v>
          </cell>
          <cell r="O5">
            <v>0</v>
          </cell>
          <cell r="P5">
            <v>13940</v>
          </cell>
          <cell r="Q5">
            <v>4301062905.9798002</v>
          </cell>
          <cell r="R5">
            <v>4680115901406.1797</v>
          </cell>
          <cell r="S5">
            <v>10615</v>
          </cell>
        </row>
        <row r="7">
          <cell r="A7" t="str">
            <v>2074-Сосиски Молочные для завтрака Особый рецепт</v>
          </cell>
          <cell r="B7" t="str">
            <v>кг</v>
          </cell>
          <cell r="C7">
            <v>1115.1769999999999</v>
          </cell>
          <cell r="D7">
            <v>1207.2059999999999</v>
          </cell>
          <cell r="E7">
            <v>934.79900000000009</v>
          </cell>
          <cell r="F7">
            <v>963</v>
          </cell>
          <cell r="G7">
            <v>1</v>
          </cell>
          <cell r="H7">
            <v>40</v>
          </cell>
          <cell r="I7" t="str">
            <v>матрица</v>
          </cell>
          <cell r="L7">
            <v>934.79900000000009</v>
          </cell>
          <cell r="P7">
            <v>1200</v>
          </cell>
          <cell r="Q7">
            <v>186.95980000000003</v>
          </cell>
          <cell r="R7">
            <v>1576.1960000000008</v>
          </cell>
          <cell r="S7">
            <v>1200</v>
          </cell>
        </row>
        <row r="8">
          <cell r="A8" t="str">
            <v>1721-Сосиски Вязанка Сливочные ТМ Стародворские колбасы</v>
          </cell>
          <cell r="B8" t="str">
            <v>кг</v>
          </cell>
          <cell r="C8">
            <v>697.37400000000002</v>
          </cell>
          <cell r="D8">
            <v>311.858</v>
          </cell>
          <cell r="E8">
            <v>505.24299999999999</v>
          </cell>
          <cell r="F8">
            <v>287</v>
          </cell>
          <cell r="G8">
            <v>1</v>
          </cell>
          <cell r="H8">
            <v>45</v>
          </cell>
          <cell r="I8" t="str">
            <v>матрица</v>
          </cell>
          <cell r="L8">
            <v>505.24299999999999</v>
          </cell>
          <cell r="P8">
            <v>700</v>
          </cell>
          <cell r="Q8">
            <v>101.04859999999999</v>
          </cell>
          <cell r="R8">
            <v>1033.9719999999998</v>
          </cell>
          <cell r="S8">
            <v>600</v>
          </cell>
        </row>
        <row r="9">
          <cell r="A9" t="str">
            <v>1875-Колбаса Филейная оригинальная ТМ Особый рецепт в оболочке полиамид.  ПОКОМ</v>
          </cell>
          <cell r="B9" t="str">
            <v>кг</v>
          </cell>
          <cell r="C9">
            <v>833.69299999999998</v>
          </cell>
          <cell r="E9">
            <v>530.62200000000007</v>
          </cell>
          <cell r="F9">
            <v>581</v>
          </cell>
          <cell r="G9">
            <v>1</v>
          </cell>
          <cell r="H9">
            <v>60</v>
          </cell>
          <cell r="I9" t="str">
            <v>матрица</v>
          </cell>
          <cell r="L9">
            <v>530.62200000000007</v>
          </cell>
          <cell r="P9">
            <v>600</v>
          </cell>
          <cell r="Q9">
            <v>106.12440000000001</v>
          </cell>
          <cell r="R9">
            <v>941.48800000000028</v>
          </cell>
          <cell r="S9">
            <v>600</v>
          </cell>
        </row>
        <row r="10">
          <cell r="A10" t="str">
            <v>1869-Колбаса Молочная ТМ Особый рецепт в оболочке полиамид большой батон.  ПОКОМ</v>
          </cell>
          <cell r="B10" t="str">
            <v>кг</v>
          </cell>
          <cell r="C10">
            <v>1024.701</v>
          </cell>
          <cell r="D10">
            <v>410.279</v>
          </cell>
          <cell r="E10">
            <v>474.39099999999996</v>
          </cell>
          <cell r="F10">
            <v>860</v>
          </cell>
          <cell r="G10">
            <v>1</v>
          </cell>
          <cell r="H10">
            <v>60</v>
          </cell>
          <cell r="I10" t="str">
            <v>матрица</v>
          </cell>
          <cell r="L10">
            <v>474.39099999999996</v>
          </cell>
          <cell r="P10">
            <v>950</v>
          </cell>
          <cell r="Q10">
            <v>94.878199999999993</v>
          </cell>
          <cell r="R10">
            <v>87.563999999999851</v>
          </cell>
          <cell r="S10">
            <v>400</v>
          </cell>
        </row>
        <row r="11">
          <cell r="A11" t="str">
            <v>1867-Колбаса Филейная ТМ Особый рецепт в оболочке полиамид большой батон.  ПОКОМ</v>
          </cell>
          <cell r="B11" t="str">
            <v>кг</v>
          </cell>
          <cell r="C11">
            <v>973.22500000000002</v>
          </cell>
          <cell r="D11">
            <v>406.49299999999999</v>
          </cell>
          <cell r="E11">
            <v>659.13199999999995</v>
          </cell>
          <cell r="F11">
            <v>234</v>
          </cell>
          <cell r="G11">
            <v>1</v>
          </cell>
          <cell r="H11">
            <v>60</v>
          </cell>
          <cell r="I11" t="str">
            <v>матрица</v>
          </cell>
          <cell r="L11">
            <v>659.13199999999995</v>
          </cell>
          <cell r="P11">
            <v>950</v>
          </cell>
          <cell r="Q11">
            <v>131.82639999999998</v>
          </cell>
          <cell r="R11">
            <v>1452.5279999999993</v>
          </cell>
          <cell r="S11">
            <v>600</v>
          </cell>
        </row>
        <row r="12">
          <cell r="A12" t="str">
            <v>1870-Колбаса Со шпиком ТМ Особый рецепт в оболочке полиамид большой батон.  ПОКОМ</v>
          </cell>
          <cell r="B12" t="str">
            <v>кг</v>
          </cell>
          <cell r="C12">
            <v>712.09400000000005</v>
          </cell>
          <cell r="D12">
            <v>403.30399999999997</v>
          </cell>
          <cell r="E12">
            <v>427.31700000000001</v>
          </cell>
          <cell r="F12">
            <v>605</v>
          </cell>
          <cell r="G12">
            <v>1</v>
          </cell>
          <cell r="H12">
            <v>60</v>
          </cell>
          <cell r="I12" t="str">
            <v>матрица</v>
          </cell>
          <cell r="L12">
            <v>427.31700000000001</v>
          </cell>
          <cell r="P12">
            <v>800</v>
          </cell>
          <cell r="Q12">
            <v>85.463400000000007</v>
          </cell>
          <cell r="R12">
            <v>304.26800000000003</v>
          </cell>
          <cell r="S12">
            <v>500</v>
          </cell>
        </row>
        <row r="13">
          <cell r="A13" t="str">
            <v>2205-Сосиски Молочные для завтрака ТМ Особый рецепт 0,4кг</v>
          </cell>
          <cell r="B13" t="str">
            <v>шт</v>
          </cell>
          <cell r="C13">
            <v>1860</v>
          </cell>
          <cell r="D13">
            <v>504</v>
          </cell>
          <cell r="E13">
            <v>686</v>
          </cell>
          <cell r="F13">
            <v>1794</v>
          </cell>
          <cell r="G13">
            <v>0.4</v>
          </cell>
          <cell r="H13">
            <v>40</v>
          </cell>
          <cell r="I13" t="str">
            <v>матрица</v>
          </cell>
          <cell r="L13">
            <v>686</v>
          </cell>
          <cell r="P13">
            <v>500</v>
          </cell>
          <cell r="Q13">
            <v>137.19999999999999</v>
          </cell>
          <cell r="R13">
            <v>450</v>
          </cell>
          <cell r="S13">
            <v>300</v>
          </cell>
        </row>
        <row r="14">
          <cell r="A14" t="str">
            <v>2634 Колбаса Дугушка Стародворская ТМ Стародворье ТС Дугушка  ПОКОМ</v>
          </cell>
          <cell r="B14" t="str">
            <v>кг</v>
          </cell>
          <cell r="C14">
            <v>564.95899999999995</v>
          </cell>
          <cell r="D14">
            <v>404.39499999999998</v>
          </cell>
          <cell r="E14">
            <v>431.34399999999999</v>
          </cell>
          <cell r="F14">
            <v>423</v>
          </cell>
          <cell r="G14">
            <v>1</v>
          </cell>
          <cell r="H14">
            <v>60</v>
          </cell>
          <cell r="I14" t="str">
            <v>матрица</v>
          </cell>
          <cell r="L14">
            <v>431.34399999999999</v>
          </cell>
          <cell r="P14">
            <v>550</v>
          </cell>
          <cell r="Q14">
            <v>86.268799999999999</v>
          </cell>
          <cell r="R14">
            <v>752.37599999999998</v>
          </cell>
          <cell r="S14">
            <v>300</v>
          </cell>
        </row>
        <row r="15">
          <cell r="A15" t="str">
            <v>0222-Ветчины Дугушка Дугушка б/о Стародворье, 1кг</v>
          </cell>
          <cell r="B15" t="str">
            <v>кг</v>
          </cell>
          <cell r="C15">
            <v>330.75099999999998</v>
          </cell>
          <cell r="D15">
            <v>200.30199999999999</v>
          </cell>
          <cell r="E15">
            <v>343.75099999999998</v>
          </cell>
          <cell r="F15">
            <v>242</v>
          </cell>
          <cell r="G15">
            <v>1</v>
          </cell>
          <cell r="H15">
            <v>55</v>
          </cell>
          <cell r="I15" t="str">
            <v>матрица</v>
          </cell>
          <cell r="L15">
            <v>343.75099999999998</v>
          </cell>
          <cell r="P15">
            <v>350</v>
          </cell>
          <cell r="Q15">
            <v>68.750199999999992</v>
          </cell>
          <cell r="R15">
            <v>783.00399999999991</v>
          </cell>
          <cell r="S15">
            <v>420</v>
          </cell>
        </row>
        <row r="16">
          <cell r="A16" t="str">
            <v>0178 Ветчины Нежная Особая Особая Весовые П/а Особый рецепт большой батон  ПОКОМ</v>
          </cell>
          <cell r="B16" t="str">
            <v>кг</v>
          </cell>
          <cell r="C16">
            <v>451.35700000000003</v>
          </cell>
          <cell r="D16">
            <v>299.35899999999998</v>
          </cell>
          <cell r="E16">
            <v>347.05099999999999</v>
          </cell>
          <cell r="F16">
            <v>185</v>
          </cell>
          <cell r="G16">
            <v>1</v>
          </cell>
          <cell r="H16">
            <v>55</v>
          </cell>
          <cell r="I16" t="str">
            <v>матрица</v>
          </cell>
          <cell r="L16">
            <v>347.05099999999999</v>
          </cell>
          <cell r="P16">
            <v>600</v>
          </cell>
          <cell r="Q16">
            <v>69.410200000000003</v>
          </cell>
          <cell r="R16">
            <v>603.20400000000018</v>
          </cell>
          <cell r="S16">
            <v>250</v>
          </cell>
        </row>
        <row r="17">
          <cell r="A17" t="str">
            <v>1370-Сосиски Сочинки Бордо Весовой п/а Стародворье</v>
          </cell>
          <cell r="B17" t="str">
            <v>кг</v>
          </cell>
          <cell r="C17">
            <v>228.91</v>
          </cell>
          <cell r="D17">
            <v>107.712</v>
          </cell>
          <cell r="E17">
            <v>206.054</v>
          </cell>
          <cell r="F17">
            <v>37</v>
          </cell>
          <cell r="G17">
            <v>1</v>
          </cell>
          <cell r="H17">
            <v>45</v>
          </cell>
          <cell r="I17" t="str">
            <v>матрица</v>
          </cell>
          <cell r="L17">
            <v>206.054</v>
          </cell>
          <cell r="P17">
            <v>300</v>
          </cell>
          <cell r="Q17">
            <v>41.210799999999999</v>
          </cell>
          <cell r="R17">
            <v>487.21600000000001</v>
          </cell>
          <cell r="S17">
            <v>220</v>
          </cell>
        </row>
        <row r="18">
          <cell r="A18" t="str">
            <v>1411 Сосиски «Сочинки Сливочные» Весовые ТМ «Стародворье» 1,35 кг  ПОКОМ</v>
          </cell>
          <cell r="B18" t="str">
            <v>кг</v>
          </cell>
          <cell r="C18">
            <v>130.91499999999999</v>
          </cell>
          <cell r="D18">
            <v>306.49599999999998</v>
          </cell>
          <cell r="E18">
            <v>186.46100000000001</v>
          </cell>
          <cell r="F18">
            <v>205</v>
          </cell>
          <cell r="G18">
            <v>1</v>
          </cell>
          <cell r="H18">
            <v>40</v>
          </cell>
          <cell r="I18" t="str">
            <v>матрица</v>
          </cell>
          <cell r="L18">
            <v>186.46100000000001</v>
          </cell>
          <cell r="P18">
            <v>200</v>
          </cell>
          <cell r="Q18">
            <v>27</v>
          </cell>
          <cell r="R18">
            <v>135</v>
          </cell>
          <cell r="S18">
            <v>200</v>
          </cell>
        </row>
        <row r="19">
          <cell r="A19" t="str">
            <v>Вареные колбасы Сливушка Вязанка Фикс.вес 0,45 П/а Вязанка  ПОКОМ</v>
          </cell>
          <cell r="B19" t="str">
            <v>шт</v>
          </cell>
          <cell r="C19">
            <v>219</v>
          </cell>
          <cell r="D19">
            <v>300</v>
          </cell>
          <cell r="E19">
            <v>698</v>
          </cell>
          <cell r="F19">
            <v>203</v>
          </cell>
          <cell r="G19">
            <v>0.45</v>
          </cell>
          <cell r="H19">
            <v>50</v>
          </cell>
          <cell r="I19" t="str">
            <v>матрица</v>
          </cell>
          <cell r="L19">
            <v>698</v>
          </cell>
          <cell r="P19">
            <v>400</v>
          </cell>
          <cell r="Q19">
            <v>139.6</v>
          </cell>
          <cell r="R19">
            <v>2189</v>
          </cell>
          <cell r="S19">
            <v>700</v>
          </cell>
        </row>
        <row r="20">
          <cell r="A20" t="str">
            <v>2150 В/к колбасы Рубленая Запеченная Дугушка Весовые Вектор Стародворье, вес 1кг</v>
          </cell>
          <cell r="B20" t="str">
            <v>кг</v>
          </cell>
          <cell r="C20">
            <v>131.233</v>
          </cell>
          <cell r="D20">
            <v>200.25200000000001</v>
          </cell>
          <cell r="E20">
            <v>230.95699999999999</v>
          </cell>
          <cell r="F20">
            <v>170</v>
          </cell>
          <cell r="G20">
            <v>1</v>
          </cell>
          <cell r="H20">
            <v>70</v>
          </cell>
          <cell r="I20" t="str">
            <v>матрица</v>
          </cell>
          <cell r="L20">
            <v>230.95699999999999</v>
          </cell>
          <cell r="P20">
            <v>300</v>
          </cell>
          <cell r="Q20">
            <v>46.191400000000002</v>
          </cell>
          <cell r="R20">
            <v>453.82799999999997</v>
          </cell>
          <cell r="S20">
            <v>250</v>
          </cell>
        </row>
        <row r="21">
          <cell r="A21" t="str">
            <v>1871-Колбаса Филейная оригинальная ТМ Особый рецепт в оболочке полиамид 0,4 кг.  ПОКОМ</v>
          </cell>
          <cell r="B21" t="str">
            <v>шт</v>
          </cell>
          <cell r="C21">
            <v>1066</v>
          </cell>
          <cell r="D21">
            <v>100</v>
          </cell>
          <cell r="E21">
            <v>274</v>
          </cell>
          <cell r="F21">
            <v>1056</v>
          </cell>
          <cell r="G21">
            <v>0.4</v>
          </cell>
          <cell r="H21">
            <v>60</v>
          </cell>
          <cell r="I21" t="str">
            <v>матрица</v>
          </cell>
          <cell r="L21">
            <v>274</v>
          </cell>
          <cell r="P21">
            <v>300</v>
          </cell>
          <cell r="Q21">
            <v>54.8</v>
          </cell>
          <cell r="R21">
            <v>-260</v>
          </cell>
          <cell r="S21">
            <v>80</v>
          </cell>
        </row>
        <row r="22">
          <cell r="A22" t="str">
            <v>1120 В/к колбасы Сервелат Запеченный Дугушка Вес Вектор Стародворье, вес 1кг</v>
          </cell>
          <cell r="B22" t="str">
            <v>кг</v>
          </cell>
          <cell r="C22">
            <v>31.937999999999999</v>
          </cell>
          <cell r="D22">
            <v>353.03500000000003</v>
          </cell>
          <cell r="E22">
            <v>213.06299999999999</v>
          </cell>
          <cell r="F22">
            <v>488</v>
          </cell>
          <cell r="G22">
            <v>1</v>
          </cell>
          <cell r="H22">
            <v>60</v>
          </cell>
          <cell r="I22" t="str">
            <v>матрица</v>
          </cell>
          <cell r="L22">
            <v>213.06299999999999</v>
          </cell>
          <cell r="P22">
            <v>350</v>
          </cell>
          <cell r="Q22">
            <v>42.6126</v>
          </cell>
          <cell r="R22">
            <v>14.251999999999953</v>
          </cell>
          <cell r="S22">
            <v>100</v>
          </cell>
        </row>
        <row r="23">
          <cell r="A23" t="str">
            <v>1202 В/к колбасы Сервелат Мясорубский с мелкорубленным окороком срез Бордо Фикс.вес 0,35 фиброуз Ста</v>
          </cell>
          <cell r="B23" t="str">
            <v>шт</v>
          </cell>
          <cell r="C23">
            <v>284</v>
          </cell>
          <cell r="D23">
            <v>204</v>
          </cell>
          <cell r="E23">
            <v>533</v>
          </cell>
          <cell r="F23">
            <v>353</v>
          </cell>
          <cell r="G23">
            <v>0.35</v>
          </cell>
          <cell r="H23">
            <v>40</v>
          </cell>
          <cell r="I23" t="str">
            <v>матрица</v>
          </cell>
          <cell r="L23">
            <v>533</v>
          </cell>
          <cell r="P23">
            <v>600</v>
          </cell>
          <cell r="Q23">
            <v>106.6</v>
          </cell>
          <cell r="R23">
            <v>1179</v>
          </cell>
          <cell r="S23">
            <v>200</v>
          </cell>
        </row>
        <row r="24">
          <cell r="A24" t="str">
            <v>1118 В/к колбасы Салями Запеченая Дугушка  Вектор Стародворье, 1кг</v>
          </cell>
          <cell r="B24" t="str">
            <v>кг</v>
          </cell>
          <cell r="C24">
            <v>107.593</v>
          </cell>
          <cell r="D24">
            <v>200.19200000000001</v>
          </cell>
          <cell r="E24">
            <v>203.74600000000001</v>
          </cell>
          <cell r="F24">
            <v>200</v>
          </cell>
          <cell r="G24">
            <v>1</v>
          </cell>
          <cell r="H24">
            <v>60</v>
          </cell>
          <cell r="I24" t="str">
            <v>матрица</v>
          </cell>
          <cell r="L24">
            <v>203.74600000000001</v>
          </cell>
          <cell r="P24">
            <v>350</v>
          </cell>
          <cell r="Q24">
            <v>40.749200000000002</v>
          </cell>
          <cell r="R24">
            <v>264.98400000000004</v>
          </cell>
          <cell r="S24">
            <v>100</v>
          </cell>
        </row>
        <row r="25">
          <cell r="A25" t="str">
            <v>1205 Копченые колбасы Салями Мясорубская с рубленым шпиком срез Бордо ф/в 0,35 фиброуз Стародворье  ПОКОМ</v>
          </cell>
          <cell r="B25" t="str">
            <v>шт</v>
          </cell>
          <cell r="C25">
            <v>601</v>
          </cell>
          <cell r="D25">
            <v>300</v>
          </cell>
          <cell r="E25">
            <v>510</v>
          </cell>
          <cell r="F25">
            <v>198</v>
          </cell>
          <cell r="G25">
            <v>0.35</v>
          </cell>
          <cell r="H25">
            <v>40</v>
          </cell>
          <cell r="I25" t="str">
            <v>матрица</v>
          </cell>
          <cell r="L25">
            <v>510</v>
          </cell>
          <cell r="P25">
            <v>600</v>
          </cell>
          <cell r="Q25">
            <v>102</v>
          </cell>
          <cell r="R25">
            <v>1242</v>
          </cell>
          <cell r="S25">
            <v>300</v>
          </cell>
        </row>
        <row r="26">
          <cell r="A26" t="str">
            <v>1523-Сосиски Вязанка Молочные ТМ Стародворские колбасы</v>
          </cell>
          <cell r="B26" t="str">
            <v>кг</v>
          </cell>
          <cell r="C26">
            <v>191.904</v>
          </cell>
          <cell r="D26">
            <v>156.416</v>
          </cell>
          <cell r="E26">
            <v>151.886</v>
          </cell>
          <cell r="F26">
            <v>142</v>
          </cell>
          <cell r="G26">
            <v>1</v>
          </cell>
          <cell r="H26">
            <v>45</v>
          </cell>
          <cell r="I26" t="str">
            <v>матрица</v>
          </cell>
          <cell r="L26">
            <v>151.886</v>
          </cell>
          <cell r="P26">
            <v>150</v>
          </cell>
          <cell r="Q26">
            <v>30.377199999999998</v>
          </cell>
          <cell r="R26">
            <v>315.54399999999998</v>
          </cell>
          <cell r="S26">
            <v>90</v>
          </cell>
        </row>
        <row r="27">
          <cell r="A27" t="str">
            <v>1204 Копченые колбасы Салями Мясорубская с рубленым шпиком Бордо Весовой фиброуз Стародворье  ПОКОМ</v>
          </cell>
          <cell r="B27" t="str">
            <v>кг</v>
          </cell>
          <cell r="C27">
            <v>167.09700000000001</v>
          </cell>
          <cell r="D27">
            <v>100.20699999999999</v>
          </cell>
          <cell r="E27">
            <v>199.68299999999999</v>
          </cell>
          <cell r="F27">
            <v>153</v>
          </cell>
          <cell r="G27">
            <v>1</v>
          </cell>
          <cell r="H27">
            <v>40</v>
          </cell>
          <cell r="I27" t="str">
            <v>матрица</v>
          </cell>
          <cell r="L27">
            <v>199.68299999999999</v>
          </cell>
          <cell r="P27">
            <v>150</v>
          </cell>
          <cell r="Q27">
            <v>39.936599999999999</v>
          </cell>
          <cell r="R27">
            <v>495.73199999999997</v>
          </cell>
          <cell r="S27">
            <v>50</v>
          </cell>
        </row>
        <row r="28">
          <cell r="A28" t="str">
            <v>1371-Сосиски Сочинки с сочной грудинкой Бордо Фикс.вес 0,4 П/а мгс Стародворье</v>
          </cell>
          <cell r="B28" t="str">
            <v>шт</v>
          </cell>
          <cell r="C28">
            <v>155</v>
          </cell>
          <cell r="D28">
            <v>204</v>
          </cell>
          <cell r="E28">
            <v>379</v>
          </cell>
          <cell r="F28">
            <v>104</v>
          </cell>
          <cell r="G28">
            <v>0.4</v>
          </cell>
          <cell r="H28">
            <v>45</v>
          </cell>
          <cell r="I28" t="str">
            <v>матрица</v>
          </cell>
          <cell r="L28">
            <v>379</v>
          </cell>
          <cell r="P28">
            <v>300</v>
          </cell>
          <cell r="Q28">
            <v>75.8</v>
          </cell>
          <cell r="R28">
            <v>1112</v>
          </cell>
          <cell r="S28">
            <v>250</v>
          </cell>
        </row>
        <row r="29">
          <cell r="A29" t="str">
            <v>1720-Сосиски Вязанка Сливочные ТМ Стародворские колбасы ТС Вязанка амицел в мод газов.среде 0,45кг</v>
          </cell>
          <cell r="B29" t="str">
            <v>шт</v>
          </cell>
          <cell r="C29">
            <v>237</v>
          </cell>
          <cell r="D29">
            <v>300</v>
          </cell>
          <cell r="E29">
            <v>257</v>
          </cell>
          <cell r="F29">
            <v>259</v>
          </cell>
          <cell r="G29">
            <v>0.45</v>
          </cell>
          <cell r="H29">
            <v>45</v>
          </cell>
          <cell r="I29" t="str">
            <v>матрица</v>
          </cell>
          <cell r="L29">
            <v>257</v>
          </cell>
          <cell r="P29">
            <v>250</v>
          </cell>
          <cell r="Q29">
            <v>51.4</v>
          </cell>
          <cell r="R29">
            <v>519</v>
          </cell>
          <cell r="S29">
            <v>200</v>
          </cell>
        </row>
        <row r="30">
          <cell r="A30" t="str">
            <v>1201 В/к колбасы Сервелат Мясорубский с мелкорубленным окороком Бордо Весовой фиброуз Стародворье  П</v>
          </cell>
          <cell r="B30" t="str">
            <v>кг</v>
          </cell>
          <cell r="C30">
            <v>83.147999999999996</v>
          </cell>
          <cell r="D30">
            <v>103.664</v>
          </cell>
          <cell r="E30">
            <v>276.22800000000001</v>
          </cell>
          <cell r="F30">
            <v>10</v>
          </cell>
          <cell r="G30">
            <v>1</v>
          </cell>
          <cell r="H30">
            <v>40</v>
          </cell>
          <cell r="I30" t="str">
            <v>матрица</v>
          </cell>
          <cell r="L30">
            <v>276.22800000000001</v>
          </cell>
          <cell r="P30">
            <v>150</v>
          </cell>
          <cell r="Q30">
            <v>55.245600000000003</v>
          </cell>
          <cell r="R30">
            <v>944.91200000000003</v>
          </cell>
          <cell r="S30">
            <v>150</v>
          </cell>
        </row>
        <row r="31">
          <cell r="A31" t="str">
            <v>1231 Сосиски Сливочные Дугушки Дугушка Весовые П/а Стародворье, вес 1кг</v>
          </cell>
          <cell r="B31" t="str">
            <v>кг</v>
          </cell>
          <cell r="C31">
            <v>14.314</v>
          </cell>
          <cell r="D31">
            <v>154.392</v>
          </cell>
          <cell r="E31">
            <v>92.554000000000002</v>
          </cell>
          <cell r="F31">
            <v>90</v>
          </cell>
          <cell r="G31">
            <v>1</v>
          </cell>
          <cell r="H31">
            <v>45</v>
          </cell>
          <cell r="I31" t="str">
            <v>матрица</v>
          </cell>
          <cell r="L31">
            <v>92.554000000000002</v>
          </cell>
          <cell r="P31">
            <v>120</v>
          </cell>
          <cell r="Q31">
            <v>15</v>
          </cell>
          <cell r="R31">
            <v>90</v>
          </cell>
          <cell r="S31">
            <v>65</v>
          </cell>
        </row>
        <row r="32">
          <cell r="A32" t="str">
            <v>Вареные колбасы Докторская ГОСТ Вязанка Фикс.вес 0,4 Вектор Вязанка  ПОКОМ</v>
          </cell>
          <cell r="B32" t="str">
            <v>шт</v>
          </cell>
          <cell r="C32">
            <v>153</v>
          </cell>
          <cell r="D32">
            <v>150</v>
          </cell>
          <cell r="E32">
            <v>367</v>
          </cell>
          <cell r="F32">
            <v>201</v>
          </cell>
          <cell r="G32">
            <v>0.4</v>
          </cell>
          <cell r="H32">
            <v>50</v>
          </cell>
          <cell r="I32" t="str">
            <v>матрица</v>
          </cell>
          <cell r="L32">
            <v>367</v>
          </cell>
          <cell r="P32">
            <v>200</v>
          </cell>
          <cell r="Q32">
            <v>73.400000000000006</v>
          </cell>
          <cell r="R32">
            <v>1067</v>
          </cell>
          <cell r="S32">
            <v>300</v>
          </cell>
        </row>
        <row r="33">
          <cell r="A33" t="str">
            <v>1372-Сосиски Сочинки с сочным окороком Бордо Фикс.вес 0,4 П/а мгс Стародворье</v>
          </cell>
          <cell r="B33" t="str">
            <v>шт</v>
          </cell>
          <cell r="C33">
            <v>-18</v>
          </cell>
          <cell r="D33">
            <v>252</v>
          </cell>
          <cell r="E33">
            <v>247</v>
          </cell>
          <cell r="F33">
            <v>273</v>
          </cell>
          <cell r="G33">
            <v>0.4</v>
          </cell>
          <cell r="H33">
            <v>45</v>
          </cell>
          <cell r="I33" t="str">
            <v>матрица</v>
          </cell>
          <cell r="L33">
            <v>247</v>
          </cell>
          <cell r="P33">
            <v>300</v>
          </cell>
          <cell r="Q33">
            <v>49.4</v>
          </cell>
          <cell r="R33">
            <v>415</v>
          </cell>
          <cell r="S33">
            <v>200</v>
          </cell>
        </row>
        <row r="34">
          <cell r="A34" t="str">
            <v>1224 В/к колбасы «Сочинка по-европейски с сочной грудинкой» Весовой фиброуз ТМ «Стародворье»  ПОКОМ</v>
          </cell>
          <cell r="B34" t="str">
            <v>кг</v>
          </cell>
          <cell r="C34">
            <v>21.914999999999999</v>
          </cell>
          <cell r="D34">
            <v>102.94499999999999</v>
          </cell>
          <cell r="E34">
            <v>164.602</v>
          </cell>
          <cell r="F34">
            <v>59</v>
          </cell>
          <cell r="G34">
            <v>1</v>
          </cell>
          <cell r="H34">
            <v>40</v>
          </cell>
          <cell r="I34" t="str">
            <v>матрица</v>
          </cell>
          <cell r="L34">
            <v>164.602</v>
          </cell>
          <cell r="P34">
            <v>100</v>
          </cell>
          <cell r="Q34">
            <v>14</v>
          </cell>
          <cell r="R34">
            <v>121</v>
          </cell>
          <cell r="S34">
            <v>80</v>
          </cell>
        </row>
        <row r="35">
          <cell r="A35" t="str">
            <v>1851-Колбаса Филедворская по-стародворски ТМ Стародворье в оболочке полиамид 0,4 кг.  ПОКОМ</v>
          </cell>
          <cell r="B35" t="str">
            <v>шт</v>
          </cell>
          <cell r="C35">
            <v>132</v>
          </cell>
          <cell r="D35">
            <v>200</v>
          </cell>
          <cell r="E35">
            <v>282</v>
          </cell>
          <cell r="F35">
            <v>237</v>
          </cell>
          <cell r="G35">
            <v>0.4</v>
          </cell>
          <cell r="H35">
            <v>55</v>
          </cell>
          <cell r="I35" t="str">
            <v>матрица</v>
          </cell>
          <cell r="L35">
            <v>282</v>
          </cell>
          <cell r="P35">
            <v>300</v>
          </cell>
          <cell r="Q35">
            <v>56.4</v>
          </cell>
          <cell r="R35">
            <v>591</v>
          </cell>
          <cell r="S35">
            <v>250</v>
          </cell>
        </row>
        <row r="36">
          <cell r="A36" t="str">
            <v>Вареные колбасы Молокуша Вязанка Вес п/а Вязанка  ПОКОМ</v>
          </cell>
          <cell r="B36" t="str">
            <v>кг</v>
          </cell>
          <cell r="C36">
            <v>88.364999999999995</v>
          </cell>
          <cell r="D36">
            <v>107.73399999999999</v>
          </cell>
          <cell r="E36">
            <v>129.62100000000001</v>
          </cell>
          <cell r="F36">
            <v>103</v>
          </cell>
          <cell r="G36">
            <v>1</v>
          </cell>
          <cell r="H36">
            <v>50</v>
          </cell>
          <cell r="I36" t="str">
            <v>матрица</v>
          </cell>
          <cell r="L36">
            <v>129.62100000000001</v>
          </cell>
          <cell r="P36">
            <v>100</v>
          </cell>
          <cell r="Q36">
            <v>25.924200000000003</v>
          </cell>
          <cell r="R36">
            <v>315.48400000000004</v>
          </cell>
          <cell r="S36">
            <v>50</v>
          </cell>
        </row>
        <row r="37">
          <cell r="A37" t="str">
            <v>Вареные колбасы «Филейская» Фикс.вес 0,45 Вектор ТМ «Вязанка»  ПОКОМ</v>
          </cell>
          <cell r="B37" t="str">
            <v>шт</v>
          </cell>
          <cell r="C37">
            <v>107</v>
          </cell>
          <cell r="D37">
            <v>160</v>
          </cell>
          <cell r="E37">
            <v>233</v>
          </cell>
          <cell r="F37">
            <v>41</v>
          </cell>
          <cell r="G37">
            <v>0.45</v>
          </cell>
          <cell r="H37">
            <v>50</v>
          </cell>
          <cell r="I37" t="str">
            <v>матрица</v>
          </cell>
          <cell r="L37">
            <v>233</v>
          </cell>
          <cell r="P37">
            <v>300</v>
          </cell>
          <cell r="Q37">
            <v>46.6</v>
          </cell>
          <cell r="R37">
            <v>591</v>
          </cell>
          <cell r="S37">
            <v>400</v>
          </cell>
        </row>
        <row r="38">
          <cell r="A38" t="str">
            <v>1952-Колбаса Со шпиком ТМ Особый рецепт в оболочке полиамид 0,5 кг.  ПОКОМ</v>
          </cell>
          <cell r="B38" t="str">
            <v>шт</v>
          </cell>
          <cell r="C38">
            <v>87</v>
          </cell>
          <cell r="D38">
            <v>150</v>
          </cell>
          <cell r="E38">
            <v>151</v>
          </cell>
          <cell r="F38">
            <v>279</v>
          </cell>
          <cell r="G38">
            <v>0.5</v>
          </cell>
          <cell r="H38">
            <v>60</v>
          </cell>
          <cell r="I38" t="str">
            <v>матрица</v>
          </cell>
          <cell r="L38">
            <v>151</v>
          </cell>
          <cell r="P38">
            <v>100</v>
          </cell>
          <cell r="Q38">
            <v>30.2</v>
          </cell>
          <cell r="R38">
            <v>225</v>
          </cell>
          <cell r="S38">
            <v>200</v>
          </cell>
        </row>
        <row r="39">
          <cell r="A39" t="str">
            <v>Вареные колбасы «Филейская» Весовые Вектор ТМ «Вязанка»  ПОКОМ</v>
          </cell>
          <cell r="B39" t="str">
            <v>кг</v>
          </cell>
          <cell r="C39">
            <v>26.140999999999998</v>
          </cell>
          <cell r="D39">
            <v>107.815</v>
          </cell>
          <cell r="E39">
            <v>87.822000000000003</v>
          </cell>
          <cell r="F39">
            <v>79</v>
          </cell>
          <cell r="G39">
            <v>1</v>
          </cell>
          <cell r="H39">
            <v>50</v>
          </cell>
          <cell r="I39" t="str">
            <v>матрица</v>
          </cell>
          <cell r="L39">
            <v>87.822000000000003</v>
          </cell>
          <cell r="P39">
            <v>100</v>
          </cell>
          <cell r="Q39">
            <v>17.564399999999999</v>
          </cell>
          <cell r="R39">
            <v>172.28800000000001</v>
          </cell>
          <cell r="S39">
            <v>50</v>
          </cell>
        </row>
        <row r="40">
          <cell r="A40" t="str">
            <v>0262 Ветчина «Сочинка с сочным окороком» Весовой п/а ТМ «Стародворье»  ПОКОМ</v>
          </cell>
          <cell r="B40" t="str">
            <v>кг</v>
          </cell>
          <cell r="C40">
            <v>121.855</v>
          </cell>
          <cell r="E40">
            <v>94.495999999999995</v>
          </cell>
          <cell r="F40">
            <v>56</v>
          </cell>
          <cell r="G40">
            <v>1</v>
          </cell>
          <cell r="H40">
            <v>50</v>
          </cell>
          <cell r="I40" t="str">
            <v>матрица</v>
          </cell>
          <cell r="L40">
            <v>94.495999999999995</v>
          </cell>
          <cell r="P40">
            <v>20</v>
          </cell>
          <cell r="Q40">
            <v>18.8992</v>
          </cell>
          <cell r="R40">
            <v>301.98400000000004</v>
          </cell>
          <cell r="S40">
            <v>60</v>
          </cell>
        </row>
        <row r="41">
          <cell r="A41" t="str">
            <v>1284-Сосиски Баварушки ТМ Баварушка в оболочке амицел в модифицированной газовой среде 0,6 кг.</v>
          </cell>
          <cell r="B41" t="str">
            <v>шт</v>
          </cell>
          <cell r="C41">
            <v>-1</v>
          </cell>
          <cell r="E41">
            <v>79</v>
          </cell>
          <cell r="F41">
            <v>72</v>
          </cell>
          <cell r="G41">
            <v>0.6</v>
          </cell>
          <cell r="H41">
            <v>45</v>
          </cell>
          <cell r="I41" t="str">
            <v>матрица</v>
          </cell>
          <cell r="L41">
            <v>79</v>
          </cell>
          <cell r="P41">
            <v>200</v>
          </cell>
          <cell r="Q41">
            <v>12</v>
          </cell>
          <cell r="R41">
            <v>-32</v>
          </cell>
          <cell r="S41">
            <v>100</v>
          </cell>
        </row>
        <row r="42">
          <cell r="A42" t="str">
            <v>1461 Сосиски «Баварские» Фикс.вес 0,35 П/а ТМ «Стародворье»  ПОКОМ</v>
          </cell>
          <cell r="B42" t="str">
            <v>шт</v>
          </cell>
          <cell r="C42">
            <v>39</v>
          </cell>
          <cell r="D42">
            <v>80</v>
          </cell>
          <cell r="E42">
            <v>75</v>
          </cell>
          <cell r="F42">
            <v>135</v>
          </cell>
          <cell r="G42">
            <v>0.35</v>
          </cell>
          <cell r="H42">
            <v>45</v>
          </cell>
          <cell r="I42" t="str">
            <v>матрица</v>
          </cell>
          <cell r="L42">
            <v>75</v>
          </cell>
          <cell r="P42">
            <v>100</v>
          </cell>
          <cell r="Q42">
            <v>20</v>
          </cell>
          <cell r="R42">
            <v>165</v>
          </cell>
          <cell r="S42">
            <v>60</v>
          </cell>
        </row>
        <row r="43">
          <cell r="A43" t="str">
            <v>1868-Колбаса Филейная ТМ Особый рецепт в оболочке полиамид 0,5 кг.  ПОКОМ</v>
          </cell>
          <cell r="B43" t="str">
            <v>шт</v>
          </cell>
          <cell r="D43">
            <v>200</v>
          </cell>
          <cell r="E43">
            <v>177</v>
          </cell>
          <cell r="F43">
            <v>234</v>
          </cell>
          <cell r="G43">
            <v>0.5</v>
          </cell>
          <cell r="H43">
            <v>60</v>
          </cell>
          <cell r="I43" t="str">
            <v>матрица</v>
          </cell>
          <cell r="L43">
            <v>177</v>
          </cell>
          <cell r="P43">
            <v>100</v>
          </cell>
          <cell r="Q43">
            <v>10</v>
          </cell>
          <cell r="R43">
            <v>-134</v>
          </cell>
          <cell r="S43">
            <v>100</v>
          </cell>
        </row>
        <row r="44">
          <cell r="A44" t="str">
            <v>2027 Ветчина Нежная п/а ТМ Особый рецепт шт. 0,4кг</v>
          </cell>
          <cell r="B44" t="str">
            <v>шт</v>
          </cell>
          <cell r="C44">
            <v>1</v>
          </cell>
          <cell r="E44">
            <v>150</v>
          </cell>
          <cell r="F44">
            <v>185</v>
          </cell>
          <cell r="G44">
            <v>0.4</v>
          </cell>
          <cell r="H44">
            <v>50</v>
          </cell>
          <cell r="I44" t="str">
            <v>матрица</v>
          </cell>
          <cell r="L44">
            <v>150</v>
          </cell>
          <cell r="P44">
            <v>100</v>
          </cell>
          <cell r="Q44">
            <v>10</v>
          </cell>
          <cell r="R44">
            <v>-85</v>
          </cell>
          <cell r="S44">
            <v>100</v>
          </cell>
        </row>
        <row r="45">
          <cell r="A45" t="str">
            <v>С/к колбасы Швейцарская Бордо Фикс.вес 0,17 Фиброуз терм/п Стародворье</v>
          </cell>
          <cell r="B45" t="str">
            <v>шт</v>
          </cell>
          <cell r="C45">
            <v>402</v>
          </cell>
          <cell r="E45">
            <v>240</v>
          </cell>
          <cell r="F45">
            <v>197</v>
          </cell>
          <cell r="G45">
            <v>0.17</v>
          </cell>
          <cell r="H45">
            <v>180</v>
          </cell>
          <cell r="I45" t="str">
            <v>матрица</v>
          </cell>
          <cell r="L45">
            <v>240</v>
          </cell>
          <cell r="P45">
            <v>200</v>
          </cell>
          <cell r="Q45">
            <v>38</v>
          </cell>
          <cell r="R45">
            <v>363</v>
          </cell>
          <cell r="S45">
            <v>200</v>
          </cell>
        </row>
        <row r="46">
          <cell r="A46" t="str">
            <v>1728-Сосиски сливочные по-стародворски в оболочке</v>
          </cell>
          <cell r="B46" t="str">
            <v>кг</v>
          </cell>
          <cell r="C46">
            <v>14.045999999999999</v>
          </cell>
          <cell r="D46">
            <v>56.771999999999998</v>
          </cell>
          <cell r="E46">
            <v>11.38</v>
          </cell>
          <cell r="F46">
            <v>29</v>
          </cell>
          <cell r="G46">
            <v>1</v>
          </cell>
          <cell r="H46">
            <v>40</v>
          </cell>
          <cell r="I46" t="str">
            <v>матрица</v>
          </cell>
          <cell r="L46">
            <v>11.38</v>
          </cell>
          <cell r="Q46">
            <v>2.2760000000000002</v>
          </cell>
          <cell r="R46">
            <v>16.520000000000003</v>
          </cell>
          <cell r="S46">
            <v>15</v>
          </cell>
        </row>
        <row r="47">
          <cell r="A47" t="str">
            <v>С/к колбасы Баварская Бавария Фикс.вес 0,17 б/о терм/п Стародворье</v>
          </cell>
          <cell r="B47" t="str">
            <v>шт</v>
          </cell>
          <cell r="C47">
            <v>5</v>
          </cell>
          <cell r="D47">
            <v>195</v>
          </cell>
          <cell r="E47">
            <v>202</v>
          </cell>
          <cell r="F47">
            <v>115</v>
          </cell>
          <cell r="G47">
            <v>0.17</v>
          </cell>
          <cell r="H47">
            <v>180</v>
          </cell>
          <cell r="I47" t="str">
            <v>матрица</v>
          </cell>
          <cell r="L47">
            <v>202</v>
          </cell>
          <cell r="Q47">
            <v>0</v>
          </cell>
          <cell r="R47">
            <v>-115</v>
          </cell>
          <cell r="S47">
            <v>200</v>
          </cell>
        </row>
        <row r="48">
          <cell r="A48" t="str">
            <v>0232 С/к колбасы Княжеская Бордо Весовые б/о терм/п Стародворье</v>
          </cell>
          <cell r="B48" t="str">
            <v>кг</v>
          </cell>
          <cell r="C48">
            <v>19.137</v>
          </cell>
          <cell r="D48">
            <v>29.978000000000002</v>
          </cell>
          <cell r="E48">
            <v>10.959</v>
          </cell>
          <cell r="F48">
            <v>21</v>
          </cell>
          <cell r="G48">
            <v>1</v>
          </cell>
          <cell r="H48">
            <v>180</v>
          </cell>
          <cell r="I48" t="str">
            <v>матрица</v>
          </cell>
          <cell r="L48">
            <v>10.959</v>
          </cell>
          <cell r="Q48">
            <v>2.1917999999999997</v>
          </cell>
          <cell r="R48">
            <v>22.835999999999999</v>
          </cell>
          <cell r="S48">
            <v>15</v>
          </cell>
        </row>
        <row r="49">
          <cell r="A49" t="str">
            <v>0235 С/к колбасы Салями Охотничья Бордо Весовые б/о терм/п 180 Стародворье</v>
          </cell>
          <cell r="B49" t="str">
            <v>кг</v>
          </cell>
          <cell r="C49">
            <v>-0.62</v>
          </cell>
          <cell r="E49">
            <v>0</v>
          </cell>
          <cell r="G49">
            <v>0</v>
          </cell>
          <cell r="H49">
            <v>180</v>
          </cell>
          <cell r="I49" t="str">
            <v>нет в бланке</v>
          </cell>
          <cell r="L49">
            <v>0</v>
          </cell>
          <cell r="Q49">
            <v>0</v>
          </cell>
          <cell r="R49">
            <v>0</v>
          </cell>
        </row>
        <row r="50">
          <cell r="A50" t="str">
            <v>1314-Сосиски Молокуши миникушай Вязанка Ф/в 0,45 амилюкс мгс Вязанка</v>
          </cell>
          <cell r="B50" t="str">
            <v>шт</v>
          </cell>
          <cell r="C50">
            <v>-2</v>
          </cell>
          <cell r="E50">
            <v>0</v>
          </cell>
          <cell r="G50">
            <v>0</v>
          </cell>
          <cell r="H50">
            <v>45</v>
          </cell>
          <cell r="I50" t="str">
            <v>вывод</v>
          </cell>
          <cell r="L50">
            <v>0</v>
          </cell>
          <cell r="Q50">
            <v>0</v>
          </cell>
          <cell r="R50">
            <v>0</v>
          </cell>
        </row>
        <row r="51">
          <cell r="A51" t="str">
            <v>1989 Вареные колбасы Докторская Особая п/а ТМ Особый рецепт шт. 0,5 кг</v>
          </cell>
          <cell r="B51" t="str">
            <v>шт</v>
          </cell>
          <cell r="C51">
            <v>-31</v>
          </cell>
          <cell r="E51">
            <v>0</v>
          </cell>
          <cell r="G51">
            <v>0</v>
          </cell>
          <cell r="I51" t="str">
            <v>не в матрице</v>
          </cell>
          <cell r="J51" t="str">
            <v>1868-Колбаса Филейная ТМ Особый рецепт в оболочке полиамид 0,5 кг.  ПОКОМ</v>
          </cell>
          <cell r="L51">
            <v>0</v>
          </cell>
          <cell r="Q51">
            <v>0</v>
          </cell>
          <cell r="R51">
            <v>0</v>
          </cell>
        </row>
        <row r="52">
          <cell r="A52" t="str">
            <v>2094 Вареные колбасы Докторская Дугушка Дугушка Весовые Вектор Стародворье, вес 1кг</v>
          </cell>
          <cell r="B52" t="str">
            <v>кг</v>
          </cell>
          <cell r="C52">
            <v>-4.2350000000000003</v>
          </cell>
          <cell r="E52">
            <v>0</v>
          </cell>
          <cell r="G52">
            <v>0</v>
          </cell>
          <cell r="I52" t="str">
            <v>не в матрице</v>
          </cell>
          <cell r="L52">
            <v>0</v>
          </cell>
          <cell r="Q52">
            <v>0</v>
          </cell>
          <cell r="R52">
            <v>0</v>
          </cell>
        </row>
        <row r="53">
          <cell r="A53" t="str">
            <v>БОНУС_1201 В/к колбасы Сервелат Мясорубский с мелкорубленным окороком Бордо Весовой фиброуз Стародворье  ПОКОМ</v>
          </cell>
          <cell r="B53" t="str">
            <v>кг</v>
          </cell>
          <cell r="C53">
            <v>-4.3559999999999999</v>
          </cell>
          <cell r="D53">
            <v>19.675000000000001</v>
          </cell>
          <cell r="E53">
            <v>73.337000000000003</v>
          </cell>
          <cell r="G53">
            <v>0</v>
          </cell>
          <cell r="I53" t="str">
            <v>бонус</v>
          </cell>
          <cell r="J53" t="str">
            <v>1201 В/к колбасы Сервелат Мясорубский с мелкорубленным окороком Бордо Весовой фиброуз Стародворье  П</v>
          </cell>
          <cell r="L53">
            <v>73.337000000000003</v>
          </cell>
          <cell r="Q53">
            <v>14.667400000000001</v>
          </cell>
        </row>
        <row r="54">
          <cell r="A54" t="str">
            <v>БОНУС_1202 В/к колбасы Сервелат Мясорубский с мелкорубленным окороком срез Бордо Фикс.вес 0,35 фибро</v>
          </cell>
          <cell r="B54" t="str">
            <v>шт</v>
          </cell>
          <cell r="C54">
            <v>-43</v>
          </cell>
          <cell r="D54">
            <v>80</v>
          </cell>
          <cell r="E54">
            <v>89</v>
          </cell>
          <cell r="G54">
            <v>0</v>
          </cell>
          <cell r="I54" t="str">
            <v>бонус</v>
          </cell>
          <cell r="J54" t="str">
            <v>1202 В/к колбасы Сервелат Мясорубский с мелкорубленным окороком срез Бордо Фикс.вес 0,35 фиброуз Ста</v>
          </cell>
          <cell r="L54">
            <v>89</v>
          </cell>
          <cell r="Q54">
            <v>17.8</v>
          </cell>
        </row>
        <row r="55">
          <cell r="A55" t="str">
            <v>БОНУС_1204 Копченые колбасы Салями Мясорубская с рубленым шпиком Бордо Весовой фиброуз Стародворье  ПОКОМ</v>
          </cell>
          <cell r="B55" t="str">
            <v>кг</v>
          </cell>
          <cell r="C55">
            <v>-84.751999999999995</v>
          </cell>
          <cell r="D55">
            <v>84.751999999999995</v>
          </cell>
          <cell r="G55">
            <v>0</v>
          </cell>
          <cell r="I55" t="str">
            <v>бонус</v>
          </cell>
          <cell r="J55" t="str">
            <v>1204 Копченые колбасы Салями Мясорубская с рубленым шпиком Бордо Весовой фиброуз Стародворье  ПОКОМ</v>
          </cell>
          <cell r="L55">
            <v>0</v>
          </cell>
          <cell r="Q55">
            <v>0</v>
          </cell>
        </row>
        <row r="56">
          <cell r="A56" t="str">
            <v>БОНУС_1205 Копченые колбасы Салями Мясорубская с рубленым шпиком срез Бордо ф/в 0,35 фиброуз Стародворье</v>
          </cell>
          <cell r="B56" t="str">
            <v>шт</v>
          </cell>
          <cell r="C56">
            <v>-243</v>
          </cell>
          <cell r="D56">
            <v>243</v>
          </cell>
          <cell r="G56">
            <v>0</v>
          </cell>
          <cell r="I56" t="str">
            <v>бонус</v>
          </cell>
          <cell r="J56" t="str">
            <v>1205 Копченые колбасы Салями Мясорубская с рубленым шпиком срез Бордо ф/в 0,35 фиброуз Стародворье  ПОКОМ</v>
          </cell>
          <cell r="L56">
            <v>0</v>
          </cell>
          <cell r="Q56">
            <v>0</v>
          </cell>
        </row>
        <row r="57">
          <cell r="A57" t="str">
            <v>БОНУС_1370-Сосиски Сочинки Бордо Весовой п/а Стародворье</v>
          </cell>
          <cell r="B57" t="str">
            <v>кг</v>
          </cell>
          <cell r="C57">
            <v>-62.350999999999999</v>
          </cell>
          <cell r="D57">
            <v>66.736999999999995</v>
          </cell>
          <cell r="E57">
            <v>29.986000000000001</v>
          </cell>
          <cell r="G57">
            <v>0</v>
          </cell>
          <cell r="I57" t="str">
            <v>бонус</v>
          </cell>
          <cell r="J57" t="str">
            <v>1370-Сосиски Сочинки Бордо Весовой п/а Стародворье</v>
          </cell>
          <cell r="L57">
            <v>29.986000000000001</v>
          </cell>
          <cell r="Q57">
            <v>5.9972000000000003</v>
          </cell>
        </row>
        <row r="58">
          <cell r="A58" t="str">
            <v>БОНУС_1371-Сосиски Сочинки с сочной грудинкой Бордо Фикс.вес 0,4 П/а мгс Стародворье</v>
          </cell>
          <cell r="B58" t="str">
            <v>шт</v>
          </cell>
          <cell r="C58">
            <v>-87</v>
          </cell>
          <cell r="D58">
            <v>89</v>
          </cell>
          <cell r="E58">
            <v>62</v>
          </cell>
          <cell r="G58">
            <v>0</v>
          </cell>
          <cell r="I58" t="str">
            <v>бонус</v>
          </cell>
          <cell r="J58" t="str">
            <v>1371-Сосиски Сочинки с сочной грудинкой Бордо Фикс.вес 0,4 П/а мгс Стародворье</v>
          </cell>
          <cell r="L58">
            <v>62</v>
          </cell>
          <cell r="Q58">
            <v>12.4</v>
          </cell>
        </row>
        <row r="59">
          <cell r="A59" t="str">
            <v>БОНУС_1411 Сосиски «Сочинки Сливочные» Весовые ТМ «Стародворье» 1,35 кг  ПОКОМ</v>
          </cell>
          <cell r="B59" t="str">
            <v>шт</v>
          </cell>
          <cell r="C59">
            <v>-67.909000000000006</v>
          </cell>
          <cell r="D59">
            <v>73.454999999999998</v>
          </cell>
          <cell r="E59">
            <v>22.664000000000001</v>
          </cell>
          <cell r="G59">
            <v>0</v>
          </cell>
          <cell r="I59" t="str">
            <v>бонус</v>
          </cell>
          <cell r="J59" t="str">
            <v>1411 Сосиски «Сочинки Сливочные» Весовые ТМ «Стародворье» 1,35 кг  ПОКОМ</v>
          </cell>
          <cell r="L59">
            <v>22.664000000000001</v>
          </cell>
          <cell r="Q59">
            <v>4.5327999999999999</v>
          </cell>
        </row>
        <row r="60">
          <cell r="A60" t="str">
            <v>БОНУС_1721-Сосиски Вязанка Сливочные ТМ Стародворские колбасы</v>
          </cell>
          <cell r="C60">
            <v>-44.347000000000001</v>
          </cell>
          <cell r="D60">
            <v>80.31</v>
          </cell>
          <cell r="E60">
            <v>53.234999999999999</v>
          </cell>
          <cell r="G60">
            <v>0</v>
          </cell>
          <cell r="I60" t="str">
            <v>бонус</v>
          </cell>
          <cell r="J60" t="str">
            <v>1721-Сосиски Вязанка Сливочные ТМ Стародворские колбасы</v>
          </cell>
          <cell r="L60">
            <v>53.234999999999999</v>
          </cell>
          <cell r="Q60">
            <v>10.647</v>
          </cell>
        </row>
        <row r="61">
          <cell r="A61" t="str">
            <v>БОНУС_1867-Колбаса Филейная ТМ Особый рецепт в оболочке полиамид большой батон.  ПОКОМ</v>
          </cell>
          <cell r="B61" t="str">
            <v>кг</v>
          </cell>
          <cell r="C61">
            <v>-219.68600000000001</v>
          </cell>
          <cell r="D61">
            <v>227.142</v>
          </cell>
          <cell r="E61">
            <v>113.569</v>
          </cell>
          <cell r="G61">
            <v>0</v>
          </cell>
          <cell r="I61" t="str">
            <v>бонус</v>
          </cell>
          <cell r="J61" t="str">
            <v>1867-Колбаса Филейная ТМ Особый рецепт в оболочке полиамид большой батон.  ПОКОМ</v>
          </cell>
          <cell r="L61">
            <v>113.569</v>
          </cell>
          <cell r="Q61">
            <v>22.713799999999999</v>
          </cell>
        </row>
        <row r="62">
          <cell r="A62" t="str">
            <v>БОНУС_1869-Колбаса Молочная ТМ Особый рецепт в оболочке полиамид большой батон.  ПОКОМ</v>
          </cell>
          <cell r="B62" t="str">
            <v>кг</v>
          </cell>
          <cell r="C62">
            <v>-213.01</v>
          </cell>
          <cell r="D62">
            <v>242.64099999999999</v>
          </cell>
          <cell r="E62">
            <v>64.450999999999993</v>
          </cell>
          <cell r="G62">
            <v>0</v>
          </cell>
          <cell r="I62" t="str">
            <v>бонус</v>
          </cell>
          <cell r="J62" t="str">
            <v>1869-Колбаса Молочная ТМ Особый рецепт в оболочке полиамид большой батон.  ПОКОМ</v>
          </cell>
          <cell r="L62">
            <v>64.450999999999993</v>
          </cell>
          <cell r="Q62">
            <v>12.890199999999998</v>
          </cell>
        </row>
        <row r="63">
          <cell r="A63" t="str">
            <v>БОНУС_1870-Колбаса Со шпиком ТМ Особый рецепт в оболочке полиамид большой батон.  ПОКОМ</v>
          </cell>
          <cell r="B63" t="str">
            <v>кг</v>
          </cell>
          <cell r="C63">
            <v>-162.709</v>
          </cell>
          <cell r="D63">
            <v>192.75800000000001</v>
          </cell>
          <cell r="E63">
            <v>70.228999999999999</v>
          </cell>
          <cell r="G63">
            <v>0</v>
          </cell>
          <cell r="I63" t="str">
            <v>бонус</v>
          </cell>
          <cell r="J63" t="str">
            <v>1870-Колбаса Со шпиком ТМ Особый рецепт в оболочке полиамид большой батон.  ПОКОМ</v>
          </cell>
          <cell r="L63">
            <v>70.228999999999999</v>
          </cell>
          <cell r="Q63">
            <v>14.0458</v>
          </cell>
        </row>
        <row r="64">
          <cell r="A64" t="str">
            <v>БОНУС_1871-Колбаса Филейная оригинальная ТМ Особый рецепт в оболочке полиамид 0,4 кг.  ПОКОМ</v>
          </cell>
          <cell r="B64" t="str">
            <v>шт</v>
          </cell>
          <cell r="C64">
            <v>-79</v>
          </cell>
          <cell r="D64">
            <v>92</v>
          </cell>
          <cell r="E64">
            <v>30</v>
          </cell>
          <cell r="G64">
            <v>0</v>
          </cell>
          <cell r="I64" t="str">
            <v>бонус</v>
          </cell>
          <cell r="J64" t="str">
            <v>1871-Колбаса Филейная оригинальная ТМ Особый рецепт в оболочке полиамид 0,4 кг.  ПОКОМ</v>
          </cell>
          <cell r="L64">
            <v>30</v>
          </cell>
          <cell r="Q64">
            <v>6</v>
          </cell>
        </row>
        <row r="65">
          <cell r="A65" t="str">
            <v>БОНУС_1875-Колбаса Филейная оригинальная ТМ Особый рецепт в оболочке полиамид.  ПОКОМ</v>
          </cell>
          <cell r="B65" t="str">
            <v>кг</v>
          </cell>
          <cell r="C65">
            <v>-175.709</v>
          </cell>
          <cell r="D65">
            <v>196.54499999999999</v>
          </cell>
          <cell r="E65">
            <v>85.391999999999996</v>
          </cell>
          <cell r="G65">
            <v>0</v>
          </cell>
          <cell r="I65" t="str">
            <v>бонус</v>
          </cell>
          <cell r="J65" t="str">
            <v>1875-Колбаса Филейная оригинальная ТМ Особый рецепт в оболочке полиамид.  ПОКОМ</v>
          </cell>
          <cell r="L65">
            <v>85.391999999999996</v>
          </cell>
          <cell r="Q65">
            <v>17.078399999999998</v>
          </cell>
        </row>
        <row r="66">
          <cell r="A66" t="str">
            <v>БОНУС_2074-Сосиски Молочные для завтрака Особый рецепт</v>
          </cell>
          <cell r="B66" t="str">
            <v>кг</v>
          </cell>
          <cell r="C66">
            <v>-414.72699999999998</v>
          </cell>
          <cell r="D66">
            <v>479.22899999999998</v>
          </cell>
          <cell r="E66">
            <v>127.979</v>
          </cell>
          <cell r="G66">
            <v>0</v>
          </cell>
          <cell r="I66" t="str">
            <v>бонус</v>
          </cell>
          <cell r="J66" t="str">
            <v>2074-Сосиски Молочные для завтрака Особый рецепт</v>
          </cell>
          <cell r="L66">
            <v>127.979</v>
          </cell>
          <cell r="Q66">
            <v>25.595800000000001</v>
          </cell>
        </row>
        <row r="67">
          <cell r="A67" t="str">
            <v>БОНУС_2205-Сосиски Молочные для завтрака ТМ Особый рецепт 0,4кг</v>
          </cell>
          <cell r="B67" t="str">
            <v>шт</v>
          </cell>
          <cell r="C67">
            <v>-283</v>
          </cell>
          <cell r="D67">
            <v>323</v>
          </cell>
          <cell r="E67">
            <v>91</v>
          </cell>
          <cell r="G67">
            <v>0</v>
          </cell>
          <cell r="I67" t="str">
            <v>бонус</v>
          </cell>
          <cell r="J67" t="str">
            <v>2205-Сосиски Молочные для завтрака ТМ Особый рецепт 0,4кг</v>
          </cell>
          <cell r="L67">
            <v>91</v>
          </cell>
          <cell r="Q67">
            <v>18.2</v>
          </cell>
        </row>
        <row r="68">
          <cell r="A68" t="str">
            <v>БОНУС_2634 Колбаса Дугушка Стародворская ТМ Стародворье ТС Дугушка  ПОКОМ</v>
          </cell>
          <cell r="B68" t="str">
            <v>кг</v>
          </cell>
          <cell r="C68">
            <v>-346.37299999999999</v>
          </cell>
          <cell r="D68">
            <v>384.68400000000003</v>
          </cell>
          <cell r="E68">
            <v>175.512</v>
          </cell>
          <cell r="G68">
            <v>0</v>
          </cell>
          <cell r="I68" t="str">
            <v>бонус</v>
          </cell>
          <cell r="J68" t="str">
            <v>2634 Колбаса Дугушка Стародворская ТМ Стародворье ТС Дугушка  ПОКОМ</v>
          </cell>
          <cell r="L68">
            <v>175.512</v>
          </cell>
          <cell r="Q68">
            <v>35.102400000000003</v>
          </cell>
        </row>
        <row r="69">
          <cell r="A69" t="str">
            <v>БОНУС_Колбаса «Филедворская по-стародворски» Весовой п/а ТМ «Стародворье»  ПОКОМ</v>
          </cell>
          <cell r="B69" t="str">
            <v>кг</v>
          </cell>
          <cell r="C69">
            <v>-27.965</v>
          </cell>
          <cell r="D69">
            <v>27.965</v>
          </cell>
          <cell r="G69">
            <v>0</v>
          </cell>
          <cell r="I69" t="str">
            <v>???</v>
          </cell>
          <cell r="L69">
            <v>0</v>
          </cell>
          <cell r="Q69">
            <v>0</v>
          </cell>
        </row>
        <row r="70">
          <cell r="A70" t="str">
            <v>БОНУС_С/к колбасы Швейцарская Бордо Фикс.вес 0,17 Фиброуз терм/п Стародворье</v>
          </cell>
          <cell r="B70" t="str">
            <v>шт</v>
          </cell>
          <cell r="C70">
            <v>-47</v>
          </cell>
          <cell r="D70">
            <v>48</v>
          </cell>
          <cell r="E70">
            <v>40</v>
          </cell>
          <cell r="G70">
            <v>0</v>
          </cell>
          <cell r="I70" t="str">
            <v>бонус</v>
          </cell>
          <cell r="J70" t="str">
            <v>С/к колбасы Швейцарская Бордо Фикс.вес 0,17 Фиброуз терм/п Стародворье</v>
          </cell>
          <cell r="L70">
            <v>40</v>
          </cell>
          <cell r="Q70">
            <v>8</v>
          </cell>
        </row>
        <row r="71">
          <cell r="A71" t="str">
            <v>Сосиски «Ганноверские» Фикс.вес 0,5 П/а мгс ТМ «Стародворье»</v>
          </cell>
          <cell r="I71" t="str">
            <v>SU003333</v>
          </cell>
          <cell r="S71">
            <v>5</v>
          </cell>
        </row>
        <row r="72">
          <cell r="A72" t="str">
            <v>Сервелат Филедворский  350 г</v>
          </cell>
          <cell r="I72" t="str">
            <v>SU002617</v>
          </cell>
          <cell r="S72">
            <v>5</v>
          </cell>
        </row>
        <row r="73">
          <cell r="A73" t="str">
            <v>Колбаса полукопченая Кракушка  Фасовка: 280 г </v>
          </cell>
          <cell r="I73" t="str">
            <v>SU002252</v>
          </cell>
          <cell r="S73">
            <v>5</v>
          </cell>
        </row>
        <row r="74">
          <cell r="A74" t="str">
            <v>Сосиски Ганноверские 1.350 г   </v>
          </cell>
          <cell r="I74" t="str">
            <v>SU001340</v>
          </cell>
          <cell r="S74">
            <v>5</v>
          </cell>
        </row>
        <row r="75">
          <cell r="A75" t="str">
            <v>Сосиски «Сочинки Сливочные» Фикс.вес 0,4 п/а мгс ТМ «Стародворье»</v>
          </cell>
          <cell r="I75" t="str">
            <v>SU002844</v>
          </cell>
          <cell r="S75">
            <v>5</v>
          </cell>
        </row>
        <row r="76">
          <cell r="A76" t="str">
            <v>Вареные колбасы Докторская ГОСТ Золоченная в печи Весовые ц/о в/у Стародворье</v>
          </cell>
          <cell r="I76" t="str">
            <v>SU002201</v>
          </cell>
          <cell r="S76">
            <v>5</v>
          </cell>
        </row>
        <row r="77">
          <cell r="A77" t="str">
            <v>Вареные колбасы «Филедворская со шпиком по-стародворски» Весовой п/а ТМ «Стародворье»</v>
          </cell>
          <cell r="I77" t="str">
            <v>SU003391</v>
          </cell>
          <cell r="S77">
            <v>5</v>
          </cell>
        </row>
        <row r="78">
          <cell r="A78" t="str">
            <v>Сосиски Сочинки по-баварски Бавария Фикс.вес 0,4 П/а мгс Стародворье</v>
          </cell>
          <cell r="I78" t="str">
            <v>SU002799</v>
          </cell>
          <cell r="S78">
            <v>5</v>
          </cell>
        </row>
        <row r="79">
          <cell r="A79" t="str">
            <v>Сосиски «Венские» ф/в 0,6 п/а ТМ «Стародворье»</v>
          </cell>
          <cell r="I79" t="str">
            <v>SU003340</v>
          </cell>
          <cell r="S79">
            <v>5</v>
          </cell>
        </row>
        <row r="80">
          <cell r="A80" t="str">
            <v>В/к колбасы Зернистый Бордо Весовые Фиброуз в/у Стародворье</v>
          </cell>
          <cell r="I80" t="str">
            <v>SU001820</v>
          </cell>
          <cell r="S80">
            <v>5</v>
          </cell>
        </row>
        <row r="81">
          <cell r="A81" t="str">
            <v>Сардельки «Шпикачки Стародворские» Весовой NDX ТМ «Стародворье»</v>
          </cell>
          <cell r="I81" t="str">
            <v>SU001430</v>
          </cell>
          <cell r="S81">
            <v>5</v>
          </cell>
        </row>
        <row r="82">
          <cell r="A82" t="str">
            <v>Сардельки «Стародворские с говядиной» Весовые NDX ТМ «Стародворье»</v>
          </cell>
          <cell r="I82" t="str">
            <v>SU000227</v>
          </cell>
          <cell r="S82">
            <v>5</v>
          </cell>
        </row>
        <row r="83">
          <cell r="A83" t="str">
            <v>Вареные колбасы «Дугушка со шпиком» Весовой Вектор ТМ «Дугушка»</v>
          </cell>
          <cell r="F83" t="str">
            <v>нет в бланке</v>
          </cell>
          <cell r="I83" t="str">
            <v>P004406</v>
          </cell>
          <cell r="S83">
            <v>5</v>
          </cell>
        </row>
        <row r="84">
          <cell r="A84" t="str">
            <v>Колбаса полукопченая Мясорубская  Фасовка: 280 г  </v>
          </cell>
          <cell r="I84" t="str">
            <v>SU003046</v>
          </cell>
          <cell r="S84">
            <v>5</v>
          </cell>
        </row>
        <row r="85">
          <cell r="A85" t="str">
            <v>Вареные колбасы Классическая Вязанка Фикс.вес 0,6 Вектор Вязанка</v>
          </cell>
          <cell r="I85" t="str">
            <v>SU002674</v>
          </cell>
          <cell r="S85">
            <v>5</v>
          </cell>
        </row>
        <row r="86">
          <cell r="A86" t="str">
            <v>Сосиски «Молокуши» ф/в 0,45 п/а мгс ТМ «Вязанка»</v>
          </cell>
          <cell r="I86" t="str">
            <v>SU001718</v>
          </cell>
          <cell r="S86">
            <v>5</v>
          </cell>
        </row>
        <row r="87">
          <cell r="A87" t="str">
            <v>Вареные колбасы Сливушка Вязанка Фикс.вес 0,75 П/а Вязанка</v>
          </cell>
          <cell r="I87" t="str">
            <v>SU002827</v>
          </cell>
          <cell r="S87">
            <v>5</v>
          </cell>
        </row>
        <row r="88">
          <cell r="A88" t="str">
            <v>Сардельки «Сливушки» фикс.вес 0,33 п/а мгс ТМ «Вязанка»</v>
          </cell>
          <cell r="I88" t="str">
            <v>SU002367</v>
          </cell>
          <cell r="S88">
            <v>5</v>
          </cell>
        </row>
        <row r="89">
          <cell r="A89" t="str">
            <v>Сардельки «Сливушки  0.33  </v>
          </cell>
          <cell r="I89" t="str">
            <v>P003465</v>
          </cell>
          <cell r="S89">
            <v>5</v>
          </cell>
        </row>
        <row r="90">
          <cell r="A90" t="str">
            <v>Вареные колбасы «Филедворская со шпиком по-стародворски» Весовой п/а ТМ «Стародворье»</v>
          </cell>
          <cell r="I90" t="str">
            <v>SU003391</v>
          </cell>
          <cell r="S90">
            <v>5</v>
          </cell>
        </row>
        <row r="91">
          <cell r="A91" t="str">
            <v>Копченые колбасы «Салями Филейбургская зернистая» Весовой фиброуз ТМ «Баварушка»</v>
          </cell>
          <cell r="I91" t="str">
            <v>SU002614</v>
          </cell>
          <cell r="S91">
            <v>5</v>
          </cell>
        </row>
        <row r="92">
          <cell r="A92" t="str">
            <v>В/к колбасы Сервелат Филейбургский с филе сочного окорока срез Филейбургская Фикс.вес 0,35 Фиброуз в/у Баварушка</v>
          </cell>
          <cell r="I92" t="str">
            <v>SU002606</v>
          </cell>
          <cell r="S92">
            <v>5</v>
          </cell>
        </row>
        <row r="97">
          <cell r="A97" t="str">
            <v>Вареные колбасы «Дугушка со шпиком» Весовой Вектор ТМ «Дугушка»</v>
          </cell>
          <cell r="F97" t="str">
            <v>нет в бланке</v>
          </cell>
          <cell r="I97" t="str">
            <v>P004406</v>
          </cell>
        </row>
        <row r="98">
          <cell r="A98" t="str">
            <v>Сардельки «Сливушки  0.33  </v>
          </cell>
          <cell r="I98" t="str">
            <v>P003465</v>
          </cell>
          <cell r="O98" t="str">
            <v>SU002367</v>
          </cell>
          <cell r="P98" t="str">
            <v>P002644</v>
          </cell>
          <cell r="Q98">
            <v>4301060317</v>
          </cell>
          <cell r="R98">
            <v>4680115880238</v>
          </cell>
          <cell r="S98" t="str">
            <v>Сардельки «Сливушки» фикс.вес 0,33 п/а мгс ТМ «Вязанка»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>
        <row r="1">
          <cell r="D1" t="str">
            <v xml:space="preserve">  БЛАНК ЗАКАЗА </v>
          </cell>
          <cell r="G1" t="str">
            <v>КИ</v>
          </cell>
          <cell r="H1" t="str">
            <v>на отгрузку продукции с ООО Трейд-Сервис с</v>
          </cell>
          <cell r="R1" t="str">
            <v>29.12.2025</v>
          </cell>
        </row>
        <row r="2">
          <cell r="A2" t="str">
            <v>бланк создан</v>
          </cell>
          <cell r="B2" t="str">
            <v>25.12.2025</v>
          </cell>
          <cell r="P2" t="str">
            <v/>
          </cell>
        </row>
        <row r="3">
          <cell r="B3" t="str">
            <v>-поле, обязательное к заполнению</v>
          </cell>
          <cell r="F3" t="str">
            <v>-поля, не обязательные к заполнению</v>
          </cell>
        </row>
        <row r="5">
          <cell r="A5" t="str">
            <v xml:space="preserve">Ваш контактный телефон и имя: </v>
          </cell>
          <cell r="F5" t="str">
            <v>Комментарий к заказу:</v>
          </cell>
          <cell r="P5" t="str">
            <v>Дата загрузки</v>
          </cell>
          <cell r="Q5">
            <v>46020</v>
          </cell>
          <cell r="T5" t="str">
            <v>Способ доставки (доставка/самовывоз)</v>
          </cell>
          <cell r="V5" t="str">
            <v>Самовывоз</v>
          </cell>
        </row>
        <row r="6">
          <cell r="A6" t="str">
            <v>Адрес доставки:</v>
          </cell>
          <cell r="D6" t="str">
            <v>MOS PROD TORG, ООО, 100011, Яшнободский район, Ташкент г, JARQOґRGґON KOґCHASI, 22A-UY</v>
          </cell>
          <cell r="P6" t="str">
            <v>День недели</v>
          </cell>
          <cell r="Q6" t="str">
            <v>Понедельник</v>
          </cell>
          <cell r="T6" t="str">
            <v>Наименование клиента</v>
          </cell>
          <cell r="V6" t="str">
            <v>ОБЩЕСТВО С ОГРАНИЧЕННОЙ ОТВЕТСТВЕННОСТЬЮ "MOS PROD TORG"</v>
          </cell>
        </row>
        <row r="7">
          <cell r="D7" t="str">
            <v>1</v>
          </cell>
        </row>
        <row r="8">
          <cell r="A8" t="str">
            <v>Адрес сдачи груза:</v>
          </cell>
          <cell r="D8" t="str">
            <v>100011, Яшнободский район, Ташкент г, JARQOґRGґON KOґCHASI, 22A-UYUZB</v>
          </cell>
          <cell r="P8" t="str">
            <v>Время загрузки</v>
          </cell>
          <cell r="Q8">
            <v>0.41666666666666669</v>
          </cell>
        </row>
        <row r="9">
          <cell r="A9" t="str">
            <v/>
          </cell>
          <cell r="D9" t="str">
            <v/>
          </cell>
          <cell r="F9" t="str">
            <v/>
          </cell>
          <cell r="H9" t="str">
            <v/>
          </cell>
          <cell r="J9" t="str">
            <v/>
          </cell>
          <cell r="P9" t="str">
            <v>Дата доставки</v>
          </cell>
        </row>
        <row r="10">
          <cell r="A10" t="str">
            <v/>
          </cell>
          <cell r="F10" t="str">
            <v/>
          </cell>
          <cell r="H10" t="str">
            <v/>
          </cell>
          <cell r="P10" t="str">
            <v>Время доставки</v>
          </cell>
          <cell r="U10" t="str">
            <v>КОД Аксапты Клиента</v>
          </cell>
          <cell r="V10" t="str">
            <v>592056</v>
          </cell>
        </row>
        <row r="11">
          <cell r="A11" t="str">
            <v>Справочная информация:</v>
          </cell>
          <cell r="P11" t="str">
            <v>Время доставки 2 машины</v>
          </cell>
          <cell r="U11" t="str">
            <v>Тип заказа</v>
          </cell>
          <cell r="V11" t="str">
            <v>Основной заказ</v>
          </cell>
        </row>
        <row r="12">
          <cell r="A12" t="str">
            <v>Телефоны для заказов: 8(919)002-63-01  E-mail: kolbasa@abiproduct.ru  Телефон сотрудников склада: 8 (910) 775-52-91</v>
          </cell>
          <cell r="P12" t="str">
            <v>Время доставки 3 машины</v>
          </cell>
          <cell r="U12" t="str">
            <v>Инкотермс</v>
          </cell>
          <cell r="V12" t="str">
            <v>EXW</v>
          </cell>
        </row>
        <row r="13">
          <cell r="A13" t="str">
            <v>График приема заказов: Заказы принимаются за ДВА дня до отгрузки Пн-Пт: с 9:00 до 14:00, Суб., Вс. - до 12:00</v>
          </cell>
          <cell r="P13" t="str">
            <v>Время доставки 4 машины</v>
          </cell>
        </row>
        <row r="14">
          <cell r="A14" t="str">
            <v>Телефон менеджера по логистике: 8 (919) 012-30-55 - по вопросам доставки продукции</v>
          </cell>
        </row>
        <row r="15">
          <cell r="A15" t="str">
            <v>Телефон по работе с претензиями/жалобами (WhatSapp): 8 (980) 757-69-93       E-mail: Claims@abiproduct.ru</v>
          </cell>
          <cell r="P15" t="str">
            <v>Кликните на продукт, чтобы просмотреть изображение</v>
          </cell>
        </row>
        <row r="17">
          <cell r="A17" t="str">
            <v>Код единицы продаж</v>
          </cell>
          <cell r="B17" t="str">
            <v>Код продукта</v>
          </cell>
          <cell r="C17" t="str">
            <v>Номер варианта</v>
          </cell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Коробов в слое</v>
          </cell>
          <cell r="L17" t="str">
            <v>Квант заказа</v>
          </cell>
          <cell r="M17" t="str">
            <v>Завод</v>
          </cell>
          <cell r="N17" t="str">
            <v>Внешний код номенклатуры</v>
          </cell>
          <cell r="O17" t="str">
            <v>Срок годности, сут.</v>
          </cell>
          <cell r="P17" t="str">
            <v>Наименование</v>
          </cell>
          <cell r="U17" t="str">
            <v>Доступно к отгрузке</v>
          </cell>
          <cell r="W17" t="str">
            <v>Ед. изм.</v>
          </cell>
          <cell r="X17" t="str">
            <v>Заказ</v>
          </cell>
          <cell r="Y17" t="str">
            <v>Заказ с округлением до короба</v>
          </cell>
          <cell r="Z17" t="str">
            <v>Объём заказа, м3</v>
          </cell>
        </row>
        <row r="18">
          <cell r="U18" t="str">
            <v>начиная с</v>
          </cell>
          <cell r="V18" t="str">
            <v>до</v>
          </cell>
        </row>
        <row r="19">
          <cell r="A19" t="str">
            <v>Ядрена копоть</v>
          </cell>
        </row>
        <row r="20">
          <cell r="A20" t="str">
            <v>Ядрена копоть</v>
          </cell>
        </row>
        <row r="21">
          <cell r="A21" t="str">
            <v>Сырокопченые колбасы</v>
          </cell>
        </row>
        <row r="22">
          <cell r="A22" t="str">
            <v>SU002050</v>
          </cell>
          <cell r="B22" t="str">
            <v>P002188</v>
          </cell>
          <cell r="C22">
            <v>4301032013</v>
          </cell>
          <cell r="D22">
            <v>4607091388503</v>
          </cell>
          <cell r="F22">
            <v>0.05</v>
          </cell>
          <cell r="G22">
            <v>12</v>
          </cell>
          <cell r="H22">
            <v>0.6</v>
          </cell>
          <cell r="I22">
            <v>0.82199999999999995</v>
          </cell>
          <cell r="J22">
            <v>182</v>
          </cell>
          <cell r="K22" t="str">
            <v>14</v>
          </cell>
          <cell r="L22" t="str">
            <v/>
          </cell>
          <cell r="M22" t="str">
            <v>АК</v>
          </cell>
          <cell r="O22">
            <v>120</v>
          </cell>
          <cell r="P22" t="str">
            <v>С/к колбасы Мини-салями во вкусом бекона Ядрена копоть Фикс.вес 0,05 б/о Ядрена копоть</v>
          </cell>
          <cell r="U22" t="str">
            <v/>
          </cell>
          <cell r="V22" t="str">
            <v/>
          </cell>
          <cell r="W22" t="str">
            <v>кг</v>
          </cell>
          <cell r="X22">
            <v>0</v>
          </cell>
          <cell r="Y22">
            <v>0</v>
          </cell>
          <cell r="Z22" t="str">
            <v/>
          </cell>
        </row>
        <row r="23">
          <cell r="P23" t="str">
            <v>Итого</v>
          </cell>
          <cell r="W23" t="str">
            <v>кор</v>
          </cell>
          <cell r="X23">
            <v>0</v>
          </cell>
          <cell r="Y23">
            <v>0</v>
          </cell>
          <cell r="Z23">
            <v>0</v>
          </cell>
        </row>
        <row r="24">
          <cell r="P24" t="str">
            <v>Итого</v>
          </cell>
          <cell r="W24" t="str">
            <v>кг</v>
          </cell>
          <cell r="X24">
            <v>0</v>
          </cell>
          <cell r="Y24">
            <v>0</v>
          </cell>
        </row>
        <row r="25">
          <cell r="A25" t="str">
            <v>Вязанка</v>
          </cell>
        </row>
        <row r="26">
          <cell r="A26" t="str">
            <v>ГОСТ</v>
          </cell>
        </row>
        <row r="27">
          <cell r="A27" t="str">
            <v>Вареные колбасы</v>
          </cell>
        </row>
        <row r="28">
          <cell r="A28" t="str">
            <v>SU000722</v>
          </cell>
          <cell r="B28" t="str">
            <v>P003011</v>
          </cell>
          <cell r="C28">
            <v>4301011380</v>
          </cell>
          <cell r="D28">
            <v>4607091385670</v>
          </cell>
          <cell r="F28">
            <v>1.35</v>
          </cell>
          <cell r="G28">
            <v>8</v>
          </cell>
          <cell r="H28">
            <v>10.8</v>
          </cell>
          <cell r="I28">
            <v>11.21</v>
          </cell>
          <cell r="J28">
            <v>64</v>
          </cell>
          <cell r="K28" t="str">
            <v>8</v>
          </cell>
          <cell r="L28" t="str">
            <v/>
          </cell>
          <cell r="M28" t="str">
            <v>СК1</v>
          </cell>
          <cell r="O28">
            <v>50</v>
          </cell>
          <cell r="P28" t="str">
            <v>Вареные колбасы Докторская ГОСТ Вязанка Весовые Вектор Вязанка</v>
          </cell>
          <cell r="U28" t="str">
            <v/>
          </cell>
          <cell r="V28" t="str">
            <v/>
          </cell>
          <cell r="W28" t="str">
            <v>кг</v>
          </cell>
          <cell r="X28">
            <v>0</v>
          </cell>
          <cell r="Y28">
            <v>0</v>
          </cell>
          <cell r="Z28" t="str">
            <v/>
          </cell>
        </row>
        <row r="29">
          <cell r="A29" t="str">
            <v>SU001485</v>
          </cell>
          <cell r="B29" t="str">
            <v>P003008</v>
          </cell>
          <cell r="C29">
            <v>4301011382</v>
          </cell>
          <cell r="D29">
            <v>4607091385687</v>
          </cell>
          <cell r="F29">
            <v>0.4</v>
          </cell>
          <cell r="G29">
            <v>10</v>
          </cell>
          <cell r="H29">
            <v>4</v>
          </cell>
          <cell r="I29">
            <v>4.1900000000000004</v>
          </cell>
          <cell r="J29">
            <v>132</v>
          </cell>
          <cell r="K29" t="str">
            <v>12</v>
          </cell>
          <cell r="L29" t="str">
            <v/>
          </cell>
          <cell r="M29" t="str">
            <v>СК3</v>
          </cell>
          <cell r="O29">
            <v>50</v>
          </cell>
          <cell r="P29" t="str">
            <v>Вареные колбасы Докторская ГОСТ Вязанка Фикс.вес 0,4 Вектор Вязанка</v>
          </cell>
          <cell r="U29" t="str">
            <v/>
          </cell>
          <cell r="V29" t="str">
            <v/>
          </cell>
          <cell r="W29" t="str">
            <v>кг</v>
          </cell>
          <cell r="X29">
            <v>0</v>
          </cell>
          <cell r="Y29">
            <v>0</v>
          </cell>
          <cell r="Z29" t="str">
            <v/>
          </cell>
        </row>
        <row r="30">
          <cell r="A30" t="str">
            <v>SU002986</v>
          </cell>
          <cell r="B30" t="str">
            <v>P003429</v>
          </cell>
          <cell r="C30">
            <v>4301011565</v>
          </cell>
          <cell r="D30">
            <v>4680115882539</v>
          </cell>
          <cell r="F30">
            <v>0.37</v>
          </cell>
          <cell r="G30">
            <v>10</v>
          </cell>
          <cell r="H30">
            <v>3.7</v>
          </cell>
          <cell r="I30">
            <v>3.89</v>
          </cell>
          <cell r="J30">
            <v>132</v>
          </cell>
          <cell r="K30" t="str">
            <v>12</v>
          </cell>
          <cell r="L30" t="str">
            <v/>
          </cell>
          <cell r="M30" t="str">
            <v>СК3</v>
          </cell>
          <cell r="O30">
            <v>50</v>
          </cell>
          <cell r="P30" t="str">
            <v>Вареные колбасы «Докторская ГОСТ» Фикс.вес 0,37 п/а ТМ «Вязанка»</v>
          </cell>
          <cell r="U30" t="str">
            <v/>
          </cell>
          <cell r="V30" t="str">
            <v/>
          </cell>
          <cell r="W30" t="str">
            <v>кг</v>
          </cell>
          <cell r="X30">
            <v>0</v>
          </cell>
          <cell r="Y30">
            <v>0</v>
          </cell>
          <cell r="Z30" t="str">
            <v/>
          </cell>
        </row>
        <row r="31">
          <cell r="P31" t="str">
            <v>Итого</v>
          </cell>
          <cell r="W31" t="str">
            <v>кор</v>
          </cell>
          <cell r="X31">
            <v>0</v>
          </cell>
          <cell r="Y31">
            <v>0</v>
          </cell>
          <cell r="Z31">
            <v>0</v>
          </cell>
        </row>
        <row r="32">
          <cell r="P32" t="str">
            <v>Итого</v>
          </cell>
          <cell r="W32" t="str">
            <v>кг</v>
          </cell>
          <cell r="X32">
            <v>0</v>
          </cell>
          <cell r="Y32">
            <v>0</v>
          </cell>
        </row>
        <row r="33">
          <cell r="A33" t="str">
            <v>Филейская</v>
          </cell>
        </row>
        <row r="34">
          <cell r="A34" t="str">
            <v>Вареные колбасы</v>
          </cell>
        </row>
        <row r="35">
          <cell r="A35" t="str">
            <v>SU003642</v>
          </cell>
          <cell r="B35" t="str">
            <v>P004621</v>
          </cell>
          <cell r="C35">
            <v>4301012030</v>
          </cell>
          <cell r="D35">
            <v>4680115885882</v>
          </cell>
          <cell r="F35">
            <v>1.4</v>
          </cell>
          <cell r="G35">
            <v>8</v>
          </cell>
          <cell r="H35">
            <v>11.2</v>
          </cell>
          <cell r="I35">
            <v>11.61</v>
          </cell>
          <cell r="J35">
            <v>64</v>
          </cell>
          <cell r="K35" t="str">
            <v>8</v>
          </cell>
          <cell r="L35" t="str">
            <v/>
          </cell>
          <cell r="M35" t="str">
            <v>СК3</v>
          </cell>
          <cell r="O35">
            <v>50</v>
          </cell>
          <cell r="P35" t="str">
            <v>Вареные колбасы «Филейская со шпиком» Весовые п/а ТМ «Вязанка»</v>
          </cell>
          <cell r="U35" t="str">
            <v/>
          </cell>
          <cell r="V35" t="str">
            <v/>
          </cell>
          <cell r="W35" t="str">
            <v>кг</v>
          </cell>
          <cell r="X35">
            <v>0</v>
          </cell>
          <cell r="Y35">
            <v>0</v>
          </cell>
          <cell r="Z35" t="str">
            <v/>
          </cell>
        </row>
        <row r="36">
          <cell r="A36" t="str">
            <v>SU002829</v>
          </cell>
          <cell r="B36" t="str">
            <v>P003235</v>
          </cell>
          <cell r="C36">
            <v>4301011816</v>
          </cell>
          <cell r="D36">
            <v>4680115881426</v>
          </cell>
          <cell r="F36">
            <v>1.35</v>
          </cell>
          <cell r="G36">
            <v>8</v>
          </cell>
          <cell r="H36">
            <v>10.8</v>
          </cell>
          <cell r="I36">
            <v>11.21</v>
          </cell>
          <cell r="J36">
            <v>64</v>
          </cell>
          <cell r="K36" t="str">
            <v>8</v>
          </cell>
          <cell r="L36" t="str">
            <v/>
          </cell>
          <cell r="M36" t="str">
            <v>СК1</v>
          </cell>
          <cell r="O36">
            <v>50</v>
          </cell>
          <cell r="P36" t="str">
            <v>Вареные колбасы «Филейская» Весовые Вектор ТМ «Вязанка»</v>
          </cell>
          <cell r="U36" t="str">
            <v/>
          </cell>
          <cell r="V36" t="str">
            <v/>
          </cell>
          <cell r="W36" t="str">
            <v>кг</v>
          </cell>
          <cell r="X36">
            <v>0</v>
          </cell>
          <cell r="Y36">
            <v>0</v>
          </cell>
          <cell r="Z36" t="str">
            <v/>
          </cell>
        </row>
        <row r="37">
          <cell r="A37" t="str">
            <v>SU002674</v>
          </cell>
          <cell r="B37" t="str">
            <v>P003045</v>
          </cell>
          <cell r="C37">
            <v>4301011386</v>
          </cell>
          <cell r="D37">
            <v>4680115880283</v>
          </cell>
          <cell r="F37">
            <v>0.6</v>
          </cell>
          <cell r="G37">
            <v>8</v>
          </cell>
          <cell r="H37">
            <v>4.8</v>
          </cell>
          <cell r="I37">
            <v>4.99</v>
          </cell>
          <cell r="J37">
            <v>132</v>
          </cell>
          <cell r="K37" t="str">
            <v>12</v>
          </cell>
          <cell r="L37" t="str">
            <v/>
          </cell>
          <cell r="M37" t="str">
            <v>СК1</v>
          </cell>
          <cell r="O37">
            <v>45</v>
          </cell>
          <cell r="P37" t="str">
            <v>Вареные колбасы Классическая Вязанка Фикс.вес 0,6 Вектор Вязанка</v>
          </cell>
          <cell r="U37" t="str">
            <v/>
          </cell>
          <cell r="V37" t="str">
            <v/>
          </cell>
          <cell r="W37" t="str">
            <v>кг</v>
          </cell>
          <cell r="X37">
            <v>0</v>
          </cell>
          <cell r="Y37">
            <v>0</v>
          </cell>
          <cell r="Z37" t="str">
            <v/>
          </cell>
        </row>
        <row r="38">
          <cell r="A38" t="str">
            <v>SU002831</v>
          </cell>
          <cell r="B38" t="str">
            <v>P003243</v>
          </cell>
          <cell r="C38">
            <v>4301011806</v>
          </cell>
          <cell r="D38">
            <v>4680115881525</v>
          </cell>
          <cell r="F38">
            <v>0.4</v>
          </cell>
          <cell r="G38">
            <v>10</v>
          </cell>
          <cell r="H38">
            <v>4</v>
          </cell>
          <cell r="I38">
            <v>4.1900000000000004</v>
          </cell>
          <cell r="J38">
            <v>132</v>
          </cell>
          <cell r="K38" t="str">
            <v>12</v>
          </cell>
          <cell r="L38" t="str">
            <v/>
          </cell>
          <cell r="M38" t="str">
            <v>СК1</v>
          </cell>
          <cell r="O38">
            <v>50</v>
          </cell>
          <cell r="P38" t="str">
            <v>Колбаса вареная Филейская ТМ Вязанка ТС Классическая полиамид ф/в 0,4 кг</v>
          </cell>
          <cell r="U38" t="str">
            <v/>
          </cell>
          <cell r="V38" t="str">
            <v/>
          </cell>
          <cell r="W38" t="str">
            <v>кг</v>
          </cell>
          <cell r="X38">
            <v>0</v>
          </cell>
          <cell r="Y38">
            <v>0</v>
          </cell>
          <cell r="Z38" t="str">
            <v/>
          </cell>
        </row>
        <row r="39">
          <cell r="A39" t="str">
            <v>SU003033</v>
          </cell>
          <cell r="B39" t="str">
            <v>P003578</v>
          </cell>
          <cell r="C39">
            <v>4301011589</v>
          </cell>
          <cell r="D39">
            <v>4680115885899</v>
          </cell>
          <cell r="F39">
            <v>0.35</v>
          </cell>
          <cell r="G39">
            <v>6</v>
          </cell>
          <cell r="H39">
            <v>2.1</v>
          </cell>
          <cell r="I39">
            <v>2.2799999999999998</v>
          </cell>
          <cell r="J39">
            <v>182</v>
          </cell>
          <cell r="K39" t="str">
            <v>14</v>
          </cell>
          <cell r="L39" t="str">
            <v/>
          </cell>
          <cell r="M39" t="str">
            <v>СК4</v>
          </cell>
          <cell r="O39">
            <v>50</v>
          </cell>
          <cell r="P39" t="str">
            <v>Вареные колбасы «Филейская со шпиком» ф/в 0,35 п/а ТМ «Вязанка»</v>
          </cell>
          <cell r="U39" t="str">
            <v/>
          </cell>
          <cell r="V39" t="str">
            <v/>
          </cell>
          <cell r="W39" t="str">
            <v>кг</v>
          </cell>
          <cell r="X39">
            <v>0</v>
          </cell>
          <cell r="Y39">
            <v>0</v>
          </cell>
          <cell r="Z39" t="str">
            <v/>
          </cell>
        </row>
        <row r="40">
          <cell r="A40" t="str">
            <v>SU002815</v>
          </cell>
          <cell r="B40" t="str">
            <v>P003227</v>
          </cell>
          <cell r="C40">
            <v>4301011801</v>
          </cell>
          <cell r="D40">
            <v>4680115881419</v>
          </cell>
          <cell r="F40">
            <v>0.45</v>
          </cell>
          <cell r="G40">
            <v>10</v>
          </cell>
          <cell r="H40">
            <v>4.5</v>
          </cell>
          <cell r="I40">
            <v>4.6900000000000004</v>
          </cell>
          <cell r="J40">
            <v>132</v>
          </cell>
          <cell r="K40" t="str">
            <v>12</v>
          </cell>
          <cell r="L40" t="str">
            <v/>
          </cell>
          <cell r="M40" t="str">
            <v>СК1</v>
          </cell>
          <cell r="O40">
            <v>50</v>
          </cell>
          <cell r="P40" t="str">
            <v>Вареные колбасы «Филейская» Фикс.вес 0,45 Вектор ТМ «Вязанка»</v>
          </cell>
          <cell r="U40" t="str">
            <v/>
          </cell>
          <cell r="V40" t="str">
            <v/>
          </cell>
          <cell r="W40" t="str">
            <v>кг</v>
          </cell>
          <cell r="X40">
            <v>0</v>
          </cell>
          <cell r="Y40">
            <v>0</v>
          </cell>
          <cell r="Z40" t="str">
            <v/>
          </cell>
        </row>
        <row r="41">
          <cell r="P41" t="str">
            <v>Итого</v>
          </cell>
          <cell r="W41" t="str">
            <v>кор</v>
          </cell>
          <cell r="X41">
            <v>0</v>
          </cell>
          <cell r="Y41">
            <v>0</v>
          </cell>
          <cell r="Z41">
            <v>0</v>
          </cell>
        </row>
        <row r="42">
          <cell r="P42" t="str">
            <v>Итого</v>
          </cell>
          <cell r="W42" t="str">
            <v>кг</v>
          </cell>
          <cell r="X42">
            <v>0</v>
          </cell>
          <cell r="Y42">
            <v>0</v>
          </cell>
        </row>
        <row r="43">
          <cell r="A43" t="str">
            <v>Ветчины</v>
          </cell>
        </row>
        <row r="44">
          <cell r="A44" t="str">
            <v>SU002828</v>
          </cell>
          <cell r="B44" t="str">
            <v>P003234</v>
          </cell>
          <cell r="C44">
            <v>4301020298</v>
          </cell>
          <cell r="D44">
            <v>4680115881440</v>
          </cell>
          <cell r="F44">
            <v>1.35</v>
          </cell>
          <cell r="G44">
            <v>8</v>
          </cell>
          <cell r="H44">
            <v>10.8</v>
          </cell>
          <cell r="I44">
            <v>11.21</v>
          </cell>
          <cell r="J44">
            <v>64</v>
          </cell>
          <cell r="K44" t="str">
            <v>8</v>
          </cell>
          <cell r="L44" t="str">
            <v/>
          </cell>
          <cell r="M44" t="str">
            <v>СК1</v>
          </cell>
          <cell r="O44">
            <v>50</v>
          </cell>
          <cell r="P44" t="str">
            <v>Ветчины «Филейская» Весовые Вектор ТМ «Вязанка»</v>
          </cell>
          <cell r="U44" t="str">
            <v/>
          </cell>
          <cell r="V44" t="str">
            <v/>
          </cell>
          <cell r="W44" t="str">
            <v>кг</v>
          </cell>
          <cell r="X44">
            <v>0</v>
          </cell>
          <cell r="Y44">
            <v>0</v>
          </cell>
          <cell r="Z44" t="str">
            <v/>
          </cell>
        </row>
        <row r="45">
          <cell r="A45" t="str">
            <v>SU003689</v>
          </cell>
          <cell r="B45" t="str">
            <v>P004676</v>
          </cell>
          <cell r="C45">
            <v>4301020358</v>
          </cell>
          <cell r="D45">
            <v>4680115885950</v>
          </cell>
          <cell r="F45">
            <v>0.37</v>
          </cell>
          <cell r="G45">
            <v>6</v>
          </cell>
          <cell r="H45">
            <v>2.2200000000000002</v>
          </cell>
          <cell r="I45">
            <v>2.4</v>
          </cell>
          <cell r="J45">
            <v>182</v>
          </cell>
          <cell r="K45" t="str">
            <v>14</v>
          </cell>
          <cell r="L45" t="str">
            <v/>
          </cell>
          <cell r="M45" t="str">
            <v>СК3</v>
          </cell>
          <cell r="O45">
            <v>50</v>
          </cell>
          <cell r="P45" t="str">
            <v>Ветчины «Филейская» ф/в 0,37 п/а ТМ «Вязанка»</v>
          </cell>
          <cell r="U45" t="str">
            <v/>
          </cell>
          <cell r="V45" t="str">
            <v/>
          </cell>
          <cell r="W45" t="str">
            <v>кг</v>
          </cell>
          <cell r="X45">
            <v>0</v>
          </cell>
          <cell r="Y45">
            <v>0</v>
          </cell>
          <cell r="Z45" t="str">
            <v/>
          </cell>
        </row>
        <row r="46">
          <cell r="A46" t="str">
            <v>SU002814</v>
          </cell>
          <cell r="B46" t="str">
            <v>P003226</v>
          </cell>
          <cell r="C46">
            <v>4301020296</v>
          </cell>
          <cell r="D46">
            <v>4680115881433</v>
          </cell>
          <cell r="F46">
            <v>0.45</v>
          </cell>
          <cell r="G46">
            <v>6</v>
          </cell>
          <cell r="H46">
            <v>2.7</v>
          </cell>
          <cell r="I46">
            <v>2.88</v>
          </cell>
          <cell r="J46">
            <v>182</v>
          </cell>
          <cell r="K46" t="str">
            <v>14</v>
          </cell>
          <cell r="L46" t="str">
            <v/>
          </cell>
          <cell r="M46" t="str">
            <v>СК1</v>
          </cell>
          <cell r="O46">
            <v>50</v>
          </cell>
          <cell r="P46" t="str">
            <v>Ветчины «Филейская» Фикс.вес 0,45 Вектор ТМ «Вязанка»</v>
          </cell>
          <cell r="U46" t="str">
            <v/>
          </cell>
          <cell r="V46" t="str">
            <v/>
          </cell>
          <cell r="W46" t="str">
            <v>кг</v>
          </cell>
          <cell r="X46">
            <v>0</v>
          </cell>
          <cell r="Y46">
            <v>0</v>
          </cell>
          <cell r="Z46" t="str">
            <v/>
          </cell>
        </row>
        <row r="47">
          <cell r="P47" t="str">
            <v>Итого</v>
          </cell>
          <cell r="W47" t="str">
            <v>кор</v>
          </cell>
          <cell r="X47">
            <v>0</v>
          </cell>
          <cell r="Y47">
            <v>0</v>
          </cell>
          <cell r="Z47">
            <v>0</v>
          </cell>
        </row>
        <row r="48">
          <cell r="P48" t="str">
            <v>Итого</v>
          </cell>
          <cell r="W48" t="str">
            <v>кг</v>
          </cell>
          <cell r="X48">
            <v>0</v>
          </cell>
          <cell r="Y48">
            <v>0</v>
          </cell>
        </row>
        <row r="49">
          <cell r="A49" t="str">
            <v>Сардельки</v>
          </cell>
        </row>
        <row r="50">
          <cell r="A50" t="str">
            <v>SU002835</v>
          </cell>
          <cell r="B50" t="str">
            <v>P003883</v>
          </cell>
          <cell r="C50">
            <v>4301060455</v>
          </cell>
          <cell r="D50">
            <v>4680115881532</v>
          </cell>
          <cell r="F50">
            <v>1.3</v>
          </cell>
          <cell r="G50">
            <v>6</v>
          </cell>
          <cell r="H50">
            <v>7.8</v>
          </cell>
          <cell r="I50">
            <v>8.2100000000000009</v>
          </cell>
          <cell r="J50">
            <v>64</v>
          </cell>
          <cell r="K50" t="str">
            <v>8</v>
          </cell>
          <cell r="L50" t="str">
            <v/>
          </cell>
          <cell r="M50" t="str">
            <v>СК4</v>
          </cell>
          <cell r="O50">
            <v>30</v>
          </cell>
          <cell r="P50" t="str">
            <v>Сардельки «Филейские» Весовые н/о мгс ТМ «Вязанка»</v>
          </cell>
          <cell r="U50" t="str">
            <v/>
          </cell>
          <cell r="V50" t="str">
            <v/>
          </cell>
          <cell r="W50" t="str">
            <v>кг</v>
          </cell>
          <cell r="X50">
            <v>0</v>
          </cell>
          <cell r="Y50">
            <v>0</v>
          </cell>
          <cell r="Z50" t="str">
            <v/>
          </cell>
        </row>
        <row r="51">
          <cell r="A51" t="str">
            <v>SU002834</v>
          </cell>
          <cell r="B51" t="str">
            <v>P003238</v>
          </cell>
          <cell r="C51">
            <v>4301060351</v>
          </cell>
          <cell r="D51">
            <v>4680115881464</v>
          </cell>
          <cell r="F51">
            <v>0.4</v>
          </cell>
          <cell r="G51">
            <v>6</v>
          </cell>
          <cell r="H51">
            <v>2.4</v>
          </cell>
          <cell r="I51">
            <v>2.59</v>
          </cell>
          <cell r="J51">
            <v>132</v>
          </cell>
          <cell r="K51" t="str">
            <v>12</v>
          </cell>
          <cell r="L51" t="str">
            <v/>
          </cell>
          <cell r="M51" t="str">
            <v>СК3</v>
          </cell>
          <cell r="O51">
            <v>30</v>
          </cell>
          <cell r="P51" t="str">
            <v>Сардельки «Филейские» Фикс.вес 0,4 NDX ТМ «Вязанка»</v>
          </cell>
          <cell r="U51" t="str">
            <v/>
          </cell>
          <cell r="V51" t="str">
            <v/>
          </cell>
          <cell r="W51" t="str">
            <v>кг</v>
          </cell>
          <cell r="X51">
            <v>0</v>
          </cell>
          <cell r="Y51">
            <v>0</v>
          </cell>
          <cell r="Z51" t="str">
            <v/>
          </cell>
        </row>
        <row r="52">
          <cell r="P52" t="str">
            <v>Итого</v>
          </cell>
          <cell r="W52" t="str">
            <v>кор</v>
          </cell>
          <cell r="X52">
            <v>0</v>
          </cell>
          <cell r="Y52">
            <v>0</v>
          </cell>
          <cell r="Z52">
            <v>0</v>
          </cell>
        </row>
        <row r="53">
          <cell r="P53" t="str">
            <v>Итого</v>
          </cell>
          <cell r="W53" t="str">
            <v>кг</v>
          </cell>
          <cell r="X53">
            <v>0</v>
          </cell>
          <cell r="Y53">
            <v>0</v>
          </cell>
        </row>
        <row r="54">
          <cell r="A54" t="str">
            <v>Молокуша</v>
          </cell>
        </row>
        <row r="55">
          <cell r="A55" t="str">
            <v>Вареные колбасы</v>
          </cell>
        </row>
        <row r="56">
          <cell r="A56" t="str">
            <v>SU002830</v>
          </cell>
          <cell r="B56" t="str">
            <v>P003239</v>
          </cell>
          <cell r="C56">
            <v>4301011468</v>
          </cell>
          <cell r="D56">
            <v>4680115881327</v>
          </cell>
          <cell r="F56">
            <v>1.35</v>
          </cell>
          <cell r="G56">
            <v>8</v>
          </cell>
          <cell r="H56">
            <v>10.8</v>
          </cell>
          <cell r="I56">
            <v>11.21</v>
          </cell>
          <cell r="J56">
            <v>64</v>
          </cell>
          <cell r="K56" t="str">
            <v>8</v>
          </cell>
          <cell r="L56" t="str">
            <v/>
          </cell>
          <cell r="M56" t="str">
            <v>СК4</v>
          </cell>
          <cell r="O56">
            <v>50</v>
          </cell>
          <cell r="P56" t="str">
            <v>Вареные колбасы Молокуша Вязанка Вес п/а Вязанка</v>
          </cell>
          <cell r="U56" t="str">
            <v/>
          </cell>
          <cell r="V56" t="str">
            <v/>
          </cell>
          <cell r="W56" t="str">
            <v>кг</v>
          </cell>
          <cell r="X56">
            <v>0</v>
          </cell>
          <cell r="Y56">
            <v>0</v>
          </cell>
          <cell r="Z56" t="str">
            <v/>
          </cell>
        </row>
        <row r="57">
          <cell r="A57" t="str">
            <v>SU002832</v>
          </cell>
          <cell r="B57" t="str">
            <v>P003245</v>
          </cell>
          <cell r="C57">
            <v>4301011476</v>
          </cell>
          <cell r="D57">
            <v>4680115881518</v>
          </cell>
          <cell r="F57">
            <v>0.4</v>
          </cell>
          <cell r="G57">
            <v>10</v>
          </cell>
          <cell r="H57">
            <v>4</v>
          </cell>
          <cell r="I57">
            <v>4.1900000000000004</v>
          </cell>
          <cell r="J57">
            <v>132</v>
          </cell>
          <cell r="K57" t="str">
            <v>12</v>
          </cell>
          <cell r="L57" t="str">
            <v/>
          </cell>
          <cell r="M57" t="str">
            <v>СК3</v>
          </cell>
          <cell r="O57">
            <v>50</v>
          </cell>
          <cell r="P57" t="str">
            <v>Вареные колбасы Молокуша Вязанка Фикс.вес 0,4 п/а Вязанка</v>
          </cell>
          <cell r="U57" t="str">
            <v/>
          </cell>
          <cell r="V57" t="str">
            <v/>
          </cell>
          <cell r="W57" t="str">
            <v>кг</v>
          </cell>
          <cell r="X57">
            <v>0</v>
          </cell>
          <cell r="Y57">
            <v>0</v>
          </cell>
          <cell r="Z57" t="str">
            <v/>
          </cell>
        </row>
        <row r="58">
          <cell r="P58" t="str">
            <v>Итого</v>
          </cell>
          <cell r="W58" t="str">
            <v>кор</v>
          </cell>
          <cell r="X58">
            <v>0</v>
          </cell>
          <cell r="Y58">
            <v>0</v>
          </cell>
          <cell r="Z58">
            <v>0</v>
          </cell>
        </row>
        <row r="59">
          <cell r="P59" t="str">
            <v>Итого</v>
          </cell>
          <cell r="W59" t="str">
            <v>кг</v>
          </cell>
          <cell r="X59">
            <v>0</v>
          </cell>
          <cell r="Y59">
            <v>0</v>
          </cell>
        </row>
        <row r="60">
          <cell r="A60" t="str">
            <v>Сосиски</v>
          </cell>
        </row>
        <row r="61">
          <cell r="A61" t="str">
            <v>SU001523</v>
          </cell>
          <cell r="B61" t="str">
            <v>P003986</v>
          </cell>
          <cell r="C61">
            <v>4301051712</v>
          </cell>
          <cell r="D61">
            <v>4607091386967</v>
          </cell>
          <cell r="F61">
            <v>1.35</v>
          </cell>
          <cell r="G61">
            <v>6</v>
          </cell>
          <cell r="H61">
            <v>8.1</v>
          </cell>
          <cell r="I61">
            <v>8.5939999999999994</v>
          </cell>
          <cell r="J61">
            <v>64</v>
          </cell>
          <cell r="K61" t="str">
            <v>8</v>
          </cell>
          <cell r="L61" t="str">
            <v/>
          </cell>
          <cell r="M61" t="str">
            <v>СК4</v>
          </cell>
          <cell r="O61">
            <v>45</v>
          </cell>
          <cell r="P61" t="str">
            <v>Сосиски «Молокуши (Вязанка Молочные)» Весовой п/а мгс ТМ «Вязанка»</v>
          </cell>
          <cell r="U61" t="str">
            <v/>
          </cell>
          <cell r="V61" t="str">
            <v/>
          </cell>
          <cell r="W61" t="str">
            <v>кг</v>
          </cell>
          <cell r="X61">
            <v>0</v>
          </cell>
          <cell r="Y61">
            <v>0</v>
          </cell>
          <cell r="Z61" t="str">
            <v/>
          </cell>
        </row>
        <row r="62">
          <cell r="A62" t="str">
            <v>SU001718</v>
          </cell>
          <cell r="B62" t="str">
            <v>P003985</v>
          </cell>
          <cell r="C62">
            <v>4301051718</v>
          </cell>
          <cell r="D62">
            <v>4607091385731</v>
          </cell>
          <cell r="F62">
            <v>0.45</v>
          </cell>
          <cell r="G62">
            <v>6</v>
          </cell>
          <cell r="H62">
            <v>2.7</v>
          </cell>
          <cell r="I62">
            <v>2.952</v>
          </cell>
          <cell r="J62">
            <v>182</v>
          </cell>
          <cell r="K62" t="str">
            <v>14</v>
          </cell>
          <cell r="L62" t="str">
            <v/>
          </cell>
          <cell r="M62" t="str">
            <v>СК4</v>
          </cell>
          <cell r="O62">
            <v>45</v>
          </cell>
          <cell r="P62" t="str">
            <v>Сосиски «Молокуши» ф/в 0,45 п/а мгс ТМ «Вязанка»</v>
          </cell>
          <cell r="U62" t="str">
            <v/>
          </cell>
          <cell r="V62" t="str">
            <v/>
          </cell>
          <cell r="W62" t="str">
            <v>кг</v>
          </cell>
          <cell r="X62">
            <v>0</v>
          </cell>
          <cell r="Y62">
            <v>0</v>
          </cell>
          <cell r="Z62" t="str">
            <v/>
          </cell>
        </row>
        <row r="63">
          <cell r="A63" t="str">
            <v>SU002769</v>
          </cell>
          <cell r="B63" t="str">
            <v>P003324</v>
          </cell>
          <cell r="C63">
            <v>4301051438</v>
          </cell>
          <cell r="D63">
            <v>4680115880894</v>
          </cell>
          <cell r="F63">
            <v>0.33</v>
          </cell>
          <cell r="G63">
            <v>6</v>
          </cell>
          <cell r="H63">
            <v>1.98</v>
          </cell>
          <cell r="I63">
            <v>2.238</v>
          </cell>
          <cell r="J63">
            <v>182</v>
          </cell>
          <cell r="K63" t="str">
            <v>14</v>
          </cell>
          <cell r="L63" t="str">
            <v/>
          </cell>
          <cell r="M63" t="str">
            <v>СК3</v>
          </cell>
          <cell r="O63">
            <v>45</v>
          </cell>
          <cell r="P63" t="str">
            <v>Сосиски Молокуши Миникушай Вязанка фикс.вес 0,33 п/а Вязанка</v>
          </cell>
          <cell r="U63" t="str">
            <v/>
          </cell>
          <cell r="V63" t="str">
            <v/>
          </cell>
          <cell r="W63" t="str">
            <v>кг</v>
          </cell>
          <cell r="X63">
            <v>0</v>
          </cell>
          <cell r="Y63">
            <v>0</v>
          </cell>
          <cell r="Z63" t="str">
            <v/>
          </cell>
        </row>
        <row r="64">
          <cell r="P64" t="str">
            <v>Итого</v>
          </cell>
          <cell r="W64" t="str">
            <v>кор</v>
          </cell>
          <cell r="X64">
            <v>0</v>
          </cell>
          <cell r="Y64">
            <v>0</v>
          </cell>
          <cell r="Z64">
            <v>0</v>
          </cell>
        </row>
        <row r="65">
          <cell r="P65" t="str">
            <v>Итого</v>
          </cell>
          <cell r="W65" t="str">
            <v>кг</v>
          </cell>
          <cell r="X65">
            <v>0</v>
          </cell>
          <cell r="Y65">
            <v>0</v>
          </cell>
        </row>
        <row r="66">
          <cell r="A66" t="str">
            <v>Сливушка</v>
          </cell>
        </row>
        <row r="67">
          <cell r="A67" t="str">
            <v>Вареные колбасы</v>
          </cell>
        </row>
        <row r="68">
          <cell r="A68" t="str">
            <v>SU002928</v>
          </cell>
          <cell r="B68" t="str">
            <v>P003357</v>
          </cell>
          <cell r="C68">
            <v>4301011514</v>
          </cell>
          <cell r="D68">
            <v>4680115882133</v>
          </cell>
          <cell r="F68">
            <v>1.35</v>
          </cell>
          <cell r="G68">
            <v>8</v>
          </cell>
          <cell r="H68">
            <v>10.8</v>
          </cell>
          <cell r="I68">
            <v>11.21</v>
          </cell>
          <cell r="J68">
            <v>64</v>
          </cell>
          <cell r="K68" t="str">
            <v>8</v>
          </cell>
          <cell r="L68" t="str">
            <v/>
          </cell>
          <cell r="M68" t="str">
            <v>СК1</v>
          </cell>
          <cell r="O68">
            <v>50</v>
          </cell>
          <cell r="P68" t="str">
            <v>Вареные колбасы «Сливушка» Вес П/а ТМ «Вязанка»</v>
          </cell>
          <cell r="U68" t="str">
            <v/>
          </cell>
          <cell r="V68" t="str">
            <v/>
          </cell>
          <cell r="W68" t="str">
            <v>кг</v>
          </cell>
          <cell r="X68">
            <v>0</v>
          </cell>
          <cell r="Y68">
            <v>0</v>
          </cell>
          <cell r="Z68" t="str">
            <v/>
          </cell>
        </row>
        <row r="69">
          <cell r="A69" t="str">
            <v>SU002733</v>
          </cell>
          <cell r="B69" t="str">
            <v>P003102</v>
          </cell>
          <cell r="C69">
            <v>4301011417</v>
          </cell>
          <cell r="D69">
            <v>4680115880269</v>
          </cell>
          <cell r="F69">
            <v>0.375</v>
          </cell>
          <cell r="G69">
            <v>10</v>
          </cell>
          <cell r="H69">
            <v>3.75</v>
          </cell>
          <cell r="I69">
            <v>3.94</v>
          </cell>
          <cell r="J69">
            <v>132</v>
          </cell>
          <cell r="K69" t="str">
            <v>12</v>
          </cell>
          <cell r="L69" t="str">
            <v/>
          </cell>
          <cell r="M69" t="str">
            <v>СК3</v>
          </cell>
          <cell r="O69">
            <v>50</v>
          </cell>
          <cell r="P69" t="str">
            <v>Вареные колбасы Сливушка Вязанка Фикс.вес 0,375 П/а Вязанка</v>
          </cell>
          <cell r="U69" t="str">
            <v/>
          </cell>
          <cell r="V69" t="str">
            <v/>
          </cell>
          <cell r="W69" t="str">
            <v>кг</v>
          </cell>
          <cell r="X69">
            <v>0</v>
          </cell>
          <cell r="Y69">
            <v>0</v>
          </cell>
          <cell r="Z69" t="str">
            <v/>
          </cell>
        </row>
        <row r="70">
          <cell r="A70" t="str">
            <v>SU002734</v>
          </cell>
          <cell r="B70" t="str">
            <v>P003103</v>
          </cell>
          <cell r="C70">
            <v>4301011415</v>
          </cell>
          <cell r="D70">
            <v>4680115880429</v>
          </cell>
          <cell r="F70">
            <v>0.45</v>
          </cell>
          <cell r="G70">
            <v>10</v>
          </cell>
          <cell r="H70">
            <v>4.5</v>
          </cell>
          <cell r="I70">
            <v>4.6900000000000004</v>
          </cell>
          <cell r="J70">
            <v>132</v>
          </cell>
          <cell r="K70" t="str">
            <v>12</v>
          </cell>
          <cell r="L70" t="str">
            <v/>
          </cell>
          <cell r="M70" t="str">
            <v>СК3</v>
          </cell>
          <cell r="O70">
            <v>50</v>
          </cell>
          <cell r="P70" t="str">
            <v>Вареные колбасы Сливушка Вязанка Фикс.вес 0,45 П/а Вязанка</v>
          </cell>
          <cell r="U70" t="str">
            <v/>
          </cell>
          <cell r="V70" t="str">
            <v/>
          </cell>
          <cell r="W70" t="str">
            <v>кг</v>
          </cell>
          <cell r="X70">
            <v>0</v>
          </cell>
          <cell r="Y70">
            <v>0</v>
          </cell>
          <cell r="Z70" t="str">
            <v/>
          </cell>
        </row>
        <row r="71">
          <cell r="A71" t="str">
            <v>SU002827</v>
          </cell>
          <cell r="B71" t="str">
            <v>P003233</v>
          </cell>
          <cell r="C71">
            <v>4301011462</v>
          </cell>
          <cell r="D71">
            <v>4680115881457</v>
          </cell>
          <cell r="F71">
            <v>0.75</v>
          </cell>
          <cell r="G71">
            <v>6</v>
          </cell>
          <cell r="H71">
            <v>4.5</v>
          </cell>
          <cell r="I71">
            <v>4.6900000000000004</v>
          </cell>
          <cell r="J71">
            <v>132</v>
          </cell>
          <cell r="K71" t="str">
            <v>12</v>
          </cell>
          <cell r="L71" t="str">
            <v/>
          </cell>
          <cell r="M71" t="str">
            <v>СК3</v>
          </cell>
          <cell r="O71">
            <v>50</v>
          </cell>
          <cell r="P71" t="str">
            <v>Вареные колбасы Сливушка Вязанка Фикс.вес 0,75 П/а Вязанка</v>
          </cell>
          <cell r="U71" t="str">
            <v/>
          </cell>
          <cell r="V71" t="str">
            <v/>
          </cell>
          <cell r="W71" t="str">
            <v>кг</v>
          </cell>
          <cell r="X71">
            <v>0</v>
          </cell>
          <cell r="Y71">
            <v>0</v>
          </cell>
          <cell r="Z71" t="str">
            <v/>
          </cell>
        </row>
        <row r="72">
          <cell r="P72" t="str">
            <v>Итого</v>
          </cell>
          <cell r="W72" t="str">
            <v>кор</v>
          </cell>
          <cell r="X72">
            <v>0</v>
          </cell>
          <cell r="Y72">
            <v>0</v>
          </cell>
          <cell r="Z72">
            <v>0</v>
          </cell>
        </row>
        <row r="73">
          <cell r="P73" t="str">
            <v>Итого</v>
          </cell>
          <cell r="W73" t="str">
            <v>кг</v>
          </cell>
          <cell r="X73">
            <v>0</v>
          </cell>
          <cell r="Y73">
            <v>0</v>
          </cell>
        </row>
        <row r="74">
          <cell r="A74" t="str">
            <v>Ветчины</v>
          </cell>
        </row>
        <row r="75">
          <cell r="A75" t="str">
            <v>SU002833</v>
          </cell>
          <cell r="B75" t="str">
            <v>P004607</v>
          </cell>
          <cell r="C75">
            <v>4301020345</v>
          </cell>
          <cell r="D75">
            <v>4680115881488</v>
          </cell>
          <cell r="F75">
            <v>1.35</v>
          </cell>
          <cell r="G75">
            <v>8</v>
          </cell>
          <cell r="H75">
            <v>10.8</v>
          </cell>
          <cell r="I75">
            <v>11.21</v>
          </cell>
          <cell r="J75">
            <v>64</v>
          </cell>
          <cell r="K75" t="str">
            <v>8</v>
          </cell>
          <cell r="L75" t="str">
            <v/>
          </cell>
          <cell r="M75" t="str">
            <v>СК1</v>
          </cell>
          <cell r="O75">
            <v>55</v>
          </cell>
          <cell r="P75" t="str">
            <v>Ветчины «Сливушка с индейкой» вес п/а ТМ «Вязанка»</v>
          </cell>
          <cell r="U75" t="str">
            <v/>
          </cell>
          <cell r="V75" t="str">
            <v/>
          </cell>
          <cell r="W75" t="str">
            <v>кг</v>
          </cell>
          <cell r="X75">
            <v>0</v>
          </cell>
          <cell r="Y75">
            <v>0</v>
          </cell>
          <cell r="Z75" t="str">
            <v/>
          </cell>
        </row>
        <row r="76">
          <cell r="A76" t="str">
            <v>SU003037</v>
          </cell>
          <cell r="B76" t="str">
            <v>P004609</v>
          </cell>
          <cell r="C76">
            <v>4301020346</v>
          </cell>
          <cell r="D76">
            <v>4680115882775</v>
          </cell>
          <cell r="F76">
            <v>0.3</v>
          </cell>
          <cell r="G76">
            <v>8</v>
          </cell>
          <cell r="H76">
            <v>2.4</v>
          </cell>
          <cell r="I76">
            <v>2.5</v>
          </cell>
          <cell r="J76">
            <v>234</v>
          </cell>
          <cell r="K76" t="str">
            <v>18</v>
          </cell>
          <cell r="L76" t="str">
            <v/>
          </cell>
          <cell r="M76" t="str">
            <v>СК1</v>
          </cell>
          <cell r="O76">
            <v>55</v>
          </cell>
          <cell r="P76" t="str">
            <v>Ветчины «Сливушка с индейкой» Фикс.вес 0,3 П/а ТМ «Вязанка»</v>
          </cell>
          <cell r="U76" t="str">
            <v/>
          </cell>
          <cell r="V76" t="str">
            <v/>
          </cell>
          <cell r="W76" t="str">
            <v>кг</v>
          </cell>
          <cell r="X76">
            <v>0</v>
          </cell>
          <cell r="Y76">
            <v>0</v>
          </cell>
          <cell r="Z76" t="str">
            <v/>
          </cell>
        </row>
        <row r="77">
          <cell r="A77" t="str">
            <v>SU002735</v>
          </cell>
          <cell r="B77" t="str">
            <v>P004586</v>
          </cell>
          <cell r="C77">
            <v>4301020344</v>
          </cell>
          <cell r="D77">
            <v>4680115880658</v>
          </cell>
          <cell r="F77">
            <v>0.4</v>
          </cell>
          <cell r="G77">
            <v>6</v>
          </cell>
          <cell r="H77">
            <v>2.4</v>
          </cell>
          <cell r="I77">
            <v>2.58</v>
          </cell>
          <cell r="J77">
            <v>182</v>
          </cell>
          <cell r="K77" t="str">
            <v>14</v>
          </cell>
          <cell r="L77" t="str">
            <v/>
          </cell>
          <cell r="M77" t="str">
            <v>СК1</v>
          </cell>
          <cell r="O77">
            <v>55</v>
          </cell>
          <cell r="P77" t="str">
            <v>Ветчины «Сливушка с индейкой» Фикс.вес 0,4 П/а ТМ «Вязанка»</v>
          </cell>
          <cell r="U77" t="str">
            <v/>
          </cell>
          <cell r="V77" t="str">
            <v/>
          </cell>
          <cell r="W77" t="str">
            <v>кг</v>
          </cell>
          <cell r="X77">
            <v>0</v>
          </cell>
          <cell r="Y77">
            <v>0</v>
          </cell>
          <cell r="Z77" t="str">
            <v/>
          </cell>
        </row>
        <row r="78">
          <cell r="P78" t="str">
            <v>Итого</v>
          </cell>
          <cell r="W78" t="str">
            <v>кор</v>
          </cell>
          <cell r="X78">
            <v>0</v>
          </cell>
          <cell r="Y78">
            <v>0</v>
          </cell>
          <cell r="Z78">
            <v>0</v>
          </cell>
        </row>
        <row r="79">
          <cell r="P79" t="str">
            <v>Итого</v>
          </cell>
          <cell r="W79" t="str">
            <v>кг</v>
          </cell>
          <cell r="X79">
            <v>0</v>
          </cell>
          <cell r="Y79">
            <v>0</v>
          </cell>
        </row>
        <row r="80">
          <cell r="A80" t="str">
            <v>Сосиски</v>
          </cell>
        </row>
        <row r="81">
          <cell r="A81" t="str">
            <v>SU001721</v>
          </cell>
          <cell r="B81" t="str">
            <v>P003988</v>
          </cell>
          <cell r="C81">
            <v>4301051724</v>
          </cell>
          <cell r="D81">
            <v>4607091385168</v>
          </cell>
          <cell r="F81">
            <v>1.35</v>
          </cell>
          <cell r="G81">
            <v>6</v>
          </cell>
          <cell r="H81">
            <v>8.1</v>
          </cell>
          <cell r="I81">
            <v>8.5879999999999992</v>
          </cell>
          <cell r="J81">
            <v>64</v>
          </cell>
          <cell r="K81" t="str">
            <v>8</v>
          </cell>
          <cell r="L81" t="str">
            <v/>
          </cell>
          <cell r="M81" t="str">
            <v>СК4</v>
          </cell>
          <cell r="O81">
            <v>45</v>
          </cell>
          <cell r="P81" t="str">
            <v>Сосиски «Сливочные Вязанка» Весовой п/а мгс ТМ «Вязанка»</v>
          </cell>
          <cell r="U81" t="str">
            <v/>
          </cell>
          <cell r="V81" t="str">
            <v/>
          </cell>
          <cell r="W81" t="str">
            <v>кг</v>
          </cell>
          <cell r="X81">
            <v>0</v>
          </cell>
          <cell r="Y81">
            <v>0</v>
          </cell>
          <cell r="Z81" t="str">
            <v/>
          </cell>
        </row>
        <row r="82">
          <cell r="A82" t="str">
            <v>SU002139</v>
          </cell>
          <cell r="B82" t="str">
            <v>P003990</v>
          </cell>
          <cell r="C82">
            <v>4301051730</v>
          </cell>
          <cell r="D82">
            <v>4607091383256</v>
          </cell>
          <cell r="F82">
            <v>0.33</v>
          </cell>
          <cell r="G82">
            <v>6</v>
          </cell>
          <cell r="H82">
            <v>1.98</v>
          </cell>
          <cell r="I82">
            <v>2.226</v>
          </cell>
          <cell r="J82">
            <v>182</v>
          </cell>
          <cell r="K82" t="str">
            <v>14</v>
          </cell>
          <cell r="L82" t="str">
            <v/>
          </cell>
          <cell r="M82" t="str">
            <v>СК4</v>
          </cell>
          <cell r="O82">
            <v>45</v>
          </cell>
          <cell r="P82" t="str">
            <v>Сосиски «Сливочные» ф/в 0,33 п/а мгс ТМ «Вязанка»</v>
          </cell>
          <cell r="U82" t="str">
            <v/>
          </cell>
          <cell r="V82" t="str">
            <v/>
          </cell>
          <cell r="W82" t="str">
            <v>кг</v>
          </cell>
          <cell r="X82">
            <v>0</v>
          </cell>
          <cell r="Y82">
            <v>0</v>
          </cell>
          <cell r="Z82" t="str">
            <v/>
          </cell>
        </row>
        <row r="83">
          <cell r="A83" t="str">
            <v>SU001720</v>
          </cell>
          <cell r="B83" t="str">
            <v>P003989</v>
          </cell>
          <cell r="C83">
            <v>4301051721</v>
          </cell>
          <cell r="D83">
            <v>4607091385748</v>
          </cell>
          <cell r="F83">
            <v>0.45</v>
          </cell>
          <cell r="G83">
            <v>6</v>
          </cell>
          <cell r="H83">
            <v>2.7</v>
          </cell>
          <cell r="I83">
            <v>2.952</v>
          </cell>
          <cell r="J83">
            <v>182</v>
          </cell>
          <cell r="K83" t="str">
            <v>14</v>
          </cell>
          <cell r="L83" t="str">
            <v/>
          </cell>
          <cell r="M83" t="str">
            <v>СК4</v>
          </cell>
          <cell r="O83">
            <v>45</v>
          </cell>
          <cell r="P83" t="str">
            <v>Сосиски «Сливочные» ф/в 0,45 п/а мгс ТМ «Вязанка»</v>
          </cell>
          <cell r="U83" t="str">
            <v/>
          </cell>
          <cell r="V83" t="str">
            <v/>
          </cell>
          <cell r="W83" t="str">
            <v>кг</v>
          </cell>
          <cell r="X83">
            <v>0</v>
          </cell>
          <cell r="Y83">
            <v>0</v>
          </cell>
          <cell r="Z83" t="str">
            <v/>
          </cell>
        </row>
        <row r="84">
          <cell r="P84" t="str">
            <v>Итого</v>
          </cell>
          <cell r="W84" t="str">
            <v>кор</v>
          </cell>
          <cell r="X84">
            <v>0</v>
          </cell>
          <cell r="Y84">
            <v>0</v>
          </cell>
          <cell r="Z84">
            <v>0</v>
          </cell>
        </row>
        <row r="85">
          <cell r="P85" t="str">
            <v>Итого</v>
          </cell>
          <cell r="W85" t="str">
            <v>кг</v>
          </cell>
          <cell r="X85">
            <v>0</v>
          </cell>
          <cell r="Y85">
            <v>0</v>
          </cell>
        </row>
        <row r="86">
          <cell r="A86" t="str">
            <v>Сардельки</v>
          </cell>
        </row>
        <row r="87">
          <cell r="A87" t="str">
            <v>SU002367</v>
          </cell>
          <cell r="B87" t="str">
            <v>P002644</v>
          </cell>
          <cell r="C87">
            <v>4301060317</v>
          </cell>
          <cell r="D87">
            <v>4680115880238</v>
          </cell>
          <cell r="F87">
            <v>0.33</v>
          </cell>
          <cell r="G87">
            <v>6</v>
          </cell>
          <cell r="H87">
            <v>1.98</v>
          </cell>
          <cell r="I87">
            <v>2.238</v>
          </cell>
          <cell r="J87">
            <v>182</v>
          </cell>
          <cell r="K87" t="str">
            <v>14</v>
          </cell>
          <cell r="L87" t="str">
            <v/>
          </cell>
          <cell r="M87" t="str">
            <v>СК3</v>
          </cell>
          <cell r="O87">
            <v>40</v>
          </cell>
          <cell r="P87" t="str">
            <v>Сардельки «Сливушки» фикс.вес 0,33 п/а мгс ТМ «Вязанка»</v>
          </cell>
          <cell r="U87" t="str">
            <v/>
          </cell>
          <cell r="V87" t="str">
            <v/>
          </cell>
          <cell r="W87" t="str">
            <v>кг</v>
          </cell>
          <cell r="X87">
            <v>0</v>
          </cell>
          <cell r="Y87">
            <v>0</v>
          </cell>
          <cell r="Z87" t="str">
            <v/>
          </cell>
        </row>
        <row r="88">
          <cell r="P88" t="str">
            <v>Итого</v>
          </cell>
          <cell r="W88" t="str">
            <v>кор</v>
          </cell>
          <cell r="X88">
            <v>0</v>
          </cell>
          <cell r="Y88">
            <v>0</v>
          </cell>
          <cell r="Z88">
            <v>0</v>
          </cell>
        </row>
        <row r="89">
          <cell r="P89" t="str">
            <v>Итого</v>
          </cell>
          <cell r="W89" t="str">
            <v>кг</v>
          </cell>
          <cell r="X89">
            <v>0</v>
          </cell>
          <cell r="Y89">
            <v>0</v>
          </cell>
        </row>
        <row r="90">
          <cell r="A90" t="str">
            <v>Вязанка</v>
          </cell>
        </row>
        <row r="91">
          <cell r="A91" t="str">
            <v>Вареные колбасы</v>
          </cell>
        </row>
        <row r="92">
          <cell r="A92" t="str">
            <v>SU002312</v>
          </cell>
          <cell r="B92" t="str">
            <v>P003913</v>
          </cell>
          <cell r="C92">
            <v>4301011705</v>
          </cell>
          <cell r="D92">
            <v>4607091384604</v>
          </cell>
          <cell r="F92">
            <v>0.4</v>
          </cell>
          <cell r="G92">
            <v>10</v>
          </cell>
          <cell r="H92">
            <v>4</v>
          </cell>
          <cell r="I92">
            <v>4.1900000000000004</v>
          </cell>
          <cell r="J92">
            <v>132</v>
          </cell>
          <cell r="K92" t="str">
            <v>12</v>
          </cell>
          <cell r="L92" t="str">
            <v/>
          </cell>
          <cell r="M92" t="str">
            <v>СК1</v>
          </cell>
          <cell r="O92">
            <v>50</v>
          </cell>
          <cell r="P92" t="str">
            <v>Вареные колбасы «Докторский гарант» Фикс.вес 0,4 Вектор ТМ «Вязанка»</v>
          </cell>
          <cell r="U92" t="str">
            <v/>
          </cell>
          <cell r="V92" t="str">
            <v/>
          </cell>
          <cell r="W92" t="str">
            <v>кг</v>
          </cell>
          <cell r="X92">
            <v>0</v>
          </cell>
          <cell r="Y92">
            <v>0</v>
          </cell>
          <cell r="Z92" t="str">
            <v/>
          </cell>
        </row>
        <row r="93">
          <cell r="P93" t="str">
            <v>Итого</v>
          </cell>
          <cell r="W93" t="str">
            <v>кор</v>
          </cell>
          <cell r="X93">
            <v>0</v>
          </cell>
          <cell r="Y93">
            <v>0</v>
          </cell>
          <cell r="Z93">
            <v>0</v>
          </cell>
        </row>
        <row r="94">
          <cell r="P94" t="str">
            <v>Итого</v>
          </cell>
          <cell r="W94" t="str">
            <v>кг</v>
          </cell>
          <cell r="X94">
            <v>0</v>
          </cell>
          <cell r="Y94">
            <v>0</v>
          </cell>
        </row>
        <row r="95">
          <cell r="A95" t="str">
            <v>Копченые колбасы</v>
          </cell>
        </row>
        <row r="96">
          <cell r="A96" t="str">
            <v>SU000064</v>
          </cell>
          <cell r="B96" t="str">
            <v>P001841</v>
          </cell>
          <cell r="C96">
            <v>4301030895</v>
          </cell>
          <cell r="D96">
            <v>4607091387667</v>
          </cell>
          <cell r="F96">
            <v>0.9</v>
          </cell>
          <cell r="G96">
            <v>10</v>
          </cell>
          <cell r="H96">
            <v>9</v>
          </cell>
          <cell r="I96">
            <v>9.56</v>
          </cell>
          <cell r="J96">
            <v>64</v>
          </cell>
          <cell r="K96" t="str">
            <v>8</v>
          </cell>
          <cell r="L96" t="str">
            <v/>
          </cell>
          <cell r="M96" t="str">
            <v>СК1</v>
          </cell>
          <cell r="O96">
            <v>40</v>
          </cell>
          <cell r="P96" t="str">
            <v>В/к колбасы Балыковая Вязанка Весовые Фиброуз в/у Вязанка</v>
          </cell>
          <cell r="U96" t="str">
            <v/>
          </cell>
          <cell r="V96" t="str">
            <v/>
          </cell>
          <cell r="W96" t="str">
            <v>кг</v>
          </cell>
          <cell r="X96">
            <v>0</v>
          </cell>
          <cell r="Y96">
            <v>0</v>
          </cell>
          <cell r="Z96" t="str">
            <v/>
          </cell>
        </row>
        <row r="97">
          <cell r="A97" t="str">
            <v>SU000664</v>
          </cell>
          <cell r="B97" t="str">
            <v>P002177</v>
          </cell>
          <cell r="C97">
            <v>4301030961</v>
          </cell>
          <cell r="D97">
            <v>4607091387636</v>
          </cell>
          <cell r="F97">
            <v>0.7</v>
          </cell>
          <cell r="G97">
            <v>6</v>
          </cell>
          <cell r="H97">
            <v>4.2</v>
          </cell>
          <cell r="I97">
            <v>4.47</v>
          </cell>
          <cell r="J97">
            <v>182</v>
          </cell>
          <cell r="K97" t="str">
            <v>14</v>
          </cell>
          <cell r="L97" t="str">
            <v/>
          </cell>
          <cell r="M97" t="str">
            <v>СК2</v>
          </cell>
          <cell r="O97">
            <v>40</v>
          </cell>
          <cell r="P97" t="str">
            <v>В/к колбасы Салями Финская Вязанка Весовые Фиброуз в/у Вязанка</v>
          </cell>
          <cell r="U97" t="str">
            <v/>
          </cell>
          <cell r="V97" t="str">
            <v/>
          </cell>
          <cell r="W97" t="str">
            <v>кг</v>
          </cell>
          <cell r="X97">
            <v>0</v>
          </cell>
          <cell r="Y97">
            <v>0</v>
          </cell>
          <cell r="Z97" t="str">
            <v/>
          </cell>
        </row>
        <row r="98">
          <cell r="A98" t="str">
            <v>SU000097</v>
          </cell>
          <cell r="B98" t="str">
            <v>P002179</v>
          </cell>
          <cell r="C98">
            <v>4301030963</v>
          </cell>
          <cell r="D98">
            <v>4607091382426</v>
          </cell>
          <cell r="F98">
            <v>0.9</v>
          </cell>
          <cell r="G98">
            <v>10</v>
          </cell>
          <cell r="H98">
            <v>9</v>
          </cell>
          <cell r="I98">
            <v>9.56</v>
          </cell>
          <cell r="J98">
            <v>64</v>
          </cell>
          <cell r="K98" t="str">
            <v>8</v>
          </cell>
          <cell r="L98" t="str">
            <v/>
          </cell>
          <cell r="M98" t="str">
            <v>СК2</v>
          </cell>
          <cell r="O98">
            <v>40</v>
          </cell>
          <cell r="P98" t="str">
            <v>В/к колбасы Столичный Вязанка Весовые Фиброуз в/у Вязанка</v>
          </cell>
          <cell r="U98" t="str">
            <v/>
          </cell>
          <cell r="V98" t="str">
            <v/>
          </cell>
          <cell r="W98" t="str">
            <v>кг</v>
          </cell>
          <cell r="X98">
            <v>0</v>
          </cell>
          <cell r="Y98">
            <v>0</v>
          </cell>
          <cell r="Z98" t="str">
            <v/>
          </cell>
        </row>
        <row r="99">
          <cell r="P99" t="str">
            <v>Итого</v>
          </cell>
          <cell r="W99" t="str">
            <v>кор</v>
          </cell>
          <cell r="X99">
            <v>0</v>
          </cell>
          <cell r="Y99">
            <v>0</v>
          </cell>
          <cell r="Z99">
            <v>0</v>
          </cell>
        </row>
        <row r="100">
          <cell r="P100" t="str">
            <v>Итого</v>
          </cell>
          <cell r="W100" t="str">
            <v>кг</v>
          </cell>
          <cell r="X100">
            <v>0</v>
          </cell>
          <cell r="Y100">
            <v>0</v>
          </cell>
        </row>
        <row r="101">
          <cell r="A101" t="str">
            <v>Стародворье</v>
          </cell>
        </row>
        <row r="102">
          <cell r="A102" t="str">
            <v>Мясорубская</v>
          </cell>
        </row>
        <row r="103">
          <cell r="A103" t="str">
            <v>Копченые колбасы</v>
          </cell>
        </row>
        <row r="104">
          <cell r="A104" t="str">
            <v>SU002756</v>
          </cell>
          <cell r="B104" t="str">
            <v>P003179</v>
          </cell>
          <cell r="C104">
            <v>4301031191</v>
          </cell>
          <cell r="D104">
            <v>4680115880993</v>
          </cell>
          <cell r="F104">
            <v>0.7</v>
          </cell>
          <cell r="G104">
            <v>6</v>
          </cell>
          <cell r="H104">
            <v>4.2</v>
          </cell>
          <cell r="I104">
            <v>4.45</v>
          </cell>
          <cell r="J104">
            <v>132</v>
          </cell>
          <cell r="K104" t="str">
            <v>12</v>
          </cell>
          <cell r="L104" t="str">
            <v/>
          </cell>
          <cell r="M104" t="str">
            <v>СК2</v>
          </cell>
          <cell r="O104">
            <v>40</v>
          </cell>
          <cell r="P104" t="str">
            <v>Колбаса Мясорубская ТМ Стародворье с рубленой грудинкой в оболочке фиброуз в вакуумной упаковке</v>
          </cell>
          <cell r="U104" t="str">
            <v/>
          </cell>
          <cell r="V104" t="str">
            <v/>
          </cell>
          <cell r="W104" t="str">
            <v>кг</v>
          </cell>
          <cell r="X104">
            <v>0</v>
          </cell>
          <cell r="Y104">
            <v>0</v>
          </cell>
          <cell r="Z104" t="str">
            <v/>
          </cell>
        </row>
        <row r="105">
          <cell r="A105" t="str">
            <v>SU002876</v>
          </cell>
          <cell r="B105" t="str">
            <v>P003276</v>
          </cell>
          <cell r="C105">
            <v>4301031204</v>
          </cell>
          <cell r="D105">
            <v>4680115881761</v>
          </cell>
          <cell r="F105">
            <v>0.7</v>
          </cell>
          <cell r="G105">
            <v>6</v>
          </cell>
          <cell r="H105">
            <v>4.2</v>
          </cell>
          <cell r="I105">
            <v>4.45</v>
          </cell>
          <cell r="J105">
            <v>132</v>
          </cell>
          <cell r="K105" t="str">
            <v>12</v>
          </cell>
          <cell r="L105" t="str">
            <v/>
          </cell>
          <cell r="M105" t="str">
            <v>СК2</v>
          </cell>
          <cell r="O105">
            <v>40</v>
          </cell>
          <cell r="P105" t="str">
            <v>Копченые колбасы Салями Мясорубская с рубленым шпиком Бордо Весовой фиброуз Стародворье</v>
          </cell>
          <cell r="U105" t="str">
            <v/>
          </cell>
          <cell r="V105" t="str">
            <v/>
          </cell>
          <cell r="W105" t="str">
            <v>кг</v>
          </cell>
          <cell r="X105">
            <v>0</v>
          </cell>
          <cell r="Y105">
            <v>0</v>
          </cell>
          <cell r="Z105" t="str">
            <v/>
          </cell>
        </row>
        <row r="106">
          <cell r="A106" t="str">
            <v>SU002847</v>
          </cell>
          <cell r="B106" t="str">
            <v>P003259</v>
          </cell>
          <cell r="C106">
            <v>4301031201</v>
          </cell>
          <cell r="D106">
            <v>4680115881563</v>
          </cell>
          <cell r="F106">
            <v>0.7</v>
          </cell>
          <cell r="G106">
            <v>6</v>
          </cell>
          <cell r="H106">
            <v>4.2</v>
          </cell>
          <cell r="I106">
            <v>4.3899999999999997</v>
          </cell>
          <cell r="J106">
            <v>132</v>
          </cell>
          <cell r="K106" t="str">
            <v>12</v>
          </cell>
          <cell r="L106" t="str">
            <v/>
          </cell>
          <cell r="M106" t="str">
            <v>СК2</v>
          </cell>
          <cell r="O106">
            <v>40</v>
          </cell>
          <cell r="P106" t="str">
            <v>В/к колбасы Сервелат Мясорубский с мелкорубленным окороком Бордо Весовой фиброуз Стародворье</v>
          </cell>
          <cell r="U106" t="str">
            <v/>
          </cell>
          <cell r="V106" t="str">
            <v/>
          </cell>
          <cell r="W106" t="str">
            <v>кг</v>
          </cell>
          <cell r="X106">
            <v>0</v>
          </cell>
          <cell r="Y106">
            <v>0</v>
          </cell>
          <cell r="Z106" t="str">
            <v/>
          </cell>
        </row>
        <row r="107">
          <cell r="A107" t="str">
            <v>SU002660</v>
          </cell>
          <cell r="B107" t="str">
            <v>P003256</v>
          </cell>
          <cell r="C107">
            <v>4301031199</v>
          </cell>
          <cell r="D107">
            <v>4680115880986</v>
          </cell>
          <cell r="F107">
            <v>0.35</v>
          </cell>
          <cell r="G107">
            <v>6</v>
          </cell>
          <cell r="H107">
            <v>2.1</v>
          </cell>
          <cell r="I107">
            <v>2.23</v>
          </cell>
          <cell r="J107">
            <v>234</v>
          </cell>
          <cell r="K107" t="str">
            <v>18</v>
          </cell>
          <cell r="L107" t="str">
            <v/>
          </cell>
          <cell r="M107" t="str">
            <v>СК2</v>
          </cell>
          <cell r="O107">
            <v>40</v>
          </cell>
          <cell r="P107" t="str">
            <v>Колбаса Мясорубская ТМ Стародворье с рубленой грудинкой в оболочке фиброуз в вакуумной упаковке 0,35 кг срез</v>
          </cell>
          <cell r="U107" t="str">
            <v/>
          </cell>
          <cell r="V107" t="str">
            <v/>
          </cell>
          <cell r="W107" t="str">
            <v>кг</v>
          </cell>
          <cell r="X107">
            <v>0</v>
          </cell>
          <cell r="Y107">
            <v>0</v>
          </cell>
          <cell r="Z107" t="str">
            <v/>
          </cell>
        </row>
        <row r="108">
          <cell r="A108" t="str">
            <v>SU003997</v>
          </cell>
          <cell r="B108" t="str">
            <v>P005141</v>
          </cell>
          <cell r="C108">
            <v>4301031443</v>
          </cell>
          <cell r="D108">
            <v>4680115887213</v>
          </cell>
          <cell r="F108">
            <v>0.3</v>
          </cell>
          <cell r="G108">
            <v>6</v>
          </cell>
          <cell r="H108">
            <v>1.8</v>
          </cell>
          <cell r="I108">
            <v>1.9</v>
          </cell>
          <cell r="J108">
            <v>234</v>
          </cell>
          <cell r="K108" t="str">
            <v>18</v>
          </cell>
          <cell r="L108" t="str">
            <v/>
          </cell>
          <cell r="M108" t="str">
            <v>СК2</v>
          </cell>
          <cell r="O108">
            <v>45</v>
          </cell>
          <cell r="P108" t="str">
            <v>Копченые колбасы «Мясорубская с чесноком» Фикс.вес 0,3 фиброуз ТМ «Стародворье»</v>
          </cell>
          <cell r="U108" t="str">
            <v/>
          </cell>
          <cell r="V108" t="str">
            <v/>
          </cell>
          <cell r="W108" t="str">
            <v>кг</v>
          </cell>
          <cell r="X108">
            <v>0</v>
          </cell>
          <cell r="Y108">
            <v>0</v>
          </cell>
          <cell r="Z108" t="str">
            <v/>
          </cell>
        </row>
        <row r="109">
          <cell r="A109" t="str">
            <v>SU002877</v>
          </cell>
          <cell r="B109" t="str">
            <v>P003277</v>
          </cell>
          <cell r="C109">
            <v>4301031205</v>
          </cell>
          <cell r="D109">
            <v>4680115881785</v>
          </cell>
          <cell r="F109">
            <v>0.35</v>
          </cell>
          <cell r="G109">
            <v>6</v>
          </cell>
          <cell r="H109">
            <v>2.1</v>
          </cell>
          <cell r="I109">
            <v>2.23</v>
          </cell>
          <cell r="J109">
            <v>234</v>
          </cell>
          <cell r="K109" t="str">
            <v>18</v>
          </cell>
          <cell r="L109" t="str">
            <v/>
          </cell>
          <cell r="M109" t="str">
            <v>СК2</v>
          </cell>
          <cell r="O109">
            <v>40</v>
          </cell>
          <cell r="P109" t="str">
            <v>Копченые колбасы Салями Мясорубская с рубленым шпиком срез Бордо ф/в 0,35 фиброуз Стародворье</v>
          </cell>
          <cell r="U109" t="str">
            <v/>
          </cell>
          <cell r="V109" t="str">
            <v/>
          </cell>
          <cell r="W109" t="str">
            <v>кг</v>
          </cell>
          <cell r="X109">
            <v>0</v>
          </cell>
          <cell r="Y109">
            <v>0</v>
          </cell>
          <cell r="Z109" t="str">
            <v/>
          </cell>
        </row>
        <row r="110">
          <cell r="A110" t="str">
            <v>SU002848</v>
          </cell>
          <cell r="B110" t="str">
            <v>P003260</v>
          </cell>
          <cell r="C110">
            <v>4301031202</v>
          </cell>
          <cell r="D110">
            <v>4680115881679</v>
          </cell>
          <cell r="F110">
            <v>0.35</v>
          </cell>
          <cell r="G110">
            <v>6</v>
          </cell>
          <cell r="H110">
            <v>2.1</v>
          </cell>
          <cell r="I110">
            <v>2.2000000000000002</v>
          </cell>
          <cell r="J110">
            <v>234</v>
          </cell>
          <cell r="K110" t="str">
            <v>18</v>
          </cell>
          <cell r="L110" t="str">
            <v/>
          </cell>
          <cell r="M110" t="str">
            <v>СК2</v>
          </cell>
          <cell r="O110">
            <v>40</v>
          </cell>
          <cell r="P110" t="str">
            <v>В/к колбасы Сервелат Мясорубский с мелкорубленным окороком срез Бордо Фикс.вес 0,35 фиброуз Стародворье</v>
          </cell>
          <cell r="U110" t="str">
            <v/>
          </cell>
          <cell r="V110" t="str">
            <v/>
          </cell>
          <cell r="W110" t="str">
            <v>кг</v>
          </cell>
          <cell r="X110">
            <v>0</v>
          </cell>
          <cell r="Y110">
            <v>0</v>
          </cell>
          <cell r="Z110" t="str">
            <v/>
          </cell>
        </row>
        <row r="111">
          <cell r="A111" t="str">
            <v>SU002659</v>
          </cell>
          <cell r="B111" t="str">
            <v>P003034</v>
          </cell>
          <cell r="C111">
            <v>4301031158</v>
          </cell>
          <cell r="D111">
            <v>4680115880191</v>
          </cell>
          <cell r="F111">
            <v>0.4</v>
          </cell>
          <cell r="G111">
            <v>6</v>
          </cell>
          <cell r="H111">
            <v>2.4</v>
          </cell>
          <cell r="I111">
            <v>2.58</v>
          </cell>
          <cell r="J111">
            <v>182</v>
          </cell>
          <cell r="K111" t="str">
            <v>14</v>
          </cell>
          <cell r="L111" t="str">
            <v/>
          </cell>
          <cell r="M111" t="str">
            <v>СК2</v>
          </cell>
          <cell r="O111">
            <v>40</v>
          </cell>
          <cell r="P111" t="str">
            <v>В/к колбасы Сервелат Мясорубский с мелкорубленным окороком срез Бордо Фикс.вес 0,4 фиброуз Стародворье</v>
          </cell>
          <cell r="U111" t="str">
            <v/>
          </cell>
          <cell r="V111" t="str">
            <v/>
          </cell>
          <cell r="W111" t="str">
            <v>кг</v>
          </cell>
          <cell r="X111">
            <v>0</v>
          </cell>
          <cell r="Y111">
            <v>0</v>
          </cell>
          <cell r="Z111" t="str">
            <v/>
          </cell>
        </row>
        <row r="112">
          <cell r="A112" t="str">
            <v>SU003046</v>
          </cell>
          <cell r="B112" t="str">
            <v>P003598</v>
          </cell>
          <cell r="C112">
            <v>4301031245</v>
          </cell>
          <cell r="D112">
            <v>4680115883963</v>
          </cell>
          <cell r="F112">
            <v>0.28000000000000003</v>
          </cell>
          <cell r="G112">
            <v>6</v>
          </cell>
          <cell r="H112">
            <v>1.68</v>
          </cell>
          <cell r="I112">
            <v>1.78</v>
          </cell>
          <cell r="J112">
            <v>234</v>
          </cell>
          <cell r="K112" t="str">
            <v>18</v>
          </cell>
          <cell r="L112" t="str">
            <v/>
          </cell>
          <cell r="M112" t="str">
            <v>СК2</v>
          </cell>
          <cell r="O112">
            <v>40</v>
          </cell>
          <cell r="P112" t="str">
            <v>П/к колбасы «Мясорубская» ф/в 0,28 н/о ТМ «Стародворье»</v>
          </cell>
          <cell r="U112" t="str">
            <v/>
          </cell>
          <cell r="V112" t="str">
            <v/>
          </cell>
          <cell r="W112" t="str">
            <v>кг</v>
          </cell>
          <cell r="X112">
            <v>0</v>
          </cell>
          <cell r="Y112">
            <v>0</v>
          </cell>
          <cell r="Z112" t="str">
            <v/>
          </cell>
        </row>
        <row r="113">
          <cell r="P113" t="str">
            <v>Итого</v>
          </cell>
          <cell r="W113" t="str">
            <v>кор</v>
          </cell>
          <cell r="X113">
            <v>0</v>
          </cell>
          <cell r="Y113">
            <v>0</v>
          </cell>
          <cell r="Z113">
            <v>0</v>
          </cell>
        </row>
        <row r="114">
          <cell r="P114" t="str">
            <v>Итого</v>
          </cell>
          <cell r="W114" t="str">
            <v>кг</v>
          </cell>
          <cell r="X114">
            <v>0</v>
          </cell>
          <cell r="Y114">
            <v>0</v>
          </cell>
        </row>
        <row r="115">
          <cell r="A115" t="str">
            <v>Сырокопченые колбасы</v>
          </cell>
        </row>
        <row r="116">
          <cell r="A116" t="str">
            <v>SU003895</v>
          </cell>
          <cell r="B116" t="str">
            <v>P004981</v>
          </cell>
          <cell r="C116">
            <v>4301032053</v>
          </cell>
          <cell r="D116">
            <v>4680115886780</v>
          </cell>
          <cell r="F116">
            <v>7.0000000000000007E-2</v>
          </cell>
          <cell r="G116">
            <v>18</v>
          </cell>
          <cell r="H116">
            <v>1.26</v>
          </cell>
          <cell r="I116">
            <v>1.45</v>
          </cell>
          <cell r="J116">
            <v>216</v>
          </cell>
          <cell r="K116" t="str">
            <v>27</v>
          </cell>
          <cell r="L116" t="str">
            <v/>
          </cell>
          <cell r="M116" t="str">
            <v>МЗР</v>
          </cell>
          <cell r="O116">
            <v>60</v>
          </cell>
          <cell r="P116" t="str">
            <v>Сырокопченые колбасы «Мраморная» Фикс.вес 0,07 нарезка ТМ «Стародворье»</v>
          </cell>
          <cell r="U116" t="str">
            <v/>
          </cell>
          <cell r="V116" t="str">
            <v/>
          </cell>
          <cell r="W116" t="str">
            <v>кг</v>
          </cell>
          <cell r="X116">
            <v>0</v>
          </cell>
          <cell r="Y116">
            <v>0</v>
          </cell>
          <cell r="Z116" t="str">
            <v/>
          </cell>
        </row>
        <row r="117">
          <cell r="A117" t="str">
            <v>SU003893</v>
          </cell>
          <cell r="B117" t="str">
            <v>P004978</v>
          </cell>
          <cell r="C117">
            <v>4301032051</v>
          </cell>
          <cell r="D117">
            <v>4680115886742</v>
          </cell>
          <cell r="F117">
            <v>7.0000000000000007E-2</v>
          </cell>
          <cell r="G117">
            <v>18</v>
          </cell>
          <cell r="H117">
            <v>1.26</v>
          </cell>
          <cell r="I117">
            <v>1.45</v>
          </cell>
          <cell r="J117">
            <v>216</v>
          </cell>
          <cell r="K117" t="str">
            <v>27</v>
          </cell>
          <cell r="L117" t="str">
            <v/>
          </cell>
          <cell r="M117" t="str">
            <v>МЗР</v>
          </cell>
          <cell r="O117">
            <v>90</v>
          </cell>
          <cell r="P117" t="str">
            <v>Сырокопченые колбасы «Сальчичон» Фикс.вес 0,07 нарезка ТМ «Стародворье»</v>
          </cell>
          <cell r="U117" t="str">
            <v/>
          </cell>
          <cell r="V117" t="str">
            <v/>
          </cell>
          <cell r="W117" t="str">
            <v>кг</v>
          </cell>
          <cell r="X117">
            <v>0</v>
          </cell>
          <cell r="Y117">
            <v>0</v>
          </cell>
          <cell r="Z117" t="str">
            <v/>
          </cell>
        </row>
        <row r="118">
          <cell r="A118" t="str">
            <v>SU003894</v>
          </cell>
          <cell r="B118" t="str">
            <v>P004979</v>
          </cell>
          <cell r="C118">
            <v>4301032052</v>
          </cell>
          <cell r="D118">
            <v>4680115886766</v>
          </cell>
          <cell r="F118">
            <v>7.0000000000000007E-2</v>
          </cell>
          <cell r="G118">
            <v>18</v>
          </cell>
          <cell r="H118">
            <v>1.26</v>
          </cell>
          <cell r="I118">
            <v>1.45</v>
          </cell>
          <cell r="J118">
            <v>216</v>
          </cell>
          <cell r="K118" t="str">
            <v>27</v>
          </cell>
          <cell r="L118" t="str">
            <v/>
          </cell>
          <cell r="M118" t="str">
            <v>МЗР</v>
          </cell>
          <cell r="O118">
            <v>90</v>
          </cell>
          <cell r="P118" t="str">
            <v>Сырокопченые колбасы «Сервелат Ореховый» Фикс.вес 0,07 нарезка ТМ «Стародворье»</v>
          </cell>
          <cell r="U118" t="str">
            <v/>
          </cell>
          <cell r="V118" t="str">
            <v/>
          </cell>
          <cell r="W118" t="str">
            <v>кг</v>
          </cell>
          <cell r="X118">
            <v>0</v>
          </cell>
          <cell r="Y118">
            <v>0</v>
          </cell>
          <cell r="Z118" t="str">
            <v/>
          </cell>
        </row>
        <row r="119">
          <cell r="P119" t="str">
            <v>Итого</v>
          </cell>
          <cell r="W119" t="str">
            <v>кор</v>
          </cell>
          <cell r="X119">
            <v>0</v>
          </cell>
          <cell r="Y119">
            <v>0</v>
          </cell>
          <cell r="Z119">
            <v>0</v>
          </cell>
        </row>
        <row r="120">
          <cell r="P120" t="str">
            <v>Итого</v>
          </cell>
          <cell r="W120" t="str">
            <v>кг</v>
          </cell>
          <cell r="X120">
            <v>0</v>
          </cell>
          <cell r="Y120">
            <v>0</v>
          </cell>
        </row>
        <row r="121">
          <cell r="A121" t="str">
            <v>Сыровяленые колбасы</v>
          </cell>
        </row>
        <row r="122">
          <cell r="A122" t="str">
            <v>SU003896</v>
          </cell>
          <cell r="B122" t="str">
            <v>P004982</v>
          </cell>
          <cell r="C122">
            <v>4301170013</v>
          </cell>
          <cell r="D122">
            <v>4680115886797</v>
          </cell>
          <cell r="F122">
            <v>7.0000000000000007E-2</v>
          </cell>
          <cell r="G122">
            <v>18</v>
          </cell>
          <cell r="H122">
            <v>1.26</v>
          </cell>
          <cell r="I122">
            <v>1.45</v>
          </cell>
          <cell r="J122">
            <v>216</v>
          </cell>
          <cell r="K122" t="str">
            <v>27</v>
          </cell>
          <cell r="L122" t="str">
            <v/>
          </cell>
          <cell r="M122" t="str">
            <v>МЗР</v>
          </cell>
          <cell r="O122">
            <v>90</v>
          </cell>
          <cell r="P122" t="str">
            <v>Сыровяленые колбасы «Фуэт» Фикс.вес 0,07 нарезка ТМ «Стародворье»</v>
          </cell>
          <cell r="U122" t="str">
            <v/>
          </cell>
          <cell r="V122" t="str">
            <v/>
          </cell>
          <cell r="W122" t="str">
            <v>кг</v>
          </cell>
          <cell r="X122">
            <v>0</v>
          </cell>
          <cell r="Y122">
            <v>0</v>
          </cell>
          <cell r="Z122" t="str">
            <v/>
          </cell>
        </row>
        <row r="123">
          <cell r="P123" t="str">
            <v>Итого</v>
          </cell>
          <cell r="W123" t="str">
            <v>кор</v>
          </cell>
          <cell r="X123">
            <v>0</v>
          </cell>
          <cell r="Y123">
            <v>0</v>
          </cell>
          <cell r="Z123">
            <v>0</v>
          </cell>
        </row>
        <row r="124">
          <cell r="P124" t="str">
            <v>Итого</v>
          </cell>
          <cell r="W124" t="str">
            <v>кг</v>
          </cell>
          <cell r="X124">
            <v>0</v>
          </cell>
          <cell r="Y124">
            <v>0</v>
          </cell>
        </row>
        <row r="125">
          <cell r="A125" t="str">
            <v>Сочинка</v>
          </cell>
        </row>
        <row r="126">
          <cell r="A126" t="str">
            <v>Вареные колбасы</v>
          </cell>
        </row>
        <row r="127">
          <cell r="A127" t="str">
            <v>SU002824</v>
          </cell>
          <cell r="B127" t="str">
            <v>P003231</v>
          </cell>
          <cell r="C127">
            <v>4301011450</v>
          </cell>
          <cell r="D127">
            <v>4680115881402</v>
          </cell>
          <cell r="F127">
            <v>1.35</v>
          </cell>
          <cell r="G127">
            <v>8</v>
          </cell>
          <cell r="H127">
            <v>10.8</v>
          </cell>
          <cell r="I127">
            <v>11.21</v>
          </cell>
          <cell r="J127">
            <v>64</v>
          </cell>
          <cell r="K127" t="str">
            <v>8</v>
          </cell>
          <cell r="L127" t="str">
            <v/>
          </cell>
          <cell r="M127" t="str">
            <v>СК1</v>
          </cell>
          <cell r="O127">
            <v>55</v>
          </cell>
          <cell r="P127" t="str">
            <v>Вареные колбасы «Сочинка» Весовой п/а ТМ «Стародворье»</v>
          </cell>
          <cell r="U127" t="str">
            <v/>
          </cell>
          <cell r="V127" t="str">
            <v/>
          </cell>
          <cell r="W127" t="str">
            <v>кг</v>
          </cell>
          <cell r="X127">
            <v>0</v>
          </cell>
          <cell r="Y127">
            <v>0</v>
          </cell>
          <cell r="Z127" t="str">
            <v/>
          </cell>
        </row>
        <row r="128">
          <cell r="A128" t="str">
            <v>SU002823</v>
          </cell>
          <cell r="B128" t="str">
            <v>P003230</v>
          </cell>
          <cell r="C128">
            <v>4301011768</v>
          </cell>
          <cell r="D128">
            <v>4680115881396</v>
          </cell>
          <cell r="F128">
            <v>0.45</v>
          </cell>
          <cell r="G128">
            <v>6</v>
          </cell>
          <cell r="H128">
            <v>2.7</v>
          </cell>
          <cell r="I128">
            <v>2.88</v>
          </cell>
          <cell r="J128">
            <v>182</v>
          </cell>
          <cell r="K128" t="str">
            <v>14</v>
          </cell>
          <cell r="L128" t="str">
            <v/>
          </cell>
          <cell r="M128" t="str">
            <v>СК1</v>
          </cell>
          <cell r="O128">
            <v>55</v>
          </cell>
          <cell r="P128" t="str">
            <v>Вареные колбасы Сочинка с сочным окороком ТМ Стародворье ф/в 0,45 кг</v>
          </cell>
          <cell r="U128" t="str">
            <v/>
          </cell>
          <cell r="V128" t="str">
            <v/>
          </cell>
          <cell r="W128" t="str">
            <v>кг</v>
          </cell>
          <cell r="X128">
            <v>0</v>
          </cell>
          <cell r="Y128">
            <v>0</v>
          </cell>
          <cell r="Z128" t="str">
            <v/>
          </cell>
        </row>
        <row r="129">
          <cell r="P129" t="str">
            <v>Итого</v>
          </cell>
          <cell r="W129" t="str">
            <v>кор</v>
          </cell>
          <cell r="X129">
            <v>0</v>
          </cell>
          <cell r="Y129">
            <v>0</v>
          </cell>
          <cell r="Z129">
            <v>0</v>
          </cell>
        </row>
        <row r="130">
          <cell r="P130" t="str">
            <v>Итого</v>
          </cell>
          <cell r="W130" t="str">
            <v>кг</v>
          </cell>
          <cell r="X130">
            <v>0</v>
          </cell>
          <cell r="Y130">
            <v>0</v>
          </cell>
        </row>
        <row r="131">
          <cell r="A131" t="str">
            <v>Ветчины</v>
          </cell>
        </row>
        <row r="132">
          <cell r="A132" t="str">
            <v>SU003068</v>
          </cell>
          <cell r="B132" t="str">
            <v>P003611</v>
          </cell>
          <cell r="C132">
            <v>4301020261</v>
          </cell>
          <cell r="D132">
            <v>4680115882935</v>
          </cell>
          <cell r="F132">
            <v>1.35</v>
          </cell>
          <cell r="G132">
            <v>8</v>
          </cell>
          <cell r="H132">
            <v>10.8</v>
          </cell>
          <cell r="I132">
            <v>11.21</v>
          </cell>
          <cell r="J132">
            <v>64</v>
          </cell>
          <cell r="K132" t="str">
            <v>8</v>
          </cell>
          <cell r="L132" t="str">
            <v/>
          </cell>
          <cell r="M132" t="str">
            <v>СК1</v>
          </cell>
          <cell r="O132">
            <v>50</v>
          </cell>
          <cell r="P132" t="str">
            <v>Ветчина «Сочинка с сочным окороком» Весовой п/а ТМ «Стародворье»</v>
          </cell>
          <cell r="U132" t="str">
            <v/>
          </cell>
          <cell r="V132" t="str">
            <v/>
          </cell>
          <cell r="W132" t="str">
            <v>кг</v>
          </cell>
          <cell r="X132">
            <v>0</v>
          </cell>
          <cell r="Y132">
            <v>0</v>
          </cell>
          <cell r="Z132" t="str">
            <v/>
          </cell>
        </row>
        <row r="133">
          <cell r="A133" t="str">
            <v>SU002757</v>
          </cell>
          <cell r="B133" t="str">
            <v>P003128</v>
          </cell>
          <cell r="C133">
            <v>4301020220</v>
          </cell>
          <cell r="D133">
            <v>4680115880764</v>
          </cell>
          <cell r="F133">
            <v>0.35</v>
          </cell>
          <cell r="G133">
            <v>6</v>
          </cell>
          <cell r="H133">
            <v>2.1</v>
          </cell>
          <cell r="I133">
            <v>2.2799999999999998</v>
          </cell>
          <cell r="J133">
            <v>182</v>
          </cell>
          <cell r="K133" t="str">
            <v>14</v>
          </cell>
          <cell r="L133" t="str">
            <v/>
          </cell>
          <cell r="M133" t="str">
            <v>СК1</v>
          </cell>
          <cell r="O133">
            <v>50</v>
          </cell>
          <cell r="P133" t="str">
            <v>Ветчина Сочинка с сочным окороком ТМ Стародворье полиамид ф/в 0,35 кг</v>
          </cell>
          <cell r="U133" t="str">
            <v/>
          </cell>
          <cell r="V133" t="str">
            <v/>
          </cell>
          <cell r="W133" t="str">
            <v>кг</v>
          </cell>
          <cell r="X133">
            <v>0</v>
          </cell>
          <cell r="Y133">
            <v>0</v>
          </cell>
          <cell r="Z133" t="str">
            <v/>
          </cell>
        </row>
        <row r="134">
          <cell r="P134" t="str">
            <v>Итого</v>
          </cell>
          <cell r="W134" t="str">
            <v>кор</v>
          </cell>
          <cell r="X134">
            <v>0</v>
          </cell>
          <cell r="Y134">
            <v>0</v>
          </cell>
          <cell r="Z134">
            <v>0</v>
          </cell>
        </row>
        <row r="135">
          <cell r="P135" t="str">
            <v>Итого</v>
          </cell>
          <cell r="W135" t="str">
            <v>кг</v>
          </cell>
          <cell r="X135">
            <v>0</v>
          </cell>
          <cell r="Y135">
            <v>0</v>
          </cell>
        </row>
        <row r="136">
          <cell r="A136" t="str">
            <v>Копченые колбасы</v>
          </cell>
        </row>
        <row r="137">
          <cell r="A137" t="str">
            <v>SU002941</v>
          </cell>
          <cell r="B137" t="str">
            <v>P003387</v>
          </cell>
          <cell r="C137">
            <v>4301031224</v>
          </cell>
          <cell r="D137">
            <v>4680115882683</v>
          </cell>
          <cell r="F137">
            <v>0.9</v>
          </cell>
          <cell r="G137">
            <v>6</v>
          </cell>
          <cell r="H137">
            <v>5.4</v>
          </cell>
          <cell r="I137">
            <v>5.59</v>
          </cell>
          <cell r="J137">
            <v>132</v>
          </cell>
          <cell r="K137" t="str">
            <v>12</v>
          </cell>
          <cell r="L137" t="str">
            <v/>
          </cell>
          <cell r="M137" t="str">
            <v>СК2</v>
          </cell>
          <cell r="O137">
            <v>40</v>
          </cell>
          <cell r="P137" t="str">
            <v>В/к колбасы «Сочинка по-европейски с сочной грудинкой» Весовой фиброуз ТМ «Стародворье»</v>
          </cell>
          <cell r="U137" t="str">
            <v/>
          </cell>
          <cell r="V137" t="str">
            <v/>
          </cell>
          <cell r="W137" t="str">
            <v>кг</v>
          </cell>
          <cell r="X137">
            <v>0</v>
          </cell>
          <cell r="Y137">
            <v>0</v>
          </cell>
          <cell r="Z137" t="str">
            <v/>
          </cell>
        </row>
        <row r="138">
          <cell r="A138" t="str">
            <v>SU002943</v>
          </cell>
          <cell r="B138" t="str">
            <v>P003401</v>
          </cell>
          <cell r="C138">
            <v>4301031230</v>
          </cell>
          <cell r="D138">
            <v>4680115882690</v>
          </cell>
          <cell r="F138">
            <v>0.9</v>
          </cell>
          <cell r="G138">
            <v>6</v>
          </cell>
          <cell r="H138">
            <v>5.4</v>
          </cell>
          <cell r="I138">
            <v>5.59</v>
          </cell>
          <cell r="J138">
            <v>132</v>
          </cell>
          <cell r="K138" t="str">
            <v>12</v>
          </cell>
          <cell r="L138" t="str">
            <v/>
          </cell>
          <cell r="M138" t="str">
            <v>СК2</v>
          </cell>
          <cell r="O138">
            <v>40</v>
          </cell>
          <cell r="P138" t="str">
            <v>В/к колбасы «Сочинка по-фински с сочным окороком» Весовой фиброуз ТМ «Стародворье»</v>
          </cell>
          <cell r="U138" t="str">
            <v/>
          </cell>
          <cell r="V138" t="str">
            <v/>
          </cell>
          <cell r="W138" t="str">
            <v>кг</v>
          </cell>
          <cell r="X138">
            <v>0</v>
          </cell>
          <cell r="Y138">
            <v>0</v>
          </cell>
          <cell r="Z138" t="str">
            <v/>
          </cell>
        </row>
        <row r="139">
          <cell r="A139" t="str">
            <v>SU002945</v>
          </cell>
          <cell r="B139" t="str">
            <v>P003383</v>
          </cell>
          <cell r="C139">
            <v>4301031220</v>
          </cell>
          <cell r="D139">
            <v>4680115882669</v>
          </cell>
          <cell r="F139">
            <v>0.9</v>
          </cell>
          <cell r="G139">
            <v>6</v>
          </cell>
          <cell r="H139">
            <v>5.4</v>
          </cell>
          <cell r="I139">
            <v>5.59</v>
          </cell>
          <cell r="J139">
            <v>132</v>
          </cell>
          <cell r="K139" t="str">
            <v>12</v>
          </cell>
          <cell r="L139" t="str">
            <v/>
          </cell>
          <cell r="M139" t="str">
            <v>СК2</v>
          </cell>
          <cell r="O139">
            <v>40</v>
          </cell>
          <cell r="P139" t="str">
            <v>П/к колбасы «Сочинка зернистая с сочной грудинкой» Весовой фиброуз ТМ «Стародворье»</v>
          </cell>
          <cell r="U139" t="str">
            <v/>
          </cell>
          <cell r="V139" t="str">
            <v/>
          </cell>
          <cell r="W139" t="str">
            <v>кг</v>
          </cell>
          <cell r="X139">
            <v>0</v>
          </cell>
          <cell r="Y139">
            <v>0</v>
          </cell>
          <cell r="Z139" t="str">
            <v/>
          </cell>
        </row>
        <row r="140">
          <cell r="A140" t="str">
            <v>SU002947</v>
          </cell>
          <cell r="B140" t="str">
            <v>P003384</v>
          </cell>
          <cell r="C140">
            <v>4301031221</v>
          </cell>
          <cell r="D140">
            <v>4680115882676</v>
          </cell>
          <cell r="F140">
            <v>0.9</v>
          </cell>
          <cell r="G140">
            <v>6</v>
          </cell>
          <cell r="H140">
            <v>5.4</v>
          </cell>
          <cell r="I140">
            <v>5.59</v>
          </cell>
          <cell r="J140">
            <v>132</v>
          </cell>
          <cell r="K140" t="str">
            <v>12</v>
          </cell>
          <cell r="L140" t="str">
            <v/>
          </cell>
          <cell r="M140" t="str">
            <v>СК2</v>
          </cell>
          <cell r="O140">
            <v>40</v>
          </cell>
          <cell r="P140" t="str">
            <v>П/к колбасы «Сочинка рубленая с сочным окороком» Весовой фиброуз ТМ «Стародворье»</v>
          </cell>
          <cell r="U140" t="str">
            <v/>
          </cell>
          <cell r="V140" t="str">
            <v/>
          </cell>
          <cell r="W140" t="str">
            <v>кг</v>
          </cell>
          <cell r="X140">
            <v>0</v>
          </cell>
          <cell r="Y140">
            <v>0</v>
          </cell>
          <cell r="Z140" t="str">
            <v/>
          </cell>
        </row>
        <row r="141">
          <cell r="P141" t="str">
            <v>Итого</v>
          </cell>
          <cell r="W141" t="str">
            <v>кор</v>
          </cell>
          <cell r="X141">
            <v>0</v>
          </cell>
          <cell r="Y141">
            <v>0</v>
          </cell>
          <cell r="Z141">
            <v>0</v>
          </cell>
        </row>
        <row r="142">
          <cell r="P142" t="str">
            <v>Итого</v>
          </cell>
          <cell r="W142" t="str">
            <v>кг</v>
          </cell>
          <cell r="X142">
            <v>0</v>
          </cell>
          <cell r="Y142">
            <v>0</v>
          </cell>
        </row>
        <row r="143">
          <cell r="A143" t="str">
            <v>Сосиски</v>
          </cell>
        </row>
        <row r="144">
          <cell r="A144" t="str">
            <v>SU002843</v>
          </cell>
          <cell r="B144" t="str">
            <v>P003263</v>
          </cell>
          <cell r="C144">
            <v>4301051408</v>
          </cell>
          <cell r="D144">
            <v>4680115881594</v>
          </cell>
          <cell r="F144">
            <v>1.35</v>
          </cell>
          <cell r="G144">
            <v>6</v>
          </cell>
          <cell r="H144">
            <v>8.1</v>
          </cell>
          <cell r="I144">
            <v>8.5939999999999994</v>
          </cell>
          <cell r="J144">
            <v>64</v>
          </cell>
          <cell r="K144" t="str">
            <v>8</v>
          </cell>
          <cell r="L144" t="str">
            <v/>
          </cell>
          <cell r="M144" t="str">
            <v>СК3</v>
          </cell>
          <cell r="O144">
            <v>40</v>
          </cell>
          <cell r="P144" t="str">
            <v>Сосиски «Сочинки Молочные» Весовой п/а мгс ТМ «Стародворье»</v>
          </cell>
          <cell r="U144" t="str">
            <v/>
          </cell>
          <cell r="V144" t="str">
            <v/>
          </cell>
          <cell r="W144" t="str">
            <v>кг</v>
          </cell>
          <cell r="X144">
            <v>0</v>
          </cell>
          <cell r="Y144">
            <v>0</v>
          </cell>
          <cell r="Z144" t="str">
            <v/>
          </cell>
        </row>
        <row r="145">
          <cell r="A145" t="str">
            <v>SU002845</v>
          </cell>
          <cell r="B145" t="str">
            <v>P003266</v>
          </cell>
          <cell r="C145">
            <v>4301051411</v>
          </cell>
          <cell r="D145">
            <v>4680115881617</v>
          </cell>
          <cell r="F145">
            <v>1.35</v>
          </cell>
          <cell r="G145">
            <v>6</v>
          </cell>
          <cell r="H145">
            <v>8.1</v>
          </cell>
          <cell r="I145">
            <v>8.5760000000000005</v>
          </cell>
          <cell r="J145">
            <v>64</v>
          </cell>
          <cell r="K145" t="str">
            <v>8</v>
          </cell>
          <cell r="L145" t="str">
            <v/>
          </cell>
          <cell r="M145" t="str">
            <v>СК3</v>
          </cell>
          <cell r="O145">
            <v>40</v>
          </cell>
          <cell r="P145" t="str">
            <v>Сосиски «Сочинки Сливочные» Весовые ТМ «Стародворье» 1,35 кг</v>
          </cell>
          <cell r="U145" t="str">
            <v/>
          </cell>
          <cell r="V145" t="str">
            <v/>
          </cell>
          <cell r="W145" t="str">
            <v>кг</v>
          </cell>
          <cell r="X145">
            <v>0</v>
          </cell>
          <cell r="Y145">
            <v>0</v>
          </cell>
          <cell r="Z145" t="str">
            <v/>
          </cell>
        </row>
        <row r="146">
          <cell r="A146" t="str">
            <v>SU002725</v>
          </cell>
          <cell r="B146" t="str">
            <v>P003959</v>
          </cell>
          <cell r="C146">
            <v>4301051656</v>
          </cell>
          <cell r="D146">
            <v>4680115880573</v>
          </cell>
          <cell r="F146">
            <v>1.45</v>
          </cell>
          <cell r="G146">
            <v>6</v>
          </cell>
          <cell r="H146">
            <v>8.6999999999999993</v>
          </cell>
          <cell r="I146">
            <v>9.1940000000000008</v>
          </cell>
          <cell r="J146">
            <v>64</v>
          </cell>
          <cell r="K146" t="str">
            <v>8</v>
          </cell>
          <cell r="L146" t="str">
            <v/>
          </cell>
          <cell r="M146" t="str">
            <v>СК3</v>
          </cell>
          <cell r="O146">
            <v>45</v>
          </cell>
          <cell r="P146" t="str">
            <v>Сосиски «Сочинки» Весовой п/а ТМ «Стародворье»</v>
          </cell>
          <cell r="U146" t="str">
            <v/>
          </cell>
          <cell r="V146" t="str">
            <v/>
          </cell>
          <cell r="W146" t="str">
            <v>кг</v>
          </cell>
          <cell r="X146">
            <v>0</v>
          </cell>
          <cell r="Y146">
            <v>0</v>
          </cell>
          <cell r="Z146" t="str">
            <v/>
          </cell>
        </row>
        <row r="147">
          <cell r="A147" t="str">
            <v>SU002842</v>
          </cell>
          <cell r="B147" t="str">
            <v>P003262</v>
          </cell>
          <cell r="C147">
            <v>4301051407</v>
          </cell>
          <cell r="D147">
            <v>4680115882195</v>
          </cell>
          <cell r="F147">
            <v>0.4</v>
          </cell>
          <cell r="G147">
            <v>6</v>
          </cell>
          <cell r="H147">
            <v>2.4</v>
          </cell>
          <cell r="I147">
            <v>2.67</v>
          </cell>
          <cell r="J147">
            <v>182</v>
          </cell>
          <cell r="K147" t="str">
            <v>14</v>
          </cell>
          <cell r="L147" t="str">
            <v/>
          </cell>
          <cell r="M147" t="str">
            <v>СК3</v>
          </cell>
          <cell r="O147">
            <v>40</v>
          </cell>
          <cell r="P147" t="str">
            <v>Сосиски «Сочинки Молочные» Фикс.вес 0,4 п/а мгс ТМ «Стародворье»</v>
          </cell>
          <cell r="U147" t="str">
            <v/>
          </cell>
          <cell r="V147" t="str">
            <v/>
          </cell>
          <cell r="W147" t="str">
            <v>кг</v>
          </cell>
          <cell r="X147">
            <v>0</v>
          </cell>
          <cell r="Y147">
            <v>0</v>
          </cell>
          <cell r="Z147" t="str">
            <v/>
          </cell>
        </row>
        <row r="148">
          <cell r="A148" t="str">
            <v>SU002992</v>
          </cell>
          <cell r="B148" t="str">
            <v>P004147</v>
          </cell>
          <cell r="C148">
            <v>4301051752</v>
          </cell>
          <cell r="D148">
            <v>4680115882607</v>
          </cell>
          <cell r="F148">
            <v>0.3</v>
          </cell>
          <cell r="G148">
            <v>6</v>
          </cell>
          <cell r="H148">
            <v>1.8</v>
          </cell>
          <cell r="I148">
            <v>2.052</v>
          </cell>
          <cell r="J148">
            <v>182</v>
          </cell>
          <cell r="K148" t="str">
            <v>14</v>
          </cell>
          <cell r="L148" t="str">
            <v/>
          </cell>
          <cell r="M148" t="str">
            <v>СК4</v>
          </cell>
          <cell r="O148">
            <v>45</v>
          </cell>
          <cell r="P148" t="str">
            <v>Сосиски «Сочинки с сочной грудинкой» Фикс.вес 0,3 П/а мгс ТМ «Стародворье»</v>
          </cell>
          <cell r="U148" t="str">
            <v/>
          </cell>
          <cell r="V148" t="str">
            <v/>
          </cell>
          <cell r="W148" t="str">
            <v>кг</v>
          </cell>
          <cell r="X148">
            <v>0</v>
          </cell>
          <cell r="Y148">
            <v>0</v>
          </cell>
          <cell r="Z148" t="str">
            <v/>
          </cell>
        </row>
        <row r="149">
          <cell r="A149" t="str">
            <v>SU002618</v>
          </cell>
          <cell r="B149" t="str">
            <v>P003957</v>
          </cell>
          <cell r="C149">
            <v>4301051666</v>
          </cell>
          <cell r="D149">
            <v>4680115880092</v>
          </cell>
          <cell r="F149">
            <v>0.4</v>
          </cell>
          <cell r="G149">
            <v>6</v>
          </cell>
          <cell r="H149">
            <v>2.4</v>
          </cell>
          <cell r="I149">
            <v>2.6520000000000001</v>
          </cell>
          <cell r="J149">
            <v>182</v>
          </cell>
          <cell r="K149" t="str">
            <v>14</v>
          </cell>
          <cell r="L149" t="str">
            <v/>
          </cell>
          <cell r="M149" t="str">
            <v>СК3</v>
          </cell>
          <cell r="O149">
            <v>45</v>
          </cell>
          <cell r="P149" t="str">
            <v>Сосиски «Сочинки с сочной грудинкой» Фикс.вес 0,4 П/а мгс ТМ «Стародворье»</v>
          </cell>
          <cell r="U149" t="str">
            <v/>
          </cell>
          <cell r="V149" t="str">
            <v/>
          </cell>
          <cell r="W149" t="str">
            <v>кг</v>
          </cell>
          <cell r="X149">
            <v>0</v>
          </cell>
          <cell r="Y149">
            <v>0</v>
          </cell>
          <cell r="Z149" t="str">
            <v/>
          </cell>
        </row>
        <row r="150">
          <cell r="A150" t="str">
            <v>SU002621</v>
          </cell>
          <cell r="B150" t="str">
            <v>P003958</v>
          </cell>
          <cell r="C150">
            <v>4301051668</v>
          </cell>
          <cell r="D150">
            <v>4680115880221</v>
          </cell>
          <cell r="F150">
            <v>0.4</v>
          </cell>
          <cell r="G150">
            <v>6</v>
          </cell>
          <cell r="H150">
            <v>2.4</v>
          </cell>
          <cell r="I150">
            <v>2.6520000000000001</v>
          </cell>
          <cell r="J150">
            <v>182</v>
          </cell>
          <cell r="K150" t="str">
            <v>14</v>
          </cell>
          <cell r="L150" t="str">
            <v/>
          </cell>
          <cell r="M150" t="str">
            <v>СК3</v>
          </cell>
          <cell r="O150">
            <v>45</v>
          </cell>
          <cell r="P150" t="str">
            <v>Сосиски «Сочинки с сочным окороком» Фикс.вес 0,4 П/а мгс ТМ «Стародворье»</v>
          </cell>
          <cell r="U150" t="str">
            <v/>
          </cell>
          <cell r="V150" t="str">
            <v/>
          </cell>
          <cell r="W150" t="str">
            <v>кг</v>
          </cell>
          <cell r="X150">
            <v>0</v>
          </cell>
          <cell r="Y150">
            <v>0</v>
          </cell>
          <cell r="Z150" t="str">
            <v/>
          </cell>
        </row>
        <row r="151">
          <cell r="A151" t="str">
            <v>SU002844</v>
          </cell>
          <cell r="B151" t="str">
            <v>P003265</v>
          </cell>
          <cell r="C151">
            <v>4301051410</v>
          </cell>
          <cell r="D151">
            <v>4680115882164</v>
          </cell>
          <cell r="F151">
            <v>0.4</v>
          </cell>
          <cell r="G151">
            <v>6</v>
          </cell>
          <cell r="H151">
            <v>2.4</v>
          </cell>
          <cell r="I151">
            <v>2.6579999999999999</v>
          </cell>
          <cell r="J151">
            <v>182</v>
          </cell>
          <cell r="K151" t="str">
            <v>14</v>
          </cell>
          <cell r="L151" t="str">
            <v/>
          </cell>
          <cell r="M151" t="str">
            <v>СК3</v>
          </cell>
          <cell r="O151">
            <v>40</v>
          </cell>
          <cell r="P151" t="str">
            <v>Сосиски «Сочинки Сливочные» Фикс.вес 0,4 п/а мгс ТМ «Стародворье»</v>
          </cell>
          <cell r="U151" t="str">
            <v/>
          </cell>
          <cell r="V151" t="str">
            <v/>
          </cell>
          <cell r="W151" t="str">
            <v>кг</v>
          </cell>
          <cell r="X151">
            <v>0</v>
          </cell>
          <cell r="Y151">
            <v>0</v>
          </cell>
          <cell r="Z151" t="str">
            <v/>
          </cell>
        </row>
        <row r="152">
          <cell r="P152" t="str">
            <v>Итого</v>
          </cell>
          <cell r="W152" t="str">
            <v>кор</v>
          </cell>
          <cell r="X152">
            <v>0</v>
          </cell>
          <cell r="Y152">
            <v>0</v>
          </cell>
          <cell r="Z152">
            <v>0</v>
          </cell>
        </row>
        <row r="153">
          <cell r="P153" t="str">
            <v>Итого</v>
          </cell>
          <cell r="W153" t="str">
            <v>кг</v>
          </cell>
          <cell r="X153">
            <v>0</v>
          </cell>
          <cell r="Y153">
            <v>0</v>
          </cell>
        </row>
        <row r="154">
          <cell r="A154" t="str">
            <v>Сардельки</v>
          </cell>
        </row>
        <row r="155">
          <cell r="A155" t="str">
            <v>SU002758</v>
          </cell>
          <cell r="B155" t="str">
            <v>P003960</v>
          </cell>
          <cell r="C155">
            <v>4301060389</v>
          </cell>
          <cell r="D155">
            <v>4680115880801</v>
          </cell>
          <cell r="F155">
            <v>0.4</v>
          </cell>
          <cell r="G155">
            <v>6</v>
          </cell>
          <cell r="H155">
            <v>2.4</v>
          </cell>
          <cell r="I155">
            <v>2.6520000000000001</v>
          </cell>
          <cell r="J155">
            <v>182</v>
          </cell>
          <cell r="K155" t="str">
            <v>14</v>
          </cell>
          <cell r="L155" t="str">
            <v/>
          </cell>
          <cell r="M155" t="str">
            <v>СК3</v>
          </cell>
          <cell r="O155">
            <v>40</v>
          </cell>
          <cell r="P155" t="str">
            <v>Сардельки «Сочинки» Фикс.вес 0,4 п/а ТМ «Стародворье»</v>
          </cell>
          <cell r="U155" t="str">
            <v/>
          </cell>
          <cell r="V155" t="str">
            <v/>
          </cell>
          <cell r="W155" t="str">
            <v>кг</v>
          </cell>
          <cell r="X155">
            <v>0</v>
          </cell>
          <cell r="Y155">
            <v>0</v>
          </cell>
          <cell r="Z155" t="str">
            <v/>
          </cell>
        </row>
        <row r="156">
          <cell r="P156" t="str">
            <v>Итого</v>
          </cell>
          <cell r="W156" t="str">
            <v>кор</v>
          </cell>
          <cell r="X156">
            <v>0</v>
          </cell>
          <cell r="Y156">
            <v>0</v>
          </cell>
          <cell r="Z156">
            <v>0</v>
          </cell>
        </row>
        <row r="157">
          <cell r="P157" t="str">
            <v>Итого</v>
          </cell>
          <cell r="W157" t="str">
            <v>кг</v>
          </cell>
          <cell r="X157">
            <v>0</v>
          </cell>
          <cell r="Y157">
            <v>0</v>
          </cell>
        </row>
        <row r="158">
          <cell r="A158" t="str">
            <v>Стародворская</v>
          </cell>
        </row>
        <row r="159">
          <cell r="A159" t="str">
            <v>Вареные колбасы</v>
          </cell>
        </row>
        <row r="160">
          <cell r="A160" t="str">
            <v>SU003273</v>
          </cell>
          <cell r="B160" t="str">
            <v>P004070</v>
          </cell>
          <cell r="C160">
            <v>4301011826</v>
          </cell>
          <cell r="D160">
            <v>4680115884137</v>
          </cell>
          <cell r="F160">
            <v>1.45</v>
          </cell>
          <cell r="G160">
            <v>8</v>
          </cell>
          <cell r="H160">
            <v>11.6</v>
          </cell>
          <cell r="I160">
            <v>12.01</v>
          </cell>
          <cell r="J160">
            <v>64</v>
          </cell>
          <cell r="K160" t="str">
            <v>8</v>
          </cell>
          <cell r="L160" t="str">
            <v/>
          </cell>
          <cell r="M160" t="str">
            <v>СК1</v>
          </cell>
          <cell r="O160">
            <v>55</v>
          </cell>
          <cell r="P160" t="str">
            <v>Вареные колбасы «Молочная Стародворская с молоком» Весовой п/а ТМ «Стародворье»</v>
          </cell>
          <cell r="U160" t="str">
            <v/>
          </cell>
          <cell r="V160" t="str">
            <v/>
          </cell>
          <cell r="W160" t="str">
            <v>кг</v>
          </cell>
          <cell r="X160">
            <v>0</v>
          </cell>
          <cell r="Y160">
            <v>0</v>
          </cell>
          <cell r="Z160" t="str">
            <v/>
          </cell>
        </row>
        <row r="161">
          <cell r="A161" t="str">
            <v>SU003275</v>
          </cell>
          <cell r="B161" t="str">
            <v>P003950</v>
          </cell>
          <cell r="C161">
            <v>4301011724</v>
          </cell>
          <cell r="D161">
            <v>4680115884236</v>
          </cell>
          <cell r="F161">
            <v>1.45</v>
          </cell>
          <cell r="G161">
            <v>8</v>
          </cell>
          <cell r="H161">
            <v>11.6</v>
          </cell>
          <cell r="I161">
            <v>12.01</v>
          </cell>
          <cell r="J161">
            <v>64</v>
          </cell>
          <cell r="K161" t="str">
            <v>8</v>
          </cell>
          <cell r="L161" t="str">
            <v/>
          </cell>
          <cell r="M161" t="str">
            <v>СК1</v>
          </cell>
          <cell r="O161">
            <v>55</v>
          </cell>
          <cell r="P161" t="str">
            <v>Вареные колбасы «Стародворская со шпиком» Весовой п/а ТМ «Стародворье»</v>
          </cell>
          <cell r="U161" t="str">
            <v/>
          </cell>
          <cell r="V161" t="str">
            <v/>
          </cell>
          <cell r="W161" t="str">
            <v>кг</v>
          </cell>
          <cell r="X161">
            <v>0</v>
          </cell>
          <cell r="Y161">
            <v>0</v>
          </cell>
          <cell r="Z161" t="str">
            <v/>
          </cell>
        </row>
        <row r="162">
          <cell r="A162" t="str">
            <v>SU003271</v>
          </cell>
          <cell r="B162" t="str">
            <v>P003945</v>
          </cell>
          <cell r="C162">
            <v>4301011721</v>
          </cell>
          <cell r="D162">
            <v>4680115884175</v>
          </cell>
          <cell r="F162">
            <v>1.45</v>
          </cell>
          <cell r="G162">
            <v>8</v>
          </cell>
          <cell r="H162">
            <v>11.6</v>
          </cell>
          <cell r="I162">
            <v>12.01</v>
          </cell>
          <cell r="J162">
            <v>64</v>
          </cell>
          <cell r="K162" t="str">
            <v>8</v>
          </cell>
          <cell r="L162" t="str">
            <v/>
          </cell>
          <cell r="M162" t="str">
            <v>СК1</v>
          </cell>
          <cell r="O162">
            <v>55</v>
          </cell>
          <cell r="P162" t="str">
            <v>Вареные колбасы «Стародворская с окороком » Весовой п/а ТМ «Стародворье»</v>
          </cell>
          <cell r="U162" t="str">
            <v/>
          </cell>
          <cell r="V162" t="str">
            <v/>
          </cell>
          <cell r="W162" t="str">
            <v>кг</v>
          </cell>
          <cell r="X162">
            <v>0</v>
          </cell>
          <cell r="Y162">
            <v>0</v>
          </cell>
          <cell r="Z162" t="str">
            <v/>
          </cell>
        </row>
        <row r="163">
          <cell r="A163" t="str">
            <v>SU003274</v>
          </cell>
          <cell r="B163" t="str">
            <v>P005062</v>
          </cell>
          <cell r="C163">
            <v>4301012196</v>
          </cell>
          <cell r="D163">
            <v>4680115884144</v>
          </cell>
          <cell r="F163">
            <v>0.4</v>
          </cell>
          <cell r="G163">
            <v>10</v>
          </cell>
          <cell r="H163">
            <v>4</v>
          </cell>
          <cell r="I163">
            <v>4.1900000000000004</v>
          </cell>
          <cell r="J163">
            <v>132</v>
          </cell>
          <cell r="K163" t="str">
            <v>12</v>
          </cell>
          <cell r="L163" t="str">
            <v/>
          </cell>
          <cell r="M163" t="str">
            <v>СК1</v>
          </cell>
          <cell r="O163">
            <v>55</v>
          </cell>
          <cell r="P163" t="str">
            <v>Вареные колбасы «Молочная Стародворская с молоком» Фикс.вес 0,4 п/а ТМ «Стародворье»</v>
          </cell>
          <cell r="U163" t="str">
            <v/>
          </cell>
          <cell r="V163" t="str">
            <v/>
          </cell>
          <cell r="W163" t="str">
            <v>кг</v>
          </cell>
          <cell r="X163">
            <v>0</v>
          </cell>
          <cell r="Y163">
            <v>0</v>
          </cell>
          <cell r="Z163" t="str">
            <v/>
          </cell>
        </row>
        <row r="164">
          <cell r="A164" t="str">
            <v>SU003274</v>
          </cell>
          <cell r="B164" t="str">
            <v>P004067</v>
          </cell>
          <cell r="C164">
            <v>4301011824</v>
          </cell>
          <cell r="D164">
            <v>4680115884144</v>
          </cell>
          <cell r="F164">
            <v>0.4</v>
          </cell>
          <cell r="G164">
            <v>10</v>
          </cell>
          <cell r="H164">
            <v>4</v>
          </cell>
          <cell r="I164">
            <v>4.1900000000000004</v>
          </cell>
          <cell r="J164">
            <v>132</v>
          </cell>
          <cell r="K164" t="str">
            <v>12</v>
          </cell>
          <cell r="L164" t="str">
            <v/>
          </cell>
          <cell r="M164" t="str">
            <v>СК1</v>
          </cell>
          <cell r="O164">
            <v>55</v>
          </cell>
          <cell r="P164" t="str">
            <v>Вареные колбасы «Молочная Стародворская с молоком» ф/в 0,4 п/а ТМ «Стародворье»</v>
          </cell>
          <cell r="U164" t="str">
            <v/>
          </cell>
          <cell r="V164" t="str">
            <v/>
          </cell>
          <cell r="W164" t="str">
            <v>кг</v>
          </cell>
          <cell r="X164">
            <v>0</v>
          </cell>
          <cell r="Y164">
            <v>0</v>
          </cell>
          <cell r="Z164" t="str">
            <v/>
          </cell>
        </row>
        <row r="165">
          <cell r="A165" t="str">
            <v>SU003272</v>
          </cell>
          <cell r="B165" t="str">
            <v>P005061</v>
          </cell>
          <cell r="C165">
            <v>4301012195</v>
          </cell>
          <cell r="D165">
            <v>4680115884205</v>
          </cell>
          <cell r="F165">
            <v>0.4</v>
          </cell>
          <cell r="G165">
            <v>10</v>
          </cell>
          <cell r="H165">
            <v>4</v>
          </cell>
          <cell r="I165">
            <v>4.1900000000000004</v>
          </cell>
          <cell r="J165">
            <v>132</v>
          </cell>
          <cell r="K165" t="str">
            <v>12</v>
          </cell>
          <cell r="L165" t="str">
            <v/>
          </cell>
          <cell r="M165" t="str">
            <v>СК1</v>
          </cell>
          <cell r="O165">
            <v>55</v>
          </cell>
          <cell r="P165" t="str">
            <v>Вареные колбасы «Стародворская с окороком» Фикс.вес 0,4 п/а ТМ «Стародворье»</v>
          </cell>
          <cell r="U165" t="str">
            <v/>
          </cell>
          <cell r="V165" t="str">
            <v/>
          </cell>
          <cell r="W165" t="str">
            <v>кг</v>
          </cell>
          <cell r="X165">
            <v>0</v>
          </cell>
          <cell r="Y165">
            <v>0</v>
          </cell>
          <cell r="Z165" t="str">
            <v/>
          </cell>
        </row>
        <row r="166">
          <cell r="A166" t="str">
            <v>SU003272</v>
          </cell>
          <cell r="B166" t="str">
            <v>P003947</v>
          </cell>
          <cell r="C166">
            <v>4301011722</v>
          </cell>
          <cell r="D166">
            <v>4680115884205</v>
          </cell>
          <cell r="F166">
            <v>0.4</v>
          </cell>
          <cell r="G166">
            <v>10</v>
          </cell>
          <cell r="H166">
            <v>4</v>
          </cell>
          <cell r="I166">
            <v>4.1900000000000004</v>
          </cell>
          <cell r="J166">
            <v>132</v>
          </cell>
          <cell r="K166" t="str">
            <v>12</v>
          </cell>
          <cell r="L166" t="str">
            <v/>
          </cell>
          <cell r="M166" t="str">
            <v>СК1</v>
          </cell>
          <cell r="O166">
            <v>55</v>
          </cell>
          <cell r="P166" t="str">
            <v>Вареные колбасы «Стародворская с окороком» ф/в 0,4 п/а ТМ «Стародворье»</v>
          </cell>
          <cell r="U166" t="str">
            <v/>
          </cell>
          <cell r="V166" t="str">
            <v/>
          </cell>
          <cell r="W166" t="str">
            <v>кг</v>
          </cell>
          <cell r="X166">
            <v>0</v>
          </cell>
          <cell r="Y166">
            <v>0</v>
          </cell>
          <cell r="Z166" t="str">
            <v/>
          </cell>
        </row>
        <row r="167">
          <cell r="P167" t="str">
            <v>Итого</v>
          </cell>
          <cell r="W167" t="str">
            <v>кор</v>
          </cell>
          <cell r="X167">
            <v>0</v>
          </cell>
          <cell r="Y167">
            <v>0</v>
          </cell>
          <cell r="Z167">
            <v>0</v>
          </cell>
        </row>
        <row r="168">
          <cell r="P168" t="str">
            <v>Итого</v>
          </cell>
          <cell r="W168" t="str">
            <v>кг</v>
          </cell>
          <cell r="X168">
            <v>0</v>
          </cell>
          <cell r="Y168">
            <v>0</v>
          </cell>
        </row>
        <row r="169">
          <cell r="A169" t="str">
            <v>Филедворская по-стародворски</v>
          </cell>
        </row>
        <row r="170">
          <cell r="A170" t="str">
            <v>Вареные колбасы</v>
          </cell>
        </row>
        <row r="171">
          <cell r="A171" t="str">
            <v>SU003389</v>
          </cell>
          <cell r="B171" t="str">
            <v>P004212</v>
          </cell>
          <cell r="C171">
            <v>4301011855</v>
          </cell>
          <cell r="D171">
            <v>4680115885837</v>
          </cell>
          <cell r="F171">
            <v>1.35</v>
          </cell>
          <cell r="G171">
            <v>8</v>
          </cell>
          <cell r="H171">
            <v>10.8</v>
          </cell>
          <cell r="I171">
            <v>11.21</v>
          </cell>
          <cell r="J171">
            <v>64</v>
          </cell>
          <cell r="K171" t="str">
            <v>8</v>
          </cell>
          <cell r="L171" t="str">
            <v/>
          </cell>
          <cell r="M171" t="str">
            <v>СК1</v>
          </cell>
          <cell r="O171">
            <v>55</v>
          </cell>
          <cell r="P171" t="str">
            <v>Вареные колбасы «Молочная по-стародворски» Весовой п/а ТМ «Стародворье»</v>
          </cell>
          <cell r="U171" t="str">
            <v/>
          </cell>
          <cell r="V171" t="str">
            <v/>
          </cell>
          <cell r="W171" t="str">
            <v>кг</v>
          </cell>
          <cell r="X171">
            <v>0</v>
          </cell>
          <cell r="Y171">
            <v>0</v>
          </cell>
          <cell r="Z171" t="str">
            <v/>
          </cell>
        </row>
        <row r="172">
          <cell r="A172" t="str">
            <v>SU003391</v>
          </cell>
          <cell r="B172" t="str">
            <v>P004209</v>
          </cell>
          <cell r="C172">
            <v>4301011853</v>
          </cell>
          <cell r="D172">
            <v>4680115885851</v>
          </cell>
          <cell r="F172">
            <v>1.35</v>
          </cell>
          <cell r="G172">
            <v>8</v>
          </cell>
          <cell r="H172">
            <v>10.8</v>
          </cell>
          <cell r="I172">
            <v>11.21</v>
          </cell>
          <cell r="J172">
            <v>64</v>
          </cell>
          <cell r="K172" t="str">
            <v>8</v>
          </cell>
          <cell r="L172" t="str">
            <v/>
          </cell>
          <cell r="M172" t="str">
            <v>СК1</v>
          </cell>
          <cell r="O172">
            <v>55</v>
          </cell>
          <cell r="P172" t="str">
            <v>Вареные колбасы «Филедворская со шпиком по-стародворски» Весовой п/а ТМ «Стародворье»</v>
          </cell>
          <cell r="U172" t="str">
            <v/>
          </cell>
          <cell r="V172" t="str">
            <v/>
          </cell>
          <cell r="W172" t="str">
            <v>кг</v>
          </cell>
          <cell r="X172">
            <v>0</v>
          </cell>
          <cell r="Y172">
            <v>0</v>
          </cell>
          <cell r="Z172" t="str">
            <v/>
          </cell>
        </row>
        <row r="173">
          <cell r="A173" t="str">
            <v>SU003387</v>
          </cell>
          <cell r="B173" t="str">
            <v>P004206</v>
          </cell>
          <cell r="C173">
            <v>4301011850</v>
          </cell>
          <cell r="D173">
            <v>4680115885806</v>
          </cell>
          <cell r="F173">
            <v>1.35</v>
          </cell>
          <cell r="G173">
            <v>8</v>
          </cell>
          <cell r="H173">
            <v>10.8</v>
          </cell>
          <cell r="I173">
            <v>11.21</v>
          </cell>
          <cell r="J173">
            <v>64</v>
          </cell>
          <cell r="K173" t="str">
            <v>8</v>
          </cell>
          <cell r="L173" t="str">
            <v/>
          </cell>
          <cell r="M173" t="str">
            <v>СК1</v>
          </cell>
          <cell r="O173">
            <v>55</v>
          </cell>
          <cell r="P173" t="str">
            <v>Вареные колбасы «Филедворская по-стародворски» Весовой п/а ТМ «Стародворье»</v>
          </cell>
          <cell r="U173" t="str">
            <v/>
          </cell>
          <cell r="V173" t="str">
            <v/>
          </cell>
          <cell r="W173" t="str">
            <v>кг</v>
          </cell>
          <cell r="X173">
            <v>0</v>
          </cell>
          <cell r="Y173">
            <v>0</v>
          </cell>
          <cell r="Z173" t="str">
            <v/>
          </cell>
        </row>
        <row r="174">
          <cell r="A174" t="str">
            <v>SU003390</v>
          </cell>
          <cell r="B174" t="str">
            <v>P004208</v>
          </cell>
          <cell r="C174">
            <v>4301011852</v>
          </cell>
          <cell r="D174">
            <v>4680115885844</v>
          </cell>
          <cell r="F174">
            <v>0.4</v>
          </cell>
          <cell r="G174">
            <v>10</v>
          </cell>
          <cell r="H174">
            <v>4</v>
          </cell>
          <cell r="I174">
            <v>4.1900000000000004</v>
          </cell>
          <cell r="J174">
            <v>132</v>
          </cell>
          <cell r="K174" t="str">
            <v>12</v>
          </cell>
          <cell r="L174" t="str">
            <v/>
          </cell>
          <cell r="M174" t="str">
            <v>СК1</v>
          </cell>
          <cell r="O174">
            <v>55</v>
          </cell>
          <cell r="P174" t="str">
            <v>Вареные колбасы «Молочная по-стародворски» ф/в 0,4 п/а ТМ «Стародворье»</v>
          </cell>
          <cell r="U174" t="str">
            <v/>
          </cell>
          <cell r="V174" t="str">
            <v/>
          </cell>
          <cell r="W174" t="str">
            <v>кг</v>
          </cell>
          <cell r="X174">
            <v>0</v>
          </cell>
          <cell r="Y174">
            <v>0</v>
          </cell>
          <cell r="Z174" t="str">
            <v/>
          </cell>
        </row>
        <row r="175">
          <cell r="A175" t="str">
            <v>SU003388</v>
          </cell>
          <cell r="B175" t="str">
            <v>P004207</v>
          </cell>
          <cell r="C175">
            <v>4301011851</v>
          </cell>
          <cell r="D175">
            <v>4680115885820</v>
          </cell>
          <cell r="F175">
            <v>0.4</v>
          </cell>
          <cell r="G175">
            <v>10</v>
          </cell>
          <cell r="H175">
            <v>4</v>
          </cell>
          <cell r="I175">
            <v>4.1900000000000004</v>
          </cell>
          <cell r="J175">
            <v>132</v>
          </cell>
          <cell r="K175" t="str">
            <v>12</v>
          </cell>
          <cell r="L175" t="str">
            <v/>
          </cell>
          <cell r="M175" t="str">
            <v>СК1</v>
          </cell>
          <cell r="O175">
            <v>55</v>
          </cell>
          <cell r="P175" t="str">
            <v>Вареные колбасы «Филедворская по-стародворски» ф/в 0,4 п/а ТМ «Стародворье»</v>
          </cell>
          <cell r="U175" t="str">
            <v/>
          </cell>
          <cell r="V175" t="str">
            <v/>
          </cell>
          <cell r="W175" t="str">
            <v>кг</v>
          </cell>
          <cell r="X175">
            <v>0</v>
          </cell>
          <cell r="Y175">
            <v>0</v>
          </cell>
          <cell r="Z175" t="str">
            <v/>
          </cell>
        </row>
        <row r="176">
          <cell r="P176" t="str">
            <v>Итого</v>
          </cell>
          <cell r="W176" t="str">
            <v>кор</v>
          </cell>
          <cell r="X176">
            <v>0</v>
          </cell>
          <cell r="Y176">
            <v>0</v>
          </cell>
          <cell r="Z176">
            <v>0</v>
          </cell>
        </row>
        <row r="177">
          <cell r="P177" t="str">
            <v>Итого</v>
          </cell>
          <cell r="W177" t="str">
            <v>кг</v>
          </cell>
          <cell r="X177">
            <v>0</v>
          </cell>
          <cell r="Y177">
            <v>0</v>
          </cell>
        </row>
        <row r="178">
          <cell r="A178" t="str">
            <v>Стародворская Золоченная в печи</v>
          </cell>
        </row>
        <row r="179">
          <cell r="A179" t="str">
            <v>Вареные колбасы</v>
          </cell>
        </row>
        <row r="180">
          <cell r="A180" t="str">
            <v>SU002201</v>
          </cell>
          <cell r="B180" t="str">
            <v>P002567</v>
          </cell>
          <cell r="C180">
            <v>4301011223</v>
          </cell>
          <cell r="D180">
            <v>4607091383423</v>
          </cell>
          <cell r="F180">
            <v>1.35</v>
          </cell>
          <cell r="G180">
            <v>8</v>
          </cell>
          <cell r="H180">
            <v>10.8</v>
          </cell>
          <cell r="I180">
            <v>11.305999999999999</v>
          </cell>
          <cell r="J180">
            <v>64</v>
          </cell>
          <cell r="K180" t="str">
            <v>8</v>
          </cell>
          <cell r="L180" t="str">
            <v/>
          </cell>
          <cell r="M180" t="str">
            <v>СК3</v>
          </cell>
          <cell r="O180">
            <v>35</v>
          </cell>
          <cell r="P180" t="str">
            <v>Вареные колбасы Докторская ГОСТ Золоченная в печи Весовые ц/о в/у Стародворье</v>
          </cell>
          <cell r="U180" t="str">
            <v/>
          </cell>
          <cell r="V180" t="str">
            <v/>
          </cell>
          <cell r="W180" t="str">
            <v>кг</v>
          </cell>
          <cell r="X180">
            <v>0</v>
          </cell>
          <cell r="Y180">
            <v>0</v>
          </cell>
          <cell r="Z180" t="str">
            <v/>
          </cell>
        </row>
        <row r="181">
          <cell r="A181" t="str">
            <v>SU003946</v>
          </cell>
          <cell r="B181" t="str">
            <v>P005063</v>
          </cell>
          <cell r="C181">
            <v>4301012199</v>
          </cell>
          <cell r="D181">
            <v>4680115886957</v>
          </cell>
          <cell r="F181">
            <v>1.35</v>
          </cell>
          <cell r="G181">
            <v>8</v>
          </cell>
          <cell r="H181">
            <v>10.8</v>
          </cell>
          <cell r="I181">
            <v>11.21</v>
          </cell>
          <cell r="J181">
            <v>64</v>
          </cell>
          <cell r="K181" t="str">
            <v>8</v>
          </cell>
          <cell r="L181" t="str">
            <v/>
          </cell>
          <cell r="M181" t="str">
            <v>СК3</v>
          </cell>
          <cell r="O181">
            <v>30</v>
          </cell>
          <cell r="P181" t="str">
            <v>Вареные колбасы «со шпиком» Весовой фиброуз ТМ «Стародворье»</v>
          </cell>
          <cell r="U181" t="str">
            <v/>
          </cell>
          <cell r="V181" t="str">
            <v/>
          </cell>
          <cell r="W181" t="str">
            <v>кг</v>
          </cell>
          <cell r="X181">
            <v>0</v>
          </cell>
          <cell r="Y181">
            <v>0</v>
          </cell>
          <cell r="Z181" t="str">
            <v/>
          </cell>
        </row>
        <row r="182">
          <cell r="P182" t="str">
            <v>Итого</v>
          </cell>
          <cell r="W182" t="str">
            <v>кор</v>
          </cell>
          <cell r="X182">
            <v>0</v>
          </cell>
          <cell r="Y182">
            <v>0</v>
          </cell>
          <cell r="Z182">
            <v>0</v>
          </cell>
        </row>
        <row r="183">
          <cell r="P183" t="str">
            <v>Итого</v>
          </cell>
          <cell r="W183" t="str">
            <v>кг</v>
          </cell>
          <cell r="X183">
            <v>0</v>
          </cell>
          <cell r="Y183">
            <v>0</v>
          </cell>
        </row>
        <row r="184">
          <cell r="A184" t="str">
            <v>Сочинка по-баварски</v>
          </cell>
        </row>
        <row r="185">
          <cell r="A185" t="str">
            <v>Сосиски</v>
          </cell>
        </row>
        <row r="186">
          <cell r="A186" t="str">
            <v>SU002799</v>
          </cell>
          <cell r="B186" t="str">
            <v>P003217</v>
          </cell>
          <cell r="C186">
            <v>4301051388</v>
          </cell>
          <cell r="D186">
            <v>4680115881211</v>
          </cell>
          <cell r="F186">
            <v>0.4</v>
          </cell>
          <cell r="G186">
            <v>6</v>
          </cell>
          <cell r="H186">
            <v>2.4</v>
          </cell>
          <cell r="I186">
            <v>2.58</v>
          </cell>
          <cell r="J186">
            <v>182</v>
          </cell>
          <cell r="K186" t="str">
            <v>14</v>
          </cell>
          <cell r="L186" t="str">
            <v/>
          </cell>
          <cell r="M186" t="str">
            <v>СК3</v>
          </cell>
          <cell r="O186">
            <v>45</v>
          </cell>
          <cell r="P186" t="str">
            <v>Сосиски Сочинки по-баварски Бавария Фикс.вес 0,4 П/а мгс Стародворье</v>
          </cell>
          <cell r="U186" t="str">
            <v/>
          </cell>
          <cell r="V186" t="str">
            <v/>
          </cell>
          <cell r="W186" t="str">
            <v>кг</v>
          </cell>
          <cell r="X186">
            <v>0</v>
          </cell>
          <cell r="Y186">
            <v>0</v>
          </cell>
          <cell r="Z186" t="str">
            <v/>
          </cell>
        </row>
        <row r="187">
          <cell r="P187" t="str">
            <v>Итого</v>
          </cell>
          <cell r="W187" t="str">
            <v>кор</v>
          </cell>
          <cell r="X187">
            <v>0</v>
          </cell>
          <cell r="Y187">
            <v>0</v>
          </cell>
          <cell r="Z187">
            <v>0</v>
          </cell>
        </row>
        <row r="188">
          <cell r="P188" t="str">
            <v>Итого</v>
          </cell>
          <cell r="W188" t="str">
            <v>кг</v>
          </cell>
          <cell r="X188">
            <v>0</v>
          </cell>
          <cell r="Y188">
            <v>0</v>
          </cell>
        </row>
        <row r="189">
          <cell r="A189" t="str">
            <v>Стародворская EDLP/EDPP</v>
          </cell>
        </row>
        <row r="190">
          <cell r="A190" t="str">
            <v>Сосиски</v>
          </cell>
        </row>
        <row r="191">
          <cell r="A191" t="str">
            <v>SU003340</v>
          </cell>
          <cell r="B191" t="str">
            <v>P004090</v>
          </cell>
          <cell r="C191">
            <v>4301051782</v>
          </cell>
          <cell r="D191">
            <v>4680115884618</v>
          </cell>
          <cell r="F191">
            <v>0.6</v>
          </cell>
          <cell r="G191">
            <v>6</v>
          </cell>
          <cell r="H191">
            <v>3.6</v>
          </cell>
          <cell r="I191">
            <v>3.79</v>
          </cell>
          <cell r="J191">
            <v>132</v>
          </cell>
          <cell r="K191" t="str">
            <v>12</v>
          </cell>
          <cell r="L191" t="str">
            <v/>
          </cell>
          <cell r="M191" t="str">
            <v>СК3</v>
          </cell>
          <cell r="O191">
            <v>45</v>
          </cell>
          <cell r="P191" t="str">
            <v>Сосиски «Венские» ф/в 0,6 п/а ТМ «Стародворье»</v>
          </cell>
          <cell r="U191" t="str">
            <v/>
          </cell>
          <cell r="V191" t="str">
            <v/>
          </cell>
          <cell r="W191" t="str">
            <v>кг</v>
          </cell>
          <cell r="X191">
            <v>0</v>
          </cell>
          <cell r="Y191">
            <v>0</v>
          </cell>
          <cell r="Z191" t="str">
            <v/>
          </cell>
        </row>
        <row r="192">
          <cell r="P192" t="str">
            <v>Итого</v>
          </cell>
          <cell r="W192" t="str">
            <v>кор</v>
          </cell>
          <cell r="X192">
            <v>0</v>
          </cell>
          <cell r="Y192">
            <v>0</v>
          </cell>
          <cell r="Z192">
            <v>0</v>
          </cell>
        </row>
        <row r="193">
          <cell r="P193" t="str">
            <v>Итого</v>
          </cell>
          <cell r="W193" t="str">
            <v>кг</v>
          </cell>
          <cell r="X193">
            <v>0</v>
          </cell>
          <cell r="Y193">
            <v>0</v>
          </cell>
        </row>
        <row r="194">
          <cell r="A194" t="str">
            <v>Бордо</v>
          </cell>
        </row>
        <row r="195">
          <cell r="A195" t="str">
            <v>Вареные колбасы</v>
          </cell>
        </row>
        <row r="196">
          <cell r="A196" t="str">
            <v>SU003394</v>
          </cell>
          <cell r="B196" t="str">
            <v>P004213</v>
          </cell>
          <cell r="C196">
            <v>4301012024</v>
          </cell>
          <cell r="D196">
            <v>4680115885615</v>
          </cell>
          <cell r="F196">
            <v>1.35</v>
          </cell>
          <cell r="G196">
            <v>8</v>
          </cell>
          <cell r="H196">
            <v>10.8</v>
          </cell>
          <cell r="I196">
            <v>11.21</v>
          </cell>
          <cell r="J196">
            <v>64</v>
          </cell>
          <cell r="K196" t="str">
            <v>8</v>
          </cell>
          <cell r="L196" t="str">
            <v/>
          </cell>
          <cell r="M196" t="str">
            <v>СК3</v>
          </cell>
          <cell r="O196">
            <v>55</v>
          </cell>
          <cell r="P196" t="str">
            <v>Вареные колбасы «Молочная Традиционная» Весовой п/а ТМ «Стародворье»</v>
          </cell>
          <cell r="U196" t="str">
            <v/>
          </cell>
          <cell r="V196" t="str">
            <v/>
          </cell>
          <cell r="W196" t="str">
            <v>кг</v>
          </cell>
          <cell r="X196">
            <v>0</v>
          </cell>
          <cell r="Y196">
            <v>0</v>
          </cell>
          <cell r="Z196" t="str">
            <v/>
          </cell>
        </row>
        <row r="197">
          <cell r="A197" t="str">
            <v>SU003396</v>
          </cell>
          <cell r="B197" t="str">
            <v>P004215</v>
          </cell>
          <cell r="C197">
            <v>4301011858</v>
          </cell>
          <cell r="D197">
            <v>4680115885646</v>
          </cell>
          <cell r="F197">
            <v>1.35</v>
          </cell>
          <cell r="G197">
            <v>8</v>
          </cell>
          <cell r="H197">
            <v>10.8</v>
          </cell>
          <cell r="I197">
            <v>11.21</v>
          </cell>
          <cell r="J197">
            <v>64</v>
          </cell>
          <cell r="K197" t="str">
            <v>8</v>
          </cell>
          <cell r="L197" t="str">
            <v/>
          </cell>
          <cell r="M197" t="str">
            <v>СК1</v>
          </cell>
          <cell r="O197">
            <v>55</v>
          </cell>
          <cell r="P197" t="str">
            <v>Вареные колбасы «Стародворская Традиционная со шпиком» Весовой п/а ТМ «Стародворье»</v>
          </cell>
          <cell r="U197" t="str">
            <v/>
          </cell>
          <cell r="V197" t="str">
            <v/>
          </cell>
          <cell r="W197" t="str">
            <v>кг</v>
          </cell>
          <cell r="X197">
            <v>0</v>
          </cell>
          <cell r="Y197">
            <v>0</v>
          </cell>
          <cell r="Z197" t="str">
            <v/>
          </cell>
        </row>
        <row r="198">
          <cell r="A198" t="str">
            <v>SU003392</v>
          </cell>
          <cell r="B198" t="str">
            <v>P004210</v>
          </cell>
          <cell r="C198">
            <v>4301012016</v>
          </cell>
          <cell r="D198">
            <v>4680115885554</v>
          </cell>
          <cell r="F198">
            <v>1.35</v>
          </cell>
          <cell r="G198">
            <v>8</v>
          </cell>
          <cell r="H198">
            <v>10.8</v>
          </cell>
          <cell r="I198">
            <v>11.21</v>
          </cell>
          <cell r="J198">
            <v>64</v>
          </cell>
          <cell r="K198" t="str">
            <v>8</v>
          </cell>
          <cell r="L198" t="str">
            <v/>
          </cell>
          <cell r="M198" t="str">
            <v>СК3</v>
          </cell>
          <cell r="O198">
            <v>55</v>
          </cell>
          <cell r="P198" t="str">
            <v>Вареные колбасы «Стародворская Традиционная» Весовой п/а ТМ «Стародворье»</v>
          </cell>
          <cell r="U198" t="str">
            <v/>
          </cell>
          <cell r="V198" t="str">
            <v/>
          </cell>
          <cell r="W198" t="str">
            <v>кг</v>
          </cell>
          <cell r="X198">
            <v>0</v>
          </cell>
          <cell r="Y198">
            <v>0</v>
          </cell>
          <cell r="Z198" t="str">
            <v/>
          </cell>
        </row>
        <row r="199">
          <cell r="A199" t="str">
            <v>SU003395</v>
          </cell>
          <cell r="B199" t="str">
            <v>P004214</v>
          </cell>
          <cell r="C199">
            <v>4301011857</v>
          </cell>
          <cell r="D199">
            <v>4680115885622</v>
          </cell>
          <cell r="F199">
            <v>0.4</v>
          </cell>
          <cell r="G199">
            <v>10</v>
          </cell>
          <cell r="H199">
            <v>4</v>
          </cell>
          <cell r="I199">
            <v>4.1900000000000004</v>
          </cell>
          <cell r="J199">
            <v>132</v>
          </cell>
          <cell r="K199" t="str">
            <v>12</v>
          </cell>
          <cell r="L199" t="str">
            <v/>
          </cell>
          <cell r="M199" t="str">
            <v>СК1</v>
          </cell>
          <cell r="O199">
            <v>55</v>
          </cell>
          <cell r="P199" t="str">
            <v>Вареные колбасы «Молочная Традиционная» ф/в 0,4 п/а ТМ «Стародворье»</v>
          </cell>
          <cell r="U199" t="str">
            <v/>
          </cell>
          <cell r="V199" t="str">
            <v/>
          </cell>
          <cell r="W199" t="str">
            <v>кг</v>
          </cell>
          <cell r="X199">
            <v>0</v>
          </cell>
          <cell r="Y199">
            <v>0</v>
          </cell>
          <cell r="Z199" t="str">
            <v/>
          </cell>
        </row>
        <row r="200">
          <cell r="A200" t="str">
            <v>SU003393</v>
          </cell>
          <cell r="B200" t="str">
            <v>P004211</v>
          </cell>
          <cell r="C200">
            <v>4301011859</v>
          </cell>
          <cell r="D200">
            <v>4680115885608</v>
          </cell>
          <cell r="F200">
            <v>0.4</v>
          </cell>
          <cell r="G200">
            <v>10</v>
          </cell>
          <cell r="H200">
            <v>4</v>
          </cell>
          <cell r="I200">
            <v>4.1900000000000004</v>
          </cell>
          <cell r="J200">
            <v>132</v>
          </cell>
          <cell r="K200" t="str">
            <v>12</v>
          </cell>
          <cell r="L200" t="str">
            <v/>
          </cell>
          <cell r="M200" t="str">
            <v>СК1</v>
          </cell>
          <cell r="O200">
            <v>55</v>
          </cell>
          <cell r="P200" t="str">
            <v>Вареные колбасы «Стародворская Традиционная» ф/в 0,4 п/а ТМ «Стародворье»</v>
          </cell>
          <cell r="U200" t="str">
            <v/>
          </cell>
          <cell r="V200" t="str">
            <v/>
          </cell>
          <cell r="W200" t="str">
            <v>кг</v>
          </cell>
          <cell r="X200">
            <v>0</v>
          </cell>
          <cell r="Y200">
            <v>0</v>
          </cell>
          <cell r="Z200" t="str">
            <v/>
          </cell>
        </row>
        <row r="201">
          <cell r="P201" t="str">
            <v>Итого</v>
          </cell>
          <cell r="W201" t="str">
            <v>кор</v>
          </cell>
          <cell r="X201">
            <v>0</v>
          </cell>
          <cell r="Y201">
            <v>0</v>
          </cell>
          <cell r="Z201">
            <v>0</v>
          </cell>
        </row>
        <row r="202">
          <cell r="P202" t="str">
            <v>Итого</v>
          </cell>
          <cell r="W202" t="str">
            <v>кг</v>
          </cell>
          <cell r="X202">
            <v>0</v>
          </cell>
          <cell r="Y202">
            <v>0</v>
          </cell>
        </row>
        <row r="203">
          <cell r="A203" t="str">
            <v>Копченые колбасы</v>
          </cell>
        </row>
        <row r="204">
          <cell r="A204" t="str">
            <v>SU001820</v>
          </cell>
          <cell r="B204" t="str">
            <v>P001820</v>
          </cell>
          <cell r="C204">
            <v>4301030878</v>
          </cell>
          <cell r="D204">
            <v>4607091387193</v>
          </cell>
          <cell r="F204">
            <v>0.7</v>
          </cell>
          <cell r="G204">
            <v>6</v>
          </cell>
          <cell r="H204">
            <v>4.2</v>
          </cell>
          <cell r="I204">
            <v>4.45</v>
          </cell>
          <cell r="J204">
            <v>132</v>
          </cell>
          <cell r="K204" t="str">
            <v>12</v>
          </cell>
          <cell r="L204" t="str">
            <v/>
          </cell>
          <cell r="M204" t="str">
            <v>СК2</v>
          </cell>
          <cell r="O204">
            <v>35</v>
          </cell>
          <cell r="P204" t="str">
            <v>В/к колбасы Зернистый Бордо Весовые Фиброуз в/у Стародворье</v>
          </cell>
          <cell r="U204" t="str">
            <v/>
          </cell>
          <cell r="V204" t="str">
            <v/>
          </cell>
          <cell r="W204" t="str">
            <v>кг</v>
          </cell>
          <cell r="X204">
            <v>0</v>
          </cell>
          <cell r="Y204">
            <v>0</v>
          </cell>
          <cell r="Z204" t="str">
            <v/>
          </cell>
        </row>
        <row r="205">
          <cell r="A205" t="str">
            <v>SU001822</v>
          </cell>
          <cell r="B205" t="str">
            <v>P003013</v>
          </cell>
          <cell r="C205">
            <v>4301031153</v>
          </cell>
          <cell r="D205">
            <v>4607091387230</v>
          </cell>
          <cell r="F205">
            <v>0.7</v>
          </cell>
          <cell r="G205">
            <v>6</v>
          </cell>
          <cell r="H205">
            <v>4.2</v>
          </cell>
          <cell r="I205">
            <v>4.45</v>
          </cell>
          <cell r="J205">
            <v>132</v>
          </cell>
          <cell r="K205" t="str">
            <v>12</v>
          </cell>
          <cell r="L205" t="str">
            <v/>
          </cell>
          <cell r="M205" t="str">
            <v>СК2</v>
          </cell>
          <cell r="O205">
            <v>40</v>
          </cell>
          <cell r="P205" t="str">
            <v>В/к колбасы Кремлевский Бордо Весовые Фиброуз в/у Стародворье</v>
          </cell>
          <cell r="U205" t="str">
            <v/>
          </cell>
          <cell r="V205" t="str">
            <v/>
          </cell>
          <cell r="W205" t="str">
            <v>кг</v>
          </cell>
          <cell r="X205">
            <v>0</v>
          </cell>
          <cell r="Y205">
            <v>0</v>
          </cell>
          <cell r="Z205" t="str">
            <v/>
          </cell>
        </row>
        <row r="206">
          <cell r="A206" t="str">
            <v>SU001801</v>
          </cell>
          <cell r="B206" t="str">
            <v>P003014</v>
          </cell>
          <cell r="C206">
            <v>4301031154</v>
          </cell>
          <cell r="D206">
            <v>4607091387292</v>
          </cell>
          <cell r="F206">
            <v>0.73</v>
          </cell>
          <cell r="G206">
            <v>6</v>
          </cell>
          <cell r="H206">
            <v>4.38</v>
          </cell>
          <cell r="I206">
            <v>4.63</v>
          </cell>
          <cell r="J206">
            <v>132</v>
          </cell>
          <cell r="K206" t="str">
            <v>12</v>
          </cell>
          <cell r="L206" t="str">
            <v/>
          </cell>
          <cell r="M206" t="str">
            <v>СК2</v>
          </cell>
          <cell r="O206">
            <v>45</v>
          </cell>
          <cell r="P206" t="str">
            <v>В/к колбасы Сервелатная По-стародворски Фирменная Весовые Фиброуз в/у Стародворье</v>
          </cell>
          <cell r="U206" t="str">
            <v/>
          </cell>
          <cell r="V206" t="str">
            <v/>
          </cell>
          <cell r="W206" t="str">
            <v>кг</v>
          </cell>
          <cell r="X206">
            <v>0</v>
          </cell>
          <cell r="Y206">
            <v>0</v>
          </cell>
          <cell r="Z206" t="str">
            <v/>
          </cell>
        </row>
        <row r="207">
          <cell r="A207" t="str">
            <v>SU002579</v>
          </cell>
          <cell r="B207" t="str">
            <v>P003012</v>
          </cell>
          <cell r="C207">
            <v>4301031152</v>
          </cell>
          <cell r="D207">
            <v>4607091387285</v>
          </cell>
          <cell r="F207">
            <v>0.35</v>
          </cell>
          <cell r="G207">
            <v>6</v>
          </cell>
          <cell r="H207">
            <v>2.1</v>
          </cell>
          <cell r="I207">
            <v>2.23</v>
          </cell>
          <cell r="J207">
            <v>234</v>
          </cell>
          <cell r="K207" t="str">
            <v>18</v>
          </cell>
          <cell r="L207" t="str">
            <v/>
          </cell>
          <cell r="M207" t="str">
            <v>СК2</v>
          </cell>
          <cell r="O207">
            <v>40</v>
          </cell>
          <cell r="P207" t="str">
            <v>В/к колбасы Кремлевский срез Бордо Фикс.вес 0,35 Фиброуз в/у Стародворье</v>
          </cell>
          <cell r="U207" t="str">
            <v/>
          </cell>
          <cell r="V207" t="str">
            <v/>
          </cell>
          <cell r="W207" t="str">
            <v>кг</v>
          </cell>
          <cell r="X207">
            <v>0</v>
          </cell>
          <cell r="Y207">
            <v>0</v>
          </cell>
          <cell r="Z207" t="str">
            <v/>
          </cell>
        </row>
        <row r="208">
          <cell r="A208" t="str">
            <v>SU002617</v>
          </cell>
          <cell r="B208" t="str">
            <v>P004229</v>
          </cell>
          <cell r="C208">
            <v>4301031305</v>
          </cell>
          <cell r="D208">
            <v>4607091389845</v>
          </cell>
          <cell r="F208">
            <v>0.35</v>
          </cell>
          <cell r="G208">
            <v>6</v>
          </cell>
          <cell r="H208">
            <v>2.1</v>
          </cell>
          <cell r="I208">
            <v>2.2000000000000002</v>
          </cell>
          <cell r="J208">
            <v>234</v>
          </cell>
          <cell r="K208" t="str">
            <v>18</v>
          </cell>
          <cell r="L208" t="str">
            <v/>
          </cell>
          <cell r="M208" t="str">
            <v>СК2</v>
          </cell>
          <cell r="O208">
            <v>40</v>
          </cell>
          <cell r="P208" t="str">
            <v>В/к колбасы Сервелат Филедворский срез Бордо Фикс.вес 0,35 фиброуз в/у стародворье</v>
          </cell>
          <cell r="U208" t="str">
            <v/>
          </cell>
          <cell r="V208" t="str">
            <v/>
          </cell>
          <cell r="W208" t="str">
            <v>кг</v>
          </cell>
          <cell r="X208">
            <v>0</v>
          </cell>
          <cell r="Y208">
            <v>0</v>
          </cell>
          <cell r="Z208" t="str">
            <v/>
          </cell>
        </row>
        <row r="209">
          <cell r="A209" t="str">
            <v>SU002252</v>
          </cell>
          <cell r="B209" t="str">
            <v>P002461</v>
          </cell>
          <cell r="C209">
            <v>4301031066</v>
          </cell>
          <cell r="D209">
            <v>4607091383836</v>
          </cell>
          <cell r="F209">
            <v>0.3</v>
          </cell>
          <cell r="G209">
            <v>6</v>
          </cell>
          <cell r="H209">
            <v>1.8</v>
          </cell>
          <cell r="I209">
            <v>2.028</v>
          </cell>
          <cell r="J209">
            <v>182</v>
          </cell>
          <cell r="K209" t="str">
            <v>14</v>
          </cell>
          <cell r="L209" t="str">
            <v/>
          </cell>
          <cell r="M209" t="str">
            <v>СК2</v>
          </cell>
          <cell r="O209">
            <v>40</v>
          </cell>
          <cell r="P209" t="str">
            <v>П/к колбасы Кракушка пряная с сальцем Бавария Фикс.вес 0,3 н/о в/у Стародворье</v>
          </cell>
          <cell r="U209" t="str">
            <v/>
          </cell>
          <cell r="V209" t="str">
            <v/>
          </cell>
          <cell r="W209" t="str">
            <v>кг</v>
          </cell>
          <cell r="X209">
            <v>0</v>
          </cell>
          <cell r="Y209">
            <v>0</v>
          </cell>
          <cell r="Z209" t="str">
            <v/>
          </cell>
        </row>
        <row r="210">
          <cell r="P210" t="str">
            <v>Итого</v>
          </cell>
          <cell r="W210" t="str">
            <v>кор</v>
          </cell>
          <cell r="X210">
            <v>0</v>
          </cell>
          <cell r="Y210">
            <v>0</v>
          </cell>
          <cell r="Z210">
            <v>0</v>
          </cell>
        </row>
        <row r="211">
          <cell r="P211" t="str">
            <v>Итого</v>
          </cell>
          <cell r="W211" t="str">
            <v>кг</v>
          </cell>
          <cell r="X211">
            <v>0</v>
          </cell>
          <cell r="Y211">
            <v>0</v>
          </cell>
        </row>
        <row r="212">
          <cell r="A212" t="str">
            <v>Сосиски</v>
          </cell>
        </row>
        <row r="213">
          <cell r="A213" t="str">
            <v>SU001340</v>
          </cell>
          <cell r="B213" t="str">
            <v>P002209</v>
          </cell>
          <cell r="C213">
            <v>4301051100</v>
          </cell>
          <cell r="D213">
            <v>4607091387766</v>
          </cell>
          <cell r="F213">
            <v>1.3</v>
          </cell>
          <cell r="G213">
            <v>6</v>
          </cell>
          <cell r="H213">
            <v>7.8</v>
          </cell>
          <cell r="I213">
            <v>8.2880000000000003</v>
          </cell>
          <cell r="J213">
            <v>64</v>
          </cell>
          <cell r="K213" t="str">
            <v>8</v>
          </cell>
          <cell r="L213" t="str">
            <v/>
          </cell>
          <cell r="M213" t="str">
            <v>СК3</v>
          </cell>
          <cell r="O213">
            <v>40</v>
          </cell>
          <cell r="P213" t="str">
            <v>Сосиски Ганноверские Бордо Весовые П/а мгс Баварушка</v>
          </cell>
          <cell r="U213" t="str">
            <v/>
          </cell>
          <cell r="V213" t="str">
            <v/>
          </cell>
          <cell r="W213" t="str">
            <v>кг</v>
          </cell>
          <cell r="X213">
            <v>0</v>
          </cell>
          <cell r="Y213">
            <v>0</v>
          </cell>
          <cell r="Z213" t="str">
            <v/>
          </cell>
        </row>
        <row r="214">
          <cell r="A214" t="str">
            <v>SU001727</v>
          </cell>
          <cell r="B214" t="str">
            <v>P002205</v>
          </cell>
          <cell r="C214">
            <v>4301051818</v>
          </cell>
          <cell r="D214">
            <v>4607091387957</v>
          </cell>
          <cell r="F214">
            <v>1.3</v>
          </cell>
          <cell r="G214">
            <v>6</v>
          </cell>
          <cell r="H214">
            <v>7.8</v>
          </cell>
          <cell r="I214">
            <v>8.2940000000000005</v>
          </cell>
          <cell r="J214">
            <v>64</v>
          </cell>
          <cell r="K214" t="str">
            <v>8</v>
          </cell>
          <cell r="L214" t="str">
            <v/>
          </cell>
          <cell r="M214" t="str">
            <v>СК3</v>
          </cell>
          <cell r="O214">
            <v>40</v>
          </cell>
          <cell r="P214" t="str">
            <v>Сосиски Молочные по-стародворски Бордо Весовые П/а мгс Стародворье</v>
          </cell>
          <cell r="U214" t="str">
            <v/>
          </cell>
          <cell r="V214" t="str">
            <v/>
          </cell>
          <cell r="W214" t="str">
            <v>кг</v>
          </cell>
          <cell r="X214">
            <v>0</v>
          </cell>
          <cell r="Y214">
            <v>0</v>
          </cell>
          <cell r="Z214" t="str">
            <v/>
          </cell>
        </row>
        <row r="215">
          <cell r="A215" t="str">
            <v>SU001728</v>
          </cell>
          <cell r="B215" t="str">
            <v>P002207</v>
          </cell>
          <cell r="C215">
            <v>4301051819</v>
          </cell>
          <cell r="D215">
            <v>4607091387964</v>
          </cell>
          <cell r="F215">
            <v>1.35</v>
          </cell>
          <cell r="G215">
            <v>6</v>
          </cell>
          <cell r="H215">
            <v>8.1</v>
          </cell>
          <cell r="I215">
            <v>8.5760000000000005</v>
          </cell>
          <cell r="J215">
            <v>64</v>
          </cell>
          <cell r="K215" t="str">
            <v>8</v>
          </cell>
          <cell r="L215" t="str">
            <v/>
          </cell>
          <cell r="M215" t="str">
            <v>СК3</v>
          </cell>
          <cell r="O215">
            <v>40</v>
          </cell>
          <cell r="P215" t="str">
            <v>Сосиски Сливочные по-стародворски Бордо Весовые П/а мгс Стародворье</v>
          </cell>
          <cell r="U215" t="str">
            <v/>
          </cell>
          <cell r="V215" t="str">
            <v/>
          </cell>
          <cell r="W215" t="str">
            <v>кг</v>
          </cell>
          <cell r="X215">
            <v>0</v>
          </cell>
          <cell r="Y215">
            <v>0</v>
          </cell>
          <cell r="Z215" t="str">
            <v/>
          </cell>
        </row>
        <row r="216">
          <cell r="A216" t="str">
            <v>SU003333</v>
          </cell>
          <cell r="B216" t="str">
            <v>P004082</v>
          </cell>
          <cell r="C216">
            <v>4301051734</v>
          </cell>
          <cell r="D216">
            <v>4680115884588</v>
          </cell>
          <cell r="F216">
            <v>0.5</v>
          </cell>
          <cell r="G216">
            <v>6</v>
          </cell>
          <cell r="H216">
            <v>3</v>
          </cell>
          <cell r="I216">
            <v>3.246</v>
          </cell>
          <cell r="J216">
            <v>182</v>
          </cell>
          <cell r="K216" t="str">
            <v>14</v>
          </cell>
          <cell r="L216" t="str">
            <v/>
          </cell>
          <cell r="M216" t="str">
            <v>СК3</v>
          </cell>
          <cell r="O216">
            <v>40</v>
          </cell>
          <cell r="P216" t="str">
            <v>Сосиски «Ганноверские» Фикс.вес 0,5 П/а мгс ТМ «Стародворье»</v>
          </cell>
          <cell r="U216" t="str">
            <v/>
          </cell>
          <cell r="V216" t="str">
            <v/>
          </cell>
          <cell r="W216" t="str">
            <v>кг</v>
          </cell>
          <cell r="X216">
            <v>0</v>
          </cell>
          <cell r="Y216">
            <v>0</v>
          </cell>
          <cell r="Z216" t="str">
            <v/>
          </cell>
        </row>
        <row r="217">
          <cell r="P217" t="str">
            <v>Итого</v>
          </cell>
          <cell r="W217" t="str">
            <v>кор</v>
          </cell>
          <cell r="X217">
            <v>0</v>
          </cell>
          <cell r="Y217">
            <v>0</v>
          </cell>
          <cell r="Z217">
            <v>0</v>
          </cell>
        </row>
        <row r="218">
          <cell r="P218" t="str">
            <v>Итого</v>
          </cell>
          <cell r="W218" t="str">
            <v>кг</v>
          </cell>
          <cell r="X218">
            <v>0</v>
          </cell>
          <cell r="Y218">
            <v>0</v>
          </cell>
        </row>
        <row r="219">
          <cell r="A219" t="str">
            <v>Сардельки</v>
          </cell>
        </row>
        <row r="220">
          <cell r="A220" t="str">
            <v>SU001051</v>
          </cell>
          <cell r="B220" t="str">
            <v>P003997</v>
          </cell>
          <cell r="C220">
            <v>4301060387</v>
          </cell>
          <cell r="D220">
            <v>4607091380880</v>
          </cell>
          <cell r="F220">
            <v>1.4</v>
          </cell>
          <cell r="G220">
            <v>6</v>
          </cell>
          <cell r="H220">
            <v>8.4</v>
          </cell>
          <cell r="I220">
            <v>8.8940000000000001</v>
          </cell>
          <cell r="J220">
            <v>64</v>
          </cell>
          <cell r="K220" t="str">
            <v>8</v>
          </cell>
          <cell r="L220" t="str">
            <v/>
          </cell>
          <cell r="M220" t="str">
            <v>СК3</v>
          </cell>
          <cell r="O220">
            <v>30</v>
          </cell>
          <cell r="P220" t="str">
            <v>Сардельки «Нежные» Весовые NDX мгс ТМ «Стародворье»</v>
          </cell>
          <cell r="U220" t="str">
            <v/>
          </cell>
          <cell r="V220" t="str">
            <v/>
          </cell>
          <cell r="W220" t="str">
            <v>кг</v>
          </cell>
          <cell r="X220">
            <v>0</v>
          </cell>
          <cell r="Y220">
            <v>0</v>
          </cell>
          <cell r="Z220" t="str">
            <v/>
          </cell>
        </row>
        <row r="221">
          <cell r="A221" t="str">
            <v>SU000227</v>
          </cell>
          <cell r="B221" t="str">
            <v>P002536</v>
          </cell>
          <cell r="C221">
            <v>4301060406</v>
          </cell>
          <cell r="D221">
            <v>4607091384482</v>
          </cell>
          <cell r="F221">
            <v>1.3</v>
          </cell>
          <cell r="G221">
            <v>6</v>
          </cell>
          <cell r="H221">
            <v>7.8</v>
          </cell>
          <cell r="I221">
            <v>8.2940000000000005</v>
          </cell>
          <cell r="J221">
            <v>64</v>
          </cell>
          <cell r="K221" t="str">
            <v>8</v>
          </cell>
          <cell r="L221" t="str">
            <v/>
          </cell>
          <cell r="M221" t="str">
            <v>СК3</v>
          </cell>
          <cell r="O221">
            <v>30</v>
          </cell>
          <cell r="P221" t="str">
            <v>Сардельки «Стародворские с говядиной» Весовые NDX ТМ «Стародворье»</v>
          </cell>
          <cell r="U221" t="str">
            <v/>
          </cell>
          <cell r="V221" t="str">
            <v/>
          </cell>
          <cell r="W221" t="str">
            <v>кг</v>
          </cell>
          <cell r="X221">
            <v>0</v>
          </cell>
          <cell r="Y221">
            <v>0</v>
          </cell>
          <cell r="Z221" t="str">
            <v/>
          </cell>
        </row>
        <row r="222">
          <cell r="A222" t="str">
            <v>SU001430</v>
          </cell>
          <cell r="B222" t="str">
            <v>P004913</v>
          </cell>
          <cell r="C222">
            <v>4301060484</v>
          </cell>
          <cell r="D222">
            <v>4607091380897</v>
          </cell>
          <cell r="F222">
            <v>1.4</v>
          </cell>
          <cell r="G222">
            <v>6</v>
          </cell>
          <cell r="H222">
            <v>8.4</v>
          </cell>
          <cell r="I222">
            <v>8.8940000000000001</v>
          </cell>
          <cell r="J222">
            <v>64</v>
          </cell>
          <cell r="K222" t="str">
            <v>8</v>
          </cell>
          <cell r="L222" t="str">
            <v/>
          </cell>
          <cell r="M222" t="str">
            <v>СК4</v>
          </cell>
          <cell r="O222">
            <v>30</v>
          </cell>
          <cell r="P222" t="str">
            <v>Сардельки «Шпикачки Стародворские» Весовой NDX ТМ «Стародворье»</v>
          </cell>
          <cell r="U222" t="str">
            <v/>
          </cell>
          <cell r="V222" t="str">
            <v/>
          </cell>
          <cell r="W222" t="str">
            <v>кг</v>
          </cell>
          <cell r="X222">
            <v>0</v>
          </cell>
          <cell r="Y222">
            <v>0</v>
          </cell>
          <cell r="Z222" t="str">
            <v/>
          </cell>
        </row>
        <row r="223">
          <cell r="P223" t="str">
            <v>Итого</v>
          </cell>
          <cell r="W223" t="str">
            <v>кор</v>
          </cell>
          <cell r="X223">
            <v>0</v>
          </cell>
          <cell r="Y223">
            <v>0</v>
          </cell>
          <cell r="Z223">
            <v>0</v>
          </cell>
        </row>
        <row r="224">
          <cell r="P224" t="str">
            <v>Итого</v>
          </cell>
          <cell r="W224" t="str">
            <v>кг</v>
          </cell>
          <cell r="X224">
            <v>0</v>
          </cell>
          <cell r="Y224">
            <v>0</v>
          </cell>
        </row>
        <row r="225">
          <cell r="A225" t="str">
            <v>Сырокопченые колбасы</v>
          </cell>
        </row>
        <row r="226">
          <cell r="A226" t="str">
            <v>SU001921</v>
          </cell>
          <cell r="B226" t="str">
            <v>P001916</v>
          </cell>
          <cell r="C226">
            <v>4301030235</v>
          </cell>
          <cell r="D226">
            <v>4607091388381</v>
          </cell>
          <cell r="F226">
            <v>0.38</v>
          </cell>
          <cell r="G226">
            <v>8</v>
          </cell>
          <cell r="H226">
            <v>3.04</v>
          </cell>
          <cell r="I226">
            <v>3.31</v>
          </cell>
          <cell r="J226">
            <v>132</v>
          </cell>
          <cell r="K226" t="str">
            <v>12</v>
          </cell>
          <cell r="L226" t="str">
            <v/>
          </cell>
          <cell r="M226" t="str">
            <v>АК</v>
          </cell>
          <cell r="O226">
            <v>180</v>
          </cell>
          <cell r="P226" t="str">
            <v>С/к колбасы Салями Охотничья Бордо Весовые б/о терм/п 180 Стародворье</v>
          </cell>
          <cell r="U226" t="str">
            <v/>
          </cell>
          <cell r="V226" t="str">
            <v/>
          </cell>
          <cell r="W226" t="str">
            <v>кг</v>
          </cell>
          <cell r="X226">
            <v>0</v>
          </cell>
          <cell r="Y226">
            <v>0</v>
          </cell>
          <cell r="Z226" t="str">
            <v/>
          </cell>
        </row>
        <row r="227">
          <cell r="A227" t="str">
            <v>SU001920</v>
          </cell>
          <cell r="B227" t="str">
            <v>P001900</v>
          </cell>
          <cell r="C227">
            <v>4301030232</v>
          </cell>
          <cell r="D227">
            <v>4607091388374</v>
          </cell>
          <cell r="F227">
            <v>0.38</v>
          </cell>
          <cell r="G227">
            <v>8</v>
          </cell>
          <cell r="H227">
            <v>3.04</v>
          </cell>
          <cell r="I227">
            <v>3.27</v>
          </cell>
          <cell r="J227">
            <v>132</v>
          </cell>
          <cell r="K227" t="str">
            <v>12</v>
          </cell>
          <cell r="L227" t="str">
            <v/>
          </cell>
          <cell r="M227" t="str">
            <v>АК</v>
          </cell>
          <cell r="O227">
            <v>180</v>
          </cell>
          <cell r="P227" t="str">
            <v>С/к колбасы Княжеская Бордо Весовые б/о терм/п Стародворье</v>
          </cell>
          <cell r="U227" t="str">
            <v/>
          </cell>
          <cell r="V227" t="str">
            <v/>
          </cell>
          <cell r="W227" t="str">
            <v>кг</v>
          </cell>
          <cell r="X227">
            <v>0</v>
          </cell>
          <cell r="Y227">
            <v>0</v>
          </cell>
          <cell r="Z227" t="str">
            <v/>
          </cell>
        </row>
        <row r="228">
          <cell r="A228" t="str">
            <v>SU002092</v>
          </cell>
          <cell r="B228" t="str">
            <v>P002290</v>
          </cell>
          <cell r="C228">
            <v>4301032015</v>
          </cell>
          <cell r="D228">
            <v>4607091383102</v>
          </cell>
          <cell r="F228">
            <v>0.17</v>
          </cell>
          <cell r="G228">
            <v>15</v>
          </cell>
          <cell r="H228">
            <v>2.5499999999999998</v>
          </cell>
          <cell r="I228">
            <v>2.9550000000000001</v>
          </cell>
          <cell r="J228">
            <v>182</v>
          </cell>
          <cell r="K228" t="str">
            <v>14</v>
          </cell>
          <cell r="L228" t="str">
            <v/>
          </cell>
          <cell r="M228" t="str">
            <v>АК</v>
          </cell>
          <cell r="O228">
            <v>180</v>
          </cell>
          <cell r="P228" t="str">
            <v>С/к колбасы Баварская Бавария Фикс.вес 0,17 б/о терм/п Стародворье</v>
          </cell>
          <cell r="U228" t="str">
            <v/>
          </cell>
          <cell r="V228" t="str">
            <v/>
          </cell>
          <cell r="W228" t="str">
            <v>кг</v>
          </cell>
          <cell r="X228">
            <v>0</v>
          </cell>
          <cell r="Y228">
            <v>0</v>
          </cell>
          <cell r="Z228" t="str">
            <v/>
          </cell>
        </row>
        <row r="229">
          <cell r="A229" t="str">
            <v>SU001869</v>
          </cell>
          <cell r="B229" t="str">
            <v>P001909</v>
          </cell>
          <cell r="C229">
            <v>4301030233</v>
          </cell>
          <cell r="D229">
            <v>4607091388404</v>
          </cell>
          <cell r="F229">
            <v>0.17</v>
          </cell>
          <cell r="G229">
            <v>15</v>
          </cell>
          <cell r="H229">
            <v>2.5499999999999998</v>
          </cell>
          <cell r="I229">
            <v>2.88</v>
          </cell>
          <cell r="J229">
            <v>182</v>
          </cell>
          <cell r="K229" t="str">
            <v>14</v>
          </cell>
          <cell r="L229" t="str">
            <v/>
          </cell>
          <cell r="M229" t="str">
            <v>АК</v>
          </cell>
          <cell r="O229">
            <v>180</v>
          </cell>
          <cell r="P229" t="str">
            <v>С/к колбасы Швейцарская Бордо Фикс.вес 0,17 Фиброуз терм/п Стародворье</v>
          </cell>
          <cell r="U229" t="str">
            <v/>
          </cell>
          <cell r="V229" t="str">
            <v/>
          </cell>
          <cell r="W229" t="str">
            <v>кг</v>
          </cell>
          <cell r="X229">
            <v>0</v>
          </cell>
          <cell r="Y229">
            <v>0</v>
          </cell>
          <cell r="Z229" t="str">
            <v/>
          </cell>
        </row>
        <row r="230">
          <cell r="P230" t="str">
            <v>Итого</v>
          </cell>
          <cell r="W230" t="str">
            <v>кор</v>
          </cell>
          <cell r="X230">
            <v>0</v>
          </cell>
          <cell r="Y230">
            <v>0</v>
          </cell>
          <cell r="Z230">
            <v>0</v>
          </cell>
        </row>
        <row r="231">
          <cell r="P231" t="str">
            <v>Итого</v>
          </cell>
          <cell r="W231" t="str">
            <v>кг</v>
          </cell>
          <cell r="X231">
            <v>0</v>
          </cell>
          <cell r="Y231">
            <v>0</v>
          </cell>
        </row>
        <row r="232">
          <cell r="A232" t="str">
            <v>Паштеты</v>
          </cell>
        </row>
        <row r="233">
          <cell r="A233" t="str">
            <v>SU002841</v>
          </cell>
          <cell r="B233" t="str">
            <v>P003253</v>
          </cell>
          <cell r="C233">
            <v>4301180007</v>
          </cell>
          <cell r="D233">
            <v>4680115881808</v>
          </cell>
          <cell r="F233">
            <v>0.1</v>
          </cell>
          <cell r="G233">
            <v>20</v>
          </cell>
          <cell r="H233">
            <v>2</v>
          </cell>
          <cell r="I233">
            <v>2.2400000000000002</v>
          </cell>
          <cell r="J233">
            <v>238</v>
          </cell>
          <cell r="K233" t="str">
            <v>14</v>
          </cell>
          <cell r="L233" t="str">
            <v/>
          </cell>
          <cell r="M233" t="str">
            <v>РК</v>
          </cell>
          <cell r="O233">
            <v>730</v>
          </cell>
          <cell r="P233" t="str">
            <v>Паштеты «Любительский ГОСТ» Фикс.вес 0,1 ТМ «Стародворье»</v>
          </cell>
          <cell r="U233" t="str">
            <v/>
          </cell>
          <cell r="V233" t="str">
            <v/>
          </cell>
          <cell r="W233" t="str">
            <v>кг</v>
          </cell>
          <cell r="X233">
            <v>0</v>
          </cell>
          <cell r="Y233">
            <v>0</v>
          </cell>
          <cell r="Z233" t="str">
            <v/>
          </cell>
        </row>
        <row r="234">
          <cell r="A234" t="str">
            <v>SU002840</v>
          </cell>
          <cell r="B234" t="str">
            <v>P003252</v>
          </cell>
          <cell r="C234">
            <v>4301180006</v>
          </cell>
          <cell r="D234">
            <v>4680115881822</v>
          </cell>
          <cell r="F234">
            <v>0.1</v>
          </cell>
          <cell r="G234">
            <v>20</v>
          </cell>
          <cell r="H234">
            <v>2</v>
          </cell>
          <cell r="I234">
            <v>2.2400000000000002</v>
          </cell>
          <cell r="J234">
            <v>238</v>
          </cell>
          <cell r="K234" t="str">
            <v>14</v>
          </cell>
          <cell r="L234" t="str">
            <v/>
          </cell>
          <cell r="M234" t="str">
            <v>РК</v>
          </cell>
          <cell r="O234">
            <v>730</v>
          </cell>
          <cell r="P234" t="str">
            <v>Паштеты «Печеночный с морковью ГОСТ» Фикс.вес 0,1 ТМ «Стародворье»</v>
          </cell>
          <cell r="U234" t="str">
            <v/>
          </cell>
          <cell r="V234" t="str">
            <v/>
          </cell>
          <cell r="W234" t="str">
            <v>кг</v>
          </cell>
          <cell r="X234">
            <v>0</v>
          </cell>
          <cell r="Y234">
            <v>0</v>
          </cell>
          <cell r="Z234" t="str">
            <v/>
          </cell>
        </row>
        <row r="235">
          <cell r="A235" t="str">
            <v>SU002368</v>
          </cell>
          <cell r="B235" t="str">
            <v>P002648</v>
          </cell>
          <cell r="C235">
            <v>4301180001</v>
          </cell>
          <cell r="D235">
            <v>4680115880016</v>
          </cell>
          <cell r="F235">
            <v>0.1</v>
          </cell>
          <cell r="G235">
            <v>20</v>
          </cell>
          <cell r="H235">
            <v>2</v>
          </cell>
          <cell r="I235">
            <v>2.2400000000000002</v>
          </cell>
          <cell r="J235">
            <v>238</v>
          </cell>
          <cell r="K235" t="str">
            <v>14</v>
          </cell>
          <cell r="L235" t="str">
            <v/>
          </cell>
          <cell r="M235" t="str">
            <v>РК</v>
          </cell>
          <cell r="O235">
            <v>730</v>
          </cell>
          <cell r="P235" t="str">
            <v>Паштеты Со сливочным маслом ГОСТ Бордо фикс.вес 0,1 Стародворье</v>
          </cell>
          <cell r="U235" t="str">
            <v/>
          </cell>
          <cell r="V235" t="str">
            <v/>
          </cell>
          <cell r="W235" t="str">
            <v>кг</v>
          </cell>
          <cell r="X235">
            <v>0</v>
          </cell>
          <cell r="Y235">
            <v>0</v>
          </cell>
          <cell r="Z235" t="str">
            <v/>
          </cell>
        </row>
        <row r="236">
          <cell r="P236" t="str">
            <v>Итого</v>
          </cell>
          <cell r="W236" t="str">
            <v>кор</v>
          </cell>
          <cell r="X236">
            <v>0</v>
          </cell>
          <cell r="Y236">
            <v>0</v>
          </cell>
          <cell r="Z236">
            <v>0</v>
          </cell>
        </row>
        <row r="237">
          <cell r="P237" t="str">
            <v>Итого</v>
          </cell>
          <cell r="W237" t="str">
            <v>кг</v>
          </cell>
          <cell r="X237">
            <v>0</v>
          </cell>
          <cell r="Y237">
            <v>0</v>
          </cell>
        </row>
        <row r="238">
          <cell r="A238" t="str">
            <v>Бавария</v>
          </cell>
        </row>
        <row r="239">
          <cell r="A239" t="str">
            <v>Сосиски</v>
          </cell>
        </row>
        <row r="240">
          <cell r="A240" t="str">
            <v>SU001835</v>
          </cell>
          <cell r="B240" t="str">
            <v>P002202</v>
          </cell>
          <cell r="C240">
            <v>4301051489</v>
          </cell>
          <cell r="D240">
            <v>4607091387919</v>
          </cell>
          <cell r="F240">
            <v>1.35</v>
          </cell>
          <cell r="G240">
            <v>6</v>
          </cell>
          <cell r="H240">
            <v>8.1</v>
          </cell>
          <cell r="I240">
            <v>8.5939999999999994</v>
          </cell>
          <cell r="J240">
            <v>64</v>
          </cell>
          <cell r="K240" t="str">
            <v>8</v>
          </cell>
          <cell r="L240" t="str">
            <v/>
          </cell>
          <cell r="M240" t="str">
            <v>СК4</v>
          </cell>
          <cell r="O240">
            <v>45</v>
          </cell>
          <cell r="P240" t="str">
            <v>Сосиски Баварские Бавария Весовые П/а мгс Стародворье</v>
          </cell>
          <cell r="U240" t="str">
            <v/>
          </cell>
          <cell r="V240" t="str">
            <v/>
          </cell>
          <cell r="W240" t="str">
            <v>кг</v>
          </cell>
          <cell r="X240">
            <v>0</v>
          </cell>
          <cell r="Y240">
            <v>0</v>
          </cell>
          <cell r="Z240" t="str">
            <v/>
          </cell>
        </row>
        <row r="241">
          <cell r="A241" t="str">
            <v>SU003167</v>
          </cell>
          <cell r="B241" t="str">
            <v>P003363</v>
          </cell>
          <cell r="C241">
            <v>4301051461</v>
          </cell>
          <cell r="D241">
            <v>4680115883604</v>
          </cell>
          <cell r="F241">
            <v>0.35</v>
          </cell>
          <cell r="G241">
            <v>6</v>
          </cell>
          <cell r="H241">
            <v>2.1</v>
          </cell>
          <cell r="I241">
            <v>2.3519999999999999</v>
          </cell>
          <cell r="J241">
            <v>182</v>
          </cell>
          <cell r="K241" t="str">
            <v>14</v>
          </cell>
          <cell r="L241" t="str">
            <v/>
          </cell>
          <cell r="M241" t="str">
            <v>СК3</v>
          </cell>
          <cell r="O241">
            <v>45</v>
          </cell>
          <cell r="P241" t="str">
            <v>Сосиски «Баварские» Фикс.вес 0,35 П/а ТМ «Стародворье»</v>
          </cell>
          <cell r="U241" t="str">
            <v/>
          </cell>
          <cell r="V241" t="str">
            <v/>
          </cell>
          <cell r="W241" t="str">
            <v>кг</v>
          </cell>
          <cell r="X241">
            <v>0</v>
          </cell>
          <cell r="Y241">
            <v>0</v>
          </cell>
          <cell r="Z241" t="str">
            <v/>
          </cell>
        </row>
        <row r="242">
          <cell r="P242" t="str">
            <v>Итого</v>
          </cell>
          <cell r="W242" t="str">
            <v>кор</v>
          </cell>
          <cell r="X242">
            <v>0</v>
          </cell>
          <cell r="Y242">
            <v>0</v>
          </cell>
          <cell r="Z242">
            <v>0</v>
          </cell>
        </row>
        <row r="243">
          <cell r="P243" t="str">
            <v>Итого</v>
          </cell>
          <cell r="W243" t="str">
            <v>кг</v>
          </cell>
          <cell r="X243">
            <v>0</v>
          </cell>
          <cell r="Y243">
            <v>0</v>
          </cell>
        </row>
        <row r="244">
          <cell r="A244" t="str">
            <v>Особый рецепт</v>
          </cell>
        </row>
        <row r="245">
          <cell r="A245" t="str">
            <v>Особая</v>
          </cell>
        </row>
        <row r="246">
          <cell r="A246" t="str">
            <v>Вареные колбасы</v>
          </cell>
        </row>
        <row r="247">
          <cell r="A247" t="str">
            <v>SU003422</v>
          </cell>
          <cell r="B247" t="str">
            <v>P004256</v>
          </cell>
          <cell r="C247">
            <v>4301011869</v>
          </cell>
          <cell r="D247">
            <v>4680115884847</v>
          </cell>
          <cell r="F247">
            <v>2.5</v>
          </cell>
          <cell r="G247">
            <v>6</v>
          </cell>
          <cell r="H247">
            <v>15</v>
          </cell>
          <cell r="I247">
            <v>15.47</v>
          </cell>
          <cell r="J247">
            <v>48</v>
          </cell>
          <cell r="K247" t="str">
            <v>8</v>
          </cell>
          <cell r="L247" t="str">
            <v/>
          </cell>
          <cell r="M247" t="str">
            <v>СК2</v>
          </cell>
          <cell r="O247">
            <v>60</v>
          </cell>
          <cell r="P247" t="str">
            <v>Вареные колбасы «Молочная» Весовой п/а ТМ «Особый рецепт»</v>
          </cell>
          <cell r="U247" t="str">
            <v/>
          </cell>
          <cell r="V247" t="str">
            <v/>
          </cell>
          <cell r="W247" t="str">
            <v>кг</v>
          </cell>
          <cell r="X247">
            <v>0</v>
          </cell>
          <cell r="Y247">
            <v>0</v>
          </cell>
          <cell r="Z247" t="str">
            <v/>
          </cell>
        </row>
        <row r="248">
          <cell r="A248" t="str">
            <v>SU003423</v>
          </cell>
          <cell r="B248" t="str">
            <v>P004257</v>
          </cell>
          <cell r="C248">
            <v>4301011870</v>
          </cell>
          <cell r="D248">
            <v>4680115884854</v>
          </cell>
          <cell r="F248">
            <v>2.5</v>
          </cell>
          <cell r="G248">
            <v>6</v>
          </cell>
          <cell r="H248">
            <v>15</v>
          </cell>
          <cell r="I248">
            <v>15.47</v>
          </cell>
          <cell r="J248">
            <v>48</v>
          </cell>
          <cell r="K248" t="str">
            <v>8</v>
          </cell>
          <cell r="L248" t="str">
            <v/>
          </cell>
          <cell r="M248" t="str">
            <v>СК2</v>
          </cell>
          <cell r="O248">
            <v>60</v>
          </cell>
          <cell r="P248" t="str">
            <v>Вареные колбасы «Со шпиком» Весовой п/а ТМ «Особый рецепт» большой батон</v>
          </cell>
          <cell r="U248" t="str">
            <v/>
          </cell>
          <cell r="V248" t="str">
            <v/>
          </cell>
          <cell r="W248" t="str">
            <v>кг</v>
          </cell>
          <cell r="X248">
            <v>0</v>
          </cell>
          <cell r="Y248">
            <v>0</v>
          </cell>
          <cell r="Z248" t="str">
            <v/>
          </cell>
        </row>
        <row r="249">
          <cell r="A249" t="str">
            <v>SU000251</v>
          </cell>
          <cell r="B249" t="str">
            <v>P005077</v>
          </cell>
          <cell r="C249">
            <v>4301012215</v>
          </cell>
          <cell r="D249">
            <v>4680115887046</v>
          </cell>
          <cell r="F249">
            <v>2.5</v>
          </cell>
          <cell r="G249">
            <v>6</v>
          </cell>
          <cell r="H249">
            <v>15</v>
          </cell>
          <cell r="I249">
            <v>15.47</v>
          </cell>
          <cell r="J249">
            <v>48</v>
          </cell>
          <cell r="K249" t="str">
            <v>8</v>
          </cell>
          <cell r="L249" t="str">
            <v/>
          </cell>
          <cell r="M249" t="str">
            <v>СК4</v>
          </cell>
          <cell r="O249">
            <v>60</v>
          </cell>
          <cell r="P249" t="str">
            <v>Вареные колбасы «Докторская» Весовой п/а ТМ «Особый рецепт»</v>
          </cell>
          <cell r="U249" t="str">
            <v/>
          </cell>
          <cell r="V249" t="str">
            <v/>
          </cell>
          <cell r="W249" t="str">
            <v>кг</v>
          </cell>
          <cell r="X249">
            <v>0</v>
          </cell>
          <cell r="Y249">
            <v>0</v>
          </cell>
          <cell r="Z249" t="str">
            <v/>
          </cell>
        </row>
        <row r="250">
          <cell r="A250" t="str">
            <v>SU003420</v>
          </cell>
          <cell r="B250" t="str">
            <v>P004252</v>
          </cell>
          <cell r="C250">
            <v>4301011867</v>
          </cell>
          <cell r="D250">
            <v>4680115884830</v>
          </cell>
          <cell r="F250">
            <v>2.5</v>
          </cell>
          <cell r="G250">
            <v>6</v>
          </cell>
          <cell r="H250">
            <v>15</v>
          </cell>
          <cell r="I250">
            <v>15.47</v>
          </cell>
          <cell r="J250">
            <v>48</v>
          </cell>
          <cell r="K250" t="str">
            <v>8</v>
          </cell>
          <cell r="L250" t="str">
            <v/>
          </cell>
          <cell r="M250" t="str">
            <v>СК2</v>
          </cell>
          <cell r="O250">
            <v>60</v>
          </cell>
          <cell r="P250" t="str">
            <v>Вареные колбасы «Филейная» Весовой п/а ТМ «Особый рецепт» большой батон</v>
          </cell>
          <cell r="U250" t="str">
            <v/>
          </cell>
          <cell r="V250" t="str">
            <v/>
          </cell>
          <cell r="W250" t="str">
            <v>кг</v>
          </cell>
          <cell r="X250">
            <v>0</v>
          </cell>
          <cell r="Y250">
            <v>0</v>
          </cell>
          <cell r="Z250" t="str">
            <v/>
          </cell>
        </row>
        <row r="251">
          <cell r="A251" t="str">
            <v>SU002787</v>
          </cell>
          <cell r="B251" t="str">
            <v>P003189</v>
          </cell>
          <cell r="C251">
            <v>4301011433</v>
          </cell>
          <cell r="D251">
            <v>4680115882638</v>
          </cell>
          <cell r="F251">
            <v>0.4</v>
          </cell>
          <cell r="G251">
            <v>10</v>
          </cell>
          <cell r="H251">
            <v>4</v>
          </cell>
          <cell r="I251">
            <v>4.1900000000000004</v>
          </cell>
          <cell r="J251">
            <v>132</v>
          </cell>
          <cell r="K251" t="str">
            <v>12</v>
          </cell>
          <cell r="L251" t="str">
            <v/>
          </cell>
          <cell r="M251" t="str">
            <v>СК1</v>
          </cell>
          <cell r="O251">
            <v>90</v>
          </cell>
          <cell r="P251" t="str">
            <v>Вареные колбасы «Молочная с нежным филе» Фикс.вес 0,4 кг п/а ТМ «Особый рецепт»</v>
          </cell>
          <cell r="U251" t="str">
            <v/>
          </cell>
          <cell r="V251" t="str">
            <v/>
          </cell>
          <cell r="W251" t="str">
            <v>кг</v>
          </cell>
          <cell r="X251">
            <v>0</v>
          </cell>
          <cell r="Y251">
            <v>0</v>
          </cell>
          <cell r="Z251" t="str">
            <v/>
          </cell>
        </row>
        <row r="252">
          <cell r="A252" t="str">
            <v>SU003432</v>
          </cell>
          <cell r="B252" t="str">
            <v>P004347</v>
          </cell>
          <cell r="C252">
            <v>4301011952</v>
          </cell>
          <cell r="D252">
            <v>4680115884922</v>
          </cell>
          <cell r="F252">
            <v>0.5</v>
          </cell>
          <cell r="G252">
            <v>10</v>
          </cell>
          <cell r="H252">
            <v>5</v>
          </cell>
          <cell r="I252">
            <v>5.19</v>
          </cell>
          <cell r="J252">
            <v>132</v>
          </cell>
          <cell r="K252" t="str">
            <v>12</v>
          </cell>
          <cell r="L252" t="str">
            <v/>
          </cell>
          <cell r="M252" t="str">
            <v>СК2</v>
          </cell>
          <cell r="O252">
            <v>60</v>
          </cell>
          <cell r="P252" t="str">
            <v>Вареные колбасы «Со шпиком» Фикс.вес 0,5 п/а ТМ «Особый рецепт»</v>
          </cell>
          <cell r="U252" t="str">
            <v/>
          </cell>
          <cell r="V252" t="str">
            <v/>
          </cell>
          <cell r="W252" t="str">
            <v>кг</v>
          </cell>
          <cell r="X252">
            <v>0</v>
          </cell>
          <cell r="Y252">
            <v>0</v>
          </cell>
          <cell r="Z252" t="str">
            <v/>
          </cell>
        </row>
        <row r="253">
          <cell r="A253" t="str">
            <v>SU003421</v>
          </cell>
          <cell r="B253" t="str">
            <v>P004253</v>
          </cell>
          <cell r="C253">
            <v>4301011868</v>
          </cell>
          <cell r="D253">
            <v>4680115884861</v>
          </cell>
          <cell r="F253">
            <v>0.5</v>
          </cell>
          <cell r="G253">
            <v>10</v>
          </cell>
          <cell r="H253">
            <v>5</v>
          </cell>
          <cell r="I253">
            <v>5.19</v>
          </cell>
          <cell r="J253">
            <v>132</v>
          </cell>
          <cell r="K253" t="str">
            <v>12</v>
          </cell>
          <cell r="L253" t="str">
            <v/>
          </cell>
          <cell r="M253" t="str">
            <v>СК2</v>
          </cell>
          <cell r="O253">
            <v>60</v>
          </cell>
          <cell r="P253" t="str">
            <v>Вареные колбасы «Филейная» ф/в 0,5 п/а ТМ «Особый рецепт»</v>
          </cell>
          <cell r="U253" t="str">
            <v/>
          </cell>
          <cell r="V253" t="str">
            <v/>
          </cell>
          <cell r="W253" t="str">
            <v>кг</v>
          </cell>
          <cell r="X253">
            <v>0</v>
          </cell>
          <cell r="Y253">
            <v>0</v>
          </cell>
          <cell r="Z253" t="str">
            <v/>
          </cell>
        </row>
        <row r="254">
          <cell r="P254" t="str">
            <v>Итого</v>
          </cell>
          <cell r="W254" t="str">
            <v>кор</v>
          </cell>
          <cell r="X254">
            <v>0</v>
          </cell>
          <cell r="Y254">
            <v>0</v>
          </cell>
          <cell r="Z254">
            <v>0</v>
          </cell>
        </row>
        <row r="255">
          <cell r="P255" t="str">
            <v>Итого</v>
          </cell>
          <cell r="W255" t="str">
            <v>кг</v>
          </cell>
          <cell r="X255">
            <v>0</v>
          </cell>
          <cell r="Y255">
            <v>0</v>
          </cell>
        </row>
        <row r="256">
          <cell r="A256" t="str">
            <v>Ветчины</v>
          </cell>
        </row>
        <row r="257">
          <cell r="A257" t="str">
            <v>SU000126</v>
          </cell>
          <cell r="B257" t="str">
            <v>P002555</v>
          </cell>
          <cell r="C257">
            <v>4301020178</v>
          </cell>
          <cell r="D257">
            <v>4607091383980</v>
          </cell>
          <cell r="F257">
            <v>2.5</v>
          </cell>
          <cell r="G257">
            <v>6</v>
          </cell>
          <cell r="H257">
            <v>15</v>
          </cell>
          <cell r="I257">
            <v>15.47</v>
          </cell>
          <cell r="J257">
            <v>48</v>
          </cell>
          <cell r="K257" t="str">
            <v>8</v>
          </cell>
          <cell r="L257" t="str">
            <v/>
          </cell>
          <cell r="M257" t="str">
            <v>СК1</v>
          </cell>
          <cell r="O257">
            <v>50</v>
          </cell>
          <cell r="P257" t="str">
            <v>Ветчины Нежная Особая Особая Весовые П/а Особый рецепт большой батон</v>
          </cell>
          <cell r="U257" t="str">
            <v/>
          </cell>
          <cell r="V257" t="str">
            <v/>
          </cell>
          <cell r="W257" t="str">
            <v>кг</v>
          </cell>
          <cell r="X257">
            <v>0</v>
          </cell>
          <cell r="Y257">
            <v>0</v>
          </cell>
          <cell r="Z257" t="str">
            <v/>
          </cell>
        </row>
        <row r="258">
          <cell r="A258" t="str">
            <v>SU002027</v>
          </cell>
          <cell r="B258" t="str">
            <v>P002556</v>
          </cell>
          <cell r="C258">
            <v>4301020179</v>
          </cell>
          <cell r="D258">
            <v>4607091384178</v>
          </cell>
          <cell r="F258">
            <v>0.4</v>
          </cell>
          <cell r="G258">
            <v>10</v>
          </cell>
          <cell r="H258">
            <v>4</v>
          </cell>
          <cell r="I258">
            <v>4.1900000000000004</v>
          </cell>
          <cell r="J258">
            <v>132</v>
          </cell>
          <cell r="K258" t="str">
            <v>12</v>
          </cell>
          <cell r="L258" t="str">
            <v/>
          </cell>
          <cell r="M258" t="str">
            <v>СК1</v>
          </cell>
          <cell r="O258">
            <v>50</v>
          </cell>
          <cell r="P258" t="str">
            <v>Ветчины Нежная Особая Особая Фикс.вес 0,4 П/а Особый рецепт</v>
          </cell>
          <cell r="U258" t="str">
            <v/>
          </cell>
          <cell r="V258" t="str">
            <v/>
          </cell>
          <cell r="W258" t="str">
            <v>кг</v>
          </cell>
          <cell r="X258">
            <v>0</v>
          </cell>
          <cell r="Y258">
            <v>0</v>
          </cell>
          <cell r="Z258" t="str">
            <v/>
          </cell>
        </row>
        <row r="259">
          <cell r="P259" t="str">
            <v>Итого</v>
          </cell>
          <cell r="W259" t="str">
            <v>кор</v>
          </cell>
          <cell r="X259">
            <v>0</v>
          </cell>
          <cell r="Y259">
            <v>0</v>
          </cell>
          <cell r="Z259">
            <v>0</v>
          </cell>
        </row>
        <row r="260">
          <cell r="P260" t="str">
            <v>Итого</v>
          </cell>
          <cell r="W260" t="str">
            <v>кг</v>
          </cell>
          <cell r="X260">
            <v>0</v>
          </cell>
          <cell r="Y260">
            <v>0</v>
          </cell>
        </row>
        <row r="261">
          <cell r="A261" t="str">
            <v>Сосиски</v>
          </cell>
        </row>
        <row r="262">
          <cell r="A262" t="str">
            <v>SU003161</v>
          </cell>
          <cell r="B262" t="str">
            <v>P004847</v>
          </cell>
          <cell r="C262">
            <v>4301051903</v>
          </cell>
          <cell r="D262">
            <v>4607091383928</v>
          </cell>
          <cell r="F262">
            <v>1.5</v>
          </cell>
          <cell r="G262">
            <v>6</v>
          </cell>
          <cell r="H262">
            <v>9</v>
          </cell>
          <cell r="I262">
            <v>9.5</v>
          </cell>
          <cell r="J262">
            <v>64</v>
          </cell>
          <cell r="K262" t="str">
            <v>8</v>
          </cell>
          <cell r="L262" t="str">
            <v/>
          </cell>
          <cell r="M262" t="str">
            <v>СК3</v>
          </cell>
          <cell r="O262">
            <v>40</v>
          </cell>
          <cell r="P262" t="str">
            <v>Сосиски «Датские» Весовой п/а ТМ «Особый рецепт»</v>
          </cell>
          <cell r="U262" t="str">
            <v/>
          </cell>
          <cell r="V262" t="str">
            <v/>
          </cell>
          <cell r="W262" t="str">
            <v>кг</v>
          </cell>
          <cell r="X262">
            <v>0</v>
          </cell>
          <cell r="Y262">
            <v>0</v>
          </cell>
          <cell r="Z262" t="str">
            <v/>
          </cell>
        </row>
        <row r="263">
          <cell r="A263" t="str">
            <v>SU000246</v>
          </cell>
          <cell r="B263" t="str">
            <v>P004843</v>
          </cell>
          <cell r="C263">
            <v>4301051897</v>
          </cell>
          <cell r="D263">
            <v>4607091384260</v>
          </cell>
          <cell r="F263">
            <v>1.5</v>
          </cell>
          <cell r="G263">
            <v>6</v>
          </cell>
          <cell r="H263">
            <v>9</v>
          </cell>
          <cell r="I263">
            <v>9.4939999999999998</v>
          </cell>
          <cell r="J263">
            <v>64</v>
          </cell>
          <cell r="K263" t="str">
            <v>8</v>
          </cell>
          <cell r="L263" t="str">
            <v/>
          </cell>
          <cell r="M263" t="str">
            <v>СК3</v>
          </cell>
          <cell r="O263">
            <v>40</v>
          </cell>
          <cell r="P263" t="str">
            <v>Сосиски «Молочные оригинальные» Весовой п/а ТМ «Особый рецепт»</v>
          </cell>
          <cell r="U263" t="str">
            <v/>
          </cell>
          <cell r="V263" t="str">
            <v/>
          </cell>
          <cell r="W263" t="str">
            <v>кг</v>
          </cell>
          <cell r="X263">
            <v>0</v>
          </cell>
          <cell r="Y263">
            <v>0</v>
          </cell>
          <cell r="Z263" t="str">
            <v/>
          </cell>
        </row>
        <row r="264">
          <cell r="P264" t="str">
            <v>Итого</v>
          </cell>
          <cell r="W264" t="str">
            <v>кор</v>
          </cell>
          <cell r="X264">
            <v>0</v>
          </cell>
          <cell r="Y264">
            <v>0</v>
          </cell>
          <cell r="Z264">
            <v>0</v>
          </cell>
        </row>
        <row r="265">
          <cell r="P265" t="str">
            <v>Итого</v>
          </cell>
          <cell r="W265" t="str">
            <v>кг</v>
          </cell>
          <cell r="X265">
            <v>0</v>
          </cell>
          <cell r="Y265">
            <v>0</v>
          </cell>
        </row>
        <row r="266">
          <cell r="A266" t="str">
            <v>Сардельки</v>
          </cell>
        </row>
        <row r="267">
          <cell r="A267" t="str">
            <v>SU002287</v>
          </cell>
          <cell r="B267" t="str">
            <v>P005080</v>
          </cell>
          <cell r="C267">
            <v>4301060524</v>
          </cell>
          <cell r="D267">
            <v>4607091384673</v>
          </cell>
          <cell r="F267">
            <v>1.5</v>
          </cell>
          <cell r="G267">
            <v>6</v>
          </cell>
          <cell r="H267">
            <v>9</v>
          </cell>
          <cell r="I267">
            <v>9.4939999999999998</v>
          </cell>
          <cell r="J267">
            <v>64</v>
          </cell>
          <cell r="K267" t="str">
            <v>8</v>
          </cell>
          <cell r="L267" t="str">
            <v/>
          </cell>
          <cell r="M267" t="str">
            <v>СК3</v>
          </cell>
          <cell r="O267">
            <v>40</v>
          </cell>
          <cell r="P267" t="str">
            <v>Сардельки «Сочные» Весовой п/а ТМ «Особый рецепт»</v>
          </cell>
          <cell r="U267" t="str">
            <v/>
          </cell>
          <cell r="V267" t="str">
            <v/>
          </cell>
          <cell r="W267" t="str">
            <v>кг</v>
          </cell>
          <cell r="X267">
            <v>0</v>
          </cell>
          <cell r="Y267">
            <v>0</v>
          </cell>
          <cell r="Z267" t="str">
            <v/>
          </cell>
        </row>
        <row r="268">
          <cell r="P268" t="str">
            <v>Итого</v>
          </cell>
          <cell r="W268" t="str">
            <v>кор</v>
          </cell>
          <cell r="X268">
            <v>0</v>
          </cell>
          <cell r="Y268">
            <v>0</v>
          </cell>
          <cell r="Z268">
            <v>0</v>
          </cell>
        </row>
        <row r="269">
          <cell r="P269" t="str">
            <v>Итого</v>
          </cell>
          <cell r="W269" t="str">
            <v>кг</v>
          </cell>
          <cell r="X269">
            <v>0</v>
          </cell>
          <cell r="Y269">
            <v>0</v>
          </cell>
        </row>
        <row r="270">
          <cell r="A270" t="str">
            <v>Особая Без свинины</v>
          </cell>
        </row>
        <row r="271">
          <cell r="A271" t="str">
            <v>Вареные колбасы</v>
          </cell>
        </row>
        <row r="272">
          <cell r="A272" t="str">
            <v>SU003425</v>
          </cell>
          <cell r="B272" t="str">
            <v>P004273</v>
          </cell>
          <cell r="C272">
            <v>4301011875</v>
          </cell>
          <cell r="D272">
            <v>4680115884885</v>
          </cell>
          <cell r="F272">
            <v>0.8</v>
          </cell>
          <cell r="G272">
            <v>15</v>
          </cell>
          <cell r="H272">
            <v>12</v>
          </cell>
          <cell r="I272">
            <v>12.41</v>
          </cell>
          <cell r="J272">
            <v>64</v>
          </cell>
          <cell r="K272" t="str">
            <v>8</v>
          </cell>
          <cell r="L272" t="str">
            <v/>
          </cell>
          <cell r="M272" t="str">
            <v>СК2</v>
          </cell>
          <cell r="O272">
            <v>60</v>
          </cell>
          <cell r="P272" t="str">
            <v>Вареные колбасы «Филейная Оригинальная» Весовой п/а ТМ «Особый рецепт»</v>
          </cell>
          <cell r="U272" t="str">
            <v/>
          </cell>
          <cell r="V272" t="str">
            <v/>
          </cell>
          <cell r="W272" t="str">
            <v>кг</v>
          </cell>
          <cell r="X272">
            <v>0</v>
          </cell>
          <cell r="Y272">
            <v>0</v>
          </cell>
          <cell r="Z272" t="str">
            <v/>
          </cell>
        </row>
        <row r="273">
          <cell r="A273" t="str">
            <v>SU003426</v>
          </cell>
          <cell r="B273" t="str">
            <v>P004258</v>
          </cell>
          <cell r="C273">
            <v>4301011871</v>
          </cell>
          <cell r="D273">
            <v>4680115884908</v>
          </cell>
          <cell r="F273">
            <v>0.4</v>
          </cell>
          <cell r="G273">
            <v>10</v>
          </cell>
          <cell r="H273">
            <v>4</v>
          </cell>
          <cell r="I273">
            <v>4.1900000000000004</v>
          </cell>
          <cell r="J273">
            <v>132</v>
          </cell>
          <cell r="K273" t="str">
            <v>12</v>
          </cell>
          <cell r="L273" t="str">
            <v/>
          </cell>
          <cell r="M273" t="str">
            <v>СК2</v>
          </cell>
          <cell r="O273">
            <v>60</v>
          </cell>
          <cell r="P273" t="str">
            <v>Вареные колбасы «Филейная Оригинальная» ф/в 0,4 п/а ТМ «Особый рецепт»</v>
          </cell>
          <cell r="U273" t="str">
            <v/>
          </cell>
          <cell r="V273" t="str">
            <v/>
          </cell>
          <cell r="W273" t="str">
            <v>кг</v>
          </cell>
          <cell r="X273">
            <v>0</v>
          </cell>
          <cell r="Y273">
            <v>0</v>
          </cell>
          <cell r="Z273" t="str">
            <v/>
          </cell>
        </row>
        <row r="274">
          <cell r="P274" t="str">
            <v>Итого</v>
          </cell>
          <cell r="W274" t="str">
            <v>кор</v>
          </cell>
          <cell r="X274">
            <v>0</v>
          </cell>
          <cell r="Y274">
            <v>0</v>
          </cell>
          <cell r="Z274">
            <v>0</v>
          </cell>
        </row>
        <row r="275">
          <cell r="P275" t="str">
            <v>Итого</v>
          </cell>
          <cell r="W275" t="str">
            <v>кг</v>
          </cell>
          <cell r="X275">
            <v>0</v>
          </cell>
          <cell r="Y275">
            <v>0</v>
          </cell>
        </row>
        <row r="276">
          <cell r="A276" t="str">
            <v>Копченые колбасы</v>
          </cell>
        </row>
        <row r="277">
          <cell r="A277" t="str">
            <v>SU002360</v>
          </cell>
          <cell r="B277" t="str">
            <v>P005172</v>
          </cell>
          <cell r="C277">
            <v>4301031457</v>
          </cell>
          <cell r="D277">
            <v>4607091384802</v>
          </cell>
          <cell r="F277">
            <v>0.7</v>
          </cell>
          <cell r="G277">
            <v>6</v>
          </cell>
          <cell r="H277">
            <v>4.2</v>
          </cell>
          <cell r="I277">
            <v>4.45</v>
          </cell>
          <cell r="J277">
            <v>132</v>
          </cell>
          <cell r="K277" t="str">
            <v>12</v>
          </cell>
          <cell r="L277" t="str">
            <v/>
          </cell>
          <cell r="M277" t="str">
            <v>СК2</v>
          </cell>
          <cell r="O277">
            <v>50</v>
          </cell>
          <cell r="P277" t="str">
            <v>Копченые колбасы «Сервелат Левантский» Весовой п/а ТМ «Особый рецепт»</v>
          </cell>
          <cell r="U277" t="str">
            <v/>
          </cell>
          <cell r="V277" t="str">
            <v/>
          </cell>
          <cell r="W277" t="str">
            <v>кг</v>
          </cell>
          <cell r="X277">
            <v>0</v>
          </cell>
          <cell r="Y277">
            <v>0</v>
          </cell>
          <cell r="Z277" t="str">
            <v/>
          </cell>
        </row>
        <row r="278">
          <cell r="A278" t="str">
            <v>SU002360</v>
          </cell>
          <cell r="B278" t="str">
            <v>P004227</v>
          </cell>
          <cell r="C278">
            <v>4301031303</v>
          </cell>
          <cell r="D278">
            <v>4607091384802</v>
          </cell>
          <cell r="F278">
            <v>0.73</v>
          </cell>
          <cell r="G278">
            <v>6</v>
          </cell>
          <cell r="H278">
            <v>4.38</v>
          </cell>
          <cell r="I278">
            <v>4.63</v>
          </cell>
          <cell r="J278">
            <v>132</v>
          </cell>
          <cell r="K278" t="str">
            <v>12</v>
          </cell>
          <cell r="L278" t="str">
            <v/>
          </cell>
          <cell r="M278" t="str">
            <v>СК2</v>
          </cell>
          <cell r="O278">
            <v>35</v>
          </cell>
          <cell r="P278" t="str">
            <v>В/к колбасы Сервелат Левантский Особая Без свинины Весовые в/у Особый рецепт</v>
          </cell>
          <cell r="U278" t="str">
            <v/>
          </cell>
          <cell r="V278" t="str">
            <v/>
          </cell>
          <cell r="W278" t="str">
            <v>кг</v>
          </cell>
          <cell r="X278">
            <v>0</v>
          </cell>
          <cell r="Y278">
            <v>0</v>
          </cell>
          <cell r="Z278" t="str">
            <v/>
          </cell>
        </row>
        <row r="279">
          <cell r="P279" t="str">
            <v>Итого</v>
          </cell>
          <cell r="W279" t="str">
            <v>кор</v>
          </cell>
          <cell r="X279">
            <v>0</v>
          </cell>
          <cell r="Y279">
            <v>0</v>
          </cell>
          <cell r="Z279">
            <v>0</v>
          </cell>
        </row>
        <row r="280">
          <cell r="P280" t="str">
            <v>Итого</v>
          </cell>
          <cell r="W280" t="str">
            <v>кг</v>
          </cell>
          <cell r="X280">
            <v>0</v>
          </cell>
          <cell r="Y280">
            <v>0</v>
          </cell>
        </row>
        <row r="281">
          <cell r="A281" t="str">
            <v>Сосиски</v>
          </cell>
        </row>
        <row r="282">
          <cell r="A282" t="str">
            <v>SU002074</v>
          </cell>
          <cell r="B282" t="str">
            <v>P004844</v>
          </cell>
          <cell r="C282">
            <v>4301051899</v>
          </cell>
          <cell r="D282">
            <v>4607091384246</v>
          </cell>
          <cell r="F282">
            <v>1.5</v>
          </cell>
          <cell r="G282">
            <v>6</v>
          </cell>
          <cell r="H282">
            <v>9</v>
          </cell>
          <cell r="I282">
            <v>9.4939999999999998</v>
          </cell>
          <cell r="J282">
            <v>64</v>
          </cell>
          <cell r="K282" t="str">
            <v>8</v>
          </cell>
          <cell r="L282" t="str">
            <v/>
          </cell>
          <cell r="M282" t="str">
            <v>СК3</v>
          </cell>
          <cell r="O282">
            <v>40</v>
          </cell>
          <cell r="P282" t="str">
            <v>Сосиски «Молочные для завтрака» Весовой п/а ТМ «Особый рецепт»</v>
          </cell>
          <cell r="U282" t="str">
            <v/>
          </cell>
          <cell r="V282" t="str">
            <v/>
          </cell>
          <cell r="W282" t="str">
            <v>кг</v>
          </cell>
          <cell r="X282">
            <v>0</v>
          </cell>
          <cell r="Y282">
            <v>0</v>
          </cell>
          <cell r="Z282" t="str">
            <v/>
          </cell>
        </row>
        <row r="283">
          <cell r="A283" t="str">
            <v>SU002205</v>
          </cell>
          <cell r="B283" t="str">
            <v>P005198</v>
          </cell>
          <cell r="C283">
            <v>4301052069</v>
          </cell>
          <cell r="D283">
            <v>4607091384253</v>
          </cell>
          <cell r="F283">
            <v>0.4</v>
          </cell>
          <cell r="G283">
            <v>6</v>
          </cell>
          <cell r="H283">
            <v>2.4</v>
          </cell>
          <cell r="I283">
            <v>2.6640000000000001</v>
          </cell>
          <cell r="J283">
            <v>182</v>
          </cell>
          <cell r="K283" t="str">
            <v>14</v>
          </cell>
          <cell r="L283" t="str">
            <v/>
          </cell>
          <cell r="M283" t="str">
            <v>СК3</v>
          </cell>
          <cell r="O283">
            <v>40</v>
          </cell>
          <cell r="P283" t="str">
            <v>Сосиски «Молочные для завтрака» Фикс.вес 0,4 п/а ТМ «Особый рецепт»</v>
          </cell>
          <cell r="U283" t="str">
            <v/>
          </cell>
          <cell r="V283" t="str">
            <v/>
          </cell>
          <cell r="W283" t="str">
            <v>кг</v>
          </cell>
          <cell r="X283">
            <v>0</v>
          </cell>
          <cell r="Y283">
            <v>0</v>
          </cell>
          <cell r="Z283" t="str">
            <v/>
          </cell>
        </row>
        <row r="284">
          <cell r="A284" t="str">
            <v>SU002205</v>
          </cell>
          <cell r="B284" t="str">
            <v>P003969</v>
          </cell>
          <cell r="C284">
            <v>4301051660</v>
          </cell>
          <cell r="D284">
            <v>4607091384253</v>
          </cell>
          <cell r="F284">
            <v>0.4</v>
          </cell>
          <cell r="G284">
            <v>6</v>
          </cell>
          <cell r="H284">
            <v>2.4</v>
          </cell>
          <cell r="I284">
            <v>2.6640000000000001</v>
          </cell>
          <cell r="J284">
            <v>182</v>
          </cell>
          <cell r="K284" t="str">
            <v>14</v>
          </cell>
          <cell r="L284" t="str">
            <v/>
          </cell>
          <cell r="M284" t="str">
            <v>СК3</v>
          </cell>
          <cell r="O284">
            <v>40</v>
          </cell>
          <cell r="P284" t="str">
            <v>Сосиски «Молочные для завтрака» Фикс.вес 0,4 П/а мгс ТМ «Особый рецепт»</v>
          </cell>
          <cell r="U284" t="str">
            <v/>
          </cell>
          <cell r="V284" t="str">
            <v/>
          </cell>
          <cell r="W284" t="str">
            <v>кг</v>
          </cell>
          <cell r="X284">
            <v>0</v>
          </cell>
          <cell r="Y284">
            <v>0</v>
          </cell>
          <cell r="Z284" t="str">
            <v/>
          </cell>
        </row>
        <row r="285">
          <cell r="P285" t="str">
            <v>Итого</v>
          </cell>
          <cell r="W285" t="str">
            <v>кор</v>
          </cell>
          <cell r="X285">
            <v>0</v>
          </cell>
          <cell r="Y285">
            <v>0</v>
          </cell>
          <cell r="Z285">
            <v>0</v>
          </cell>
        </row>
        <row r="286">
          <cell r="P286" t="str">
            <v>Итого</v>
          </cell>
          <cell r="W286" t="str">
            <v>кг</v>
          </cell>
          <cell r="X286">
            <v>0</v>
          </cell>
          <cell r="Y286">
            <v>0</v>
          </cell>
        </row>
        <row r="287">
          <cell r="A287" t="str">
            <v>Баварушка</v>
          </cell>
        </row>
        <row r="288">
          <cell r="A288" t="str">
            <v>Филейбургская</v>
          </cell>
        </row>
        <row r="289">
          <cell r="A289" t="str">
            <v>Копченые колбасы</v>
          </cell>
        </row>
        <row r="290">
          <cell r="A290" t="str">
            <v>SU002614</v>
          </cell>
          <cell r="B290" t="str">
            <v>P004898</v>
          </cell>
          <cell r="C290">
            <v>4301031405</v>
          </cell>
          <cell r="D290">
            <v>4680115886100</v>
          </cell>
          <cell r="F290">
            <v>0.9</v>
          </cell>
          <cell r="G290">
            <v>6</v>
          </cell>
          <cell r="H290">
            <v>5.4</v>
          </cell>
          <cell r="I290">
            <v>5.59</v>
          </cell>
          <cell r="J290">
            <v>132</v>
          </cell>
          <cell r="K290" t="str">
            <v>12</v>
          </cell>
          <cell r="L290" t="str">
            <v/>
          </cell>
          <cell r="M290" t="str">
            <v>СК2</v>
          </cell>
          <cell r="O290">
            <v>50</v>
          </cell>
          <cell r="P290" t="str">
            <v>Копченые колбасы «Салями Филейбургская зернистая» Весовой фиброуз ТМ «Баварушка»</v>
          </cell>
          <cell r="U290" t="str">
            <v/>
          </cell>
          <cell r="V290" t="str">
            <v/>
          </cell>
          <cell r="W290" t="str">
            <v>кг</v>
          </cell>
          <cell r="X290">
            <v>0</v>
          </cell>
          <cell r="Y290">
            <v>0</v>
          </cell>
          <cell r="Z290" t="str">
            <v/>
          </cell>
        </row>
        <row r="291">
          <cell r="A291" t="str">
            <v>SU002615</v>
          </cell>
          <cell r="B291" t="str">
            <v>P004899</v>
          </cell>
          <cell r="C291">
            <v>4301031406</v>
          </cell>
          <cell r="D291">
            <v>4680115886117</v>
          </cell>
          <cell r="F291">
            <v>0.9</v>
          </cell>
          <cell r="G291">
            <v>6</v>
          </cell>
          <cell r="H291">
            <v>5.4</v>
          </cell>
          <cell r="I291">
            <v>5.59</v>
          </cell>
          <cell r="J291">
            <v>132</v>
          </cell>
          <cell r="K291" t="str">
            <v>12</v>
          </cell>
          <cell r="L291" t="str">
            <v/>
          </cell>
          <cell r="M291" t="str">
            <v>СК2</v>
          </cell>
          <cell r="O291">
            <v>50</v>
          </cell>
          <cell r="P291" t="str">
            <v>Копченые колбасы «Филейбургская с душистым чесноком» Весовой фиброуз ТМ «Баварушка»</v>
          </cell>
          <cell r="U291" t="str">
            <v/>
          </cell>
          <cell r="V291" t="str">
            <v/>
          </cell>
          <cell r="W291" t="str">
            <v>кг</v>
          </cell>
          <cell r="X291">
            <v>0</v>
          </cell>
          <cell r="Y291">
            <v>0</v>
          </cell>
          <cell r="Z291" t="str">
            <v/>
          </cell>
        </row>
        <row r="292">
          <cell r="A292" t="str">
            <v>SU002606</v>
          </cell>
          <cell r="B292" t="str">
            <v>P004521</v>
          </cell>
          <cell r="C292">
            <v>4301031358</v>
          </cell>
          <cell r="D292">
            <v>4607091389531</v>
          </cell>
          <cell r="F292">
            <v>0.35</v>
          </cell>
          <cell r="G292">
            <v>6</v>
          </cell>
          <cell r="H292">
            <v>2.1</v>
          </cell>
          <cell r="I292">
            <v>2.23</v>
          </cell>
          <cell r="J292">
            <v>234</v>
          </cell>
          <cell r="K292" t="str">
            <v>18</v>
          </cell>
          <cell r="L292" t="str">
            <v/>
          </cell>
          <cell r="M292" t="str">
            <v>СК2</v>
          </cell>
          <cell r="O292">
            <v>50</v>
          </cell>
          <cell r="P292" t="str">
            <v>В/к колбасы Сервелат Филейбургский с филе сочного окорока срез Филейбургская Фикс.вес 0,35 Фиброуз в/у Баварушка</v>
          </cell>
          <cell r="U292" t="str">
            <v/>
          </cell>
          <cell r="V292" t="str">
            <v/>
          </cell>
          <cell r="W292" t="str">
            <v>кг</v>
          </cell>
          <cell r="X292">
            <v>0</v>
          </cell>
          <cell r="Y292">
            <v>0</v>
          </cell>
          <cell r="Z292" t="str">
            <v/>
          </cell>
        </row>
        <row r="293">
          <cell r="P293" t="str">
            <v>Итого</v>
          </cell>
          <cell r="W293" t="str">
            <v>кор</v>
          </cell>
          <cell r="X293">
            <v>0</v>
          </cell>
          <cell r="Y293">
            <v>0</v>
          </cell>
          <cell r="Z293">
            <v>0</v>
          </cell>
        </row>
        <row r="294">
          <cell r="P294" t="str">
            <v>Итого</v>
          </cell>
          <cell r="W294" t="str">
            <v>кг</v>
          </cell>
          <cell r="X294">
            <v>0</v>
          </cell>
          <cell r="Y294">
            <v>0</v>
          </cell>
        </row>
        <row r="295">
          <cell r="A295" t="str">
            <v>Сосиски</v>
          </cell>
        </row>
        <row r="296">
          <cell r="A296" t="str">
            <v>SU002285</v>
          </cell>
          <cell r="B296" t="str">
            <v>P002969</v>
          </cell>
          <cell r="C296">
            <v>4301051284</v>
          </cell>
          <cell r="D296">
            <v>4607091384352</v>
          </cell>
          <cell r="F296">
            <v>0.6</v>
          </cell>
          <cell r="G296">
            <v>4</v>
          </cell>
          <cell r="H296">
            <v>2.4</v>
          </cell>
          <cell r="I296">
            <v>2.6259999999999999</v>
          </cell>
          <cell r="J296">
            <v>132</v>
          </cell>
          <cell r="K296" t="str">
            <v>12</v>
          </cell>
          <cell r="L296" t="str">
            <v/>
          </cell>
          <cell r="M296" t="str">
            <v>СК3</v>
          </cell>
          <cell r="O296">
            <v>45</v>
          </cell>
          <cell r="P296" t="str">
            <v>Сосиски Баварушки (со сливочным маслом ГОСТ 32261-2013) Филейбургская Фикс.вес 0,6 П/а мгс Баварушка</v>
          </cell>
          <cell r="U296" t="str">
            <v/>
          </cell>
          <cell r="V296" t="str">
            <v/>
          </cell>
          <cell r="W296" t="str">
            <v>кг</v>
          </cell>
          <cell r="X296">
            <v>0</v>
          </cell>
          <cell r="Y296">
            <v>0</v>
          </cell>
          <cell r="Z296" t="str">
            <v/>
          </cell>
        </row>
        <row r="297">
          <cell r="A297" t="str">
            <v>SU002557</v>
          </cell>
          <cell r="B297" t="str">
            <v>P003318</v>
          </cell>
          <cell r="C297">
            <v>4301051431</v>
          </cell>
          <cell r="D297">
            <v>4607091389654</v>
          </cell>
          <cell r="F297">
            <v>0.33</v>
          </cell>
          <cell r="G297">
            <v>6</v>
          </cell>
          <cell r="H297">
            <v>1.98</v>
          </cell>
          <cell r="I297">
            <v>2.238</v>
          </cell>
          <cell r="J297">
            <v>182</v>
          </cell>
          <cell r="K297" t="str">
            <v>14</v>
          </cell>
          <cell r="L297" t="str">
            <v/>
          </cell>
          <cell r="M297" t="str">
            <v>СК3</v>
          </cell>
          <cell r="O297">
            <v>45</v>
          </cell>
          <cell r="P297" t="str">
            <v>Сосиски Баварушки (с грудкой ГОСТ 31962-2013) Филейбургская Фикс.вес 0,33 П/а мгс Баварушка</v>
          </cell>
          <cell r="U297" t="str">
            <v/>
          </cell>
          <cell r="V297" t="str">
            <v/>
          </cell>
          <cell r="W297" t="str">
            <v>кг</v>
          </cell>
          <cell r="X297">
            <v>0</v>
          </cell>
          <cell r="Y297">
            <v>0</v>
          </cell>
          <cell r="Z297" t="str">
            <v/>
          </cell>
        </row>
        <row r="298">
          <cell r="P298" t="str">
            <v>Итого</v>
          </cell>
          <cell r="W298" t="str">
            <v>кор</v>
          </cell>
          <cell r="X298">
            <v>0</v>
          </cell>
          <cell r="Y298">
            <v>0</v>
          </cell>
          <cell r="Z298">
            <v>0</v>
          </cell>
        </row>
        <row r="299">
          <cell r="P299" t="str">
            <v>Итого</v>
          </cell>
          <cell r="W299" t="str">
            <v>кг</v>
          </cell>
          <cell r="X299">
            <v>0</v>
          </cell>
          <cell r="Y299">
            <v>0</v>
          </cell>
        </row>
        <row r="300">
          <cell r="A300" t="str">
            <v>Балыкбургская</v>
          </cell>
        </row>
        <row r="301">
          <cell r="A301" t="str">
            <v>Ветчины</v>
          </cell>
        </row>
        <row r="302">
          <cell r="A302" t="str">
            <v>SU003500</v>
          </cell>
          <cell r="B302" t="str">
            <v>P004400</v>
          </cell>
          <cell r="C302">
            <v>4301020319</v>
          </cell>
          <cell r="D302">
            <v>4680115885240</v>
          </cell>
          <cell r="F302">
            <v>0.35</v>
          </cell>
          <cell r="G302">
            <v>6</v>
          </cell>
          <cell r="H302">
            <v>2.1</v>
          </cell>
          <cell r="I302">
            <v>2.31</v>
          </cell>
          <cell r="J302">
            <v>182</v>
          </cell>
          <cell r="K302" t="str">
            <v>14</v>
          </cell>
          <cell r="L302" t="str">
            <v/>
          </cell>
          <cell r="M302" t="str">
            <v>СК2</v>
          </cell>
          <cell r="O302">
            <v>40</v>
          </cell>
          <cell r="P302" t="str">
            <v>Ветчины «Балыкбургская» срез Фикс.вес 0,35 айцел в/у ТМ «Баварушка»</v>
          </cell>
          <cell r="U302" t="str">
            <v/>
          </cell>
          <cell r="V302" t="str">
            <v/>
          </cell>
          <cell r="W302" t="str">
            <v>кг</v>
          </cell>
          <cell r="X302">
            <v>0</v>
          </cell>
          <cell r="Y302">
            <v>0</v>
          </cell>
          <cell r="Z302" t="str">
            <v/>
          </cell>
        </row>
        <row r="303">
          <cell r="P303" t="str">
            <v>Итого</v>
          </cell>
          <cell r="W303" t="str">
            <v>кор</v>
          </cell>
          <cell r="X303">
            <v>0</v>
          </cell>
          <cell r="Y303">
            <v>0</v>
          </cell>
          <cell r="Z303">
            <v>0</v>
          </cell>
        </row>
        <row r="304">
          <cell r="P304" t="str">
            <v>Итого</v>
          </cell>
          <cell r="W304" t="str">
            <v>кг</v>
          </cell>
          <cell r="X304">
            <v>0</v>
          </cell>
          <cell r="Y304">
            <v>0</v>
          </cell>
        </row>
        <row r="305">
          <cell r="A305" t="str">
            <v>Копченые колбасы</v>
          </cell>
        </row>
        <row r="306">
          <cell r="A306" t="str">
            <v>SU002612</v>
          </cell>
          <cell r="B306" t="str">
            <v>P004896</v>
          </cell>
          <cell r="C306">
            <v>4301031403</v>
          </cell>
          <cell r="D306">
            <v>4680115886094</v>
          </cell>
          <cell r="F306">
            <v>0.9</v>
          </cell>
          <cell r="G306">
            <v>6</v>
          </cell>
          <cell r="H306">
            <v>5.4</v>
          </cell>
          <cell r="I306">
            <v>5.59</v>
          </cell>
          <cell r="J306">
            <v>132</v>
          </cell>
          <cell r="K306" t="str">
            <v>12</v>
          </cell>
          <cell r="L306" t="str">
            <v/>
          </cell>
          <cell r="M306" t="str">
            <v>СК1</v>
          </cell>
          <cell r="O306">
            <v>50</v>
          </cell>
          <cell r="P306" t="str">
            <v>Копченые колбасы «Балыкбургская» Весовой фиброуз ТМ «Баварушка»</v>
          </cell>
          <cell r="U306" t="str">
            <v/>
          </cell>
          <cell r="V306" t="str">
            <v/>
          </cell>
          <cell r="W306" t="str">
            <v>кг</v>
          </cell>
          <cell r="X306">
            <v>0</v>
          </cell>
          <cell r="Y306">
            <v>0</v>
          </cell>
          <cell r="Z306" t="str">
            <v/>
          </cell>
        </row>
        <row r="307">
          <cell r="P307" t="str">
            <v>Итого</v>
          </cell>
          <cell r="W307" t="str">
            <v>кор</v>
          </cell>
          <cell r="X307">
            <v>0</v>
          </cell>
          <cell r="Y307">
            <v>0</v>
          </cell>
          <cell r="Z307">
            <v>0</v>
          </cell>
        </row>
        <row r="308">
          <cell r="P308" t="str">
            <v>Итого</v>
          </cell>
          <cell r="W308" t="str">
            <v>кг</v>
          </cell>
          <cell r="X308">
            <v>0</v>
          </cell>
          <cell r="Y308">
            <v>0</v>
          </cell>
        </row>
        <row r="309">
          <cell r="A309" t="str">
            <v>Дугушка</v>
          </cell>
        </row>
        <row r="310">
          <cell r="A310" t="str">
            <v>Дугушка</v>
          </cell>
        </row>
        <row r="311">
          <cell r="A311" t="str">
            <v>Вареные колбасы</v>
          </cell>
        </row>
        <row r="312">
          <cell r="A312" t="str">
            <v>SU002011</v>
          </cell>
          <cell r="B312" t="str">
            <v>P004028</v>
          </cell>
          <cell r="C312">
            <v>4301011795</v>
          </cell>
          <cell r="D312">
            <v>4607091389067</v>
          </cell>
          <cell r="F312">
            <v>0.88</v>
          </cell>
          <cell r="G312">
            <v>6</v>
          </cell>
          <cell r="H312">
            <v>5.28</v>
          </cell>
          <cell r="I312">
            <v>5.63</v>
          </cell>
          <cell r="J312">
            <v>104</v>
          </cell>
          <cell r="K312" t="str">
            <v>8</v>
          </cell>
          <cell r="L312" t="str">
            <v/>
          </cell>
          <cell r="M312" t="str">
            <v>СК1</v>
          </cell>
          <cell r="O312">
            <v>60</v>
          </cell>
          <cell r="P312" t="str">
            <v>Вареные колбасы Докторская ГОСТ Дугушка Весовые Вектор Дугушка</v>
          </cell>
          <cell r="U312" t="str">
            <v/>
          </cell>
          <cell r="V312" t="str">
            <v/>
          </cell>
          <cell r="W312" t="str">
            <v>кг</v>
          </cell>
          <cell r="X312">
            <v>0</v>
          </cell>
          <cell r="Y312">
            <v>0</v>
          </cell>
          <cell r="Z312" t="str">
            <v/>
          </cell>
        </row>
        <row r="313">
          <cell r="A313" t="str">
            <v>SU002634</v>
          </cell>
          <cell r="B313" t="str">
            <v>P002989</v>
          </cell>
          <cell r="C313">
            <v>4301011376</v>
          </cell>
          <cell r="D313">
            <v>4680115885226</v>
          </cell>
          <cell r="F313">
            <v>0.88</v>
          </cell>
          <cell r="G313">
            <v>6</v>
          </cell>
          <cell r="H313">
            <v>5.28</v>
          </cell>
          <cell r="I313">
            <v>5.63</v>
          </cell>
          <cell r="J313">
            <v>104</v>
          </cell>
          <cell r="K313" t="str">
            <v>8</v>
          </cell>
          <cell r="L313" t="str">
            <v/>
          </cell>
          <cell r="M313" t="str">
            <v>СК3</v>
          </cell>
          <cell r="O313">
            <v>60</v>
          </cell>
          <cell r="P313" t="str">
            <v>Вареные колбасы «Дугушка Стародворская» Вес п/а ТМ «Дугушка»</v>
          </cell>
          <cell r="U313" t="str">
            <v/>
          </cell>
          <cell r="V313" t="str">
            <v/>
          </cell>
          <cell r="W313" t="str">
            <v>кг</v>
          </cell>
          <cell r="X313">
            <v>0</v>
          </cell>
          <cell r="Y313">
            <v>0</v>
          </cell>
          <cell r="Z313" t="str">
            <v/>
          </cell>
        </row>
        <row r="314">
          <cell r="A314" t="str">
            <v>SU002998</v>
          </cell>
          <cell r="B314" t="str">
            <v>P004033</v>
          </cell>
          <cell r="C314">
            <v>4301011774</v>
          </cell>
          <cell r="D314">
            <v>4680115884502</v>
          </cell>
          <cell r="F314">
            <v>0.88</v>
          </cell>
          <cell r="G314">
            <v>6</v>
          </cell>
          <cell r="H314">
            <v>5.28</v>
          </cell>
          <cell r="I314">
            <v>5.63</v>
          </cell>
          <cell r="J314">
            <v>104</v>
          </cell>
          <cell r="K314" t="str">
            <v>8</v>
          </cell>
          <cell r="L314" t="str">
            <v/>
          </cell>
          <cell r="M314" t="str">
            <v>СК1</v>
          </cell>
          <cell r="O314">
            <v>60</v>
          </cell>
          <cell r="P314" t="str">
            <v>Вареные колбасы «Молочная ГОСТ» Весовой п/а ТМ «Дугушка»</v>
          </cell>
          <cell r="U314" t="str">
            <v/>
          </cell>
          <cell r="V314" t="str">
            <v/>
          </cell>
          <cell r="W314" t="str">
            <v>кг</v>
          </cell>
          <cell r="X314">
            <v>0</v>
          </cell>
          <cell r="Y314">
            <v>0</v>
          </cell>
          <cell r="Z314" t="str">
            <v/>
          </cell>
        </row>
        <row r="315">
          <cell r="A315" t="str">
            <v>SU002010</v>
          </cell>
          <cell r="B315" t="str">
            <v>P004030</v>
          </cell>
          <cell r="C315">
            <v>4301011771</v>
          </cell>
          <cell r="D315">
            <v>4607091389104</v>
          </cell>
          <cell r="F315">
            <v>0.88</v>
          </cell>
          <cell r="G315">
            <v>6</v>
          </cell>
          <cell r="H315">
            <v>5.28</v>
          </cell>
          <cell r="I315">
            <v>5.63</v>
          </cell>
          <cell r="J315">
            <v>104</v>
          </cell>
          <cell r="K315" t="str">
            <v>8</v>
          </cell>
          <cell r="L315" t="str">
            <v/>
          </cell>
          <cell r="M315" t="str">
            <v>СК1</v>
          </cell>
          <cell r="O315">
            <v>60</v>
          </cell>
          <cell r="P315" t="str">
            <v>Вареные колбасы «Молочная Дугушка» Весовые Вектор ТМ «Дугушка»</v>
          </cell>
          <cell r="U315" t="str">
            <v/>
          </cell>
          <cell r="V315" t="str">
            <v/>
          </cell>
          <cell r="W315" t="str">
            <v>кг</v>
          </cell>
          <cell r="X315">
            <v>0</v>
          </cell>
          <cell r="Y315">
            <v>0</v>
          </cell>
          <cell r="Z315" t="str">
            <v/>
          </cell>
        </row>
        <row r="316">
          <cell r="A316" t="str">
            <v>SU002632</v>
          </cell>
          <cell r="B316" t="str">
            <v>P004689</v>
          </cell>
          <cell r="C316">
            <v>4301012035</v>
          </cell>
          <cell r="D316">
            <v>4680115880603</v>
          </cell>
          <cell r="F316">
            <v>0.6</v>
          </cell>
          <cell r="G316">
            <v>8</v>
          </cell>
          <cell r="H316">
            <v>4.8</v>
          </cell>
          <cell r="I316">
            <v>6.91</v>
          </cell>
          <cell r="J316">
            <v>132</v>
          </cell>
          <cell r="K316" t="str">
            <v>12</v>
          </cell>
          <cell r="L316" t="str">
            <v/>
          </cell>
          <cell r="M316" t="str">
            <v>СК1</v>
          </cell>
          <cell r="O316">
            <v>60</v>
          </cell>
          <cell r="P316" t="str">
            <v>Вареные колбасы «Докторская ГОСТ» Фикс.вес 0,6 п/а ТМ «Дугушка»</v>
          </cell>
          <cell r="U316" t="str">
            <v/>
          </cell>
          <cell r="V316" t="str">
            <v/>
          </cell>
          <cell r="W316" t="str">
            <v>кг</v>
          </cell>
          <cell r="X316">
            <v>0</v>
          </cell>
          <cell r="Y316">
            <v>0</v>
          </cell>
          <cell r="Z316" t="str">
            <v/>
          </cell>
        </row>
        <row r="317">
          <cell r="A317" t="str">
            <v>SU002635</v>
          </cell>
          <cell r="B317" t="str">
            <v>P004690</v>
          </cell>
          <cell r="C317">
            <v>4301012036</v>
          </cell>
          <cell r="D317">
            <v>4680115882782</v>
          </cell>
          <cell r="F317">
            <v>0.6</v>
          </cell>
          <cell r="G317">
            <v>8</v>
          </cell>
          <cell r="H317">
            <v>4.8</v>
          </cell>
          <cell r="I317">
            <v>6.96</v>
          </cell>
          <cell r="J317">
            <v>120</v>
          </cell>
          <cell r="K317" t="str">
            <v>12</v>
          </cell>
          <cell r="L317" t="str">
            <v/>
          </cell>
          <cell r="M317" t="str">
            <v>СК1</v>
          </cell>
          <cell r="O317">
            <v>60</v>
          </cell>
          <cell r="P317" t="str">
            <v>Вареные колбасы «Дугушка со шпиком» Фикс.вес 0,6 П/а ТМ «Дугушка»</v>
          </cell>
          <cell r="U317" t="str">
            <v/>
          </cell>
          <cell r="V317" t="str">
            <v/>
          </cell>
          <cell r="W317" t="str">
            <v>кг</v>
          </cell>
          <cell r="X317">
            <v>0</v>
          </cell>
          <cell r="Y317">
            <v>0</v>
          </cell>
          <cell r="Z317" t="str">
            <v/>
          </cell>
        </row>
        <row r="318">
          <cell r="A318" t="str">
            <v>SU002631</v>
          </cell>
          <cell r="B318" t="str">
            <v>P004688</v>
          </cell>
          <cell r="C318">
            <v>4301012034</v>
          </cell>
          <cell r="D318">
            <v>4607091389982</v>
          </cell>
          <cell r="F318">
            <v>0.6</v>
          </cell>
          <cell r="G318">
            <v>8</v>
          </cell>
          <cell r="H318">
            <v>4.8</v>
          </cell>
          <cell r="I318">
            <v>6.91</v>
          </cell>
          <cell r="J318">
            <v>132</v>
          </cell>
          <cell r="K318" t="str">
            <v>12</v>
          </cell>
          <cell r="L318" t="str">
            <v/>
          </cell>
          <cell r="M318" t="str">
            <v>СК1</v>
          </cell>
          <cell r="O318">
            <v>60</v>
          </cell>
          <cell r="P318" t="str">
            <v>Вареные колбасы «Молочная Дугушка» Фикс.вес 0,6 П/а ТМ «Дугушка»</v>
          </cell>
          <cell r="U318" t="str">
            <v/>
          </cell>
          <cell r="V318" t="str">
            <v/>
          </cell>
          <cell r="W318" t="str">
            <v>кг</v>
          </cell>
          <cell r="X318">
            <v>0</v>
          </cell>
          <cell r="Y318">
            <v>0</v>
          </cell>
          <cell r="Z318" t="str">
            <v/>
          </cell>
        </row>
        <row r="319">
          <cell r="P319" t="str">
            <v>Итого</v>
          </cell>
          <cell r="W319" t="str">
            <v>кор</v>
          </cell>
          <cell r="X319">
            <v>0</v>
          </cell>
          <cell r="Y319">
            <v>0</v>
          </cell>
          <cell r="Z319">
            <v>0</v>
          </cell>
        </row>
        <row r="320">
          <cell r="P320" t="str">
            <v>Итого</v>
          </cell>
          <cell r="W320" t="str">
            <v>кг</v>
          </cell>
          <cell r="X320">
            <v>0</v>
          </cell>
          <cell r="Y320">
            <v>0</v>
          </cell>
        </row>
        <row r="321">
          <cell r="A321" t="str">
            <v>Ветчины</v>
          </cell>
        </row>
        <row r="322">
          <cell r="A322" t="str">
            <v>SU002035</v>
          </cell>
          <cell r="B322" t="str">
            <v>P004460</v>
          </cell>
          <cell r="C322">
            <v>4301020334</v>
          </cell>
          <cell r="D322">
            <v>4607091388930</v>
          </cell>
          <cell r="F322">
            <v>0.88</v>
          </cell>
          <cell r="G322">
            <v>6</v>
          </cell>
          <cell r="H322">
            <v>5.28</v>
          </cell>
          <cell r="I322">
            <v>5.63</v>
          </cell>
          <cell r="J322">
            <v>104</v>
          </cell>
          <cell r="K322" t="str">
            <v>8</v>
          </cell>
          <cell r="L322" t="str">
            <v/>
          </cell>
          <cell r="M322" t="str">
            <v>СК3</v>
          </cell>
          <cell r="O322">
            <v>70</v>
          </cell>
          <cell r="P322" t="str">
            <v>Ветчины Дугушка Дугушка Вес б/о Дугушка</v>
          </cell>
          <cell r="U322" t="str">
            <v/>
          </cell>
          <cell r="V322" t="str">
            <v/>
          </cell>
          <cell r="W322" t="str">
            <v>кг</v>
          </cell>
          <cell r="X322">
            <v>0</v>
          </cell>
          <cell r="Y322">
            <v>0</v>
          </cell>
          <cell r="Z322" t="str">
            <v/>
          </cell>
        </row>
        <row r="323">
          <cell r="A323" t="str">
            <v>SU002643</v>
          </cell>
          <cell r="B323" t="str">
            <v>P004923</v>
          </cell>
          <cell r="C323">
            <v>4301020385</v>
          </cell>
          <cell r="D323">
            <v>4680115880054</v>
          </cell>
          <cell r="F323">
            <v>0.6</v>
          </cell>
          <cell r="G323">
            <v>8</v>
          </cell>
          <cell r="H323">
            <v>4.8</v>
          </cell>
          <cell r="I323">
            <v>6.91</v>
          </cell>
          <cell r="J323">
            <v>132</v>
          </cell>
          <cell r="K323" t="str">
            <v>12</v>
          </cell>
          <cell r="L323" t="str">
            <v/>
          </cell>
          <cell r="M323" t="str">
            <v>СК1</v>
          </cell>
          <cell r="O323">
            <v>70</v>
          </cell>
          <cell r="P323" t="str">
            <v>Ветчины «Дугушка» Фикс.вес 0,6 полиамид ТМ «Дугушка»</v>
          </cell>
          <cell r="U323" t="str">
            <v/>
          </cell>
          <cell r="V323" t="str">
            <v/>
          </cell>
          <cell r="W323" t="str">
            <v>кг</v>
          </cell>
          <cell r="X323">
            <v>0</v>
          </cell>
          <cell r="Y323">
            <v>0</v>
          </cell>
          <cell r="Z323" t="str">
            <v/>
          </cell>
        </row>
        <row r="324">
          <cell r="P324" t="str">
            <v>Итого</v>
          </cell>
          <cell r="W324" t="str">
            <v>кор</v>
          </cell>
          <cell r="X324">
            <v>0</v>
          </cell>
          <cell r="Y324">
            <v>0</v>
          </cell>
          <cell r="Z324">
            <v>0</v>
          </cell>
        </row>
        <row r="325">
          <cell r="P325" t="str">
            <v>Итого</v>
          </cell>
          <cell r="W325" t="str">
            <v>кг</v>
          </cell>
          <cell r="X325">
            <v>0</v>
          </cell>
          <cell r="Y325">
            <v>0</v>
          </cell>
        </row>
        <row r="326">
          <cell r="A326" t="str">
            <v>Копченые колбасы</v>
          </cell>
        </row>
        <row r="327">
          <cell r="A327" t="str">
            <v>SU002150</v>
          </cell>
          <cell r="B327" t="str">
            <v>P004465</v>
          </cell>
          <cell r="C327">
            <v>4301031349</v>
          </cell>
          <cell r="D327">
            <v>4680115883116</v>
          </cell>
          <cell r="F327">
            <v>0.88</v>
          </cell>
          <cell r="G327">
            <v>6</v>
          </cell>
          <cell r="H327">
            <v>5.28</v>
          </cell>
          <cell r="I327">
            <v>5.63</v>
          </cell>
          <cell r="J327">
            <v>104</v>
          </cell>
          <cell r="K327" t="str">
            <v>8</v>
          </cell>
          <cell r="L327" t="str">
            <v/>
          </cell>
          <cell r="M327" t="str">
            <v>СК1</v>
          </cell>
          <cell r="O327">
            <v>70</v>
          </cell>
          <cell r="P327" t="str">
            <v>В/к колбасы «Рубленая Запеченная» Весовые Вектор ТМ «Дугушка»</v>
          </cell>
          <cell r="U327" t="str">
            <v/>
          </cell>
          <cell r="V327" t="str">
            <v/>
          </cell>
          <cell r="W327" t="str">
            <v>кг</v>
          </cell>
          <cell r="X327">
            <v>0</v>
          </cell>
          <cell r="Y327">
            <v>0</v>
          </cell>
          <cell r="Z327" t="str">
            <v/>
          </cell>
        </row>
        <row r="328">
          <cell r="A328" t="str">
            <v>SU002158</v>
          </cell>
          <cell r="B328" t="str">
            <v>P004466</v>
          </cell>
          <cell r="C328">
            <v>4301031350</v>
          </cell>
          <cell r="D328">
            <v>4680115883093</v>
          </cell>
          <cell r="F328">
            <v>0.88</v>
          </cell>
          <cell r="G328">
            <v>6</v>
          </cell>
          <cell r="H328">
            <v>5.28</v>
          </cell>
          <cell r="I328">
            <v>5.63</v>
          </cell>
          <cell r="J328">
            <v>104</v>
          </cell>
          <cell r="K328" t="str">
            <v>8</v>
          </cell>
          <cell r="L328" t="str">
            <v/>
          </cell>
          <cell r="M328" t="str">
            <v>СК2</v>
          </cell>
          <cell r="O328">
            <v>70</v>
          </cell>
          <cell r="P328" t="str">
            <v>В/к колбасы «Салями Запеченая» Весовые ТМ «Дугушка»</v>
          </cell>
          <cell r="U328" t="str">
            <v/>
          </cell>
          <cell r="V328" t="str">
            <v/>
          </cell>
          <cell r="W328" t="str">
            <v>кг</v>
          </cell>
          <cell r="X328">
            <v>0</v>
          </cell>
          <cell r="Y328">
            <v>0</v>
          </cell>
          <cell r="Z328" t="str">
            <v/>
          </cell>
        </row>
        <row r="329">
          <cell r="A329" t="str">
            <v>SU002151</v>
          </cell>
          <cell r="B329" t="str">
            <v>P004470</v>
          </cell>
          <cell r="C329">
            <v>4301031353</v>
          </cell>
          <cell r="D329">
            <v>4680115883109</v>
          </cell>
          <cell r="F329">
            <v>0.88</v>
          </cell>
          <cell r="G329">
            <v>6</v>
          </cell>
          <cell r="H329">
            <v>5.28</v>
          </cell>
          <cell r="I329">
            <v>5.63</v>
          </cell>
          <cell r="J329">
            <v>104</v>
          </cell>
          <cell r="K329" t="str">
            <v>8</v>
          </cell>
          <cell r="L329" t="str">
            <v/>
          </cell>
          <cell r="M329" t="str">
            <v>СК2</v>
          </cell>
          <cell r="O329">
            <v>70</v>
          </cell>
          <cell r="P329" t="str">
            <v>В/к колбасы «Сервелат Запеченный» Весовые Вектор ТМ «Дугушка»</v>
          </cell>
          <cell r="U329" t="str">
            <v/>
          </cell>
          <cell r="V329" t="str">
            <v/>
          </cell>
          <cell r="W329" t="str">
            <v>кг</v>
          </cell>
          <cell r="X329">
            <v>0</v>
          </cell>
          <cell r="Y329">
            <v>0</v>
          </cell>
          <cell r="Z329" t="str">
            <v/>
          </cell>
        </row>
        <row r="330">
          <cell r="A330" t="str">
            <v>SU002916</v>
          </cell>
          <cell r="B330" t="str">
            <v>P004934</v>
          </cell>
          <cell r="C330">
            <v>4301031419</v>
          </cell>
          <cell r="D330">
            <v>4680115882072</v>
          </cell>
          <cell r="F330">
            <v>0.6</v>
          </cell>
          <cell r="G330">
            <v>8</v>
          </cell>
          <cell r="H330">
            <v>4.8</v>
          </cell>
          <cell r="I330">
            <v>6.91</v>
          </cell>
          <cell r="J330">
            <v>132</v>
          </cell>
          <cell r="K330" t="str">
            <v>12</v>
          </cell>
          <cell r="L330" t="str">
            <v/>
          </cell>
          <cell r="M330" t="str">
            <v>СК1</v>
          </cell>
          <cell r="O330">
            <v>70</v>
          </cell>
          <cell r="P330" t="str">
            <v>В/к колбасы «Рубленая Запеченная» Фикс.вес 0,6 вектор ТМ «Дугушка»</v>
          </cell>
          <cell r="U330" t="str">
            <v/>
          </cell>
          <cell r="V330" t="str">
            <v/>
          </cell>
          <cell r="W330" t="str">
            <v>кг</v>
          </cell>
          <cell r="X330">
            <v>0</v>
          </cell>
          <cell r="Y330">
            <v>0</v>
          </cell>
          <cell r="Z330" t="str">
            <v/>
          </cell>
        </row>
        <row r="331">
          <cell r="A331" t="str">
            <v>SU002919</v>
          </cell>
          <cell r="B331" t="str">
            <v>P004930</v>
          </cell>
          <cell r="C331">
            <v>4301031418</v>
          </cell>
          <cell r="D331">
            <v>4680115882102</v>
          </cell>
          <cell r="F331">
            <v>0.6</v>
          </cell>
          <cell r="G331">
            <v>8</v>
          </cell>
          <cell r="H331">
            <v>4.8</v>
          </cell>
          <cell r="I331">
            <v>6.67</v>
          </cell>
          <cell r="J331">
            <v>132</v>
          </cell>
          <cell r="K331" t="str">
            <v>12</v>
          </cell>
          <cell r="L331" t="str">
            <v/>
          </cell>
          <cell r="M331" t="str">
            <v>СК2</v>
          </cell>
          <cell r="O331">
            <v>70</v>
          </cell>
          <cell r="P331" t="str">
            <v>Копченые колбасы «Салями Запеченая» Фикс.вес 0,6 вектор ТМ «Стародворье»</v>
          </cell>
          <cell r="U331" t="str">
            <v/>
          </cell>
          <cell r="V331" t="str">
            <v/>
          </cell>
          <cell r="W331" t="str">
            <v>кг</v>
          </cell>
          <cell r="X331">
            <v>0</v>
          </cell>
          <cell r="Y331">
            <v>0</v>
          </cell>
          <cell r="Z331" t="str">
            <v/>
          </cell>
        </row>
        <row r="332">
          <cell r="A332" t="str">
            <v>SU002918</v>
          </cell>
          <cell r="B332" t="str">
            <v>P004929</v>
          </cell>
          <cell r="C332">
            <v>4301031417</v>
          </cell>
          <cell r="D332">
            <v>4680115882096</v>
          </cell>
          <cell r="F332">
            <v>0.6</v>
          </cell>
          <cell r="G332">
            <v>8</v>
          </cell>
          <cell r="H332">
            <v>4.8</v>
          </cell>
          <cell r="I332">
            <v>6.67</v>
          </cell>
          <cell r="J332">
            <v>132</v>
          </cell>
          <cell r="K332" t="str">
            <v>12</v>
          </cell>
          <cell r="L332" t="str">
            <v/>
          </cell>
          <cell r="M332" t="str">
            <v>СК2</v>
          </cell>
          <cell r="O332">
            <v>70</v>
          </cell>
          <cell r="P332" t="str">
            <v>В/к колбасы «Сервелат Запеченный» Фикс.вес 0,6 вектор ТМ «Стародворье»</v>
          </cell>
          <cell r="U332" t="str">
            <v/>
          </cell>
          <cell r="V332" t="str">
            <v/>
          </cell>
          <cell r="W332" t="str">
            <v>кг</v>
          </cell>
          <cell r="X332">
            <v>0</v>
          </cell>
          <cell r="Y332">
            <v>0</v>
          </cell>
          <cell r="Z332" t="str">
            <v/>
          </cell>
        </row>
        <row r="333">
          <cell r="P333" t="str">
            <v>Итого</v>
          </cell>
          <cell r="W333" t="str">
            <v>кор</v>
          </cell>
          <cell r="X333">
            <v>0</v>
          </cell>
          <cell r="Y333">
            <v>0</v>
          </cell>
          <cell r="Z333">
            <v>0</v>
          </cell>
        </row>
        <row r="334">
          <cell r="P334" t="str">
            <v>Итого</v>
          </cell>
          <cell r="W334" t="str">
            <v>кг</v>
          </cell>
          <cell r="X334">
            <v>0</v>
          </cell>
          <cell r="Y334">
            <v>0</v>
          </cell>
        </row>
        <row r="335">
          <cell r="P335" t="str">
            <v>ИТОГО НЕТТО</v>
          </cell>
          <cell r="W335" t="str">
            <v>кг</v>
          </cell>
          <cell r="X335">
            <v>0</v>
          </cell>
          <cell r="Y335">
            <v>0</v>
          </cell>
        </row>
        <row r="336">
          <cell r="P336" t="str">
            <v>ИТОГО БРУТТО</v>
          </cell>
          <cell r="W336" t="str">
            <v>кг</v>
          </cell>
          <cell r="X336">
            <v>0</v>
          </cell>
          <cell r="Y336">
            <v>0</v>
          </cell>
        </row>
        <row r="337">
          <cell r="P337" t="str">
            <v>Кол-во паллет</v>
          </cell>
          <cell r="W337" t="str">
            <v>шт</v>
          </cell>
          <cell r="X337">
            <v>0</v>
          </cell>
          <cell r="Y337">
            <v>0</v>
          </cell>
        </row>
        <row r="338">
          <cell r="P338" t="str">
            <v>Вес брутто  с паллетами</v>
          </cell>
          <cell r="W338" t="str">
            <v>кг</v>
          </cell>
          <cell r="X338">
            <v>0</v>
          </cell>
          <cell r="Y338">
            <v>0</v>
          </cell>
        </row>
        <row r="339">
          <cell r="P339" t="str">
            <v>Кол-во коробок</v>
          </cell>
          <cell r="W339" t="str">
            <v>шт</v>
          </cell>
          <cell r="X339">
            <v>0</v>
          </cell>
          <cell r="Y339">
            <v>0</v>
          </cell>
        </row>
        <row r="340">
          <cell r="P340" t="str">
            <v>Объем заказа</v>
          </cell>
          <cell r="W340" t="str">
            <v>м3</v>
          </cell>
          <cell r="Z340">
            <v>0</v>
          </cell>
        </row>
        <row r="342">
          <cell r="A342" t="str">
            <v>ТОРГОВАЯ МАРКА</v>
          </cell>
          <cell r="B342" t="str">
            <v>Ядрена копоть</v>
          </cell>
          <cell r="C342" t="str">
            <v>Вязанка</v>
          </cell>
          <cell r="D342" t="str">
            <v>Вязанка</v>
          </cell>
          <cell r="E342" t="str">
            <v>Вязанка</v>
          </cell>
          <cell r="F342" t="str">
            <v>Вязанка</v>
          </cell>
          <cell r="G342" t="str">
            <v>Вязанка</v>
          </cell>
          <cell r="H342" t="str">
            <v>Стародворье</v>
          </cell>
          <cell r="I342" t="str">
            <v>Стародворье</v>
          </cell>
          <cell r="J342" t="str">
            <v>Стародворье</v>
          </cell>
          <cell r="K342" t="str">
            <v>Стародворье</v>
          </cell>
          <cell r="L342" t="str">
            <v>Стародворье</v>
          </cell>
          <cell r="M342" t="str">
            <v>Стародворье</v>
          </cell>
          <cell r="O342" t="str">
            <v>Стародворье</v>
          </cell>
          <cell r="P342" t="str">
            <v>Стародворье</v>
          </cell>
          <cell r="Q342" t="str">
            <v>Стародворье</v>
          </cell>
          <cell r="R342" t="str">
            <v>Особый рецепт</v>
          </cell>
          <cell r="S342" t="str">
            <v>Особый рецепт</v>
          </cell>
          <cell r="T342" t="str">
            <v>Баварушка</v>
          </cell>
          <cell r="U342" t="str">
            <v>Баварушка</v>
          </cell>
          <cell r="V342" t="str">
            <v>Дугушка</v>
          </cell>
        </row>
        <row r="343">
          <cell r="A343" t="str">
            <v>СЕРИЯ</v>
          </cell>
          <cell r="B343" t="str">
            <v>Ядрена копоть</v>
          </cell>
          <cell r="C343" t="str">
            <v>ГОСТ</v>
          </cell>
          <cell r="D343" t="str">
            <v>Филейская</v>
          </cell>
          <cell r="E343" t="str">
            <v>Молокуша</v>
          </cell>
          <cell r="F343" t="str">
            <v>Сливушка</v>
          </cell>
          <cell r="G343" t="str">
            <v>Вязанка</v>
          </cell>
          <cell r="H343" t="str">
            <v>Мясорубская</v>
          </cell>
          <cell r="I343" t="str">
            <v>Сочинка</v>
          </cell>
          <cell r="J343" t="str">
            <v>Стародворская</v>
          </cell>
          <cell r="K343" t="str">
            <v>Филедворская по-стародворски</v>
          </cell>
          <cell r="L343" t="str">
            <v>Стародворская Золоченная в печи</v>
          </cell>
          <cell r="M343" t="str">
            <v>Сочинка по-баварски</v>
          </cell>
          <cell r="O343" t="str">
            <v>Стародворская EDLP/EDPP</v>
          </cell>
          <cell r="P343" t="str">
            <v>Бордо</v>
          </cell>
          <cell r="Q343" t="str">
            <v>Бавария</v>
          </cell>
          <cell r="R343" t="str">
            <v>Особая</v>
          </cell>
          <cell r="S343" t="str">
            <v>Особая Без свинины</v>
          </cell>
          <cell r="T343" t="str">
            <v>Филейбургская</v>
          </cell>
          <cell r="U343" t="str">
            <v>Балыкбургская</v>
          </cell>
          <cell r="V343" t="str">
            <v>Дугушка</v>
          </cell>
        </row>
        <row r="345">
          <cell r="A345" t="str">
            <v>ИТОГО, кг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2" sqref="AE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9.28515625" customWidth="1"/>
    <col min="31" max="31" width="7" customWidth="1"/>
    <col min="32" max="32" width="3" customWidth="1"/>
    <col min="33" max="33" width="7.85546875" style="20" customWidth="1"/>
    <col min="34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19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 t="s">
        <v>104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9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105</v>
      </c>
      <c r="S3" s="7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5"/>
      <c r="AG3" s="19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23</v>
      </c>
      <c r="P4" s="5" t="s">
        <v>24</v>
      </c>
      <c r="Q4" s="5"/>
      <c r="R4" s="5" t="s">
        <v>106</v>
      </c>
      <c r="S4" s="5"/>
      <c r="T4" s="5"/>
      <c r="U4" s="5"/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/>
      <c r="AE4" s="5"/>
      <c r="AF4" s="5"/>
      <c r="AG4" s="19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SUM(E6:E482)</f>
        <v>13587.516</v>
      </c>
      <c r="F5" s="3">
        <f>SUM(F6:F482)</f>
        <v>11152.421</v>
      </c>
      <c r="G5" s="8"/>
      <c r="H5" s="5"/>
      <c r="I5" s="5"/>
      <c r="J5" s="5"/>
      <c r="K5" s="3">
        <f t="shared" ref="K5:R5" si="0">SUM(K6:K482)</f>
        <v>0</v>
      </c>
      <c r="L5" s="3">
        <f t="shared" si="0"/>
        <v>13587.516</v>
      </c>
      <c r="M5" s="3">
        <f t="shared" si="0"/>
        <v>0</v>
      </c>
      <c r="N5" s="3">
        <f t="shared" si="0"/>
        <v>0</v>
      </c>
      <c r="O5" s="3">
        <f t="shared" si="0"/>
        <v>13941.111111111111</v>
      </c>
      <c r="P5" s="3">
        <f t="shared" si="0"/>
        <v>2717.5031999999997</v>
      </c>
      <c r="Q5" s="3">
        <f t="shared" si="0"/>
        <v>15704.965488888889</v>
      </c>
      <c r="R5" s="3">
        <f t="shared" si="0"/>
        <v>10615</v>
      </c>
      <c r="S5" s="5"/>
      <c r="T5" s="5"/>
      <c r="U5" s="5"/>
      <c r="V5" s="3">
        <f t="shared" ref="V5:AC5" si="1">SUM(V6:V482)</f>
        <v>2151.9498000000003</v>
      </c>
      <c r="W5" s="3">
        <f t="shared" si="1"/>
        <v>1911.1414</v>
      </c>
      <c r="X5" s="3">
        <f t="shared" si="1"/>
        <v>1836.4140000000002</v>
      </c>
      <c r="Y5" s="3">
        <f t="shared" si="1"/>
        <v>1853.59</v>
      </c>
      <c r="Z5" s="3">
        <f t="shared" si="1"/>
        <v>1762.1594000000005</v>
      </c>
      <c r="AA5" s="3">
        <f t="shared" si="1"/>
        <v>1905.0529999999999</v>
      </c>
      <c r="AB5" s="3">
        <f t="shared" si="1"/>
        <v>1877.4608000000005</v>
      </c>
      <c r="AC5" s="3">
        <f t="shared" si="1"/>
        <v>1613.4002000000005</v>
      </c>
      <c r="AD5" s="5"/>
      <c r="AE5" s="3">
        <f>SUM(AE6:AE482)</f>
        <v>8104.26</v>
      </c>
      <c r="AF5" s="5"/>
      <c r="AG5" s="19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33</v>
      </c>
      <c r="B6" s="5" t="s">
        <v>34</v>
      </c>
      <c r="C6" s="5">
        <v>253.577</v>
      </c>
      <c r="D6" s="5">
        <v>301.52499999999998</v>
      </c>
      <c r="E6" s="5">
        <v>347.05099999999999</v>
      </c>
      <c r="F6" s="5">
        <v>204.93700000000001</v>
      </c>
      <c r="G6" s="8">
        <v>1</v>
      </c>
      <c r="H6" s="5">
        <v>50</v>
      </c>
      <c r="I6" s="5" t="s">
        <v>35</v>
      </c>
      <c r="J6" s="5"/>
      <c r="K6" s="5"/>
      <c r="L6" s="5">
        <f t="shared" ref="L6:L37" si="2">E6-K6</f>
        <v>347.05099999999999</v>
      </c>
      <c r="M6" s="5"/>
      <c r="N6" s="5"/>
      <c r="O6" s="5">
        <v>600</v>
      </c>
      <c r="P6" s="5">
        <f t="shared" ref="P6:P37" si="3">E6/5</f>
        <v>69.410200000000003</v>
      </c>
      <c r="Q6" s="4">
        <f>18*P6-O6-F6</f>
        <v>444.4466000000001</v>
      </c>
      <c r="R6" s="4">
        <f>IFERROR(VLOOKUP(A6,[1]Sheet!$A$1:$S$65536,19,0),0)</f>
        <v>250</v>
      </c>
      <c r="S6" s="5"/>
      <c r="T6" s="5">
        <f t="shared" ref="T6:T37" si="4">(F6+O6+Q6)/P6</f>
        <v>18</v>
      </c>
      <c r="U6" s="5">
        <f t="shared" ref="U6:U37" si="5">(F6+O6)/P6</f>
        <v>11.596811419647256</v>
      </c>
      <c r="V6" s="5">
        <v>75.95320000000001</v>
      </c>
      <c r="W6" s="5">
        <v>39.898200000000003</v>
      </c>
      <c r="X6" s="5">
        <v>38.9938</v>
      </c>
      <c r="Y6" s="5">
        <v>50.0184</v>
      </c>
      <c r="Z6" s="5">
        <v>43.255600000000001</v>
      </c>
      <c r="AA6" s="5">
        <v>50.669199999999996</v>
      </c>
      <c r="AB6" s="5">
        <v>57.2684</v>
      </c>
      <c r="AC6" s="5">
        <v>39.6828</v>
      </c>
      <c r="AD6" s="5"/>
      <c r="AE6" s="5">
        <f>ROUND(G6*R6,0)</f>
        <v>250</v>
      </c>
      <c r="AF6" s="5"/>
      <c r="AG6" s="19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36</v>
      </c>
      <c r="B7" s="5" t="s">
        <v>34</v>
      </c>
      <c r="C7" s="5">
        <v>314.51600000000002</v>
      </c>
      <c r="D7" s="5">
        <v>301.971</v>
      </c>
      <c r="E7" s="5">
        <v>343.75099999999998</v>
      </c>
      <c r="F7" s="5">
        <v>252.471</v>
      </c>
      <c r="G7" s="8">
        <v>1</v>
      </c>
      <c r="H7" s="5">
        <v>55</v>
      </c>
      <c r="I7" s="5" t="s">
        <v>35</v>
      </c>
      <c r="J7" s="5"/>
      <c r="K7" s="5"/>
      <c r="L7" s="5">
        <f t="shared" si="2"/>
        <v>343.75099999999998</v>
      </c>
      <c r="M7" s="5"/>
      <c r="N7" s="5"/>
      <c r="O7" s="5">
        <v>350</v>
      </c>
      <c r="P7" s="5">
        <f t="shared" si="3"/>
        <v>68.750199999999992</v>
      </c>
      <c r="Q7" s="4">
        <f>17*P7-O7-F7</f>
        <v>566.28239999999983</v>
      </c>
      <c r="R7" s="4">
        <f>IFERROR(VLOOKUP(A7,[1]Sheet!$A$1:$S$65536,19,0),0)</f>
        <v>420</v>
      </c>
      <c r="S7" s="5"/>
      <c r="T7" s="5">
        <f t="shared" si="4"/>
        <v>17</v>
      </c>
      <c r="U7" s="5">
        <f t="shared" si="5"/>
        <v>8.7631890525409393</v>
      </c>
      <c r="V7" s="5">
        <v>44.959000000000003</v>
      </c>
      <c r="W7" s="5">
        <v>44.106400000000001</v>
      </c>
      <c r="X7" s="5">
        <v>48.622399999999999</v>
      </c>
      <c r="Y7" s="5">
        <v>44.1432</v>
      </c>
      <c r="Z7" s="5">
        <v>36.142000000000003</v>
      </c>
      <c r="AA7" s="5">
        <v>51.187800000000003</v>
      </c>
      <c r="AB7" s="5">
        <v>53.262999999999998</v>
      </c>
      <c r="AC7" s="5">
        <v>41.200200000000002</v>
      </c>
      <c r="AD7" s="5"/>
      <c r="AE7" s="5">
        <f t="shared" ref="AE7:AE67" si="6">ROUND(G7*R7,0)</f>
        <v>420</v>
      </c>
      <c r="AF7" s="5"/>
      <c r="AG7" s="19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37</v>
      </c>
      <c r="B8" s="5" t="s">
        <v>34</v>
      </c>
      <c r="C8" s="5">
        <v>38.389000000000003</v>
      </c>
      <c r="D8" s="5"/>
      <c r="E8" s="5">
        <v>10.959</v>
      </c>
      <c r="F8" s="5">
        <v>21.545000000000002</v>
      </c>
      <c r="G8" s="8">
        <v>1</v>
      </c>
      <c r="H8" s="5">
        <v>180</v>
      </c>
      <c r="I8" s="5" t="s">
        <v>35</v>
      </c>
      <c r="J8" s="5"/>
      <c r="K8" s="5"/>
      <c r="L8" s="5">
        <f t="shared" si="2"/>
        <v>10.959</v>
      </c>
      <c r="M8" s="5"/>
      <c r="N8" s="5"/>
      <c r="O8" s="5">
        <v>0</v>
      </c>
      <c r="P8" s="5">
        <f t="shared" si="3"/>
        <v>2.1917999999999997</v>
      </c>
      <c r="Q8" s="4">
        <f t="shared" ref="Q8" si="7">18*P8-O8-F8</f>
        <v>17.907399999999996</v>
      </c>
      <c r="R8" s="4">
        <f>IFERROR(VLOOKUP(A8,[1]Sheet!$A$1:$S$65536,19,0),0)</f>
        <v>15</v>
      </c>
      <c r="S8" s="5"/>
      <c r="T8" s="5">
        <f t="shared" si="4"/>
        <v>18</v>
      </c>
      <c r="U8" s="5">
        <f t="shared" si="5"/>
        <v>9.8298202390729106</v>
      </c>
      <c r="V8" s="5">
        <v>1.4418</v>
      </c>
      <c r="W8" s="5">
        <v>1.9663999999999999</v>
      </c>
      <c r="X8" s="5">
        <v>0.15920000000000001</v>
      </c>
      <c r="Y8" s="5">
        <v>0.254</v>
      </c>
      <c r="Z8" s="5">
        <v>1.5112000000000001</v>
      </c>
      <c r="AA8" s="5">
        <v>0.48299999999999998</v>
      </c>
      <c r="AB8" s="5">
        <v>-5.1200000000000002E-2</v>
      </c>
      <c r="AC8" s="5">
        <v>0.48180000000000001</v>
      </c>
      <c r="AD8" s="5"/>
      <c r="AE8" s="5">
        <f t="shared" si="6"/>
        <v>15</v>
      </c>
      <c r="AF8" s="5"/>
      <c r="AG8" s="19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10" t="s">
        <v>38</v>
      </c>
      <c r="B9" s="10" t="s">
        <v>34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39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4">
        <f>IFERROR(VLOOKUP(A9,[1]Sheet!$A$1:$S$65536,19,0),0)</f>
        <v>0</v>
      </c>
      <c r="S9" s="10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/>
      <c r="AE9" s="5">
        <f t="shared" si="6"/>
        <v>0</v>
      </c>
      <c r="AF9" s="5"/>
      <c r="AG9" s="19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40</v>
      </c>
      <c r="B10" s="5" t="s">
        <v>34</v>
      </c>
      <c r="C10" s="5">
        <v>53.612000000000002</v>
      </c>
      <c r="D10" s="5">
        <v>97.781999999999996</v>
      </c>
      <c r="E10" s="5">
        <v>94.495999999999995</v>
      </c>
      <c r="F10" s="5">
        <v>56.457999999999998</v>
      </c>
      <c r="G10" s="8">
        <v>1</v>
      </c>
      <c r="H10" s="5">
        <v>50</v>
      </c>
      <c r="I10" s="5" t="s">
        <v>35</v>
      </c>
      <c r="J10" s="5"/>
      <c r="K10" s="5"/>
      <c r="L10" s="5">
        <f t="shared" si="2"/>
        <v>94.495999999999995</v>
      </c>
      <c r="M10" s="5"/>
      <c r="N10" s="5"/>
      <c r="O10" s="5">
        <v>20</v>
      </c>
      <c r="P10" s="5">
        <f t="shared" si="3"/>
        <v>18.8992</v>
      </c>
      <c r="Q10" s="4">
        <f>12*P10-O10-F10</f>
        <v>150.33240000000001</v>
      </c>
      <c r="R10" s="4">
        <f>IFERROR(VLOOKUP(A10,[1]Sheet!$A$1:$S$65536,19,0),0)</f>
        <v>60</v>
      </c>
      <c r="S10" s="5"/>
      <c r="T10" s="5">
        <f t="shared" si="4"/>
        <v>12</v>
      </c>
      <c r="U10" s="5">
        <f t="shared" si="5"/>
        <v>4.0455680663731792</v>
      </c>
      <c r="V10" s="5">
        <v>9.91</v>
      </c>
      <c r="W10" s="5">
        <v>8.7797999999999998</v>
      </c>
      <c r="X10" s="5">
        <v>6.0658000000000003</v>
      </c>
      <c r="Y10" s="5">
        <v>7.5397999999999996</v>
      </c>
      <c r="Z10" s="5">
        <v>8.9976000000000003</v>
      </c>
      <c r="AA10" s="5">
        <v>17.722999999999999</v>
      </c>
      <c r="AB10" s="5">
        <v>5.0465999999999998</v>
      </c>
      <c r="AC10" s="5">
        <v>13.7874</v>
      </c>
      <c r="AD10" s="5"/>
      <c r="AE10" s="5">
        <f t="shared" si="6"/>
        <v>60</v>
      </c>
      <c r="AF10" s="5"/>
      <c r="AG10" s="19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41</v>
      </c>
      <c r="B11" s="5" t="s">
        <v>34</v>
      </c>
      <c r="C11" s="5">
        <v>234.07599999999999</v>
      </c>
      <c r="D11" s="5">
        <v>200.13200000000001</v>
      </c>
      <c r="E11" s="5">
        <v>203.74600000000001</v>
      </c>
      <c r="F11" s="5">
        <v>211.90899999999999</v>
      </c>
      <c r="G11" s="8">
        <v>1</v>
      </c>
      <c r="H11" s="5">
        <v>60</v>
      </c>
      <c r="I11" s="5" t="s">
        <v>35</v>
      </c>
      <c r="J11" s="5"/>
      <c r="K11" s="5"/>
      <c r="L11" s="5">
        <f t="shared" si="2"/>
        <v>203.74600000000001</v>
      </c>
      <c r="M11" s="5"/>
      <c r="N11" s="5"/>
      <c r="O11" s="5">
        <v>350</v>
      </c>
      <c r="P11" s="5">
        <f t="shared" si="3"/>
        <v>40.749200000000002</v>
      </c>
      <c r="Q11" s="4">
        <f t="shared" ref="Q11:Q19" si="8">18*P11-O11-F11</f>
        <v>171.57659999999998</v>
      </c>
      <c r="R11" s="4">
        <f>IFERROR(VLOOKUP(A11,[1]Sheet!$A$1:$S$65536,19,0),0)</f>
        <v>100</v>
      </c>
      <c r="S11" s="5"/>
      <c r="T11" s="5">
        <f t="shared" si="4"/>
        <v>18</v>
      </c>
      <c r="U11" s="5">
        <f t="shared" si="5"/>
        <v>13.789448627212312</v>
      </c>
      <c r="V11" s="5">
        <v>26.718599999999999</v>
      </c>
      <c r="W11" s="5">
        <v>22.3308</v>
      </c>
      <c r="X11" s="5">
        <v>24.443200000000001</v>
      </c>
      <c r="Y11" s="5">
        <v>26.920999999999999</v>
      </c>
      <c r="Z11" s="5">
        <v>20.1236</v>
      </c>
      <c r="AA11" s="5">
        <v>28.831199999999999</v>
      </c>
      <c r="AB11" s="5">
        <v>24.735399999999998</v>
      </c>
      <c r="AC11" s="5">
        <v>15.5068</v>
      </c>
      <c r="AD11" s="5"/>
      <c r="AE11" s="5">
        <f t="shared" si="6"/>
        <v>100</v>
      </c>
      <c r="AF11" s="5"/>
      <c r="AG11" s="19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42</v>
      </c>
      <c r="B12" s="5" t="s">
        <v>34</v>
      </c>
      <c r="C12" s="5">
        <v>420.935</v>
      </c>
      <c r="D12" s="5">
        <v>305.37799999999999</v>
      </c>
      <c r="E12" s="5">
        <v>213.06299999999999</v>
      </c>
      <c r="F12" s="5">
        <v>503.12900000000002</v>
      </c>
      <c r="G12" s="8">
        <v>1</v>
      </c>
      <c r="H12" s="5">
        <v>60</v>
      </c>
      <c r="I12" s="5" t="s">
        <v>35</v>
      </c>
      <c r="J12" s="5"/>
      <c r="K12" s="5"/>
      <c r="L12" s="5">
        <f t="shared" si="2"/>
        <v>213.06299999999999</v>
      </c>
      <c r="M12" s="5"/>
      <c r="N12" s="5"/>
      <c r="O12" s="5">
        <v>350</v>
      </c>
      <c r="P12" s="5">
        <f t="shared" si="3"/>
        <v>42.6126</v>
      </c>
      <c r="Q12" s="4"/>
      <c r="R12" s="4">
        <f>IFERROR(VLOOKUP(A12,[1]Sheet!$A$1:$S$65536,19,0),0)</f>
        <v>100</v>
      </c>
      <c r="S12" s="5"/>
      <c r="T12" s="5">
        <f t="shared" si="4"/>
        <v>20.020580767190925</v>
      </c>
      <c r="U12" s="5">
        <f t="shared" si="5"/>
        <v>20.020580767190925</v>
      </c>
      <c r="V12" s="5">
        <v>25.7454</v>
      </c>
      <c r="W12" s="5">
        <v>22.475000000000001</v>
      </c>
      <c r="X12" s="5">
        <v>26.01</v>
      </c>
      <c r="Y12" s="5">
        <v>34.661200000000001</v>
      </c>
      <c r="Z12" s="5">
        <v>22.8752</v>
      </c>
      <c r="AA12" s="5">
        <v>34.6098</v>
      </c>
      <c r="AB12" s="5">
        <v>23.917400000000001</v>
      </c>
      <c r="AC12" s="5">
        <v>14.502800000000001</v>
      </c>
      <c r="AD12" s="5"/>
      <c r="AE12" s="5">
        <f t="shared" si="6"/>
        <v>100</v>
      </c>
      <c r="AF12" s="5"/>
      <c r="AG12" s="19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43</v>
      </c>
      <c r="B13" s="5" t="s">
        <v>34</v>
      </c>
      <c r="C13" s="5">
        <v>167.011</v>
      </c>
      <c r="D13" s="5">
        <v>152.24600000000001</v>
      </c>
      <c r="E13" s="16">
        <f>202.891+E53</f>
        <v>276.22800000000001</v>
      </c>
      <c r="F13" s="16">
        <f>110.52+F53</f>
        <v>37.182999999999993</v>
      </c>
      <c r="G13" s="8">
        <v>1</v>
      </c>
      <c r="H13" s="5">
        <v>40</v>
      </c>
      <c r="I13" s="5" t="s">
        <v>35</v>
      </c>
      <c r="J13" s="5"/>
      <c r="K13" s="5"/>
      <c r="L13" s="5">
        <f t="shared" si="2"/>
        <v>276.22800000000001</v>
      </c>
      <c r="M13" s="5"/>
      <c r="N13" s="5"/>
      <c r="O13" s="5">
        <v>150</v>
      </c>
      <c r="P13" s="5">
        <f t="shared" si="3"/>
        <v>55.245600000000003</v>
      </c>
      <c r="Q13" s="4">
        <f>11*P13-O13-F13</f>
        <v>420.51859999999999</v>
      </c>
      <c r="R13" s="4">
        <f>IFERROR(VLOOKUP(A13,[1]Sheet!$A$1:$S$65536,19,0),0)</f>
        <v>150</v>
      </c>
      <c r="S13" s="5"/>
      <c r="T13" s="5">
        <f t="shared" si="4"/>
        <v>10.999999999999998</v>
      </c>
      <c r="U13" s="5">
        <f t="shared" si="5"/>
        <v>3.3881974311076353</v>
      </c>
      <c r="V13" s="5">
        <v>17.986000000000001</v>
      </c>
      <c r="W13" s="5">
        <v>14.429600000000001</v>
      </c>
      <c r="X13" s="5">
        <v>16.459</v>
      </c>
      <c r="Y13" s="5">
        <v>17.2864</v>
      </c>
      <c r="Z13" s="5">
        <v>13.632999999999999</v>
      </c>
      <c r="AA13" s="5">
        <v>22.357399999999998</v>
      </c>
      <c r="AB13" s="5">
        <v>11.1294</v>
      </c>
      <c r="AC13" s="5">
        <v>12.228400000000001</v>
      </c>
      <c r="AD13" s="5"/>
      <c r="AE13" s="5">
        <f t="shared" si="6"/>
        <v>150</v>
      </c>
      <c r="AF13" s="5"/>
      <c r="AG13" s="19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44</v>
      </c>
      <c r="B14" s="5" t="s">
        <v>45</v>
      </c>
      <c r="C14" s="5">
        <v>15</v>
      </c>
      <c r="D14" s="5">
        <v>900</v>
      </c>
      <c r="E14" s="16">
        <f>444+E54</f>
        <v>533</v>
      </c>
      <c r="F14" s="16">
        <f>455+F54</f>
        <v>366</v>
      </c>
      <c r="G14" s="8">
        <v>0.35</v>
      </c>
      <c r="H14" s="5">
        <v>40</v>
      </c>
      <c r="I14" s="5" t="s">
        <v>35</v>
      </c>
      <c r="J14" s="5"/>
      <c r="K14" s="5"/>
      <c r="L14" s="5">
        <f t="shared" si="2"/>
        <v>533</v>
      </c>
      <c r="M14" s="5"/>
      <c r="N14" s="5"/>
      <c r="O14" s="5">
        <v>600</v>
      </c>
      <c r="P14" s="5">
        <f t="shared" si="3"/>
        <v>106.6</v>
      </c>
      <c r="Q14" s="4">
        <f>17*P14-O14-F14</f>
        <v>846.19999999999982</v>
      </c>
      <c r="R14" s="4">
        <f>IFERROR(VLOOKUP(A14,[1]Sheet!$A$1:$S$65536,19,0),0)</f>
        <v>200</v>
      </c>
      <c r="S14" s="5"/>
      <c r="T14" s="5">
        <f t="shared" si="4"/>
        <v>17</v>
      </c>
      <c r="U14" s="5">
        <f t="shared" si="5"/>
        <v>9.0619136960600386</v>
      </c>
      <c r="V14" s="5">
        <v>66.2</v>
      </c>
      <c r="W14" s="5">
        <v>89.6</v>
      </c>
      <c r="X14" s="5">
        <v>69.599999999999994</v>
      </c>
      <c r="Y14" s="5">
        <v>68.2</v>
      </c>
      <c r="Z14" s="5">
        <v>65.8</v>
      </c>
      <c r="AA14" s="5">
        <v>68.8</v>
      </c>
      <c r="AB14" s="5">
        <v>72.599999999999994</v>
      </c>
      <c r="AC14" s="5">
        <v>62.6</v>
      </c>
      <c r="AD14" s="5"/>
      <c r="AE14" s="5">
        <f t="shared" si="6"/>
        <v>70</v>
      </c>
      <c r="AF14" s="5"/>
      <c r="AG14" s="19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46</v>
      </c>
      <c r="B15" s="5" t="s">
        <v>34</v>
      </c>
      <c r="C15" s="5">
        <v>163.16800000000001</v>
      </c>
      <c r="D15" s="5">
        <v>205.06100000000001</v>
      </c>
      <c r="E15" s="5">
        <v>199.68299999999999</v>
      </c>
      <c r="F15" s="5">
        <v>157.51599999999999</v>
      </c>
      <c r="G15" s="8">
        <v>1</v>
      </c>
      <c r="H15" s="5">
        <v>40</v>
      </c>
      <c r="I15" s="5" t="s">
        <v>35</v>
      </c>
      <c r="J15" s="5"/>
      <c r="K15" s="5"/>
      <c r="L15" s="5">
        <f t="shared" si="2"/>
        <v>199.68299999999999</v>
      </c>
      <c r="M15" s="5"/>
      <c r="N15" s="5"/>
      <c r="O15" s="5">
        <v>150</v>
      </c>
      <c r="P15" s="5">
        <f t="shared" si="3"/>
        <v>39.936599999999999</v>
      </c>
      <c r="Q15" s="4">
        <f>16*P15-O15-F15</f>
        <v>331.46960000000001</v>
      </c>
      <c r="R15" s="4">
        <f>IFERROR(VLOOKUP(A15,[1]Sheet!$A$1:$S$65536,19,0),0)</f>
        <v>50</v>
      </c>
      <c r="S15" s="5"/>
      <c r="T15" s="5">
        <f t="shared" si="4"/>
        <v>16</v>
      </c>
      <c r="U15" s="5">
        <f t="shared" si="5"/>
        <v>7.7001046658954433</v>
      </c>
      <c r="V15" s="5">
        <v>16.9116</v>
      </c>
      <c r="W15" s="5">
        <v>15.8584</v>
      </c>
      <c r="X15" s="5">
        <v>22.917999999999999</v>
      </c>
      <c r="Y15" s="5">
        <v>18.569800000000001</v>
      </c>
      <c r="Z15" s="5">
        <v>15.086399999999999</v>
      </c>
      <c r="AA15" s="5">
        <v>29.709399999999999</v>
      </c>
      <c r="AB15" s="5">
        <v>11.33</v>
      </c>
      <c r="AC15" s="5">
        <v>13.348599999999999</v>
      </c>
      <c r="AD15" s="5"/>
      <c r="AE15" s="5">
        <f t="shared" si="6"/>
        <v>50</v>
      </c>
      <c r="AF15" s="5"/>
      <c r="AG15" s="19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47</v>
      </c>
      <c r="B16" s="5" t="s">
        <v>45</v>
      </c>
      <c r="C16" s="5">
        <v>156</v>
      </c>
      <c r="D16" s="5">
        <v>600</v>
      </c>
      <c r="E16" s="5">
        <v>510</v>
      </c>
      <c r="F16" s="5">
        <v>205</v>
      </c>
      <c r="G16" s="8">
        <v>0.35</v>
      </c>
      <c r="H16" s="5">
        <v>40</v>
      </c>
      <c r="I16" s="5" t="s">
        <v>35</v>
      </c>
      <c r="J16" s="5"/>
      <c r="K16" s="5"/>
      <c r="L16" s="5">
        <f t="shared" si="2"/>
        <v>510</v>
      </c>
      <c r="M16" s="5"/>
      <c r="N16" s="5"/>
      <c r="O16" s="5">
        <v>600</v>
      </c>
      <c r="P16" s="5">
        <f t="shared" si="3"/>
        <v>102</v>
      </c>
      <c r="Q16" s="4">
        <f>16*P16-O16-F16</f>
        <v>827</v>
      </c>
      <c r="R16" s="4">
        <f>IFERROR(VLOOKUP(A16,[1]Sheet!$A$1:$S$65536,19,0),0)</f>
        <v>300</v>
      </c>
      <c r="S16" s="5"/>
      <c r="T16" s="5">
        <f t="shared" si="4"/>
        <v>16</v>
      </c>
      <c r="U16" s="5">
        <f t="shared" si="5"/>
        <v>7.8921568627450984</v>
      </c>
      <c r="V16" s="5">
        <v>73.599999999999994</v>
      </c>
      <c r="W16" s="5">
        <v>72.2</v>
      </c>
      <c r="X16" s="5">
        <v>71.400000000000006</v>
      </c>
      <c r="Y16" s="5">
        <v>65.599999999999994</v>
      </c>
      <c r="Z16" s="5">
        <v>57.8</v>
      </c>
      <c r="AA16" s="5">
        <v>76.2</v>
      </c>
      <c r="AB16" s="5">
        <v>87</v>
      </c>
      <c r="AC16" s="5">
        <v>66.8</v>
      </c>
      <c r="AD16" s="5"/>
      <c r="AE16" s="5">
        <f t="shared" si="6"/>
        <v>105</v>
      </c>
      <c r="AF16" s="5"/>
      <c r="AG16" s="19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48</v>
      </c>
      <c r="B17" s="5" t="s">
        <v>34</v>
      </c>
      <c r="C17" s="5">
        <v>105.47</v>
      </c>
      <c r="D17" s="5">
        <v>124.758</v>
      </c>
      <c r="E17" s="5">
        <v>164.602</v>
      </c>
      <c r="F17" s="5">
        <v>60.142000000000003</v>
      </c>
      <c r="G17" s="8">
        <v>1</v>
      </c>
      <c r="H17" s="5">
        <v>40</v>
      </c>
      <c r="I17" s="5" t="s">
        <v>35</v>
      </c>
      <c r="J17" s="5"/>
      <c r="K17" s="5"/>
      <c r="L17" s="5">
        <f t="shared" si="2"/>
        <v>164.602</v>
      </c>
      <c r="M17" s="5"/>
      <c r="N17" s="5"/>
      <c r="O17" s="5">
        <v>100</v>
      </c>
      <c r="P17" s="5">
        <f t="shared" si="3"/>
        <v>32.920400000000001</v>
      </c>
      <c r="Q17" s="4">
        <f>13*P17-O17-F17</f>
        <v>267.82319999999999</v>
      </c>
      <c r="R17" s="4">
        <f>IFERROR(VLOOKUP(A17,[1]Sheet!$A$1:$S$65536,19,0),0)</f>
        <v>80</v>
      </c>
      <c r="S17" s="5"/>
      <c r="T17" s="5">
        <f t="shared" si="4"/>
        <v>13</v>
      </c>
      <c r="U17" s="5">
        <f t="shared" si="5"/>
        <v>4.8645216947546199</v>
      </c>
      <c r="V17" s="5">
        <v>7.8243999999999998</v>
      </c>
      <c r="W17" s="5">
        <v>11.211</v>
      </c>
      <c r="X17" s="5">
        <v>13.563000000000001</v>
      </c>
      <c r="Y17" s="5">
        <v>15.1646</v>
      </c>
      <c r="Z17" s="5">
        <v>11.160600000000001</v>
      </c>
      <c r="AA17" s="5">
        <v>17.8444</v>
      </c>
      <c r="AB17" s="5">
        <v>5.4691999999999998</v>
      </c>
      <c r="AC17" s="5">
        <v>7.2450000000000001</v>
      </c>
      <c r="AD17" s="5"/>
      <c r="AE17" s="5">
        <f t="shared" si="6"/>
        <v>80</v>
      </c>
      <c r="AF17" s="5"/>
      <c r="AG17" s="19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49</v>
      </c>
      <c r="B18" s="5" t="s">
        <v>34</v>
      </c>
      <c r="C18" s="5">
        <v>149.16499999999999</v>
      </c>
      <c r="D18" s="5">
        <v>40.607999999999997</v>
      </c>
      <c r="E18" s="5">
        <v>92.554000000000002</v>
      </c>
      <c r="F18" s="5">
        <v>95.379000000000005</v>
      </c>
      <c r="G18" s="8">
        <v>1</v>
      </c>
      <c r="H18" s="5">
        <v>45</v>
      </c>
      <c r="I18" s="5" t="s">
        <v>35</v>
      </c>
      <c r="J18" s="5"/>
      <c r="K18" s="5"/>
      <c r="L18" s="5">
        <f t="shared" si="2"/>
        <v>92.554000000000002</v>
      </c>
      <c r="M18" s="5"/>
      <c r="N18" s="5"/>
      <c r="O18" s="5">
        <v>120</v>
      </c>
      <c r="P18" s="5">
        <f t="shared" si="3"/>
        <v>18.5108</v>
      </c>
      <c r="Q18" s="4">
        <f t="shared" si="8"/>
        <v>117.81539999999997</v>
      </c>
      <c r="R18" s="4">
        <f>IFERROR(VLOOKUP(A18,[1]Sheet!$A$1:$S$65536,19,0),0)</f>
        <v>65</v>
      </c>
      <c r="S18" s="5"/>
      <c r="T18" s="5">
        <f t="shared" si="4"/>
        <v>18</v>
      </c>
      <c r="U18" s="5">
        <f t="shared" si="5"/>
        <v>11.63531559954189</v>
      </c>
      <c r="V18" s="5">
        <v>8.7296000000000014</v>
      </c>
      <c r="W18" s="5">
        <v>15.425000000000001</v>
      </c>
      <c r="X18" s="5">
        <v>10.603199999999999</v>
      </c>
      <c r="Y18" s="5">
        <v>22.527999999999999</v>
      </c>
      <c r="Z18" s="5">
        <v>12.4626</v>
      </c>
      <c r="AA18" s="5">
        <v>15.3696</v>
      </c>
      <c r="AB18" s="5">
        <v>-1.1786000000000001</v>
      </c>
      <c r="AC18" s="5">
        <v>16.7942</v>
      </c>
      <c r="AD18" s="5" t="s">
        <v>131</v>
      </c>
      <c r="AE18" s="5">
        <f t="shared" si="6"/>
        <v>65</v>
      </c>
      <c r="AF18" s="5"/>
      <c r="AG18" s="19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50</v>
      </c>
      <c r="B19" s="5" t="s">
        <v>45</v>
      </c>
      <c r="C19" s="5">
        <v>113</v>
      </c>
      <c r="D19" s="5"/>
      <c r="E19" s="5">
        <v>79</v>
      </c>
      <c r="F19" s="5">
        <v>31</v>
      </c>
      <c r="G19" s="8">
        <v>0.6</v>
      </c>
      <c r="H19" s="5">
        <v>45</v>
      </c>
      <c r="I19" s="5" t="s">
        <v>35</v>
      </c>
      <c r="J19" s="5"/>
      <c r="K19" s="5"/>
      <c r="L19" s="5">
        <f t="shared" si="2"/>
        <v>79</v>
      </c>
      <c r="M19" s="5"/>
      <c r="N19" s="5"/>
      <c r="O19" s="5">
        <v>200</v>
      </c>
      <c r="P19" s="5">
        <f t="shared" si="3"/>
        <v>15.8</v>
      </c>
      <c r="Q19" s="4">
        <f t="shared" si="8"/>
        <v>53.400000000000034</v>
      </c>
      <c r="R19" s="4">
        <f>IFERROR(VLOOKUP(A19,[1]Sheet!$A$1:$S$65536,19,0),0)</f>
        <v>100</v>
      </c>
      <c r="S19" s="5"/>
      <c r="T19" s="5">
        <f t="shared" si="4"/>
        <v>18</v>
      </c>
      <c r="U19" s="5">
        <f t="shared" si="5"/>
        <v>14.620253164556962</v>
      </c>
      <c r="V19" s="5">
        <v>1.8</v>
      </c>
      <c r="W19" s="5">
        <v>9.6</v>
      </c>
      <c r="X19" s="5">
        <v>11.6</v>
      </c>
      <c r="Y19" s="5">
        <v>9.6</v>
      </c>
      <c r="Z19" s="5">
        <v>12</v>
      </c>
      <c r="AA19" s="5">
        <v>16.8</v>
      </c>
      <c r="AB19" s="5">
        <v>6.4</v>
      </c>
      <c r="AC19" s="5">
        <v>0</v>
      </c>
      <c r="AD19" s="5"/>
      <c r="AE19" s="5">
        <f t="shared" si="6"/>
        <v>60</v>
      </c>
      <c r="AF19" s="5"/>
      <c r="AG19" s="19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0" t="s">
        <v>51</v>
      </c>
      <c r="B20" s="10" t="s">
        <v>45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52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4">
        <f>IFERROR(VLOOKUP(A20,[1]Sheet!$A$1:$S$65536,19,0),0)</f>
        <v>0</v>
      </c>
      <c r="S20" s="10"/>
      <c r="T20" s="10" t="e">
        <f t="shared" si="4"/>
        <v>#DIV/0!</v>
      </c>
      <c r="U20" s="10" t="e">
        <f t="shared" si="5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53</v>
      </c>
      <c r="AE20" s="5">
        <f t="shared" si="6"/>
        <v>0</v>
      </c>
      <c r="AF20" s="5"/>
      <c r="AG20" s="19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54</v>
      </c>
      <c r="B21" s="5" t="s">
        <v>34</v>
      </c>
      <c r="C21" s="5">
        <v>3.9750000000000001</v>
      </c>
      <c r="D21" s="5">
        <v>254.166</v>
      </c>
      <c r="E21" s="16">
        <f>176.068+E55</f>
        <v>206.054</v>
      </c>
      <c r="F21" s="16">
        <f>70.552+F55</f>
        <v>40.566000000000003</v>
      </c>
      <c r="G21" s="8">
        <v>1</v>
      </c>
      <c r="H21" s="5">
        <v>45</v>
      </c>
      <c r="I21" s="5" t="s">
        <v>35</v>
      </c>
      <c r="J21" s="5"/>
      <c r="K21" s="5"/>
      <c r="L21" s="5">
        <f t="shared" si="2"/>
        <v>206.054</v>
      </c>
      <c r="M21" s="5"/>
      <c r="N21" s="5"/>
      <c r="O21" s="5">
        <v>300</v>
      </c>
      <c r="P21" s="5">
        <f t="shared" si="3"/>
        <v>41.210799999999999</v>
      </c>
      <c r="Q21" s="4">
        <f>16*P21-O21-F21</f>
        <v>318.80679999999995</v>
      </c>
      <c r="R21" s="4">
        <f>IFERROR(VLOOKUP(A21,[1]Sheet!$A$1:$S$65536,19,0),0)</f>
        <v>220</v>
      </c>
      <c r="S21" s="5"/>
      <c r="T21" s="5">
        <f t="shared" si="4"/>
        <v>16</v>
      </c>
      <c r="U21" s="5">
        <f t="shared" si="5"/>
        <v>8.2639987576072294</v>
      </c>
      <c r="V21" s="5">
        <v>49.157400000000003</v>
      </c>
      <c r="W21" s="5">
        <v>39.724800000000002</v>
      </c>
      <c r="X21" s="5">
        <v>39.704000000000001</v>
      </c>
      <c r="Y21" s="5">
        <v>27.8612</v>
      </c>
      <c r="Z21" s="5">
        <v>31.665600000000001</v>
      </c>
      <c r="AA21" s="5">
        <v>50.165399999999998</v>
      </c>
      <c r="AB21" s="5">
        <v>15.9466</v>
      </c>
      <c r="AC21" s="5">
        <v>47.153399999999998</v>
      </c>
      <c r="AD21" s="5"/>
      <c r="AE21" s="5">
        <f t="shared" si="6"/>
        <v>220</v>
      </c>
      <c r="AF21" s="5"/>
      <c r="AG21" s="19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55</v>
      </c>
      <c r="B22" s="5" t="s">
        <v>45</v>
      </c>
      <c r="C22" s="5">
        <v>211</v>
      </c>
      <c r="D22" s="5">
        <v>324</v>
      </c>
      <c r="E22" s="16">
        <f>317+E56</f>
        <v>379</v>
      </c>
      <c r="F22" s="16">
        <f>206+F56</f>
        <v>144</v>
      </c>
      <c r="G22" s="8">
        <v>0.4</v>
      </c>
      <c r="H22" s="5">
        <v>45</v>
      </c>
      <c r="I22" s="5" t="s">
        <v>35</v>
      </c>
      <c r="J22" s="5"/>
      <c r="K22" s="5"/>
      <c r="L22" s="5">
        <f t="shared" si="2"/>
        <v>379</v>
      </c>
      <c r="M22" s="5"/>
      <c r="N22" s="5"/>
      <c r="O22" s="5">
        <v>300</v>
      </c>
      <c r="P22" s="5">
        <f t="shared" si="3"/>
        <v>75.8</v>
      </c>
      <c r="Q22" s="4">
        <f>14*P22-O22-F22</f>
        <v>617.20000000000005</v>
      </c>
      <c r="R22" s="4">
        <f>IFERROR(VLOOKUP(A22,[1]Sheet!$A$1:$S$65536,19,0),0)</f>
        <v>250</v>
      </c>
      <c r="S22" s="5"/>
      <c r="T22" s="5">
        <f t="shared" si="4"/>
        <v>14.000000000000002</v>
      </c>
      <c r="U22" s="5">
        <f t="shared" si="5"/>
        <v>5.8575197889182062</v>
      </c>
      <c r="V22" s="5">
        <v>29.8</v>
      </c>
      <c r="W22" s="5">
        <v>58.2</v>
      </c>
      <c r="X22" s="5">
        <v>39</v>
      </c>
      <c r="Y22" s="5">
        <v>25.4</v>
      </c>
      <c r="Z22" s="5">
        <v>45</v>
      </c>
      <c r="AA22" s="5">
        <v>49.2</v>
      </c>
      <c r="AB22" s="5">
        <v>31.4</v>
      </c>
      <c r="AC22" s="5">
        <v>51.4</v>
      </c>
      <c r="AD22" s="5"/>
      <c r="AE22" s="5">
        <f t="shared" si="6"/>
        <v>100</v>
      </c>
      <c r="AF22" s="5"/>
      <c r="AG22" s="19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56</v>
      </c>
      <c r="B23" s="5" t="s">
        <v>45</v>
      </c>
      <c r="C23" s="5">
        <v>262</v>
      </c>
      <c r="D23" s="5">
        <v>234</v>
      </c>
      <c r="E23" s="5">
        <v>247</v>
      </c>
      <c r="F23" s="5">
        <v>232</v>
      </c>
      <c r="G23" s="8">
        <v>0.4</v>
      </c>
      <c r="H23" s="5">
        <v>45</v>
      </c>
      <c r="I23" s="5" t="s">
        <v>35</v>
      </c>
      <c r="J23" s="5"/>
      <c r="K23" s="5"/>
      <c r="L23" s="5">
        <f t="shared" si="2"/>
        <v>247</v>
      </c>
      <c r="M23" s="5"/>
      <c r="N23" s="5"/>
      <c r="O23" s="5">
        <v>300</v>
      </c>
      <c r="P23" s="5">
        <f t="shared" si="3"/>
        <v>49.4</v>
      </c>
      <c r="Q23" s="4">
        <f t="shared" ref="Q23:Q24" si="9">18*P23-O23-F23</f>
        <v>357.19999999999993</v>
      </c>
      <c r="R23" s="4">
        <f>IFERROR(VLOOKUP(A23,[1]Sheet!$A$1:$S$65536,19,0),0)</f>
        <v>200</v>
      </c>
      <c r="S23" s="5"/>
      <c r="T23" s="5">
        <f t="shared" si="4"/>
        <v>18</v>
      </c>
      <c r="U23" s="5">
        <f t="shared" si="5"/>
        <v>10.76923076923077</v>
      </c>
      <c r="V23" s="5">
        <v>20.6</v>
      </c>
      <c r="W23" s="5">
        <v>40</v>
      </c>
      <c r="X23" s="5">
        <v>33.6</v>
      </c>
      <c r="Y23" s="5">
        <v>41</v>
      </c>
      <c r="Z23" s="5">
        <v>31.4</v>
      </c>
      <c r="AA23" s="5">
        <v>41.4</v>
      </c>
      <c r="AB23" s="5">
        <v>26.6</v>
      </c>
      <c r="AC23" s="5">
        <v>47.8</v>
      </c>
      <c r="AD23" s="5"/>
      <c r="AE23" s="5">
        <f t="shared" si="6"/>
        <v>80</v>
      </c>
      <c r="AF23" s="5"/>
      <c r="AG23" s="19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57</v>
      </c>
      <c r="B24" s="5" t="s">
        <v>34</v>
      </c>
      <c r="C24" s="5">
        <v>246.53100000000001</v>
      </c>
      <c r="D24" s="5">
        <v>154.881</v>
      </c>
      <c r="E24" s="16">
        <f>163.797+E57</f>
        <v>186.46100000000001</v>
      </c>
      <c r="F24" s="16">
        <f>227.726+F57</f>
        <v>205.06200000000001</v>
      </c>
      <c r="G24" s="8">
        <v>1</v>
      </c>
      <c r="H24" s="5">
        <v>40</v>
      </c>
      <c r="I24" s="5" t="s">
        <v>35</v>
      </c>
      <c r="J24" s="5"/>
      <c r="K24" s="5"/>
      <c r="L24" s="5">
        <f t="shared" si="2"/>
        <v>186.46100000000001</v>
      </c>
      <c r="M24" s="5"/>
      <c r="N24" s="5"/>
      <c r="O24" s="5">
        <v>200</v>
      </c>
      <c r="P24" s="5">
        <f t="shared" si="3"/>
        <v>37.292200000000001</v>
      </c>
      <c r="Q24" s="4">
        <f t="shared" si="9"/>
        <v>266.19759999999997</v>
      </c>
      <c r="R24" s="4">
        <f>IFERROR(VLOOKUP(A24,[1]Sheet!$A$1:$S$65536,19,0),0)</f>
        <v>200</v>
      </c>
      <c r="S24" s="5"/>
      <c r="T24" s="5">
        <f t="shared" si="4"/>
        <v>18</v>
      </c>
      <c r="U24" s="5">
        <f t="shared" si="5"/>
        <v>10.861842422812277</v>
      </c>
      <c r="V24" s="5">
        <v>19.9514</v>
      </c>
      <c r="W24" s="5">
        <v>27.3004</v>
      </c>
      <c r="X24" s="5">
        <v>26.869</v>
      </c>
      <c r="Y24" s="5">
        <v>43.381999999999998</v>
      </c>
      <c r="Z24" s="5">
        <v>26.785</v>
      </c>
      <c r="AA24" s="5">
        <v>25.805800000000001</v>
      </c>
      <c r="AB24" s="5">
        <v>34.767600000000002</v>
      </c>
      <c r="AC24" s="5">
        <v>29.1784</v>
      </c>
      <c r="AD24" s="5"/>
      <c r="AE24" s="5">
        <f t="shared" si="6"/>
        <v>200</v>
      </c>
      <c r="AF24" s="5"/>
      <c r="AG24" s="19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58</v>
      </c>
      <c r="B25" s="5" t="s">
        <v>45</v>
      </c>
      <c r="C25" s="5">
        <v>197</v>
      </c>
      <c r="D25" s="5">
        <v>102</v>
      </c>
      <c r="E25" s="5">
        <v>75</v>
      </c>
      <c r="F25" s="5">
        <v>210</v>
      </c>
      <c r="G25" s="8">
        <v>0.35</v>
      </c>
      <c r="H25" s="5">
        <v>45</v>
      </c>
      <c r="I25" s="5" t="s">
        <v>35</v>
      </c>
      <c r="J25" s="5"/>
      <c r="K25" s="5"/>
      <c r="L25" s="5">
        <f t="shared" si="2"/>
        <v>75</v>
      </c>
      <c r="M25" s="5"/>
      <c r="N25" s="5"/>
      <c r="O25" s="5">
        <v>100</v>
      </c>
      <c r="P25" s="5">
        <f t="shared" si="3"/>
        <v>15</v>
      </c>
      <c r="Q25" s="4"/>
      <c r="R25" s="4">
        <f>IFERROR(VLOOKUP(A25,[1]Sheet!$A$1:$S$65536,19,0),0)</f>
        <v>60</v>
      </c>
      <c r="S25" s="5"/>
      <c r="T25" s="5">
        <f t="shared" si="4"/>
        <v>20.666666666666668</v>
      </c>
      <c r="U25" s="5">
        <f t="shared" si="5"/>
        <v>20.666666666666668</v>
      </c>
      <c r="V25" s="5">
        <v>7.8</v>
      </c>
      <c r="W25" s="5">
        <v>20.399999999999999</v>
      </c>
      <c r="X25" s="5">
        <v>15</v>
      </c>
      <c r="Y25" s="5">
        <v>11.2</v>
      </c>
      <c r="Z25" s="5">
        <v>18.600000000000001</v>
      </c>
      <c r="AA25" s="5">
        <v>19.399999999999999</v>
      </c>
      <c r="AB25" s="5">
        <v>13.6</v>
      </c>
      <c r="AC25" s="5">
        <v>16.399999999999999</v>
      </c>
      <c r="AD25" s="5"/>
      <c r="AE25" s="5">
        <f t="shared" si="6"/>
        <v>21</v>
      </c>
      <c r="AF25" s="5"/>
      <c r="AG25" s="19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10" t="s">
        <v>59</v>
      </c>
      <c r="B26" s="10" t="s">
        <v>45</v>
      </c>
      <c r="C26" s="10"/>
      <c r="D26" s="10"/>
      <c r="E26" s="10">
        <v>6</v>
      </c>
      <c r="F26" s="10">
        <v>-6</v>
      </c>
      <c r="G26" s="11">
        <v>0</v>
      </c>
      <c r="H26" s="10"/>
      <c r="I26" s="10" t="s">
        <v>60</v>
      </c>
      <c r="J26" s="10"/>
      <c r="K26" s="10"/>
      <c r="L26" s="10">
        <f t="shared" si="2"/>
        <v>6</v>
      </c>
      <c r="M26" s="10"/>
      <c r="N26" s="10"/>
      <c r="O26" s="10"/>
      <c r="P26" s="10">
        <f t="shared" si="3"/>
        <v>1.2</v>
      </c>
      <c r="Q26" s="12"/>
      <c r="R26" s="4">
        <f>IFERROR(VLOOKUP(A26,[1]Sheet!$A$1:$S$65536,19,0),0)</f>
        <v>0</v>
      </c>
      <c r="S26" s="10"/>
      <c r="T26" s="10">
        <f t="shared" si="4"/>
        <v>-5</v>
      </c>
      <c r="U26" s="10">
        <f t="shared" si="5"/>
        <v>-5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/>
      <c r="AE26" s="5">
        <f t="shared" si="6"/>
        <v>0</v>
      </c>
      <c r="AF26" s="5"/>
      <c r="AG26" s="19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61</v>
      </c>
      <c r="B27" s="5" t="s">
        <v>34</v>
      </c>
      <c r="C27" s="5">
        <v>109.63500000000001</v>
      </c>
      <c r="D27" s="5">
        <v>205.21299999999999</v>
      </c>
      <c r="E27" s="5">
        <v>151.886</v>
      </c>
      <c r="F27" s="5">
        <v>149.798</v>
      </c>
      <c r="G27" s="8">
        <v>1</v>
      </c>
      <c r="H27" s="5">
        <v>45</v>
      </c>
      <c r="I27" s="5" t="s">
        <v>35</v>
      </c>
      <c r="J27" s="5"/>
      <c r="K27" s="5"/>
      <c r="L27" s="5">
        <f t="shared" si="2"/>
        <v>151.886</v>
      </c>
      <c r="M27" s="5"/>
      <c r="N27" s="5"/>
      <c r="O27" s="5">
        <v>150</v>
      </c>
      <c r="P27" s="5">
        <f t="shared" si="3"/>
        <v>30.377199999999998</v>
      </c>
      <c r="Q27" s="4">
        <f t="shared" ref="Q27:Q38" si="10">18*P27-O27-F27</f>
        <v>246.99159999999995</v>
      </c>
      <c r="R27" s="4">
        <f>IFERROR(VLOOKUP(A27,[1]Sheet!$A$1:$S$65536,19,0),0)</f>
        <v>90</v>
      </c>
      <c r="S27" s="5"/>
      <c r="T27" s="5">
        <f t="shared" si="4"/>
        <v>18</v>
      </c>
      <c r="U27" s="5">
        <f t="shared" si="5"/>
        <v>9.8691781994390535</v>
      </c>
      <c r="V27" s="5">
        <v>24.767800000000001</v>
      </c>
      <c r="W27" s="5">
        <v>20.6356</v>
      </c>
      <c r="X27" s="5">
        <v>19.563400000000001</v>
      </c>
      <c r="Y27" s="5">
        <v>20.959399999999999</v>
      </c>
      <c r="Z27" s="5">
        <v>28.772600000000001</v>
      </c>
      <c r="AA27" s="5">
        <v>30.851800000000001</v>
      </c>
      <c r="AB27" s="5">
        <v>24.670999999999999</v>
      </c>
      <c r="AC27" s="5">
        <v>20.548999999999999</v>
      </c>
      <c r="AD27" s="5"/>
      <c r="AE27" s="5">
        <f t="shared" si="6"/>
        <v>90</v>
      </c>
      <c r="AF27" s="5"/>
      <c r="AG27" s="19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62</v>
      </c>
      <c r="B28" s="5" t="s">
        <v>45</v>
      </c>
      <c r="C28" s="5">
        <v>275</v>
      </c>
      <c r="D28" s="5">
        <v>252</v>
      </c>
      <c r="E28" s="5">
        <v>257</v>
      </c>
      <c r="F28" s="5">
        <v>259</v>
      </c>
      <c r="G28" s="8">
        <v>0.45</v>
      </c>
      <c r="H28" s="5">
        <v>45</v>
      </c>
      <c r="I28" s="5" t="s">
        <v>35</v>
      </c>
      <c r="J28" s="5"/>
      <c r="K28" s="5"/>
      <c r="L28" s="5">
        <f t="shared" si="2"/>
        <v>257</v>
      </c>
      <c r="M28" s="5"/>
      <c r="N28" s="5"/>
      <c r="O28" s="5">
        <v>251.11111111111109</v>
      </c>
      <c r="P28" s="5">
        <f t="shared" si="3"/>
        <v>51.4</v>
      </c>
      <c r="Q28" s="4">
        <f t="shared" si="10"/>
        <v>415.08888888888885</v>
      </c>
      <c r="R28" s="4">
        <f>IFERROR(VLOOKUP(A28,[1]Sheet!$A$1:$S$65536,19,0),0)</f>
        <v>200</v>
      </c>
      <c r="S28" s="5"/>
      <c r="T28" s="5">
        <f t="shared" si="4"/>
        <v>18</v>
      </c>
      <c r="U28" s="5">
        <f t="shared" si="5"/>
        <v>9.9243406830955472</v>
      </c>
      <c r="V28" s="5">
        <v>44.2</v>
      </c>
      <c r="W28" s="5">
        <v>35.799999999999997</v>
      </c>
      <c r="X28" s="5">
        <v>28</v>
      </c>
      <c r="Y28" s="5">
        <v>41.6</v>
      </c>
      <c r="Z28" s="5">
        <v>33.200000000000003</v>
      </c>
      <c r="AA28" s="5">
        <v>41.4</v>
      </c>
      <c r="AB28" s="5">
        <v>30.4</v>
      </c>
      <c r="AC28" s="5">
        <v>42.6</v>
      </c>
      <c r="AD28" s="5"/>
      <c r="AE28" s="5">
        <f t="shared" si="6"/>
        <v>90</v>
      </c>
      <c r="AF28" s="5"/>
      <c r="AG28" s="19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63</v>
      </c>
      <c r="B29" s="5" t="s">
        <v>34</v>
      </c>
      <c r="C29" s="5">
        <v>119.37</v>
      </c>
      <c r="D29" s="5">
        <v>705.56299999999999</v>
      </c>
      <c r="E29" s="16">
        <f>452.008+E58</f>
        <v>505.24299999999999</v>
      </c>
      <c r="F29" s="16">
        <f>347.516+F58</f>
        <v>294.28100000000001</v>
      </c>
      <c r="G29" s="8">
        <v>1</v>
      </c>
      <c r="H29" s="5">
        <v>45</v>
      </c>
      <c r="I29" s="5" t="s">
        <v>35</v>
      </c>
      <c r="J29" s="5"/>
      <c r="K29" s="5"/>
      <c r="L29" s="5">
        <f t="shared" si="2"/>
        <v>505.24299999999999</v>
      </c>
      <c r="M29" s="5"/>
      <c r="N29" s="5"/>
      <c r="O29" s="5">
        <v>700</v>
      </c>
      <c r="P29" s="5">
        <f t="shared" si="3"/>
        <v>101.04859999999999</v>
      </c>
      <c r="Q29" s="4">
        <f t="shared" si="10"/>
        <v>824.59379999999987</v>
      </c>
      <c r="R29" s="4">
        <f>IFERROR(VLOOKUP(A29,[1]Sheet!$A$1:$S$65536,19,0),0)</f>
        <v>600</v>
      </c>
      <c r="S29" s="5"/>
      <c r="T29" s="5">
        <f t="shared" si="4"/>
        <v>18</v>
      </c>
      <c r="U29" s="5">
        <f t="shared" si="5"/>
        <v>9.8396316228032852</v>
      </c>
      <c r="V29" s="5">
        <v>114.02379999999999</v>
      </c>
      <c r="W29" s="5">
        <v>97.657000000000011</v>
      </c>
      <c r="X29" s="5">
        <v>89.227999999999994</v>
      </c>
      <c r="Y29" s="5">
        <v>91.657799999999995</v>
      </c>
      <c r="Z29" s="5">
        <v>88.123999999999995</v>
      </c>
      <c r="AA29" s="5">
        <v>110.1108</v>
      </c>
      <c r="AB29" s="5">
        <v>94.604600000000005</v>
      </c>
      <c r="AC29" s="5">
        <v>93.9696</v>
      </c>
      <c r="AD29" s="5"/>
      <c r="AE29" s="5">
        <f t="shared" si="6"/>
        <v>600</v>
      </c>
      <c r="AF29" s="5"/>
      <c r="AG29" s="19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64</v>
      </c>
      <c r="B30" s="5" t="s">
        <v>34</v>
      </c>
      <c r="C30" s="5">
        <v>43.633000000000003</v>
      </c>
      <c r="D30" s="5"/>
      <c r="E30" s="5">
        <v>11.38</v>
      </c>
      <c r="F30" s="5">
        <v>30.268999999999998</v>
      </c>
      <c r="G30" s="8">
        <v>1</v>
      </c>
      <c r="H30" s="5">
        <v>40</v>
      </c>
      <c r="I30" s="5" t="s">
        <v>35</v>
      </c>
      <c r="J30" s="5"/>
      <c r="K30" s="5"/>
      <c r="L30" s="5">
        <f t="shared" si="2"/>
        <v>11.38</v>
      </c>
      <c r="M30" s="5"/>
      <c r="N30" s="5"/>
      <c r="O30" s="5">
        <v>0</v>
      </c>
      <c r="P30" s="5">
        <f t="shared" si="3"/>
        <v>2.2760000000000002</v>
      </c>
      <c r="Q30" s="4">
        <f t="shared" si="10"/>
        <v>10.699000000000005</v>
      </c>
      <c r="R30" s="4">
        <f>IFERROR(VLOOKUP(A30,[1]Sheet!$A$1:$S$65536,19,0),0)</f>
        <v>15</v>
      </c>
      <c r="S30" s="5"/>
      <c r="T30" s="5">
        <f t="shared" si="4"/>
        <v>18</v>
      </c>
      <c r="U30" s="5">
        <f t="shared" si="5"/>
        <v>13.299209138840068</v>
      </c>
      <c r="V30" s="5">
        <v>2.4325999999999999</v>
      </c>
      <c r="W30" s="5">
        <v>5.2119999999999997</v>
      </c>
      <c r="X30" s="5">
        <v>-6.9399999999999989E-2</v>
      </c>
      <c r="Y30" s="5">
        <v>-2.2000000000000002</v>
      </c>
      <c r="Z30" s="5">
        <v>7.8516000000000004</v>
      </c>
      <c r="AA30" s="5">
        <v>3.5236000000000001</v>
      </c>
      <c r="AB30" s="5">
        <v>3.6286</v>
      </c>
      <c r="AC30" s="5">
        <v>-1.3802000000000001</v>
      </c>
      <c r="AD30" s="5"/>
      <c r="AE30" s="5">
        <f t="shared" si="6"/>
        <v>15</v>
      </c>
      <c r="AF30" s="5"/>
      <c r="AG30" s="19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65</v>
      </c>
      <c r="B31" s="5" t="s">
        <v>45</v>
      </c>
      <c r="C31" s="5">
        <v>321.03500000000003</v>
      </c>
      <c r="D31" s="5">
        <v>200</v>
      </c>
      <c r="E31" s="5">
        <v>282</v>
      </c>
      <c r="F31" s="5">
        <v>237.035</v>
      </c>
      <c r="G31" s="8">
        <v>0.4</v>
      </c>
      <c r="H31" s="5">
        <v>55</v>
      </c>
      <c r="I31" s="5" t="s">
        <v>35</v>
      </c>
      <c r="J31" s="5"/>
      <c r="K31" s="5"/>
      <c r="L31" s="5">
        <f t="shared" si="2"/>
        <v>282</v>
      </c>
      <c r="M31" s="5"/>
      <c r="N31" s="5"/>
      <c r="O31" s="5">
        <v>300</v>
      </c>
      <c r="P31" s="5">
        <f t="shared" si="3"/>
        <v>56.4</v>
      </c>
      <c r="Q31" s="4">
        <f t="shared" si="10"/>
        <v>478.16499999999996</v>
      </c>
      <c r="R31" s="4">
        <f>IFERROR(VLOOKUP(A31,[1]Sheet!$A$1:$S$65536,19,0),0)</f>
        <v>250</v>
      </c>
      <c r="S31" s="5"/>
      <c r="T31" s="5">
        <f t="shared" si="4"/>
        <v>18</v>
      </c>
      <c r="U31" s="5">
        <f t="shared" si="5"/>
        <v>9.5218971631205669</v>
      </c>
      <c r="V31" s="5">
        <v>28.6</v>
      </c>
      <c r="W31" s="5">
        <v>32.4</v>
      </c>
      <c r="X31" s="5">
        <v>40</v>
      </c>
      <c r="Y31" s="5">
        <v>30.8</v>
      </c>
      <c r="Z31" s="5">
        <v>23</v>
      </c>
      <c r="AA31" s="5">
        <v>41.8</v>
      </c>
      <c r="AB31" s="5">
        <v>29.6</v>
      </c>
      <c r="AC31" s="5">
        <v>27</v>
      </c>
      <c r="AD31" s="5"/>
      <c r="AE31" s="5">
        <f t="shared" si="6"/>
        <v>100</v>
      </c>
      <c r="AF31" s="5"/>
      <c r="AG31" s="19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66</v>
      </c>
      <c r="B32" s="5" t="s">
        <v>34</v>
      </c>
      <c r="C32" s="5">
        <v>508.76400000000001</v>
      </c>
      <c r="D32" s="5">
        <v>402.78</v>
      </c>
      <c r="E32" s="16">
        <f>545.563+E59</f>
        <v>659.13199999999995</v>
      </c>
      <c r="F32" s="16">
        <f>348.373+F59</f>
        <v>234.80399999999997</v>
      </c>
      <c r="G32" s="8">
        <v>1</v>
      </c>
      <c r="H32" s="5">
        <v>60</v>
      </c>
      <c r="I32" s="5" t="s">
        <v>35</v>
      </c>
      <c r="J32" s="5"/>
      <c r="K32" s="5"/>
      <c r="L32" s="5">
        <f t="shared" si="2"/>
        <v>659.13199999999995</v>
      </c>
      <c r="M32" s="5"/>
      <c r="N32" s="5"/>
      <c r="O32" s="5">
        <v>950</v>
      </c>
      <c r="P32" s="5">
        <f t="shared" si="3"/>
        <v>131.82639999999998</v>
      </c>
      <c r="Q32" s="4">
        <f t="shared" ref="Q32:Q33" si="11">17*P32-O32-F32</f>
        <v>1056.2447999999995</v>
      </c>
      <c r="R32" s="4">
        <f>IFERROR(VLOOKUP(A32,[1]Sheet!$A$1:$S$65536,19,0),0)</f>
        <v>600</v>
      </c>
      <c r="S32" s="5"/>
      <c r="T32" s="5">
        <f t="shared" si="4"/>
        <v>17</v>
      </c>
      <c r="U32" s="5">
        <f t="shared" si="5"/>
        <v>8.9876079449943287</v>
      </c>
      <c r="V32" s="5">
        <v>117.9644</v>
      </c>
      <c r="W32" s="5">
        <v>53.588199999999993</v>
      </c>
      <c r="X32" s="5">
        <v>73.159400000000005</v>
      </c>
      <c r="Y32" s="5">
        <v>78.661799999999999</v>
      </c>
      <c r="Z32" s="5">
        <v>72.64200000000001</v>
      </c>
      <c r="AA32" s="5">
        <v>72.347000000000008</v>
      </c>
      <c r="AB32" s="5">
        <v>110.3852</v>
      </c>
      <c r="AC32" s="5">
        <v>64.878600000000006</v>
      </c>
      <c r="AD32" s="5"/>
      <c r="AE32" s="5">
        <f t="shared" si="6"/>
        <v>600</v>
      </c>
      <c r="AF32" s="5"/>
      <c r="AG32" s="19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67</v>
      </c>
      <c r="B33" s="5" t="s">
        <v>45</v>
      </c>
      <c r="C33" s="5">
        <v>311</v>
      </c>
      <c r="D33" s="5">
        <v>100</v>
      </c>
      <c r="E33" s="5">
        <v>177</v>
      </c>
      <c r="F33" s="16">
        <f>234+F39</f>
        <v>203</v>
      </c>
      <c r="G33" s="8">
        <v>0.5</v>
      </c>
      <c r="H33" s="5">
        <v>60</v>
      </c>
      <c r="I33" s="5" t="s">
        <v>35</v>
      </c>
      <c r="J33" s="5"/>
      <c r="K33" s="5"/>
      <c r="L33" s="5">
        <f t="shared" si="2"/>
        <v>177</v>
      </c>
      <c r="M33" s="5"/>
      <c r="N33" s="5"/>
      <c r="O33" s="5">
        <v>100</v>
      </c>
      <c r="P33" s="5">
        <f t="shared" si="3"/>
        <v>35.4</v>
      </c>
      <c r="Q33" s="4">
        <f t="shared" si="11"/>
        <v>298.79999999999995</v>
      </c>
      <c r="R33" s="4">
        <f>IFERROR(VLOOKUP(A33,[1]Sheet!$A$1:$S$65536,19,0),0)</f>
        <v>100</v>
      </c>
      <c r="S33" s="5"/>
      <c r="T33" s="5">
        <f t="shared" si="4"/>
        <v>17</v>
      </c>
      <c r="U33" s="5">
        <f t="shared" si="5"/>
        <v>8.5593220338983063</v>
      </c>
      <c r="V33" s="5">
        <v>7.2</v>
      </c>
      <c r="W33" s="5">
        <v>4.2</v>
      </c>
      <c r="X33" s="5">
        <v>15.6</v>
      </c>
      <c r="Y33" s="5">
        <v>13</v>
      </c>
      <c r="Z33" s="5">
        <v>8.8000000000000007</v>
      </c>
      <c r="AA33" s="5">
        <v>5.6</v>
      </c>
      <c r="AB33" s="5">
        <v>11.6</v>
      </c>
      <c r="AC33" s="5">
        <v>7</v>
      </c>
      <c r="AD33" s="5"/>
      <c r="AE33" s="5">
        <f t="shared" si="6"/>
        <v>50</v>
      </c>
      <c r="AF33" s="5"/>
      <c r="AG33" s="19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68</v>
      </c>
      <c r="B34" s="5" t="s">
        <v>34</v>
      </c>
      <c r="C34" s="5">
        <v>929.83199999999999</v>
      </c>
      <c r="D34" s="5">
        <v>415.56099999999998</v>
      </c>
      <c r="E34" s="16">
        <f>409.94+E60</f>
        <v>474.39099999999996</v>
      </c>
      <c r="F34" s="16">
        <f>920.716+F60</f>
        <v>856.26499999999999</v>
      </c>
      <c r="G34" s="8">
        <v>1</v>
      </c>
      <c r="H34" s="5">
        <v>60</v>
      </c>
      <c r="I34" s="5" t="s">
        <v>35</v>
      </c>
      <c r="J34" s="5"/>
      <c r="K34" s="5"/>
      <c r="L34" s="5">
        <f t="shared" si="2"/>
        <v>474.39099999999996</v>
      </c>
      <c r="M34" s="5"/>
      <c r="N34" s="5"/>
      <c r="O34" s="5">
        <v>950</v>
      </c>
      <c r="P34" s="5">
        <f t="shared" si="3"/>
        <v>94.878199999999993</v>
      </c>
      <c r="Q34" s="4"/>
      <c r="R34" s="4">
        <f>IFERROR(VLOOKUP(A34,[1]Sheet!$A$1:$S$65536,19,0),0)</f>
        <v>400</v>
      </c>
      <c r="S34" s="5"/>
      <c r="T34" s="5">
        <f t="shared" si="4"/>
        <v>19.037724155812398</v>
      </c>
      <c r="U34" s="5">
        <f t="shared" si="5"/>
        <v>19.037724155812398</v>
      </c>
      <c r="V34" s="5">
        <v>140.11240000000001</v>
      </c>
      <c r="W34" s="5">
        <v>51.633200000000002</v>
      </c>
      <c r="X34" s="5">
        <v>100.645</v>
      </c>
      <c r="Y34" s="5">
        <v>99.616799999999998</v>
      </c>
      <c r="Z34" s="5">
        <v>55.079799999999999</v>
      </c>
      <c r="AA34" s="5">
        <v>108.70659999999999</v>
      </c>
      <c r="AB34" s="5">
        <v>100.682</v>
      </c>
      <c r="AC34" s="5">
        <v>62.739000000000011</v>
      </c>
      <c r="AD34" s="5"/>
      <c r="AE34" s="5">
        <f t="shared" si="6"/>
        <v>400</v>
      </c>
      <c r="AF34" s="5"/>
      <c r="AG34" s="19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69</v>
      </c>
      <c r="B35" s="5" t="s">
        <v>34</v>
      </c>
      <c r="C35" s="5">
        <v>450.48099999999999</v>
      </c>
      <c r="D35" s="5">
        <v>602.40800000000002</v>
      </c>
      <c r="E35" s="16">
        <f>357.088+E61</f>
        <v>427.31700000000001</v>
      </c>
      <c r="F35" s="16">
        <f>675.935+F61</f>
        <v>605.7059999999999</v>
      </c>
      <c r="G35" s="8">
        <v>1</v>
      </c>
      <c r="H35" s="5">
        <v>60</v>
      </c>
      <c r="I35" s="5" t="s">
        <v>35</v>
      </c>
      <c r="J35" s="5"/>
      <c r="K35" s="5"/>
      <c r="L35" s="5">
        <f t="shared" si="2"/>
        <v>427.31700000000001</v>
      </c>
      <c r="M35" s="5"/>
      <c r="N35" s="5"/>
      <c r="O35" s="5">
        <v>800</v>
      </c>
      <c r="P35" s="5">
        <f t="shared" si="3"/>
        <v>85.463400000000007</v>
      </c>
      <c r="Q35" s="4">
        <f t="shared" si="10"/>
        <v>132.63520000000017</v>
      </c>
      <c r="R35" s="4">
        <f>IFERROR(VLOOKUP(A35,[1]Sheet!$A$1:$S$65536,19,0),0)</f>
        <v>500</v>
      </c>
      <c r="S35" s="5"/>
      <c r="T35" s="5">
        <f t="shared" si="4"/>
        <v>18</v>
      </c>
      <c r="U35" s="5">
        <f t="shared" si="5"/>
        <v>16.448046766218052</v>
      </c>
      <c r="V35" s="5">
        <v>102.20740000000001</v>
      </c>
      <c r="W35" s="5">
        <v>59.680600000000013</v>
      </c>
      <c r="X35" s="5">
        <v>70.167999999999992</v>
      </c>
      <c r="Y35" s="5">
        <v>73.153400000000005</v>
      </c>
      <c r="Z35" s="5">
        <v>70.9054</v>
      </c>
      <c r="AA35" s="5">
        <v>58.851199999999992</v>
      </c>
      <c r="AB35" s="5">
        <v>95.770399999999995</v>
      </c>
      <c r="AC35" s="5">
        <v>60.529200000000003</v>
      </c>
      <c r="AD35" s="5"/>
      <c r="AE35" s="5">
        <f t="shared" si="6"/>
        <v>500</v>
      </c>
      <c r="AF35" s="5"/>
      <c r="AG35" s="19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70</v>
      </c>
      <c r="B36" s="5" t="s">
        <v>45</v>
      </c>
      <c r="C36" s="5">
        <v>639</v>
      </c>
      <c r="D36" s="5">
        <v>700</v>
      </c>
      <c r="E36" s="16">
        <f>244+E62</f>
        <v>274</v>
      </c>
      <c r="F36" s="16">
        <f>1083+F62</f>
        <v>1053</v>
      </c>
      <c r="G36" s="8">
        <v>0.4</v>
      </c>
      <c r="H36" s="5">
        <v>60</v>
      </c>
      <c r="I36" s="5" t="s">
        <v>35</v>
      </c>
      <c r="J36" s="5"/>
      <c r="K36" s="5"/>
      <c r="L36" s="5">
        <f t="shared" si="2"/>
        <v>274</v>
      </c>
      <c r="M36" s="5"/>
      <c r="N36" s="5"/>
      <c r="O36" s="5">
        <v>300</v>
      </c>
      <c r="P36" s="5">
        <f t="shared" si="3"/>
        <v>54.8</v>
      </c>
      <c r="Q36" s="4"/>
      <c r="R36" s="4">
        <f>IFERROR(VLOOKUP(A36,[1]Sheet!$A$1:$S$65536,19,0),0)</f>
        <v>80</v>
      </c>
      <c r="S36" s="5"/>
      <c r="T36" s="5">
        <f t="shared" si="4"/>
        <v>24.689781021897812</v>
      </c>
      <c r="U36" s="5">
        <f t="shared" si="5"/>
        <v>24.689781021897812</v>
      </c>
      <c r="V36" s="5">
        <v>76.599999999999994</v>
      </c>
      <c r="W36" s="5">
        <v>75</v>
      </c>
      <c r="X36" s="5">
        <v>100</v>
      </c>
      <c r="Y36" s="5">
        <v>41.8</v>
      </c>
      <c r="Z36" s="5">
        <v>52.4</v>
      </c>
      <c r="AA36" s="5">
        <v>71.8</v>
      </c>
      <c r="AB36" s="5">
        <v>82.8</v>
      </c>
      <c r="AC36" s="5">
        <v>51.6</v>
      </c>
      <c r="AD36" s="17" t="s">
        <v>103</v>
      </c>
      <c r="AE36" s="5">
        <f t="shared" si="6"/>
        <v>32</v>
      </c>
      <c r="AF36" s="5"/>
      <c r="AG36" s="19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71</v>
      </c>
      <c r="B37" s="5" t="s">
        <v>34</v>
      </c>
      <c r="C37" s="5">
        <v>370.55599999999998</v>
      </c>
      <c r="D37" s="5">
        <v>753.029</v>
      </c>
      <c r="E37" s="16">
        <f>445.23+E63</f>
        <v>530.62200000000007</v>
      </c>
      <c r="F37" s="16">
        <f>666.37+F63</f>
        <v>580.97800000000007</v>
      </c>
      <c r="G37" s="8">
        <v>1</v>
      </c>
      <c r="H37" s="5">
        <v>60</v>
      </c>
      <c r="I37" s="5" t="s">
        <v>35</v>
      </c>
      <c r="J37" s="5"/>
      <c r="K37" s="5"/>
      <c r="L37" s="5">
        <f t="shared" si="2"/>
        <v>530.62200000000007</v>
      </c>
      <c r="M37" s="5"/>
      <c r="N37" s="5"/>
      <c r="O37" s="5">
        <v>600</v>
      </c>
      <c r="P37" s="5">
        <f t="shared" si="3"/>
        <v>106.12440000000001</v>
      </c>
      <c r="Q37" s="4">
        <f t="shared" si="10"/>
        <v>729.26120000000014</v>
      </c>
      <c r="R37" s="4">
        <f>IFERROR(VLOOKUP(A37,[1]Sheet!$A$1:$S$65536,19,0),0)</f>
        <v>600</v>
      </c>
      <c r="S37" s="5"/>
      <c r="T37" s="5">
        <f t="shared" si="4"/>
        <v>18</v>
      </c>
      <c r="U37" s="5">
        <f t="shared" si="5"/>
        <v>11.128241950013381</v>
      </c>
      <c r="V37" s="5">
        <v>78.598600000000005</v>
      </c>
      <c r="W37" s="5">
        <v>92.225400000000008</v>
      </c>
      <c r="X37" s="5">
        <v>63.377800000000001</v>
      </c>
      <c r="Y37" s="5">
        <v>36.398800000000001</v>
      </c>
      <c r="Z37" s="5">
        <v>117.0176</v>
      </c>
      <c r="AA37" s="5">
        <v>49.442399999999999</v>
      </c>
      <c r="AB37" s="5">
        <v>103.33240000000001</v>
      </c>
      <c r="AC37" s="5">
        <v>45.733600000000003</v>
      </c>
      <c r="AD37" s="5"/>
      <c r="AE37" s="5">
        <f t="shared" si="6"/>
        <v>600</v>
      </c>
      <c r="AF37" s="5"/>
      <c r="AG37" s="19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72</v>
      </c>
      <c r="B38" s="5" t="s">
        <v>45</v>
      </c>
      <c r="C38" s="5">
        <v>331</v>
      </c>
      <c r="D38" s="5">
        <v>100</v>
      </c>
      <c r="E38" s="5">
        <v>151</v>
      </c>
      <c r="F38" s="5">
        <v>276</v>
      </c>
      <c r="G38" s="8">
        <v>0.5</v>
      </c>
      <c r="H38" s="5">
        <v>60</v>
      </c>
      <c r="I38" s="5" t="s">
        <v>35</v>
      </c>
      <c r="J38" s="5"/>
      <c r="K38" s="5"/>
      <c r="L38" s="5">
        <f t="shared" ref="L38:L67" si="12">E38-K38</f>
        <v>151</v>
      </c>
      <c r="M38" s="5"/>
      <c r="N38" s="5"/>
      <c r="O38" s="5">
        <v>100</v>
      </c>
      <c r="P38" s="5">
        <f t="shared" ref="P38:P67" si="13">E38/5</f>
        <v>30.2</v>
      </c>
      <c r="Q38" s="4">
        <f t="shared" si="10"/>
        <v>167.60000000000002</v>
      </c>
      <c r="R38" s="4">
        <f>IFERROR(VLOOKUP(A38,[1]Sheet!$A$1:$S$65536,19,0),0)</f>
        <v>200</v>
      </c>
      <c r="S38" s="5"/>
      <c r="T38" s="5">
        <f t="shared" ref="T38:T67" si="14">(F38+O38+Q38)/P38</f>
        <v>18</v>
      </c>
      <c r="U38" s="5">
        <f t="shared" ref="U38:U67" si="15">(F38+O38)/P38</f>
        <v>12.450331125827814</v>
      </c>
      <c r="V38" s="5">
        <v>21.6</v>
      </c>
      <c r="W38" s="5">
        <v>15.6</v>
      </c>
      <c r="X38" s="5">
        <v>25.8</v>
      </c>
      <c r="Y38" s="5">
        <v>22.8</v>
      </c>
      <c r="Z38" s="5">
        <v>13.4</v>
      </c>
      <c r="AA38" s="5">
        <v>13</v>
      </c>
      <c r="AB38" s="5">
        <v>19.600000000000001</v>
      </c>
      <c r="AC38" s="5">
        <v>13</v>
      </c>
      <c r="AD38" s="5"/>
      <c r="AE38" s="5">
        <f t="shared" si="6"/>
        <v>100</v>
      </c>
      <c r="AF38" s="5"/>
      <c r="AG38" s="19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10" t="s">
        <v>73</v>
      </c>
      <c r="B39" s="10" t="s">
        <v>45</v>
      </c>
      <c r="C39" s="10">
        <v>-31</v>
      </c>
      <c r="D39" s="10"/>
      <c r="E39" s="10"/>
      <c r="F39" s="16">
        <v>-31</v>
      </c>
      <c r="G39" s="11">
        <v>0</v>
      </c>
      <c r="H39" s="10"/>
      <c r="I39" s="10" t="s">
        <v>60</v>
      </c>
      <c r="J39" s="10" t="s">
        <v>67</v>
      </c>
      <c r="K39" s="10"/>
      <c r="L39" s="10">
        <f t="shared" si="12"/>
        <v>0</v>
      </c>
      <c r="M39" s="10"/>
      <c r="N39" s="10"/>
      <c r="O39" s="10"/>
      <c r="P39" s="10">
        <f t="shared" si="13"/>
        <v>0</v>
      </c>
      <c r="Q39" s="12"/>
      <c r="R39" s="4">
        <f>IFERROR(VLOOKUP(A39,[1]Sheet!$A$1:$S$65536,19,0),0)</f>
        <v>0</v>
      </c>
      <c r="S39" s="10"/>
      <c r="T39" s="10" t="e">
        <f t="shared" si="14"/>
        <v>#DIV/0!</v>
      </c>
      <c r="U39" s="10" t="e">
        <f t="shared" si="15"/>
        <v>#DIV/0!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/>
      <c r="AE39" s="5">
        <f t="shared" si="6"/>
        <v>0</v>
      </c>
      <c r="AF39" s="5"/>
      <c r="AG39" s="19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74</v>
      </c>
      <c r="B40" s="5" t="s">
        <v>45</v>
      </c>
      <c r="C40" s="5">
        <v>248</v>
      </c>
      <c r="D40" s="5">
        <v>100</v>
      </c>
      <c r="E40" s="5">
        <v>150</v>
      </c>
      <c r="F40" s="5">
        <v>185</v>
      </c>
      <c r="G40" s="8">
        <v>0.4</v>
      </c>
      <c r="H40" s="5">
        <v>50</v>
      </c>
      <c r="I40" s="5" t="s">
        <v>35</v>
      </c>
      <c r="J40" s="5"/>
      <c r="K40" s="5"/>
      <c r="L40" s="5">
        <f t="shared" si="12"/>
        <v>150</v>
      </c>
      <c r="M40" s="5"/>
      <c r="N40" s="5"/>
      <c r="O40" s="5">
        <v>100</v>
      </c>
      <c r="P40" s="5">
        <f t="shared" si="13"/>
        <v>30</v>
      </c>
      <c r="Q40" s="4">
        <f t="shared" ref="Q40:Q41" si="16">18*P40-O40-F40</f>
        <v>255</v>
      </c>
      <c r="R40" s="4">
        <f>IFERROR(VLOOKUP(A40,[1]Sheet!$A$1:$S$65536,19,0),0)</f>
        <v>100</v>
      </c>
      <c r="S40" s="5"/>
      <c r="T40" s="5">
        <f t="shared" si="14"/>
        <v>18</v>
      </c>
      <c r="U40" s="5">
        <f t="shared" si="15"/>
        <v>9.5</v>
      </c>
      <c r="V40" s="5">
        <v>0</v>
      </c>
      <c r="W40" s="5">
        <v>23.8</v>
      </c>
      <c r="X40" s="5">
        <v>7.2</v>
      </c>
      <c r="Y40" s="5">
        <v>5.8</v>
      </c>
      <c r="Z40" s="5">
        <v>12.6</v>
      </c>
      <c r="AA40" s="5">
        <v>14.2</v>
      </c>
      <c r="AB40" s="5">
        <v>10.199999999999999</v>
      </c>
      <c r="AC40" s="5">
        <v>11</v>
      </c>
      <c r="AD40" s="5"/>
      <c r="AE40" s="5">
        <f t="shared" si="6"/>
        <v>40</v>
      </c>
      <c r="AF40" s="5"/>
      <c r="AG40" s="19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75</v>
      </c>
      <c r="B41" s="5" t="s">
        <v>34</v>
      </c>
      <c r="C41" s="5">
        <v>629.41600000000005</v>
      </c>
      <c r="D41" s="5">
        <v>1310.921</v>
      </c>
      <c r="E41" s="16">
        <f>806.82+E64</f>
        <v>934.79900000000009</v>
      </c>
      <c r="F41" s="16">
        <f>1091.7+F64</f>
        <v>963.721</v>
      </c>
      <c r="G41" s="8">
        <v>1</v>
      </c>
      <c r="H41" s="5">
        <v>40</v>
      </c>
      <c r="I41" s="5" t="s">
        <v>35</v>
      </c>
      <c r="J41" s="5"/>
      <c r="K41" s="5"/>
      <c r="L41" s="5">
        <f t="shared" si="12"/>
        <v>934.79900000000009</v>
      </c>
      <c r="M41" s="5"/>
      <c r="N41" s="5"/>
      <c r="O41" s="5">
        <v>1200</v>
      </c>
      <c r="P41" s="5">
        <f t="shared" si="13"/>
        <v>186.95980000000003</v>
      </c>
      <c r="Q41" s="4">
        <f t="shared" si="16"/>
        <v>1201.5554000000006</v>
      </c>
      <c r="R41" s="4">
        <f>IFERROR(VLOOKUP(A41,[1]Sheet!$A$1:$S$65536,19,0),0)</f>
        <v>1200</v>
      </c>
      <c r="S41" s="5"/>
      <c r="T41" s="5">
        <f t="shared" si="14"/>
        <v>18</v>
      </c>
      <c r="U41" s="5">
        <f t="shared" si="15"/>
        <v>11.573188460834894</v>
      </c>
      <c r="V41" s="5">
        <v>228.66200000000001</v>
      </c>
      <c r="W41" s="5">
        <v>198.33879999999999</v>
      </c>
      <c r="X41" s="5">
        <v>138.934</v>
      </c>
      <c r="Y41" s="5">
        <v>202.55779999999999</v>
      </c>
      <c r="Z41" s="5">
        <v>211.7406</v>
      </c>
      <c r="AA41" s="5">
        <v>139.38579999999999</v>
      </c>
      <c r="AB41" s="5">
        <v>149.83959999999999</v>
      </c>
      <c r="AC41" s="5">
        <v>133.23519999999999</v>
      </c>
      <c r="AD41" s="5"/>
      <c r="AE41" s="5">
        <f t="shared" si="6"/>
        <v>1200</v>
      </c>
      <c r="AF41" s="5"/>
      <c r="AG41" s="19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10" t="s">
        <v>76</v>
      </c>
      <c r="B42" s="10" t="s">
        <v>34</v>
      </c>
      <c r="C42" s="10">
        <v>-4.2350000000000003</v>
      </c>
      <c r="D42" s="10"/>
      <c r="E42" s="10"/>
      <c r="F42" s="10">
        <v>-4.2350000000000003</v>
      </c>
      <c r="G42" s="11">
        <v>0</v>
      </c>
      <c r="H42" s="10"/>
      <c r="I42" s="10" t="s">
        <v>60</v>
      </c>
      <c r="J42" s="10"/>
      <c r="K42" s="10"/>
      <c r="L42" s="10">
        <f t="shared" si="12"/>
        <v>0</v>
      </c>
      <c r="M42" s="10"/>
      <c r="N42" s="10"/>
      <c r="O42" s="10"/>
      <c r="P42" s="10">
        <f t="shared" si="13"/>
        <v>0</v>
      </c>
      <c r="Q42" s="12"/>
      <c r="R42" s="4">
        <f>IFERROR(VLOOKUP(A42,[1]Sheet!$A$1:$S$65536,19,0),0)</f>
        <v>0</v>
      </c>
      <c r="S42" s="10"/>
      <c r="T42" s="10" t="e">
        <f t="shared" si="14"/>
        <v>#DIV/0!</v>
      </c>
      <c r="U42" s="10" t="e">
        <f t="shared" si="15"/>
        <v>#DIV/0!</v>
      </c>
      <c r="V42" s="10">
        <v>0</v>
      </c>
      <c r="W42" s="10">
        <v>0</v>
      </c>
      <c r="X42" s="10">
        <v>0</v>
      </c>
      <c r="Y42" s="10">
        <v>0</v>
      </c>
      <c r="Z42" s="10">
        <v>0.33800000000000002</v>
      </c>
      <c r="AA42" s="10">
        <v>-0.3392</v>
      </c>
      <c r="AB42" s="10">
        <v>0</v>
      </c>
      <c r="AC42" s="10">
        <v>0</v>
      </c>
      <c r="AD42" s="10"/>
      <c r="AE42" s="5">
        <f t="shared" si="6"/>
        <v>0</v>
      </c>
      <c r="AF42" s="5"/>
      <c r="AG42" s="19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77</v>
      </c>
      <c r="B43" s="5" t="s">
        <v>34</v>
      </c>
      <c r="C43" s="5">
        <v>124.063</v>
      </c>
      <c r="D43" s="5">
        <v>305.21199999999999</v>
      </c>
      <c r="E43" s="5">
        <v>230.95699999999999</v>
      </c>
      <c r="F43" s="5">
        <v>183.959</v>
      </c>
      <c r="G43" s="8">
        <v>1</v>
      </c>
      <c r="H43" s="5">
        <v>70</v>
      </c>
      <c r="I43" s="5" t="s">
        <v>35</v>
      </c>
      <c r="J43" s="5"/>
      <c r="K43" s="5"/>
      <c r="L43" s="5">
        <f t="shared" si="12"/>
        <v>230.95699999999999</v>
      </c>
      <c r="M43" s="5"/>
      <c r="N43" s="5"/>
      <c r="O43" s="5">
        <v>300</v>
      </c>
      <c r="P43" s="5">
        <f t="shared" si="13"/>
        <v>46.191400000000002</v>
      </c>
      <c r="Q43" s="4">
        <f t="shared" ref="Q43:Q46" si="17">18*P43-O43-F43</f>
        <v>347.4862</v>
      </c>
      <c r="R43" s="4">
        <f>IFERROR(VLOOKUP(A43,[1]Sheet!$A$1:$S$65536,19,0),0)</f>
        <v>250</v>
      </c>
      <c r="S43" s="5"/>
      <c r="T43" s="5">
        <f t="shared" si="14"/>
        <v>18</v>
      </c>
      <c r="U43" s="5">
        <f t="shared" si="15"/>
        <v>10.477253341531107</v>
      </c>
      <c r="V43" s="5">
        <v>36.735599999999998</v>
      </c>
      <c r="W43" s="5">
        <v>30.283999999999999</v>
      </c>
      <c r="X43" s="5">
        <v>27.277799999999999</v>
      </c>
      <c r="Y43" s="5">
        <v>35.937600000000003</v>
      </c>
      <c r="Z43" s="5">
        <v>19.868400000000001</v>
      </c>
      <c r="AA43" s="5">
        <v>35.039400000000001</v>
      </c>
      <c r="AB43" s="5">
        <v>23.706800000000001</v>
      </c>
      <c r="AC43" s="5">
        <v>14.4344</v>
      </c>
      <c r="AD43" s="5"/>
      <c r="AE43" s="5">
        <f t="shared" si="6"/>
        <v>250</v>
      </c>
      <c r="AF43" s="5"/>
      <c r="AG43" s="19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78</v>
      </c>
      <c r="B44" s="5" t="s">
        <v>45</v>
      </c>
      <c r="C44" s="5">
        <v>912</v>
      </c>
      <c r="D44" s="5">
        <v>1602</v>
      </c>
      <c r="E44" s="16">
        <f>595+E65</f>
        <v>686</v>
      </c>
      <c r="F44" s="16">
        <f>1884+F65</f>
        <v>1793</v>
      </c>
      <c r="G44" s="8">
        <v>0.4</v>
      </c>
      <c r="H44" s="5">
        <v>40</v>
      </c>
      <c r="I44" s="5" t="s">
        <v>35</v>
      </c>
      <c r="J44" s="5"/>
      <c r="K44" s="5"/>
      <c r="L44" s="5">
        <f t="shared" si="12"/>
        <v>686</v>
      </c>
      <c r="M44" s="5"/>
      <c r="N44" s="5"/>
      <c r="O44" s="5">
        <v>500</v>
      </c>
      <c r="P44" s="5">
        <f t="shared" si="13"/>
        <v>137.19999999999999</v>
      </c>
      <c r="Q44" s="4">
        <f t="shared" si="17"/>
        <v>176.59999999999991</v>
      </c>
      <c r="R44" s="4">
        <f>IFERROR(VLOOKUP(A44,[1]Sheet!$A$1:$S$65536,19,0),0)</f>
        <v>300</v>
      </c>
      <c r="S44" s="5"/>
      <c r="T44" s="5">
        <f t="shared" si="14"/>
        <v>18</v>
      </c>
      <c r="U44" s="5">
        <f t="shared" si="15"/>
        <v>16.712827988338194</v>
      </c>
      <c r="V44" s="5">
        <v>172.8</v>
      </c>
      <c r="W44" s="5">
        <v>165.2</v>
      </c>
      <c r="X44" s="5">
        <v>199.6</v>
      </c>
      <c r="Y44" s="5">
        <v>143.6</v>
      </c>
      <c r="Z44" s="5">
        <v>130.19999999999999</v>
      </c>
      <c r="AA44" s="5">
        <v>169.6</v>
      </c>
      <c r="AB44" s="5">
        <v>152.19999999999999</v>
      </c>
      <c r="AC44" s="5">
        <v>152.19999999999999</v>
      </c>
      <c r="AD44" s="5"/>
      <c r="AE44" s="5">
        <f t="shared" si="6"/>
        <v>120</v>
      </c>
      <c r="AF44" s="5"/>
      <c r="AG44" s="19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79</v>
      </c>
      <c r="B45" s="5" t="s">
        <v>34</v>
      </c>
      <c r="C45" s="5">
        <v>494.52600000000001</v>
      </c>
      <c r="D45" s="5">
        <v>402.16699999999997</v>
      </c>
      <c r="E45" s="16">
        <f>255.832+E66</f>
        <v>431.34399999999999</v>
      </c>
      <c r="F45" s="16">
        <f>619.032+F66</f>
        <v>443.52000000000004</v>
      </c>
      <c r="G45" s="8">
        <v>1</v>
      </c>
      <c r="H45" s="5">
        <v>60</v>
      </c>
      <c r="I45" s="5" t="s">
        <v>35</v>
      </c>
      <c r="J45" s="5"/>
      <c r="K45" s="5"/>
      <c r="L45" s="5">
        <f t="shared" si="12"/>
        <v>431.34399999999999</v>
      </c>
      <c r="M45" s="5"/>
      <c r="N45" s="5"/>
      <c r="O45" s="5">
        <v>550</v>
      </c>
      <c r="P45" s="5">
        <f t="shared" si="13"/>
        <v>86.268799999999999</v>
      </c>
      <c r="Q45" s="4">
        <f t="shared" si="17"/>
        <v>559.31840000000011</v>
      </c>
      <c r="R45" s="4">
        <f>IFERROR(VLOOKUP(A45,[1]Sheet!$A$1:$S$65536,19,0),0)</f>
        <v>300</v>
      </c>
      <c r="S45" s="5"/>
      <c r="T45" s="5">
        <f t="shared" si="14"/>
        <v>18</v>
      </c>
      <c r="U45" s="5">
        <f t="shared" si="15"/>
        <v>11.516562187024741</v>
      </c>
      <c r="V45" s="5">
        <v>51.713199999999993</v>
      </c>
      <c r="W45" s="5">
        <v>50.019799999999996</v>
      </c>
      <c r="X45" s="5">
        <v>45.35</v>
      </c>
      <c r="Y45" s="5">
        <v>53.049199999999999</v>
      </c>
      <c r="Z45" s="5">
        <v>44.110399999999998</v>
      </c>
      <c r="AA45" s="5">
        <v>55.955199999999998</v>
      </c>
      <c r="AB45" s="5">
        <v>43.550600000000003</v>
      </c>
      <c r="AC45" s="5">
        <v>41.447400000000002</v>
      </c>
      <c r="AD45" s="5"/>
      <c r="AE45" s="5">
        <f t="shared" si="6"/>
        <v>300</v>
      </c>
      <c r="AF45" s="5"/>
      <c r="AG45" s="19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80</v>
      </c>
      <c r="B46" s="5" t="s">
        <v>34</v>
      </c>
      <c r="C46" s="5">
        <v>135.83699999999999</v>
      </c>
      <c r="D46" s="5">
        <v>53.558999999999997</v>
      </c>
      <c r="E46" s="5">
        <v>87.822000000000003</v>
      </c>
      <c r="F46" s="5">
        <v>83.873000000000005</v>
      </c>
      <c r="G46" s="8">
        <v>1</v>
      </c>
      <c r="H46" s="5">
        <v>50</v>
      </c>
      <c r="I46" s="5" t="s">
        <v>35</v>
      </c>
      <c r="J46" s="5"/>
      <c r="K46" s="5"/>
      <c r="L46" s="5">
        <f t="shared" si="12"/>
        <v>87.822000000000003</v>
      </c>
      <c r="M46" s="5"/>
      <c r="N46" s="5"/>
      <c r="O46" s="5">
        <v>100</v>
      </c>
      <c r="P46" s="5">
        <f t="shared" si="13"/>
        <v>17.564399999999999</v>
      </c>
      <c r="Q46" s="4">
        <f t="shared" si="17"/>
        <v>132.28620000000001</v>
      </c>
      <c r="R46" s="4">
        <f>IFERROR(VLOOKUP(A46,[1]Sheet!$A$1:$S$65536,19,0),0)</f>
        <v>50</v>
      </c>
      <c r="S46" s="5"/>
      <c r="T46" s="5">
        <f t="shared" si="14"/>
        <v>18</v>
      </c>
      <c r="U46" s="5">
        <f t="shared" si="15"/>
        <v>10.468504474960715</v>
      </c>
      <c r="V46" s="5">
        <v>9.1650000000000009</v>
      </c>
      <c r="W46" s="5">
        <v>10.728400000000001</v>
      </c>
      <c r="X46" s="5">
        <v>7.2680000000000007</v>
      </c>
      <c r="Y46" s="5">
        <v>7.7941999999999991</v>
      </c>
      <c r="Z46" s="5">
        <v>8.8587999999999987</v>
      </c>
      <c r="AA46" s="5">
        <v>11.0182</v>
      </c>
      <c r="AB46" s="5">
        <v>7.6918000000000006</v>
      </c>
      <c r="AC46" s="5">
        <v>0.50519999999999998</v>
      </c>
      <c r="AD46" s="5"/>
      <c r="AE46" s="5">
        <f t="shared" si="6"/>
        <v>50</v>
      </c>
      <c r="AF46" s="5"/>
      <c r="AG46" s="19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81</v>
      </c>
      <c r="B47" s="5" t="s">
        <v>45</v>
      </c>
      <c r="C47" s="5">
        <v>179</v>
      </c>
      <c r="D47" s="5">
        <v>110</v>
      </c>
      <c r="E47" s="5">
        <v>233</v>
      </c>
      <c r="F47" s="5">
        <v>48</v>
      </c>
      <c r="G47" s="8">
        <v>0.45</v>
      </c>
      <c r="H47" s="5">
        <v>50</v>
      </c>
      <c r="I47" s="5" t="s">
        <v>35</v>
      </c>
      <c r="J47" s="5"/>
      <c r="K47" s="5"/>
      <c r="L47" s="5">
        <f t="shared" si="12"/>
        <v>233</v>
      </c>
      <c r="M47" s="5"/>
      <c r="N47" s="5"/>
      <c r="O47" s="5">
        <v>300</v>
      </c>
      <c r="P47" s="5">
        <f t="shared" si="13"/>
        <v>46.6</v>
      </c>
      <c r="Q47" s="4">
        <f>15*P47-O47-F47</f>
        <v>351</v>
      </c>
      <c r="R47" s="4">
        <f>IFERROR(VLOOKUP(A47,[1]Sheet!$A$1:$S$65536,19,0),0)</f>
        <v>400</v>
      </c>
      <c r="S47" s="5"/>
      <c r="T47" s="5">
        <f t="shared" si="14"/>
        <v>15</v>
      </c>
      <c r="U47" s="5">
        <f t="shared" si="15"/>
        <v>7.4678111587982832</v>
      </c>
      <c r="V47" s="5">
        <v>35.799999999999997</v>
      </c>
      <c r="W47" s="5">
        <v>19.600000000000001</v>
      </c>
      <c r="X47" s="5">
        <v>18</v>
      </c>
      <c r="Y47" s="5">
        <v>30.8</v>
      </c>
      <c r="Z47" s="5">
        <v>25.4</v>
      </c>
      <c r="AA47" s="5">
        <v>20.6</v>
      </c>
      <c r="AB47" s="5">
        <v>22.4</v>
      </c>
      <c r="AC47" s="5">
        <v>13</v>
      </c>
      <c r="AD47" s="5"/>
      <c r="AE47" s="5">
        <f t="shared" si="6"/>
        <v>180</v>
      </c>
      <c r="AF47" s="5"/>
      <c r="AG47" s="19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82</v>
      </c>
      <c r="B48" s="5" t="s">
        <v>45</v>
      </c>
      <c r="C48" s="5">
        <v>140</v>
      </c>
      <c r="D48" s="5">
        <v>430</v>
      </c>
      <c r="E48" s="5">
        <v>367</v>
      </c>
      <c r="F48" s="5">
        <v>199</v>
      </c>
      <c r="G48" s="8">
        <v>0.4</v>
      </c>
      <c r="H48" s="5">
        <v>50</v>
      </c>
      <c r="I48" s="5" t="s">
        <v>35</v>
      </c>
      <c r="J48" s="5"/>
      <c r="K48" s="5"/>
      <c r="L48" s="5">
        <f t="shared" si="12"/>
        <v>367</v>
      </c>
      <c r="M48" s="5"/>
      <c r="N48" s="5"/>
      <c r="O48" s="5">
        <v>200</v>
      </c>
      <c r="P48" s="5">
        <f t="shared" si="13"/>
        <v>73.400000000000006</v>
      </c>
      <c r="Q48" s="4">
        <f>13*P48-O48-F48</f>
        <v>555.20000000000005</v>
      </c>
      <c r="R48" s="4">
        <f>IFERROR(VLOOKUP(A48,[1]Sheet!$A$1:$S$65536,19,0),0)</f>
        <v>300</v>
      </c>
      <c r="S48" s="5"/>
      <c r="T48" s="5">
        <f t="shared" si="14"/>
        <v>13</v>
      </c>
      <c r="U48" s="5">
        <f t="shared" si="15"/>
        <v>5.4359673024523154</v>
      </c>
      <c r="V48" s="5">
        <v>44.4</v>
      </c>
      <c r="W48" s="5">
        <v>37.6</v>
      </c>
      <c r="X48" s="5">
        <v>32.4</v>
      </c>
      <c r="Y48" s="5">
        <v>42.8</v>
      </c>
      <c r="Z48" s="5">
        <v>34.799999999999997</v>
      </c>
      <c r="AA48" s="5">
        <v>40.200000000000003</v>
      </c>
      <c r="AB48" s="5">
        <v>41.4</v>
      </c>
      <c r="AC48" s="5">
        <v>26</v>
      </c>
      <c r="AD48" s="5"/>
      <c r="AE48" s="5">
        <f t="shared" si="6"/>
        <v>120</v>
      </c>
      <c r="AF48" s="5"/>
      <c r="AG48" s="19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83</v>
      </c>
      <c r="B49" s="5" t="s">
        <v>34</v>
      </c>
      <c r="C49" s="5">
        <v>125.005</v>
      </c>
      <c r="D49" s="5">
        <v>107.27500000000001</v>
      </c>
      <c r="E49" s="5">
        <v>129.62100000000001</v>
      </c>
      <c r="F49" s="5">
        <v>102.124</v>
      </c>
      <c r="G49" s="8">
        <v>1</v>
      </c>
      <c r="H49" s="5">
        <v>50</v>
      </c>
      <c r="I49" s="5" t="s">
        <v>35</v>
      </c>
      <c r="J49" s="5"/>
      <c r="K49" s="5"/>
      <c r="L49" s="5">
        <f t="shared" si="12"/>
        <v>129.62100000000001</v>
      </c>
      <c r="M49" s="5"/>
      <c r="N49" s="5"/>
      <c r="O49" s="5">
        <v>100</v>
      </c>
      <c r="P49" s="5">
        <f t="shared" si="13"/>
        <v>25.924200000000003</v>
      </c>
      <c r="Q49" s="4">
        <f>16*P49-O49-F49</f>
        <v>212.66320000000005</v>
      </c>
      <c r="R49" s="4">
        <f>IFERROR(VLOOKUP(A49,[1]Sheet!$A$1:$S$65536,19,0),0)</f>
        <v>50</v>
      </c>
      <c r="S49" s="5"/>
      <c r="T49" s="5">
        <f t="shared" si="14"/>
        <v>16</v>
      </c>
      <c r="U49" s="5">
        <f t="shared" si="15"/>
        <v>7.7967304680568725</v>
      </c>
      <c r="V49" s="5">
        <v>19.881</v>
      </c>
      <c r="W49" s="5">
        <v>9.6715999999999998</v>
      </c>
      <c r="X49" s="5">
        <v>13.3668</v>
      </c>
      <c r="Y49" s="5">
        <v>12.178000000000001</v>
      </c>
      <c r="Z49" s="5">
        <v>13.906599999999999</v>
      </c>
      <c r="AA49" s="5">
        <v>16.425999999999998</v>
      </c>
      <c r="AB49" s="5">
        <v>17.5504</v>
      </c>
      <c r="AC49" s="5">
        <v>9.9718</v>
      </c>
      <c r="AD49" s="5"/>
      <c r="AE49" s="5">
        <f t="shared" si="6"/>
        <v>50</v>
      </c>
      <c r="AF49" s="5"/>
      <c r="AG49" s="19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84</v>
      </c>
      <c r="B50" s="5" t="s">
        <v>45</v>
      </c>
      <c r="C50" s="5">
        <v>274</v>
      </c>
      <c r="D50" s="5">
        <v>640</v>
      </c>
      <c r="E50" s="5">
        <v>698</v>
      </c>
      <c r="F50" s="5">
        <v>196</v>
      </c>
      <c r="G50" s="8">
        <v>0.45</v>
      </c>
      <c r="H50" s="5">
        <v>50</v>
      </c>
      <c r="I50" s="5" t="s">
        <v>35</v>
      </c>
      <c r="J50" s="5"/>
      <c r="K50" s="5"/>
      <c r="L50" s="5">
        <f t="shared" si="12"/>
        <v>698</v>
      </c>
      <c r="M50" s="5"/>
      <c r="N50" s="5"/>
      <c r="O50" s="5">
        <v>400</v>
      </c>
      <c r="P50" s="5">
        <f t="shared" si="13"/>
        <v>139.6</v>
      </c>
      <c r="Q50" s="4">
        <f>12*P50-O50-F50</f>
        <v>1079.1999999999998</v>
      </c>
      <c r="R50" s="4">
        <f>IFERROR(VLOOKUP(A50,[1]Sheet!$A$1:$S$65536,19,0),0)</f>
        <v>700</v>
      </c>
      <c r="S50" s="5"/>
      <c r="T50" s="5">
        <f t="shared" si="14"/>
        <v>12</v>
      </c>
      <c r="U50" s="5">
        <f t="shared" si="15"/>
        <v>4.2693409742120343</v>
      </c>
      <c r="V50" s="5">
        <v>74.2</v>
      </c>
      <c r="W50" s="5">
        <v>69.400000000000006</v>
      </c>
      <c r="X50" s="5">
        <v>55.8</v>
      </c>
      <c r="Y50" s="5">
        <v>79.400000000000006</v>
      </c>
      <c r="Z50" s="5">
        <v>66.8</v>
      </c>
      <c r="AA50" s="5">
        <v>55</v>
      </c>
      <c r="AB50" s="5">
        <v>74.8</v>
      </c>
      <c r="AC50" s="5">
        <v>75.599999999999994</v>
      </c>
      <c r="AD50" s="5"/>
      <c r="AE50" s="5">
        <f t="shared" si="6"/>
        <v>315</v>
      </c>
      <c r="AF50" s="5"/>
      <c r="AG50" s="19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85</v>
      </c>
      <c r="B51" s="5" t="s">
        <v>45</v>
      </c>
      <c r="C51" s="5">
        <v>126</v>
      </c>
      <c r="D51" s="5">
        <v>210</v>
      </c>
      <c r="E51" s="5">
        <v>202</v>
      </c>
      <c r="F51" s="5">
        <v>115</v>
      </c>
      <c r="G51" s="8">
        <v>0.17</v>
      </c>
      <c r="H51" s="5">
        <v>180</v>
      </c>
      <c r="I51" s="5" t="s">
        <v>35</v>
      </c>
      <c r="J51" s="5"/>
      <c r="K51" s="5"/>
      <c r="L51" s="5">
        <f t="shared" si="12"/>
        <v>202</v>
      </c>
      <c r="M51" s="5"/>
      <c r="N51" s="5"/>
      <c r="O51" s="5">
        <v>0</v>
      </c>
      <c r="P51" s="5">
        <f t="shared" si="13"/>
        <v>40.4</v>
      </c>
      <c r="Q51" s="4">
        <f>11*P51-O51-F51</f>
        <v>329.4</v>
      </c>
      <c r="R51" s="4">
        <f>IFERROR(VLOOKUP(A51,[1]Sheet!$A$1:$S$65536,19,0),0)</f>
        <v>200</v>
      </c>
      <c r="S51" s="5"/>
      <c r="T51" s="5">
        <f t="shared" si="14"/>
        <v>11</v>
      </c>
      <c r="U51" s="5">
        <f t="shared" si="15"/>
        <v>2.8465346534653468</v>
      </c>
      <c r="V51" s="5">
        <v>8.1999999999999993</v>
      </c>
      <c r="W51" s="5">
        <v>15.8</v>
      </c>
      <c r="X51" s="5">
        <v>5.8</v>
      </c>
      <c r="Y51" s="5">
        <v>9.6</v>
      </c>
      <c r="Z51" s="5">
        <v>9.8000000000000007</v>
      </c>
      <c r="AA51" s="5">
        <v>7.4</v>
      </c>
      <c r="AB51" s="5">
        <v>8.1999999999999993</v>
      </c>
      <c r="AC51" s="5">
        <v>11.4</v>
      </c>
      <c r="AD51" s="5"/>
      <c r="AE51" s="5">
        <f>ROUND(G51*R51,0)</f>
        <v>34</v>
      </c>
      <c r="AF51" s="5"/>
      <c r="AG51" s="19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86</v>
      </c>
      <c r="B52" s="5" t="s">
        <v>45</v>
      </c>
      <c r="C52" s="5">
        <v>152</v>
      </c>
      <c r="D52" s="5">
        <v>300</v>
      </c>
      <c r="E52" s="16">
        <f>200+E67</f>
        <v>240</v>
      </c>
      <c r="F52" s="16">
        <f>237+F67</f>
        <v>197</v>
      </c>
      <c r="G52" s="8">
        <v>0.17</v>
      </c>
      <c r="H52" s="5">
        <v>180</v>
      </c>
      <c r="I52" s="5" t="s">
        <v>35</v>
      </c>
      <c r="J52" s="5"/>
      <c r="K52" s="5"/>
      <c r="L52" s="5">
        <f t="shared" si="12"/>
        <v>240</v>
      </c>
      <c r="M52" s="5"/>
      <c r="N52" s="5"/>
      <c r="O52" s="5">
        <v>200</v>
      </c>
      <c r="P52" s="5">
        <f t="shared" si="13"/>
        <v>48</v>
      </c>
      <c r="Q52" s="4">
        <f>16*P52-O52-F52</f>
        <v>371</v>
      </c>
      <c r="R52" s="4">
        <f>IFERROR(VLOOKUP(A52,[1]Sheet!$A$1:$S$65536,19,0),0)</f>
        <v>200</v>
      </c>
      <c r="S52" s="5"/>
      <c r="T52" s="5">
        <f t="shared" si="14"/>
        <v>16</v>
      </c>
      <c r="U52" s="5">
        <f t="shared" si="15"/>
        <v>8.2708333333333339</v>
      </c>
      <c r="V52" s="5">
        <v>20</v>
      </c>
      <c r="W52" s="5">
        <v>38</v>
      </c>
      <c r="X52" s="5">
        <v>26.2</v>
      </c>
      <c r="Y52" s="5">
        <v>14.2</v>
      </c>
      <c r="Z52" s="5">
        <v>13.2</v>
      </c>
      <c r="AA52" s="5">
        <v>0</v>
      </c>
      <c r="AB52" s="5">
        <v>1</v>
      </c>
      <c r="AC52" s="5">
        <v>35.4</v>
      </c>
      <c r="AD52" s="5"/>
      <c r="AE52" s="5">
        <f t="shared" si="6"/>
        <v>34</v>
      </c>
      <c r="AF52" s="5"/>
      <c r="AG52" s="19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13" t="s">
        <v>87</v>
      </c>
      <c r="B53" s="13" t="s">
        <v>34</v>
      </c>
      <c r="C53" s="13"/>
      <c r="D53" s="13"/>
      <c r="E53" s="16">
        <v>73.337000000000003</v>
      </c>
      <c r="F53" s="16">
        <v>-73.337000000000003</v>
      </c>
      <c r="G53" s="14">
        <v>0</v>
      </c>
      <c r="H53" s="13"/>
      <c r="I53" s="13" t="s">
        <v>88</v>
      </c>
      <c r="J53" s="13" t="s">
        <v>43</v>
      </c>
      <c r="K53" s="13"/>
      <c r="L53" s="13">
        <f t="shared" si="12"/>
        <v>73.337000000000003</v>
      </c>
      <c r="M53" s="13"/>
      <c r="N53" s="13"/>
      <c r="O53" s="13"/>
      <c r="P53" s="13">
        <f t="shared" si="13"/>
        <v>14.667400000000001</v>
      </c>
      <c r="Q53" s="15"/>
      <c r="R53" s="15"/>
      <c r="S53" s="13"/>
      <c r="T53" s="13">
        <f t="shared" si="14"/>
        <v>-5</v>
      </c>
      <c r="U53" s="13">
        <f t="shared" si="15"/>
        <v>-5</v>
      </c>
      <c r="V53" s="13">
        <v>2.9072</v>
      </c>
      <c r="W53" s="13">
        <v>1.8928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/>
      <c r="AE53" s="5">
        <f t="shared" si="6"/>
        <v>0</v>
      </c>
      <c r="AF53" s="5"/>
      <c r="AG53" s="19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13" t="s">
        <v>89</v>
      </c>
      <c r="B54" s="13" t="s">
        <v>45</v>
      </c>
      <c r="C54" s="13"/>
      <c r="D54" s="13"/>
      <c r="E54" s="16">
        <v>89</v>
      </c>
      <c r="F54" s="16">
        <v>-89</v>
      </c>
      <c r="G54" s="14">
        <v>0</v>
      </c>
      <c r="H54" s="13"/>
      <c r="I54" s="13" t="s">
        <v>88</v>
      </c>
      <c r="J54" s="13" t="s">
        <v>44</v>
      </c>
      <c r="K54" s="13"/>
      <c r="L54" s="13">
        <f t="shared" si="12"/>
        <v>89</v>
      </c>
      <c r="M54" s="13"/>
      <c r="N54" s="13"/>
      <c r="O54" s="13"/>
      <c r="P54" s="13">
        <f t="shared" si="13"/>
        <v>17.8</v>
      </c>
      <c r="Q54" s="15"/>
      <c r="R54" s="15"/>
      <c r="S54" s="13"/>
      <c r="T54" s="13">
        <f t="shared" si="14"/>
        <v>-5</v>
      </c>
      <c r="U54" s="13">
        <f t="shared" si="15"/>
        <v>-5</v>
      </c>
      <c r="V54" s="13">
        <v>12.2</v>
      </c>
      <c r="W54" s="13">
        <v>10.199999999999999</v>
      </c>
      <c r="X54" s="13">
        <v>0</v>
      </c>
      <c r="Y54" s="13">
        <v>0</v>
      </c>
      <c r="Z54" s="13">
        <v>0.6</v>
      </c>
      <c r="AA54" s="13">
        <v>0</v>
      </c>
      <c r="AB54" s="13">
        <v>0</v>
      </c>
      <c r="AC54" s="13">
        <v>0</v>
      </c>
      <c r="AD54" s="13"/>
      <c r="AE54" s="5">
        <f t="shared" si="6"/>
        <v>0</v>
      </c>
      <c r="AF54" s="5"/>
      <c r="AG54" s="19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13" t="s">
        <v>90</v>
      </c>
      <c r="B55" s="13" t="s">
        <v>34</v>
      </c>
      <c r="C55" s="13"/>
      <c r="D55" s="13"/>
      <c r="E55" s="16">
        <v>29.986000000000001</v>
      </c>
      <c r="F55" s="16">
        <v>-29.986000000000001</v>
      </c>
      <c r="G55" s="14">
        <v>0</v>
      </c>
      <c r="H55" s="13"/>
      <c r="I55" s="13" t="s">
        <v>88</v>
      </c>
      <c r="J55" s="13" t="s">
        <v>54</v>
      </c>
      <c r="K55" s="13"/>
      <c r="L55" s="13">
        <f t="shared" si="12"/>
        <v>29.986000000000001</v>
      </c>
      <c r="M55" s="13"/>
      <c r="N55" s="13"/>
      <c r="O55" s="13"/>
      <c r="P55" s="13">
        <f t="shared" si="13"/>
        <v>5.9972000000000003</v>
      </c>
      <c r="Q55" s="15"/>
      <c r="R55" s="15"/>
      <c r="S55" s="13"/>
      <c r="T55" s="13">
        <f t="shared" si="14"/>
        <v>-5</v>
      </c>
      <c r="U55" s="13">
        <f t="shared" si="15"/>
        <v>-5</v>
      </c>
      <c r="V55" s="13">
        <v>3.8441999999999998</v>
      </c>
      <c r="W55" s="13">
        <v>3.5344000000000002</v>
      </c>
      <c r="X55" s="13">
        <v>2.6882000000000001</v>
      </c>
      <c r="Y55" s="13">
        <v>4.4960000000000004</v>
      </c>
      <c r="Z55" s="13">
        <v>2.9182000000000001</v>
      </c>
      <c r="AA55" s="13">
        <v>7.8639999999999999</v>
      </c>
      <c r="AB55" s="13">
        <v>1.468</v>
      </c>
      <c r="AC55" s="13">
        <v>5.5077999999999996</v>
      </c>
      <c r="AD55" s="13"/>
      <c r="AE55" s="5">
        <f t="shared" si="6"/>
        <v>0</v>
      </c>
      <c r="AF55" s="5"/>
      <c r="AG55" s="19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13" t="s">
        <v>91</v>
      </c>
      <c r="B56" s="13" t="s">
        <v>45</v>
      </c>
      <c r="C56" s="13"/>
      <c r="D56" s="13"/>
      <c r="E56" s="16">
        <v>62</v>
      </c>
      <c r="F56" s="16">
        <v>-62</v>
      </c>
      <c r="G56" s="14">
        <v>0</v>
      </c>
      <c r="H56" s="13"/>
      <c r="I56" s="13" t="s">
        <v>88</v>
      </c>
      <c r="J56" s="13" t="s">
        <v>55</v>
      </c>
      <c r="K56" s="13"/>
      <c r="L56" s="13">
        <f t="shared" si="12"/>
        <v>62</v>
      </c>
      <c r="M56" s="13"/>
      <c r="N56" s="13"/>
      <c r="O56" s="13"/>
      <c r="P56" s="13">
        <f t="shared" si="13"/>
        <v>12.4</v>
      </c>
      <c r="Q56" s="15"/>
      <c r="R56" s="15"/>
      <c r="S56" s="13"/>
      <c r="T56" s="13">
        <f t="shared" si="14"/>
        <v>-5</v>
      </c>
      <c r="U56" s="13">
        <f t="shared" si="15"/>
        <v>-5</v>
      </c>
      <c r="V56" s="13">
        <v>4</v>
      </c>
      <c r="W56" s="13">
        <v>5.6</v>
      </c>
      <c r="X56" s="13">
        <v>4.5999999999999996</v>
      </c>
      <c r="Y56" s="13">
        <v>3.8</v>
      </c>
      <c r="Z56" s="13">
        <v>5</v>
      </c>
      <c r="AA56" s="13">
        <v>2.8</v>
      </c>
      <c r="AB56" s="13">
        <v>0</v>
      </c>
      <c r="AC56" s="13">
        <v>0</v>
      </c>
      <c r="AD56" s="13"/>
      <c r="AE56" s="5">
        <f t="shared" si="6"/>
        <v>0</v>
      </c>
      <c r="AF56" s="5"/>
      <c r="AG56" s="19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3" t="s">
        <v>92</v>
      </c>
      <c r="B57" s="13" t="s">
        <v>45</v>
      </c>
      <c r="C57" s="13"/>
      <c r="D57" s="13"/>
      <c r="E57" s="16">
        <v>22.664000000000001</v>
      </c>
      <c r="F57" s="16">
        <v>-22.664000000000001</v>
      </c>
      <c r="G57" s="14">
        <v>0</v>
      </c>
      <c r="H57" s="13"/>
      <c r="I57" s="13" t="s">
        <v>88</v>
      </c>
      <c r="J57" s="13" t="s">
        <v>57</v>
      </c>
      <c r="K57" s="13"/>
      <c r="L57" s="13">
        <f t="shared" si="12"/>
        <v>22.664000000000001</v>
      </c>
      <c r="M57" s="13"/>
      <c r="N57" s="13"/>
      <c r="O57" s="13"/>
      <c r="P57" s="13">
        <f t="shared" si="13"/>
        <v>4.5327999999999999</v>
      </c>
      <c r="Q57" s="15"/>
      <c r="R57" s="15"/>
      <c r="S57" s="13"/>
      <c r="T57" s="13">
        <f t="shared" si="14"/>
        <v>-5</v>
      </c>
      <c r="U57" s="13">
        <f t="shared" si="15"/>
        <v>-5</v>
      </c>
      <c r="V57" s="13">
        <v>1.9086000000000001</v>
      </c>
      <c r="W57" s="13">
        <v>3.827</v>
      </c>
      <c r="X57" s="13">
        <v>4.0415999999999999</v>
      </c>
      <c r="Y57" s="13">
        <v>4.8746</v>
      </c>
      <c r="Z57" s="13">
        <v>2.7988</v>
      </c>
      <c r="AA57" s="13">
        <v>2.4306000000000001</v>
      </c>
      <c r="AB57" s="13">
        <v>3.5232000000000001</v>
      </c>
      <c r="AC57" s="13">
        <v>3.2067999999999999</v>
      </c>
      <c r="AD57" s="13"/>
      <c r="AE57" s="5">
        <f t="shared" si="6"/>
        <v>0</v>
      </c>
      <c r="AF57" s="5"/>
      <c r="AG57" s="19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13" t="s">
        <v>93</v>
      </c>
      <c r="B58" s="13"/>
      <c r="C58" s="13"/>
      <c r="D58" s="13"/>
      <c r="E58" s="16">
        <v>53.234999999999999</v>
      </c>
      <c r="F58" s="16">
        <v>-53.234999999999999</v>
      </c>
      <c r="G58" s="14">
        <v>0</v>
      </c>
      <c r="H58" s="13"/>
      <c r="I58" s="13" t="s">
        <v>88</v>
      </c>
      <c r="J58" s="13" t="s">
        <v>63</v>
      </c>
      <c r="K58" s="13"/>
      <c r="L58" s="13">
        <f t="shared" si="12"/>
        <v>53.234999999999999</v>
      </c>
      <c r="M58" s="13"/>
      <c r="N58" s="13"/>
      <c r="O58" s="13"/>
      <c r="P58" s="13">
        <f t="shared" si="13"/>
        <v>10.647</v>
      </c>
      <c r="Q58" s="15"/>
      <c r="R58" s="15"/>
      <c r="S58" s="13"/>
      <c r="T58" s="13">
        <f t="shared" si="14"/>
        <v>-5</v>
      </c>
      <c r="U58" s="13">
        <f t="shared" si="15"/>
        <v>-5</v>
      </c>
      <c r="V58" s="13">
        <v>10.202999999999999</v>
      </c>
      <c r="W58" s="13">
        <v>9.1456</v>
      </c>
      <c r="X58" s="13">
        <v>0.27539999999999998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/>
      <c r="AE58" s="5">
        <f t="shared" si="6"/>
        <v>0</v>
      </c>
      <c r="AF58" s="5"/>
      <c r="AG58" s="19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3" t="s">
        <v>94</v>
      </c>
      <c r="B59" s="13" t="s">
        <v>34</v>
      </c>
      <c r="C59" s="13"/>
      <c r="D59" s="13"/>
      <c r="E59" s="16">
        <v>113.569</v>
      </c>
      <c r="F59" s="16">
        <v>-113.569</v>
      </c>
      <c r="G59" s="14">
        <v>0</v>
      </c>
      <c r="H59" s="13"/>
      <c r="I59" s="13" t="s">
        <v>88</v>
      </c>
      <c r="J59" s="13" t="s">
        <v>66</v>
      </c>
      <c r="K59" s="13"/>
      <c r="L59" s="13">
        <f t="shared" si="12"/>
        <v>113.569</v>
      </c>
      <c r="M59" s="13"/>
      <c r="N59" s="13"/>
      <c r="O59" s="13"/>
      <c r="P59" s="13">
        <f t="shared" si="13"/>
        <v>22.713799999999999</v>
      </c>
      <c r="Q59" s="15"/>
      <c r="R59" s="15"/>
      <c r="S59" s="13"/>
      <c r="T59" s="13">
        <f t="shared" si="14"/>
        <v>-5</v>
      </c>
      <c r="U59" s="13">
        <f t="shared" si="15"/>
        <v>-5</v>
      </c>
      <c r="V59" s="13">
        <v>22.5656</v>
      </c>
      <c r="W59" s="13">
        <v>5.9862000000000002</v>
      </c>
      <c r="X59" s="13">
        <v>17.9696</v>
      </c>
      <c r="Y59" s="13">
        <v>10.4818</v>
      </c>
      <c r="Z59" s="13">
        <v>15.156599999999999</v>
      </c>
      <c r="AA59" s="13">
        <v>17.712</v>
      </c>
      <c r="AB59" s="13">
        <v>16.5352</v>
      </c>
      <c r="AC59" s="13">
        <v>11.657</v>
      </c>
      <c r="AD59" s="13"/>
      <c r="AE59" s="5">
        <f t="shared" si="6"/>
        <v>0</v>
      </c>
      <c r="AF59" s="5"/>
      <c r="AG59" s="19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13" t="s">
        <v>95</v>
      </c>
      <c r="B60" s="13" t="s">
        <v>34</v>
      </c>
      <c r="C60" s="13"/>
      <c r="D60" s="13"/>
      <c r="E60" s="16">
        <v>64.450999999999993</v>
      </c>
      <c r="F60" s="16">
        <v>-64.450999999999993</v>
      </c>
      <c r="G60" s="14">
        <v>0</v>
      </c>
      <c r="H60" s="13"/>
      <c r="I60" s="13" t="s">
        <v>88</v>
      </c>
      <c r="J60" s="13" t="s">
        <v>68</v>
      </c>
      <c r="K60" s="13"/>
      <c r="L60" s="13">
        <f t="shared" si="12"/>
        <v>64.450999999999993</v>
      </c>
      <c r="M60" s="13"/>
      <c r="N60" s="13"/>
      <c r="O60" s="13"/>
      <c r="P60" s="13">
        <f t="shared" si="13"/>
        <v>12.890199999999998</v>
      </c>
      <c r="Q60" s="15"/>
      <c r="R60" s="15"/>
      <c r="S60" s="13"/>
      <c r="T60" s="13">
        <f t="shared" si="14"/>
        <v>-5</v>
      </c>
      <c r="U60" s="13">
        <f t="shared" si="15"/>
        <v>-5</v>
      </c>
      <c r="V60" s="13">
        <v>20.431999999999999</v>
      </c>
      <c r="W60" s="13">
        <v>8.9253999999999998</v>
      </c>
      <c r="X60" s="13">
        <v>6.9833999999999996</v>
      </c>
      <c r="Y60" s="13">
        <v>18.848600000000001</v>
      </c>
      <c r="Z60" s="13">
        <v>10.808999999999999</v>
      </c>
      <c r="AA60" s="13">
        <v>6.4495999999999993</v>
      </c>
      <c r="AB60" s="13">
        <v>21.395199999999999</v>
      </c>
      <c r="AC60" s="13">
        <v>9.0473999999999997</v>
      </c>
      <c r="AD60" s="13"/>
      <c r="AE60" s="5">
        <f t="shared" si="6"/>
        <v>0</v>
      </c>
      <c r="AF60" s="5"/>
      <c r="AG60" s="19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13" t="s">
        <v>96</v>
      </c>
      <c r="B61" s="13" t="s">
        <v>34</v>
      </c>
      <c r="C61" s="13"/>
      <c r="D61" s="13"/>
      <c r="E61" s="16">
        <v>70.228999999999999</v>
      </c>
      <c r="F61" s="16">
        <v>-70.228999999999999</v>
      </c>
      <c r="G61" s="14">
        <v>0</v>
      </c>
      <c r="H61" s="13"/>
      <c r="I61" s="13" t="s">
        <v>88</v>
      </c>
      <c r="J61" s="13" t="s">
        <v>69</v>
      </c>
      <c r="K61" s="13"/>
      <c r="L61" s="13">
        <f t="shared" si="12"/>
        <v>70.228999999999999</v>
      </c>
      <c r="M61" s="13"/>
      <c r="N61" s="13"/>
      <c r="O61" s="13"/>
      <c r="P61" s="13">
        <f t="shared" si="13"/>
        <v>14.0458</v>
      </c>
      <c r="Q61" s="15"/>
      <c r="R61" s="15"/>
      <c r="S61" s="13"/>
      <c r="T61" s="13">
        <f t="shared" si="14"/>
        <v>-5</v>
      </c>
      <c r="U61" s="13">
        <f t="shared" si="15"/>
        <v>-5</v>
      </c>
      <c r="V61" s="13">
        <v>19.425999999999998</v>
      </c>
      <c r="W61" s="13">
        <v>9.0058000000000007</v>
      </c>
      <c r="X61" s="13">
        <v>11.494400000000001</v>
      </c>
      <c r="Y61" s="13">
        <v>11.0708</v>
      </c>
      <c r="Z61" s="13">
        <v>3.9773999999999998</v>
      </c>
      <c r="AA61" s="13">
        <v>11.007199999999999</v>
      </c>
      <c r="AB61" s="13">
        <v>11.8918</v>
      </c>
      <c r="AC61" s="13">
        <v>8.9428000000000001</v>
      </c>
      <c r="AD61" s="13"/>
      <c r="AE61" s="5">
        <f t="shared" si="6"/>
        <v>0</v>
      </c>
      <c r="AF61" s="5"/>
      <c r="AG61" s="19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13" t="s">
        <v>97</v>
      </c>
      <c r="B62" s="13" t="s">
        <v>45</v>
      </c>
      <c r="C62" s="13"/>
      <c r="D62" s="13"/>
      <c r="E62" s="16">
        <v>30</v>
      </c>
      <c r="F62" s="16">
        <v>-30</v>
      </c>
      <c r="G62" s="14">
        <v>0</v>
      </c>
      <c r="H62" s="13"/>
      <c r="I62" s="13" t="s">
        <v>88</v>
      </c>
      <c r="J62" s="13" t="s">
        <v>70</v>
      </c>
      <c r="K62" s="13"/>
      <c r="L62" s="13">
        <f t="shared" si="12"/>
        <v>30</v>
      </c>
      <c r="M62" s="13"/>
      <c r="N62" s="13"/>
      <c r="O62" s="13"/>
      <c r="P62" s="13">
        <f t="shared" si="13"/>
        <v>6</v>
      </c>
      <c r="Q62" s="15"/>
      <c r="R62" s="15"/>
      <c r="S62" s="13"/>
      <c r="T62" s="13">
        <f t="shared" si="14"/>
        <v>-5</v>
      </c>
      <c r="U62" s="13">
        <f t="shared" si="15"/>
        <v>-5</v>
      </c>
      <c r="V62" s="13">
        <v>4.8</v>
      </c>
      <c r="W62" s="13">
        <v>6</v>
      </c>
      <c r="X62" s="13">
        <v>4.2</v>
      </c>
      <c r="Y62" s="13">
        <v>4.2</v>
      </c>
      <c r="Z62" s="13">
        <v>4.5999999999999996</v>
      </c>
      <c r="AA62" s="13">
        <v>3.4</v>
      </c>
      <c r="AB62" s="13">
        <v>5.8</v>
      </c>
      <c r="AC62" s="13">
        <v>3.8</v>
      </c>
      <c r="AD62" s="13"/>
      <c r="AE62" s="5">
        <f t="shared" si="6"/>
        <v>0</v>
      </c>
      <c r="AF62" s="5"/>
      <c r="AG62" s="19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13" t="s">
        <v>98</v>
      </c>
      <c r="B63" s="13" t="s">
        <v>34</v>
      </c>
      <c r="C63" s="13"/>
      <c r="D63" s="13"/>
      <c r="E63" s="16">
        <v>85.391999999999996</v>
      </c>
      <c r="F63" s="16">
        <v>-85.391999999999996</v>
      </c>
      <c r="G63" s="14">
        <v>0</v>
      </c>
      <c r="H63" s="13"/>
      <c r="I63" s="13" t="s">
        <v>88</v>
      </c>
      <c r="J63" s="13" t="s">
        <v>71</v>
      </c>
      <c r="K63" s="13"/>
      <c r="L63" s="13">
        <f t="shared" si="12"/>
        <v>85.391999999999996</v>
      </c>
      <c r="M63" s="13"/>
      <c r="N63" s="13"/>
      <c r="O63" s="13"/>
      <c r="P63" s="13">
        <f t="shared" si="13"/>
        <v>17.078399999999998</v>
      </c>
      <c r="Q63" s="15"/>
      <c r="R63" s="15"/>
      <c r="S63" s="13"/>
      <c r="T63" s="13">
        <f t="shared" si="14"/>
        <v>-5</v>
      </c>
      <c r="U63" s="13">
        <f t="shared" si="15"/>
        <v>-5</v>
      </c>
      <c r="V63" s="13">
        <v>13.618</v>
      </c>
      <c r="W63" s="13">
        <v>14.2874</v>
      </c>
      <c r="X63" s="13">
        <v>9.9111999999999991</v>
      </c>
      <c r="Y63" s="13">
        <v>4.9882</v>
      </c>
      <c r="Z63" s="13">
        <v>19.619199999999999</v>
      </c>
      <c r="AA63" s="13">
        <v>6.1630000000000003</v>
      </c>
      <c r="AB63" s="13">
        <v>16.0258</v>
      </c>
      <c r="AC63" s="13">
        <v>7.2391999999999994</v>
      </c>
      <c r="AD63" s="13"/>
      <c r="AE63" s="5">
        <f t="shared" si="6"/>
        <v>0</v>
      </c>
      <c r="AF63" s="5"/>
      <c r="AG63" s="19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13" t="s">
        <v>99</v>
      </c>
      <c r="B64" s="13" t="s">
        <v>34</v>
      </c>
      <c r="C64" s="13"/>
      <c r="D64" s="13"/>
      <c r="E64" s="16">
        <v>127.979</v>
      </c>
      <c r="F64" s="16">
        <v>-127.979</v>
      </c>
      <c r="G64" s="14">
        <v>0</v>
      </c>
      <c r="H64" s="13"/>
      <c r="I64" s="13" t="s">
        <v>88</v>
      </c>
      <c r="J64" s="13" t="s">
        <v>75</v>
      </c>
      <c r="K64" s="13"/>
      <c r="L64" s="13">
        <f t="shared" si="12"/>
        <v>127.979</v>
      </c>
      <c r="M64" s="13"/>
      <c r="N64" s="13"/>
      <c r="O64" s="13"/>
      <c r="P64" s="13">
        <f t="shared" si="13"/>
        <v>25.595800000000001</v>
      </c>
      <c r="Q64" s="15"/>
      <c r="R64" s="15"/>
      <c r="S64" s="13"/>
      <c r="T64" s="13">
        <f t="shared" si="14"/>
        <v>-5</v>
      </c>
      <c r="U64" s="13">
        <f t="shared" si="15"/>
        <v>-5</v>
      </c>
      <c r="V64" s="13">
        <v>31.2712</v>
      </c>
      <c r="W64" s="13">
        <v>27.218800000000002</v>
      </c>
      <c r="X64" s="13">
        <v>19.559799999999999</v>
      </c>
      <c r="Y64" s="13">
        <v>29.203199999999999</v>
      </c>
      <c r="Z64" s="13">
        <v>31.249600000000001</v>
      </c>
      <c r="AA64" s="13">
        <v>21.385200000000001</v>
      </c>
      <c r="AB64" s="13">
        <v>27.7514</v>
      </c>
      <c r="AC64" s="13">
        <v>19.673999999999999</v>
      </c>
      <c r="AD64" s="13"/>
      <c r="AE64" s="5">
        <f t="shared" si="6"/>
        <v>0</v>
      </c>
      <c r="AF64" s="5"/>
      <c r="AG64" s="19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13" t="s">
        <v>100</v>
      </c>
      <c r="B65" s="13" t="s">
        <v>45</v>
      </c>
      <c r="C65" s="13"/>
      <c r="D65" s="13"/>
      <c r="E65" s="16">
        <v>91</v>
      </c>
      <c r="F65" s="16">
        <v>-91</v>
      </c>
      <c r="G65" s="14">
        <v>0</v>
      </c>
      <c r="H65" s="13"/>
      <c r="I65" s="13" t="s">
        <v>88</v>
      </c>
      <c r="J65" s="13" t="s">
        <v>78</v>
      </c>
      <c r="K65" s="13"/>
      <c r="L65" s="13">
        <f t="shared" si="12"/>
        <v>91</v>
      </c>
      <c r="M65" s="13"/>
      <c r="N65" s="13"/>
      <c r="O65" s="13"/>
      <c r="P65" s="13">
        <f t="shared" si="13"/>
        <v>18.2</v>
      </c>
      <c r="Q65" s="15"/>
      <c r="R65" s="15"/>
      <c r="S65" s="13"/>
      <c r="T65" s="13">
        <f t="shared" si="14"/>
        <v>-5</v>
      </c>
      <c r="U65" s="13">
        <f t="shared" si="15"/>
        <v>-5</v>
      </c>
      <c r="V65" s="13">
        <v>16.600000000000001</v>
      </c>
      <c r="W65" s="13">
        <v>15</v>
      </c>
      <c r="X65" s="13">
        <v>15</v>
      </c>
      <c r="Y65" s="13">
        <v>20.399999999999999</v>
      </c>
      <c r="Z65" s="13">
        <v>12</v>
      </c>
      <c r="AA65" s="13">
        <v>12.2</v>
      </c>
      <c r="AB65" s="13">
        <v>14.2</v>
      </c>
      <c r="AC65" s="13">
        <v>15.4</v>
      </c>
      <c r="AD65" s="13"/>
      <c r="AE65" s="5">
        <f t="shared" si="6"/>
        <v>0</v>
      </c>
      <c r="AF65" s="5"/>
      <c r="AG65" s="19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13" t="s">
        <v>101</v>
      </c>
      <c r="B66" s="13" t="s">
        <v>34</v>
      </c>
      <c r="C66" s="13"/>
      <c r="D66" s="13"/>
      <c r="E66" s="16">
        <v>175.512</v>
      </c>
      <c r="F66" s="16">
        <v>-175.512</v>
      </c>
      <c r="G66" s="14">
        <v>0</v>
      </c>
      <c r="H66" s="13"/>
      <c r="I66" s="13" t="s">
        <v>88</v>
      </c>
      <c r="J66" s="13" t="s">
        <v>79</v>
      </c>
      <c r="K66" s="13"/>
      <c r="L66" s="13">
        <f t="shared" si="12"/>
        <v>175.512</v>
      </c>
      <c r="M66" s="13"/>
      <c r="N66" s="13"/>
      <c r="O66" s="13"/>
      <c r="P66" s="13">
        <f t="shared" si="13"/>
        <v>35.102400000000003</v>
      </c>
      <c r="Q66" s="15"/>
      <c r="R66" s="15"/>
      <c r="S66" s="13"/>
      <c r="T66" s="13">
        <f t="shared" si="14"/>
        <v>-5</v>
      </c>
      <c r="U66" s="13">
        <f t="shared" si="15"/>
        <v>-5</v>
      </c>
      <c r="V66" s="13">
        <v>20.221800000000002</v>
      </c>
      <c r="W66" s="13">
        <v>20.9376</v>
      </c>
      <c r="X66" s="13">
        <v>19.411000000000001</v>
      </c>
      <c r="Y66" s="13">
        <v>24.3324</v>
      </c>
      <c r="Z66" s="13">
        <v>15.116400000000001</v>
      </c>
      <c r="AA66" s="13">
        <v>25.166599999999999</v>
      </c>
      <c r="AB66" s="13">
        <v>20.013000000000002</v>
      </c>
      <c r="AC66" s="13">
        <v>16.002600000000001</v>
      </c>
      <c r="AD66" s="13"/>
      <c r="AE66" s="5">
        <f t="shared" si="6"/>
        <v>0</v>
      </c>
      <c r="AF66" s="5"/>
      <c r="AG66" s="19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13" t="s">
        <v>102</v>
      </c>
      <c r="B67" s="13" t="s">
        <v>45</v>
      </c>
      <c r="C67" s="13"/>
      <c r="D67" s="13"/>
      <c r="E67" s="16">
        <v>40</v>
      </c>
      <c r="F67" s="16">
        <v>-40</v>
      </c>
      <c r="G67" s="14">
        <v>0</v>
      </c>
      <c r="H67" s="13"/>
      <c r="I67" s="13" t="s">
        <v>88</v>
      </c>
      <c r="J67" s="13" t="s">
        <v>86</v>
      </c>
      <c r="K67" s="13"/>
      <c r="L67" s="13">
        <f t="shared" si="12"/>
        <v>40</v>
      </c>
      <c r="M67" s="13"/>
      <c r="N67" s="13"/>
      <c r="O67" s="13"/>
      <c r="P67" s="13">
        <f t="shared" si="13"/>
        <v>8</v>
      </c>
      <c r="Q67" s="15"/>
      <c r="R67" s="15"/>
      <c r="S67" s="13"/>
      <c r="T67" s="13">
        <f t="shared" si="14"/>
        <v>-5</v>
      </c>
      <c r="U67" s="13">
        <f t="shared" si="15"/>
        <v>-5</v>
      </c>
      <c r="V67" s="13">
        <v>3</v>
      </c>
      <c r="W67" s="13">
        <v>4</v>
      </c>
      <c r="X67" s="13">
        <v>3</v>
      </c>
      <c r="Y67" s="13">
        <v>1.6</v>
      </c>
      <c r="Z67" s="13">
        <v>1.2</v>
      </c>
      <c r="AA67" s="13">
        <v>0</v>
      </c>
      <c r="AB67" s="13">
        <v>0</v>
      </c>
      <c r="AC67" s="13">
        <v>4.4000000000000004</v>
      </c>
      <c r="AD67" s="13"/>
      <c r="AE67" s="5">
        <f t="shared" si="6"/>
        <v>0</v>
      </c>
      <c r="AF67" s="5"/>
      <c r="AG67" s="19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107</v>
      </c>
      <c r="B68" s="5" t="s">
        <v>45</v>
      </c>
      <c r="C68" s="5"/>
      <c r="D68" s="5"/>
      <c r="E68" s="5"/>
      <c r="F68" s="5"/>
      <c r="G68" s="8">
        <v>0.5</v>
      </c>
      <c r="H68" s="5"/>
      <c r="I68" s="5" t="s">
        <v>128</v>
      </c>
      <c r="J68" s="5"/>
      <c r="K68" s="5"/>
      <c r="L68" s="5"/>
      <c r="M68" s="5"/>
      <c r="N68" s="5"/>
      <c r="O68" s="5"/>
      <c r="P68" s="5">
        <v>0</v>
      </c>
      <c r="Q68" s="5"/>
      <c r="R68" s="4">
        <f>IFERROR(VLOOKUP(A68,[1]Sheet!$A$1:$S$65536,19,0),0)</f>
        <v>5</v>
      </c>
      <c r="S68" s="5" t="s">
        <v>129</v>
      </c>
      <c r="T68" s="5" t="e">
        <f t="shared" ref="T68:T89" si="18">(F68+O68+Q68)/P68</f>
        <v>#DIV/0!</v>
      </c>
      <c r="U68" s="5" t="e">
        <f t="shared" ref="U68:U89" si="19">(F68+O68)/P68</f>
        <v>#DIV/0!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 t="str">
        <f>VLOOKUP(A68,[1]Sheet!$A$1:$I$65536,9,0)</f>
        <v>SU003333</v>
      </c>
      <c r="AE68" s="21">
        <f>AG68</f>
        <v>3</v>
      </c>
      <c r="AF68" s="5"/>
      <c r="AG68" s="19">
        <f>VLOOKUP(AD68,'[2]Бланк заказа'!$A:$Z,8,0)</f>
        <v>3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108</v>
      </c>
      <c r="B69" s="5" t="s">
        <v>45</v>
      </c>
      <c r="C69" s="5"/>
      <c r="D69" s="5"/>
      <c r="E69" s="5"/>
      <c r="F69" s="5"/>
      <c r="G69" s="8">
        <v>0.35</v>
      </c>
      <c r="H69" s="5"/>
      <c r="I69" s="5" t="s">
        <v>128</v>
      </c>
      <c r="J69" s="5"/>
      <c r="K69" s="5"/>
      <c r="L69" s="5"/>
      <c r="M69" s="5"/>
      <c r="N69" s="5"/>
      <c r="O69" s="5"/>
      <c r="P69" s="5">
        <v>0</v>
      </c>
      <c r="Q69" s="5"/>
      <c r="R69" s="4">
        <f>IFERROR(VLOOKUP(A69,[1]Sheet!$A$1:$S$65536,19,0),0)</f>
        <v>5</v>
      </c>
      <c r="S69" s="5" t="s">
        <v>129</v>
      </c>
      <c r="T69" s="5" t="e">
        <f t="shared" si="18"/>
        <v>#DIV/0!</v>
      </c>
      <c r="U69" s="5" t="e">
        <f t="shared" si="19"/>
        <v>#DIV/0!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 t="str">
        <f>VLOOKUP(A69,[1]Sheet!$A$1:$I$65536,9,0)</f>
        <v>SU002617</v>
      </c>
      <c r="AE69" s="21">
        <f t="shared" ref="AE69:AE89" si="20">AG69</f>
        <v>2.1</v>
      </c>
      <c r="AF69" s="5"/>
      <c r="AG69" s="19">
        <f>VLOOKUP(AD69,'[2]Бланк заказа'!$A:$Z,8,0)</f>
        <v>2.1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109</v>
      </c>
      <c r="B70" s="5" t="s">
        <v>45</v>
      </c>
      <c r="C70" s="5"/>
      <c r="D70" s="5"/>
      <c r="E70" s="5"/>
      <c r="F70" s="5"/>
      <c r="G70" s="8">
        <v>0.28000000000000003</v>
      </c>
      <c r="H70" s="5"/>
      <c r="I70" s="5" t="s">
        <v>128</v>
      </c>
      <c r="J70" s="5"/>
      <c r="K70" s="5"/>
      <c r="L70" s="5"/>
      <c r="M70" s="5"/>
      <c r="N70" s="5"/>
      <c r="O70" s="5"/>
      <c r="P70" s="5">
        <v>0</v>
      </c>
      <c r="Q70" s="5"/>
      <c r="R70" s="4">
        <f>IFERROR(VLOOKUP(A70,[1]Sheet!$A$1:$S$65536,19,0),0)</f>
        <v>5</v>
      </c>
      <c r="S70" s="5" t="s">
        <v>129</v>
      </c>
      <c r="T70" s="5" t="e">
        <f t="shared" si="18"/>
        <v>#DIV/0!</v>
      </c>
      <c r="U70" s="5" t="e">
        <f t="shared" si="19"/>
        <v>#DIV/0!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 t="str">
        <f>VLOOKUP(A70,[1]Sheet!$A$1:$I$65536,9,0)</f>
        <v>SU002252</v>
      </c>
      <c r="AE70" s="21">
        <f t="shared" si="20"/>
        <v>1.8</v>
      </c>
      <c r="AF70" s="5"/>
      <c r="AG70" s="19">
        <f>VLOOKUP(AD70,'[2]Бланк заказа'!$A:$Z,8,0)</f>
        <v>1.8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110</v>
      </c>
      <c r="B71" s="5" t="s">
        <v>34</v>
      </c>
      <c r="C71" s="5"/>
      <c r="D71" s="5"/>
      <c r="E71" s="5"/>
      <c r="F71" s="5"/>
      <c r="G71" s="8">
        <v>1</v>
      </c>
      <c r="H71" s="5"/>
      <c r="I71" s="5" t="s">
        <v>128</v>
      </c>
      <c r="J71" s="5"/>
      <c r="K71" s="5"/>
      <c r="L71" s="5"/>
      <c r="M71" s="5"/>
      <c r="N71" s="5"/>
      <c r="O71" s="5"/>
      <c r="P71" s="5">
        <v>0</v>
      </c>
      <c r="Q71" s="5"/>
      <c r="R71" s="4">
        <f>IFERROR(VLOOKUP(A71,[1]Sheet!$A$1:$S$65536,19,0),0)</f>
        <v>5</v>
      </c>
      <c r="S71" s="5" t="s">
        <v>129</v>
      </c>
      <c r="T71" s="5" t="e">
        <f t="shared" si="18"/>
        <v>#DIV/0!</v>
      </c>
      <c r="U71" s="5" t="e">
        <f t="shared" si="19"/>
        <v>#DIV/0!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 t="str">
        <f>VLOOKUP(A71,[1]Sheet!$A$1:$I$65536,9,0)</f>
        <v>SU001340</v>
      </c>
      <c r="AE71" s="21">
        <f t="shared" si="20"/>
        <v>7.8</v>
      </c>
      <c r="AF71" s="5"/>
      <c r="AG71" s="19">
        <f>VLOOKUP(AD71,'[2]Бланк заказа'!$A:$Z,8,0)</f>
        <v>7.8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111</v>
      </c>
      <c r="B72" s="5" t="s">
        <v>45</v>
      </c>
      <c r="C72" s="5"/>
      <c r="D72" s="5"/>
      <c r="E72" s="5"/>
      <c r="F72" s="5"/>
      <c r="G72" s="8">
        <v>0.4</v>
      </c>
      <c r="H72" s="5"/>
      <c r="I72" s="5" t="s">
        <v>128</v>
      </c>
      <c r="J72" s="5"/>
      <c r="K72" s="5"/>
      <c r="L72" s="5"/>
      <c r="M72" s="5"/>
      <c r="N72" s="5"/>
      <c r="O72" s="5"/>
      <c r="P72" s="5">
        <v>0</v>
      </c>
      <c r="Q72" s="5"/>
      <c r="R72" s="4">
        <f>IFERROR(VLOOKUP(A72,[1]Sheet!$A$1:$S$65536,19,0),0)</f>
        <v>5</v>
      </c>
      <c r="S72" s="5" t="s">
        <v>129</v>
      </c>
      <c r="T72" s="5" t="e">
        <f t="shared" si="18"/>
        <v>#DIV/0!</v>
      </c>
      <c r="U72" s="5" t="e">
        <f t="shared" si="19"/>
        <v>#DIV/0!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 t="str">
        <f>VLOOKUP(A72,[1]Sheet!$A$1:$I$65536,9,0)</f>
        <v>SU002844</v>
      </c>
      <c r="AE72" s="21">
        <f t="shared" si="20"/>
        <v>2.4</v>
      </c>
      <c r="AF72" s="5"/>
      <c r="AG72" s="19">
        <f>VLOOKUP(AD72,'[2]Бланк заказа'!$A:$Z,8,0)</f>
        <v>2.4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112</v>
      </c>
      <c r="B73" s="5" t="s">
        <v>34</v>
      </c>
      <c r="C73" s="5"/>
      <c r="D73" s="5"/>
      <c r="E73" s="5"/>
      <c r="F73" s="5"/>
      <c r="G73" s="8">
        <v>1</v>
      </c>
      <c r="H73" s="5"/>
      <c r="I73" s="5" t="s">
        <v>128</v>
      </c>
      <c r="J73" s="5"/>
      <c r="K73" s="5"/>
      <c r="L73" s="5"/>
      <c r="M73" s="5"/>
      <c r="N73" s="5"/>
      <c r="O73" s="5"/>
      <c r="P73" s="5">
        <v>0</v>
      </c>
      <c r="Q73" s="5"/>
      <c r="R73" s="4">
        <f>IFERROR(VLOOKUP(A73,[1]Sheet!$A$1:$S$65536,19,0),0)</f>
        <v>5</v>
      </c>
      <c r="S73" s="5" t="s">
        <v>129</v>
      </c>
      <c r="T73" s="5" t="e">
        <f t="shared" si="18"/>
        <v>#DIV/0!</v>
      </c>
      <c r="U73" s="5" t="e">
        <f t="shared" si="19"/>
        <v>#DIV/0!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 t="str">
        <f>VLOOKUP(A73,[1]Sheet!$A$1:$I$65536,9,0)</f>
        <v>SU002201</v>
      </c>
      <c r="AE73" s="21">
        <f t="shared" si="20"/>
        <v>10.8</v>
      </c>
      <c r="AF73" s="5"/>
      <c r="AG73" s="19">
        <f>VLOOKUP(AD73,'[2]Бланк заказа'!$A:$Z,8,0)</f>
        <v>10.8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24" t="s">
        <v>113</v>
      </c>
      <c r="B74" s="24" t="s">
        <v>34</v>
      </c>
      <c r="C74" s="24"/>
      <c r="D74" s="24"/>
      <c r="E74" s="24"/>
      <c r="F74" s="24"/>
      <c r="G74" s="25">
        <v>1</v>
      </c>
      <c r="H74" s="24"/>
      <c r="I74" s="24" t="s">
        <v>130</v>
      </c>
      <c r="J74" s="24"/>
      <c r="K74" s="24"/>
      <c r="L74" s="24"/>
      <c r="M74" s="24"/>
      <c r="N74" s="24"/>
      <c r="O74" s="24"/>
      <c r="P74" s="24">
        <v>0</v>
      </c>
      <c r="Q74" s="24"/>
      <c r="R74" s="26">
        <f>IFERROR(VLOOKUP(A74,[1]Sheet!$A$1:$S$65536,19,0),0)</f>
        <v>5</v>
      </c>
      <c r="S74" s="24" t="s">
        <v>129</v>
      </c>
      <c r="T74" s="24" t="e">
        <f t="shared" si="18"/>
        <v>#DIV/0!</v>
      </c>
      <c r="U74" s="24" t="e">
        <f t="shared" si="19"/>
        <v>#DIV/0!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 t="str">
        <f>VLOOKUP(A74,[1]Sheet!$A$1:$I$65536,9,0)</f>
        <v>SU003391</v>
      </c>
      <c r="AE74" s="27">
        <v>0</v>
      </c>
      <c r="AF74" s="5"/>
      <c r="AG74" s="19">
        <f>VLOOKUP(AD74,'[2]Бланк заказа'!$A:$Z,8,0)</f>
        <v>10.8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114</v>
      </c>
      <c r="B75" s="5" t="s">
        <v>45</v>
      </c>
      <c r="C75" s="5"/>
      <c r="D75" s="5"/>
      <c r="E75" s="5"/>
      <c r="F75" s="5"/>
      <c r="G75" s="8">
        <v>0.4</v>
      </c>
      <c r="H75" s="5"/>
      <c r="I75" s="5" t="s">
        <v>128</v>
      </c>
      <c r="J75" s="5"/>
      <c r="K75" s="5"/>
      <c r="L75" s="5"/>
      <c r="M75" s="5"/>
      <c r="N75" s="5"/>
      <c r="O75" s="5"/>
      <c r="P75" s="5">
        <v>0</v>
      </c>
      <c r="Q75" s="5"/>
      <c r="R75" s="4">
        <f>IFERROR(VLOOKUP(A75,[1]Sheet!$A$1:$S$65536,19,0),0)</f>
        <v>5</v>
      </c>
      <c r="S75" s="5" t="s">
        <v>129</v>
      </c>
      <c r="T75" s="5" t="e">
        <f t="shared" si="18"/>
        <v>#DIV/0!</v>
      </c>
      <c r="U75" s="5" t="e">
        <f t="shared" si="19"/>
        <v>#DIV/0!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 t="str">
        <f>VLOOKUP(A75,[1]Sheet!$A$1:$I$65536,9,0)</f>
        <v>SU002799</v>
      </c>
      <c r="AE75" s="21">
        <f t="shared" si="20"/>
        <v>2.4</v>
      </c>
      <c r="AF75" s="5"/>
      <c r="AG75" s="19">
        <f>VLOOKUP(AD75,'[2]Бланк заказа'!$A:$Z,8,0)</f>
        <v>2.4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115</v>
      </c>
      <c r="B76" s="5" t="s">
        <v>45</v>
      </c>
      <c r="C76" s="5"/>
      <c r="D76" s="5"/>
      <c r="E76" s="5"/>
      <c r="F76" s="5"/>
      <c r="G76" s="8">
        <v>0.6</v>
      </c>
      <c r="H76" s="5"/>
      <c r="I76" s="5" t="s">
        <v>128</v>
      </c>
      <c r="J76" s="5"/>
      <c r="K76" s="5"/>
      <c r="L76" s="5"/>
      <c r="M76" s="5"/>
      <c r="N76" s="5"/>
      <c r="O76" s="5"/>
      <c r="P76" s="5">
        <v>0</v>
      </c>
      <c r="Q76" s="5"/>
      <c r="R76" s="4">
        <f>IFERROR(VLOOKUP(A76,[1]Sheet!$A$1:$S$65536,19,0),0)</f>
        <v>5</v>
      </c>
      <c r="S76" s="5" t="s">
        <v>129</v>
      </c>
      <c r="T76" s="5" t="e">
        <f t="shared" si="18"/>
        <v>#DIV/0!</v>
      </c>
      <c r="U76" s="5" t="e">
        <f t="shared" si="19"/>
        <v>#DIV/0!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 t="str">
        <f>VLOOKUP(A76,[1]Sheet!$A$1:$I$65536,9,0)</f>
        <v>SU003340</v>
      </c>
      <c r="AE76" s="21">
        <f t="shared" si="20"/>
        <v>3.6</v>
      </c>
      <c r="AF76" s="5"/>
      <c r="AG76" s="19">
        <f>VLOOKUP(AD76,'[2]Бланк заказа'!$A:$Z,8,0)</f>
        <v>3.6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116</v>
      </c>
      <c r="B77" s="5" t="s">
        <v>34</v>
      </c>
      <c r="C77" s="5"/>
      <c r="D77" s="5"/>
      <c r="E77" s="5"/>
      <c r="F77" s="5"/>
      <c r="G77" s="8">
        <v>1</v>
      </c>
      <c r="H77" s="5"/>
      <c r="I77" s="5" t="s">
        <v>128</v>
      </c>
      <c r="J77" s="5"/>
      <c r="K77" s="5"/>
      <c r="L77" s="5"/>
      <c r="M77" s="5"/>
      <c r="N77" s="5"/>
      <c r="O77" s="5"/>
      <c r="P77" s="5">
        <v>0</v>
      </c>
      <c r="Q77" s="5"/>
      <c r="R77" s="4">
        <f>IFERROR(VLOOKUP(A77,[1]Sheet!$A$1:$S$65536,19,0),0)</f>
        <v>5</v>
      </c>
      <c r="S77" s="5" t="s">
        <v>129</v>
      </c>
      <c r="T77" s="5" t="e">
        <f t="shared" si="18"/>
        <v>#DIV/0!</v>
      </c>
      <c r="U77" s="5" t="e">
        <f t="shared" si="19"/>
        <v>#DIV/0!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 t="str">
        <f>VLOOKUP(A77,[1]Sheet!$A$1:$I$65536,9,0)</f>
        <v>SU001820</v>
      </c>
      <c r="AE77" s="21">
        <f t="shared" si="20"/>
        <v>4.2</v>
      </c>
      <c r="AF77" s="5"/>
      <c r="AG77" s="19">
        <f>VLOOKUP(AD77,'[2]Бланк заказа'!$A:$Z,8,0)</f>
        <v>4.2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117</v>
      </c>
      <c r="B78" s="5" t="s">
        <v>34</v>
      </c>
      <c r="C78" s="5"/>
      <c r="D78" s="5"/>
      <c r="E78" s="5"/>
      <c r="F78" s="5"/>
      <c r="G78" s="8">
        <v>1</v>
      </c>
      <c r="H78" s="5"/>
      <c r="I78" s="5" t="s">
        <v>128</v>
      </c>
      <c r="J78" s="5"/>
      <c r="K78" s="5"/>
      <c r="L78" s="5"/>
      <c r="M78" s="5"/>
      <c r="N78" s="5"/>
      <c r="O78" s="5"/>
      <c r="P78" s="5">
        <v>0</v>
      </c>
      <c r="Q78" s="5"/>
      <c r="R78" s="4">
        <f>IFERROR(VLOOKUP(A78,[1]Sheet!$A$1:$S$65536,19,0),0)</f>
        <v>5</v>
      </c>
      <c r="S78" s="5" t="s">
        <v>129</v>
      </c>
      <c r="T78" s="5" t="e">
        <f t="shared" si="18"/>
        <v>#DIV/0!</v>
      </c>
      <c r="U78" s="5" t="e">
        <f t="shared" si="19"/>
        <v>#DIV/0!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 t="str">
        <f>VLOOKUP(A78,[1]Sheet!$A$1:$I$65536,9,0)</f>
        <v>SU001430</v>
      </c>
      <c r="AE78" s="21">
        <f t="shared" si="20"/>
        <v>8.4</v>
      </c>
      <c r="AF78" s="5"/>
      <c r="AG78" s="19">
        <f>VLOOKUP(AD78,'[2]Бланк заказа'!$A:$Z,8,0)</f>
        <v>8.4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118</v>
      </c>
      <c r="B79" s="5" t="s">
        <v>34</v>
      </c>
      <c r="C79" s="5"/>
      <c r="D79" s="5"/>
      <c r="E79" s="5"/>
      <c r="F79" s="5"/>
      <c r="G79" s="8">
        <v>1</v>
      </c>
      <c r="H79" s="5"/>
      <c r="I79" s="5" t="s">
        <v>128</v>
      </c>
      <c r="J79" s="5"/>
      <c r="K79" s="5"/>
      <c r="L79" s="5"/>
      <c r="M79" s="5"/>
      <c r="N79" s="5"/>
      <c r="O79" s="5"/>
      <c r="P79" s="5">
        <v>0</v>
      </c>
      <c r="Q79" s="5"/>
      <c r="R79" s="4">
        <f>IFERROR(VLOOKUP(A79,[1]Sheet!$A$1:$S$65536,19,0),0)</f>
        <v>5</v>
      </c>
      <c r="S79" s="5" t="s">
        <v>129</v>
      </c>
      <c r="T79" s="5" t="e">
        <f t="shared" si="18"/>
        <v>#DIV/0!</v>
      </c>
      <c r="U79" s="5" t="e">
        <f t="shared" si="19"/>
        <v>#DIV/0!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 t="str">
        <f>VLOOKUP(A79,[1]Sheet!$A$1:$I$65536,9,0)</f>
        <v>SU000227</v>
      </c>
      <c r="AE79" s="21">
        <f t="shared" si="20"/>
        <v>7.8</v>
      </c>
      <c r="AF79" s="5"/>
      <c r="AG79" s="19">
        <f>VLOOKUP(AD79,'[2]Бланк заказа'!$A:$Z,8,0)</f>
        <v>7.8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119</v>
      </c>
      <c r="B80" s="5" t="s">
        <v>34</v>
      </c>
      <c r="C80" s="5"/>
      <c r="D80" s="5"/>
      <c r="E80" s="5"/>
      <c r="F80" s="5"/>
      <c r="G80" s="8">
        <v>1</v>
      </c>
      <c r="H80" s="5"/>
      <c r="I80" s="5" t="s">
        <v>39</v>
      </c>
      <c r="J80" s="5"/>
      <c r="K80" s="5"/>
      <c r="L80" s="5"/>
      <c r="M80" s="5"/>
      <c r="N80" s="5"/>
      <c r="O80" s="5"/>
      <c r="P80" s="5">
        <v>0</v>
      </c>
      <c r="Q80" s="5"/>
      <c r="R80" s="4">
        <f>IFERROR(VLOOKUP(A80,[1]Sheet!$A$1:$S$65536,19,0),0)</f>
        <v>5</v>
      </c>
      <c r="S80" s="5" t="s">
        <v>129</v>
      </c>
      <c r="T80" s="5" t="e">
        <f t="shared" si="18"/>
        <v>#DIV/0!</v>
      </c>
      <c r="U80" s="5" t="e">
        <f t="shared" si="19"/>
        <v>#DIV/0!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18" t="str">
        <f>VLOOKUP(A80,[1]Sheet!$A$1:$I$65536,9,0)</f>
        <v>P004406</v>
      </c>
      <c r="AE80" s="21"/>
      <c r="AF80" s="5"/>
      <c r="AG80" s="19" t="e">
        <f>VLOOKUP(AD80,'[2]Бланк заказа'!$B:$Z,7,0)</f>
        <v>#N/A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120</v>
      </c>
      <c r="B81" s="5" t="s">
        <v>45</v>
      </c>
      <c r="C81" s="5"/>
      <c r="D81" s="5"/>
      <c r="E81" s="5"/>
      <c r="F81" s="5"/>
      <c r="G81" s="8">
        <v>0.28000000000000003</v>
      </c>
      <c r="H81" s="5"/>
      <c r="I81" s="5" t="s">
        <v>128</v>
      </c>
      <c r="J81" s="5"/>
      <c r="K81" s="5"/>
      <c r="L81" s="5"/>
      <c r="M81" s="5"/>
      <c r="N81" s="5"/>
      <c r="O81" s="5"/>
      <c r="P81" s="5">
        <v>0</v>
      </c>
      <c r="Q81" s="5"/>
      <c r="R81" s="4">
        <f>IFERROR(VLOOKUP(A81,[1]Sheet!$A$1:$S$65536,19,0),0)</f>
        <v>5</v>
      </c>
      <c r="S81" s="5" t="s">
        <v>129</v>
      </c>
      <c r="T81" s="5" t="e">
        <f t="shared" si="18"/>
        <v>#DIV/0!</v>
      </c>
      <c r="U81" s="5" t="e">
        <f t="shared" si="19"/>
        <v>#DIV/0!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 t="str">
        <f>VLOOKUP(A81,[1]Sheet!$A$1:$I$65536,9,0)</f>
        <v>SU003046</v>
      </c>
      <c r="AE81" s="21">
        <f t="shared" si="20"/>
        <v>1.68</v>
      </c>
      <c r="AF81" s="5"/>
      <c r="AG81" s="19">
        <f>VLOOKUP(AD81,'[2]Бланк заказа'!$A:$Z,8,0)</f>
        <v>1.68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121</v>
      </c>
      <c r="B82" s="5" t="s">
        <v>45</v>
      </c>
      <c r="C82" s="5"/>
      <c r="D82" s="5"/>
      <c r="E82" s="5"/>
      <c r="F82" s="5"/>
      <c r="G82" s="8">
        <v>0.6</v>
      </c>
      <c r="H82" s="5"/>
      <c r="I82" s="5" t="s">
        <v>128</v>
      </c>
      <c r="J82" s="5"/>
      <c r="K82" s="5"/>
      <c r="L82" s="5"/>
      <c r="M82" s="5"/>
      <c r="N82" s="5"/>
      <c r="O82" s="5"/>
      <c r="P82" s="5">
        <v>0</v>
      </c>
      <c r="Q82" s="5"/>
      <c r="R82" s="4">
        <f>IFERROR(VLOOKUP(A82,[1]Sheet!$A$1:$S$65536,19,0),0)</f>
        <v>5</v>
      </c>
      <c r="S82" s="5" t="s">
        <v>129</v>
      </c>
      <c r="T82" s="5" t="e">
        <f t="shared" si="18"/>
        <v>#DIV/0!</v>
      </c>
      <c r="U82" s="5" t="e">
        <f t="shared" si="19"/>
        <v>#DIV/0!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 t="str">
        <f>VLOOKUP(A82,[1]Sheet!$A$1:$I$65536,9,0)</f>
        <v>SU002674</v>
      </c>
      <c r="AE82" s="21">
        <f t="shared" si="20"/>
        <v>4.8</v>
      </c>
      <c r="AF82" s="5"/>
      <c r="AG82" s="19">
        <f>VLOOKUP(AD82,'[2]Бланк заказа'!$A:$Z,8,0)</f>
        <v>4.8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122</v>
      </c>
      <c r="B83" s="5" t="s">
        <v>45</v>
      </c>
      <c r="C83" s="5"/>
      <c r="D83" s="5"/>
      <c r="E83" s="5"/>
      <c r="F83" s="5"/>
      <c r="G83" s="8">
        <v>0.45</v>
      </c>
      <c r="H83" s="5"/>
      <c r="I83" s="5" t="s">
        <v>128</v>
      </c>
      <c r="J83" s="5"/>
      <c r="K83" s="5"/>
      <c r="L83" s="5"/>
      <c r="M83" s="5"/>
      <c r="N83" s="5"/>
      <c r="O83" s="5"/>
      <c r="P83" s="5">
        <v>0</v>
      </c>
      <c r="Q83" s="5"/>
      <c r="R83" s="4">
        <f>IFERROR(VLOOKUP(A83,[1]Sheet!$A$1:$S$65536,19,0),0)</f>
        <v>5</v>
      </c>
      <c r="S83" s="5" t="s">
        <v>129</v>
      </c>
      <c r="T83" s="5" t="e">
        <f t="shared" si="18"/>
        <v>#DIV/0!</v>
      </c>
      <c r="U83" s="5" t="e">
        <f t="shared" si="19"/>
        <v>#DIV/0!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 t="str">
        <f>VLOOKUP(A83,[1]Sheet!$A$1:$I$65536,9,0)</f>
        <v>SU001718</v>
      </c>
      <c r="AE83" s="21">
        <f t="shared" si="20"/>
        <v>2.7</v>
      </c>
      <c r="AF83" s="5"/>
      <c r="AG83" s="19">
        <f>VLOOKUP(AD83,'[2]Бланк заказа'!$A:$Z,8,0)</f>
        <v>2.7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123</v>
      </c>
      <c r="B84" s="5" t="s">
        <v>45</v>
      </c>
      <c r="C84" s="5"/>
      <c r="D84" s="5"/>
      <c r="E84" s="5"/>
      <c r="F84" s="5"/>
      <c r="G84" s="8">
        <v>0.75</v>
      </c>
      <c r="H84" s="5"/>
      <c r="I84" s="5" t="s">
        <v>128</v>
      </c>
      <c r="J84" s="5"/>
      <c r="K84" s="5"/>
      <c r="L84" s="5"/>
      <c r="M84" s="5"/>
      <c r="N84" s="5"/>
      <c r="O84" s="5"/>
      <c r="P84" s="5">
        <v>0</v>
      </c>
      <c r="Q84" s="5"/>
      <c r="R84" s="4">
        <f>IFERROR(VLOOKUP(A84,[1]Sheet!$A$1:$S$65536,19,0),0)</f>
        <v>5</v>
      </c>
      <c r="S84" s="5" t="s">
        <v>129</v>
      </c>
      <c r="T84" s="5" t="e">
        <f t="shared" si="18"/>
        <v>#DIV/0!</v>
      </c>
      <c r="U84" s="5" t="e">
        <f t="shared" si="19"/>
        <v>#DIV/0!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 t="str">
        <f>VLOOKUP(A84,[1]Sheet!$A$1:$I$65536,9,0)</f>
        <v>SU002827</v>
      </c>
      <c r="AE84" s="21">
        <f t="shared" si="20"/>
        <v>4.5</v>
      </c>
      <c r="AF84" s="5"/>
      <c r="AG84" s="19">
        <f>VLOOKUP(AD84,'[2]Бланк заказа'!$A:$Z,8,0)</f>
        <v>4.5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124</v>
      </c>
      <c r="B85" s="5" t="s">
        <v>45</v>
      </c>
      <c r="C85" s="5"/>
      <c r="D85" s="5"/>
      <c r="E85" s="5"/>
      <c r="F85" s="5"/>
      <c r="G85" s="8">
        <v>0.33</v>
      </c>
      <c r="H85" s="5"/>
      <c r="I85" s="5" t="s">
        <v>128</v>
      </c>
      <c r="J85" s="5"/>
      <c r="K85" s="5"/>
      <c r="L85" s="5"/>
      <c r="M85" s="5"/>
      <c r="N85" s="5"/>
      <c r="O85" s="5"/>
      <c r="P85" s="5">
        <v>0</v>
      </c>
      <c r="Q85" s="5"/>
      <c r="R85" s="4">
        <f>IFERROR(VLOOKUP(A85,[1]Sheet!$A$1:$S$65536,19,0),0)</f>
        <v>5</v>
      </c>
      <c r="S85" s="5" t="s">
        <v>129</v>
      </c>
      <c r="T85" s="5" t="e">
        <f t="shared" si="18"/>
        <v>#DIV/0!</v>
      </c>
      <c r="U85" s="5" t="e">
        <f t="shared" si="19"/>
        <v>#DIV/0!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 t="str">
        <f>VLOOKUP(A85,[1]Sheet!$A$1:$I$65536,9,0)</f>
        <v>SU002367</v>
      </c>
      <c r="AE85" s="21">
        <f t="shared" si="20"/>
        <v>1.98</v>
      </c>
      <c r="AF85" s="5"/>
      <c r="AG85" s="19">
        <f>VLOOKUP(AD85,'[2]Бланк заказа'!$A:$Z,8,0)</f>
        <v>1.98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18" t="s">
        <v>125</v>
      </c>
      <c r="B86" s="18" t="s">
        <v>45</v>
      </c>
      <c r="C86" s="18"/>
      <c r="D86" s="18"/>
      <c r="E86" s="18"/>
      <c r="F86" s="18"/>
      <c r="G86" s="22">
        <v>0.33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>
        <v>0</v>
      </c>
      <c r="Q86" s="18"/>
      <c r="R86" s="23">
        <f>IFERROR(VLOOKUP(A86,[1]Sheet!$A$1:$S$65536,19,0),0)</f>
        <v>5</v>
      </c>
      <c r="S86" s="18" t="s">
        <v>129</v>
      </c>
      <c r="T86" s="18" t="e">
        <f t="shared" si="18"/>
        <v>#DIV/0!</v>
      </c>
      <c r="U86" s="18" t="e">
        <f t="shared" si="19"/>
        <v>#DIV/0!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 t="s">
        <v>130</v>
      </c>
      <c r="AE86" s="21"/>
      <c r="AF86" s="5"/>
      <c r="AG86" s="19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28" t="s">
        <v>113</v>
      </c>
      <c r="B87" s="28" t="s">
        <v>34</v>
      </c>
      <c r="C87" s="28"/>
      <c r="D87" s="28"/>
      <c r="E87" s="28"/>
      <c r="F87" s="28"/>
      <c r="G87" s="29">
        <v>1</v>
      </c>
      <c r="H87" s="28"/>
      <c r="I87" s="28" t="s">
        <v>128</v>
      </c>
      <c r="J87" s="28"/>
      <c r="K87" s="28"/>
      <c r="L87" s="28"/>
      <c r="M87" s="28"/>
      <c r="N87" s="28"/>
      <c r="O87" s="28"/>
      <c r="P87" s="28">
        <v>0</v>
      </c>
      <c r="Q87" s="28"/>
      <c r="R87" s="30">
        <f>IFERROR(VLOOKUP(A87,[1]Sheet!$A$1:$S$65536,19,0),0)</f>
        <v>5</v>
      </c>
      <c r="S87" s="28" t="s">
        <v>129</v>
      </c>
      <c r="T87" s="28" t="e">
        <f t="shared" si="18"/>
        <v>#DIV/0!</v>
      </c>
      <c r="U87" s="28" t="e">
        <f t="shared" si="19"/>
        <v>#DIV/0!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 t="str">
        <f>VLOOKUP(A87,[1]Sheet!$A$1:$I$65536,9,0)</f>
        <v>SU003391</v>
      </c>
      <c r="AE87" s="21">
        <f t="shared" si="20"/>
        <v>10.8</v>
      </c>
      <c r="AF87" s="5"/>
      <c r="AG87" s="19">
        <f>VLOOKUP(AD87,'[2]Бланк заказа'!$A:$Z,8,0)</f>
        <v>10.8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126</v>
      </c>
      <c r="B88" s="5" t="s">
        <v>34</v>
      </c>
      <c r="C88" s="5"/>
      <c r="D88" s="5"/>
      <c r="E88" s="5"/>
      <c r="F88" s="5"/>
      <c r="G88" s="8">
        <v>1</v>
      </c>
      <c r="H88" s="5"/>
      <c r="I88" s="5" t="s">
        <v>128</v>
      </c>
      <c r="J88" s="5"/>
      <c r="K88" s="5"/>
      <c r="L88" s="5"/>
      <c r="M88" s="5"/>
      <c r="N88" s="5"/>
      <c r="O88" s="5"/>
      <c r="P88" s="5">
        <v>0</v>
      </c>
      <c r="Q88" s="5"/>
      <c r="R88" s="4">
        <f>IFERROR(VLOOKUP(A88,[1]Sheet!$A$1:$S$65536,19,0),0)</f>
        <v>5</v>
      </c>
      <c r="S88" s="5" t="s">
        <v>129</v>
      </c>
      <c r="T88" s="5" t="e">
        <f t="shared" si="18"/>
        <v>#DIV/0!</v>
      </c>
      <c r="U88" s="5" t="e">
        <f t="shared" si="19"/>
        <v>#DIV/0!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 t="str">
        <f>VLOOKUP(A88,[1]Sheet!$A$1:$I$65536,9,0)</f>
        <v>SU002614</v>
      </c>
      <c r="AE88" s="21">
        <f t="shared" si="20"/>
        <v>5.4</v>
      </c>
      <c r="AF88" s="5"/>
      <c r="AG88" s="19">
        <f>VLOOKUP(AD88,'[2]Бланк заказа'!$A:$Z,8,0)</f>
        <v>5.4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127</v>
      </c>
      <c r="B89" s="5" t="s">
        <v>45</v>
      </c>
      <c r="C89" s="5"/>
      <c r="D89" s="5"/>
      <c r="E89" s="5"/>
      <c r="F89" s="5"/>
      <c r="G89" s="8">
        <v>0.35</v>
      </c>
      <c r="H89" s="5"/>
      <c r="I89" s="5" t="s">
        <v>128</v>
      </c>
      <c r="J89" s="5"/>
      <c r="K89" s="5"/>
      <c r="L89" s="5"/>
      <c r="M89" s="5"/>
      <c r="N89" s="5"/>
      <c r="O89" s="5"/>
      <c r="P89" s="5">
        <v>0</v>
      </c>
      <c r="Q89" s="5"/>
      <c r="R89" s="4">
        <f>IFERROR(VLOOKUP(A89,[1]Sheet!$A$1:$S$65536,19,0),0)</f>
        <v>5</v>
      </c>
      <c r="S89" s="5" t="s">
        <v>129</v>
      </c>
      <c r="T89" s="5" t="e">
        <f t="shared" si="18"/>
        <v>#DIV/0!</v>
      </c>
      <c r="U89" s="5" t="e">
        <f t="shared" si="19"/>
        <v>#DIV/0!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 t="str">
        <f>VLOOKUP(A89,[1]Sheet!$A$1:$I$65536,9,0)</f>
        <v>SU002606</v>
      </c>
      <c r="AE89" s="21">
        <f t="shared" si="20"/>
        <v>2.1</v>
      </c>
      <c r="AF89" s="5"/>
      <c r="AG89" s="19">
        <f>VLOOKUP(AD89,'[2]Бланк заказа'!$A:$Z,8,0)</f>
        <v>2.1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19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19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19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19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19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19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19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19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19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19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19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19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19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19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19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19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19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19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19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19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19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19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19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19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19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19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19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19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19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19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19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19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19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19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19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19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19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19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19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19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19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19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19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19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19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19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19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19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19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19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19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19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19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19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19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19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19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19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19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19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19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19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19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19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19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19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19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19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19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19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19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19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19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19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19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19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19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19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19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19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19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19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19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19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19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19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19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19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19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19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19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19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19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19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19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19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19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19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19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19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19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19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19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19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19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19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19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19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19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19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19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19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19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19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19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19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19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19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19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19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19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19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19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19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19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19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19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19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19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19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19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19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19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19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19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19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19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19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19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19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19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19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19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19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19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19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19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19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19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19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19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19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19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19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19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19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19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19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19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19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19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19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19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19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19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19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19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19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19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19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19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19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19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19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19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19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19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19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19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19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19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19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19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19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19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19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19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19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19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19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19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19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19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19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19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19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19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19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19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19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19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19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19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19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19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19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19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19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19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19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19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19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19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19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19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19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19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19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19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19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19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19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19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19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19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19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19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19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19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19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19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19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19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19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19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19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19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19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19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19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19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19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19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19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19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19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19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19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19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19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19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19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19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19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19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19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19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19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19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19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19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19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19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19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19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19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19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19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19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19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19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19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19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19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19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19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19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19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19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19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19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19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19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19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19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19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19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19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19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19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19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19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19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19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19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19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19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19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19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19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19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19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19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19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19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19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19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19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19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19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19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19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19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19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19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19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19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19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19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19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19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19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19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19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19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19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19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19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19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19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19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19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19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19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19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19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19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19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19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19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19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19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19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19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19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19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19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19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19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19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19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19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19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19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19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19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19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19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19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19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19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19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19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19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19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19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19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19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19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19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19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19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19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19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19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19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19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19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19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19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19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19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19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19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19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19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19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19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19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19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19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19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19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</sheetData>
  <autoFilter ref="A3:AE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2025-12-22T13:13:20Z</dcterms:created>
  <dcterms:modified xsi:type="dcterms:W3CDTF">2025-12-25T09:03:45Z</dcterms:modified>
</cp:coreProperties>
</file>