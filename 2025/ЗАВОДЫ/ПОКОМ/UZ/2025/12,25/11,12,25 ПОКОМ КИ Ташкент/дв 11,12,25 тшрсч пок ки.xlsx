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"/>
    </mc:Choice>
  </mc:AlternateContent>
  <xr:revisionPtr revIDLastSave="0" documentId="13_ncr:1_{C0737C4C-2E30-43E7-AF7D-C9FDBFAF19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7" i="1" l="1"/>
  <c r="AF11" i="1"/>
  <c r="Q69" i="1"/>
  <c r="V69" i="1" s="1"/>
  <c r="L69" i="1"/>
  <c r="Q68" i="1"/>
  <c r="V68" i="1" s="1"/>
  <c r="L68" i="1"/>
  <c r="Q67" i="1"/>
  <c r="V67" i="1" s="1"/>
  <c r="L67" i="1"/>
  <c r="Q66" i="1"/>
  <c r="V66" i="1" s="1"/>
  <c r="L66" i="1"/>
  <c r="Q65" i="1"/>
  <c r="V65" i="1" s="1"/>
  <c r="L65" i="1"/>
  <c r="Q64" i="1"/>
  <c r="V64" i="1" s="1"/>
  <c r="L64" i="1"/>
  <c r="Q63" i="1"/>
  <c r="V63" i="1" s="1"/>
  <c r="L63" i="1"/>
  <c r="Q62" i="1"/>
  <c r="V62" i="1" s="1"/>
  <c r="L62" i="1"/>
  <c r="Q61" i="1"/>
  <c r="V61" i="1" s="1"/>
  <c r="L61" i="1"/>
  <c r="Q60" i="1"/>
  <c r="V60" i="1" s="1"/>
  <c r="L60" i="1"/>
  <c r="Q59" i="1"/>
  <c r="V59" i="1" s="1"/>
  <c r="L59" i="1"/>
  <c r="Q58" i="1"/>
  <c r="V58" i="1" s="1"/>
  <c r="L58" i="1"/>
  <c r="Q57" i="1"/>
  <c r="V57" i="1" s="1"/>
  <c r="L57" i="1"/>
  <c r="Q56" i="1"/>
  <c r="V56" i="1" s="1"/>
  <c r="L56" i="1"/>
  <c r="Q55" i="1"/>
  <c r="V55" i="1" s="1"/>
  <c r="L55" i="1"/>
  <c r="Q54" i="1"/>
  <c r="V54" i="1" s="1"/>
  <c r="L54" i="1"/>
  <c r="Q53" i="1"/>
  <c r="V53" i="1" s="1"/>
  <c r="L53" i="1"/>
  <c r="Q52" i="1"/>
  <c r="V52" i="1" s="1"/>
  <c r="L52" i="1"/>
  <c r="F51" i="1"/>
  <c r="E51" i="1"/>
  <c r="L51" i="1" s="1"/>
  <c r="AF50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AF45" i="1" s="1"/>
  <c r="L45" i="1"/>
  <c r="F44" i="1"/>
  <c r="E44" i="1"/>
  <c r="Q44" i="1" s="1"/>
  <c r="F43" i="1"/>
  <c r="E43" i="1"/>
  <c r="L43" i="1" s="1"/>
  <c r="Q42" i="1"/>
  <c r="V42" i="1" s="1"/>
  <c r="L42" i="1"/>
  <c r="Q41" i="1"/>
  <c r="V41" i="1" s="1"/>
  <c r="L41" i="1"/>
  <c r="F40" i="1"/>
  <c r="E40" i="1"/>
  <c r="L40" i="1" s="1"/>
  <c r="Q39" i="1"/>
  <c r="V39" i="1" s="1"/>
  <c r="L39" i="1"/>
  <c r="Q38" i="1"/>
  <c r="V38" i="1" s="1"/>
  <c r="L38" i="1"/>
  <c r="Q37" i="1"/>
  <c r="L37" i="1"/>
  <c r="F36" i="1"/>
  <c r="E36" i="1"/>
  <c r="Q36" i="1" s="1"/>
  <c r="F35" i="1"/>
  <c r="E35" i="1"/>
  <c r="L35" i="1" s="1"/>
  <c r="F34" i="1"/>
  <c r="E34" i="1"/>
  <c r="Q34" i="1" s="1"/>
  <c r="F33" i="1"/>
  <c r="E33" i="1"/>
  <c r="L33" i="1" s="1"/>
  <c r="Q32" i="1"/>
  <c r="L32" i="1"/>
  <c r="F32" i="1"/>
  <c r="V32" i="1" s="1"/>
  <c r="F31" i="1"/>
  <c r="E31" i="1"/>
  <c r="Q31" i="1" s="1"/>
  <c r="AF30" i="1"/>
  <c r="Q30" i="1"/>
  <c r="L30" i="1"/>
  <c r="Q29" i="1"/>
  <c r="V29" i="1" s="1"/>
  <c r="L29" i="1"/>
  <c r="F28" i="1"/>
  <c r="E28" i="1"/>
  <c r="L28" i="1" s="1"/>
  <c r="Q27" i="1"/>
  <c r="V27" i="1" s="1"/>
  <c r="L27" i="1"/>
  <c r="Q26" i="1"/>
  <c r="V26" i="1" s="1"/>
  <c r="L26" i="1"/>
  <c r="Q25" i="1"/>
  <c r="V25" i="1" s="1"/>
  <c r="L25" i="1"/>
  <c r="F24" i="1"/>
  <c r="E24" i="1"/>
  <c r="L24" i="1" s="1"/>
  <c r="Q23" i="1"/>
  <c r="V23" i="1" s="1"/>
  <c r="L23" i="1"/>
  <c r="F22" i="1"/>
  <c r="E22" i="1"/>
  <c r="L22" i="1" s="1"/>
  <c r="F21" i="1"/>
  <c r="E21" i="1"/>
  <c r="Q21" i="1" s="1"/>
  <c r="Q20" i="1"/>
  <c r="V20" i="1" s="1"/>
  <c r="L20" i="1"/>
  <c r="Q19" i="1"/>
  <c r="L19" i="1"/>
  <c r="Q18" i="1"/>
  <c r="V18" i="1" s="1"/>
  <c r="L18" i="1"/>
  <c r="Q17" i="1"/>
  <c r="L17" i="1"/>
  <c r="Q16" i="1"/>
  <c r="V16" i="1" s="1"/>
  <c r="L16" i="1"/>
  <c r="Q15" i="1"/>
  <c r="L15" i="1"/>
  <c r="F14" i="1"/>
  <c r="E14" i="1"/>
  <c r="F13" i="1"/>
  <c r="E13" i="1"/>
  <c r="L13" i="1" s="1"/>
  <c r="Q12" i="1"/>
  <c r="V12" i="1" s="1"/>
  <c r="L12" i="1"/>
  <c r="Q11" i="1"/>
  <c r="V11" i="1" s="1"/>
  <c r="L11" i="1"/>
  <c r="Q10" i="1"/>
  <c r="V10" i="1" s="1"/>
  <c r="L10" i="1"/>
  <c r="Q9" i="1"/>
  <c r="V9" i="1" s="1"/>
  <c r="L9" i="1"/>
  <c r="Q8" i="1"/>
  <c r="AF8" i="1" s="1"/>
  <c r="L8" i="1"/>
  <c r="Q7" i="1"/>
  <c r="V7" i="1" s="1"/>
  <c r="L7" i="1"/>
  <c r="Q6" i="1"/>
  <c r="R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1" i="1" l="1"/>
  <c r="AF21" i="1" s="1"/>
  <c r="U62" i="1"/>
  <c r="R46" i="1"/>
  <c r="AF46" i="1"/>
  <c r="R31" i="1"/>
  <c r="AF31" i="1" s="1"/>
  <c r="R34" i="1"/>
  <c r="AF34" i="1" s="1"/>
  <c r="R36" i="1"/>
  <c r="AF36" i="1" s="1"/>
  <c r="V44" i="1"/>
  <c r="U54" i="1"/>
  <c r="R42" i="1"/>
  <c r="AF42" i="1" s="1"/>
  <c r="U50" i="1"/>
  <c r="U32" i="1"/>
  <c r="AF32" i="1"/>
  <c r="AF6" i="1"/>
  <c r="U15" i="1"/>
  <c r="AF15" i="1"/>
  <c r="AF19" i="1"/>
  <c r="R26" i="1"/>
  <c r="AF26" i="1" s="1"/>
  <c r="AF39" i="1"/>
  <c r="AF44" i="1"/>
  <c r="R48" i="1"/>
  <c r="AF48" i="1" s="1"/>
  <c r="U11" i="1"/>
  <c r="U17" i="1"/>
  <c r="U41" i="1"/>
  <c r="U58" i="1"/>
  <c r="U66" i="1"/>
  <c r="AF7" i="1"/>
  <c r="R10" i="1"/>
  <c r="R16" i="1"/>
  <c r="AF16" i="1" s="1"/>
  <c r="AF18" i="1"/>
  <c r="AF23" i="1"/>
  <c r="R27" i="1"/>
  <c r="AF29" i="1"/>
  <c r="AF37" i="1"/>
  <c r="R47" i="1"/>
  <c r="AF47" i="1" s="1"/>
  <c r="R49" i="1"/>
  <c r="AF49" i="1" s="1"/>
  <c r="U8" i="1"/>
  <c r="U26" i="1"/>
  <c r="U30" i="1"/>
  <c r="U7" i="1"/>
  <c r="U23" i="1"/>
  <c r="V31" i="1"/>
  <c r="U39" i="1"/>
  <c r="U46" i="1"/>
  <c r="U52" i="1"/>
  <c r="U56" i="1"/>
  <c r="U60" i="1"/>
  <c r="U64" i="1"/>
  <c r="U68" i="1"/>
  <c r="Q13" i="1"/>
  <c r="V13" i="1" s="1"/>
  <c r="Q22" i="1"/>
  <c r="Q24" i="1"/>
  <c r="Q28" i="1"/>
  <c r="R28" i="1" s="1"/>
  <c r="Q33" i="1"/>
  <c r="R33" i="1" s="1"/>
  <c r="AF33" i="1" s="1"/>
  <c r="Q40" i="1"/>
  <c r="Q51" i="1"/>
  <c r="AF51" i="1" s="1"/>
  <c r="U9" i="1"/>
  <c r="V15" i="1"/>
  <c r="U16" i="1"/>
  <c r="V17" i="1"/>
  <c r="U18" i="1"/>
  <c r="V19" i="1"/>
  <c r="U20" i="1"/>
  <c r="V21" i="1"/>
  <c r="Q35" i="1"/>
  <c r="V35" i="1" s="1"/>
  <c r="U38" i="1"/>
  <c r="Q43" i="1"/>
  <c r="R43" i="1" s="1"/>
  <c r="AF43" i="1" s="1"/>
  <c r="U44" i="1"/>
  <c r="U53" i="1"/>
  <c r="U55" i="1"/>
  <c r="U57" i="1"/>
  <c r="U59" i="1"/>
  <c r="U61" i="1"/>
  <c r="U63" i="1"/>
  <c r="U65" i="1"/>
  <c r="U67" i="1"/>
  <c r="U69" i="1"/>
  <c r="U6" i="1"/>
  <c r="L34" i="1"/>
  <c r="L36" i="1"/>
  <c r="F5" i="1"/>
  <c r="V6" i="1"/>
  <c r="V8" i="1"/>
  <c r="Q14" i="1"/>
  <c r="E5" i="1"/>
  <c r="L14" i="1"/>
  <c r="L21" i="1"/>
  <c r="V30" i="1"/>
  <c r="L31" i="1"/>
  <c r="V34" i="1"/>
  <c r="V36" i="1"/>
  <c r="V37" i="1"/>
  <c r="L44" i="1"/>
  <c r="U45" i="1"/>
  <c r="V45" i="1"/>
  <c r="V47" i="1"/>
  <c r="V49" i="1"/>
  <c r="V43" i="1" l="1"/>
  <c r="V28" i="1"/>
  <c r="U34" i="1"/>
  <c r="V33" i="1"/>
  <c r="U21" i="1"/>
  <c r="U36" i="1"/>
  <c r="U43" i="1"/>
  <c r="U42" i="1"/>
  <c r="U33" i="1"/>
  <c r="V51" i="1"/>
  <c r="U51" i="1"/>
  <c r="U31" i="1"/>
  <c r="U49" i="1"/>
  <c r="V40" i="1"/>
  <c r="R40" i="1"/>
  <c r="AF28" i="1"/>
  <c r="U22" i="1"/>
  <c r="AF22" i="1"/>
  <c r="U25" i="1"/>
  <c r="AF25" i="1"/>
  <c r="AF12" i="1"/>
  <c r="U12" i="1"/>
  <c r="V22" i="1"/>
  <c r="R14" i="1"/>
  <c r="AF14" i="1" s="1"/>
  <c r="U48" i="1"/>
  <c r="U35" i="1"/>
  <c r="AF35" i="1"/>
  <c r="V24" i="1"/>
  <c r="U13" i="1"/>
  <c r="AF13" i="1"/>
  <c r="U29" i="1"/>
  <c r="AF27" i="1"/>
  <c r="U27" i="1"/>
  <c r="AF10" i="1"/>
  <c r="U10" i="1"/>
  <c r="U47" i="1"/>
  <c r="U37" i="1"/>
  <c r="U19" i="1"/>
  <c r="L5" i="1"/>
  <c r="V14" i="1"/>
  <c r="Q5" i="1"/>
  <c r="R5" i="1" l="1"/>
  <c r="U28" i="1"/>
  <c r="AF24" i="1"/>
  <c r="U24" i="1"/>
  <c r="U14" i="1"/>
  <c r="AF40" i="1"/>
  <c r="U40" i="1"/>
  <c r="AF5" i="1" l="1"/>
</calcChain>
</file>

<file path=xl/sharedStrings.xml><?xml version="1.0" encoding="utf-8"?>
<sst xmlns="http://schemas.openxmlformats.org/spreadsheetml/2006/main" count="257" uniqueCount="111">
  <si>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</si>
  <si>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</si>
  <si>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</si>
  <si>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</si>
  <si>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</si>
  <si>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</si>
  <si>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</si>
  <si>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</si>
  <si>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</si>
  <si>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</si>
  <si>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</si>
  <si>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</si>
  <si>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</si>
  <si>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</si>
  <si>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</si>
  <si>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</si>
  <si>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</si>
  <si>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</si>
  <si>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</si>
  <si>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</si>
  <si>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</si>
  <si>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</si>
  <si>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</si>
  <si>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</si>
  <si>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03,12,</t>
  </si>
  <si>
    <t>10,12,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</si>
  <si>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</si>
  <si>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</si>
  <si>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</si>
  <si>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</si>
  <si>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</si>
  <si>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</si>
  <si>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</si>
  <si>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</si>
  <si>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</si>
  <si>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</si>
  <si>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</si>
  <si>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</si>
  <si>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</si>
  <si>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</si>
  <si>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</si>
  <si>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</si>
  <si>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</si>
  <si>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</si>
  <si>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</si>
  <si>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</si>
  <si>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</si>
  <si>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</si>
  <si>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</si>
  <si>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</si>
  <si>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</si>
  <si>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</si>
  <si>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</si>
  <si>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завод не отгрузил 26,11,25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</si>
  <si>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</si>
  <si>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</si>
  <si>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</si>
  <si>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</si>
  <si>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</si>
  <si>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</si>
  <si>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</si>
  <si>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</si>
  <si>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</si>
  <si>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</si>
  <si>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</si>
  <si>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</si>
  <si>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</si>
  <si>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</si>
  <si>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нужно увеличить продажи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</si>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</sst>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3.42578125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SUM(E6:E482)</f>
        <v>10759.749</v>
      </c>
      <c r="F5" s="4">
        <f>SUM(F6:F482)</f>
        <v>6196.4709999999995</v>
      </c>
      <c r="G5" s="8"/>
      <c r="H5" s="1"/>
      <c r="I5" s="1"/>
      <c r="J5" s="1"/>
      <c r="K5" s="4">
        <f t="shared" ref="K5:S5" si="0">SUM(K6:K482)</f>
        <v>0</v>
      </c>
      <c r="L5" s="4">
        <f t="shared" si="0"/>
        <v>10759.749</v>
      </c>
      <c r="M5" s="4">
        <f t="shared" si="0"/>
        <v>0</v>
      </c>
      <c r="N5" s="4">
        <f t="shared" si="0"/>
        <v>0</v>
      </c>
      <c r="O5" s="4">
        <f t="shared" si="0"/>
        <v>8864.6825396825388</v>
      </c>
      <c r="P5" s="4">
        <f t="shared" si="0"/>
        <v>14176.215686274511</v>
      </c>
      <c r="Q5" s="4">
        <f t="shared" si="0"/>
        <v>2151.9497999999999</v>
      </c>
      <c r="R5" s="4">
        <f t="shared" si="0"/>
        <v>8338.4144698412656</v>
      </c>
      <c r="S5" s="4">
        <f t="shared" si="0"/>
        <v>0</v>
      </c>
      <c r="T5" s="1"/>
      <c r="U5" s="1"/>
      <c r="V5" s="1"/>
      <c r="W5" s="4">
        <f t="shared" ref="W5:AD5" si="1">SUM(W6:W482)</f>
        <v>1921.6384</v>
      </c>
      <c r="X5" s="4">
        <f t="shared" si="1"/>
        <v>1859.1950000000002</v>
      </c>
      <c r="Y5" s="4">
        <f t="shared" si="1"/>
        <v>1874.771</v>
      </c>
      <c r="Z5" s="4">
        <f t="shared" si="1"/>
        <v>1776.7222000000006</v>
      </c>
      <c r="AA5" s="4">
        <f t="shared" si="1"/>
        <v>1926.5906</v>
      </c>
      <c r="AB5" s="4">
        <f t="shared" si="1"/>
        <v>1900.4640000000006</v>
      </c>
      <c r="AC5" s="4">
        <f t="shared" si="1"/>
        <v>1638.0908000000004</v>
      </c>
      <c r="AD5" s="4">
        <f t="shared" si="1"/>
        <v>1834.5992000000003</v>
      </c>
      <c r="AE5" s="1"/>
      <c r="AF5" s="4">
        <f>SUM(AF6:AF482)</f>
        <v>7197.0631999999978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451.35700000000003</v>
      </c>
      <c r="D6" s="1">
        <v>299.35899999999998</v>
      </c>
      <c r="E6" s="1">
        <v>379.76600000000002</v>
      </c>
      <c r="F6" s="1">
        <v>313.423</v>
      </c>
      <c r="G6" s="8">
        <v>1</v>
      </c>
      <c r="H6" s="1">
        <v>50</v>
      </c>
      <c r="I6" s="1" t="s">
        <v>37</v>
      </c>
      <c r="J6" s="1"/>
      <c r="K6" s="1"/>
      <c r="L6" s="1">
        <f t="shared" ref="L6:L37" si="2">E6-K6</f>
        <v>379.76600000000002</v>
      </c>
      <c r="M6" s="1"/>
      <c r="N6" s="1"/>
      <c r="O6" s="1">
        <v>150</v>
      </c>
      <c r="P6" s="1">
        <v>300</v>
      </c>
      <c r="Q6" s="1">
        <f t="shared" ref="Q6:Q37" si="3">E6/5</f>
        <v>75.95320000000001</v>
      </c>
      <c r="R6" s="5">
        <f>18*Q6-P6-O6-F6</f>
        <v>603.73460000000023</v>
      </c>
      <c r="S6" s="5"/>
      <c r="T6" s="1"/>
      <c r="U6" s="1">
        <f t="shared" ref="U6:U37" si="4">(F6+O6+P6+R6)/Q6</f>
        <v>18</v>
      </c>
      <c r="V6" s="1">
        <f t="shared" ref="V6:V37" si="5">(F6+O6+P6)/Q6</f>
        <v>10.051228914647439</v>
      </c>
      <c r="W6" s="1">
        <v>39.898200000000003</v>
      </c>
      <c r="X6" s="1">
        <v>38.9938</v>
      </c>
      <c r="Y6" s="1">
        <v>50.0184</v>
      </c>
      <c r="Z6" s="1">
        <v>43.255600000000001</v>
      </c>
      <c r="AA6" s="1">
        <v>50.669199999999996</v>
      </c>
      <c r="AB6" s="1">
        <v>57.2684</v>
      </c>
      <c r="AC6" s="1">
        <v>39.6828</v>
      </c>
      <c r="AD6" s="1">
        <v>43.6858</v>
      </c>
      <c r="AE6" s="1"/>
      <c r="AF6" s="1">
        <f>G6*R6</f>
        <v>603.73460000000023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330.75099999999998</v>
      </c>
      <c r="D7" s="1">
        <v>200.30199999999999</v>
      </c>
      <c r="E7" s="1">
        <v>224.79499999999999</v>
      </c>
      <c r="F7" s="1">
        <v>263.065</v>
      </c>
      <c r="G7" s="8">
        <v>1</v>
      </c>
      <c r="H7" s="1">
        <v>55</v>
      </c>
      <c r="I7" s="1" t="s">
        <v>37</v>
      </c>
      <c r="J7" s="1"/>
      <c r="K7" s="1"/>
      <c r="L7" s="1">
        <f t="shared" si="2"/>
        <v>224.79499999999999</v>
      </c>
      <c r="M7" s="1"/>
      <c r="N7" s="1"/>
      <c r="O7" s="1">
        <v>250</v>
      </c>
      <c r="P7" s="1">
        <v>300</v>
      </c>
      <c r="Q7" s="1">
        <f t="shared" si="3"/>
        <v>44.958999999999996</v>
      </c>
      <c r="R7" s="5"/>
      <c r="S7" s="5"/>
      <c r="T7" s="1"/>
      <c r="U7" s="1">
        <f t="shared" si="4"/>
        <v>18.084588180342092</v>
      </c>
      <c r="V7" s="1">
        <f t="shared" si="5"/>
        <v>18.084588180342092</v>
      </c>
      <c r="W7" s="1">
        <v>44.106400000000001</v>
      </c>
      <c r="X7" s="1">
        <v>48.622399999999999</v>
      </c>
      <c r="Y7" s="1">
        <v>44.1432</v>
      </c>
      <c r="Z7" s="1">
        <v>36.142000000000003</v>
      </c>
      <c r="AA7" s="1">
        <v>51.187800000000003</v>
      </c>
      <c r="AB7" s="1">
        <v>53.262999999999998</v>
      </c>
      <c r="AC7" s="1">
        <v>41.200200000000002</v>
      </c>
      <c r="AD7" s="1">
        <v>48.932200000000002</v>
      </c>
      <c r="AE7" s="1"/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19.137</v>
      </c>
      <c r="D8" s="1">
        <v>29.978000000000002</v>
      </c>
      <c r="E8" s="1">
        <v>7.2089999999999996</v>
      </c>
      <c r="F8" s="1">
        <v>40.366</v>
      </c>
      <c r="G8" s="8">
        <v>1</v>
      </c>
      <c r="H8" s="1">
        <v>180</v>
      </c>
      <c r="I8" s="1" t="s">
        <v>37</v>
      </c>
      <c r="J8" s="1"/>
      <c r="K8" s="1"/>
      <c r="L8" s="1">
        <f t="shared" si="2"/>
        <v>7.2089999999999996</v>
      </c>
      <c r="M8" s="1"/>
      <c r="N8" s="1"/>
      <c r="O8" s="1">
        <v>0</v>
      </c>
      <c r="P8" s="1">
        <v>0</v>
      </c>
      <c r="Q8" s="1">
        <f t="shared" si="3"/>
        <v>1.4418</v>
      </c>
      <c r="R8" s="5"/>
      <c r="S8" s="5"/>
      <c r="T8" s="1"/>
      <c r="U8" s="1">
        <f t="shared" si="4"/>
        <v>27.996948259120543</v>
      </c>
      <c r="V8" s="1">
        <f t="shared" si="5"/>
        <v>27.996948259120543</v>
      </c>
      <c r="W8" s="1">
        <v>1.9663999999999999</v>
      </c>
      <c r="X8" s="1">
        <v>0.15920000000000001</v>
      </c>
      <c r="Y8" s="1">
        <v>0.254</v>
      </c>
      <c r="Z8" s="1">
        <v>1.5112000000000001</v>
      </c>
      <c r="AA8" s="1">
        <v>0.48299999999999998</v>
      </c>
      <c r="AB8" s="1">
        <v>-5.1200000000000002E-2</v>
      </c>
      <c r="AC8" s="1">
        <v>0.48180000000000001</v>
      </c>
      <c r="AD8" s="1">
        <v>0.72399999999999998</v>
      </c>
      <c r="AE8" s="17" t="s">
        <v>68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40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0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/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36</v>
      </c>
      <c r="C10" s="1">
        <v>121.855</v>
      </c>
      <c r="D10" s="1"/>
      <c r="E10" s="1">
        <v>49.55</v>
      </c>
      <c r="F10" s="1">
        <v>65.546000000000006</v>
      </c>
      <c r="G10" s="8">
        <v>1</v>
      </c>
      <c r="H10" s="1">
        <v>50</v>
      </c>
      <c r="I10" s="1" t="s">
        <v>37</v>
      </c>
      <c r="J10" s="1"/>
      <c r="K10" s="1"/>
      <c r="L10" s="1">
        <f t="shared" si="2"/>
        <v>49.55</v>
      </c>
      <c r="M10" s="1"/>
      <c r="N10" s="1"/>
      <c r="O10" s="1">
        <v>0</v>
      </c>
      <c r="P10" s="1">
        <v>92</v>
      </c>
      <c r="Q10" s="1">
        <f t="shared" si="3"/>
        <v>9.91</v>
      </c>
      <c r="R10" s="5">
        <f t="shared" ref="R10:R19" si="6">18*Q10-P10-O10-F10</f>
        <v>20.833999999999989</v>
      </c>
      <c r="S10" s="5"/>
      <c r="T10" s="1"/>
      <c r="U10" s="1">
        <f t="shared" si="4"/>
        <v>18</v>
      </c>
      <c r="V10" s="1">
        <f t="shared" si="5"/>
        <v>15.897679112008072</v>
      </c>
      <c r="W10" s="1">
        <v>8.7797999999999998</v>
      </c>
      <c r="X10" s="1">
        <v>6.0658000000000003</v>
      </c>
      <c r="Y10" s="1">
        <v>7.5397999999999996</v>
      </c>
      <c r="Z10" s="1">
        <v>8.9976000000000003</v>
      </c>
      <c r="AA10" s="1">
        <v>17.722999999999999</v>
      </c>
      <c r="AB10" s="1">
        <v>5.0465999999999998</v>
      </c>
      <c r="AC10" s="1">
        <v>13.7874</v>
      </c>
      <c r="AD10" s="1">
        <v>10.507</v>
      </c>
      <c r="AE10" s="1"/>
      <c r="AF10" s="1">
        <f t="shared" ref="AF10:AF19" si="7">G10*R10</f>
        <v>20.833999999999989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36</v>
      </c>
      <c r="C11" s="1">
        <v>107.593</v>
      </c>
      <c r="D11" s="1">
        <v>200.19200000000001</v>
      </c>
      <c r="E11" s="1">
        <v>133.59299999999999</v>
      </c>
      <c r="F11" s="1">
        <v>158.352</v>
      </c>
      <c r="G11" s="8">
        <v>1</v>
      </c>
      <c r="H11" s="1">
        <v>60</v>
      </c>
      <c r="I11" s="1" t="s">
        <v>37</v>
      </c>
      <c r="J11" s="1"/>
      <c r="K11" s="1"/>
      <c r="L11" s="1">
        <f t="shared" si="2"/>
        <v>133.59299999999999</v>
      </c>
      <c r="M11" s="1"/>
      <c r="N11" s="1"/>
      <c r="O11" s="1">
        <v>200</v>
      </c>
      <c r="P11" s="1">
        <v>200</v>
      </c>
      <c r="Q11" s="1">
        <f t="shared" si="3"/>
        <v>26.718599999999999</v>
      </c>
      <c r="R11" s="5"/>
      <c r="S11" s="5"/>
      <c r="T11" s="1"/>
      <c r="U11" s="1">
        <f t="shared" si="4"/>
        <v>20.897502114631756</v>
      </c>
      <c r="V11" s="1">
        <f t="shared" si="5"/>
        <v>20.897502114631756</v>
      </c>
      <c r="W11" s="1">
        <v>22.3308</v>
      </c>
      <c r="X11" s="1">
        <v>24.443200000000001</v>
      </c>
      <c r="Y11" s="1">
        <v>26.920999999999999</v>
      </c>
      <c r="Z11" s="1">
        <v>20.1236</v>
      </c>
      <c r="AA11" s="1">
        <v>28.831199999999999</v>
      </c>
      <c r="AB11" s="1">
        <v>24.735399999999998</v>
      </c>
      <c r="AC11" s="1">
        <v>15.5068</v>
      </c>
      <c r="AD11" s="1">
        <v>25.658200000000001</v>
      </c>
      <c r="AE11" s="1"/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36</v>
      </c>
      <c r="C12" s="1">
        <v>31.937999999999999</v>
      </c>
      <c r="D12" s="1">
        <v>353.03500000000003</v>
      </c>
      <c r="E12" s="1">
        <v>128.727</v>
      </c>
      <c r="F12" s="1">
        <v>240.93299999999999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128.727</v>
      </c>
      <c r="M12" s="1"/>
      <c r="N12" s="1"/>
      <c r="O12" s="1">
        <v>300</v>
      </c>
      <c r="P12" s="1">
        <v>300</v>
      </c>
      <c r="Q12" s="1">
        <f t="shared" si="3"/>
        <v>25.7454</v>
      </c>
      <c r="R12" s="5"/>
      <c r="S12" s="5"/>
      <c r="T12" s="1"/>
      <c r="U12" s="1">
        <f t="shared" si="4"/>
        <v>32.663427253023841</v>
      </c>
      <c r="V12" s="1">
        <f t="shared" si="5"/>
        <v>32.663427253023841</v>
      </c>
      <c r="W12" s="1">
        <v>22.475000000000001</v>
      </c>
      <c r="X12" s="1">
        <v>26.01</v>
      </c>
      <c r="Y12" s="1">
        <v>34.661200000000001</v>
      </c>
      <c r="Z12" s="1">
        <v>22.8752</v>
      </c>
      <c r="AA12" s="1">
        <v>34.6098</v>
      </c>
      <c r="AB12" s="1">
        <v>23.917400000000001</v>
      </c>
      <c r="AC12" s="1">
        <v>14.502800000000001</v>
      </c>
      <c r="AD12" s="1">
        <v>26.8992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36</v>
      </c>
      <c r="C13" s="1">
        <v>83.147999999999996</v>
      </c>
      <c r="D13" s="1">
        <v>103.664</v>
      </c>
      <c r="E13" s="16">
        <f>75.394+E52</f>
        <v>89.93</v>
      </c>
      <c r="F13" s="16">
        <f>77.466+F52</f>
        <v>73.140999999999991</v>
      </c>
      <c r="G13" s="8">
        <v>1</v>
      </c>
      <c r="H13" s="1">
        <v>40</v>
      </c>
      <c r="I13" s="1" t="s">
        <v>37</v>
      </c>
      <c r="J13" s="1"/>
      <c r="K13" s="1"/>
      <c r="L13" s="1">
        <f t="shared" si="2"/>
        <v>89.93</v>
      </c>
      <c r="M13" s="1"/>
      <c r="N13" s="1"/>
      <c r="O13" s="1">
        <v>150</v>
      </c>
      <c r="P13" s="1">
        <v>150</v>
      </c>
      <c r="Q13" s="1">
        <f t="shared" si="3"/>
        <v>17.986000000000001</v>
      </c>
      <c r="R13" s="5"/>
      <c r="S13" s="5"/>
      <c r="T13" s="1"/>
      <c r="U13" s="1">
        <f t="shared" si="4"/>
        <v>20.746191482263981</v>
      </c>
      <c r="V13" s="1">
        <f t="shared" si="5"/>
        <v>20.746191482263981</v>
      </c>
      <c r="W13" s="1">
        <v>14.429600000000001</v>
      </c>
      <c r="X13" s="1">
        <v>16.459</v>
      </c>
      <c r="Y13" s="1">
        <v>17.2864</v>
      </c>
      <c r="Z13" s="1">
        <v>13.632999999999999</v>
      </c>
      <c r="AA13" s="1">
        <v>22.357399999999998</v>
      </c>
      <c r="AB13" s="1">
        <v>11.1294</v>
      </c>
      <c r="AC13" s="1">
        <v>12.228400000000001</v>
      </c>
      <c r="AD13" s="1">
        <v>24.070599999999999</v>
      </c>
      <c r="AE13" s="1"/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47</v>
      </c>
      <c r="C14" s="1">
        <v>284</v>
      </c>
      <c r="D14" s="1">
        <v>204</v>
      </c>
      <c r="E14" s="16">
        <f>270+E53</f>
        <v>331</v>
      </c>
      <c r="F14" s="16">
        <f>55+F53</f>
        <v>20</v>
      </c>
      <c r="G14" s="8">
        <v>0.35</v>
      </c>
      <c r="H14" s="1">
        <v>40</v>
      </c>
      <c r="I14" s="1" t="s">
        <v>37</v>
      </c>
      <c r="J14" s="1"/>
      <c r="K14" s="1"/>
      <c r="L14" s="1">
        <f t="shared" si="2"/>
        <v>331</v>
      </c>
      <c r="M14" s="1"/>
      <c r="N14" s="1"/>
      <c r="O14" s="1">
        <v>142.85714285714289</v>
      </c>
      <c r="P14" s="1">
        <v>900.00000000000011</v>
      </c>
      <c r="Q14" s="1">
        <f t="shared" si="3"/>
        <v>66.2</v>
      </c>
      <c r="R14" s="5">
        <f t="shared" si="6"/>
        <v>128.74285714285713</v>
      </c>
      <c r="S14" s="5"/>
      <c r="T14" s="1"/>
      <c r="U14" s="1">
        <f t="shared" si="4"/>
        <v>18.000000000000004</v>
      </c>
      <c r="V14" s="1">
        <f t="shared" si="5"/>
        <v>16.055243849805787</v>
      </c>
      <c r="W14" s="1">
        <v>89.6</v>
      </c>
      <c r="X14" s="1">
        <v>69.599999999999994</v>
      </c>
      <c r="Y14" s="1">
        <v>68.2</v>
      </c>
      <c r="Z14" s="1">
        <v>65.8</v>
      </c>
      <c r="AA14" s="1">
        <v>68.8</v>
      </c>
      <c r="AB14" s="1">
        <v>72.599999999999994</v>
      </c>
      <c r="AC14" s="1">
        <v>62.6</v>
      </c>
      <c r="AD14" s="1">
        <v>74.599999999999994</v>
      </c>
      <c r="AE14" s="1"/>
      <c r="AF14" s="1">
        <f t="shared" si="7"/>
        <v>45.059999999999995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36</v>
      </c>
      <c r="C15" s="1">
        <v>167.09700000000001</v>
      </c>
      <c r="D15" s="1">
        <v>100.20699999999999</v>
      </c>
      <c r="E15" s="1">
        <v>84.558000000000007</v>
      </c>
      <c r="F15" s="1">
        <v>70.576999999999998</v>
      </c>
      <c r="G15" s="8">
        <v>1</v>
      </c>
      <c r="H15" s="1">
        <v>40</v>
      </c>
      <c r="I15" s="1" t="s">
        <v>37</v>
      </c>
      <c r="J15" s="1"/>
      <c r="K15" s="1"/>
      <c r="L15" s="1">
        <f t="shared" si="2"/>
        <v>84.558000000000007</v>
      </c>
      <c r="M15" s="1"/>
      <c r="N15" s="1"/>
      <c r="O15" s="1">
        <v>150</v>
      </c>
      <c r="P15" s="1">
        <v>200</v>
      </c>
      <c r="Q15" s="1">
        <f t="shared" si="3"/>
        <v>16.9116</v>
      </c>
      <c r="R15" s="5"/>
      <c r="S15" s="5"/>
      <c r="T15" s="1"/>
      <c r="U15" s="1">
        <f t="shared" si="4"/>
        <v>24.86914307339341</v>
      </c>
      <c r="V15" s="1">
        <f t="shared" si="5"/>
        <v>24.86914307339341</v>
      </c>
      <c r="W15" s="1">
        <v>15.8584</v>
      </c>
      <c r="X15" s="1">
        <v>22.917999999999999</v>
      </c>
      <c r="Y15" s="1">
        <v>18.569800000000001</v>
      </c>
      <c r="Z15" s="1">
        <v>15.086399999999999</v>
      </c>
      <c r="AA15" s="1">
        <v>29.709399999999999</v>
      </c>
      <c r="AB15" s="1">
        <v>11.33</v>
      </c>
      <c r="AC15" s="1">
        <v>13.348599999999999</v>
      </c>
      <c r="AD15" s="1">
        <v>27.452000000000002</v>
      </c>
      <c r="AE15" s="1"/>
      <c r="AF15" s="1">
        <f t="shared" si="7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47</v>
      </c>
      <c r="C16" s="1">
        <v>601</v>
      </c>
      <c r="D16" s="1">
        <v>300</v>
      </c>
      <c r="E16" s="1">
        <v>368</v>
      </c>
      <c r="F16" s="1">
        <v>241</v>
      </c>
      <c r="G16" s="8">
        <v>0.35</v>
      </c>
      <c r="H16" s="1">
        <v>40</v>
      </c>
      <c r="I16" s="1" t="s">
        <v>37</v>
      </c>
      <c r="J16" s="1"/>
      <c r="K16" s="1"/>
      <c r="L16" s="1">
        <f t="shared" si="2"/>
        <v>368</v>
      </c>
      <c r="M16" s="1"/>
      <c r="N16" s="1"/>
      <c r="O16" s="1">
        <v>142.85714285714289</v>
      </c>
      <c r="P16" s="1">
        <v>600</v>
      </c>
      <c r="Q16" s="1">
        <f t="shared" si="3"/>
        <v>73.599999999999994</v>
      </c>
      <c r="R16" s="5">
        <f t="shared" si="6"/>
        <v>340.94285714285706</v>
      </c>
      <c r="S16" s="5"/>
      <c r="T16" s="1"/>
      <c r="U16" s="1">
        <f t="shared" si="4"/>
        <v>18</v>
      </c>
      <c r="V16" s="1">
        <f t="shared" si="5"/>
        <v>13.367624223602485</v>
      </c>
      <c r="W16" s="1">
        <v>72.2</v>
      </c>
      <c r="X16" s="1">
        <v>71.400000000000006</v>
      </c>
      <c r="Y16" s="1">
        <v>65.599999999999994</v>
      </c>
      <c r="Z16" s="1">
        <v>57.8</v>
      </c>
      <c r="AA16" s="1">
        <v>76.2</v>
      </c>
      <c r="AB16" s="1">
        <v>87</v>
      </c>
      <c r="AC16" s="1">
        <v>66.8</v>
      </c>
      <c r="AD16" s="1">
        <v>72.599999999999994</v>
      </c>
      <c r="AE16" s="1"/>
      <c r="AF16" s="1">
        <f t="shared" si="7"/>
        <v>119.32999999999997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36</v>
      </c>
      <c r="C17" s="1">
        <v>21.914999999999999</v>
      </c>
      <c r="D17" s="1">
        <v>102.94499999999999</v>
      </c>
      <c r="E17" s="1">
        <v>39.122</v>
      </c>
      <c r="F17" s="1">
        <v>82.119</v>
      </c>
      <c r="G17" s="8">
        <v>1</v>
      </c>
      <c r="H17" s="1">
        <v>40</v>
      </c>
      <c r="I17" s="1" t="s">
        <v>37</v>
      </c>
      <c r="J17" s="1"/>
      <c r="K17" s="1"/>
      <c r="L17" s="1">
        <f t="shared" si="2"/>
        <v>39.122</v>
      </c>
      <c r="M17" s="1"/>
      <c r="N17" s="1"/>
      <c r="O17" s="1">
        <v>90</v>
      </c>
      <c r="P17" s="1">
        <v>120</v>
      </c>
      <c r="Q17" s="1">
        <f t="shared" si="3"/>
        <v>7.8243999999999998</v>
      </c>
      <c r="R17" s="5"/>
      <c r="S17" s="5"/>
      <c r="T17" s="1"/>
      <c r="U17" s="1">
        <f t="shared" si="4"/>
        <v>37.334364296303875</v>
      </c>
      <c r="V17" s="1">
        <f t="shared" si="5"/>
        <v>37.334364296303875</v>
      </c>
      <c r="W17" s="1">
        <v>11.211</v>
      </c>
      <c r="X17" s="1">
        <v>13.563000000000001</v>
      </c>
      <c r="Y17" s="1">
        <v>15.1646</v>
      </c>
      <c r="Z17" s="1">
        <v>11.160600000000001</v>
      </c>
      <c r="AA17" s="1">
        <v>17.8444</v>
      </c>
      <c r="AB17" s="1">
        <v>5.4691999999999998</v>
      </c>
      <c r="AC17" s="1">
        <v>7.2450000000000001</v>
      </c>
      <c r="AD17" s="1">
        <v>15.610799999999999</v>
      </c>
      <c r="AE17" s="1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36</v>
      </c>
      <c r="C18" s="1">
        <v>14.314</v>
      </c>
      <c r="D18" s="1">
        <v>154.392</v>
      </c>
      <c r="E18" s="1">
        <v>43.648000000000003</v>
      </c>
      <c r="F18" s="1">
        <v>104.905</v>
      </c>
      <c r="G18" s="8">
        <v>1</v>
      </c>
      <c r="H18" s="1">
        <v>45</v>
      </c>
      <c r="I18" s="1" t="s">
        <v>37</v>
      </c>
      <c r="J18" s="1"/>
      <c r="K18" s="1"/>
      <c r="L18" s="1">
        <f t="shared" si="2"/>
        <v>43.648000000000003</v>
      </c>
      <c r="M18" s="1"/>
      <c r="N18" s="1"/>
      <c r="O18" s="1">
        <v>100</v>
      </c>
      <c r="P18" s="1">
        <v>35</v>
      </c>
      <c r="Q18" s="1">
        <f t="shared" si="3"/>
        <v>8.7296000000000014</v>
      </c>
      <c r="R18" s="5"/>
      <c r="S18" s="5"/>
      <c r="T18" s="1"/>
      <c r="U18" s="1">
        <f t="shared" si="4"/>
        <v>27.481786107038118</v>
      </c>
      <c r="V18" s="1">
        <f t="shared" si="5"/>
        <v>27.481786107038118</v>
      </c>
      <c r="W18" s="1">
        <v>15.425000000000001</v>
      </c>
      <c r="X18" s="1">
        <v>10.603199999999999</v>
      </c>
      <c r="Y18" s="1">
        <v>22.527999999999999</v>
      </c>
      <c r="Z18" s="1">
        <v>12.4626</v>
      </c>
      <c r="AA18" s="1">
        <v>15.3696</v>
      </c>
      <c r="AB18" s="1">
        <v>-1.1786000000000001</v>
      </c>
      <c r="AC18" s="1">
        <v>16.7942</v>
      </c>
      <c r="AD18" s="1">
        <v>17.0852</v>
      </c>
      <c r="AE18" s="1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47</v>
      </c>
      <c r="C19" s="1">
        <v>-1</v>
      </c>
      <c r="D19" s="1"/>
      <c r="E19" s="1">
        <v>9</v>
      </c>
      <c r="F19" s="1">
        <v>-11</v>
      </c>
      <c r="G19" s="8">
        <v>0.6</v>
      </c>
      <c r="H19" s="1">
        <v>45</v>
      </c>
      <c r="I19" s="1" t="s">
        <v>37</v>
      </c>
      <c r="J19" s="1"/>
      <c r="K19" s="1"/>
      <c r="L19" s="1">
        <f t="shared" si="2"/>
        <v>9</v>
      </c>
      <c r="M19" s="1"/>
      <c r="N19" s="1"/>
      <c r="O19" s="1">
        <v>125</v>
      </c>
      <c r="P19" s="1">
        <v>0</v>
      </c>
      <c r="Q19" s="1">
        <f t="shared" si="3"/>
        <v>1.8</v>
      </c>
      <c r="R19" s="5"/>
      <c r="S19" s="5"/>
      <c r="T19" s="1"/>
      <c r="U19" s="1">
        <f t="shared" si="4"/>
        <v>63.333333333333329</v>
      </c>
      <c r="V19" s="1">
        <f t="shared" si="5"/>
        <v>63.333333333333329</v>
      </c>
      <c r="W19" s="1">
        <v>9.6</v>
      </c>
      <c r="X19" s="1">
        <v>11.6</v>
      </c>
      <c r="Y19" s="1">
        <v>9.6</v>
      </c>
      <c r="Z19" s="1">
        <v>12</v>
      </c>
      <c r="AA19" s="1">
        <v>16.8</v>
      </c>
      <c r="AB19" s="1">
        <v>6.4</v>
      </c>
      <c r="AC19" s="1">
        <v>0</v>
      </c>
      <c r="AD19" s="1">
        <v>14.6</v>
      </c>
      <c r="AE19" s="1" t="s">
        <v>53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54</v>
      </c>
      <c r="B20" s="10" t="s">
        <v>47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55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0"/>
      <c r="U20" s="10" t="e">
        <f t="shared" si="4"/>
        <v>#DIV/0!</v>
      </c>
      <c r="V20" s="10" t="e">
        <f t="shared" si="5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56</v>
      </c>
      <c r="AF20" s="10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36</v>
      </c>
      <c r="C21" s="1">
        <v>228.91</v>
      </c>
      <c r="D21" s="1">
        <v>107.712</v>
      </c>
      <c r="E21" s="16">
        <f>226.566+E56</f>
        <v>245.78700000000001</v>
      </c>
      <c r="F21" s="16">
        <f>24.789+F56</f>
        <v>8.5300000000000011</v>
      </c>
      <c r="G21" s="8">
        <v>1</v>
      </c>
      <c r="H21" s="1">
        <v>45</v>
      </c>
      <c r="I21" s="1" t="s">
        <v>37</v>
      </c>
      <c r="J21" s="1"/>
      <c r="K21" s="1"/>
      <c r="L21" s="1">
        <f t="shared" si="2"/>
        <v>245.78700000000001</v>
      </c>
      <c r="M21" s="1"/>
      <c r="N21" s="1"/>
      <c r="O21" s="1">
        <v>150</v>
      </c>
      <c r="P21" s="1">
        <v>250</v>
      </c>
      <c r="Q21" s="1">
        <f t="shared" si="3"/>
        <v>49.157400000000003</v>
      </c>
      <c r="R21" s="5">
        <f>16*Q21-P21-O21-F21</f>
        <v>377.98840000000007</v>
      </c>
      <c r="S21" s="5"/>
      <c r="T21" s="1"/>
      <c r="U21" s="1">
        <f t="shared" si="4"/>
        <v>16</v>
      </c>
      <c r="V21" s="1">
        <f t="shared" si="5"/>
        <v>8.3106510922058519</v>
      </c>
      <c r="W21" s="1">
        <v>39.724800000000002</v>
      </c>
      <c r="X21" s="1">
        <v>39.704000000000001</v>
      </c>
      <c r="Y21" s="1">
        <v>27.8612</v>
      </c>
      <c r="Z21" s="1">
        <v>31.665600000000001</v>
      </c>
      <c r="AA21" s="1">
        <v>50.165399999999998</v>
      </c>
      <c r="AB21" s="1">
        <v>15.9466</v>
      </c>
      <c r="AC21" s="1">
        <v>47.153399999999998</v>
      </c>
      <c r="AD21" s="1">
        <v>35.1066</v>
      </c>
      <c r="AE21" s="1"/>
      <c r="AF21" s="1">
        <f t="shared" ref="AF21:AF37" si="8">G21*R21</f>
        <v>377.98840000000007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47</v>
      </c>
      <c r="C22" s="1">
        <v>155</v>
      </c>
      <c r="D22" s="1">
        <v>204</v>
      </c>
      <c r="E22" s="16">
        <f>129+E57</f>
        <v>149</v>
      </c>
      <c r="F22" s="16">
        <f>97+F57</f>
        <v>78</v>
      </c>
      <c r="G22" s="8">
        <v>0.4</v>
      </c>
      <c r="H22" s="1">
        <v>45</v>
      </c>
      <c r="I22" s="1" t="s">
        <v>37</v>
      </c>
      <c r="J22" s="1"/>
      <c r="K22" s="1"/>
      <c r="L22" s="1">
        <f t="shared" si="2"/>
        <v>149</v>
      </c>
      <c r="M22" s="1"/>
      <c r="N22" s="1"/>
      <c r="O22" s="1">
        <v>250</v>
      </c>
      <c r="P22" s="1">
        <v>320</v>
      </c>
      <c r="Q22" s="1">
        <f t="shared" si="3"/>
        <v>29.8</v>
      </c>
      <c r="R22" s="5"/>
      <c r="S22" s="5"/>
      <c r="T22" s="1"/>
      <c r="U22" s="1">
        <f t="shared" si="4"/>
        <v>21.744966442953018</v>
      </c>
      <c r="V22" s="1">
        <f t="shared" si="5"/>
        <v>21.744966442953018</v>
      </c>
      <c r="W22" s="1">
        <v>58.2</v>
      </c>
      <c r="X22" s="1">
        <v>39</v>
      </c>
      <c r="Y22" s="1">
        <v>25.4</v>
      </c>
      <c r="Z22" s="1">
        <v>45</v>
      </c>
      <c r="AA22" s="1">
        <v>49.2</v>
      </c>
      <c r="AB22" s="1">
        <v>31.4</v>
      </c>
      <c r="AC22" s="1">
        <v>51.4</v>
      </c>
      <c r="AD22" s="1">
        <v>-3</v>
      </c>
      <c r="AE22" s="1"/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47</v>
      </c>
      <c r="C23" s="1">
        <v>-18</v>
      </c>
      <c r="D23" s="1">
        <v>252</v>
      </c>
      <c r="E23" s="1">
        <v>103</v>
      </c>
      <c r="F23" s="1">
        <v>130</v>
      </c>
      <c r="G23" s="8">
        <v>0.4</v>
      </c>
      <c r="H23" s="1">
        <v>45</v>
      </c>
      <c r="I23" s="1" t="s">
        <v>37</v>
      </c>
      <c r="J23" s="1"/>
      <c r="K23" s="1"/>
      <c r="L23" s="1">
        <f t="shared" si="2"/>
        <v>103</v>
      </c>
      <c r="M23" s="1"/>
      <c r="N23" s="1"/>
      <c r="O23" s="1">
        <v>250</v>
      </c>
      <c r="P23" s="1">
        <v>230</v>
      </c>
      <c r="Q23" s="1">
        <f t="shared" si="3"/>
        <v>20.6</v>
      </c>
      <c r="R23" s="5"/>
      <c r="S23" s="5"/>
      <c r="T23" s="1"/>
      <c r="U23" s="1">
        <f t="shared" si="4"/>
        <v>29.61165048543689</v>
      </c>
      <c r="V23" s="1">
        <f t="shared" si="5"/>
        <v>29.61165048543689</v>
      </c>
      <c r="W23" s="1">
        <v>40</v>
      </c>
      <c r="X23" s="1">
        <v>33.6</v>
      </c>
      <c r="Y23" s="1">
        <v>41</v>
      </c>
      <c r="Z23" s="1">
        <v>31.4</v>
      </c>
      <c r="AA23" s="1">
        <v>41.4</v>
      </c>
      <c r="AB23" s="1">
        <v>26.6</v>
      </c>
      <c r="AC23" s="1">
        <v>47.8</v>
      </c>
      <c r="AD23" s="1">
        <v>-3.2</v>
      </c>
      <c r="AE23" s="1"/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36</v>
      </c>
      <c r="C24" s="1">
        <v>130.91499999999999</v>
      </c>
      <c r="D24" s="1">
        <v>306.49599999999998</v>
      </c>
      <c r="E24" s="16">
        <f>90.214+E58</f>
        <v>99.757000000000005</v>
      </c>
      <c r="F24" s="16">
        <f>231.525+F58</f>
        <v>224.75800000000001</v>
      </c>
      <c r="G24" s="8">
        <v>1</v>
      </c>
      <c r="H24" s="1">
        <v>40</v>
      </c>
      <c r="I24" s="1" t="s">
        <v>37</v>
      </c>
      <c r="J24" s="1"/>
      <c r="K24" s="1"/>
      <c r="L24" s="1">
        <f t="shared" si="2"/>
        <v>99.757000000000005</v>
      </c>
      <c r="M24" s="1"/>
      <c r="N24" s="1"/>
      <c r="O24" s="1">
        <v>150</v>
      </c>
      <c r="P24" s="1">
        <v>150</v>
      </c>
      <c r="Q24" s="1">
        <f t="shared" si="3"/>
        <v>19.9514</v>
      </c>
      <c r="R24" s="5"/>
      <c r="S24" s="5"/>
      <c r="T24" s="1"/>
      <c r="U24" s="1">
        <f t="shared" si="4"/>
        <v>26.301813406577988</v>
      </c>
      <c r="V24" s="1">
        <f t="shared" si="5"/>
        <v>26.301813406577988</v>
      </c>
      <c r="W24" s="1">
        <v>27.3004</v>
      </c>
      <c r="X24" s="1">
        <v>26.869</v>
      </c>
      <c r="Y24" s="1">
        <v>43.381999999999998</v>
      </c>
      <c r="Z24" s="1">
        <v>26.785</v>
      </c>
      <c r="AA24" s="1">
        <v>25.805800000000001</v>
      </c>
      <c r="AB24" s="1">
        <v>34.767600000000002</v>
      </c>
      <c r="AC24" s="1">
        <v>29.1784</v>
      </c>
      <c r="AD24" s="1">
        <v>24.391200000000001</v>
      </c>
      <c r="AE24" s="1"/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47</v>
      </c>
      <c r="C25" s="1">
        <v>39</v>
      </c>
      <c r="D25" s="1">
        <v>80</v>
      </c>
      <c r="E25" s="1">
        <v>39</v>
      </c>
      <c r="F25" s="1">
        <v>69</v>
      </c>
      <c r="G25" s="8">
        <v>0.35</v>
      </c>
      <c r="H25" s="1">
        <v>45</v>
      </c>
      <c r="I25" s="1" t="s">
        <v>37</v>
      </c>
      <c r="J25" s="1"/>
      <c r="K25" s="1"/>
      <c r="L25" s="1">
        <f t="shared" si="2"/>
        <v>39</v>
      </c>
      <c r="M25" s="1"/>
      <c r="N25" s="1"/>
      <c r="O25" s="1">
        <v>142.85714285714289</v>
      </c>
      <c r="P25" s="1">
        <v>100</v>
      </c>
      <c r="Q25" s="1">
        <f t="shared" si="3"/>
        <v>7.8</v>
      </c>
      <c r="R25" s="5"/>
      <c r="S25" s="5"/>
      <c r="T25" s="1"/>
      <c r="U25" s="1">
        <f t="shared" si="4"/>
        <v>39.981684981684985</v>
      </c>
      <c r="V25" s="1">
        <f t="shared" si="5"/>
        <v>39.981684981684985</v>
      </c>
      <c r="W25" s="1">
        <v>20.399999999999999</v>
      </c>
      <c r="X25" s="1">
        <v>15</v>
      </c>
      <c r="Y25" s="1">
        <v>11.2</v>
      </c>
      <c r="Z25" s="1">
        <v>18.600000000000001</v>
      </c>
      <c r="AA25" s="1">
        <v>19.399999999999999</v>
      </c>
      <c r="AB25" s="1">
        <v>13.6</v>
      </c>
      <c r="AC25" s="1">
        <v>16.399999999999999</v>
      </c>
      <c r="AD25" s="1">
        <v>14.6</v>
      </c>
      <c r="AE25" s="1"/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36</v>
      </c>
      <c r="C26" s="1">
        <v>191.904</v>
      </c>
      <c r="D26" s="1">
        <v>156.416</v>
      </c>
      <c r="E26" s="1">
        <v>123.839</v>
      </c>
      <c r="F26" s="1">
        <v>194.6</v>
      </c>
      <c r="G26" s="8">
        <v>1</v>
      </c>
      <c r="H26" s="1">
        <v>45</v>
      </c>
      <c r="I26" s="1" t="s">
        <v>37</v>
      </c>
      <c r="J26" s="1"/>
      <c r="K26" s="1"/>
      <c r="L26" s="1">
        <f t="shared" si="2"/>
        <v>123.839</v>
      </c>
      <c r="M26" s="1"/>
      <c r="N26" s="1"/>
      <c r="O26" s="1">
        <v>0</v>
      </c>
      <c r="P26" s="1">
        <v>200</v>
      </c>
      <c r="Q26" s="1">
        <f t="shared" si="3"/>
        <v>24.767800000000001</v>
      </c>
      <c r="R26" s="5">
        <f t="shared" ref="R21:R37" si="9">18*Q26-P26-O26-F26</f>
        <v>51.220400000000012</v>
      </c>
      <c r="S26" s="5"/>
      <c r="T26" s="1"/>
      <c r="U26" s="1">
        <f t="shared" si="4"/>
        <v>18</v>
      </c>
      <c r="V26" s="1">
        <f t="shared" si="5"/>
        <v>15.931976194898215</v>
      </c>
      <c r="W26" s="1">
        <v>20.6356</v>
      </c>
      <c r="X26" s="1">
        <v>19.563400000000001</v>
      </c>
      <c r="Y26" s="1">
        <v>20.959399999999999</v>
      </c>
      <c r="Z26" s="1">
        <v>28.772600000000001</v>
      </c>
      <c r="AA26" s="1">
        <v>30.851800000000001</v>
      </c>
      <c r="AB26" s="1">
        <v>24.670999999999999</v>
      </c>
      <c r="AC26" s="1">
        <v>20.548999999999999</v>
      </c>
      <c r="AD26" s="1">
        <v>21.646000000000001</v>
      </c>
      <c r="AE26" s="1"/>
      <c r="AF26" s="1">
        <f t="shared" si="8"/>
        <v>51.220400000000012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47</v>
      </c>
      <c r="C27" s="1">
        <v>237</v>
      </c>
      <c r="D27" s="1">
        <v>300</v>
      </c>
      <c r="E27" s="1">
        <v>221</v>
      </c>
      <c r="F27" s="1">
        <v>300</v>
      </c>
      <c r="G27" s="8">
        <v>0.45</v>
      </c>
      <c r="H27" s="1">
        <v>45</v>
      </c>
      <c r="I27" s="1" t="s">
        <v>37</v>
      </c>
      <c r="J27" s="1"/>
      <c r="K27" s="1"/>
      <c r="L27" s="1">
        <f t="shared" si="2"/>
        <v>221</v>
      </c>
      <c r="M27" s="1"/>
      <c r="N27" s="1"/>
      <c r="O27" s="1">
        <v>0</v>
      </c>
      <c r="P27" s="1">
        <v>251.11111111111109</v>
      </c>
      <c r="Q27" s="1">
        <f t="shared" si="3"/>
        <v>44.2</v>
      </c>
      <c r="R27" s="5">
        <f t="shared" si="9"/>
        <v>244.48888888888894</v>
      </c>
      <c r="S27" s="5"/>
      <c r="T27" s="1"/>
      <c r="U27" s="1">
        <f t="shared" si="4"/>
        <v>18</v>
      </c>
      <c r="V27" s="1">
        <f t="shared" si="5"/>
        <v>12.468577174459526</v>
      </c>
      <c r="W27" s="1">
        <v>35.799999999999997</v>
      </c>
      <c r="X27" s="1">
        <v>28</v>
      </c>
      <c r="Y27" s="1">
        <v>41.6</v>
      </c>
      <c r="Z27" s="1">
        <v>33.200000000000003</v>
      </c>
      <c r="AA27" s="1">
        <v>41.4</v>
      </c>
      <c r="AB27" s="1">
        <v>30.4</v>
      </c>
      <c r="AC27" s="1">
        <v>42.6</v>
      </c>
      <c r="AD27" s="1">
        <v>41.6</v>
      </c>
      <c r="AE27" s="1"/>
      <c r="AF27" s="1">
        <f t="shared" si="8"/>
        <v>110.02000000000002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36</v>
      </c>
      <c r="C28" s="1">
        <v>697.37400000000002</v>
      </c>
      <c r="D28" s="1">
        <v>311.858</v>
      </c>
      <c r="E28" s="16">
        <f>519.104+E59</f>
        <v>570.11900000000003</v>
      </c>
      <c r="F28" s="16">
        <f>345.325+F59</f>
        <v>327.51499999999999</v>
      </c>
      <c r="G28" s="8">
        <v>1</v>
      </c>
      <c r="H28" s="1">
        <v>45</v>
      </c>
      <c r="I28" s="1" t="s">
        <v>37</v>
      </c>
      <c r="J28" s="1"/>
      <c r="K28" s="1"/>
      <c r="L28" s="1">
        <f t="shared" si="2"/>
        <v>570.11900000000003</v>
      </c>
      <c r="M28" s="1"/>
      <c r="N28" s="1"/>
      <c r="O28" s="1">
        <v>0</v>
      </c>
      <c r="P28" s="1">
        <v>700</v>
      </c>
      <c r="Q28" s="1">
        <f t="shared" si="3"/>
        <v>114.02380000000001</v>
      </c>
      <c r="R28" s="5">
        <f>17*Q28-P28-O28-F28</f>
        <v>910.88960000000009</v>
      </c>
      <c r="S28" s="5"/>
      <c r="T28" s="1"/>
      <c r="U28" s="1">
        <f t="shared" si="4"/>
        <v>16.999999999999996</v>
      </c>
      <c r="V28" s="1">
        <f t="shared" si="5"/>
        <v>9.0114081446154213</v>
      </c>
      <c r="W28" s="1">
        <v>97.657000000000011</v>
      </c>
      <c r="X28" s="1">
        <v>89.227999999999994</v>
      </c>
      <c r="Y28" s="1">
        <v>91.657799999999995</v>
      </c>
      <c r="Z28" s="1">
        <v>88.123999999999995</v>
      </c>
      <c r="AA28" s="1">
        <v>110.1108</v>
      </c>
      <c r="AB28" s="1">
        <v>94.604600000000005</v>
      </c>
      <c r="AC28" s="1">
        <v>93.9696</v>
      </c>
      <c r="AD28" s="1">
        <v>96.637199999999993</v>
      </c>
      <c r="AE28" s="1"/>
      <c r="AF28" s="1">
        <f t="shared" si="8"/>
        <v>910.88960000000009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36</v>
      </c>
      <c r="C29" s="1">
        <v>14.045999999999999</v>
      </c>
      <c r="D29" s="1">
        <v>56.771999999999998</v>
      </c>
      <c r="E29" s="1">
        <v>12.163</v>
      </c>
      <c r="F29" s="1">
        <v>47.750999999999998</v>
      </c>
      <c r="G29" s="8">
        <v>1</v>
      </c>
      <c r="H29" s="1">
        <v>40</v>
      </c>
      <c r="I29" s="1" t="s">
        <v>37</v>
      </c>
      <c r="J29" s="1"/>
      <c r="K29" s="1"/>
      <c r="L29" s="1">
        <f t="shared" si="2"/>
        <v>12.163</v>
      </c>
      <c r="M29" s="1"/>
      <c r="N29" s="1"/>
      <c r="O29" s="1">
        <v>0</v>
      </c>
      <c r="P29" s="1">
        <v>0</v>
      </c>
      <c r="Q29" s="1">
        <f t="shared" si="3"/>
        <v>2.4325999999999999</v>
      </c>
      <c r="R29" s="5"/>
      <c r="S29" s="5"/>
      <c r="T29" s="1"/>
      <c r="U29" s="1">
        <f t="shared" si="4"/>
        <v>19.629614404341034</v>
      </c>
      <c r="V29" s="1">
        <f t="shared" si="5"/>
        <v>19.629614404341034</v>
      </c>
      <c r="W29" s="1">
        <v>5.2119999999999997</v>
      </c>
      <c r="X29" s="1">
        <v>-6.9399999999999989E-2</v>
      </c>
      <c r="Y29" s="1">
        <v>-2.2000000000000002</v>
      </c>
      <c r="Z29" s="1">
        <v>7.8516000000000004</v>
      </c>
      <c r="AA29" s="1">
        <v>3.5236000000000001</v>
      </c>
      <c r="AB29" s="1">
        <v>3.6286</v>
      </c>
      <c r="AC29" s="1">
        <v>-1.3802000000000001</v>
      </c>
      <c r="AD29" s="1">
        <v>4.3376000000000001</v>
      </c>
      <c r="AE29" s="1"/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47</v>
      </c>
      <c r="C30" s="1">
        <v>132</v>
      </c>
      <c r="D30" s="1">
        <v>200</v>
      </c>
      <c r="E30" s="1">
        <v>143</v>
      </c>
      <c r="F30" s="1">
        <v>132.035</v>
      </c>
      <c r="G30" s="8">
        <v>0.4</v>
      </c>
      <c r="H30" s="1">
        <v>55</v>
      </c>
      <c r="I30" s="1" t="s">
        <v>37</v>
      </c>
      <c r="J30" s="1"/>
      <c r="K30" s="1"/>
      <c r="L30" s="1">
        <f t="shared" si="2"/>
        <v>143</v>
      </c>
      <c r="M30" s="1"/>
      <c r="N30" s="1"/>
      <c r="O30" s="1">
        <v>300</v>
      </c>
      <c r="P30" s="1">
        <v>200</v>
      </c>
      <c r="Q30" s="1">
        <f t="shared" si="3"/>
        <v>28.6</v>
      </c>
      <c r="R30" s="5"/>
      <c r="S30" s="5"/>
      <c r="T30" s="1"/>
      <c r="U30" s="1">
        <f t="shared" si="4"/>
        <v>22.099125874125871</v>
      </c>
      <c r="V30" s="1">
        <f t="shared" si="5"/>
        <v>22.099125874125871</v>
      </c>
      <c r="W30" s="1">
        <v>32.4</v>
      </c>
      <c r="X30" s="1">
        <v>40</v>
      </c>
      <c r="Y30" s="1">
        <v>30.8</v>
      </c>
      <c r="Z30" s="1">
        <v>23</v>
      </c>
      <c r="AA30" s="1">
        <v>41.8</v>
      </c>
      <c r="AB30" s="1">
        <v>29.6</v>
      </c>
      <c r="AC30" s="1">
        <v>27</v>
      </c>
      <c r="AD30" s="1">
        <v>23.4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36</v>
      </c>
      <c r="C31" s="1">
        <v>973.22500000000002</v>
      </c>
      <c r="D31" s="1">
        <v>406.49299999999999</v>
      </c>
      <c r="E31" s="16">
        <f>476.994+E60</f>
        <v>589.822</v>
      </c>
      <c r="F31" s="16">
        <f>647.732+F60</f>
        <v>542.36</v>
      </c>
      <c r="G31" s="8">
        <v>1</v>
      </c>
      <c r="H31" s="1">
        <v>60</v>
      </c>
      <c r="I31" s="1" t="s">
        <v>37</v>
      </c>
      <c r="J31" s="1"/>
      <c r="K31" s="1"/>
      <c r="L31" s="1">
        <f t="shared" si="2"/>
        <v>589.822</v>
      </c>
      <c r="M31" s="1"/>
      <c r="N31" s="1"/>
      <c r="O31" s="1">
        <v>300</v>
      </c>
      <c r="P31" s="1">
        <v>400</v>
      </c>
      <c r="Q31" s="1">
        <f t="shared" si="3"/>
        <v>117.9644</v>
      </c>
      <c r="R31" s="5">
        <f t="shared" si="9"/>
        <v>880.99919999999986</v>
      </c>
      <c r="S31" s="5"/>
      <c r="T31" s="1"/>
      <c r="U31" s="1">
        <f t="shared" si="4"/>
        <v>18</v>
      </c>
      <c r="V31" s="1">
        <f t="shared" si="5"/>
        <v>10.531651922105315</v>
      </c>
      <c r="W31" s="1">
        <v>53.588199999999993</v>
      </c>
      <c r="X31" s="1">
        <v>73.159400000000005</v>
      </c>
      <c r="Y31" s="1">
        <v>78.661799999999999</v>
      </c>
      <c r="Z31" s="1">
        <v>72.64200000000001</v>
      </c>
      <c r="AA31" s="1">
        <v>72.347000000000008</v>
      </c>
      <c r="AB31" s="1">
        <v>110.3852</v>
      </c>
      <c r="AC31" s="1">
        <v>64.878600000000006</v>
      </c>
      <c r="AD31" s="1">
        <v>67.605999999999995</v>
      </c>
      <c r="AE31" s="1"/>
      <c r="AF31" s="1">
        <f t="shared" si="8"/>
        <v>880.99919999999986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47</v>
      </c>
      <c r="C32" s="1"/>
      <c r="D32" s="1">
        <v>200</v>
      </c>
      <c r="E32" s="1">
        <v>36</v>
      </c>
      <c r="F32" s="16">
        <f>163+F38</f>
        <v>132</v>
      </c>
      <c r="G32" s="8">
        <v>0.5</v>
      </c>
      <c r="H32" s="1">
        <v>60</v>
      </c>
      <c r="I32" s="1" t="s">
        <v>37</v>
      </c>
      <c r="J32" s="1"/>
      <c r="K32" s="1"/>
      <c r="L32" s="1">
        <f t="shared" si="2"/>
        <v>36</v>
      </c>
      <c r="M32" s="1"/>
      <c r="N32" s="1"/>
      <c r="O32" s="1">
        <v>200</v>
      </c>
      <c r="P32" s="1">
        <v>100</v>
      </c>
      <c r="Q32" s="1">
        <f t="shared" si="3"/>
        <v>7.2</v>
      </c>
      <c r="R32" s="5"/>
      <c r="S32" s="5"/>
      <c r="T32" s="1"/>
      <c r="U32" s="1">
        <f t="shared" si="4"/>
        <v>60</v>
      </c>
      <c r="V32" s="1">
        <f t="shared" si="5"/>
        <v>60</v>
      </c>
      <c r="W32" s="1">
        <v>4.2</v>
      </c>
      <c r="X32" s="1">
        <v>15.6</v>
      </c>
      <c r="Y32" s="1">
        <v>13</v>
      </c>
      <c r="Z32" s="1">
        <v>8.8000000000000007</v>
      </c>
      <c r="AA32" s="1">
        <v>5.6</v>
      </c>
      <c r="AB32" s="1">
        <v>11.6</v>
      </c>
      <c r="AC32" s="1">
        <v>7</v>
      </c>
      <c r="AD32" s="1">
        <v>10.6</v>
      </c>
      <c r="AE32" s="1"/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36</v>
      </c>
      <c r="C33" s="1">
        <v>1024.701</v>
      </c>
      <c r="D33" s="1">
        <v>410.279</v>
      </c>
      <c r="E33" s="16">
        <f>598.402+E61</f>
        <v>700.56200000000001</v>
      </c>
      <c r="F33" s="16">
        <f>574.065+F61</f>
        <v>499.08400000000006</v>
      </c>
      <c r="G33" s="8">
        <v>1</v>
      </c>
      <c r="H33" s="1">
        <v>60</v>
      </c>
      <c r="I33" s="1" t="s">
        <v>37</v>
      </c>
      <c r="J33" s="1"/>
      <c r="K33" s="1"/>
      <c r="L33" s="1">
        <f t="shared" si="2"/>
        <v>700.56200000000001</v>
      </c>
      <c r="M33" s="1"/>
      <c r="N33" s="1"/>
      <c r="O33" s="1">
        <v>700</v>
      </c>
      <c r="P33" s="1">
        <v>400</v>
      </c>
      <c r="Q33" s="1">
        <f t="shared" si="3"/>
        <v>140.11240000000001</v>
      </c>
      <c r="R33" s="5">
        <f t="shared" si="9"/>
        <v>922.93920000000003</v>
      </c>
      <c r="S33" s="5"/>
      <c r="T33" s="1"/>
      <c r="U33" s="1">
        <f t="shared" si="4"/>
        <v>18</v>
      </c>
      <c r="V33" s="1">
        <f t="shared" si="5"/>
        <v>11.412865670704377</v>
      </c>
      <c r="W33" s="1">
        <v>51.633200000000002</v>
      </c>
      <c r="X33" s="1">
        <v>100.645</v>
      </c>
      <c r="Y33" s="1">
        <v>99.616799999999998</v>
      </c>
      <c r="Z33" s="1">
        <v>55.079799999999999</v>
      </c>
      <c r="AA33" s="1">
        <v>108.70659999999999</v>
      </c>
      <c r="AB33" s="1">
        <v>100.682</v>
      </c>
      <c r="AC33" s="1">
        <v>62.739000000000011</v>
      </c>
      <c r="AD33" s="1">
        <v>110.8276</v>
      </c>
      <c r="AE33" s="1"/>
      <c r="AF33" s="1">
        <f t="shared" si="8"/>
        <v>922.93920000000003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36</v>
      </c>
      <c r="C34" s="1">
        <v>712.09400000000005</v>
      </c>
      <c r="D34" s="1">
        <v>403.30399999999997</v>
      </c>
      <c r="E34" s="16">
        <f>413.907+E62</f>
        <v>511.03699999999998</v>
      </c>
      <c r="F34" s="16">
        <f>480.976+F62</f>
        <v>401.35399999999998</v>
      </c>
      <c r="G34" s="8">
        <v>1</v>
      </c>
      <c r="H34" s="1">
        <v>60</v>
      </c>
      <c r="I34" s="1" t="s">
        <v>37</v>
      </c>
      <c r="J34" s="1"/>
      <c r="K34" s="1"/>
      <c r="L34" s="1">
        <f t="shared" si="2"/>
        <v>511.03699999999998</v>
      </c>
      <c r="M34" s="1"/>
      <c r="N34" s="1"/>
      <c r="O34" s="1">
        <v>300</v>
      </c>
      <c r="P34" s="1">
        <v>600</v>
      </c>
      <c r="Q34" s="1">
        <f t="shared" si="3"/>
        <v>102.20739999999999</v>
      </c>
      <c r="R34" s="5">
        <f t="shared" si="9"/>
        <v>538.37919999999986</v>
      </c>
      <c r="S34" s="5"/>
      <c r="T34" s="1"/>
      <c r="U34" s="1">
        <f t="shared" si="4"/>
        <v>18</v>
      </c>
      <c r="V34" s="1">
        <f t="shared" si="5"/>
        <v>12.732483166580895</v>
      </c>
      <c r="W34" s="1">
        <v>59.680600000000013</v>
      </c>
      <c r="X34" s="1">
        <v>70.167999999999992</v>
      </c>
      <c r="Y34" s="1">
        <v>73.153400000000005</v>
      </c>
      <c r="Z34" s="1">
        <v>70.9054</v>
      </c>
      <c r="AA34" s="1">
        <v>58.851199999999992</v>
      </c>
      <c r="AB34" s="1">
        <v>95.770399999999995</v>
      </c>
      <c r="AC34" s="1">
        <v>60.529200000000003</v>
      </c>
      <c r="AD34" s="1">
        <v>57.493399999999987</v>
      </c>
      <c r="AE34" s="1"/>
      <c r="AF34" s="1">
        <f t="shared" si="8"/>
        <v>538.37919999999986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47</v>
      </c>
      <c r="C35" s="1">
        <v>1066</v>
      </c>
      <c r="D35" s="1">
        <v>100</v>
      </c>
      <c r="E35" s="16">
        <f>359+E63</f>
        <v>383</v>
      </c>
      <c r="F35" s="16">
        <f>54+F63</f>
        <v>36</v>
      </c>
      <c r="G35" s="8">
        <v>0.4</v>
      </c>
      <c r="H35" s="1">
        <v>60</v>
      </c>
      <c r="I35" s="1" t="s">
        <v>37</v>
      </c>
      <c r="J35" s="1"/>
      <c r="K35" s="1"/>
      <c r="L35" s="1">
        <f t="shared" si="2"/>
        <v>383</v>
      </c>
      <c r="M35" s="1"/>
      <c r="N35" s="1"/>
      <c r="O35" s="1">
        <v>700</v>
      </c>
      <c r="P35" s="1">
        <v>700</v>
      </c>
      <c r="Q35" s="1">
        <f t="shared" si="3"/>
        <v>76.599999999999994</v>
      </c>
      <c r="R35" s="5"/>
      <c r="S35" s="5"/>
      <c r="T35" s="1"/>
      <c r="U35" s="1">
        <f t="shared" si="4"/>
        <v>18.746736292428199</v>
      </c>
      <c r="V35" s="1">
        <f t="shared" si="5"/>
        <v>18.746736292428199</v>
      </c>
      <c r="W35" s="1">
        <v>75</v>
      </c>
      <c r="X35" s="1">
        <v>100</v>
      </c>
      <c r="Y35" s="1">
        <v>41.8</v>
      </c>
      <c r="Z35" s="1">
        <v>52.4</v>
      </c>
      <c r="AA35" s="1">
        <v>71.8</v>
      </c>
      <c r="AB35" s="1">
        <v>82.8</v>
      </c>
      <c r="AC35" s="1">
        <v>51.6</v>
      </c>
      <c r="AD35" s="1">
        <v>82</v>
      </c>
      <c r="AE35" s="1"/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36</v>
      </c>
      <c r="C36" s="1">
        <v>833.69299999999998</v>
      </c>
      <c r="D36" s="1"/>
      <c r="E36" s="16">
        <f>324.903+E64</f>
        <v>392.99300000000005</v>
      </c>
      <c r="F36" s="16">
        <f>293.657+F64</f>
        <v>243.988</v>
      </c>
      <c r="G36" s="8">
        <v>1</v>
      </c>
      <c r="H36" s="1">
        <v>60</v>
      </c>
      <c r="I36" s="1" t="s">
        <v>37</v>
      </c>
      <c r="J36" s="1"/>
      <c r="K36" s="1"/>
      <c r="L36" s="1">
        <f t="shared" si="2"/>
        <v>392.99300000000005</v>
      </c>
      <c r="M36" s="1"/>
      <c r="N36" s="1"/>
      <c r="O36" s="1">
        <v>300</v>
      </c>
      <c r="P36" s="1">
        <v>750</v>
      </c>
      <c r="Q36" s="1">
        <f t="shared" si="3"/>
        <v>78.598600000000005</v>
      </c>
      <c r="R36" s="5">
        <f t="shared" si="9"/>
        <v>120.78680000000014</v>
      </c>
      <c r="S36" s="5"/>
      <c r="T36" s="1"/>
      <c r="U36" s="1">
        <f t="shared" si="4"/>
        <v>18</v>
      </c>
      <c r="V36" s="1">
        <f t="shared" si="5"/>
        <v>16.463244892402663</v>
      </c>
      <c r="W36" s="1">
        <v>92.225400000000008</v>
      </c>
      <c r="X36" s="1">
        <v>63.377800000000001</v>
      </c>
      <c r="Y36" s="1">
        <v>36.398800000000001</v>
      </c>
      <c r="Z36" s="1">
        <v>117.0176</v>
      </c>
      <c r="AA36" s="1">
        <v>49.442399999999999</v>
      </c>
      <c r="AB36" s="1">
        <v>103.33240000000001</v>
      </c>
      <c r="AC36" s="1">
        <v>45.733600000000003</v>
      </c>
      <c r="AD36" s="1">
        <v>109.50020000000001</v>
      </c>
      <c r="AE36" s="1"/>
      <c r="AF36" s="1">
        <f t="shared" si="8"/>
        <v>120.78680000000014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47</v>
      </c>
      <c r="C37" s="1">
        <v>87</v>
      </c>
      <c r="D37" s="1">
        <v>150</v>
      </c>
      <c r="E37" s="1">
        <v>108</v>
      </c>
      <c r="F37" s="1">
        <v>105</v>
      </c>
      <c r="G37" s="8">
        <v>0.5</v>
      </c>
      <c r="H37" s="1">
        <v>60</v>
      </c>
      <c r="I37" s="1" t="s">
        <v>37</v>
      </c>
      <c r="J37" s="1"/>
      <c r="K37" s="1"/>
      <c r="L37" s="1">
        <f t="shared" si="2"/>
        <v>108</v>
      </c>
      <c r="M37" s="1"/>
      <c r="N37" s="1"/>
      <c r="O37" s="1">
        <v>250</v>
      </c>
      <c r="P37" s="1">
        <v>100</v>
      </c>
      <c r="Q37" s="1">
        <f t="shared" si="3"/>
        <v>21.6</v>
      </c>
      <c r="R37" s="5"/>
      <c r="S37" s="5"/>
      <c r="T37" s="1"/>
      <c r="U37" s="1">
        <f t="shared" si="4"/>
        <v>21.064814814814813</v>
      </c>
      <c r="V37" s="1">
        <f t="shared" si="5"/>
        <v>21.064814814814813</v>
      </c>
      <c r="W37" s="1">
        <v>15.6</v>
      </c>
      <c r="X37" s="1">
        <v>25.8</v>
      </c>
      <c r="Y37" s="1">
        <v>22.8</v>
      </c>
      <c r="Z37" s="1">
        <v>13.4</v>
      </c>
      <c r="AA37" s="1">
        <v>13</v>
      </c>
      <c r="AB37" s="1">
        <v>19.600000000000001</v>
      </c>
      <c r="AC37" s="1">
        <v>13</v>
      </c>
      <c r="AD37" s="1">
        <v>18.8</v>
      </c>
      <c r="AE37" s="1"/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75</v>
      </c>
      <c r="B38" s="10" t="s">
        <v>47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76</v>
      </c>
      <c r="J38" s="10" t="s">
        <v>69</v>
      </c>
      <c r="K38" s="10"/>
      <c r="L38" s="10">
        <f t="shared" ref="L38:L69" si="10">E38-K38</f>
        <v>0</v>
      </c>
      <c r="M38" s="10"/>
      <c r="N38" s="10"/>
      <c r="O38" s="10"/>
      <c r="P38" s="10"/>
      <c r="Q38" s="10">
        <f t="shared" ref="Q38:Q69" si="11">E38/5</f>
        <v>0</v>
      </c>
      <c r="R38" s="12"/>
      <c r="S38" s="12"/>
      <c r="T38" s="10"/>
      <c r="U38" s="10" t="e">
        <f t="shared" ref="U38:U69" si="12">(F38+O38+P38+R38)/Q38</f>
        <v>#DIV/0!</v>
      </c>
      <c r="V38" s="10" t="e">
        <f t="shared" ref="V38:V69" si="13">(F38+O38+P38)/Q38</f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10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47</v>
      </c>
      <c r="C39" s="1">
        <v>1</v>
      </c>
      <c r="D39" s="1"/>
      <c r="E39" s="1"/>
      <c r="F39" s="1">
        <v>1</v>
      </c>
      <c r="G39" s="8">
        <v>0.4</v>
      </c>
      <c r="H39" s="1">
        <v>50</v>
      </c>
      <c r="I39" s="1" t="s">
        <v>37</v>
      </c>
      <c r="J39" s="1"/>
      <c r="K39" s="1"/>
      <c r="L39" s="1">
        <f t="shared" si="10"/>
        <v>0</v>
      </c>
      <c r="M39" s="1"/>
      <c r="N39" s="1"/>
      <c r="O39" s="1">
        <v>250</v>
      </c>
      <c r="P39" s="1">
        <v>100</v>
      </c>
      <c r="Q39" s="1">
        <f t="shared" si="11"/>
        <v>0</v>
      </c>
      <c r="R39" s="5"/>
      <c r="S39" s="5"/>
      <c r="T39" s="1"/>
      <c r="U39" s="1" t="e">
        <f t="shared" si="12"/>
        <v>#DIV/0!</v>
      </c>
      <c r="V39" s="1" t="e">
        <f t="shared" si="13"/>
        <v>#DIV/0!</v>
      </c>
      <c r="W39" s="1">
        <v>23.8</v>
      </c>
      <c r="X39" s="1">
        <v>7.2</v>
      </c>
      <c r="Y39" s="1">
        <v>5.8</v>
      </c>
      <c r="Z39" s="1">
        <v>12.6</v>
      </c>
      <c r="AA39" s="1">
        <v>14.2</v>
      </c>
      <c r="AB39" s="1">
        <v>10.199999999999999</v>
      </c>
      <c r="AC39" s="1">
        <v>11</v>
      </c>
      <c r="AD39" s="1">
        <v>0.8</v>
      </c>
      <c r="AE39" s="1"/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36</v>
      </c>
      <c r="C40" s="1">
        <v>1115.1769999999999</v>
      </c>
      <c r="D40" s="1">
        <v>1207.2059999999999</v>
      </c>
      <c r="E40" s="16">
        <f>986.954+E65</f>
        <v>1143.31</v>
      </c>
      <c r="F40" s="16">
        <f>682.769+F65</f>
        <v>567.44799999999998</v>
      </c>
      <c r="G40" s="8">
        <v>1</v>
      </c>
      <c r="H40" s="1">
        <v>40</v>
      </c>
      <c r="I40" s="1" t="s">
        <v>37</v>
      </c>
      <c r="J40" s="1"/>
      <c r="K40" s="1"/>
      <c r="L40" s="1">
        <f t="shared" si="10"/>
        <v>1143.31</v>
      </c>
      <c r="M40" s="1"/>
      <c r="N40" s="1"/>
      <c r="O40" s="1">
        <v>500</v>
      </c>
      <c r="P40" s="1">
        <v>1300</v>
      </c>
      <c r="Q40" s="1">
        <f t="shared" si="11"/>
        <v>228.66199999999998</v>
      </c>
      <c r="R40" s="5">
        <f t="shared" ref="R39:R40" si="14">18*Q40-P40-O40-F40</f>
        <v>1748.4679999999994</v>
      </c>
      <c r="S40" s="5"/>
      <c r="T40" s="1"/>
      <c r="U40" s="1">
        <f t="shared" si="12"/>
        <v>18</v>
      </c>
      <c r="V40" s="1">
        <f t="shared" si="13"/>
        <v>10.353482432586087</v>
      </c>
      <c r="W40" s="1">
        <v>198.33879999999999</v>
      </c>
      <c r="X40" s="1">
        <v>138.934</v>
      </c>
      <c r="Y40" s="1">
        <v>202.55779999999999</v>
      </c>
      <c r="Z40" s="1">
        <v>211.7406</v>
      </c>
      <c r="AA40" s="1">
        <v>139.38579999999999</v>
      </c>
      <c r="AB40" s="1">
        <v>149.83959999999999</v>
      </c>
      <c r="AC40" s="1">
        <v>133.23519999999999</v>
      </c>
      <c r="AD40" s="1">
        <v>159.911</v>
      </c>
      <c r="AE40" s="1"/>
      <c r="AF40" s="1">
        <f>G40*R40</f>
        <v>1748.4679999999994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79</v>
      </c>
      <c r="B41" s="10" t="s">
        <v>36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0"/>
        <v>0</v>
      </c>
      <c r="M41" s="10"/>
      <c r="N41" s="10"/>
      <c r="O41" s="10"/>
      <c r="P41" s="10"/>
      <c r="Q41" s="10">
        <f t="shared" si="11"/>
        <v>0</v>
      </c>
      <c r="R41" s="12"/>
      <c r="S41" s="12"/>
      <c r="T41" s="10"/>
      <c r="U41" s="10" t="e">
        <f t="shared" si="12"/>
        <v>#DIV/0!</v>
      </c>
      <c r="V41" s="10" t="e">
        <f t="shared" si="13"/>
        <v>#DIV/0!</v>
      </c>
      <c r="W41" s="10">
        <v>0</v>
      </c>
      <c r="X41" s="10">
        <v>0</v>
      </c>
      <c r="Y41" s="10">
        <v>0</v>
      </c>
      <c r="Z41" s="10">
        <v>0.33800000000000002</v>
      </c>
      <c r="AA41" s="10">
        <v>-0.3392</v>
      </c>
      <c r="AB41" s="10">
        <v>0</v>
      </c>
      <c r="AC41" s="10">
        <v>0</v>
      </c>
      <c r="AD41" s="10">
        <v>0</v>
      </c>
      <c r="AE41" s="10"/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36</v>
      </c>
      <c r="C42" s="1">
        <v>131.233</v>
      </c>
      <c r="D42" s="1">
        <v>200.25200000000001</v>
      </c>
      <c r="E42" s="1">
        <v>183.678</v>
      </c>
      <c r="F42" s="1">
        <v>130.20500000000001</v>
      </c>
      <c r="G42" s="8">
        <v>1</v>
      </c>
      <c r="H42" s="1">
        <v>70</v>
      </c>
      <c r="I42" s="1" t="s">
        <v>37</v>
      </c>
      <c r="J42" s="1"/>
      <c r="K42" s="1"/>
      <c r="L42" s="1">
        <f t="shared" si="10"/>
        <v>183.678</v>
      </c>
      <c r="M42" s="1"/>
      <c r="N42" s="1"/>
      <c r="O42" s="1">
        <v>100</v>
      </c>
      <c r="P42" s="1">
        <v>300</v>
      </c>
      <c r="Q42" s="1">
        <f t="shared" si="11"/>
        <v>36.735599999999998</v>
      </c>
      <c r="R42" s="5">
        <f t="shared" ref="R42:R51" si="15">18*Q42-P42-O42-F42</f>
        <v>131.03579999999991</v>
      </c>
      <c r="S42" s="5"/>
      <c r="T42" s="1"/>
      <c r="U42" s="1">
        <f t="shared" si="12"/>
        <v>18</v>
      </c>
      <c r="V42" s="1">
        <f t="shared" si="13"/>
        <v>14.433002319276126</v>
      </c>
      <c r="W42" s="1">
        <v>30.283999999999999</v>
      </c>
      <c r="X42" s="1">
        <v>27.277799999999999</v>
      </c>
      <c r="Y42" s="1">
        <v>35.937600000000003</v>
      </c>
      <c r="Z42" s="1">
        <v>19.868400000000001</v>
      </c>
      <c r="AA42" s="1">
        <v>35.039400000000001</v>
      </c>
      <c r="AB42" s="1">
        <v>23.706800000000001</v>
      </c>
      <c r="AC42" s="1">
        <v>14.4344</v>
      </c>
      <c r="AD42" s="1">
        <v>38.240600000000001</v>
      </c>
      <c r="AE42" s="1"/>
      <c r="AF42" s="1">
        <f t="shared" ref="AF42:AF51" si="16">G42*R42</f>
        <v>131.03579999999991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47</v>
      </c>
      <c r="C43" s="1">
        <v>1860</v>
      </c>
      <c r="D43" s="1">
        <v>504</v>
      </c>
      <c r="E43" s="16">
        <f>781+E66</f>
        <v>864</v>
      </c>
      <c r="F43" s="16">
        <f>61+F66</f>
        <v>-1</v>
      </c>
      <c r="G43" s="8">
        <v>0.4</v>
      </c>
      <c r="H43" s="1">
        <v>40</v>
      </c>
      <c r="I43" s="1" t="s">
        <v>37</v>
      </c>
      <c r="J43" s="1"/>
      <c r="K43" s="1"/>
      <c r="L43" s="1">
        <f t="shared" si="10"/>
        <v>864</v>
      </c>
      <c r="M43" s="1"/>
      <c r="N43" s="1"/>
      <c r="O43" s="1">
        <v>1000</v>
      </c>
      <c r="P43" s="1">
        <v>1600</v>
      </c>
      <c r="Q43" s="1">
        <f t="shared" si="11"/>
        <v>172.8</v>
      </c>
      <c r="R43" s="5">
        <f t="shared" si="15"/>
        <v>511.40000000000009</v>
      </c>
      <c r="S43" s="5"/>
      <c r="T43" s="1"/>
      <c r="U43" s="1">
        <f t="shared" si="12"/>
        <v>18</v>
      </c>
      <c r="V43" s="1">
        <f t="shared" si="13"/>
        <v>15.040509259259258</v>
      </c>
      <c r="W43" s="1">
        <v>165.2</v>
      </c>
      <c r="X43" s="1">
        <v>199.6</v>
      </c>
      <c r="Y43" s="1">
        <v>143.6</v>
      </c>
      <c r="Z43" s="1">
        <v>130.19999999999999</v>
      </c>
      <c r="AA43" s="1">
        <v>169.6</v>
      </c>
      <c r="AB43" s="1">
        <v>152.19999999999999</v>
      </c>
      <c r="AC43" s="1">
        <v>152.19999999999999</v>
      </c>
      <c r="AD43" s="1">
        <v>148.19999999999999</v>
      </c>
      <c r="AE43" s="1"/>
      <c r="AF43" s="1">
        <f t="shared" si="16"/>
        <v>204.56000000000006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36</v>
      </c>
      <c r="C44" s="1">
        <v>564.95899999999995</v>
      </c>
      <c r="D44" s="1">
        <v>404.39499999999998</v>
      </c>
      <c r="E44" s="16">
        <f>157.457+E67</f>
        <v>258.56599999999997</v>
      </c>
      <c r="F44" s="16">
        <f>388.787+F67</f>
        <v>311.54399999999998</v>
      </c>
      <c r="G44" s="8">
        <v>1</v>
      </c>
      <c r="H44" s="1">
        <v>60</v>
      </c>
      <c r="I44" s="1" t="s">
        <v>37</v>
      </c>
      <c r="J44" s="1"/>
      <c r="K44" s="1"/>
      <c r="L44" s="1">
        <f t="shared" si="10"/>
        <v>258.56599999999997</v>
      </c>
      <c r="M44" s="1"/>
      <c r="N44" s="1"/>
      <c r="O44" s="1">
        <v>400</v>
      </c>
      <c r="P44" s="1">
        <v>400</v>
      </c>
      <c r="Q44" s="1">
        <f t="shared" si="11"/>
        <v>51.713199999999993</v>
      </c>
      <c r="R44" s="5"/>
      <c r="S44" s="5"/>
      <c r="T44" s="1"/>
      <c r="U44" s="1">
        <f t="shared" si="12"/>
        <v>21.494396014943959</v>
      </c>
      <c r="V44" s="1">
        <f t="shared" si="13"/>
        <v>21.494396014943959</v>
      </c>
      <c r="W44" s="1">
        <v>50.019799999999996</v>
      </c>
      <c r="X44" s="1">
        <v>45.35</v>
      </c>
      <c r="Y44" s="1">
        <v>53.049199999999999</v>
      </c>
      <c r="Z44" s="1">
        <v>44.110399999999998</v>
      </c>
      <c r="AA44" s="1">
        <v>55.955199999999998</v>
      </c>
      <c r="AB44" s="1">
        <v>43.550600000000003</v>
      </c>
      <c r="AC44" s="1">
        <v>41.447400000000002</v>
      </c>
      <c r="AD44" s="1">
        <v>48.029000000000003</v>
      </c>
      <c r="AE44" s="1"/>
      <c r="AF44" s="1">
        <f t="shared" si="1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36</v>
      </c>
      <c r="C45" s="1">
        <v>26.140999999999998</v>
      </c>
      <c r="D45" s="1">
        <v>107.815</v>
      </c>
      <c r="E45" s="1">
        <v>45.825000000000003</v>
      </c>
      <c r="F45" s="1">
        <v>78.736000000000004</v>
      </c>
      <c r="G45" s="8">
        <v>1</v>
      </c>
      <c r="H45" s="1">
        <v>50</v>
      </c>
      <c r="I45" s="1" t="s">
        <v>37</v>
      </c>
      <c r="J45" s="1"/>
      <c r="K45" s="1"/>
      <c r="L45" s="1">
        <f t="shared" si="10"/>
        <v>45.825000000000003</v>
      </c>
      <c r="M45" s="1"/>
      <c r="N45" s="1"/>
      <c r="O45" s="1">
        <v>100</v>
      </c>
      <c r="P45" s="1">
        <v>50</v>
      </c>
      <c r="Q45" s="1">
        <f t="shared" si="11"/>
        <v>9.1650000000000009</v>
      </c>
      <c r="R45" s="5"/>
      <c r="S45" s="5"/>
      <c r="T45" s="1"/>
      <c r="U45" s="1">
        <f t="shared" si="12"/>
        <v>24.957555919258045</v>
      </c>
      <c r="V45" s="1">
        <f t="shared" si="13"/>
        <v>24.957555919258045</v>
      </c>
      <c r="W45" s="1">
        <v>10.728400000000001</v>
      </c>
      <c r="X45" s="1">
        <v>7.2680000000000007</v>
      </c>
      <c r="Y45" s="1">
        <v>7.7941999999999991</v>
      </c>
      <c r="Z45" s="1">
        <v>8.8587999999999987</v>
      </c>
      <c r="AA45" s="1">
        <v>11.0182</v>
      </c>
      <c r="AB45" s="1">
        <v>7.6918000000000006</v>
      </c>
      <c r="AC45" s="1">
        <v>0.50519999999999998</v>
      </c>
      <c r="AD45" s="1">
        <v>6.7165999999999997</v>
      </c>
      <c r="AE45" s="1"/>
      <c r="AF45" s="1">
        <f t="shared" si="1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47</v>
      </c>
      <c r="C46" s="1">
        <v>107</v>
      </c>
      <c r="D46" s="1">
        <v>160</v>
      </c>
      <c r="E46" s="1">
        <v>179</v>
      </c>
      <c r="F46" s="1">
        <v>65</v>
      </c>
      <c r="G46" s="8">
        <v>0.45</v>
      </c>
      <c r="H46" s="1">
        <v>50</v>
      </c>
      <c r="I46" s="1" t="s">
        <v>37</v>
      </c>
      <c r="J46" s="1"/>
      <c r="K46" s="1"/>
      <c r="L46" s="1">
        <f t="shared" si="10"/>
        <v>179</v>
      </c>
      <c r="M46" s="1"/>
      <c r="N46" s="1"/>
      <c r="O46" s="1">
        <v>155.55555555555549</v>
      </c>
      <c r="P46" s="1">
        <v>102.2222222222222</v>
      </c>
      <c r="Q46" s="1">
        <f t="shared" si="11"/>
        <v>35.799999999999997</v>
      </c>
      <c r="R46" s="5">
        <f>17*Q46-P46-O46-F46</f>
        <v>285.82222222222225</v>
      </c>
      <c r="S46" s="5"/>
      <c r="T46" s="1"/>
      <c r="U46" s="1">
        <f t="shared" si="12"/>
        <v>17</v>
      </c>
      <c r="V46" s="1">
        <f t="shared" si="13"/>
        <v>9.0161390440720037</v>
      </c>
      <c r="W46" s="1">
        <v>19.600000000000001</v>
      </c>
      <c r="X46" s="1">
        <v>18</v>
      </c>
      <c r="Y46" s="1">
        <v>30.8</v>
      </c>
      <c r="Z46" s="1">
        <v>25.4</v>
      </c>
      <c r="AA46" s="1">
        <v>20.6</v>
      </c>
      <c r="AB46" s="1">
        <v>22.4</v>
      </c>
      <c r="AC46" s="1">
        <v>13</v>
      </c>
      <c r="AD46" s="1">
        <v>27</v>
      </c>
      <c r="AE46" s="1"/>
      <c r="AF46" s="1">
        <f t="shared" si="16"/>
        <v>128.62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47</v>
      </c>
      <c r="C47" s="1">
        <v>153</v>
      </c>
      <c r="D47" s="1">
        <v>150</v>
      </c>
      <c r="E47" s="1">
        <v>222</v>
      </c>
      <c r="F47" s="1">
        <v>47</v>
      </c>
      <c r="G47" s="8">
        <v>0.4</v>
      </c>
      <c r="H47" s="1">
        <v>50</v>
      </c>
      <c r="I47" s="1" t="s">
        <v>37</v>
      </c>
      <c r="J47" s="1"/>
      <c r="K47" s="1"/>
      <c r="L47" s="1">
        <f t="shared" si="10"/>
        <v>222</v>
      </c>
      <c r="M47" s="1"/>
      <c r="N47" s="1"/>
      <c r="O47" s="1">
        <v>150</v>
      </c>
      <c r="P47" s="1">
        <v>430</v>
      </c>
      <c r="Q47" s="1">
        <f t="shared" si="11"/>
        <v>44.4</v>
      </c>
      <c r="R47" s="5">
        <f t="shared" si="15"/>
        <v>172.19999999999993</v>
      </c>
      <c r="S47" s="5"/>
      <c r="T47" s="1"/>
      <c r="U47" s="1">
        <f t="shared" si="12"/>
        <v>18</v>
      </c>
      <c r="V47" s="1">
        <f t="shared" si="13"/>
        <v>14.121621621621623</v>
      </c>
      <c r="W47" s="1">
        <v>37.6</v>
      </c>
      <c r="X47" s="1">
        <v>32.4</v>
      </c>
      <c r="Y47" s="1">
        <v>42.8</v>
      </c>
      <c r="Z47" s="1">
        <v>34.799999999999997</v>
      </c>
      <c r="AA47" s="1">
        <v>40.200000000000003</v>
      </c>
      <c r="AB47" s="1">
        <v>41.4</v>
      </c>
      <c r="AC47" s="1">
        <v>26</v>
      </c>
      <c r="AD47" s="1">
        <v>31.4</v>
      </c>
      <c r="AE47" s="1"/>
      <c r="AF47" s="1">
        <f t="shared" si="16"/>
        <v>68.879999999999981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36</v>
      </c>
      <c r="C48" s="1">
        <v>88.364999999999995</v>
      </c>
      <c r="D48" s="1">
        <v>107.73399999999999</v>
      </c>
      <c r="E48" s="1">
        <v>99.405000000000001</v>
      </c>
      <c r="F48" s="1">
        <v>94.36</v>
      </c>
      <c r="G48" s="8">
        <v>1</v>
      </c>
      <c r="H48" s="1">
        <v>50</v>
      </c>
      <c r="I48" s="1" t="s">
        <v>37</v>
      </c>
      <c r="J48" s="1"/>
      <c r="K48" s="1"/>
      <c r="L48" s="1">
        <f t="shared" si="10"/>
        <v>99.405000000000001</v>
      </c>
      <c r="M48" s="1"/>
      <c r="N48" s="1"/>
      <c r="O48" s="1">
        <v>60</v>
      </c>
      <c r="P48" s="1">
        <v>100</v>
      </c>
      <c r="Q48" s="1">
        <f t="shared" si="11"/>
        <v>19.881</v>
      </c>
      <c r="R48" s="5">
        <f t="shared" si="15"/>
        <v>103.498</v>
      </c>
      <c r="S48" s="5"/>
      <c r="T48" s="1"/>
      <c r="U48" s="1">
        <f t="shared" si="12"/>
        <v>18</v>
      </c>
      <c r="V48" s="1">
        <f t="shared" si="13"/>
        <v>12.794125044011871</v>
      </c>
      <c r="W48" s="1">
        <v>9.6715999999999998</v>
      </c>
      <c r="X48" s="1">
        <v>13.3668</v>
      </c>
      <c r="Y48" s="1">
        <v>12.178000000000001</v>
      </c>
      <c r="Z48" s="1">
        <v>13.906599999999999</v>
      </c>
      <c r="AA48" s="1">
        <v>16.425999999999998</v>
      </c>
      <c r="AB48" s="1">
        <v>17.5504</v>
      </c>
      <c r="AC48" s="1">
        <v>9.9718</v>
      </c>
      <c r="AD48" s="1">
        <v>11.7598</v>
      </c>
      <c r="AE48" s="1"/>
      <c r="AF48" s="1">
        <f t="shared" si="16"/>
        <v>103.498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47</v>
      </c>
      <c r="C49" s="1">
        <v>219</v>
      </c>
      <c r="D49" s="1">
        <v>300</v>
      </c>
      <c r="E49" s="1">
        <v>371</v>
      </c>
      <c r="F49" s="1">
        <v>96</v>
      </c>
      <c r="G49" s="8">
        <v>0.45</v>
      </c>
      <c r="H49" s="1">
        <v>50</v>
      </c>
      <c r="I49" s="1" t="s">
        <v>37</v>
      </c>
      <c r="J49" s="1"/>
      <c r="K49" s="1"/>
      <c r="L49" s="1">
        <f t="shared" si="10"/>
        <v>371</v>
      </c>
      <c r="M49" s="1"/>
      <c r="N49" s="1"/>
      <c r="O49" s="1">
        <v>355.55555555555549</v>
      </c>
      <c r="P49" s="1">
        <v>640</v>
      </c>
      <c r="Q49" s="1">
        <f t="shared" si="11"/>
        <v>74.2</v>
      </c>
      <c r="R49" s="5">
        <f t="shared" si="15"/>
        <v>244.04444444444465</v>
      </c>
      <c r="S49" s="5"/>
      <c r="T49" s="1"/>
      <c r="U49" s="1">
        <f t="shared" si="12"/>
        <v>18</v>
      </c>
      <c r="V49" s="1">
        <f t="shared" si="13"/>
        <v>14.710991314764897</v>
      </c>
      <c r="W49" s="1">
        <v>69.400000000000006</v>
      </c>
      <c r="X49" s="1">
        <v>55.8</v>
      </c>
      <c r="Y49" s="1">
        <v>79.400000000000006</v>
      </c>
      <c r="Z49" s="1">
        <v>66.8</v>
      </c>
      <c r="AA49" s="1">
        <v>55</v>
      </c>
      <c r="AB49" s="1">
        <v>74.8</v>
      </c>
      <c r="AC49" s="1">
        <v>75.599999999999994</v>
      </c>
      <c r="AD49" s="1">
        <v>56.4</v>
      </c>
      <c r="AE49" s="1"/>
      <c r="AF49" s="1">
        <f t="shared" si="16"/>
        <v>109.82000000000009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47</v>
      </c>
      <c r="C50" s="1">
        <v>5</v>
      </c>
      <c r="D50" s="1">
        <v>195</v>
      </c>
      <c r="E50" s="1">
        <v>41</v>
      </c>
      <c r="F50" s="1">
        <v>157</v>
      </c>
      <c r="G50" s="8">
        <v>0.17</v>
      </c>
      <c r="H50" s="1">
        <v>180</v>
      </c>
      <c r="I50" s="1" t="s">
        <v>37</v>
      </c>
      <c r="J50" s="1"/>
      <c r="K50" s="1"/>
      <c r="L50" s="1">
        <f t="shared" si="10"/>
        <v>41</v>
      </c>
      <c r="M50" s="1"/>
      <c r="N50" s="1"/>
      <c r="O50" s="1">
        <v>0</v>
      </c>
      <c r="P50" s="1">
        <v>205.88235294117649</v>
      </c>
      <c r="Q50" s="1">
        <f t="shared" si="11"/>
        <v>8.1999999999999993</v>
      </c>
      <c r="R50" s="5"/>
      <c r="S50" s="5"/>
      <c r="T50" s="1"/>
      <c r="U50" s="1">
        <f t="shared" si="12"/>
        <v>44.25394548063128</v>
      </c>
      <c r="V50" s="1">
        <f t="shared" si="13"/>
        <v>44.25394548063128</v>
      </c>
      <c r="W50" s="1">
        <v>15.8</v>
      </c>
      <c r="X50" s="1">
        <v>5.8</v>
      </c>
      <c r="Y50" s="1">
        <v>9.6</v>
      </c>
      <c r="Z50" s="1">
        <v>9.8000000000000007</v>
      </c>
      <c r="AA50" s="1">
        <v>7.4</v>
      </c>
      <c r="AB50" s="1">
        <v>8.1999999999999993</v>
      </c>
      <c r="AC50" s="1">
        <v>11.4</v>
      </c>
      <c r="AD50" s="1">
        <v>10.6</v>
      </c>
      <c r="AE50" s="1"/>
      <c r="AF50" s="1">
        <f t="shared" si="16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89</v>
      </c>
      <c r="B51" s="1" t="s">
        <v>47</v>
      </c>
      <c r="C51" s="1">
        <v>402</v>
      </c>
      <c r="D51" s="1"/>
      <c r="E51" s="16">
        <f>85+E69</f>
        <v>100</v>
      </c>
      <c r="F51" s="16">
        <f>262+F69</f>
        <v>248</v>
      </c>
      <c r="G51" s="8">
        <v>0.17</v>
      </c>
      <c r="H51" s="1">
        <v>180</v>
      </c>
      <c r="I51" s="1" t="s">
        <v>37</v>
      </c>
      <c r="J51" s="1"/>
      <c r="K51" s="1"/>
      <c r="L51" s="1">
        <f t="shared" si="10"/>
        <v>100</v>
      </c>
      <c r="M51" s="1"/>
      <c r="N51" s="1"/>
      <c r="O51" s="1">
        <v>0</v>
      </c>
      <c r="P51" s="1">
        <v>300</v>
      </c>
      <c r="Q51" s="1">
        <f t="shared" si="11"/>
        <v>20</v>
      </c>
      <c r="R51" s="5"/>
      <c r="S51" s="5"/>
      <c r="T51" s="1"/>
      <c r="U51" s="1">
        <f t="shared" si="12"/>
        <v>27.4</v>
      </c>
      <c r="V51" s="1">
        <f t="shared" si="13"/>
        <v>27.4</v>
      </c>
      <c r="W51" s="1">
        <v>38</v>
      </c>
      <c r="X51" s="1">
        <v>26.2</v>
      </c>
      <c r="Y51" s="1">
        <v>14.2</v>
      </c>
      <c r="Z51" s="1">
        <v>13.2</v>
      </c>
      <c r="AA51" s="1">
        <v>0</v>
      </c>
      <c r="AB51" s="1">
        <v>1</v>
      </c>
      <c r="AC51" s="1">
        <v>35.4</v>
      </c>
      <c r="AD51" s="1">
        <v>21</v>
      </c>
      <c r="AE51" s="17" t="s">
        <v>68</v>
      </c>
      <c r="AF51" s="1">
        <f t="shared" si="16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3" t="s">
        <v>90</v>
      </c>
      <c r="B52" s="13" t="s">
        <v>36</v>
      </c>
      <c r="C52" s="13">
        <v>-4.3559999999999999</v>
      </c>
      <c r="D52" s="13">
        <v>19.675000000000001</v>
      </c>
      <c r="E52" s="16">
        <v>14.536</v>
      </c>
      <c r="F52" s="16">
        <v>-4.3250000000000002</v>
      </c>
      <c r="G52" s="14">
        <v>0</v>
      </c>
      <c r="H52" s="13"/>
      <c r="I52" s="13" t="s">
        <v>91</v>
      </c>
      <c r="J52" s="13" t="s">
        <v>45</v>
      </c>
      <c r="K52" s="13"/>
      <c r="L52" s="13">
        <f t="shared" si="10"/>
        <v>14.536</v>
      </c>
      <c r="M52" s="13"/>
      <c r="N52" s="13"/>
      <c r="O52" s="13"/>
      <c r="P52" s="13"/>
      <c r="Q52" s="13">
        <f t="shared" si="11"/>
        <v>2.9072</v>
      </c>
      <c r="R52" s="15"/>
      <c r="S52" s="15"/>
      <c r="T52" s="13"/>
      <c r="U52" s="13">
        <f t="shared" si="12"/>
        <v>-1.4876857457347277</v>
      </c>
      <c r="V52" s="13">
        <f t="shared" si="13"/>
        <v>-1.4876857457347277</v>
      </c>
      <c r="W52" s="13">
        <v>1.8928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/>
      <c r="AF52" s="13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3" t="s">
        <v>92</v>
      </c>
      <c r="B53" s="13" t="s">
        <v>47</v>
      </c>
      <c r="C53" s="13">
        <v>-43</v>
      </c>
      <c r="D53" s="13">
        <v>80</v>
      </c>
      <c r="E53" s="16">
        <v>61</v>
      </c>
      <c r="F53" s="16">
        <v>-35</v>
      </c>
      <c r="G53" s="14">
        <v>0</v>
      </c>
      <c r="H53" s="13"/>
      <c r="I53" s="13" t="s">
        <v>91</v>
      </c>
      <c r="J53" s="13" t="s">
        <v>46</v>
      </c>
      <c r="K53" s="13"/>
      <c r="L53" s="13">
        <f t="shared" si="10"/>
        <v>61</v>
      </c>
      <c r="M53" s="13"/>
      <c r="N53" s="13"/>
      <c r="O53" s="13"/>
      <c r="P53" s="13"/>
      <c r="Q53" s="13">
        <f t="shared" si="11"/>
        <v>12.2</v>
      </c>
      <c r="R53" s="15"/>
      <c r="S53" s="15"/>
      <c r="T53" s="13"/>
      <c r="U53" s="13">
        <f t="shared" si="12"/>
        <v>-2.8688524590163937</v>
      </c>
      <c r="V53" s="13">
        <f t="shared" si="13"/>
        <v>-2.8688524590163937</v>
      </c>
      <c r="W53" s="13">
        <v>10.199999999999999</v>
      </c>
      <c r="X53" s="13">
        <v>0</v>
      </c>
      <c r="Y53" s="13">
        <v>0</v>
      </c>
      <c r="Z53" s="13">
        <v>0.6</v>
      </c>
      <c r="AA53" s="13">
        <v>0</v>
      </c>
      <c r="AB53" s="13">
        <v>0</v>
      </c>
      <c r="AC53" s="13">
        <v>0</v>
      </c>
      <c r="AD53" s="13">
        <v>0</v>
      </c>
      <c r="AE53" s="13"/>
      <c r="AF53" s="13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3" t="s">
        <v>93</v>
      </c>
      <c r="B54" s="13" t="s">
        <v>36</v>
      </c>
      <c r="C54" s="13">
        <v>-84.751999999999995</v>
      </c>
      <c r="D54" s="13">
        <v>84.751999999999995</v>
      </c>
      <c r="E54" s="13"/>
      <c r="F54" s="13"/>
      <c r="G54" s="14">
        <v>0</v>
      </c>
      <c r="H54" s="13"/>
      <c r="I54" s="13" t="s">
        <v>91</v>
      </c>
      <c r="J54" s="13" t="s">
        <v>48</v>
      </c>
      <c r="K54" s="13"/>
      <c r="L54" s="13">
        <f t="shared" si="10"/>
        <v>0</v>
      </c>
      <c r="M54" s="13"/>
      <c r="N54" s="13"/>
      <c r="O54" s="13"/>
      <c r="P54" s="13"/>
      <c r="Q54" s="13">
        <f t="shared" si="11"/>
        <v>0</v>
      </c>
      <c r="R54" s="15"/>
      <c r="S54" s="15"/>
      <c r="T54" s="13"/>
      <c r="U54" s="13" t="e">
        <f t="shared" si="12"/>
        <v>#DIV/0!</v>
      </c>
      <c r="V54" s="13" t="e">
        <f t="shared" si="13"/>
        <v>#DIV/0!</v>
      </c>
      <c r="W54" s="13">
        <v>2.4969999999999999</v>
      </c>
      <c r="X54" s="13">
        <v>5.9809999999999999</v>
      </c>
      <c r="Y54" s="13">
        <v>5.9809999999999999</v>
      </c>
      <c r="Z54" s="13">
        <v>3.3628</v>
      </c>
      <c r="AA54" s="13">
        <v>7.0025999999999993</v>
      </c>
      <c r="AB54" s="13">
        <v>3.2052</v>
      </c>
      <c r="AC54" s="13">
        <v>3.0546000000000002</v>
      </c>
      <c r="AD54" s="13">
        <v>8.920399999999999</v>
      </c>
      <c r="AE54" s="13"/>
      <c r="AF54" s="13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3" t="s">
        <v>94</v>
      </c>
      <c r="B55" s="13" t="s">
        <v>47</v>
      </c>
      <c r="C55" s="13">
        <v>-243</v>
      </c>
      <c r="D55" s="13">
        <v>243</v>
      </c>
      <c r="E55" s="13"/>
      <c r="F55" s="13"/>
      <c r="G55" s="14">
        <v>0</v>
      </c>
      <c r="H55" s="13"/>
      <c r="I55" s="13" t="s">
        <v>91</v>
      </c>
      <c r="J55" s="13" t="s">
        <v>49</v>
      </c>
      <c r="K55" s="13"/>
      <c r="L55" s="13">
        <f t="shared" si="10"/>
        <v>0</v>
      </c>
      <c r="M55" s="13"/>
      <c r="N55" s="13"/>
      <c r="O55" s="13"/>
      <c r="P55" s="13"/>
      <c r="Q55" s="13">
        <f t="shared" si="11"/>
        <v>0</v>
      </c>
      <c r="R55" s="15"/>
      <c r="S55" s="15"/>
      <c r="T55" s="13"/>
      <c r="U55" s="13" t="e">
        <f t="shared" si="12"/>
        <v>#DIV/0!</v>
      </c>
      <c r="V55" s="13" t="e">
        <f t="shared" si="13"/>
        <v>#DIV/0!</v>
      </c>
      <c r="W55" s="13">
        <v>8</v>
      </c>
      <c r="X55" s="13">
        <v>16.8</v>
      </c>
      <c r="Y55" s="13">
        <v>15.2</v>
      </c>
      <c r="Z55" s="13">
        <v>11.2</v>
      </c>
      <c r="AA55" s="13">
        <v>14</v>
      </c>
      <c r="AB55" s="13">
        <v>19</v>
      </c>
      <c r="AC55" s="13">
        <v>12.8</v>
      </c>
      <c r="AD55" s="13">
        <v>15.8</v>
      </c>
      <c r="AE55" s="13"/>
      <c r="AF55" s="13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3" t="s">
        <v>95</v>
      </c>
      <c r="B56" s="13" t="s">
        <v>36</v>
      </c>
      <c r="C56" s="13">
        <v>-62.350999999999999</v>
      </c>
      <c r="D56" s="13">
        <v>66.736999999999995</v>
      </c>
      <c r="E56" s="16">
        <v>19.221</v>
      </c>
      <c r="F56" s="16">
        <v>-16.259</v>
      </c>
      <c r="G56" s="14">
        <v>0</v>
      </c>
      <c r="H56" s="13"/>
      <c r="I56" s="13" t="s">
        <v>91</v>
      </c>
      <c r="J56" s="13" t="s">
        <v>57</v>
      </c>
      <c r="K56" s="13"/>
      <c r="L56" s="13">
        <f t="shared" si="10"/>
        <v>19.221</v>
      </c>
      <c r="M56" s="13"/>
      <c r="N56" s="13"/>
      <c r="O56" s="13"/>
      <c r="P56" s="13"/>
      <c r="Q56" s="13">
        <f t="shared" si="11"/>
        <v>3.8441999999999998</v>
      </c>
      <c r="R56" s="15"/>
      <c r="S56" s="15"/>
      <c r="T56" s="13"/>
      <c r="U56" s="13">
        <f t="shared" si="12"/>
        <v>-4.2294885801987414</v>
      </c>
      <c r="V56" s="13">
        <f t="shared" si="13"/>
        <v>-4.2294885801987414</v>
      </c>
      <c r="W56" s="13">
        <v>3.5344000000000002</v>
      </c>
      <c r="X56" s="13">
        <v>2.6882000000000001</v>
      </c>
      <c r="Y56" s="13">
        <v>4.4960000000000004</v>
      </c>
      <c r="Z56" s="13">
        <v>2.9182000000000001</v>
      </c>
      <c r="AA56" s="13">
        <v>7.8639999999999999</v>
      </c>
      <c r="AB56" s="13">
        <v>1.468</v>
      </c>
      <c r="AC56" s="13">
        <v>5.5077999999999996</v>
      </c>
      <c r="AD56" s="13">
        <v>4.9828000000000001</v>
      </c>
      <c r="AE56" s="13"/>
      <c r="AF56" s="13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3" t="s">
        <v>96</v>
      </c>
      <c r="B57" s="13" t="s">
        <v>47</v>
      </c>
      <c r="C57" s="13">
        <v>-87</v>
      </c>
      <c r="D57" s="13">
        <v>89</v>
      </c>
      <c r="E57" s="16">
        <v>20</v>
      </c>
      <c r="F57" s="16">
        <v>-19</v>
      </c>
      <c r="G57" s="14">
        <v>0</v>
      </c>
      <c r="H57" s="13"/>
      <c r="I57" s="13" t="s">
        <v>91</v>
      </c>
      <c r="J57" s="13" t="s">
        <v>58</v>
      </c>
      <c r="K57" s="13"/>
      <c r="L57" s="13">
        <f t="shared" si="10"/>
        <v>20</v>
      </c>
      <c r="M57" s="13"/>
      <c r="N57" s="13"/>
      <c r="O57" s="13"/>
      <c r="P57" s="13"/>
      <c r="Q57" s="13">
        <f t="shared" si="11"/>
        <v>4</v>
      </c>
      <c r="R57" s="15"/>
      <c r="S57" s="15"/>
      <c r="T57" s="13"/>
      <c r="U57" s="13">
        <f t="shared" si="12"/>
        <v>-4.75</v>
      </c>
      <c r="V57" s="13">
        <f t="shared" si="13"/>
        <v>-4.75</v>
      </c>
      <c r="W57" s="13">
        <v>5.6</v>
      </c>
      <c r="X57" s="13">
        <v>4.5999999999999996</v>
      </c>
      <c r="Y57" s="13">
        <v>3.8</v>
      </c>
      <c r="Z57" s="13">
        <v>5</v>
      </c>
      <c r="AA57" s="13">
        <v>2.8</v>
      </c>
      <c r="AB57" s="13">
        <v>0</v>
      </c>
      <c r="AC57" s="13">
        <v>0</v>
      </c>
      <c r="AD57" s="13">
        <v>0</v>
      </c>
      <c r="AE57" s="13"/>
      <c r="AF57" s="13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3" t="s">
        <v>97</v>
      </c>
      <c r="B58" s="13" t="s">
        <v>47</v>
      </c>
      <c r="C58" s="13">
        <v>-67.909000000000006</v>
      </c>
      <c r="D58" s="13">
        <v>73.454999999999998</v>
      </c>
      <c r="E58" s="16">
        <v>9.5429999999999993</v>
      </c>
      <c r="F58" s="16">
        <v>-6.7670000000000003</v>
      </c>
      <c r="G58" s="14">
        <v>0</v>
      </c>
      <c r="H58" s="13"/>
      <c r="I58" s="13" t="s">
        <v>91</v>
      </c>
      <c r="J58" s="13" t="s">
        <v>60</v>
      </c>
      <c r="K58" s="13"/>
      <c r="L58" s="13">
        <f t="shared" si="10"/>
        <v>9.5429999999999993</v>
      </c>
      <c r="M58" s="13"/>
      <c r="N58" s="13"/>
      <c r="O58" s="13"/>
      <c r="P58" s="13"/>
      <c r="Q58" s="13">
        <f t="shared" si="11"/>
        <v>1.9085999999999999</v>
      </c>
      <c r="R58" s="15"/>
      <c r="S58" s="15"/>
      <c r="T58" s="13"/>
      <c r="U58" s="13">
        <f t="shared" si="12"/>
        <v>-3.5455307555276123</v>
      </c>
      <c r="V58" s="13">
        <f t="shared" si="13"/>
        <v>-3.5455307555276123</v>
      </c>
      <c r="W58" s="13">
        <v>3.827</v>
      </c>
      <c r="X58" s="13">
        <v>4.0415999999999999</v>
      </c>
      <c r="Y58" s="13">
        <v>4.8746</v>
      </c>
      <c r="Z58" s="13">
        <v>2.7988</v>
      </c>
      <c r="AA58" s="13">
        <v>2.4306000000000001</v>
      </c>
      <c r="AB58" s="13">
        <v>3.5232000000000001</v>
      </c>
      <c r="AC58" s="13">
        <v>3.2067999999999999</v>
      </c>
      <c r="AD58" s="13">
        <v>1.3842000000000001</v>
      </c>
      <c r="AE58" s="13"/>
      <c r="AF58" s="13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3" t="s">
        <v>98</v>
      </c>
      <c r="B59" s="13"/>
      <c r="C59" s="13">
        <v>-44.347000000000001</v>
      </c>
      <c r="D59" s="13">
        <v>80.31</v>
      </c>
      <c r="E59" s="16">
        <v>51.015000000000001</v>
      </c>
      <c r="F59" s="16">
        <v>-17.809999999999999</v>
      </c>
      <c r="G59" s="14">
        <v>0</v>
      </c>
      <c r="H59" s="13"/>
      <c r="I59" s="13" t="s">
        <v>91</v>
      </c>
      <c r="J59" s="13" t="s">
        <v>64</v>
      </c>
      <c r="K59" s="13"/>
      <c r="L59" s="13">
        <f t="shared" si="10"/>
        <v>51.015000000000001</v>
      </c>
      <c r="M59" s="13"/>
      <c r="N59" s="13"/>
      <c r="O59" s="13"/>
      <c r="P59" s="13"/>
      <c r="Q59" s="13">
        <f t="shared" si="11"/>
        <v>10.202999999999999</v>
      </c>
      <c r="R59" s="15"/>
      <c r="S59" s="15"/>
      <c r="T59" s="13"/>
      <c r="U59" s="13">
        <f t="shared" si="12"/>
        <v>-1.7455650298931686</v>
      </c>
      <c r="V59" s="13">
        <f t="shared" si="13"/>
        <v>-1.7455650298931686</v>
      </c>
      <c r="W59" s="13">
        <v>9.1456</v>
      </c>
      <c r="X59" s="13">
        <v>0.27539999999999998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/>
      <c r="AF59" s="13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3" t="s">
        <v>99</v>
      </c>
      <c r="B60" s="13" t="s">
        <v>36</v>
      </c>
      <c r="C60" s="13">
        <v>-219.68600000000001</v>
      </c>
      <c r="D60" s="13">
        <v>227.142</v>
      </c>
      <c r="E60" s="16">
        <v>112.828</v>
      </c>
      <c r="F60" s="16">
        <v>-105.372</v>
      </c>
      <c r="G60" s="14">
        <v>0</v>
      </c>
      <c r="H60" s="13"/>
      <c r="I60" s="13" t="s">
        <v>91</v>
      </c>
      <c r="J60" s="13" t="s">
        <v>67</v>
      </c>
      <c r="K60" s="13"/>
      <c r="L60" s="13">
        <f t="shared" si="10"/>
        <v>112.828</v>
      </c>
      <c r="M60" s="13"/>
      <c r="N60" s="13"/>
      <c r="O60" s="13"/>
      <c r="P60" s="13"/>
      <c r="Q60" s="13">
        <f t="shared" si="11"/>
        <v>22.5656</v>
      </c>
      <c r="R60" s="15"/>
      <c r="S60" s="15"/>
      <c r="T60" s="13"/>
      <c r="U60" s="13">
        <f t="shared" si="12"/>
        <v>-4.6695855638671251</v>
      </c>
      <c r="V60" s="13">
        <f t="shared" si="13"/>
        <v>-4.6695855638671251</v>
      </c>
      <c r="W60" s="13">
        <v>5.9862000000000002</v>
      </c>
      <c r="X60" s="13">
        <v>17.9696</v>
      </c>
      <c r="Y60" s="13">
        <v>10.4818</v>
      </c>
      <c r="Z60" s="13">
        <v>15.156599999999999</v>
      </c>
      <c r="AA60" s="13">
        <v>17.712</v>
      </c>
      <c r="AB60" s="13">
        <v>16.5352</v>
      </c>
      <c r="AC60" s="13">
        <v>11.657</v>
      </c>
      <c r="AD60" s="13">
        <v>14.0426</v>
      </c>
      <c r="AE60" s="13"/>
      <c r="AF60" s="13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3" t="s">
        <v>100</v>
      </c>
      <c r="B61" s="13" t="s">
        <v>36</v>
      </c>
      <c r="C61" s="13">
        <v>-213.01</v>
      </c>
      <c r="D61" s="13">
        <v>242.64099999999999</v>
      </c>
      <c r="E61" s="16">
        <v>102.16</v>
      </c>
      <c r="F61" s="16">
        <v>-74.980999999999995</v>
      </c>
      <c r="G61" s="14">
        <v>0</v>
      </c>
      <c r="H61" s="13"/>
      <c r="I61" s="13" t="s">
        <v>91</v>
      </c>
      <c r="J61" s="13" t="s">
        <v>70</v>
      </c>
      <c r="K61" s="13"/>
      <c r="L61" s="13">
        <f t="shared" si="10"/>
        <v>102.16</v>
      </c>
      <c r="M61" s="13"/>
      <c r="N61" s="13"/>
      <c r="O61" s="13"/>
      <c r="P61" s="13"/>
      <c r="Q61" s="13">
        <f t="shared" si="11"/>
        <v>20.431999999999999</v>
      </c>
      <c r="R61" s="15"/>
      <c r="S61" s="15"/>
      <c r="T61" s="13"/>
      <c r="U61" s="13">
        <f t="shared" si="12"/>
        <v>-3.6697826938136258</v>
      </c>
      <c r="V61" s="13">
        <f t="shared" si="13"/>
        <v>-3.6697826938136258</v>
      </c>
      <c r="W61" s="13">
        <v>8.9253999999999998</v>
      </c>
      <c r="X61" s="13">
        <v>6.9833999999999996</v>
      </c>
      <c r="Y61" s="13">
        <v>18.848600000000001</v>
      </c>
      <c r="Z61" s="13">
        <v>10.808999999999999</v>
      </c>
      <c r="AA61" s="13">
        <v>6.4495999999999993</v>
      </c>
      <c r="AB61" s="13">
        <v>21.395199999999999</v>
      </c>
      <c r="AC61" s="13">
        <v>9.0473999999999997</v>
      </c>
      <c r="AD61" s="13">
        <v>7.9974000000000007</v>
      </c>
      <c r="AE61" s="13"/>
      <c r="AF61" s="13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3" t="s">
        <v>101</v>
      </c>
      <c r="B62" s="13" t="s">
        <v>36</v>
      </c>
      <c r="C62" s="13">
        <v>-162.709</v>
      </c>
      <c r="D62" s="13">
        <v>192.75800000000001</v>
      </c>
      <c r="E62" s="16">
        <v>97.13</v>
      </c>
      <c r="F62" s="16">
        <v>-79.622</v>
      </c>
      <c r="G62" s="14">
        <v>0</v>
      </c>
      <c r="H62" s="13"/>
      <c r="I62" s="13" t="s">
        <v>91</v>
      </c>
      <c r="J62" s="13" t="s">
        <v>71</v>
      </c>
      <c r="K62" s="13"/>
      <c r="L62" s="13">
        <f t="shared" si="10"/>
        <v>97.13</v>
      </c>
      <c r="M62" s="13"/>
      <c r="N62" s="13"/>
      <c r="O62" s="13"/>
      <c r="P62" s="13"/>
      <c r="Q62" s="13">
        <f t="shared" si="11"/>
        <v>19.425999999999998</v>
      </c>
      <c r="R62" s="15"/>
      <c r="S62" s="15"/>
      <c r="T62" s="13"/>
      <c r="U62" s="13">
        <f t="shared" si="12"/>
        <v>-4.0987336559250496</v>
      </c>
      <c r="V62" s="13">
        <f t="shared" si="13"/>
        <v>-4.0987336559250496</v>
      </c>
      <c r="W62" s="13">
        <v>9.0058000000000007</v>
      </c>
      <c r="X62" s="13">
        <v>11.494400000000001</v>
      </c>
      <c r="Y62" s="13">
        <v>11.0708</v>
      </c>
      <c r="Z62" s="13">
        <v>3.9773999999999998</v>
      </c>
      <c r="AA62" s="13">
        <v>11.007199999999999</v>
      </c>
      <c r="AB62" s="13">
        <v>11.8918</v>
      </c>
      <c r="AC62" s="13">
        <v>8.9428000000000001</v>
      </c>
      <c r="AD62" s="13">
        <v>13.5512</v>
      </c>
      <c r="AE62" s="13"/>
      <c r="AF62" s="13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3" t="s">
        <v>102</v>
      </c>
      <c r="B63" s="13" t="s">
        <v>47</v>
      </c>
      <c r="C63" s="13">
        <v>-79</v>
      </c>
      <c r="D63" s="13">
        <v>92</v>
      </c>
      <c r="E63" s="16">
        <v>24</v>
      </c>
      <c r="F63" s="16">
        <v>-18</v>
      </c>
      <c r="G63" s="14">
        <v>0</v>
      </c>
      <c r="H63" s="13"/>
      <c r="I63" s="13" t="s">
        <v>91</v>
      </c>
      <c r="J63" s="13" t="s">
        <v>72</v>
      </c>
      <c r="K63" s="13"/>
      <c r="L63" s="13">
        <f t="shared" si="10"/>
        <v>24</v>
      </c>
      <c r="M63" s="13"/>
      <c r="N63" s="13"/>
      <c r="O63" s="13"/>
      <c r="P63" s="13"/>
      <c r="Q63" s="13">
        <f t="shared" si="11"/>
        <v>4.8</v>
      </c>
      <c r="R63" s="15"/>
      <c r="S63" s="15"/>
      <c r="T63" s="13"/>
      <c r="U63" s="13">
        <f t="shared" si="12"/>
        <v>-3.75</v>
      </c>
      <c r="V63" s="13">
        <f t="shared" si="13"/>
        <v>-3.75</v>
      </c>
      <c r="W63" s="13">
        <v>6</v>
      </c>
      <c r="X63" s="13">
        <v>4.2</v>
      </c>
      <c r="Y63" s="13">
        <v>4.2</v>
      </c>
      <c r="Z63" s="13">
        <v>4.5999999999999996</v>
      </c>
      <c r="AA63" s="13">
        <v>3.4</v>
      </c>
      <c r="AB63" s="13">
        <v>5.8</v>
      </c>
      <c r="AC63" s="13">
        <v>3.8</v>
      </c>
      <c r="AD63" s="13">
        <v>5.6</v>
      </c>
      <c r="AE63" s="13"/>
      <c r="AF63" s="13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3" t="s">
        <v>103</v>
      </c>
      <c r="B64" s="13" t="s">
        <v>36</v>
      </c>
      <c r="C64" s="13">
        <v>-175.709</v>
      </c>
      <c r="D64" s="13">
        <v>196.54499999999999</v>
      </c>
      <c r="E64" s="16">
        <v>68.09</v>
      </c>
      <c r="F64" s="16">
        <v>-49.668999999999997</v>
      </c>
      <c r="G64" s="14">
        <v>0</v>
      </c>
      <c r="H64" s="13"/>
      <c r="I64" s="13" t="s">
        <v>91</v>
      </c>
      <c r="J64" s="13" t="s">
        <v>73</v>
      </c>
      <c r="K64" s="13"/>
      <c r="L64" s="13">
        <f t="shared" si="10"/>
        <v>68.09</v>
      </c>
      <c r="M64" s="13"/>
      <c r="N64" s="13"/>
      <c r="O64" s="13"/>
      <c r="P64" s="13"/>
      <c r="Q64" s="13">
        <f t="shared" si="11"/>
        <v>13.618</v>
      </c>
      <c r="R64" s="15"/>
      <c r="S64" s="15"/>
      <c r="T64" s="13"/>
      <c r="U64" s="13">
        <f t="shared" si="12"/>
        <v>-3.6473050374504328</v>
      </c>
      <c r="V64" s="13">
        <f t="shared" si="13"/>
        <v>-3.6473050374504328</v>
      </c>
      <c r="W64" s="13">
        <v>14.2874</v>
      </c>
      <c r="X64" s="13">
        <v>9.9111999999999991</v>
      </c>
      <c r="Y64" s="13">
        <v>4.9882</v>
      </c>
      <c r="Z64" s="13">
        <v>19.619199999999999</v>
      </c>
      <c r="AA64" s="13">
        <v>6.1630000000000003</v>
      </c>
      <c r="AB64" s="13">
        <v>16.0258</v>
      </c>
      <c r="AC64" s="13">
        <v>7.2391999999999994</v>
      </c>
      <c r="AD64" s="13">
        <v>17.9636</v>
      </c>
      <c r="AE64" s="13"/>
      <c r="AF64" s="13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3" t="s">
        <v>104</v>
      </c>
      <c r="B65" s="13" t="s">
        <v>36</v>
      </c>
      <c r="C65" s="13">
        <v>-414.72699999999998</v>
      </c>
      <c r="D65" s="13">
        <v>479.22899999999998</v>
      </c>
      <c r="E65" s="16">
        <v>156.35599999999999</v>
      </c>
      <c r="F65" s="16">
        <v>-115.321</v>
      </c>
      <c r="G65" s="14">
        <v>0</v>
      </c>
      <c r="H65" s="13"/>
      <c r="I65" s="13" t="s">
        <v>91</v>
      </c>
      <c r="J65" s="13" t="s">
        <v>78</v>
      </c>
      <c r="K65" s="13"/>
      <c r="L65" s="13">
        <f t="shared" si="10"/>
        <v>156.35599999999999</v>
      </c>
      <c r="M65" s="13"/>
      <c r="N65" s="13"/>
      <c r="O65" s="13"/>
      <c r="P65" s="13"/>
      <c r="Q65" s="13">
        <f t="shared" si="11"/>
        <v>31.2712</v>
      </c>
      <c r="R65" s="15"/>
      <c r="S65" s="15"/>
      <c r="T65" s="13"/>
      <c r="U65" s="13">
        <f t="shared" si="12"/>
        <v>-3.6877702166850006</v>
      </c>
      <c r="V65" s="13">
        <f t="shared" si="13"/>
        <v>-3.6877702166850006</v>
      </c>
      <c r="W65" s="13">
        <v>27.218800000000002</v>
      </c>
      <c r="X65" s="13">
        <v>19.559799999999999</v>
      </c>
      <c r="Y65" s="13">
        <v>29.203199999999999</v>
      </c>
      <c r="Z65" s="13">
        <v>31.249600000000001</v>
      </c>
      <c r="AA65" s="13">
        <v>21.385200000000001</v>
      </c>
      <c r="AB65" s="13">
        <v>27.7514</v>
      </c>
      <c r="AC65" s="13">
        <v>19.673999999999999</v>
      </c>
      <c r="AD65" s="13">
        <v>33.543999999999997</v>
      </c>
      <c r="AE65" s="13"/>
      <c r="AF65" s="13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3" t="s">
        <v>105</v>
      </c>
      <c r="B66" s="13" t="s">
        <v>47</v>
      </c>
      <c r="C66" s="13">
        <v>-283</v>
      </c>
      <c r="D66" s="13">
        <v>323</v>
      </c>
      <c r="E66" s="16">
        <v>83</v>
      </c>
      <c r="F66" s="16">
        <v>-62</v>
      </c>
      <c r="G66" s="14">
        <v>0</v>
      </c>
      <c r="H66" s="13"/>
      <c r="I66" s="13" t="s">
        <v>91</v>
      </c>
      <c r="J66" s="13" t="s">
        <v>81</v>
      </c>
      <c r="K66" s="13"/>
      <c r="L66" s="13">
        <f t="shared" si="10"/>
        <v>83</v>
      </c>
      <c r="M66" s="13"/>
      <c r="N66" s="13"/>
      <c r="O66" s="13"/>
      <c r="P66" s="13"/>
      <c r="Q66" s="13">
        <f t="shared" si="11"/>
        <v>16.600000000000001</v>
      </c>
      <c r="R66" s="15"/>
      <c r="S66" s="15"/>
      <c r="T66" s="13"/>
      <c r="U66" s="13">
        <f t="shared" si="12"/>
        <v>-3.7349397590361444</v>
      </c>
      <c r="V66" s="13">
        <f t="shared" si="13"/>
        <v>-3.7349397590361444</v>
      </c>
      <c r="W66" s="13">
        <v>15</v>
      </c>
      <c r="X66" s="13">
        <v>15</v>
      </c>
      <c r="Y66" s="13">
        <v>20.399999999999999</v>
      </c>
      <c r="Z66" s="13">
        <v>12</v>
      </c>
      <c r="AA66" s="13">
        <v>12.2</v>
      </c>
      <c r="AB66" s="13">
        <v>14.2</v>
      </c>
      <c r="AC66" s="13">
        <v>15.4</v>
      </c>
      <c r="AD66" s="13">
        <v>13</v>
      </c>
      <c r="AE66" s="13"/>
      <c r="AF66" s="13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3" t="s">
        <v>106</v>
      </c>
      <c r="B67" s="13" t="s">
        <v>36</v>
      </c>
      <c r="C67" s="13">
        <v>-346.37299999999999</v>
      </c>
      <c r="D67" s="13">
        <v>384.68400000000003</v>
      </c>
      <c r="E67" s="16">
        <v>101.10899999999999</v>
      </c>
      <c r="F67" s="16">
        <v>-77.242999999999995</v>
      </c>
      <c r="G67" s="14">
        <v>0</v>
      </c>
      <c r="H67" s="13"/>
      <c r="I67" s="13" t="s">
        <v>91</v>
      </c>
      <c r="J67" s="13" t="s">
        <v>82</v>
      </c>
      <c r="K67" s="13"/>
      <c r="L67" s="13">
        <f t="shared" si="10"/>
        <v>101.10899999999999</v>
      </c>
      <c r="M67" s="13"/>
      <c r="N67" s="13"/>
      <c r="O67" s="13"/>
      <c r="P67" s="13"/>
      <c r="Q67" s="13">
        <f t="shared" si="11"/>
        <v>20.221799999999998</v>
      </c>
      <c r="R67" s="15"/>
      <c r="S67" s="15"/>
      <c r="T67" s="13"/>
      <c r="U67" s="13">
        <f t="shared" si="12"/>
        <v>-3.8197885450355558</v>
      </c>
      <c r="V67" s="13">
        <f t="shared" si="13"/>
        <v>-3.8197885450355558</v>
      </c>
      <c r="W67" s="13">
        <v>20.9376</v>
      </c>
      <c r="X67" s="13">
        <v>19.411000000000001</v>
      </c>
      <c r="Y67" s="13">
        <v>24.3324</v>
      </c>
      <c r="Z67" s="13">
        <v>15.116400000000001</v>
      </c>
      <c r="AA67" s="13">
        <v>25.166599999999999</v>
      </c>
      <c r="AB67" s="13">
        <v>20.013000000000002</v>
      </c>
      <c r="AC67" s="13">
        <v>16.002600000000001</v>
      </c>
      <c r="AD67" s="13">
        <v>19.5852</v>
      </c>
      <c r="AE67" s="13"/>
      <c r="AF67" s="13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3" t="s">
        <v>107</v>
      </c>
      <c r="B68" s="13" t="s">
        <v>36</v>
      </c>
      <c r="C68" s="13">
        <v>-27.965</v>
      </c>
      <c r="D68" s="13">
        <v>27.965</v>
      </c>
      <c r="E68" s="13"/>
      <c r="F68" s="13"/>
      <c r="G68" s="14">
        <v>0</v>
      </c>
      <c r="H68" s="13"/>
      <c r="I68" s="13" t="s">
        <v>108</v>
      </c>
      <c r="J68" s="13"/>
      <c r="K68" s="13"/>
      <c r="L68" s="13">
        <f t="shared" si="10"/>
        <v>0</v>
      </c>
      <c r="M68" s="13"/>
      <c r="N68" s="13"/>
      <c r="O68" s="13"/>
      <c r="P68" s="13"/>
      <c r="Q68" s="13">
        <f t="shared" si="11"/>
        <v>0</v>
      </c>
      <c r="R68" s="15"/>
      <c r="S68" s="15"/>
      <c r="T68" s="13"/>
      <c r="U68" s="13" t="e">
        <f t="shared" si="12"/>
        <v>#DIV/0!</v>
      </c>
      <c r="V68" s="13" t="e">
        <f t="shared" si="13"/>
        <v>#DIV/0!</v>
      </c>
      <c r="W68" s="13">
        <v>0</v>
      </c>
      <c r="X68" s="13">
        <v>0</v>
      </c>
      <c r="Y68" s="13">
        <v>0</v>
      </c>
      <c r="Z68" s="13">
        <v>0</v>
      </c>
      <c r="AA68" s="13">
        <v>0.53499999999999992</v>
      </c>
      <c r="AB68" s="13">
        <v>0.79800000000000004</v>
      </c>
      <c r="AC68" s="13">
        <v>8.8360000000000003</v>
      </c>
      <c r="AD68" s="13">
        <v>0</v>
      </c>
      <c r="AE68" s="13" t="s">
        <v>109</v>
      </c>
      <c r="AF68" s="13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110</v>
      </c>
      <c r="B69" s="13" t="s">
        <v>47</v>
      </c>
      <c r="C69" s="13">
        <v>-47</v>
      </c>
      <c r="D69" s="13">
        <v>48</v>
      </c>
      <c r="E69" s="16">
        <v>15</v>
      </c>
      <c r="F69" s="16">
        <v>-14</v>
      </c>
      <c r="G69" s="14">
        <v>0</v>
      </c>
      <c r="H69" s="13"/>
      <c r="I69" s="13" t="s">
        <v>91</v>
      </c>
      <c r="J69" s="13" t="s">
        <v>89</v>
      </c>
      <c r="K69" s="13"/>
      <c r="L69" s="13">
        <f t="shared" si="10"/>
        <v>15</v>
      </c>
      <c r="M69" s="13"/>
      <c r="N69" s="13"/>
      <c r="O69" s="13"/>
      <c r="P69" s="13"/>
      <c r="Q69" s="13">
        <f t="shared" si="11"/>
        <v>3</v>
      </c>
      <c r="R69" s="15"/>
      <c r="S69" s="15"/>
      <c r="T69" s="13"/>
      <c r="U69" s="13">
        <f t="shared" si="12"/>
        <v>-4.666666666666667</v>
      </c>
      <c r="V69" s="13">
        <f t="shared" si="13"/>
        <v>-4.666666666666667</v>
      </c>
      <c r="W69" s="13">
        <v>4</v>
      </c>
      <c r="X69" s="13">
        <v>3</v>
      </c>
      <c r="Y69" s="13">
        <v>1.6</v>
      </c>
      <c r="Z69" s="13">
        <v>1.2</v>
      </c>
      <c r="AA69" s="13">
        <v>0</v>
      </c>
      <c r="AB69" s="13">
        <v>0</v>
      </c>
      <c r="AC69" s="13">
        <v>4.4000000000000004</v>
      </c>
      <c r="AD69" s="13">
        <v>3.4</v>
      </c>
      <c r="AE69" s="13"/>
      <c r="AF69" s="13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</sheetData>
  <autoFilter ref="A3:AF6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2025-12-11T13:12:58Z</dcterms:created>
  <dcterms:modified xsi:type="dcterms:W3CDTF">2025-12-11T13:21:18Z</dcterms:modified>
</cp:coreProperties>
</file>