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Ташкент\Ташкент\"/>
    </mc:Choice>
  </mc:AlternateContent>
  <xr:revisionPtr revIDLastSave="0" documentId="13_ncr:1_{B04DAF85-D6C7-4B4E-988C-3AD7915D28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6" i="1"/>
  <c r="S51" i="1"/>
  <c r="AG51" i="1" s="1"/>
  <c r="S50" i="1"/>
  <c r="AG50" i="1" s="1"/>
  <c r="S49" i="1"/>
  <c r="AG49" i="1" s="1"/>
  <c r="S48" i="1"/>
  <c r="AG48" i="1" s="1"/>
  <c r="S47" i="1"/>
  <c r="AG47" i="1" s="1"/>
  <c r="S46" i="1"/>
  <c r="AG46" i="1" s="1"/>
  <c r="S45" i="1"/>
  <c r="AG45" i="1" s="1"/>
  <c r="S44" i="1"/>
  <c r="AG44" i="1" s="1"/>
  <c r="S43" i="1"/>
  <c r="AG43" i="1" s="1"/>
  <c r="S42" i="1"/>
  <c r="AG42" i="1" s="1"/>
  <c r="S40" i="1"/>
  <c r="AG40" i="1" s="1"/>
  <c r="S39" i="1"/>
  <c r="AG39" i="1" s="1"/>
  <c r="S37" i="1"/>
  <c r="AG37" i="1" s="1"/>
  <c r="S36" i="1"/>
  <c r="AG36" i="1" s="1"/>
  <c r="S35" i="1"/>
  <c r="AG35" i="1" s="1"/>
  <c r="S34" i="1"/>
  <c r="AG34" i="1" s="1"/>
  <c r="S33" i="1"/>
  <c r="AG33" i="1" s="1"/>
  <c r="S32" i="1"/>
  <c r="AG32" i="1" s="1"/>
  <c r="S31" i="1"/>
  <c r="AG31" i="1" s="1"/>
  <c r="S30" i="1"/>
  <c r="AG30" i="1" s="1"/>
  <c r="S29" i="1"/>
  <c r="AG29" i="1" s="1"/>
  <c r="S28" i="1"/>
  <c r="AG28" i="1" s="1"/>
  <c r="S27" i="1"/>
  <c r="AG27" i="1" s="1"/>
  <c r="S26" i="1"/>
  <c r="AG26" i="1" s="1"/>
  <c r="S25" i="1"/>
  <c r="AG25" i="1" s="1"/>
  <c r="S24" i="1"/>
  <c r="AG24" i="1" s="1"/>
  <c r="S23" i="1"/>
  <c r="AG23" i="1" s="1"/>
  <c r="S22" i="1"/>
  <c r="AG22" i="1" s="1"/>
  <c r="S21" i="1"/>
  <c r="AG21" i="1" s="1"/>
  <c r="S19" i="1"/>
  <c r="AG19" i="1" s="1"/>
  <c r="S18" i="1"/>
  <c r="AG18" i="1" s="1"/>
  <c r="S17" i="1"/>
  <c r="AG17" i="1" s="1"/>
  <c r="S16" i="1"/>
  <c r="AG16" i="1" s="1"/>
  <c r="S15" i="1"/>
  <c r="AG15" i="1" s="1"/>
  <c r="S14" i="1"/>
  <c r="AG14" i="1" s="1"/>
  <c r="S13" i="1"/>
  <c r="AG13" i="1" s="1"/>
  <c r="S12" i="1"/>
  <c r="AG12" i="1" s="1"/>
  <c r="S11" i="1"/>
  <c r="AG11" i="1" s="1"/>
  <c r="S10" i="1"/>
  <c r="AG10" i="1" s="1"/>
  <c r="S8" i="1"/>
  <c r="AG8" i="1" s="1"/>
  <c r="S7" i="1"/>
  <c r="AG7" i="1" s="1"/>
  <c r="S6" i="1"/>
  <c r="S5" i="1" s="1"/>
  <c r="AG6" i="1" l="1"/>
  <c r="AH5" i="1"/>
  <c r="Q69" i="1" l="1"/>
  <c r="W69" i="1" s="1"/>
  <c r="L69" i="1"/>
  <c r="Q68" i="1"/>
  <c r="W68" i="1" s="1"/>
  <c r="L68" i="1"/>
  <c r="Q67" i="1"/>
  <c r="W67" i="1" s="1"/>
  <c r="L67" i="1"/>
  <c r="Q66" i="1"/>
  <c r="W66" i="1" s="1"/>
  <c r="L66" i="1"/>
  <c r="Q65" i="1"/>
  <c r="W65" i="1" s="1"/>
  <c r="L65" i="1"/>
  <c r="Q64" i="1"/>
  <c r="W64" i="1" s="1"/>
  <c r="L64" i="1"/>
  <c r="Q63" i="1"/>
  <c r="W63" i="1" s="1"/>
  <c r="L63" i="1"/>
  <c r="Q62" i="1"/>
  <c r="W62" i="1" s="1"/>
  <c r="L62" i="1"/>
  <c r="Q61" i="1"/>
  <c r="W61" i="1" s="1"/>
  <c r="L61" i="1"/>
  <c r="Q60" i="1"/>
  <c r="W60" i="1" s="1"/>
  <c r="L60" i="1"/>
  <c r="Q59" i="1"/>
  <c r="W59" i="1" s="1"/>
  <c r="L59" i="1"/>
  <c r="Q58" i="1"/>
  <c r="W58" i="1" s="1"/>
  <c r="L58" i="1"/>
  <c r="Q57" i="1"/>
  <c r="W57" i="1" s="1"/>
  <c r="L57" i="1"/>
  <c r="Q56" i="1"/>
  <c r="W56" i="1" s="1"/>
  <c r="L56" i="1"/>
  <c r="Q55" i="1"/>
  <c r="W55" i="1" s="1"/>
  <c r="L55" i="1"/>
  <c r="Q54" i="1"/>
  <c r="W54" i="1" s="1"/>
  <c r="L54" i="1"/>
  <c r="Q53" i="1"/>
  <c r="W53" i="1" s="1"/>
  <c r="L53" i="1"/>
  <c r="Q52" i="1"/>
  <c r="W52" i="1" s="1"/>
  <c r="L52" i="1"/>
  <c r="F51" i="1"/>
  <c r="E51" i="1"/>
  <c r="L51" i="1" s="1"/>
  <c r="Q50" i="1"/>
  <c r="W50" i="1" s="1"/>
  <c r="L50" i="1"/>
  <c r="Q49" i="1"/>
  <c r="R49" i="1" s="1"/>
  <c r="L49" i="1"/>
  <c r="Q48" i="1"/>
  <c r="W48" i="1" s="1"/>
  <c r="L48" i="1"/>
  <c r="Q47" i="1"/>
  <c r="L47" i="1"/>
  <c r="Q46" i="1"/>
  <c r="W46" i="1" s="1"/>
  <c r="L46" i="1"/>
  <c r="Q45" i="1"/>
  <c r="L45" i="1"/>
  <c r="F44" i="1"/>
  <c r="E44" i="1"/>
  <c r="Q44" i="1" s="1"/>
  <c r="F43" i="1"/>
  <c r="E43" i="1"/>
  <c r="L43" i="1" s="1"/>
  <c r="Q42" i="1"/>
  <c r="W42" i="1" s="1"/>
  <c r="L42" i="1"/>
  <c r="Q41" i="1"/>
  <c r="W41" i="1" s="1"/>
  <c r="L41" i="1"/>
  <c r="F40" i="1"/>
  <c r="E40" i="1"/>
  <c r="L40" i="1" s="1"/>
  <c r="Q39" i="1"/>
  <c r="W39" i="1" s="1"/>
  <c r="L39" i="1"/>
  <c r="Q38" i="1"/>
  <c r="W38" i="1" s="1"/>
  <c r="L38" i="1"/>
  <c r="Q37" i="1"/>
  <c r="L37" i="1"/>
  <c r="F36" i="1"/>
  <c r="E36" i="1"/>
  <c r="Q36" i="1" s="1"/>
  <c r="F35" i="1"/>
  <c r="E35" i="1"/>
  <c r="L35" i="1" s="1"/>
  <c r="F34" i="1"/>
  <c r="E34" i="1"/>
  <c r="Q34" i="1" s="1"/>
  <c r="F33" i="1"/>
  <c r="E33" i="1"/>
  <c r="L33" i="1" s="1"/>
  <c r="Q32" i="1"/>
  <c r="L32" i="1"/>
  <c r="W32" i="1"/>
  <c r="F31" i="1"/>
  <c r="E31" i="1"/>
  <c r="Q31" i="1" s="1"/>
  <c r="Q30" i="1"/>
  <c r="L30" i="1"/>
  <c r="Q29" i="1"/>
  <c r="W29" i="1" s="1"/>
  <c r="L29" i="1"/>
  <c r="F28" i="1"/>
  <c r="E28" i="1"/>
  <c r="L28" i="1" s="1"/>
  <c r="Q27" i="1"/>
  <c r="W27" i="1" s="1"/>
  <c r="L27" i="1"/>
  <c r="Q26" i="1"/>
  <c r="R26" i="1" s="1"/>
  <c r="L26" i="1"/>
  <c r="Q25" i="1"/>
  <c r="W25" i="1" s="1"/>
  <c r="L25" i="1"/>
  <c r="F24" i="1"/>
  <c r="E24" i="1"/>
  <c r="L24" i="1" s="1"/>
  <c r="Q23" i="1"/>
  <c r="W23" i="1" s="1"/>
  <c r="L23" i="1"/>
  <c r="F22" i="1"/>
  <c r="E22" i="1"/>
  <c r="L22" i="1" s="1"/>
  <c r="F21" i="1"/>
  <c r="E21" i="1"/>
  <c r="Q21" i="1" s="1"/>
  <c r="Q20" i="1"/>
  <c r="W20" i="1" s="1"/>
  <c r="L20" i="1"/>
  <c r="Q19" i="1"/>
  <c r="L19" i="1"/>
  <c r="Q18" i="1"/>
  <c r="W18" i="1" s="1"/>
  <c r="L18" i="1"/>
  <c r="Q17" i="1"/>
  <c r="L17" i="1"/>
  <c r="F16" i="1"/>
  <c r="E16" i="1"/>
  <c r="Q16" i="1" s="1"/>
  <c r="F15" i="1"/>
  <c r="E15" i="1"/>
  <c r="L15" i="1" s="1"/>
  <c r="F14" i="1"/>
  <c r="E14" i="1"/>
  <c r="F13" i="1"/>
  <c r="E13" i="1"/>
  <c r="L13" i="1" s="1"/>
  <c r="Q12" i="1"/>
  <c r="W12" i="1" s="1"/>
  <c r="L12" i="1"/>
  <c r="Q11" i="1"/>
  <c r="L11" i="1"/>
  <c r="Q10" i="1"/>
  <c r="W10" i="1" s="1"/>
  <c r="L10" i="1"/>
  <c r="Q9" i="1"/>
  <c r="W9" i="1" s="1"/>
  <c r="L9" i="1"/>
  <c r="Q8" i="1"/>
  <c r="L8" i="1"/>
  <c r="Q7" i="1"/>
  <c r="W7" i="1" s="1"/>
  <c r="L7" i="1"/>
  <c r="Q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25" i="1" l="1"/>
  <c r="R39" i="1"/>
  <c r="R16" i="1"/>
  <c r="R36" i="1"/>
  <c r="R42" i="1"/>
  <c r="R50" i="1"/>
  <c r="W31" i="1"/>
  <c r="R7" i="1"/>
  <c r="R10" i="1"/>
  <c r="R18" i="1"/>
  <c r="R21" i="1"/>
  <c r="R23" i="1"/>
  <c r="R27" i="1"/>
  <c r="R29" i="1"/>
  <c r="R47" i="1"/>
  <c r="W11" i="1"/>
  <c r="W16" i="1"/>
  <c r="W26" i="1"/>
  <c r="W44" i="1"/>
  <c r="Q13" i="1"/>
  <c r="Q22" i="1"/>
  <c r="Q24" i="1"/>
  <c r="Q28" i="1"/>
  <c r="Q33" i="1"/>
  <c r="Q40" i="1"/>
  <c r="Q51" i="1"/>
  <c r="R51" i="1" s="1"/>
  <c r="Q15" i="1"/>
  <c r="W17" i="1"/>
  <c r="W19" i="1"/>
  <c r="W21" i="1"/>
  <c r="Q35" i="1"/>
  <c r="Q43" i="1"/>
  <c r="W45" i="1"/>
  <c r="W47" i="1"/>
  <c r="L34" i="1"/>
  <c r="L36" i="1"/>
  <c r="F5" i="1"/>
  <c r="W6" i="1"/>
  <c r="W8" i="1"/>
  <c r="Q14" i="1"/>
  <c r="R14" i="1" s="1"/>
  <c r="E5" i="1"/>
  <c r="L14" i="1"/>
  <c r="L16" i="1"/>
  <c r="L21" i="1"/>
  <c r="W30" i="1"/>
  <c r="L31" i="1"/>
  <c r="W34" i="1"/>
  <c r="W36" i="1"/>
  <c r="W37" i="1"/>
  <c r="L44" i="1"/>
  <c r="W49" i="1"/>
  <c r="R28" i="1" l="1"/>
  <c r="R22" i="1"/>
  <c r="W40" i="1"/>
  <c r="R40" i="1"/>
  <c r="W28" i="1"/>
  <c r="W22" i="1"/>
  <c r="W43" i="1"/>
  <c r="R43" i="1"/>
  <c r="R35" i="1"/>
  <c r="W15" i="1"/>
  <c r="W51" i="1"/>
  <c r="W33" i="1"/>
  <c r="R24" i="1"/>
  <c r="W13" i="1"/>
  <c r="W35" i="1"/>
  <c r="W24" i="1"/>
  <c r="L5" i="1"/>
  <c r="Q5" i="1"/>
  <c r="W14" i="1"/>
  <c r="R5" i="1" l="1"/>
  <c r="AG5" i="1"/>
</calcChain>
</file>

<file path=xl/sharedStrings.xml><?xml version="1.0" encoding="utf-8"?>
<sst xmlns="http://schemas.openxmlformats.org/spreadsheetml/2006/main" count="263" uniqueCount="114">
  <si>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</si>
  <si>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</si>
  <si>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</si>
  <si>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</si>
  <si>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</si>
  <si>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</si>
  <si>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</si>
  <si>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</si>
  <si>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</si>
  <si>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</si>
  <si>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</si>
  <si>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</si>
  <si>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</si>
  <si>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</si>
  <si>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</si>
  <si>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</si>
  <si>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</si>
  <si>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</si>
  <si>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</si>
  <si>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</si>
  <si>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</si>
  <si>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</si>
  <si>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</si>
  <si>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</si>
  <si>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</si>
  <si>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03,12,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</si>
  <si>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</si>
  <si>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</si>
  <si>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</si>
  <si>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</si>
  <si>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</si>
  <si>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</si>
  <si>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</si>
  <si>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</si>
  <si>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</si>
  <si>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</si>
  <si>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</si>
  <si>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</si>
  <si>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</si>
  <si>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</si>
  <si>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</si>
  <si>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</si>
  <si>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</si>
  <si>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нужно увеличить продажи!!!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</si>
  <si>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</si>
  <si>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</si>
  <si>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</si>
  <si>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</si>
  <si>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</si>
  <si>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</si>
  <si>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</si>
  <si>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</si>
  <si>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</si>
  <si>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</si>
  <si>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</si>
  <si>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</si>
  <si>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</si>
  <si>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</si>
  <si>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</si>
  <si>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</si>
  <si>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</si>
  <si>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</si>
  <si>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</si>
  <si>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</si>
  <si>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</si>
  <si>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</si>
  <si>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</si>
  <si>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</si>
  <si>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</si>
  <si>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</si>
  <si>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</si>
  <si>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</si>
  <si>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</si>
  <si>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</si>
  <si>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</si>
  <si>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</si>
  <si>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</si>
  <si>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</si>
  <si>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</si>
  <si>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</si>
  <si>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</si>
  <si>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</si>
  <si>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</si>
  <si>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</si>
  <si>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</si>
  <si>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</si>
  <si>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</si>
  <si>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</si>
  <si>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</si>
  <si>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</si>
  <si>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</si>
  <si>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</si>
  <si>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</si>
  <si>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</si>
  <si>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</si>
  <si>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</si>
  <si>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</si>
  <si>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</si>
  <si>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БОНУС_1721-Сосиски Вязанка Сливочные ТМ Стародворские колбасы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</si>
  <si>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</si>
  <si>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</si>
  <si>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</si>
  <si>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</si>
  <si>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</si>
  <si>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</si>
  <si>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</si>
  <si>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</si>
  <si>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</si>
  <si>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</si>
  <si>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</si>
  <si>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</si>
  <si>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ОШ</t>
  </si>
  <si>
    <t>заказ</t>
  </si>
  <si>
    <t>10,12,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</si>
</sst>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7" style="20" customWidth="1"/>
    <col min="20" max="20" width="7" customWidth="1"/>
    <col min="21" max="21" width="9.42578125" customWidth="1"/>
    <col min="22" max="23" width="5" customWidth="1"/>
    <col min="24" max="31" width="6" customWidth="1"/>
    <col min="32" max="32" width="30.7109375" customWidth="1"/>
    <col min="33" max="33" width="7" customWidth="1"/>
    <col min="34" max="34" width="6.5703125" customWidth="1"/>
    <col min="35" max="52" width="3" customWidth="1"/>
  </cols>
  <sheetData>
    <row r="1" spans="1:52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112</v>
      </c>
      <c r="T3" s="7" t="s">
        <v>17</v>
      </c>
      <c r="U3" s="7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1" t="s">
        <v>23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/>
      <c r="S4" s="5" t="s">
        <v>113</v>
      </c>
      <c r="T4" s="5"/>
      <c r="U4" s="5"/>
      <c r="V4" s="5"/>
      <c r="W4" s="5"/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/>
      <c r="AG4" s="5"/>
      <c r="AH4" s="5" t="s">
        <v>111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 x14ac:dyDescent="0.25">
      <c r="A5" s="5"/>
      <c r="B5" s="5"/>
      <c r="C5" s="5"/>
      <c r="D5" s="5"/>
      <c r="E5" s="3">
        <f>SUM(E6:E482)</f>
        <v>9608.1920000000009</v>
      </c>
      <c r="F5" s="3">
        <f>SUM(F6:F482)</f>
        <v>5275.5920000000006</v>
      </c>
      <c r="G5" s="8"/>
      <c r="H5" s="5"/>
      <c r="I5" s="5"/>
      <c r="J5" s="5"/>
      <c r="K5" s="3">
        <f t="shared" ref="K5:T5" si="0">SUM(K6:K482)</f>
        <v>0</v>
      </c>
      <c r="L5" s="3">
        <f t="shared" si="0"/>
        <v>9608.1920000000009</v>
      </c>
      <c r="M5" s="3">
        <f t="shared" si="0"/>
        <v>0</v>
      </c>
      <c r="N5" s="3">
        <f t="shared" si="0"/>
        <v>0</v>
      </c>
      <c r="O5" s="3">
        <f t="shared" si="0"/>
        <v>8893.4640522875816</v>
      </c>
      <c r="P5" s="3">
        <f t="shared" si="0"/>
        <v>8864.6825396825388</v>
      </c>
      <c r="Q5" s="3">
        <f t="shared" si="0"/>
        <v>1921.6384</v>
      </c>
      <c r="R5" s="3">
        <f t="shared" si="0"/>
        <v>8280.2246746965466</v>
      </c>
      <c r="S5" s="3">
        <f t="shared" si="0"/>
        <v>14176.215686274511</v>
      </c>
      <c r="T5" s="3">
        <f t="shared" si="0"/>
        <v>0</v>
      </c>
      <c r="U5" s="5"/>
      <c r="V5" s="5"/>
      <c r="W5" s="5"/>
      <c r="X5" s="3">
        <f t="shared" ref="X5:AE5" si="1">SUM(X6:X482)</f>
        <v>1859.1950000000002</v>
      </c>
      <c r="Y5" s="3">
        <f t="shared" si="1"/>
        <v>1874.771</v>
      </c>
      <c r="Z5" s="3">
        <f t="shared" si="1"/>
        <v>1776.7222000000006</v>
      </c>
      <c r="AA5" s="3">
        <f t="shared" si="1"/>
        <v>1926.5906</v>
      </c>
      <c r="AB5" s="3">
        <f t="shared" si="1"/>
        <v>1900.4640000000006</v>
      </c>
      <c r="AC5" s="3">
        <f t="shared" si="1"/>
        <v>1638.0908000000004</v>
      </c>
      <c r="AD5" s="3">
        <f t="shared" si="1"/>
        <v>1834.5992000000003</v>
      </c>
      <c r="AE5" s="3">
        <f t="shared" si="1"/>
        <v>2275.822000000001</v>
      </c>
      <c r="AF5" s="5"/>
      <c r="AG5" s="3">
        <f>SUM(AG6:AG482)</f>
        <v>9922</v>
      </c>
      <c r="AH5" s="3">
        <f>SUM(AH6:AH482)</f>
        <v>9922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 x14ac:dyDescent="0.25">
      <c r="A6" s="5" t="s">
        <v>35</v>
      </c>
      <c r="B6" s="5" t="s">
        <v>36</v>
      </c>
      <c r="C6" s="5">
        <v>648.70399999999995</v>
      </c>
      <c r="D6" s="5"/>
      <c r="E6" s="5">
        <v>199.49100000000001</v>
      </c>
      <c r="F6" s="5">
        <v>418.86700000000002</v>
      </c>
      <c r="G6" s="8">
        <v>1</v>
      </c>
      <c r="H6" s="5">
        <v>50</v>
      </c>
      <c r="I6" s="5" t="s">
        <v>37</v>
      </c>
      <c r="J6" s="5"/>
      <c r="K6" s="5"/>
      <c r="L6" s="5">
        <f t="shared" ref="L6:L37" si="2">E6-K6</f>
        <v>199.49100000000001</v>
      </c>
      <c r="M6" s="5"/>
      <c r="N6" s="5"/>
      <c r="O6" s="5">
        <v>300</v>
      </c>
      <c r="P6" s="5">
        <v>150</v>
      </c>
      <c r="Q6" s="5">
        <f t="shared" ref="Q6:Q37" si="3">E6/5</f>
        <v>39.898200000000003</v>
      </c>
      <c r="R6" s="4"/>
      <c r="S6" s="4">
        <f>AH6/G6</f>
        <v>300</v>
      </c>
      <c r="T6" s="4"/>
      <c r="U6" s="5"/>
      <c r="V6" s="5">
        <f>(F6+O6+P6+S6)/Q6</f>
        <v>29.296233915314474</v>
      </c>
      <c r="W6" s="5">
        <f t="shared" ref="W6:W37" si="4">(F6+O6+P6)/Q6</f>
        <v>21.777097713681318</v>
      </c>
      <c r="X6" s="5">
        <v>38.9938</v>
      </c>
      <c r="Y6" s="5">
        <v>50.0184</v>
      </c>
      <c r="Z6" s="5">
        <v>43.255600000000001</v>
      </c>
      <c r="AA6" s="5">
        <v>50.669199999999996</v>
      </c>
      <c r="AB6" s="5">
        <v>57.2684</v>
      </c>
      <c r="AC6" s="5">
        <v>39.6828</v>
      </c>
      <c r="AD6" s="5">
        <v>43.6858</v>
      </c>
      <c r="AE6" s="5">
        <v>61.004600000000003</v>
      </c>
      <c r="AF6" s="5"/>
      <c r="AG6" s="5">
        <f>ROUND(G6*S6,0)</f>
        <v>300</v>
      </c>
      <c r="AH6" s="5">
        <v>300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 t="s">
        <v>38</v>
      </c>
      <c r="B7" s="5" t="s">
        <v>36</v>
      </c>
      <c r="C7" s="5">
        <v>527.72500000000002</v>
      </c>
      <c r="D7" s="5"/>
      <c r="E7" s="5">
        <v>220.53200000000001</v>
      </c>
      <c r="F7" s="5">
        <v>288.18200000000002</v>
      </c>
      <c r="G7" s="8">
        <v>1</v>
      </c>
      <c r="H7" s="5">
        <v>55</v>
      </c>
      <c r="I7" s="5" t="s">
        <v>37</v>
      </c>
      <c r="J7" s="5"/>
      <c r="K7" s="5"/>
      <c r="L7" s="5">
        <f t="shared" si="2"/>
        <v>220.53200000000001</v>
      </c>
      <c r="M7" s="5"/>
      <c r="N7" s="5"/>
      <c r="O7" s="5">
        <v>200</v>
      </c>
      <c r="P7" s="5">
        <v>250</v>
      </c>
      <c r="Q7" s="5">
        <f t="shared" si="3"/>
        <v>44.106400000000001</v>
      </c>
      <c r="R7" s="4">
        <f t="shared" ref="R7" si="5">18*Q7-P7-O7-F7</f>
        <v>55.733200000000011</v>
      </c>
      <c r="S7" s="4">
        <f t="shared" ref="S7:S8" si="6">AH7/G7</f>
        <v>300</v>
      </c>
      <c r="T7" s="4"/>
      <c r="U7" s="5"/>
      <c r="V7" s="5">
        <f t="shared" ref="V7:V69" si="7">(F7+O7+P7+S7)/Q7</f>
        <v>23.53812598625143</v>
      </c>
      <c r="W7" s="5">
        <f t="shared" si="4"/>
        <v>16.736391997533239</v>
      </c>
      <c r="X7" s="5">
        <v>48.622399999999999</v>
      </c>
      <c r="Y7" s="5">
        <v>44.1432</v>
      </c>
      <c r="Z7" s="5">
        <v>36.142000000000003</v>
      </c>
      <c r="AA7" s="5">
        <v>51.187800000000003</v>
      </c>
      <c r="AB7" s="5">
        <v>53.262999999999998</v>
      </c>
      <c r="AC7" s="5">
        <v>41.200200000000002</v>
      </c>
      <c r="AD7" s="5">
        <v>48.932200000000002</v>
      </c>
      <c r="AE7" s="5">
        <v>67.626599999999996</v>
      </c>
      <c r="AF7" s="5"/>
      <c r="AG7" s="5">
        <f t="shared" ref="AG7:AG8" si="8">ROUND(G7*S7,0)</f>
        <v>300</v>
      </c>
      <c r="AH7" s="5">
        <v>300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 t="s">
        <v>39</v>
      </c>
      <c r="B8" s="5" t="s">
        <v>36</v>
      </c>
      <c r="C8" s="5">
        <v>27.428999999999998</v>
      </c>
      <c r="D8" s="5"/>
      <c r="E8" s="5">
        <v>9.8320000000000007</v>
      </c>
      <c r="F8" s="5">
        <v>17.597000000000001</v>
      </c>
      <c r="G8" s="8">
        <v>1</v>
      </c>
      <c r="H8" s="5">
        <v>180</v>
      </c>
      <c r="I8" s="5" t="s">
        <v>37</v>
      </c>
      <c r="J8" s="5"/>
      <c r="K8" s="5"/>
      <c r="L8" s="5">
        <f t="shared" si="2"/>
        <v>9.8320000000000007</v>
      </c>
      <c r="M8" s="5"/>
      <c r="N8" s="5"/>
      <c r="O8" s="5">
        <v>30</v>
      </c>
      <c r="P8" s="5">
        <v>0</v>
      </c>
      <c r="Q8" s="5">
        <f t="shared" si="3"/>
        <v>1.9664000000000001</v>
      </c>
      <c r="R8" s="4"/>
      <c r="S8" s="4">
        <f t="shared" si="6"/>
        <v>0</v>
      </c>
      <c r="T8" s="4"/>
      <c r="U8" s="5"/>
      <c r="V8" s="5">
        <f t="shared" si="7"/>
        <v>24.205146460537019</v>
      </c>
      <c r="W8" s="5">
        <f t="shared" si="4"/>
        <v>24.205146460537019</v>
      </c>
      <c r="X8" s="5">
        <v>0.15920000000000001</v>
      </c>
      <c r="Y8" s="5">
        <v>0.254</v>
      </c>
      <c r="Z8" s="5">
        <v>1.5112000000000001</v>
      </c>
      <c r="AA8" s="5">
        <v>0.48299999999999998</v>
      </c>
      <c r="AB8" s="5">
        <v>-5.1200000000000002E-2</v>
      </c>
      <c r="AC8" s="5">
        <v>0.48180000000000001</v>
      </c>
      <c r="AD8" s="5">
        <v>0.72399999999999998</v>
      </c>
      <c r="AE8" s="5">
        <v>0.63200000000000001</v>
      </c>
      <c r="AF8" s="5"/>
      <c r="AG8" s="5">
        <f t="shared" si="8"/>
        <v>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10" t="s">
        <v>40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41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2"/>
      <c r="U9" s="10"/>
      <c r="V9" s="5" t="e">
        <f t="shared" si="7"/>
        <v>#DIV/0!</v>
      </c>
      <c r="W9" s="10" t="e">
        <f t="shared" si="4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/>
      <c r="AG9" s="10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x14ac:dyDescent="0.25">
      <c r="A10" s="5" t="s">
        <v>42</v>
      </c>
      <c r="B10" s="5" t="s">
        <v>36</v>
      </c>
      <c r="C10" s="5">
        <v>162.38300000000001</v>
      </c>
      <c r="D10" s="5"/>
      <c r="E10" s="5">
        <v>43.899000000000001</v>
      </c>
      <c r="F10" s="5">
        <v>115.096</v>
      </c>
      <c r="G10" s="8">
        <v>1</v>
      </c>
      <c r="H10" s="5">
        <v>50</v>
      </c>
      <c r="I10" s="5" t="s">
        <v>37</v>
      </c>
      <c r="J10" s="5"/>
      <c r="K10" s="5"/>
      <c r="L10" s="5">
        <f t="shared" si="2"/>
        <v>43.899000000000001</v>
      </c>
      <c r="M10" s="5"/>
      <c r="N10" s="5"/>
      <c r="O10" s="5">
        <v>0</v>
      </c>
      <c r="P10" s="5">
        <v>0</v>
      </c>
      <c r="Q10" s="5">
        <f t="shared" si="3"/>
        <v>8.7797999999999998</v>
      </c>
      <c r="R10" s="4">
        <f t="shared" ref="R10:R18" si="9">18*Q10-P10-O10-F10</f>
        <v>42.940399999999983</v>
      </c>
      <c r="S10" s="4">
        <f t="shared" ref="S10:S19" si="10">AH10/G10</f>
        <v>92</v>
      </c>
      <c r="T10" s="4"/>
      <c r="U10" s="5"/>
      <c r="V10" s="5">
        <f t="shared" si="7"/>
        <v>23.587781042848356</v>
      </c>
      <c r="W10" s="5">
        <f t="shared" si="4"/>
        <v>13.109182441513475</v>
      </c>
      <c r="X10" s="5">
        <v>6.0658000000000003</v>
      </c>
      <c r="Y10" s="5">
        <v>7.5397999999999996</v>
      </c>
      <c r="Z10" s="5">
        <v>8.9976000000000003</v>
      </c>
      <c r="AA10" s="5">
        <v>17.722999999999999</v>
      </c>
      <c r="AB10" s="5">
        <v>5.0465999999999998</v>
      </c>
      <c r="AC10" s="5">
        <v>13.7874</v>
      </c>
      <c r="AD10" s="5">
        <v>10.507</v>
      </c>
      <c r="AE10" s="5">
        <v>3.9436</v>
      </c>
      <c r="AF10" s="5"/>
      <c r="AG10" s="5">
        <f t="shared" ref="AG10:AG19" si="11">ROUND(G10*S10,0)</f>
        <v>92</v>
      </c>
      <c r="AH10" s="5">
        <v>92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x14ac:dyDescent="0.25">
      <c r="A11" s="5" t="s">
        <v>44</v>
      </c>
      <c r="B11" s="5" t="s">
        <v>36</v>
      </c>
      <c r="C11" s="5">
        <v>211.309</v>
      </c>
      <c r="D11" s="5"/>
      <c r="E11" s="5">
        <v>111.654</v>
      </c>
      <c r="F11" s="5">
        <v>93.513000000000005</v>
      </c>
      <c r="G11" s="8">
        <v>1</v>
      </c>
      <c r="H11" s="5">
        <v>60</v>
      </c>
      <c r="I11" s="5" t="s">
        <v>37</v>
      </c>
      <c r="J11" s="5"/>
      <c r="K11" s="5"/>
      <c r="L11" s="5">
        <f t="shared" si="2"/>
        <v>111.654</v>
      </c>
      <c r="M11" s="5"/>
      <c r="N11" s="5"/>
      <c r="O11" s="5">
        <v>200</v>
      </c>
      <c r="P11" s="5">
        <v>200</v>
      </c>
      <c r="Q11" s="5">
        <f t="shared" si="3"/>
        <v>22.3308</v>
      </c>
      <c r="R11" s="4"/>
      <c r="S11" s="4">
        <f t="shared" si="10"/>
        <v>200</v>
      </c>
      <c r="T11" s="4"/>
      <c r="U11" s="5"/>
      <c r="V11" s="5">
        <f t="shared" si="7"/>
        <v>31.056343704659039</v>
      </c>
      <c r="W11" s="5">
        <f t="shared" si="4"/>
        <v>22.100103892381824</v>
      </c>
      <c r="X11" s="5">
        <v>24.443200000000001</v>
      </c>
      <c r="Y11" s="5">
        <v>26.920999999999999</v>
      </c>
      <c r="Z11" s="5">
        <v>20.1236</v>
      </c>
      <c r="AA11" s="5">
        <v>28.831199999999999</v>
      </c>
      <c r="AB11" s="5">
        <v>24.735399999999998</v>
      </c>
      <c r="AC11" s="5">
        <v>15.5068</v>
      </c>
      <c r="AD11" s="5">
        <v>25.658200000000001</v>
      </c>
      <c r="AE11" s="5">
        <v>36.5762</v>
      </c>
      <c r="AF11" s="5"/>
      <c r="AG11" s="5">
        <f t="shared" si="11"/>
        <v>200</v>
      </c>
      <c r="AH11" s="5">
        <v>200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25">
      <c r="A12" s="5" t="s">
        <v>45</v>
      </c>
      <c r="B12" s="5" t="s">
        <v>36</v>
      </c>
      <c r="C12" s="5">
        <v>175.74100000000001</v>
      </c>
      <c r="D12" s="5"/>
      <c r="E12" s="5">
        <v>112.375</v>
      </c>
      <c r="F12" s="5">
        <v>20.521000000000001</v>
      </c>
      <c r="G12" s="8">
        <v>1</v>
      </c>
      <c r="H12" s="5">
        <v>60</v>
      </c>
      <c r="I12" s="5" t="s">
        <v>37</v>
      </c>
      <c r="J12" s="5"/>
      <c r="K12" s="5"/>
      <c r="L12" s="5">
        <f t="shared" si="2"/>
        <v>112.375</v>
      </c>
      <c r="M12" s="5"/>
      <c r="N12" s="5"/>
      <c r="O12" s="5">
        <v>350</v>
      </c>
      <c r="P12" s="5">
        <v>300</v>
      </c>
      <c r="Q12" s="5">
        <f t="shared" si="3"/>
        <v>22.475000000000001</v>
      </c>
      <c r="R12" s="4"/>
      <c r="S12" s="4">
        <f t="shared" si="10"/>
        <v>300</v>
      </c>
      <c r="T12" s="4"/>
      <c r="U12" s="5"/>
      <c r="V12" s="5">
        <f t="shared" si="7"/>
        <v>43.182246941045605</v>
      </c>
      <c r="W12" s="5">
        <f t="shared" si="4"/>
        <v>29.834082313681865</v>
      </c>
      <c r="X12" s="5">
        <v>26.01</v>
      </c>
      <c r="Y12" s="5">
        <v>34.661200000000001</v>
      </c>
      <c r="Z12" s="5">
        <v>22.8752</v>
      </c>
      <c r="AA12" s="5">
        <v>34.6098</v>
      </c>
      <c r="AB12" s="5">
        <v>23.917400000000001</v>
      </c>
      <c r="AC12" s="5">
        <v>14.502800000000001</v>
      </c>
      <c r="AD12" s="5">
        <v>26.8992</v>
      </c>
      <c r="AE12" s="5">
        <v>39.279200000000003</v>
      </c>
      <c r="AF12" s="5"/>
      <c r="AG12" s="5">
        <f t="shared" si="11"/>
        <v>300</v>
      </c>
      <c r="AH12" s="5">
        <v>300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25">
      <c r="A13" s="5" t="s">
        <v>46</v>
      </c>
      <c r="B13" s="5" t="s">
        <v>36</v>
      </c>
      <c r="C13" s="5">
        <v>150.376</v>
      </c>
      <c r="D13" s="5"/>
      <c r="E13" s="17">
        <f>62.684+E52</f>
        <v>72.147999999999996</v>
      </c>
      <c r="F13" s="17">
        <f>65.718+F52</f>
        <v>56.254000000000005</v>
      </c>
      <c r="G13" s="8">
        <v>1</v>
      </c>
      <c r="H13" s="5">
        <v>40</v>
      </c>
      <c r="I13" s="5" t="s">
        <v>37</v>
      </c>
      <c r="J13" s="5"/>
      <c r="K13" s="5"/>
      <c r="L13" s="5">
        <f t="shared" si="2"/>
        <v>72.147999999999996</v>
      </c>
      <c r="M13" s="5"/>
      <c r="N13" s="5"/>
      <c r="O13" s="5">
        <v>100</v>
      </c>
      <c r="P13" s="5">
        <v>150</v>
      </c>
      <c r="Q13" s="5">
        <f t="shared" si="3"/>
        <v>14.429599999999999</v>
      </c>
      <c r="R13" s="4"/>
      <c r="S13" s="4">
        <f t="shared" si="10"/>
        <v>150</v>
      </c>
      <c r="T13" s="4"/>
      <c r="U13" s="5"/>
      <c r="V13" s="5">
        <f t="shared" si="7"/>
        <v>31.619310306592009</v>
      </c>
      <c r="W13" s="5">
        <f t="shared" si="4"/>
        <v>21.224011753617567</v>
      </c>
      <c r="X13" s="5">
        <v>16.459</v>
      </c>
      <c r="Y13" s="5">
        <v>17.2864</v>
      </c>
      <c r="Z13" s="5">
        <v>13.632999999999999</v>
      </c>
      <c r="AA13" s="5">
        <v>22.357399999999998</v>
      </c>
      <c r="AB13" s="5">
        <v>11.1294</v>
      </c>
      <c r="AC13" s="5">
        <v>12.228400000000001</v>
      </c>
      <c r="AD13" s="5">
        <v>24.070599999999999</v>
      </c>
      <c r="AE13" s="5">
        <v>19.779</v>
      </c>
      <c r="AF13" s="5"/>
      <c r="AG13" s="5">
        <f t="shared" si="11"/>
        <v>150</v>
      </c>
      <c r="AH13" s="5">
        <v>150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25">
      <c r="A14" s="5" t="s">
        <v>47</v>
      </c>
      <c r="B14" s="5" t="s">
        <v>48</v>
      </c>
      <c r="C14" s="5">
        <v>718</v>
      </c>
      <c r="D14" s="5"/>
      <c r="E14" s="17">
        <f>397+E53</f>
        <v>448</v>
      </c>
      <c r="F14" s="17">
        <f>228+F53</f>
        <v>174</v>
      </c>
      <c r="G14" s="8">
        <v>0.35</v>
      </c>
      <c r="H14" s="5">
        <v>40</v>
      </c>
      <c r="I14" s="5" t="s">
        <v>37</v>
      </c>
      <c r="J14" s="5"/>
      <c r="K14" s="5"/>
      <c r="L14" s="5">
        <f t="shared" si="2"/>
        <v>448</v>
      </c>
      <c r="M14" s="5"/>
      <c r="N14" s="5"/>
      <c r="O14" s="5">
        <v>200</v>
      </c>
      <c r="P14" s="5">
        <v>142.85714285714289</v>
      </c>
      <c r="Q14" s="5">
        <f t="shared" si="3"/>
        <v>89.6</v>
      </c>
      <c r="R14" s="4">
        <f>14*Q14-P14-O14-F14</f>
        <v>737.54285714285697</v>
      </c>
      <c r="S14" s="4">
        <f t="shared" si="10"/>
        <v>900.00000000000011</v>
      </c>
      <c r="T14" s="4"/>
      <c r="U14" s="5"/>
      <c r="V14" s="5">
        <f t="shared" si="7"/>
        <v>15.813137755102044</v>
      </c>
      <c r="W14" s="5">
        <f t="shared" si="4"/>
        <v>5.7684948979591848</v>
      </c>
      <c r="X14" s="5">
        <v>69.599999999999994</v>
      </c>
      <c r="Y14" s="5">
        <v>68.2</v>
      </c>
      <c r="Z14" s="5">
        <v>65.8</v>
      </c>
      <c r="AA14" s="5">
        <v>68.8</v>
      </c>
      <c r="AB14" s="5">
        <v>72.599999999999994</v>
      </c>
      <c r="AC14" s="5">
        <v>62.6</v>
      </c>
      <c r="AD14" s="5">
        <v>74.599999999999994</v>
      </c>
      <c r="AE14" s="5">
        <v>84.2</v>
      </c>
      <c r="AF14" s="5"/>
      <c r="AG14" s="5">
        <f t="shared" si="11"/>
        <v>315</v>
      </c>
      <c r="AH14" s="5">
        <v>315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25">
      <c r="A15" s="5" t="s">
        <v>49</v>
      </c>
      <c r="B15" s="5" t="s">
        <v>36</v>
      </c>
      <c r="C15" s="5">
        <v>242.20400000000001</v>
      </c>
      <c r="D15" s="5"/>
      <c r="E15" s="17">
        <f>66.807+E54</f>
        <v>79.292000000000002</v>
      </c>
      <c r="F15" s="17">
        <f>149.134+F54</f>
        <v>64.381999999999991</v>
      </c>
      <c r="G15" s="8">
        <v>1</v>
      </c>
      <c r="H15" s="5">
        <v>40</v>
      </c>
      <c r="I15" s="5" t="s">
        <v>37</v>
      </c>
      <c r="J15" s="5"/>
      <c r="K15" s="5"/>
      <c r="L15" s="5">
        <f t="shared" si="2"/>
        <v>79.292000000000002</v>
      </c>
      <c r="M15" s="5"/>
      <c r="N15" s="5"/>
      <c r="O15" s="5">
        <v>100</v>
      </c>
      <c r="P15" s="5">
        <v>150</v>
      </c>
      <c r="Q15" s="5">
        <f t="shared" si="3"/>
        <v>15.8584</v>
      </c>
      <c r="R15" s="4"/>
      <c r="S15" s="4">
        <f t="shared" si="10"/>
        <v>200</v>
      </c>
      <c r="T15" s="4"/>
      <c r="U15" s="5"/>
      <c r="V15" s="5">
        <f t="shared" si="7"/>
        <v>32.435933007112958</v>
      </c>
      <c r="W15" s="5">
        <f t="shared" si="4"/>
        <v>19.824320234071532</v>
      </c>
      <c r="X15" s="5">
        <v>22.917999999999999</v>
      </c>
      <c r="Y15" s="5">
        <v>18.569800000000001</v>
      </c>
      <c r="Z15" s="5">
        <v>15.086399999999999</v>
      </c>
      <c r="AA15" s="5">
        <v>29.709399999999999</v>
      </c>
      <c r="AB15" s="5">
        <v>11.33</v>
      </c>
      <c r="AC15" s="5">
        <v>13.348599999999999</v>
      </c>
      <c r="AD15" s="5">
        <v>27.452000000000002</v>
      </c>
      <c r="AE15" s="5">
        <v>26.2254</v>
      </c>
      <c r="AF15" s="5"/>
      <c r="AG15" s="5">
        <f t="shared" si="11"/>
        <v>200</v>
      </c>
      <c r="AH15" s="5">
        <v>200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25">
      <c r="A16" s="5" t="s">
        <v>50</v>
      </c>
      <c r="B16" s="5" t="s">
        <v>48</v>
      </c>
      <c r="C16" s="5">
        <v>949</v>
      </c>
      <c r="D16" s="5"/>
      <c r="E16" s="17">
        <f>321+E55</f>
        <v>361</v>
      </c>
      <c r="F16" s="17">
        <f>562+F55</f>
        <v>319</v>
      </c>
      <c r="G16" s="8">
        <v>0.35</v>
      </c>
      <c r="H16" s="5">
        <v>40</v>
      </c>
      <c r="I16" s="5" t="s">
        <v>37</v>
      </c>
      <c r="J16" s="5"/>
      <c r="K16" s="5"/>
      <c r="L16" s="5">
        <f t="shared" si="2"/>
        <v>361</v>
      </c>
      <c r="M16" s="5"/>
      <c r="N16" s="5"/>
      <c r="O16" s="5">
        <v>300</v>
      </c>
      <c r="P16" s="5">
        <v>142.85714285714289</v>
      </c>
      <c r="Q16" s="5">
        <f t="shared" si="3"/>
        <v>72.2</v>
      </c>
      <c r="R16" s="4">
        <f t="shared" si="9"/>
        <v>537.74285714285725</v>
      </c>
      <c r="S16" s="4">
        <f t="shared" si="10"/>
        <v>600</v>
      </c>
      <c r="T16" s="4"/>
      <c r="U16" s="5"/>
      <c r="V16" s="5">
        <f t="shared" si="7"/>
        <v>18.862287297190345</v>
      </c>
      <c r="W16" s="5">
        <f t="shared" si="4"/>
        <v>10.552037989711121</v>
      </c>
      <c r="X16" s="5">
        <v>71.400000000000006</v>
      </c>
      <c r="Y16" s="5">
        <v>65.599999999999994</v>
      </c>
      <c r="Z16" s="5">
        <v>57.8</v>
      </c>
      <c r="AA16" s="5">
        <v>76.2</v>
      </c>
      <c r="AB16" s="5">
        <v>87</v>
      </c>
      <c r="AC16" s="5">
        <v>66.8</v>
      </c>
      <c r="AD16" s="5">
        <v>72.599999999999994</v>
      </c>
      <c r="AE16" s="5">
        <v>86</v>
      </c>
      <c r="AF16" s="5"/>
      <c r="AG16" s="5">
        <f t="shared" si="11"/>
        <v>210</v>
      </c>
      <c r="AH16" s="5">
        <v>210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x14ac:dyDescent="0.25">
      <c r="A17" s="5" t="s">
        <v>51</v>
      </c>
      <c r="B17" s="5" t="s">
        <v>36</v>
      </c>
      <c r="C17" s="5">
        <v>96.114999999999995</v>
      </c>
      <c r="D17" s="5"/>
      <c r="E17" s="5">
        <v>56.055</v>
      </c>
      <c r="F17" s="5">
        <v>22.852</v>
      </c>
      <c r="G17" s="8">
        <v>1</v>
      </c>
      <c r="H17" s="5">
        <v>40</v>
      </c>
      <c r="I17" s="5" t="s">
        <v>37</v>
      </c>
      <c r="J17" s="5"/>
      <c r="K17" s="5"/>
      <c r="L17" s="5">
        <f t="shared" si="2"/>
        <v>56.055</v>
      </c>
      <c r="M17" s="5"/>
      <c r="N17" s="5"/>
      <c r="O17" s="5">
        <v>100</v>
      </c>
      <c r="P17" s="5">
        <v>90</v>
      </c>
      <c r="Q17" s="5">
        <f t="shared" si="3"/>
        <v>11.211</v>
      </c>
      <c r="R17" s="4"/>
      <c r="S17" s="4">
        <f t="shared" si="10"/>
        <v>120</v>
      </c>
      <c r="T17" s="4"/>
      <c r="U17" s="5"/>
      <c r="V17" s="5">
        <f t="shared" si="7"/>
        <v>29.689768976897685</v>
      </c>
      <c r="W17" s="5">
        <f t="shared" si="4"/>
        <v>18.985995896886987</v>
      </c>
      <c r="X17" s="5">
        <v>13.563000000000001</v>
      </c>
      <c r="Y17" s="5">
        <v>15.1646</v>
      </c>
      <c r="Z17" s="5">
        <v>11.160600000000001</v>
      </c>
      <c r="AA17" s="5">
        <v>17.8444</v>
      </c>
      <c r="AB17" s="5">
        <v>5.4691999999999998</v>
      </c>
      <c r="AC17" s="5">
        <v>7.2450000000000001</v>
      </c>
      <c r="AD17" s="5">
        <v>15.610799999999999</v>
      </c>
      <c r="AE17" s="5">
        <v>19.899999999999999</v>
      </c>
      <c r="AF17" s="5"/>
      <c r="AG17" s="5">
        <f t="shared" si="11"/>
        <v>120</v>
      </c>
      <c r="AH17" s="5">
        <v>120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x14ac:dyDescent="0.25">
      <c r="A18" s="5" t="s">
        <v>52</v>
      </c>
      <c r="B18" s="5" t="s">
        <v>36</v>
      </c>
      <c r="C18" s="5">
        <v>85.894000000000005</v>
      </c>
      <c r="D18" s="5"/>
      <c r="E18" s="5">
        <v>77.125</v>
      </c>
      <c r="F18" s="5">
        <v>4.734</v>
      </c>
      <c r="G18" s="8">
        <v>1</v>
      </c>
      <c r="H18" s="5">
        <v>45</v>
      </c>
      <c r="I18" s="5" t="s">
        <v>37</v>
      </c>
      <c r="J18" s="5"/>
      <c r="K18" s="5"/>
      <c r="L18" s="5">
        <f t="shared" si="2"/>
        <v>77.125</v>
      </c>
      <c r="M18" s="5"/>
      <c r="N18" s="5"/>
      <c r="O18" s="5">
        <v>150</v>
      </c>
      <c r="P18" s="5">
        <v>100</v>
      </c>
      <c r="Q18" s="5">
        <f t="shared" si="3"/>
        <v>15.425000000000001</v>
      </c>
      <c r="R18" s="4">
        <f t="shared" si="9"/>
        <v>22.916000000000032</v>
      </c>
      <c r="S18" s="4">
        <f t="shared" si="10"/>
        <v>35</v>
      </c>
      <c r="T18" s="4"/>
      <c r="U18" s="5"/>
      <c r="V18" s="5">
        <f t="shared" si="7"/>
        <v>18.783403565640196</v>
      </c>
      <c r="W18" s="5">
        <f t="shared" si="4"/>
        <v>16.514359805510534</v>
      </c>
      <c r="X18" s="5">
        <v>10.603199999999999</v>
      </c>
      <c r="Y18" s="5">
        <v>22.527999999999999</v>
      </c>
      <c r="Z18" s="5">
        <v>12.4626</v>
      </c>
      <c r="AA18" s="5">
        <v>15.3696</v>
      </c>
      <c r="AB18" s="5">
        <v>-1.1786000000000001</v>
      </c>
      <c r="AC18" s="5">
        <v>16.7942</v>
      </c>
      <c r="AD18" s="5">
        <v>17.0852</v>
      </c>
      <c r="AE18" s="5">
        <v>11.982799999999999</v>
      </c>
      <c r="AF18" s="5"/>
      <c r="AG18" s="5">
        <f t="shared" si="11"/>
        <v>35</v>
      </c>
      <c r="AH18" s="5">
        <v>35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x14ac:dyDescent="0.25">
      <c r="A19" s="5" t="s">
        <v>53</v>
      </c>
      <c r="B19" s="5" t="s">
        <v>48</v>
      </c>
      <c r="C19" s="5">
        <v>59</v>
      </c>
      <c r="D19" s="5"/>
      <c r="E19" s="5">
        <v>48</v>
      </c>
      <c r="F19" s="5">
        <v>-1</v>
      </c>
      <c r="G19" s="8">
        <v>0.6</v>
      </c>
      <c r="H19" s="5">
        <v>45</v>
      </c>
      <c r="I19" s="5" t="s">
        <v>37</v>
      </c>
      <c r="J19" s="5"/>
      <c r="K19" s="5"/>
      <c r="L19" s="5">
        <f t="shared" si="2"/>
        <v>48</v>
      </c>
      <c r="M19" s="5"/>
      <c r="N19" s="5"/>
      <c r="O19" s="5">
        <v>80</v>
      </c>
      <c r="P19" s="5">
        <v>125</v>
      </c>
      <c r="Q19" s="5">
        <f t="shared" si="3"/>
        <v>9.6</v>
      </c>
      <c r="R19" s="4"/>
      <c r="S19" s="4">
        <f t="shared" si="10"/>
        <v>0</v>
      </c>
      <c r="T19" s="4"/>
      <c r="U19" s="5"/>
      <c r="V19" s="5">
        <f t="shared" si="7"/>
        <v>21.25</v>
      </c>
      <c r="W19" s="5">
        <f t="shared" si="4"/>
        <v>21.25</v>
      </c>
      <c r="X19" s="5">
        <v>11.6</v>
      </c>
      <c r="Y19" s="5">
        <v>9.6</v>
      </c>
      <c r="Z19" s="5">
        <v>12</v>
      </c>
      <c r="AA19" s="5">
        <v>16.8</v>
      </c>
      <c r="AB19" s="5">
        <v>6.4</v>
      </c>
      <c r="AC19" s="5">
        <v>0</v>
      </c>
      <c r="AD19" s="5">
        <v>14.6</v>
      </c>
      <c r="AE19" s="5">
        <v>13.8</v>
      </c>
      <c r="AF19" s="5"/>
      <c r="AG19" s="5">
        <f t="shared" si="11"/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x14ac:dyDescent="0.25">
      <c r="A20" s="10" t="s">
        <v>54</v>
      </c>
      <c r="B20" s="10" t="s">
        <v>48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55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2"/>
      <c r="U20" s="10"/>
      <c r="V20" s="5" t="e">
        <f t="shared" si="7"/>
        <v>#DIV/0!</v>
      </c>
      <c r="W20" s="10" t="e">
        <f t="shared" si="4"/>
        <v>#DIV/0!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 t="s">
        <v>56</v>
      </c>
      <c r="AG20" s="10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x14ac:dyDescent="0.25">
      <c r="A21" s="5" t="s">
        <v>57</v>
      </c>
      <c r="B21" s="5" t="s">
        <v>36</v>
      </c>
      <c r="C21" s="5">
        <v>427.57900000000001</v>
      </c>
      <c r="D21" s="5"/>
      <c r="E21" s="17">
        <f>180.952+E56</f>
        <v>198.624</v>
      </c>
      <c r="F21" s="17">
        <f>215.679+F56</f>
        <v>151.904</v>
      </c>
      <c r="G21" s="8">
        <v>1</v>
      </c>
      <c r="H21" s="5">
        <v>45</v>
      </c>
      <c r="I21" s="5" t="s">
        <v>37</v>
      </c>
      <c r="J21" s="5"/>
      <c r="K21" s="5"/>
      <c r="L21" s="5">
        <f t="shared" si="2"/>
        <v>198.624</v>
      </c>
      <c r="M21" s="5"/>
      <c r="N21" s="5"/>
      <c r="O21" s="5">
        <v>100</v>
      </c>
      <c r="P21" s="5">
        <v>150</v>
      </c>
      <c r="Q21" s="5">
        <f t="shared" si="3"/>
        <v>39.724800000000002</v>
      </c>
      <c r="R21" s="4">
        <f t="shared" ref="R21:R36" si="12">18*Q21-P21-O21-F21</f>
        <v>313.14240000000007</v>
      </c>
      <c r="S21" s="4">
        <f t="shared" ref="S21:S37" si="13">AH21/G21</f>
        <v>250</v>
      </c>
      <c r="T21" s="4"/>
      <c r="U21" s="5"/>
      <c r="V21" s="5">
        <f t="shared" si="7"/>
        <v>16.410504269373288</v>
      </c>
      <c r="W21" s="5">
        <f t="shared" si="4"/>
        <v>10.117206379893668</v>
      </c>
      <c r="X21" s="5">
        <v>39.704000000000001</v>
      </c>
      <c r="Y21" s="5">
        <v>27.8612</v>
      </c>
      <c r="Z21" s="5">
        <v>31.665600000000001</v>
      </c>
      <c r="AA21" s="5">
        <v>50.165399999999998</v>
      </c>
      <c r="AB21" s="5">
        <v>15.9466</v>
      </c>
      <c r="AC21" s="5">
        <v>47.153399999999998</v>
      </c>
      <c r="AD21" s="5">
        <v>35.1066</v>
      </c>
      <c r="AE21" s="5">
        <v>36.44</v>
      </c>
      <c r="AF21" s="5"/>
      <c r="AG21" s="5">
        <f t="shared" ref="AG21:AG37" si="14">ROUND(G21*S21,0)</f>
        <v>250</v>
      </c>
      <c r="AH21" s="5">
        <v>250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x14ac:dyDescent="0.25">
      <c r="A22" s="5" t="s">
        <v>58</v>
      </c>
      <c r="B22" s="5" t="s">
        <v>48</v>
      </c>
      <c r="C22" s="5">
        <v>403</v>
      </c>
      <c r="D22" s="5"/>
      <c r="E22" s="17">
        <f>263+E57</f>
        <v>291</v>
      </c>
      <c r="F22" s="17">
        <f>118+F57</f>
        <v>30</v>
      </c>
      <c r="G22" s="8">
        <v>0.4</v>
      </c>
      <c r="H22" s="5">
        <v>45</v>
      </c>
      <c r="I22" s="5" t="s">
        <v>37</v>
      </c>
      <c r="J22" s="5"/>
      <c r="K22" s="5"/>
      <c r="L22" s="5">
        <f t="shared" si="2"/>
        <v>291</v>
      </c>
      <c r="M22" s="5"/>
      <c r="N22" s="5"/>
      <c r="O22" s="5">
        <v>200</v>
      </c>
      <c r="P22" s="5">
        <v>250</v>
      </c>
      <c r="Q22" s="5">
        <f t="shared" si="3"/>
        <v>58.2</v>
      </c>
      <c r="R22" s="4">
        <f>16*Q22-P22-O22-F22</f>
        <v>451.20000000000005</v>
      </c>
      <c r="S22" s="4">
        <f t="shared" si="13"/>
        <v>320</v>
      </c>
      <c r="T22" s="4"/>
      <c r="U22" s="5"/>
      <c r="V22" s="5">
        <f t="shared" si="7"/>
        <v>13.745704467353951</v>
      </c>
      <c r="W22" s="5">
        <f t="shared" si="4"/>
        <v>8.2474226804123703</v>
      </c>
      <c r="X22" s="5">
        <v>39</v>
      </c>
      <c r="Y22" s="5">
        <v>25.4</v>
      </c>
      <c r="Z22" s="5">
        <v>45</v>
      </c>
      <c r="AA22" s="5">
        <v>49.2</v>
      </c>
      <c r="AB22" s="5">
        <v>31.4</v>
      </c>
      <c r="AC22" s="5">
        <v>51.4</v>
      </c>
      <c r="AD22" s="5">
        <v>-3</v>
      </c>
      <c r="AE22" s="5">
        <v>-5</v>
      </c>
      <c r="AF22" s="5"/>
      <c r="AG22" s="5">
        <f t="shared" si="14"/>
        <v>128</v>
      </c>
      <c r="AH22" s="5">
        <v>128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x14ac:dyDescent="0.25">
      <c r="A23" s="5" t="s">
        <v>59</v>
      </c>
      <c r="B23" s="5" t="s">
        <v>48</v>
      </c>
      <c r="C23" s="5">
        <v>203</v>
      </c>
      <c r="D23" s="5"/>
      <c r="E23" s="5">
        <v>200</v>
      </c>
      <c r="F23" s="5">
        <v>-18</v>
      </c>
      <c r="G23" s="8">
        <v>0.4</v>
      </c>
      <c r="H23" s="5">
        <v>45</v>
      </c>
      <c r="I23" s="5" t="s">
        <v>37</v>
      </c>
      <c r="J23" s="5"/>
      <c r="K23" s="5"/>
      <c r="L23" s="5">
        <f t="shared" si="2"/>
        <v>200</v>
      </c>
      <c r="M23" s="5"/>
      <c r="N23" s="5"/>
      <c r="O23" s="5">
        <v>250</v>
      </c>
      <c r="P23" s="5">
        <v>250</v>
      </c>
      <c r="Q23" s="5">
        <f t="shared" si="3"/>
        <v>40</v>
      </c>
      <c r="R23" s="4">
        <f t="shared" si="12"/>
        <v>238</v>
      </c>
      <c r="S23" s="4">
        <f t="shared" si="13"/>
        <v>230</v>
      </c>
      <c r="T23" s="4"/>
      <c r="U23" s="5"/>
      <c r="V23" s="5">
        <f t="shared" si="7"/>
        <v>17.8</v>
      </c>
      <c r="W23" s="5">
        <f t="shared" si="4"/>
        <v>12.05</v>
      </c>
      <c r="X23" s="5">
        <v>33.6</v>
      </c>
      <c r="Y23" s="5">
        <v>41</v>
      </c>
      <c r="Z23" s="5">
        <v>31.4</v>
      </c>
      <c r="AA23" s="5">
        <v>41.4</v>
      </c>
      <c r="AB23" s="5">
        <v>26.6</v>
      </c>
      <c r="AC23" s="5">
        <v>47.8</v>
      </c>
      <c r="AD23" s="5">
        <v>-3.2</v>
      </c>
      <c r="AE23" s="5">
        <v>-5.8</v>
      </c>
      <c r="AF23" s="5"/>
      <c r="AG23" s="5">
        <f t="shared" si="14"/>
        <v>92</v>
      </c>
      <c r="AH23" s="5">
        <v>92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x14ac:dyDescent="0.25">
      <c r="A24" s="5" t="s">
        <v>60</v>
      </c>
      <c r="B24" s="5" t="s">
        <v>36</v>
      </c>
      <c r="C24" s="5">
        <v>259.36900000000003</v>
      </c>
      <c r="D24" s="5"/>
      <c r="E24" s="17">
        <f>117.367+E58</f>
        <v>136.50200000000001</v>
      </c>
      <c r="F24" s="17">
        <f>105.835+F58</f>
        <v>35.155999999999992</v>
      </c>
      <c r="G24" s="8">
        <v>1</v>
      </c>
      <c r="H24" s="5">
        <v>40</v>
      </c>
      <c r="I24" s="5" t="s">
        <v>37</v>
      </c>
      <c r="J24" s="5"/>
      <c r="K24" s="5"/>
      <c r="L24" s="5">
        <f t="shared" si="2"/>
        <v>136.50200000000001</v>
      </c>
      <c r="M24" s="5"/>
      <c r="N24" s="5"/>
      <c r="O24" s="5">
        <v>300</v>
      </c>
      <c r="P24" s="5">
        <v>150</v>
      </c>
      <c r="Q24" s="5">
        <f t="shared" si="3"/>
        <v>27.300400000000003</v>
      </c>
      <c r="R24" s="4">
        <f t="shared" si="12"/>
        <v>6.251200000000054</v>
      </c>
      <c r="S24" s="4">
        <f t="shared" si="13"/>
        <v>150</v>
      </c>
      <c r="T24" s="4"/>
      <c r="U24" s="5"/>
      <c r="V24" s="5">
        <f t="shared" si="7"/>
        <v>23.265446660122191</v>
      </c>
      <c r="W24" s="5">
        <f t="shared" si="4"/>
        <v>17.771021670012161</v>
      </c>
      <c r="X24" s="5">
        <v>26.869</v>
      </c>
      <c r="Y24" s="5">
        <v>43.381999999999998</v>
      </c>
      <c r="Z24" s="5">
        <v>26.785</v>
      </c>
      <c r="AA24" s="5">
        <v>25.805800000000001</v>
      </c>
      <c r="AB24" s="5">
        <v>34.767600000000002</v>
      </c>
      <c r="AC24" s="5">
        <v>29.1784</v>
      </c>
      <c r="AD24" s="5">
        <v>24.391200000000001</v>
      </c>
      <c r="AE24" s="5">
        <v>56.445000000000007</v>
      </c>
      <c r="AF24" s="5"/>
      <c r="AG24" s="5">
        <f t="shared" si="14"/>
        <v>150</v>
      </c>
      <c r="AH24" s="5">
        <v>150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25">
      <c r="A25" s="5" t="s">
        <v>61</v>
      </c>
      <c r="B25" s="5" t="s">
        <v>48</v>
      </c>
      <c r="C25" s="5">
        <v>147</v>
      </c>
      <c r="D25" s="5"/>
      <c r="E25" s="5">
        <v>102</v>
      </c>
      <c r="F25" s="5">
        <v>29</v>
      </c>
      <c r="G25" s="8">
        <v>0.35</v>
      </c>
      <c r="H25" s="5">
        <v>45</v>
      </c>
      <c r="I25" s="5" t="s">
        <v>37</v>
      </c>
      <c r="J25" s="5"/>
      <c r="K25" s="5"/>
      <c r="L25" s="5">
        <f t="shared" si="2"/>
        <v>102</v>
      </c>
      <c r="M25" s="5"/>
      <c r="N25" s="5"/>
      <c r="O25" s="5">
        <v>0</v>
      </c>
      <c r="P25" s="5">
        <v>142.85714285714289</v>
      </c>
      <c r="Q25" s="5">
        <f t="shared" si="3"/>
        <v>20.399999999999999</v>
      </c>
      <c r="R25" s="4">
        <f>16*Q25-P25-O25-F25</f>
        <v>154.54285714285709</v>
      </c>
      <c r="S25" s="4">
        <f t="shared" si="13"/>
        <v>100</v>
      </c>
      <c r="T25" s="4"/>
      <c r="U25" s="5"/>
      <c r="V25" s="5">
        <f t="shared" si="7"/>
        <v>13.326330532212888</v>
      </c>
      <c r="W25" s="5">
        <f t="shared" si="4"/>
        <v>8.4243697478991617</v>
      </c>
      <c r="X25" s="5">
        <v>15</v>
      </c>
      <c r="Y25" s="5">
        <v>11.2</v>
      </c>
      <c r="Z25" s="5">
        <v>18.600000000000001</v>
      </c>
      <c r="AA25" s="5">
        <v>19.399999999999999</v>
      </c>
      <c r="AB25" s="5">
        <v>13.6</v>
      </c>
      <c r="AC25" s="5">
        <v>16.399999999999999</v>
      </c>
      <c r="AD25" s="5">
        <v>14.6</v>
      </c>
      <c r="AE25" s="5">
        <v>23.4</v>
      </c>
      <c r="AF25" s="5"/>
      <c r="AG25" s="5">
        <f t="shared" si="14"/>
        <v>35</v>
      </c>
      <c r="AH25" s="5">
        <v>35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25">
      <c r="A26" s="5" t="s">
        <v>62</v>
      </c>
      <c r="B26" s="5" t="s">
        <v>36</v>
      </c>
      <c r="C26" s="5">
        <v>283.351</v>
      </c>
      <c r="D26" s="5"/>
      <c r="E26" s="5">
        <v>103.178</v>
      </c>
      <c r="F26" s="5">
        <v>167.29499999999999</v>
      </c>
      <c r="G26" s="8">
        <v>1</v>
      </c>
      <c r="H26" s="5">
        <v>45</v>
      </c>
      <c r="I26" s="5" t="s">
        <v>37</v>
      </c>
      <c r="J26" s="5"/>
      <c r="K26" s="5"/>
      <c r="L26" s="5">
        <f t="shared" si="2"/>
        <v>103.178</v>
      </c>
      <c r="M26" s="5"/>
      <c r="N26" s="5"/>
      <c r="O26" s="5">
        <v>150</v>
      </c>
      <c r="P26" s="5">
        <v>0</v>
      </c>
      <c r="Q26" s="5">
        <f t="shared" si="3"/>
        <v>20.6356</v>
      </c>
      <c r="R26" s="4">
        <f t="shared" si="12"/>
        <v>54.145800000000037</v>
      </c>
      <c r="S26" s="4">
        <f t="shared" si="13"/>
        <v>200</v>
      </c>
      <c r="T26" s="4"/>
      <c r="U26" s="5"/>
      <c r="V26" s="5">
        <f t="shared" si="7"/>
        <v>25.068086219930603</v>
      </c>
      <c r="W26" s="5">
        <f t="shared" si="4"/>
        <v>15.376097617709199</v>
      </c>
      <c r="X26" s="5">
        <v>19.563400000000001</v>
      </c>
      <c r="Y26" s="5">
        <v>20.959399999999999</v>
      </c>
      <c r="Z26" s="5">
        <v>28.772600000000001</v>
      </c>
      <c r="AA26" s="5">
        <v>30.851800000000001</v>
      </c>
      <c r="AB26" s="5">
        <v>24.670999999999999</v>
      </c>
      <c r="AC26" s="5">
        <v>20.548999999999999</v>
      </c>
      <c r="AD26" s="5">
        <v>21.646000000000001</v>
      </c>
      <c r="AE26" s="5">
        <v>34.644799999999996</v>
      </c>
      <c r="AF26" s="5"/>
      <c r="AG26" s="5">
        <f t="shared" si="14"/>
        <v>200</v>
      </c>
      <c r="AH26" s="5">
        <v>200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25">
      <c r="A27" s="5" t="s">
        <v>63</v>
      </c>
      <c r="B27" s="5" t="s">
        <v>48</v>
      </c>
      <c r="C27" s="5">
        <v>415</v>
      </c>
      <c r="D27" s="5"/>
      <c r="E27" s="5">
        <v>179</v>
      </c>
      <c r="F27" s="5">
        <v>221</v>
      </c>
      <c r="G27" s="8">
        <v>0.45</v>
      </c>
      <c r="H27" s="5">
        <v>45</v>
      </c>
      <c r="I27" s="5" t="s">
        <v>37</v>
      </c>
      <c r="J27" s="5"/>
      <c r="K27" s="5"/>
      <c r="L27" s="5">
        <f t="shared" si="2"/>
        <v>179</v>
      </c>
      <c r="M27" s="5"/>
      <c r="N27" s="5"/>
      <c r="O27" s="5">
        <v>300</v>
      </c>
      <c r="P27" s="5">
        <v>0</v>
      </c>
      <c r="Q27" s="5">
        <f t="shared" si="3"/>
        <v>35.799999999999997</v>
      </c>
      <c r="R27" s="4">
        <f t="shared" si="12"/>
        <v>123.39999999999998</v>
      </c>
      <c r="S27" s="4">
        <f t="shared" si="13"/>
        <v>251.11111111111111</v>
      </c>
      <c r="T27" s="4"/>
      <c r="U27" s="5"/>
      <c r="V27" s="5">
        <f t="shared" si="7"/>
        <v>21.567349472377405</v>
      </c>
      <c r="W27" s="5">
        <f t="shared" si="4"/>
        <v>14.553072625698325</v>
      </c>
      <c r="X27" s="5">
        <v>28</v>
      </c>
      <c r="Y27" s="5">
        <v>41.6</v>
      </c>
      <c r="Z27" s="5">
        <v>33.200000000000003</v>
      </c>
      <c r="AA27" s="5">
        <v>41.4</v>
      </c>
      <c r="AB27" s="5">
        <v>30.4</v>
      </c>
      <c r="AC27" s="5">
        <v>42.6</v>
      </c>
      <c r="AD27" s="5">
        <v>41.6</v>
      </c>
      <c r="AE27" s="5">
        <v>50.2</v>
      </c>
      <c r="AF27" s="5"/>
      <c r="AG27" s="5">
        <f t="shared" si="14"/>
        <v>113</v>
      </c>
      <c r="AH27" s="5">
        <v>113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25">
      <c r="A28" s="5" t="s">
        <v>64</v>
      </c>
      <c r="B28" s="5" t="s">
        <v>36</v>
      </c>
      <c r="C28" s="5">
        <v>1138.9590000000001</v>
      </c>
      <c r="D28" s="5"/>
      <c r="E28" s="17">
        <f>442.557+E59</f>
        <v>488.28500000000003</v>
      </c>
      <c r="F28" s="17">
        <f>654.482+F59</f>
        <v>607.37699999999995</v>
      </c>
      <c r="G28" s="8">
        <v>1</v>
      </c>
      <c r="H28" s="5">
        <v>45</v>
      </c>
      <c r="I28" s="5" t="s">
        <v>37</v>
      </c>
      <c r="J28" s="5"/>
      <c r="K28" s="5"/>
      <c r="L28" s="5">
        <f t="shared" si="2"/>
        <v>488.28500000000003</v>
      </c>
      <c r="M28" s="5"/>
      <c r="N28" s="5"/>
      <c r="O28" s="5">
        <v>300</v>
      </c>
      <c r="P28" s="5">
        <v>0</v>
      </c>
      <c r="Q28" s="5">
        <f t="shared" si="3"/>
        <v>97.657000000000011</v>
      </c>
      <c r="R28" s="4">
        <f>17*Q28-P28-O28-F28</f>
        <v>752.79200000000014</v>
      </c>
      <c r="S28" s="4">
        <f t="shared" si="13"/>
        <v>700</v>
      </c>
      <c r="T28" s="4"/>
      <c r="U28" s="5"/>
      <c r="V28" s="5">
        <f t="shared" si="7"/>
        <v>16.459414071699928</v>
      </c>
      <c r="W28" s="5">
        <f t="shared" si="4"/>
        <v>9.2914691215171459</v>
      </c>
      <c r="X28" s="5">
        <v>89.227999999999994</v>
      </c>
      <c r="Y28" s="5">
        <v>91.657799999999995</v>
      </c>
      <c r="Z28" s="5">
        <v>88.123999999999995</v>
      </c>
      <c r="AA28" s="5">
        <v>110.1108</v>
      </c>
      <c r="AB28" s="5">
        <v>94.604600000000005</v>
      </c>
      <c r="AC28" s="5">
        <v>93.9696</v>
      </c>
      <c r="AD28" s="5">
        <v>96.637199999999993</v>
      </c>
      <c r="AE28" s="5">
        <v>145.0078</v>
      </c>
      <c r="AF28" s="5"/>
      <c r="AG28" s="5">
        <f t="shared" si="14"/>
        <v>700</v>
      </c>
      <c r="AH28" s="5">
        <v>700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25">
      <c r="A29" s="5" t="s">
        <v>65</v>
      </c>
      <c r="B29" s="5" t="s">
        <v>36</v>
      </c>
      <c r="C29" s="5">
        <v>33.612000000000002</v>
      </c>
      <c r="D29" s="5"/>
      <c r="E29" s="5">
        <v>26.06</v>
      </c>
      <c r="F29" s="5">
        <v>3.1419999999999999</v>
      </c>
      <c r="G29" s="8">
        <v>1</v>
      </c>
      <c r="H29" s="5">
        <v>40</v>
      </c>
      <c r="I29" s="5" t="s">
        <v>37</v>
      </c>
      <c r="J29" s="5"/>
      <c r="K29" s="5"/>
      <c r="L29" s="5">
        <f t="shared" si="2"/>
        <v>26.06</v>
      </c>
      <c r="M29" s="5"/>
      <c r="N29" s="5"/>
      <c r="O29" s="5">
        <v>50</v>
      </c>
      <c r="P29" s="5">
        <v>0</v>
      </c>
      <c r="Q29" s="5">
        <f t="shared" si="3"/>
        <v>5.2119999999999997</v>
      </c>
      <c r="R29" s="4">
        <f t="shared" si="12"/>
        <v>40.673999999999999</v>
      </c>
      <c r="S29" s="4">
        <f t="shared" si="13"/>
        <v>0</v>
      </c>
      <c r="T29" s="4"/>
      <c r="U29" s="5"/>
      <c r="V29" s="5">
        <f t="shared" si="7"/>
        <v>10.196085955487337</v>
      </c>
      <c r="W29" s="5">
        <f t="shared" si="4"/>
        <v>10.196085955487337</v>
      </c>
      <c r="X29" s="5">
        <v>-6.9399999999999989E-2</v>
      </c>
      <c r="Y29" s="5">
        <v>-2.2000000000000002</v>
      </c>
      <c r="Z29" s="5">
        <v>7.8516000000000004</v>
      </c>
      <c r="AA29" s="5">
        <v>3.5236000000000001</v>
      </c>
      <c r="AB29" s="5">
        <v>3.6286</v>
      </c>
      <c r="AC29" s="5">
        <v>-1.3802000000000001</v>
      </c>
      <c r="AD29" s="5">
        <v>4.3376000000000001</v>
      </c>
      <c r="AE29" s="5">
        <v>-1.5336000000000001</v>
      </c>
      <c r="AF29" s="5"/>
      <c r="AG29" s="5">
        <f t="shared" si="14"/>
        <v>0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x14ac:dyDescent="0.25">
      <c r="A30" s="5" t="s">
        <v>66</v>
      </c>
      <c r="B30" s="5" t="s">
        <v>48</v>
      </c>
      <c r="C30" s="5">
        <v>307</v>
      </c>
      <c r="D30" s="5"/>
      <c r="E30" s="5">
        <v>162</v>
      </c>
      <c r="F30" s="5">
        <v>105</v>
      </c>
      <c r="G30" s="8">
        <v>0.4</v>
      </c>
      <c r="H30" s="5">
        <v>55</v>
      </c>
      <c r="I30" s="5" t="s">
        <v>37</v>
      </c>
      <c r="J30" s="5"/>
      <c r="K30" s="5"/>
      <c r="L30" s="5">
        <f t="shared" si="2"/>
        <v>162</v>
      </c>
      <c r="M30" s="5"/>
      <c r="N30" s="5"/>
      <c r="O30" s="5">
        <v>200</v>
      </c>
      <c r="P30" s="5">
        <v>300</v>
      </c>
      <c r="Q30" s="5">
        <f t="shared" si="3"/>
        <v>32.4</v>
      </c>
      <c r="R30" s="4"/>
      <c r="S30" s="4">
        <f t="shared" si="13"/>
        <v>200</v>
      </c>
      <c r="T30" s="4"/>
      <c r="U30" s="5"/>
      <c r="V30" s="5">
        <f t="shared" si="7"/>
        <v>24.845679012345681</v>
      </c>
      <c r="W30" s="5">
        <f t="shared" si="4"/>
        <v>18.672839506172842</v>
      </c>
      <c r="X30" s="5">
        <v>40</v>
      </c>
      <c r="Y30" s="5">
        <v>30.8</v>
      </c>
      <c r="Z30" s="5">
        <v>23</v>
      </c>
      <c r="AA30" s="5">
        <v>41.8</v>
      </c>
      <c r="AB30" s="5">
        <v>29.6</v>
      </c>
      <c r="AC30" s="5">
        <v>27</v>
      </c>
      <c r="AD30" s="5">
        <v>23.4</v>
      </c>
      <c r="AE30" s="5">
        <v>37.6</v>
      </c>
      <c r="AF30" s="5"/>
      <c r="AG30" s="5">
        <f t="shared" si="14"/>
        <v>80</v>
      </c>
      <c r="AH30" s="5">
        <v>80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x14ac:dyDescent="0.25">
      <c r="A31" s="5" t="s">
        <v>67</v>
      </c>
      <c r="B31" s="5" t="s">
        <v>36</v>
      </c>
      <c r="C31" s="5">
        <v>1228.316</v>
      </c>
      <c r="D31" s="5"/>
      <c r="E31" s="17">
        <f>238.01+E60</f>
        <v>267.94099999999997</v>
      </c>
      <c r="F31" s="17">
        <f>945.375+F60</f>
        <v>725.68899999999996</v>
      </c>
      <c r="G31" s="8">
        <v>1</v>
      </c>
      <c r="H31" s="5">
        <v>60</v>
      </c>
      <c r="I31" s="5" t="s">
        <v>37</v>
      </c>
      <c r="J31" s="5"/>
      <c r="K31" s="5"/>
      <c r="L31" s="5">
        <f t="shared" si="2"/>
        <v>267.94099999999997</v>
      </c>
      <c r="M31" s="5"/>
      <c r="N31" s="5"/>
      <c r="O31" s="5">
        <v>400</v>
      </c>
      <c r="P31" s="5">
        <v>300</v>
      </c>
      <c r="Q31" s="5">
        <f t="shared" si="3"/>
        <v>53.588199999999993</v>
      </c>
      <c r="R31" s="4"/>
      <c r="S31" s="4">
        <f t="shared" si="13"/>
        <v>400</v>
      </c>
      <c r="T31" s="4"/>
      <c r="U31" s="5"/>
      <c r="V31" s="5">
        <f t="shared" si="7"/>
        <v>34.068862174881787</v>
      </c>
      <c r="W31" s="5">
        <f t="shared" si="4"/>
        <v>26.604532341075089</v>
      </c>
      <c r="X31" s="5">
        <v>73.159400000000005</v>
      </c>
      <c r="Y31" s="5">
        <v>78.661799999999999</v>
      </c>
      <c r="Z31" s="5">
        <v>72.64200000000001</v>
      </c>
      <c r="AA31" s="5">
        <v>72.347000000000008</v>
      </c>
      <c r="AB31" s="5">
        <v>110.3852</v>
      </c>
      <c r="AC31" s="5">
        <v>64.878600000000006</v>
      </c>
      <c r="AD31" s="5">
        <v>67.605999999999995</v>
      </c>
      <c r="AE31" s="5">
        <v>98.049199999999999</v>
      </c>
      <c r="AF31" s="18" t="s">
        <v>73</v>
      </c>
      <c r="AG31" s="5">
        <f t="shared" si="14"/>
        <v>400</v>
      </c>
      <c r="AH31" s="5">
        <v>400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x14ac:dyDescent="0.25">
      <c r="A32" s="5" t="s">
        <v>68</v>
      </c>
      <c r="B32" s="5" t="s">
        <v>48</v>
      </c>
      <c r="C32" s="5">
        <v>21</v>
      </c>
      <c r="D32" s="5"/>
      <c r="E32" s="5">
        <v>21</v>
      </c>
      <c r="F32" s="5">
        <v>0</v>
      </c>
      <c r="G32" s="8">
        <v>0.5</v>
      </c>
      <c r="H32" s="5">
        <v>60</v>
      </c>
      <c r="I32" s="5" t="s">
        <v>37</v>
      </c>
      <c r="J32" s="5"/>
      <c r="K32" s="5"/>
      <c r="L32" s="5">
        <f t="shared" si="2"/>
        <v>21</v>
      </c>
      <c r="M32" s="5"/>
      <c r="N32" s="5"/>
      <c r="O32" s="5">
        <v>200</v>
      </c>
      <c r="P32" s="5">
        <v>200</v>
      </c>
      <c r="Q32" s="5">
        <f t="shared" si="3"/>
        <v>4.2</v>
      </c>
      <c r="R32" s="4"/>
      <c r="S32" s="4">
        <f t="shared" si="13"/>
        <v>100</v>
      </c>
      <c r="T32" s="4"/>
      <c r="U32" s="5"/>
      <c r="V32" s="5">
        <f t="shared" si="7"/>
        <v>119.04761904761904</v>
      </c>
      <c r="W32" s="5">
        <f t="shared" si="4"/>
        <v>95.238095238095241</v>
      </c>
      <c r="X32" s="5">
        <v>15.6</v>
      </c>
      <c r="Y32" s="5">
        <v>13</v>
      </c>
      <c r="Z32" s="5">
        <v>8.8000000000000007</v>
      </c>
      <c r="AA32" s="5">
        <v>5.6</v>
      </c>
      <c r="AB32" s="5">
        <v>11.6</v>
      </c>
      <c r="AC32" s="5">
        <v>7</v>
      </c>
      <c r="AD32" s="5">
        <v>10.6</v>
      </c>
      <c r="AE32" s="5">
        <v>16.2</v>
      </c>
      <c r="AF32" s="5"/>
      <c r="AG32" s="5">
        <f t="shared" si="14"/>
        <v>50</v>
      </c>
      <c r="AH32" s="5">
        <v>50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x14ac:dyDescent="0.25">
      <c r="A33" s="5" t="s">
        <v>69</v>
      </c>
      <c r="B33" s="5" t="s">
        <v>36</v>
      </c>
      <c r="C33" s="5">
        <v>1476.7270000000001</v>
      </c>
      <c r="D33" s="5"/>
      <c r="E33" s="17">
        <f>213.539+E61</f>
        <v>258.166</v>
      </c>
      <c r="F33" s="17">
        <f>1004.829+F61</f>
        <v>789.36699999999996</v>
      </c>
      <c r="G33" s="8">
        <v>1</v>
      </c>
      <c r="H33" s="5">
        <v>60</v>
      </c>
      <c r="I33" s="5" t="s">
        <v>37</v>
      </c>
      <c r="J33" s="5"/>
      <c r="K33" s="5"/>
      <c r="L33" s="5">
        <f t="shared" si="2"/>
        <v>258.166</v>
      </c>
      <c r="M33" s="5"/>
      <c r="N33" s="5"/>
      <c r="O33" s="5">
        <v>400</v>
      </c>
      <c r="P33" s="5">
        <v>700</v>
      </c>
      <c r="Q33" s="5">
        <f t="shared" si="3"/>
        <v>51.633200000000002</v>
      </c>
      <c r="R33" s="4"/>
      <c r="S33" s="4">
        <f t="shared" si="13"/>
        <v>400</v>
      </c>
      <c r="T33" s="4"/>
      <c r="U33" s="18" t="s">
        <v>108</v>
      </c>
      <c r="V33" s="5">
        <f t="shared" si="7"/>
        <v>44.339049293865187</v>
      </c>
      <c r="W33" s="5">
        <f t="shared" si="4"/>
        <v>36.5920957833332</v>
      </c>
      <c r="X33" s="5">
        <v>100.645</v>
      </c>
      <c r="Y33" s="5">
        <v>99.616799999999998</v>
      </c>
      <c r="Z33" s="5">
        <v>55.079799999999999</v>
      </c>
      <c r="AA33" s="5">
        <v>108.70659999999999</v>
      </c>
      <c r="AB33" s="5">
        <v>100.682</v>
      </c>
      <c r="AC33" s="5">
        <v>62.739000000000011</v>
      </c>
      <c r="AD33" s="5">
        <v>110.8276</v>
      </c>
      <c r="AE33" s="5">
        <v>72.517799999999994</v>
      </c>
      <c r="AF33" s="19" t="s">
        <v>43</v>
      </c>
      <c r="AG33" s="5">
        <f t="shared" si="14"/>
        <v>400</v>
      </c>
      <c r="AH33" s="5">
        <v>400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x14ac:dyDescent="0.25">
      <c r="A34" s="5" t="s">
        <v>70</v>
      </c>
      <c r="B34" s="5" t="s">
        <v>36</v>
      </c>
      <c r="C34" s="5">
        <v>1058.1510000000001</v>
      </c>
      <c r="D34" s="5"/>
      <c r="E34" s="17">
        <f>253.374+E62</f>
        <v>298.40300000000002</v>
      </c>
      <c r="F34" s="17">
        <f>684.337+F62</f>
        <v>509.08699999999999</v>
      </c>
      <c r="G34" s="8">
        <v>1</v>
      </c>
      <c r="H34" s="5">
        <v>60</v>
      </c>
      <c r="I34" s="5" t="s">
        <v>37</v>
      </c>
      <c r="J34" s="5"/>
      <c r="K34" s="5"/>
      <c r="L34" s="5">
        <f t="shared" si="2"/>
        <v>298.40300000000002</v>
      </c>
      <c r="M34" s="5"/>
      <c r="N34" s="5"/>
      <c r="O34" s="5">
        <v>400</v>
      </c>
      <c r="P34" s="5">
        <v>300</v>
      </c>
      <c r="Q34" s="5">
        <f t="shared" si="3"/>
        <v>59.680600000000005</v>
      </c>
      <c r="R34" s="4"/>
      <c r="S34" s="4">
        <f t="shared" si="13"/>
        <v>600</v>
      </c>
      <c r="T34" s="4"/>
      <c r="U34" s="5"/>
      <c r="V34" s="5">
        <f t="shared" si="7"/>
        <v>30.312815219686126</v>
      </c>
      <c r="W34" s="5">
        <f t="shared" si="4"/>
        <v>20.259296990981991</v>
      </c>
      <c r="X34" s="5">
        <v>70.167999999999992</v>
      </c>
      <c r="Y34" s="5">
        <v>73.153400000000005</v>
      </c>
      <c r="Z34" s="5">
        <v>70.9054</v>
      </c>
      <c r="AA34" s="5">
        <v>58.851199999999992</v>
      </c>
      <c r="AB34" s="5">
        <v>95.770399999999995</v>
      </c>
      <c r="AC34" s="5">
        <v>60.529200000000003</v>
      </c>
      <c r="AD34" s="5">
        <v>57.493399999999987</v>
      </c>
      <c r="AE34" s="5">
        <v>94.940799999999996</v>
      </c>
      <c r="AF34" s="5"/>
      <c r="AG34" s="5">
        <f t="shared" si="14"/>
        <v>600</v>
      </c>
      <c r="AH34" s="5">
        <v>600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x14ac:dyDescent="0.25">
      <c r="A35" s="5" t="s">
        <v>71</v>
      </c>
      <c r="B35" s="5" t="s">
        <v>48</v>
      </c>
      <c r="C35" s="5">
        <v>994</v>
      </c>
      <c r="D35" s="5"/>
      <c r="E35" s="17">
        <f>345+E63</f>
        <v>375</v>
      </c>
      <c r="F35" s="17">
        <f>408+F63</f>
        <v>322</v>
      </c>
      <c r="G35" s="8">
        <v>0.4</v>
      </c>
      <c r="H35" s="5">
        <v>60</v>
      </c>
      <c r="I35" s="5" t="s">
        <v>37</v>
      </c>
      <c r="J35" s="5"/>
      <c r="K35" s="5"/>
      <c r="L35" s="5">
        <f t="shared" si="2"/>
        <v>375</v>
      </c>
      <c r="M35" s="5"/>
      <c r="N35" s="5"/>
      <c r="O35" s="5">
        <v>100</v>
      </c>
      <c r="P35" s="5">
        <v>700</v>
      </c>
      <c r="Q35" s="5">
        <f t="shared" si="3"/>
        <v>75</v>
      </c>
      <c r="R35" s="4">
        <f t="shared" si="12"/>
        <v>228</v>
      </c>
      <c r="S35" s="4">
        <f t="shared" si="13"/>
        <v>700</v>
      </c>
      <c r="T35" s="4"/>
      <c r="U35" s="5"/>
      <c r="V35" s="5">
        <f t="shared" si="7"/>
        <v>24.293333333333333</v>
      </c>
      <c r="W35" s="5">
        <f t="shared" si="4"/>
        <v>14.96</v>
      </c>
      <c r="X35" s="5">
        <v>100</v>
      </c>
      <c r="Y35" s="5">
        <v>41.8</v>
      </c>
      <c r="Z35" s="5">
        <v>52.4</v>
      </c>
      <c r="AA35" s="5">
        <v>71.8</v>
      </c>
      <c r="AB35" s="5">
        <v>82.8</v>
      </c>
      <c r="AC35" s="5">
        <v>51.6</v>
      </c>
      <c r="AD35" s="5">
        <v>82</v>
      </c>
      <c r="AE35" s="5">
        <v>85.6</v>
      </c>
      <c r="AF35" s="5"/>
      <c r="AG35" s="5">
        <f t="shared" si="14"/>
        <v>280</v>
      </c>
      <c r="AH35" s="5">
        <v>280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x14ac:dyDescent="0.25">
      <c r="A36" s="5" t="s">
        <v>72</v>
      </c>
      <c r="B36" s="5" t="s">
        <v>36</v>
      </c>
      <c r="C36" s="5">
        <v>1220.8679999999999</v>
      </c>
      <c r="D36" s="5"/>
      <c r="E36" s="17">
        <f>389.69+E64</f>
        <v>461.12700000000001</v>
      </c>
      <c r="F36" s="17">
        <f>819.958+F64</f>
        <v>641.83399999999995</v>
      </c>
      <c r="G36" s="8">
        <v>1</v>
      </c>
      <c r="H36" s="5">
        <v>60</v>
      </c>
      <c r="I36" s="5" t="s">
        <v>37</v>
      </c>
      <c r="J36" s="5"/>
      <c r="K36" s="5"/>
      <c r="L36" s="5">
        <f t="shared" si="2"/>
        <v>461.12700000000001</v>
      </c>
      <c r="M36" s="5"/>
      <c r="N36" s="5"/>
      <c r="O36" s="5">
        <v>0</v>
      </c>
      <c r="P36" s="5">
        <v>300</v>
      </c>
      <c r="Q36" s="5">
        <f t="shared" si="3"/>
        <v>92.225400000000008</v>
      </c>
      <c r="R36" s="4">
        <f t="shared" si="12"/>
        <v>718.22320000000025</v>
      </c>
      <c r="S36" s="4">
        <f t="shared" si="13"/>
        <v>750</v>
      </c>
      <c r="T36" s="4"/>
      <c r="U36" s="5"/>
      <c r="V36" s="5">
        <f t="shared" si="7"/>
        <v>18.344555838196417</v>
      </c>
      <c r="W36" s="5">
        <f t="shared" si="4"/>
        <v>10.212305937409866</v>
      </c>
      <c r="X36" s="5">
        <v>63.377800000000001</v>
      </c>
      <c r="Y36" s="5">
        <v>36.398800000000001</v>
      </c>
      <c r="Z36" s="5">
        <v>117.0176</v>
      </c>
      <c r="AA36" s="5">
        <v>49.442399999999999</v>
      </c>
      <c r="AB36" s="5">
        <v>103.33240000000001</v>
      </c>
      <c r="AC36" s="5">
        <v>45.733600000000003</v>
      </c>
      <c r="AD36" s="5">
        <v>109.50020000000001</v>
      </c>
      <c r="AE36" s="5">
        <v>85.315399999999997</v>
      </c>
      <c r="AF36" s="5"/>
      <c r="AG36" s="5">
        <f t="shared" si="14"/>
        <v>750</v>
      </c>
      <c r="AH36" s="5">
        <v>750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x14ac:dyDescent="0.25">
      <c r="A37" s="5" t="s">
        <v>74</v>
      </c>
      <c r="B37" s="5" t="s">
        <v>48</v>
      </c>
      <c r="C37" s="5">
        <v>170</v>
      </c>
      <c r="D37" s="5"/>
      <c r="E37" s="5">
        <v>78</v>
      </c>
      <c r="F37" s="5">
        <v>64</v>
      </c>
      <c r="G37" s="8">
        <v>0.5</v>
      </c>
      <c r="H37" s="5">
        <v>60</v>
      </c>
      <c r="I37" s="5" t="s">
        <v>37</v>
      </c>
      <c r="J37" s="5"/>
      <c r="K37" s="5"/>
      <c r="L37" s="5">
        <f t="shared" si="2"/>
        <v>78</v>
      </c>
      <c r="M37" s="5"/>
      <c r="N37" s="5"/>
      <c r="O37" s="5">
        <v>150</v>
      </c>
      <c r="P37" s="5">
        <v>250</v>
      </c>
      <c r="Q37" s="5">
        <f t="shared" si="3"/>
        <v>15.6</v>
      </c>
      <c r="R37" s="4"/>
      <c r="S37" s="4">
        <f t="shared" si="13"/>
        <v>100</v>
      </c>
      <c r="T37" s="4"/>
      <c r="U37" s="5"/>
      <c r="V37" s="5">
        <f t="shared" si="7"/>
        <v>36.153846153846153</v>
      </c>
      <c r="W37" s="5">
        <f t="shared" si="4"/>
        <v>29.743589743589745</v>
      </c>
      <c r="X37" s="5">
        <v>25.8</v>
      </c>
      <c r="Y37" s="5">
        <v>22.8</v>
      </c>
      <c r="Z37" s="5">
        <v>13.4</v>
      </c>
      <c r="AA37" s="5">
        <v>13</v>
      </c>
      <c r="AB37" s="5">
        <v>19.600000000000001</v>
      </c>
      <c r="AC37" s="5">
        <v>13</v>
      </c>
      <c r="AD37" s="5">
        <v>18.8</v>
      </c>
      <c r="AE37" s="5">
        <v>28</v>
      </c>
      <c r="AF37" s="19" t="s">
        <v>43</v>
      </c>
      <c r="AG37" s="5">
        <f t="shared" si="14"/>
        <v>50</v>
      </c>
      <c r="AH37" s="5">
        <v>50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x14ac:dyDescent="0.25">
      <c r="A38" s="10" t="s">
        <v>75</v>
      </c>
      <c r="B38" s="10" t="s">
        <v>48</v>
      </c>
      <c r="C38" s="10">
        <v>-31</v>
      </c>
      <c r="D38" s="10"/>
      <c r="E38" s="10"/>
      <c r="F38" s="17">
        <v>-31</v>
      </c>
      <c r="G38" s="11">
        <v>0</v>
      </c>
      <c r="H38" s="10"/>
      <c r="I38" s="10" t="s">
        <v>76</v>
      </c>
      <c r="J38" s="10" t="s">
        <v>68</v>
      </c>
      <c r="K38" s="10"/>
      <c r="L38" s="10">
        <f t="shared" ref="L38:L69" si="15">E38-K38</f>
        <v>0</v>
      </c>
      <c r="M38" s="10"/>
      <c r="N38" s="10"/>
      <c r="O38" s="10"/>
      <c r="P38" s="10"/>
      <c r="Q38" s="10">
        <f t="shared" ref="Q38:Q69" si="16">E38/5</f>
        <v>0</v>
      </c>
      <c r="R38" s="12"/>
      <c r="S38" s="12"/>
      <c r="T38" s="12"/>
      <c r="U38" s="10"/>
      <c r="V38" s="5" t="e">
        <f t="shared" si="7"/>
        <v>#DIV/0!</v>
      </c>
      <c r="W38" s="10" t="e">
        <f t="shared" ref="W38:W69" si="17">(F38+O38+P38)/Q38</f>
        <v>#DIV/0!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/>
      <c r="AG38" s="10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x14ac:dyDescent="0.25">
      <c r="A39" s="5" t="s">
        <v>77</v>
      </c>
      <c r="B39" s="5" t="s">
        <v>48</v>
      </c>
      <c r="C39" s="5">
        <v>120</v>
      </c>
      <c r="D39" s="5"/>
      <c r="E39" s="5">
        <v>119</v>
      </c>
      <c r="F39" s="5">
        <v>1</v>
      </c>
      <c r="G39" s="8">
        <v>0.4</v>
      </c>
      <c r="H39" s="5">
        <v>50</v>
      </c>
      <c r="I39" s="5" t="s">
        <v>37</v>
      </c>
      <c r="J39" s="5"/>
      <c r="K39" s="5"/>
      <c r="L39" s="5">
        <f t="shared" si="15"/>
        <v>119</v>
      </c>
      <c r="M39" s="5"/>
      <c r="N39" s="5"/>
      <c r="O39" s="5">
        <v>0</v>
      </c>
      <c r="P39" s="5">
        <v>250</v>
      </c>
      <c r="Q39" s="5">
        <f t="shared" si="16"/>
        <v>23.8</v>
      </c>
      <c r="R39" s="4">
        <f t="shared" ref="R39:R40" si="18">18*Q39-P39-O39-F39</f>
        <v>177.40000000000003</v>
      </c>
      <c r="S39" s="4">
        <f t="shared" ref="S39:S40" si="19">AH39/G39</f>
        <v>100</v>
      </c>
      <c r="T39" s="4"/>
      <c r="U39" s="5"/>
      <c r="V39" s="5">
        <f t="shared" si="7"/>
        <v>14.747899159663865</v>
      </c>
      <c r="W39" s="5">
        <f t="shared" si="17"/>
        <v>10.546218487394958</v>
      </c>
      <c r="X39" s="5">
        <v>7.2</v>
      </c>
      <c r="Y39" s="5">
        <v>5.8</v>
      </c>
      <c r="Z39" s="5">
        <v>12.6</v>
      </c>
      <c r="AA39" s="5">
        <v>14.2</v>
      </c>
      <c r="AB39" s="5">
        <v>10.199999999999999</v>
      </c>
      <c r="AC39" s="5">
        <v>11</v>
      </c>
      <c r="AD39" s="5">
        <v>0.8</v>
      </c>
      <c r="AE39" s="5">
        <v>6.4</v>
      </c>
      <c r="AF39" s="5"/>
      <c r="AG39" s="5">
        <f t="shared" ref="AG39:AG40" si="20">ROUND(G39*S39,0)</f>
        <v>40</v>
      </c>
      <c r="AH39" s="5">
        <v>40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 x14ac:dyDescent="0.25">
      <c r="A40" s="5" t="s">
        <v>78</v>
      </c>
      <c r="B40" s="5" t="s">
        <v>36</v>
      </c>
      <c r="C40" s="5">
        <v>1955.068</v>
      </c>
      <c r="D40" s="5"/>
      <c r="E40" s="17">
        <f>855.6+E65</f>
        <v>991.69399999999996</v>
      </c>
      <c r="F40" s="17">
        <f>988.773+F65</f>
        <v>550.57899999999995</v>
      </c>
      <c r="G40" s="8">
        <v>1</v>
      </c>
      <c r="H40" s="5">
        <v>40</v>
      </c>
      <c r="I40" s="5" t="s">
        <v>37</v>
      </c>
      <c r="J40" s="5"/>
      <c r="K40" s="5"/>
      <c r="L40" s="5">
        <f t="shared" si="15"/>
        <v>991.69399999999996</v>
      </c>
      <c r="M40" s="5"/>
      <c r="N40" s="5"/>
      <c r="O40" s="5">
        <v>1200</v>
      </c>
      <c r="P40" s="5">
        <v>500</v>
      </c>
      <c r="Q40" s="5">
        <f t="shared" si="16"/>
        <v>198.33879999999999</v>
      </c>
      <c r="R40" s="4">
        <f t="shared" si="18"/>
        <v>1319.5193999999999</v>
      </c>
      <c r="S40" s="4">
        <f t="shared" si="19"/>
        <v>1300</v>
      </c>
      <c r="T40" s="4"/>
      <c r="U40" s="5"/>
      <c r="V40" s="5">
        <f t="shared" si="7"/>
        <v>17.901585569742277</v>
      </c>
      <c r="W40" s="5">
        <f t="shared" si="17"/>
        <v>11.3471443812305</v>
      </c>
      <c r="X40" s="5">
        <v>138.934</v>
      </c>
      <c r="Y40" s="5">
        <v>202.55779999999999</v>
      </c>
      <c r="Z40" s="5">
        <v>211.7406</v>
      </c>
      <c r="AA40" s="5">
        <v>139.38579999999999</v>
      </c>
      <c r="AB40" s="5">
        <v>149.83959999999999</v>
      </c>
      <c r="AC40" s="5">
        <v>133.23519999999999</v>
      </c>
      <c r="AD40" s="5">
        <v>159.911</v>
      </c>
      <c r="AE40" s="5">
        <v>226.24279999999999</v>
      </c>
      <c r="AF40" s="5"/>
      <c r="AG40" s="5">
        <f t="shared" si="20"/>
        <v>1300</v>
      </c>
      <c r="AH40" s="5">
        <v>1300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5">
      <c r="A41" s="10" t="s">
        <v>79</v>
      </c>
      <c r="B41" s="10" t="s">
        <v>36</v>
      </c>
      <c r="C41" s="10">
        <v>-4.2350000000000003</v>
      </c>
      <c r="D41" s="10"/>
      <c r="E41" s="10"/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5"/>
        <v>0</v>
      </c>
      <c r="M41" s="10"/>
      <c r="N41" s="10"/>
      <c r="O41" s="10"/>
      <c r="P41" s="10"/>
      <c r="Q41" s="10">
        <f t="shared" si="16"/>
        <v>0</v>
      </c>
      <c r="R41" s="12"/>
      <c r="S41" s="12"/>
      <c r="T41" s="12"/>
      <c r="U41" s="10"/>
      <c r="V41" s="5" t="e">
        <f t="shared" si="7"/>
        <v>#DIV/0!</v>
      </c>
      <c r="W41" s="10" t="e">
        <f t="shared" si="17"/>
        <v>#DIV/0!</v>
      </c>
      <c r="X41" s="10">
        <v>0</v>
      </c>
      <c r="Y41" s="10">
        <v>0</v>
      </c>
      <c r="Z41" s="10">
        <v>0.33800000000000002</v>
      </c>
      <c r="AA41" s="10">
        <v>-0.3392</v>
      </c>
      <c r="AB41" s="10">
        <v>0</v>
      </c>
      <c r="AC41" s="10">
        <v>0</v>
      </c>
      <c r="AD41" s="10">
        <v>0</v>
      </c>
      <c r="AE41" s="10">
        <v>0</v>
      </c>
      <c r="AF41" s="10"/>
      <c r="AG41" s="10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x14ac:dyDescent="0.25">
      <c r="A42" s="5" t="s">
        <v>80</v>
      </c>
      <c r="B42" s="5" t="s">
        <v>36</v>
      </c>
      <c r="C42" s="5">
        <v>272.93200000000002</v>
      </c>
      <c r="D42" s="5"/>
      <c r="E42" s="5">
        <v>151.41999999999999</v>
      </c>
      <c r="F42" s="5">
        <v>117.145</v>
      </c>
      <c r="G42" s="8">
        <v>1</v>
      </c>
      <c r="H42" s="5">
        <v>70</v>
      </c>
      <c r="I42" s="5" t="s">
        <v>37</v>
      </c>
      <c r="J42" s="5"/>
      <c r="K42" s="5"/>
      <c r="L42" s="5">
        <f t="shared" si="15"/>
        <v>151.41999999999999</v>
      </c>
      <c r="M42" s="5"/>
      <c r="N42" s="5"/>
      <c r="O42" s="5">
        <v>200</v>
      </c>
      <c r="P42" s="5">
        <v>100</v>
      </c>
      <c r="Q42" s="5">
        <f t="shared" si="16"/>
        <v>30.283999999999999</v>
      </c>
      <c r="R42" s="4">
        <f t="shared" ref="R42:R50" si="21">18*Q42-P42-O42-F42</f>
        <v>127.96699999999997</v>
      </c>
      <c r="S42" s="4">
        <f t="shared" ref="S42:S51" si="22">AH42/G42</f>
        <v>300</v>
      </c>
      <c r="T42" s="4"/>
      <c r="U42" s="5"/>
      <c r="V42" s="5">
        <f t="shared" si="7"/>
        <v>23.680656452252016</v>
      </c>
      <c r="W42" s="5">
        <f t="shared" si="17"/>
        <v>13.77443534539691</v>
      </c>
      <c r="X42" s="5">
        <v>27.277799999999999</v>
      </c>
      <c r="Y42" s="5">
        <v>35.937600000000003</v>
      </c>
      <c r="Z42" s="5">
        <v>19.868400000000001</v>
      </c>
      <c r="AA42" s="5">
        <v>35.039400000000001</v>
      </c>
      <c r="AB42" s="5">
        <v>23.706800000000001</v>
      </c>
      <c r="AC42" s="5">
        <v>14.4344</v>
      </c>
      <c r="AD42" s="5">
        <v>38.240600000000001</v>
      </c>
      <c r="AE42" s="5">
        <v>44.201000000000001</v>
      </c>
      <c r="AF42" s="5"/>
      <c r="AG42" s="5">
        <f t="shared" ref="AG42:AG51" si="23">ROUND(G42*S42,0)</f>
        <v>300</v>
      </c>
      <c r="AH42" s="5">
        <v>300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x14ac:dyDescent="0.25">
      <c r="A43" s="5" t="s">
        <v>81</v>
      </c>
      <c r="B43" s="5" t="s">
        <v>48</v>
      </c>
      <c r="C43" s="5">
        <v>1858</v>
      </c>
      <c r="D43" s="5"/>
      <c r="E43" s="17">
        <f>751+E66</f>
        <v>826</v>
      </c>
      <c r="F43" s="17">
        <f>670+F66</f>
        <v>368</v>
      </c>
      <c r="G43" s="8">
        <v>0.4</v>
      </c>
      <c r="H43" s="5">
        <v>40</v>
      </c>
      <c r="I43" s="5" t="s">
        <v>37</v>
      </c>
      <c r="J43" s="5"/>
      <c r="K43" s="5"/>
      <c r="L43" s="5">
        <f t="shared" si="15"/>
        <v>826</v>
      </c>
      <c r="M43" s="5"/>
      <c r="N43" s="5"/>
      <c r="O43" s="5">
        <v>500</v>
      </c>
      <c r="P43" s="5">
        <v>1000</v>
      </c>
      <c r="Q43" s="5">
        <f t="shared" si="16"/>
        <v>165.2</v>
      </c>
      <c r="R43" s="4">
        <f t="shared" si="21"/>
        <v>1105.5999999999999</v>
      </c>
      <c r="S43" s="4">
        <f t="shared" si="22"/>
        <v>1600</v>
      </c>
      <c r="T43" s="4"/>
      <c r="U43" s="5"/>
      <c r="V43" s="5">
        <f t="shared" si="7"/>
        <v>20.99273607748184</v>
      </c>
      <c r="W43" s="5">
        <f t="shared" si="17"/>
        <v>11.307506053268765</v>
      </c>
      <c r="X43" s="5">
        <v>199.6</v>
      </c>
      <c r="Y43" s="5">
        <v>143.6</v>
      </c>
      <c r="Z43" s="5">
        <v>130.19999999999999</v>
      </c>
      <c r="AA43" s="5">
        <v>169.6</v>
      </c>
      <c r="AB43" s="5">
        <v>152.19999999999999</v>
      </c>
      <c r="AC43" s="5">
        <v>152.19999999999999</v>
      </c>
      <c r="AD43" s="5">
        <v>148.19999999999999</v>
      </c>
      <c r="AE43" s="5">
        <v>162.80000000000001</v>
      </c>
      <c r="AF43" s="5"/>
      <c r="AG43" s="5">
        <f t="shared" si="23"/>
        <v>640</v>
      </c>
      <c r="AH43" s="5">
        <v>640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x14ac:dyDescent="0.25">
      <c r="A44" s="5" t="s">
        <v>82</v>
      </c>
      <c r="B44" s="5" t="s">
        <v>36</v>
      </c>
      <c r="C44" s="5">
        <v>700.46400000000006</v>
      </c>
      <c r="D44" s="5"/>
      <c r="E44" s="17">
        <f>145.411+E67</f>
        <v>250.09899999999999</v>
      </c>
      <c r="F44" s="17">
        <f>535.189+F67</f>
        <v>174.37099999999998</v>
      </c>
      <c r="G44" s="8">
        <v>1</v>
      </c>
      <c r="H44" s="5">
        <v>60</v>
      </c>
      <c r="I44" s="5" t="s">
        <v>37</v>
      </c>
      <c r="J44" s="5"/>
      <c r="K44" s="5"/>
      <c r="L44" s="5">
        <f t="shared" si="15"/>
        <v>250.09899999999999</v>
      </c>
      <c r="M44" s="5"/>
      <c r="N44" s="5"/>
      <c r="O44" s="5">
        <v>400</v>
      </c>
      <c r="P44" s="5">
        <v>400</v>
      </c>
      <c r="Q44" s="5">
        <f t="shared" si="16"/>
        <v>50.019799999999996</v>
      </c>
      <c r="R44" s="4"/>
      <c r="S44" s="4">
        <f t="shared" si="22"/>
        <v>400</v>
      </c>
      <c r="T44" s="4"/>
      <c r="U44" s="5"/>
      <c r="V44" s="5">
        <f t="shared" si="7"/>
        <v>27.476539290440989</v>
      </c>
      <c r="W44" s="5">
        <f t="shared" si="17"/>
        <v>19.479706036409581</v>
      </c>
      <c r="X44" s="5">
        <v>45.35</v>
      </c>
      <c r="Y44" s="5">
        <v>53.049199999999999</v>
      </c>
      <c r="Z44" s="5">
        <v>44.110399999999998</v>
      </c>
      <c r="AA44" s="5">
        <v>55.955199999999998</v>
      </c>
      <c r="AB44" s="5">
        <v>43.550600000000003</v>
      </c>
      <c r="AC44" s="5">
        <v>41.447400000000002</v>
      </c>
      <c r="AD44" s="5">
        <v>48.029000000000003</v>
      </c>
      <c r="AE44" s="5">
        <v>79.710799999999992</v>
      </c>
      <c r="AF44" s="5"/>
      <c r="AG44" s="5">
        <f t="shared" si="23"/>
        <v>400</v>
      </c>
      <c r="AH44" s="5">
        <v>400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x14ac:dyDescent="0.25">
      <c r="A45" s="5" t="s">
        <v>83</v>
      </c>
      <c r="B45" s="5" t="s">
        <v>36</v>
      </c>
      <c r="C45" s="5">
        <v>71.727999999999994</v>
      </c>
      <c r="D45" s="5"/>
      <c r="E45" s="5">
        <v>53.642000000000003</v>
      </c>
      <c r="F45" s="5">
        <v>16.745999999999999</v>
      </c>
      <c r="G45" s="8">
        <v>1</v>
      </c>
      <c r="H45" s="5">
        <v>50</v>
      </c>
      <c r="I45" s="5" t="s">
        <v>37</v>
      </c>
      <c r="J45" s="5"/>
      <c r="K45" s="5"/>
      <c r="L45" s="5">
        <f t="shared" si="15"/>
        <v>53.642000000000003</v>
      </c>
      <c r="M45" s="5"/>
      <c r="N45" s="5"/>
      <c r="O45" s="5">
        <v>100</v>
      </c>
      <c r="P45" s="5">
        <v>100</v>
      </c>
      <c r="Q45" s="5">
        <f t="shared" si="16"/>
        <v>10.728400000000001</v>
      </c>
      <c r="R45" s="4"/>
      <c r="S45" s="4">
        <f t="shared" si="22"/>
        <v>50</v>
      </c>
      <c r="T45" s="4"/>
      <c r="U45" s="5"/>
      <c r="V45" s="5">
        <f t="shared" si="7"/>
        <v>24.863539763618057</v>
      </c>
      <c r="W45" s="5">
        <f t="shared" si="17"/>
        <v>20.203012564781325</v>
      </c>
      <c r="X45" s="5">
        <v>7.2680000000000007</v>
      </c>
      <c r="Y45" s="5">
        <v>7.7941999999999991</v>
      </c>
      <c r="Z45" s="5">
        <v>8.8587999999999987</v>
      </c>
      <c r="AA45" s="5">
        <v>11.0182</v>
      </c>
      <c r="AB45" s="5">
        <v>7.6918000000000006</v>
      </c>
      <c r="AC45" s="5">
        <v>0.50519999999999998</v>
      </c>
      <c r="AD45" s="5">
        <v>6.7165999999999997</v>
      </c>
      <c r="AE45" s="5">
        <v>13.8034</v>
      </c>
      <c r="AF45" s="5"/>
      <c r="AG45" s="5">
        <f t="shared" si="23"/>
        <v>50</v>
      </c>
      <c r="AH45" s="5">
        <v>50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 x14ac:dyDescent="0.25">
      <c r="A46" s="5" t="s">
        <v>84</v>
      </c>
      <c r="B46" s="5" t="s">
        <v>48</v>
      </c>
      <c r="C46" s="5">
        <v>198</v>
      </c>
      <c r="D46" s="5"/>
      <c r="E46" s="5">
        <v>98</v>
      </c>
      <c r="F46" s="5">
        <v>86</v>
      </c>
      <c r="G46" s="8">
        <v>0.45</v>
      </c>
      <c r="H46" s="5">
        <v>50</v>
      </c>
      <c r="I46" s="5" t="s">
        <v>37</v>
      </c>
      <c r="J46" s="5"/>
      <c r="K46" s="5"/>
      <c r="L46" s="5">
        <f t="shared" si="15"/>
        <v>98</v>
      </c>
      <c r="M46" s="5"/>
      <c r="N46" s="5"/>
      <c r="O46" s="5">
        <v>151.11111111111109</v>
      </c>
      <c r="P46" s="5">
        <v>155.55555555555549</v>
      </c>
      <c r="Q46" s="5">
        <f t="shared" si="16"/>
        <v>19.600000000000001</v>
      </c>
      <c r="R46" s="4"/>
      <c r="S46" s="4">
        <f t="shared" si="22"/>
        <v>102.22222222222221</v>
      </c>
      <c r="T46" s="4"/>
      <c r="U46" s="5"/>
      <c r="V46" s="5">
        <f t="shared" si="7"/>
        <v>25.249433106575957</v>
      </c>
      <c r="W46" s="5">
        <f t="shared" si="17"/>
        <v>20.034013605442169</v>
      </c>
      <c r="X46" s="5">
        <v>18</v>
      </c>
      <c r="Y46" s="5">
        <v>30.8</v>
      </c>
      <c r="Z46" s="5">
        <v>25.4</v>
      </c>
      <c r="AA46" s="5">
        <v>20.6</v>
      </c>
      <c r="AB46" s="5">
        <v>22.4</v>
      </c>
      <c r="AC46" s="5">
        <v>13</v>
      </c>
      <c r="AD46" s="5">
        <v>27</v>
      </c>
      <c r="AE46" s="5">
        <v>33.6</v>
      </c>
      <c r="AF46" s="5"/>
      <c r="AG46" s="5">
        <f t="shared" si="23"/>
        <v>46</v>
      </c>
      <c r="AH46" s="5">
        <v>46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 x14ac:dyDescent="0.25">
      <c r="A47" s="5" t="s">
        <v>85</v>
      </c>
      <c r="B47" s="5" t="s">
        <v>48</v>
      </c>
      <c r="C47" s="5">
        <v>324</v>
      </c>
      <c r="D47" s="5"/>
      <c r="E47" s="5">
        <v>188</v>
      </c>
      <c r="F47" s="5">
        <v>119</v>
      </c>
      <c r="G47" s="8">
        <v>0.4</v>
      </c>
      <c r="H47" s="5">
        <v>50</v>
      </c>
      <c r="I47" s="5" t="s">
        <v>37</v>
      </c>
      <c r="J47" s="5"/>
      <c r="K47" s="5"/>
      <c r="L47" s="5">
        <f t="shared" si="15"/>
        <v>188</v>
      </c>
      <c r="M47" s="5"/>
      <c r="N47" s="5"/>
      <c r="O47" s="5">
        <v>150</v>
      </c>
      <c r="P47" s="5">
        <v>150</v>
      </c>
      <c r="Q47" s="5">
        <f t="shared" si="16"/>
        <v>37.6</v>
      </c>
      <c r="R47" s="4">
        <f t="shared" si="21"/>
        <v>257.80000000000007</v>
      </c>
      <c r="S47" s="4">
        <f t="shared" si="22"/>
        <v>430</v>
      </c>
      <c r="T47" s="4"/>
      <c r="U47" s="5"/>
      <c r="V47" s="5">
        <f t="shared" si="7"/>
        <v>22.579787234042552</v>
      </c>
      <c r="W47" s="5">
        <f t="shared" si="17"/>
        <v>11.143617021276595</v>
      </c>
      <c r="X47" s="5">
        <v>32.4</v>
      </c>
      <c r="Y47" s="5">
        <v>42.8</v>
      </c>
      <c r="Z47" s="5">
        <v>34.799999999999997</v>
      </c>
      <c r="AA47" s="5">
        <v>40.200000000000003</v>
      </c>
      <c r="AB47" s="5">
        <v>41.4</v>
      </c>
      <c r="AC47" s="5">
        <v>26</v>
      </c>
      <c r="AD47" s="5">
        <v>31.4</v>
      </c>
      <c r="AE47" s="5">
        <v>54.4</v>
      </c>
      <c r="AF47" s="5"/>
      <c r="AG47" s="5">
        <f t="shared" si="23"/>
        <v>172</v>
      </c>
      <c r="AH47" s="5">
        <v>172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 x14ac:dyDescent="0.25">
      <c r="A48" s="5" t="s">
        <v>86</v>
      </c>
      <c r="B48" s="5" t="s">
        <v>36</v>
      </c>
      <c r="C48" s="5">
        <v>136.74600000000001</v>
      </c>
      <c r="D48" s="5"/>
      <c r="E48" s="5">
        <v>48.357999999999997</v>
      </c>
      <c r="F48" s="5">
        <v>87.031000000000006</v>
      </c>
      <c r="G48" s="8">
        <v>1</v>
      </c>
      <c r="H48" s="5">
        <v>50</v>
      </c>
      <c r="I48" s="5" t="s">
        <v>37</v>
      </c>
      <c r="J48" s="5"/>
      <c r="K48" s="5"/>
      <c r="L48" s="5">
        <f t="shared" si="15"/>
        <v>48.357999999999997</v>
      </c>
      <c r="M48" s="5"/>
      <c r="N48" s="5"/>
      <c r="O48" s="5">
        <v>100</v>
      </c>
      <c r="P48" s="5">
        <v>60</v>
      </c>
      <c r="Q48" s="5">
        <f t="shared" si="16"/>
        <v>9.6715999999999998</v>
      </c>
      <c r="R48" s="4"/>
      <c r="S48" s="4">
        <f t="shared" si="22"/>
        <v>100</v>
      </c>
      <c r="T48" s="4"/>
      <c r="U48" s="5"/>
      <c r="V48" s="5">
        <f t="shared" si="7"/>
        <v>35.881446709954922</v>
      </c>
      <c r="W48" s="5">
        <f t="shared" si="17"/>
        <v>25.541895860043841</v>
      </c>
      <c r="X48" s="5">
        <v>13.3668</v>
      </c>
      <c r="Y48" s="5">
        <v>12.178000000000001</v>
      </c>
      <c r="Z48" s="5">
        <v>13.906599999999999</v>
      </c>
      <c r="AA48" s="5">
        <v>16.425999999999998</v>
      </c>
      <c r="AB48" s="5">
        <v>17.5504</v>
      </c>
      <c r="AC48" s="5">
        <v>9.9718</v>
      </c>
      <c r="AD48" s="5">
        <v>11.7598</v>
      </c>
      <c r="AE48" s="5">
        <v>15.9208</v>
      </c>
      <c r="AF48" s="18" t="s">
        <v>73</v>
      </c>
      <c r="AG48" s="5">
        <f t="shared" si="23"/>
        <v>100</v>
      </c>
      <c r="AH48" s="5">
        <v>100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 x14ac:dyDescent="0.25">
      <c r="A49" s="5" t="s">
        <v>87</v>
      </c>
      <c r="B49" s="5" t="s">
        <v>48</v>
      </c>
      <c r="C49" s="5">
        <v>547</v>
      </c>
      <c r="D49" s="5"/>
      <c r="E49" s="5">
        <v>347</v>
      </c>
      <c r="F49" s="5">
        <v>172</v>
      </c>
      <c r="G49" s="8">
        <v>0.45</v>
      </c>
      <c r="H49" s="5">
        <v>50</v>
      </c>
      <c r="I49" s="5" t="s">
        <v>37</v>
      </c>
      <c r="J49" s="5"/>
      <c r="K49" s="5"/>
      <c r="L49" s="5">
        <f t="shared" si="15"/>
        <v>347</v>
      </c>
      <c r="M49" s="5"/>
      <c r="N49" s="5"/>
      <c r="O49" s="5">
        <v>300</v>
      </c>
      <c r="P49" s="5">
        <v>355.55555555555549</v>
      </c>
      <c r="Q49" s="5">
        <f t="shared" si="16"/>
        <v>69.400000000000006</v>
      </c>
      <c r="R49" s="4">
        <f t="shared" si="21"/>
        <v>421.64444444444462</v>
      </c>
      <c r="S49" s="4">
        <f t="shared" si="22"/>
        <v>640</v>
      </c>
      <c r="T49" s="4"/>
      <c r="U49" s="5"/>
      <c r="V49" s="5">
        <f t="shared" si="7"/>
        <v>21.14633365353826</v>
      </c>
      <c r="W49" s="5">
        <f t="shared" si="17"/>
        <v>11.924431636247196</v>
      </c>
      <c r="X49" s="5">
        <v>55.8</v>
      </c>
      <c r="Y49" s="5">
        <v>79.400000000000006</v>
      </c>
      <c r="Z49" s="5">
        <v>66.8</v>
      </c>
      <c r="AA49" s="5">
        <v>55</v>
      </c>
      <c r="AB49" s="5">
        <v>74.8</v>
      </c>
      <c r="AC49" s="5">
        <v>75.599999999999994</v>
      </c>
      <c r="AD49" s="5">
        <v>56.4</v>
      </c>
      <c r="AE49" s="5">
        <v>80.599999999999994</v>
      </c>
      <c r="AF49" s="5"/>
      <c r="AG49" s="5">
        <f t="shared" si="23"/>
        <v>288</v>
      </c>
      <c r="AH49" s="5">
        <v>288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 x14ac:dyDescent="0.25">
      <c r="A50" s="5" t="s">
        <v>88</v>
      </c>
      <c r="B50" s="5" t="s">
        <v>48</v>
      </c>
      <c r="C50" s="5">
        <v>84</v>
      </c>
      <c r="D50" s="5"/>
      <c r="E50" s="5">
        <v>79</v>
      </c>
      <c r="F50" s="5">
        <v>5</v>
      </c>
      <c r="G50" s="8">
        <v>0.17</v>
      </c>
      <c r="H50" s="5">
        <v>180</v>
      </c>
      <c r="I50" s="5" t="s">
        <v>37</v>
      </c>
      <c r="J50" s="5"/>
      <c r="K50" s="5"/>
      <c r="L50" s="5">
        <f t="shared" si="15"/>
        <v>79</v>
      </c>
      <c r="M50" s="5"/>
      <c r="N50" s="5"/>
      <c r="O50" s="5">
        <v>182.35294117647061</v>
      </c>
      <c r="P50" s="5">
        <v>0</v>
      </c>
      <c r="Q50" s="5">
        <f t="shared" si="16"/>
        <v>15.8</v>
      </c>
      <c r="R50" s="4">
        <f t="shared" si="21"/>
        <v>97.047058823529426</v>
      </c>
      <c r="S50" s="4">
        <f t="shared" si="22"/>
        <v>205.88235294117646</v>
      </c>
      <c r="T50" s="4"/>
      <c r="U50" s="5"/>
      <c r="V50" s="5">
        <f t="shared" si="7"/>
        <v>24.888309754281458</v>
      </c>
      <c r="W50" s="5">
        <f t="shared" si="17"/>
        <v>11.857781087118392</v>
      </c>
      <c r="X50" s="5">
        <v>5.8</v>
      </c>
      <c r="Y50" s="5">
        <v>9.6</v>
      </c>
      <c r="Z50" s="5">
        <v>9.8000000000000007</v>
      </c>
      <c r="AA50" s="5">
        <v>7.4</v>
      </c>
      <c r="AB50" s="5">
        <v>8.1999999999999993</v>
      </c>
      <c r="AC50" s="5">
        <v>11.4</v>
      </c>
      <c r="AD50" s="5">
        <v>10.6</v>
      </c>
      <c r="AE50" s="5">
        <v>12.2</v>
      </c>
      <c r="AF50" s="5"/>
      <c r="AG50" s="5">
        <f t="shared" si="23"/>
        <v>35</v>
      </c>
      <c r="AH50" s="5">
        <v>35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 x14ac:dyDescent="0.25">
      <c r="A51" s="5" t="s">
        <v>89</v>
      </c>
      <c r="B51" s="5" t="s">
        <v>48</v>
      </c>
      <c r="C51" s="5">
        <v>567</v>
      </c>
      <c r="D51" s="5"/>
      <c r="E51" s="17">
        <f>170+E69</f>
        <v>190</v>
      </c>
      <c r="F51" s="17">
        <f>397+F69</f>
        <v>350</v>
      </c>
      <c r="G51" s="8">
        <v>0.17</v>
      </c>
      <c r="H51" s="5">
        <v>180</v>
      </c>
      <c r="I51" s="5" t="s">
        <v>37</v>
      </c>
      <c r="J51" s="5"/>
      <c r="K51" s="5"/>
      <c r="L51" s="5">
        <f t="shared" si="15"/>
        <v>190</v>
      </c>
      <c r="M51" s="5"/>
      <c r="N51" s="5"/>
      <c r="O51" s="5">
        <v>0</v>
      </c>
      <c r="P51" s="5">
        <v>0</v>
      </c>
      <c r="Q51" s="5">
        <f t="shared" si="16"/>
        <v>38</v>
      </c>
      <c r="R51" s="4">
        <f>17*Q51-P51-O51-F51</f>
        <v>296</v>
      </c>
      <c r="S51" s="4">
        <f t="shared" si="22"/>
        <v>300</v>
      </c>
      <c r="T51" s="4"/>
      <c r="U51" s="5"/>
      <c r="V51" s="5">
        <f t="shared" si="7"/>
        <v>17.105263157894736</v>
      </c>
      <c r="W51" s="5">
        <f t="shared" si="17"/>
        <v>9.2105263157894743</v>
      </c>
      <c r="X51" s="5">
        <v>26.2</v>
      </c>
      <c r="Y51" s="5">
        <v>14.2</v>
      </c>
      <c r="Z51" s="5">
        <v>13.2</v>
      </c>
      <c r="AA51" s="5">
        <v>0</v>
      </c>
      <c r="AB51" s="5">
        <v>1</v>
      </c>
      <c r="AC51" s="5">
        <v>35.4</v>
      </c>
      <c r="AD51" s="5">
        <v>21</v>
      </c>
      <c r="AE51" s="5">
        <v>33.4</v>
      </c>
      <c r="AF51" s="5"/>
      <c r="AG51" s="5">
        <f t="shared" si="23"/>
        <v>51</v>
      </c>
      <c r="AH51" s="5">
        <v>51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 x14ac:dyDescent="0.25">
      <c r="A52" s="13" t="s">
        <v>90</v>
      </c>
      <c r="B52" s="14" t="s">
        <v>36</v>
      </c>
      <c r="C52" s="13"/>
      <c r="D52" s="13"/>
      <c r="E52" s="17">
        <v>9.4640000000000004</v>
      </c>
      <c r="F52" s="17">
        <v>-9.4640000000000004</v>
      </c>
      <c r="G52" s="15">
        <v>0</v>
      </c>
      <c r="H52" s="13"/>
      <c r="I52" s="13" t="s">
        <v>91</v>
      </c>
      <c r="J52" s="13" t="s">
        <v>46</v>
      </c>
      <c r="K52" s="13"/>
      <c r="L52" s="13">
        <f t="shared" si="15"/>
        <v>9.4640000000000004</v>
      </c>
      <c r="M52" s="13"/>
      <c r="N52" s="13"/>
      <c r="O52" s="13"/>
      <c r="P52" s="13"/>
      <c r="Q52" s="13">
        <f t="shared" si="16"/>
        <v>1.8928</v>
      </c>
      <c r="R52" s="16"/>
      <c r="S52" s="16"/>
      <c r="T52" s="16"/>
      <c r="U52" s="13"/>
      <c r="V52" s="5">
        <f t="shared" si="7"/>
        <v>-5</v>
      </c>
      <c r="W52" s="13">
        <f t="shared" si="17"/>
        <v>-5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/>
      <c r="AG52" s="13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 x14ac:dyDescent="0.25">
      <c r="A53" s="13" t="s">
        <v>92</v>
      </c>
      <c r="B53" s="13" t="s">
        <v>48</v>
      </c>
      <c r="C53" s="13">
        <v>-3</v>
      </c>
      <c r="D53" s="13"/>
      <c r="E53" s="17">
        <v>51</v>
      </c>
      <c r="F53" s="17">
        <v>-54</v>
      </c>
      <c r="G53" s="15">
        <v>0</v>
      </c>
      <c r="H53" s="13"/>
      <c r="I53" s="13" t="s">
        <v>91</v>
      </c>
      <c r="J53" s="13" t="s">
        <v>47</v>
      </c>
      <c r="K53" s="13"/>
      <c r="L53" s="13">
        <f t="shared" si="15"/>
        <v>51</v>
      </c>
      <c r="M53" s="13"/>
      <c r="N53" s="13"/>
      <c r="O53" s="13"/>
      <c r="P53" s="13"/>
      <c r="Q53" s="13">
        <f t="shared" si="16"/>
        <v>10.199999999999999</v>
      </c>
      <c r="R53" s="16"/>
      <c r="S53" s="16"/>
      <c r="T53" s="16"/>
      <c r="U53" s="13"/>
      <c r="V53" s="5">
        <f t="shared" si="7"/>
        <v>-5.2941176470588243</v>
      </c>
      <c r="W53" s="13">
        <f t="shared" si="17"/>
        <v>-5.2941176470588243</v>
      </c>
      <c r="X53" s="13">
        <v>0</v>
      </c>
      <c r="Y53" s="13">
        <v>0</v>
      </c>
      <c r="Z53" s="13">
        <v>0.6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/>
      <c r="AG53" s="13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 x14ac:dyDescent="0.25">
      <c r="A54" s="13" t="s">
        <v>93</v>
      </c>
      <c r="B54" s="13" t="s">
        <v>36</v>
      </c>
      <c r="C54" s="13">
        <v>-67.930999999999997</v>
      </c>
      <c r="D54" s="13"/>
      <c r="E54" s="17">
        <v>12.484999999999999</v>
      </c>
      <c r="F54" s="17">
        <v>-84.751999999999995</v>
      </c>
      <c r="G54" s="15">
        <v>0</v>
      </c>
      <c r="H54" s="13"/>
      <c r="I54" s="13" t="s">
        <v>91</v>
      </c>
      <c r="J54" s="13" t="s">
        <v>49</v>
      </c>
      <c r="K54" s="13"/>
      <c r="L54" s="13">
        <f t="shared" si="15"/>
        <v>12.484999999999999</v>
      </c>
      <c r="M54" s="13"/>
      <c r="N54" s="13"/>
      <c r="O54" s="13"/>
      <c r="P54" s="13"/>
      <c r="Q54" s="13">
        <f t="shared" si="16"/>
        <v>2.4969999999999999</v>
      </c>
      <c r="R54" s="16"/>
      <c r="S54" s="16"/>
      <c r="T54" s="16"/>
      <c r="U54" s="13"/>
      <c r="V54" s="5">
        <f t="shared" si="7"/>
        <v>-33.94152983580296</v>
      </c>
      <c r="W54" s="13">
        <f t="shared" si="17"/>
        <v>-33.94152983580296</v>
      </c>
      <c r="X54" s="13">
        <v>5.9809999999999999</v>
      </c>
      <c r="Y54" s="13">
        <v>5.9809999999999999</v>
      </c>
      <c r="Z54" s="13">
        <v>3.3628</v>
      </c>
      <c r="AA54" s="13">
        <v>7.0025999999999993</v>
      </c>
      <c r="AB54" s="13">
        <v>3.2052</v>
      </c>
      <c r="AC54" s="13">
        <v>3.0546000000000002</v>
      </c>
      <c r="AD54" s="13">
        <v>8.920399999999999</v>
      </c>
      <c r="AE54" s="13">
        <v>6.1425999999999998</v>
      </c>
      <c r="AF54" s="13"/>
      <c r="AG54" s="13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</row>
    <row r="55" spans="1:52" x14ac:dyDescent="0.25">
      <c r="A55" s="13" t="s">
        <v>94</v>
      </c>
      <c r="B55" s="13" t="s">
        <v>48</v>
      </c>
      <c r="C55" s="13">
        <v>-190</v>
      </c>
      <c r="D55" s="13"/>
      <c r="E55" s="17">
        <v>40</v>
      </c>
      <c r="F55" s="17">
        <v>-243</v>
      </c>
      <c r="G55" s="15">
        <v>0</v>
      </c>
      <c r="H55" s="13"/>
      <c r="I55" s="13" t="s">
        <v>91</v>
      </c>
      <c r="J55" s="13" t="s">
        <v>50</v>
      </c>
      <c r="K55" s="13"/>
      <c r="L55" s="13">
        <f t="shared" si="15"/>
        <v>40</v>
      </c>
      <c r="M55" s="13"/>
      <c r="N55" s="13"/>
      <c r="O55" s="13"/>
      <c r="P55" s="13"/>
      <c r="Q55" s="13">
        <f t="shared" si="16"/>
        <v>8</v>
      </c>
      <c r="R55" s="16"/>
      <c r="S55" s="16"/>
      <c r="T55" s="16"/>
      <c r="U55" s="13"/>
      <c r="V55" s="5">
        <f t="shared" si="7"/>
        <v>-30.375</v>
      </c>
      <c r="W55" s="13">
        <f t="shared" si="17"/>
        <v>-30.375</v>
      </c>
      <c r="X55" s="13">
        <v>16.8</v>
      </c>
      <c r="Y55" s="13">
        <v>15.2</v>
      </c>
      <c r="Z55" s="13">
        <v>11.2</v>
      </c>
      <c r="AA55" s="13">
        <v>14</v>
      </c>
      <c r="AB55" s="13">
        <v>19</v>
      </c>
      <c r="AC55" s="13">
        <v>12.8</v>
      </c>
      <c r="AD55" s="13">
        <v>15.8</v>
      </c>
      <c r="AE55" s="13">
        <v>15</v>
      </c>
      <c r="AF55" s="13"/>
      <c r="AG55" s="13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 x14ac:dyDescent="0.25">
      <c r="A56" s="13" t="s">
        <v>95</v>
      </c>
      <c r="B56" s="13" t="s">
        <v>36</v>
      </c>
      <c r="C56" s="13">
        <v>-46.103000000000002</v>
      </c>
      <c r="D56" s="13"/>
      <c r="E56" s="17">
        <v>17.672000000000001</v>
      </c>
      <c r="F56" s="17">
        <v>-63.774999999999999</v>
      </c>
      <c r="G56" s="15">
        <v>0</v>
      </c>
      <c r="H56" s="13"/>
      <c r="I56" s="13" t="s">
        <v>91</v>
      </c>
      <c r="J56" s="13" t="s">
        <v>57</v>
      </c>
      <c r="K56" s="13"/>
      <c r="L56" s="13">
        <f t="shared" si="15"/>
        <v>17.672000000000001</v>
      </c>
      <c r="M56" s="13"/>
      <c r="N56" s="13"/>
      <c r="O56" s="13"/>
      <c r="P56" s="13"/>
      <c r="Q56" s="13">
        <f t="shared" si="16"/>
        <v>3.5344000000000002</v>
      </c>
      <c r="R56" s="16"/>
      <c r="S56" s="16"/>
      <c r="T56" s="16"/>
      <c r="U56" s="13"/>
      <c r="V56" s="5">
        <f t="shared" si="7"/>
        <v>-18.044081032141239</v>
      </c>
      <c r="W56" s="13">
        <f t="shared" si="17"/>
        <v>-18.044081032141239</v>
      </c>
      <c r="X56" s="13">
        <v>2.6882000000000001</v>
      </c>
      <c r="Y56" s="13">
        <v>4.4960000000000004</v>
      </c>
      <c r="Z56" s="13">
        <v>2.9182000000000001</v>
      </c>
      <c r="AA56" s="13">
        <v>7.8639999999999999</v>
      </c>
      <c r="AB56" s="13">
        <v>1.468</v>
      </c>
      <c r="AC56" s="13">
        <v>5.5077999999999996</v>
      </c>
      <c r="AD56" s="13">
        <v>4.9828000000000001</v>
      </c>
      <c r="AE56" s="13">
        <v>2.8896000000000002</v>
      </c>
      <c r="AF56" s="13"/>
      <c r="AG56" s="13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5">
      <c r="A57" s="13" t="s">
        <v>96</v>
      </c>
      <c r="B57" s="13" t="s">
        <v>48</v>
      </c>
      <c r="C57" s="13">
        <v>-58</v>
      </c>
      <c r="D57" s="13"/>
      <c r="E57" s="17">
        <v>28</v>
      </c>
      <c r="F57" s="17">
        <v>-88</v>
      </c>
      <c r="G57" s="15">
        <v>0</v>
      </c>
      <c r="H57" s="13"/>
      <c r="I57" s="13" t="s">
        <v>91</v>
      </c>
      <c r="J57" s="13" t="s">
        <v>58</v>
      </c>
      <c r="K57" s="13"/>
      <c r="L57" s="13">
        <f t="shared" si="15"/>
        <v>28</v>
      </c>
      <c r="M57" s="13"/>
      <c r="N57" s="13"/>
      <c r="O57" s="13"/>
      <c r="P57" s="13"/>
      <c r="Q57" s="13">
        <f t="shared" si="16"/>
        <v>5.6</v>
      </c>
      <c r="R57" s="16"/>
      <c r="S57" s="16"/>
      <c r="T57" s="16"/>
      <c r="U57" s="13"/>
      <c r="V57" s="5">
        <f t="shared" si="7"/>
        <v>-15.714285714285715</v>
      </c>
      <c r="W57" s="13">
        <f t="shared" si="17"/>
        <v>-15.714285714285715</v>
      </c>
      <c r="X57" s="13">
        <v>4.5999999999999996</v>
      </c>
      <c r="Y57" s="13">
        <v>3.8</v>
      </c>
      <c r="Z57" s="13">
        <v>5</v>
      </c>
      <c r="AA57" s="13">
        <v>2.8</v>
      </c>
      <c r="AB57" s="13">
        <v>0</v>
      </c>
      <c r="AC57" s="13">
        <v>0</v>
      </c>
      <c r="AD57" s="13">
        <v>0</v>
      </c>
      <c r="AE57" s="13">
        <v>0</v>
      </c>
      <c r="AF57" s="13"/>
      <c r="AG57" s="13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5">
      <c r="A58" s="13" t="s">
        <v>97</v>
      </c>
      <c r="B58" s="13" t="s">
        <v>48</v>
      </c>
      <c r="C58" s="13">
        <v>-50.204999999999998</v>
      </c>
      <c r="D58" s="13"/>
      <c r="E58" s="17">
        <v>19.135000000000002</v>
      </c>
      <c r="F58" s="17">
        <v>-70.679000000000002</v>
      </c>
      <c r="G58" s="15">
        <v>0</v>
      </c>
      <c r="H58" s="13"/>
      <c r="I58" s="13" t="s">
        <v>91</v>
      </c>
      <c r="J58" s="13" t="s">
        <v>60</v>
      </c>
      <c r="K58" s="13"/>
      <c r="L58" s="13">
        <f t="shared" si="15"/>
        <v>19.135000000000002</v>
      </c>
      <c r="M58" s="13"/>
      <c r="N58" s="13"/>
      <c r="O58" s="13"/>
      <c r="P58" s="13"/>
      <c r="Q58" s="13">
        <f t="shared" si="16"/>
        <v>3.8270000000000004</v>
      </c>
      <c r="R58" s="16"/>
      <c r="S58" s="16"/>
      <c r="T58" s="16"/>
      <c r="U58" s="13"/>
      <c r="V58" s="5">
        <f t="shared" si="7"/>
        <v>-18.468513195714657</v>
      </c>
      <c r="W58" s="13">
        <f t="shared" si="17"/>
        <v>-18.468513195714657</v>
      </c>
      <c r="X58" s="13">
        <v>4.0415999999999999</v>
      </c>
      <c r="Y58" s="13">
        <v>4.8746</v>
      </c>
      <c r="Z58" s="13">
        <v>2.7988</v>
      </c>
      <c r="AA58" s="13">
        <v>2.4306000000000001</v>
      </c>
      <c r="AB58" s="13">
        <v>3.5232000000000001</v>
      </c>
      <c r="AC58" s="13">
        <v>3.2067999999999999</v>
      </c>
      <c r="AD58" s="13">
        <v>1.3842000000000001</v>
      </c>
      <c r="AE58" s="13">
        <v>14.4564</v>
      </c>
      <c r="AF58" s="13"/>
      <c r="AG58" s="13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x14ac:dyDescent="0.25">
      <c r="A59" s="13" t="s">
        <v>98</v>
      </c>
      <c r="B59" s="13"/>
      <c r="C59" s="13"/>
      <c r="D59" s="13"/>
      <c r="E59" s="17">
        <v>45.728000000000002</v>
      </c>
      <c r="F59" s="17">
        <v>-47.104999999999997</v>
      </c>
      <c r="G59" s="15">
        <v>0</v>
      </c>
      <c r="H59" s="13"/>
      <c r="I59" s="13" t="s">
        <v>91</v>
      </c>
      <c r="J59" s="13" t="s">
        <v>64</v>
      </c>
      <c r="K59" s="13"/>
      <c r="L59" s="13">
        <f t="shared" si="15"/>
        <v>45.728000000000002</v>
      </c>
      <c r="M59" s="13"/>
      <c r="N59" s="13"/>
      <c r="O59" s="13"/>
      <c r="P59" s="13"/>
      <c r="Q59" s="13">
        <f t="shared" si="16"/>
        <v>9.1456</v>
      </c>
      <c r="R59" s="16"/>
      <c r="S59" s="16"/>
      <c r="T59" s="16"/>
      <c r="U59" s="13"/>
      <c r="V59" s="5">
        <f t="shared" si="7"/>
        <v>-5.1505642057382781</v>
      </c>
      <c r="W59" s="13">
        <f t="shared" si="17"/>
        <v>-5.1505642057382781</v>
      </c>
      <c r="X59" s="13">
        <v>0.27539999999999998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/>
      <c r="AG59" s="13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x14ac:dyDescent="0.25">
      <c r="A60" s="13" t="s">
        <v>99</v>
      </c>
      <c r="B60" s="13" t="s">
        <v>36</v>
      </c>
      <c r="C60" s="13">
        <v>-127.264</v>
      </c>
      <c r="D60" s="13"/>
      <c r="E60" s="17">
        <v>29.931000000000001</v>
      </c>
      <c r="F60" s="17">
        <v>-219.68600000000001</v>
      </c>
      <c r="G60" s="15">
        <v>0</v>
      </c>
      <c r="H60" s="13"/>
      <c r="I60" s="13" t="s">
        <v>91</v>
      </c>
      <c r="J60" s="13" t="s">
        <v>67</v>
      </c>
      <c r="K60" s="13"/>
      <c r="L60" s="13">
        <f t="shared" si="15"/>
        <v>29.931000000000001</v>
      </c>
      <c r="M60" s="13"/>
      <c r="N60" s="13"/>
      <c r="O60" s="13"/>
      <c r="P60" s="13"/>
      <c r="Q60" s="13">
        <f t="shared" si="16"/>
        <v>5.9862000000000002</v>
      </c>
      <c r="R60" s="16"/>
      <c r="S60" s="16"/>
      <c r="T60" s="16"/>
      <c r="U60" s="13"/>
      <c r="V60" s="5">
        <f t="shared" si="7"/>
        <v>-36.698740436336905</v>
      </c>
      <c r="W60" s="13">
        <f t="shared" si="17"/>
        <v>-36.698740436336905</v>
      </c>
      <c r="X60" s="13">
        <v>17.9696</v>
      </c>
      <c r="Y60" s="13">
        <v>10.4818</v>
      </c>
      <c r="Z60" s="13">
        <v>15.156599999999999</v>
      </c>
      <c r="AA60" s="13">
        <v>17.712</v>
      </c>
      <c r="AB60" s="13">
        <v>16.5352</v>
      </c>
      <c r="AC60" s="13">
        <v>11.657</v>
      </c>
      <c r="AD60" s="13">
        <v>14.0426</v>
      </c>
      <c r="AE60" s="13">
        <v>19.265799999999999</v>
      </c>
      <c r="AF60" s="13"/>
      <c r="AG60" s="13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x14ac:dyDescent="0.25">
      <c r="A61" s="13" t="s">
        <v>100</v>
      </c>
      <c r="B61" s="13" t="s">
        <v>36</v>
      </c>
      <c r="C61" s="13">
        <v>-168.334</v>
      </c>
      <c r="D61" s="13"/>
      <c r="E61" s="17">
        <v>44.627000000000002</v>
      </c>
      <c r="F61" s="17">
        <v>-215.46199999999999</v>
      </c>
      <c r="G61" s="15">
        <v>0</v>
      </c>
      <c r="H61" s="13"/>
      <c r="I61" s="13" t="s">
        <v>91</v>
      </c>
      <c r="J61" s="13" t="s">
        <v>69</v>
      </c>
      <c r="K61" s="13"/>
      <c r="L61" s="13">
        <f t="shared" si="15"/>
        <v>44.627000000000002</v>
      </c>
      <c r="M61" s="13"/>
      <c r="N61" s="13"/>
      <c r="O61" s="13"/>
      <c r="P61" s="13"/>
      <c r="Q61" s="13">
        <f t="shared" si="16"/>
        <v>8.9253999999999998</v>
      </c>
      <c r="R61" s="16"/>
      <c r="S61" s="16"/>
      <c r="T61" s="16"/>
      <c r="U61" s="13"/>
      <c r="V61" s="5">
        <f t="shared" si="7"/>
        <v>-24.140318641181349</v>
      </c>
      <c r="W61" s="13">
        <f t="shared" si="17"/>
        <v>-24.140318641181349</v>
      </c>
      <c r="X61" s="13">
        <v>6.9833999999999996</v>
      </c>
      <c r="Y61" s="13">
        <v>18.848600000000001</v>
      </c>
      <c r="Z61" s="13">
        <v>10.808999999999999</v>
      </c>
      <c r="AA61" s="13">
        <v>6.4495999999999993</v>
      </c>
      <c r="AB61" s="13">
        <v>21.395199999999999</v>
      </c>
      <c r="AC61" s="13">
        <v>9.0473999999999997</v>
      </c>
      <c r="AD61" s="13">
        <v>7.9974000000000007</v>
      </c>
      <c r="AE61" s="13">
        <v>5.1243999999999996</v>
      </c>
      <c r="AF61" s="13"/>
      <c r="AG61" s="13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x14ac:dyDescent="0.25">
      <c r="A62" s="13" t="s">
        <v>101</v>
      </c>
      <c r="B62" s="13" t="s">
        <v>36</v>
      </c>
      <c r="C62" s="13">
        <v>-115.124</v>
      </c>
      <c r="D62" s="13"/>
      <c r="E62" s="17">
        <v>45.029000000000003</v>
      </c>
      <c r="F62" s="17">
        <v>-175.25</v>
      </c>
      <c r="G62" s="15">
        <v>0</v>
      </c>
      <c r="H62" s="13"/>
      <c r="I62" s="13" t="s">
        <v>91</v>
      </c>
      <c r="J62" s="13" t="s">
        <v>70</v>
      </c>
      <c r="K62" s="13"/>
      <c r="L62" s="13">
        <f t="shared" si="15"/>
        <v>45.029000000000003</v>
      </c>
      <c r="M62" s="13"/>
      <c r="N62" s="13"/>
      <c r="O62" s="13"/>
      <c r="P62" s="13"/>
      <c r="Q62" s="13">
        <f t="shared" si="16"/>
        <v>9.0058000000000007</v>
      </c>
      <c r="R62" s="16"/>
      <c r="S62" s="16"/>
      <c r="T62" s="16"/>
      <c r="U62" s="13"/>
      <c r="V62" s="5">
        <f t="shared" si="7"/>
        <v>-19.459681538564034</v>
      </c>
      <c r="W62" s="13">
        <f t="shared" si="17"/>
        <v>-19.459681538564034</v>
      </c>
      <c r="X62" s="13">
        <v>11.494400000000001</v>
      </c>
      <c r="Y62" s="13">
        <v>11.0708</v>
      </c>
      <c r="Z62" s="13">
        <v>3.9773999999999998</v>
      </c>
      <c r="AA62" s="13">
        <v>11.007199999999999</v>
      </c>
      <c r="AB62" s="13">
        <v>11.8918</v>
      </c>
      <c r="AC62" s="13">
        <v>8.9428000000000001</v>
      </c>
      <c r="AD62" s="13">
        <v>13.5512</v>
      </c>
      <c r="AE62" s="13">
        <v>14.083399999999999</v>
      </c>
      <c r="AF62" s="13"/>
      <c r="AG62" s="13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x14ac:dyDescent="0.25">
      <c r="A63" s="13" t="s">
        <v>102</v>
      </c>
      <c r="B63" s="13" t="s">
        <v>48</v>
      </c>
      <c r="C63" s="13">
        <v>-55</v>
      </c>
      <c r="D63" s="13"/>
      <c r="E63" s="17">
        <v>30</v>
      </c>
      <c r="F63" s="17">
        <v>-86</v>
      </c>
      <c r="G63" s="15">
        <v>0</v>
      </c>
      <c r="H63" s="13"/>
      <c r="I63" s="13" t="s">
        <v>91</v>
      </c>
      <c r="J63" s="13" t="s">
        <v>71</v>
      </c>
      <c r="K63" s="13"/>
      <c r="L63" s="13">
        <f t="shared" si="15"/>
        <v>30</v>
      </c>
      <c r="M63" s="13"/>
      <c r="N63" s="13"/>
      <c r="O63" s="13"/>
      <c r="P63" s="13"/>
      <c r="Q63" s="13">
        <f t="shared" si="16"/>
        <v>6</v>
      </c>
      <c r="R63" s="16"/>
      <c r="S63" s="16"/>
      <c r="T63" s="16"/>
      <c r="U63" s="13"/>
      <c r="V63" s="5">
        <f t="shared" si="7"/>
        <v>-14.333333333333334</v>
      </c>
      <c r="W63" s="13">
        <f t="shared" si="17"/>
        <v>-14.333333333333334</v>
      </c>
      <c r="X63" s="13">
        <v>4.2</v>
      </c>
      <c r="Y63" s="13">
        <v>4.2</v>
      </c>
      <c r="Z63" s="13">
        <v>4.5999999999999996</v>
      </c>
      <c r="AA63" s="13">
        <v>3.4</v>
      </c>
      <c r="AB63" s="13">
        <v>5.8</v>
      </c>
      <c r="AC63" s="13">
        <v>3.8</v>
      </c>
      <c r="AD63" s="13">
        <v>5.6</v>
      </c>
      <c r="AE63" s="13">
        <v>6.4</v>
      </c>
      <c r="AF63" s="13"/>
      <c r="AG63" s="13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x14ac:dyDescent="0.25">
      <c r="A64" s="13" t="s">
        <v>103</v>
      </c>
      <c r="B64" s="13" t="s">
        <v>36</v>
      </c>
      <c r="C64" s="13">
        <v>-105.087</v>
      </c>
      <c r="D64" s="13"/>
      <c r="E64" s="17">
        <v>71.436999999999998</v>
      </c>
      <c r="F64" s="17">
        <v>-178.124</v>
      </c>
      <c r="G64" s="15">
        <v>0</v>
      </c>
      <c r="H64" s="13"/>
      <c r="I64" s="13" t="s">
        <v>91</v>
      </c>
      <c r="J64" s="13" t="s">
        <v>72</v>
      </c>
      <c r="K64" s="13"/>
      <c r="L64" s="13">
        <f t="shared" si="15"/>
        <v>71.436999999999998</v>
      </c>
      <c r="M64" s="13"/>
      <c r="N64" s="13"/>
      <c r="O64" s="13"/>
      <c r="P64" s="13"/>
      <c r="Q64" s="13">
        <f t="shared" si="16"/>
        <v>14.2874</v>
      </c>
      <c r="R64" s="16"/>
      <c r="S64" s="16"/>
      <c r="T64" s="16"/>
      <c r="U64" s="13"/>
      <c r="V64" s="5">
        <f t="shared" si="7"/>
        <v>-12.467208869353415</v>
      </c>
      <c r="W64" s="13">
        <f t="shared" si="17"/>
        <v>-12.467208869353415</v>
      </c>
      <c r="X64" s="13">
        <v>9.9111999999999991</v>
      </c>
      <c r="Y64" s="13">
        <v>4.9882</v>
      </c>
      <c r="Z64" s="13">
        <v>19.619199999999999</v>
      </c>
      <c r="AA64" s="13">
        <v>6.1630000000000003</v>
      </c>
      <c r="AB64" s="13">
        <v>16.0258</v>
      </c>
      <c r="AC64" s="13">
        <v>7.2391999999999994</v>
      </c>
      <c r="AD64" s="13">
        <v>17.9636</v>
      </c>
      <c r="AE64" s="13">
        <v>12.4908</v>
      </c>
      <c r="AF64" s="13"/>
      <c r="AG64" s="13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x14ac:dyDescent="0.25">
      <c r="A65" s="13" t="s">
        <v>104</v>
      </c>
      <c r="B65" s="13" t="s">
        <v>36</v>
      </c>
      <c r="C65" s="13">
        <v>-294.83300000000003</v>
      </c>
      <c r="D65" s="13"/>
      <c r="E65" s="17">
        <v>136.09399999999999</v>
      </c>
      <c r="F65" s="17">
        <v>-438.19400000000002</v>
      </c>
      <c r="G65" s="15">
        <v>0</v>
      </c>
      <c r="H65" s="13"/>
      <c r="I65" s="13" t="s">
        <v>91</v>
      </c>
      <c r="J65" s="13" t="s">
        <v>78</v>
      </c>
      <c r="K65" s="13"/>
      <c r="L65" s="13">
        <f t="shared" si="15"/>
        <v>136.09399999999999</v>
      </c>
      <c r="M65" s="13"/>
      <c r="N65" s="13"/>
      <c r="O65" s="13"/>
      <c r="P65" s="13"/>
      <c r="Q65" s="13">
        <f t="shared" si="16"/>
        <v>27.218799999999998</v>
      </c>
      <c r="R65" s="16"/>
      <c r="S65" s="16"/>
      <c r="T65" s="16"/>
      <c r="U65" s="13"/>
      <c r="V65" s="5">
        <f t="shared" si="7"/>
        <v>-16.098946316516528</v>
      </c>
      <c r="W65" s="13">
        <f t="shared" si="17"/>
        <v>-16.098946316516528</v>
      </c>
      <c r="X65" s="13">
        <v>19.559799999999999</v>
      </c>
      <c r="Y65" s="13">
        <v>29.203199999999999</v>
      </c>
      <c r="Z65" s="13">
        <v>31.249600000000001</v>
      </c>
      <c r="AA65" s="13">
        <v>21.385200000000001</v>
      </c>
      <c r="AB65" s="13">
        <v>27.7514</v>
      </c>
      <c r="AC65" s="13">
        <v>19.673999999999999</v>
      </c>
      <c r="AD65" s="13">
        <v>33.543999999999997</v>
      </c>
      <c r="AE65" s="13">
        <v>40.716000000000001</v>
      </c>
      <c r="AF65" s="13"/>
      <c r="AG65" s="13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x14ac:dyDescent="0.25">
      <c r="A66" s="13" t="s">
        <v>105</v>
      </c>
      <c r="B66" s="13" t="s">
        <v>48</v>
      </c>
      <c r="C66" s="13">
        <v>-213</v>
      </c>
      <c r="D66" s="13"/>
      <c r="E66" s="17">
        <v>75</v>
      </c>
      <c r="F66" s="17">
        <v>-302</v>
      </c>
      <c r="G66" s="15">
        <v>0</v>
      </c>
      <c r="H66" s="13"/>
      <c r="I66" s="13" t="s">
        <v>91</v>
      </c>
      <c r="J66" s="13" t="s">
        <v>81</v>
      </c>
      <c r="K66" s="13"/>
      <c r="L66" s="13">
        <f t="shared" si="15"/>
        <v>75</v>
      </c>
      <c r="M66" s="13"/>
      <c r="N66" s="13"/>
      <c r="O66" s="13"/>
      <c r="P66" s="13"/>
      <c r="Q66" s="13">
        <f t="shared" si="16"/>
        <v>15</v>
      </c>
      <c r="R66" s="16"/>
      <c r="S66" s="16"/>
      <c r="T66" s="16"/>
      <c r="U66" s="13"/>
      <c r="V66" s="5">
        <f t="shared" si="7"/>
        <v>-20.133333333333333</v>
      </c>
      <c r="W66" s="13">
        <f t="shared" si="17"/>
        <v>-20.133333333333333</v>
      </c>
      <c r="X66" s="13">
        <v>15</v>
      </c>
      <c r="Y66" s="13">
        <v>20.399999999999999</v>
      </c>
      <c r="Z66" s="13">
        <v>12</v>
      </c>
      <c r="AA66" s="13">
        <v>12.2</v>
      </c>
      <c r="AB66" s="13">
        <v>14.2</v>
      </c>
      <c r="AC66" s="13">
        <v>15.4</v>
      </c>
      <c r="AD66" s="13">
        <v>13</v>
      </c>
      <c r="AE66" s="13">
        <v>17</v>
      </c>
      <c r="AF66" s="13"/>
      <c r="AG66" s="1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x14ac:dyDescent="0.25">
      <c r="A67" s="13" t="s">
        <v>106</v>
      </c>
      <c r="B67" s="13" t="s">
        <v>36</v>
      </c>
      <c r="C67" s="13">
        <v>-245.91900000000001</v>
      </c>
      <c r="D67" s="13"/>
      <c r="E67" s="17">
        <v>104.688</v>
      </c>
      <c r="F67" s="17">
        <v>-360.81799999999998</v>
      </c>
      <c r="G67" s="15">
        <v>0</v>
      </c>
      <c r="H67" s="13"/>
      <c r="I67" s="13" t="s">
        <v>91</v>
      </c>
      <c r="J67" s="13" t="s">
        <v>82</v>
      </c>
      <c r="K67" s="13"/>
      <c r="L67" s="13">
        <f t="shared" si="15"/>
        <v>104.688</v>
      </c>
      <c r="M67" s="13"/>
      <c r="N67" s="13"/>
      <c r="O67" s="13"/>
      <c r="P67" s="13"/>
      <c r="Q67" s="13">
        <f t="shared" si="16"/>
        <v>20.9376</v>
      </c>
      <c r="R67" s="16"/>
      <c r="S67" s="16"/>
      <c r="T67" s="16"/>
      <c r="U67" s="13"/>
      <c r="V67" s="5">
        <f t="shared" si="7"/>
        <v>-17.233016200519639</v>
      </c>
      <c r="W67" s="13">
        <f t="shared" si="17"/>
        <v>-17.233016200519639</v>
      </c>
      <c r="X67" s="13">
        <v>19.411000000000001</v>
      </c>
      <c r="Y67" s="13">
        <v>24.3324</v>
      </c>
      <c r="Z67" s="13">
        <v>15.116400000000001</v>
      </c>
      <c r="AA67" s="13">
        <v>25.166599999999999</v>
      </c>
      <c r="AB67" s="13">
        <v>20.013000000000002</v>
      </c>
      <c r="AC67" s="13">
        <v>16.002600000000001</v>
      </c>
      <c r="AD67" s="13">
        <v>19.5852</v>
      </c>
      <c r="AE67" s="13">
        <v>31.197600000000001</v>
      </c>
      <c r="AF67" s="13"/>
      <c r="AG67" s="13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x14ac:dyDescent="0.25">
      <c r="A68" s="13" t="s">
        <v>107</v>
      </c>
      <c r="B68" s="13" t="s">
        <v>36</v>
      </c>
      <c r="C68" s="13">
        <v>-27.965</v>
      </c>
      <c r="D68" s="13"/>
      <c r="E68" s="13"/>
      <c r="F68" s="13">
        <v>-27.965</v>
      </c>
      <c r="G68" s="15">
        <v>0</v>
      </c>
      <c r="H68" s="13"/>
      <c r="I68" s="13" t="s">
        <v>108</v>
      </c>
      <c r="J68" s="13"/>
      <c r="K68" s="13"/>
      <c r="L68" s="13">
        <f t="shared" si="15"/>
        <v>0</v>
      </c>
      <c r="M68" s="13"/>
      <c r="N68" s="13"/>
      <c r="O68" s="13"/>
      <c r="P68" s="13"/>
      <c r="Q68" s="13">
        <f t="shared" si="16"/>
        <v>0</v>
      </c>
      <c r="R68" s="16"/>
      <c r="S68" s="16"/>
      <c r="T68" s="16"/>
      <c r="U68" s="13"/>
      <c r="V68" s="5" t="e">
        <f t="shared" si="7"/>
        <v>#DIV/0!</v>
      </c>
      <c r="W68" s="13" t="e">
        <f t="shared" si="17"/>
        <v>#DIV/0!</v>
      </c>
      <c r="X68" s="13">
        <v>0</v>
      </c>
      <c r="Y68" s="13">
        <v>0</v>
      </c>
      <c r="Z68" s="13">
        <v>0</v>
      </c>
      <c r="AA68" s="13">
        <v>0.53499999999999992</v>
      </c>
      <c r="AB68" s="13">
        <v>0.79800000000000004</v>
      </c>
      <c r="AC68" s="13">
        <v>8.8360000000000003</v>
      </c>
      <c r="AD68" s="13">
        <v>0</v>
      </c>
      <c r="AE68" s="13">
        <v>0</v>
      </c>
      <c r="AF68" s="13" t="s">
        <v>109</v>
      </c>
      <c r="AG68" s="13"/>
      <c r="AH68" s="5">
        <v>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x14ac:dyDescent="0.25">
      <c r="A69" s="13" t="s">
        <v>110</v>
      </c>
      <c r="B69" s="13" t="s">
        <v>48</v>
      </c>
      <c r="C69" s="13">
        <v>-27</v>
      </c>
      <c r="D69" s="13"/>
      <c r="E69" s="17">
        <v>20</v>
      </c>
      <c r="F69" s="17">
        <v>-47</v>
      </c>
      <c r="G69" s="15">
        <v>0</v>
      </c>
      <c r="H69" s="13"/>
      <c r="I69" s="13" t="s">
        <v>91</v>
      </c>
      <c r="J69" s="13" t="s">
        <v>89</v>
      </c>
      <c r="K69" s="13"/>
      <c r="L69" s="13">
        <f t="shared" si="15"/>
        <v>20</v>
      </c>
      <c r="M69" s="13"/>
      <c r="N69" s="13"/>
      <c r="O69" s="13"/>
      <c r="P69" s="13"/>
      <c r="Q69" s="13">
        <f t="shared" si="16"/>
        <v>4</v>
      </c>
      <c r="R69" s="16"/>
      <c r="S69" s="16"/>
      <c r="T69" s="16"/>
      <c r="U69" s="13"/>
      <c r="V69" s="5">
        <f t="shared" si="7"/>
        <v>-11.75</v>
      </c>
      <c r="W69" s="13">
        <f t="shared" si="17"/>
        <v>-11.75</v>
      </c>
      <c r="X69" s="13">
        <v>3</v>
      </c>
      <c r="Y69" s="13">
        <v>1.6</v>
      </c>
      <c r="Z69" s="13">
        <v>1.2</v>
      </c>
      <c r="AA69" s="13">
        <v>0</v>
      </c>
      <c r="AB69" s="13">
        <v>0</v>
      </c>
      <c r="AC69" s="13">
        <v>4.4000000000000004</v>
      </c>
      <c r="AD69" s="13">
        <v>3.4</v>
      </c>
      <c r="AE69" s="13">
        <v>4.8</v>
      </c>
      <c r="AF69" s="13"/>
      <c r="AG69" s="13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</row>
    <row r="79" spans="1:52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</row>
    <row r="80" spans="1:52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</row>
    <row r="81" spans="1:52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</row>
    <row r="82" spans="1:52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</row>
    <row r="83" spans="1:52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</row>
    <row r="84" spans="1:52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</row>
    <row r="85" spans="1:52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</row>
    <row r="86" spans="1:52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</row>
    <row r="87" spans="1:52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</row>
    <row r="88" spans="1:52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</row>
    <row r="89" spans="1:52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</row>
    <row r="90" spans="1:52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</row>
    <row r="91" spans="1:52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</row>
    <row r="92" spans="1:52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</row>
    <row r="94" spans="1:52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</row>
    <row r="95" spans="1:52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</row>
    <row r="96" spans="1:52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</row>
    <row r="97" spans="1:52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</row>
    <row r="98" spans="1:52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</row>
    <row r="99" spans="1:52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</row>
    <row r="100" spans="1:52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</row>
    <row r="101" spans="1:52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</row>
    <row r="102" spans="1:52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</row>
    <row r="103" spans="1:52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</row>
    <row r="104" spans="1:52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</row>
    <row r="105" spans="1:52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</row>
    <row r="106" spans="1:52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</row>
    <row r="107" spans="1:52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</row>
    <row r="108" spans="1:52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</row>
    <row r="109" spans="1:52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</row>
    <row r="110" spans="1:52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</row>
    <row r="111" spans="1:52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</row>
    <row r="112" spans="1:52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</row>
    <row r="113" spans="1:52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</row>
    <row r="114" spans="1:52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</row>
    <row r="115" spans="1:52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</row>
    <row r="116" spans="1:52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</row>
    <row r="117" spans="1:52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</row>
    <row r="118" spans="1:52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</row>
    <row r="119" spans="1:52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</row>
    <row r="120" spans="1:52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</row>
    <row r="121" spans="1:52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</row>
    <row r="122" spans="1:52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</row>
    <row r="123" spans="1:52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</row>
    <row r="124" spans="1:52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</row>
    <row r="125" spans="1:52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</row>
    <row r="126" spans="1:52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</row>
    <row r="127" spans="1:52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</row>
    <row r="128" spans="1:52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</row>
    <row r="129" spans="1:52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</row>
    <row r="130" spans="1:52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</row>
    <row r="131" spans="1:52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</row>
    <row r="132" spans="1:52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</row>
    <row r="133" spans="1:52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</row>
    <row r="134" spans="1:52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</row>
    <row r="135" spans="1:52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</row>
    <row r="136" spans="1:52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</row>
    <row r="137" spans="1:52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</row>
    <row r="138" spans="1:52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</row>
    <row r="139" spans="1:52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</row>
    <row r="140" spans="1:52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</row>
    <row r="141" spans="1:52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</row>
    <row r="142" spans="1:52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</row>
    <row r="143" spans="1:52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</row>
    <row r="144" spans="1:52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</row>
    <row r="145" spans="1:52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</row>
    <row r="146" spans="1:52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</row>
    <row r="147" spans="1:52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</row>
    <row r="148" spans="1:52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</row>
    <row r="149" spans="1:52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</row>
    <row r="150" spans="1:52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</row>
    <row r="151" spans="1:52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</row>
    <row r="152" spans="1:52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</row>
    <row r="153" spans="1:52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</row>
    <row r="154" spans="1:52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</row>
    <row r="155" spans="1:52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</row>
    <row r="156" spans="1:52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</row>
    <row r="157" spans="1:52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</row>
    <row r="158" spans="1:52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</row>
    <row r="159" spans="1:52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</row>
    <row r="160" spans="1:52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</row>
    <row r="161" spans="1:52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</row>
    <row r="162" spans="1:52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</row>
    <row r="163" spans="1:52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</row>
    <row r="164" spans="1:52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</row>
    <row r="165" spans="1:52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</row>
    <row r="166" spans="1:52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</row>
    <row r="167" spans="1:52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</row>
    <row r="168" spans="1:52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</row>
    <row r="169" spans="1:52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</row>
    <row r="170" spans="1:52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</row>
    <row r="171" spans="1:52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</row>
    <row r="172" spans="1:52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</row>
    <row r="173" spans="1:52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</row>
    <row r="174" spans="1:52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</row>
    <row r="175" spans="1:52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</row>
    <row r="176" spans="1:52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</row>
    <row r="177" spans="1:52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</row>
    <row r="178" spans="1:52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</row>
    <row r="179" spans="1:52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</row>
    <row r="180" spans="1:52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</row>
    <row r="181" spans="1:52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</row>
    <row r="182" spans="1:52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</row>
    <row r="183" spans="1:52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</row>
    <row r="184" spans="1:52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</row>
    <row r="185" spans="1:52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</row>
    <row r="186" spans="1:52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</row>
    <row r="187" spans="1:52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</row>
    <row r="188" spans="1:52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</row>
    <row r="189" spans="1:52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</row>
    <row r="190" spans="1:52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</row>
    <row r="191" spans="1:52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</row>
    <row r="192" spans="1:52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</row>
    <row r="193" spans="1:52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</row>
    <row r="194" spans="1:52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</row>
    <row r="195" spans="1:52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</row>
    <row r="196" spans="1:52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</row>
    <row r="197" spans="1:52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</row>
    <row r="198" spans="1:52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</row>
    <row r="199" spans="1:52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</row>
    <row r="200" spans="1:52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</row>
    <row r="201" spans="1:52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</row>
    <row r="202" spans="1:52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</row>
    <row r="203" spans="1:52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</row>
    <row r="204" spans="1:52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</row>
    <row r="205" spans="1:52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</row>
    <row r="206" spans="1:52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</row>
    <row r="207" spans="1:52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</row>
    <row r="208" spans="1:52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</row>
    <row r="209" spans="1:52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</row>
    <row r="210" spans="1:52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</row>
    <row r="211" spans="1:52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</row>
    <row r="212" spans="1:52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</row>
    <row r="213" spans="1:52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</row>
    <row r="214" spans="1:52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</row>
    <row r="215" spans="1:52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</row>
    <row r="216" spans="1:52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</row>
    <row r="217" spans="1:52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</row>
    <row r="218" spans="1:52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</row>
    <row r="219" spans="1:52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</row>
    <row r="220" spans="1:52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</row>
    <row r="221" spans="1:52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</row>
    <row r="222" spans="1:52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</row>
    <row r="223" spans="1:52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</row>
    <row r="224" spans="1:52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</row>
    <row r="225" spans="1:52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</row>
    <row r="226" spans="1:52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</row>
    <row r="227" spans="1:52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</row>
    <row r="228" spans="1:52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</row>
    <row r="229" spans="1:52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</row>
    <row r="230" spans="1:52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</row>
    <row r="231" spans="1:52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</row>
    <row r="232" spans="1:52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</row>
    <row r="233" spans="1:52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</row>
    <row r="234" spans="1:52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</row>
    <row r="235" spans="1:52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</row>
    <row r="236" spans="1:52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</row>
    <row r="237" spans="1:52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</row>
    <row r="238" spans="1:52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</row>
    <row r="239" spans="1:52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</row>
    <row r="240" spans="1:52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</row>
    <row r="241" spans="1:52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</row>
    <row r="242" spans="1:52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</row>
    <row r="243" spans="1:52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</row>
    <row r="244" spans="1:52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</row>
    <row r="245" spans="1:52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</row>
    <row r="246" spans="1:52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</row>
    <row r="247" spans="1:52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</row>
    <row r="248" spans="1:52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</row>
    <row r="249" spans="1:52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</row>
    <row r="250" spans="1:52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</row>
    <row r="251" spans="1:52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</row>
    <row r="252" spans="1:52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</row>
    <row r="253" spans="1:52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</row>
    <row r="254" spans="1:52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</row>
    <row r="255" spans="1:52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</row>
    <row r="256" spans="1:52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</row>
    <row r="257" spans="1:52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</row>
    <row r="258" spans="1:52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</row>
    <row r="259" spans="1:52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</row>
    <row r="260" spans="1:52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</row>
    <row r="261" spans="1:52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</row>
    <row r="262" spans="1:52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</row>
    <row r="263" spans="1:52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</row>
    <row r="264" spans="1:52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</row>
    <row r="265" spans="1:52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</row>
    <row r="266" spans="1:52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</row>
    <row r="267" spans="1:52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</row>
    <row r="268" spans="1:52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</row>
    <row r="269" spans="1:52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</row>
    <row r="270" spans="1:52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</row>
    <row r="271" spans="1:52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</row>
    <row r="272" spans="1:52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</row>
    <row r="273" spans="1:52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</row>
    <row r="274" spans="1:52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</row>
    <row r="275" spans="1:52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</row>
    <row r="276" spans="1:52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</row>
    <row r="277" spans="1:52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</row>
    <row r="278" spans="1:52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</row>
    <row r="279" spans="1:52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</row>
    <row r="280" spans="1:52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</row>
    <row r="281" spans="1:52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</row>
    <row r="282" spans="1:52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</row>
    <row r="283" spans="1:52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</row>
    <row r="284" spans="1:52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</row>
    <row r="285" spans="1:52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</row>
    <row r="286" spans="1:52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</row>
    <row r="287" spans="1:52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</row>
    <row r="288" spans="1:52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</row>
    <row r="289" spans="1:52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</row>
    <row r="290" spans="1:52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</row>
    <row r="291" spans="1:52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</row>
    <row r="292" spans="1:52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</row>
    <row r="293" spans="1:52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</row>
    <row r="294" spans="1:52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</row>
    <row r="295" spans="1:52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</row>
    <row r="296" spans="1:52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</row>
    <row r="297" spans="1:52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</row>
    <row r="298" spans="1:52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</row>
    <row r="299" spans="1:52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</row>
    <row r="300" spans="1:52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</row>
    <row r="301" spans="1:52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</row>
    <row r="302" spans="1:52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</row>
    <row r="303" spans="1:52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</row>
    <row r="304" spans="1:52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</row>
    <row r="305" spans="1:52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</row>
    <row r="306" spans="1:52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</row>
    <row r="307" spans="1:52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</row>
    <row r="308" spans="1:52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</row>
    <row r="309" spans="1:52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</row>
    <row r="310" spans="1:52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</row>
    <row r="311" spans="1:52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</row>
    <row r="312" spans="1:52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</row>
    <row r="313" spans="1:52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</row>
    <row r="314" spans="1:52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</row>
    <row r="315" spans="1:52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</row>
    <row r="316" spans="1:52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</row>
    <row r="317" spans="1:52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</row>
    <row r="318" spans="1:52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</row>
    <row r="319" spans="1:52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</row>
    <row r="320" spans="1:52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</row>
    <row r="321" spans="1:52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</row>
    <row r="322" spans="1:52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</row>
    <row r="323" spans="1:52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</row>
    <row r="324" spans="1:52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</row>
    <row r="325" spans="1:52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</row>
    <row r="326" spans="1:52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</row>
    <row r="327" spans="1:52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</row>
    <row r="328" spans="1:52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</row>
    <row r="329" spans="1:52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</row>
    <row r="330" spans="1:52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</row>
    <row r="331" spans="1:52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</row>
    <row r="332" spans="1:52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</row>
    <row r="333" spans="1:52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</row>
    <row r="334" spans="1:52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</row>
    <row r="335" spans="1:52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</row>
    <row r="336" spans="1:52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</row>
    <row r="337" spans="1:52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</row>
    <row r="338" spans="1:52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</row>
    <row r="339" spans="1:52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</row>
    <row r="340" spans="1:52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</row>
    <row r="341" spans="1:52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</row>
    <row r="342" spans="1:52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</row>
    <row r="343" spans="1:52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</row>
    <row r="344" spans="1:52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</row>
    <row r="345" spans="1:52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</row>
    <row r="346" spans="1:52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</row>
    <row r="347" spans="1:52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</row>
    <row r="348" spans="1:52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</row>
    <row r="349" spans="1:52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</row>
    <row r="350" spans="1:52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</row>
    <row r="351" spans="1:52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</row>
    <row r="352" spans="1:52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</row>
    <row r="353" spans="1:52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</row>
    <row r="354" spans="1:52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</row>
    <row r="355" spans="1:52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</row>
    <row r="356" spans="1:52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</row>
    <row r="357" spans="1:52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</row>
    <row r="358" spans="1:52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</row>
    <row r="359" spans="1:52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</row>
    <row r="360" spans="1:52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</row>
    <row r="361" spans="1:52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</row>
    <row r="362" spans="1:52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</row>
    <row r="363" spans="1:52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</row>
    <row r="364" spans="1:52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</row>
    <row r="365" spans="1:52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</row>
    <row r="366" spans="1:52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</row>
    <row r="367" spans="1:52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</row>
    <row r="368" spans="1:52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</row>
    <row r="369" spans="1:52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</row>
    <row r="370" spans="1:52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</row>
    <row r="371" spans="1:52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</row>
    <row r="372" spans="1:52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</row>
    <row r="373" spans="1:52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</row>
    <row r="374" spans="1:52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</row>
    <row r="375" spans="1:52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</row>
    <row r="376" spans="1:52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</row>
    <row r="377" spans="1:52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</row>
    <row r="378" spans="1:52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</row>
    <row r="379" spans="1:52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</row>
    <row r="380" spans="1:52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</row>
    <row r="381" spans="1:52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</row>
    <row r="382" spans="1:52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</row>
    <row r="383" spans="1:52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</row>
    <row r="384" spans="1:52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</row>
    <row r="385" spans="1:52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</row>
    <row r="386" spans="1:52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</row>
    <row r="387" spans="1:52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</row>
    <row r="388" spans="1:52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</row>
    <row r="389" spans="1:52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</row>
    <row r="390" spans="1:52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</row>
    <row r="391" spans="1:52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</row>
    <row r="392" spans="1:52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</row>
    <row r="393" spans="1:52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</row>
    <row r="394" spans="1:52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</row>
    <row r="395" spans="1:52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</row>
    <row r="396" spans="1:52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</row>
    <row r="397" spans="1:52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</row>
    <row r="398" spans="1:52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</row>
    <row r="399" spans="1:52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</row>
    <row r="400" spans="1:52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</row>
    <row r="401" spans="1:52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</row>
    <row r="402" spans="1:52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</row>
    <row r="403" spans="1:52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</row>
    <row r="404" spans="1:52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</row>
    <row r="405" spans="1:52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</row>
    <row r="406" spans="1:52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</row>
    <row r="407" spans="1:52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</row>
    <row r="408" spans="1:52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</row>
    <row r="409" spans="1:52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</row>
    <row r="410" spans="1:52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</row>
    <row r="411" spans="1:52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</row>
    <row r="412" spans="1:52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</row>
    <row r="413" spans="1:52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</row>
    <row r="414" spans="1:52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</row>
    <row r="415" spans="1:52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</row>
    <row r="416" spans="1:52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</row>
    <row r="417" spans="1:52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</row>
    <row r="418" spans="1:52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</row>
    <row r="419" spans="1:52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</row>
    <row r="420" spans="1:52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</row>
    <row r="421" spans="1:52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</row>
    <row r="422" spans="1:52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</row>
    <row r="423" spans="1:52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</row>
    <row r="424" spans="1:52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</row>
    <row r="425" spans="1:52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</row>
    <row r="426" spans="1:52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</row>
    <row r="427" spans="1:52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</row>
    <row r="428" spans="1:52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</row>
    <row r="429" spans="1:52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</row>
    <row r="430" spans="1:52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</row>
    <row r="431" spans="1:52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</row>
    <row r="432" spans="1:52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</row>
    <row r="433" spans="1:52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</row>
    <row r="434" spans="1:52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</row>
    <row r="435" spans="1:52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</row>
    <row r="436" spans="1:52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</row>
    <row r="437" spans="1:52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</row>
    <row r="438" spans="1:52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</row>
    <row r="439" spans="1:52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</row>
    <row r="440" spans="1:52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</row>
    <row r="441" spans="1:52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</row>
    <row r="442" spans="1:52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</row>
    <row r="443" spans="1:52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</row>
    <row r="444" spans="1:52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</row>
    <row r="445" spans="1:52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</row>
    <row r="446" spans="1:52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</row>
    <row r="447" spans="1:52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</row>
    <row r="448" spans="1:52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</row>
    <row r="449" spans="1:52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</row>
    <row r="450" spans="1:52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</row>
    <row r="451" spans="1:52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</row>
    <row r="452" spans="1:52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</row>
    <row r="453" spans="1:52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</row>
    <row r="454" spans="1:52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</row>
    <row r="455" spans="1:52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</row>
    <row r="456" spans="1:52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</row>
    <row r="457" spans="1:52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</row>
    <row r="458" spans="1:52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</row>
    <row r="459" spans="1:52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</row>
    <row r="460" spans="1:52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</row>
    <row r="461" spans="1:52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</row>
    <row r="462" spans="1:52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</row>
    <row r="463" spans="1:52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</row>
    <row r="464" spans="1:52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</row>
    <row r="465" spans="1:52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</row>
    <row r="466" spans="1:52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</row>
    <row r="467" spans="1:52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</row>
    <row r="468" spans="1:52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</row>
    <row r="469" spans="1:52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</row>
    <row r="470" spans="1:52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</row>
    <row r="471" spans="1:52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</row>
    <row r="472" spans="1:52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</row>
    <row r="473" spans="1:52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</row>
    <row r="474" spans="1:52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</row>
    <row r="475" spans="1:52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</row>
    <row r="476" spans="1:52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</row>
    <row r="477" spans="1:52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</row>
    <row r="478" spans="1:52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</row>
    <row r="479" spans="1:52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</row>
    <row r="480" spans="1:52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</row>
    <row r="481" spans="1:52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</row>
    <row r="482" spans="1:52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</row>
  </sheetData>
  <autoFilter ref="A3:AG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2025-12-04T11:39:51Z</dcterms:created>
  <dcterms:modified xsi:type="dcterms:W3CDTF">2025-12-11T13:03:29Z</dcterms:modified>
</cp:coreProperties>
</file>