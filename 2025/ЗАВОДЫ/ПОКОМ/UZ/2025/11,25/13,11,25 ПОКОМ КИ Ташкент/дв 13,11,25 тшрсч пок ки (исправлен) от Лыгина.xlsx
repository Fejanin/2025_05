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Ташкент\"/>
    </mc:Choice>
  </mc:AlternateContent>
  <xr:revisionPtr revIDLastSave="0" documentId="13_ncr:1_{476DB388-A169-4EBA-8914-87420D64ED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Sheet!$A$3:$AF$69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2" i="1" l="1"/>
  <c r="R51" i="1"/>
  <c r="R50" i="1"/>
  <c r="R49" i="1"/>
  <c r="R48" i="1"/>
  <c r="R47" i="1"/>
  <c r="R46" i="1"/>
  <c r="R45" i="1"/>
  <c r="R43" i="1"/>
  <c r="R42" i="1"/>
  <c r="AF42" i="1" s="1"/>
  <c r="R40" i="1"/>
  <c r="R39" i="1"/>
  <c r="AF39" i="1" s="1"/>
  <c r="R37" i="1"/>
  <c r="R36" i="1"/>
  <c r="AF36" i="1" s="1"/>
  <c r="R35" i="1"/>
  <c r="R34" i="1"/>
  <c r="AF34" i="1" s="1"/>
  <c r="R33" i="1"/>
  <c r="R32" i="1"/>
  <c r="AF32" i="1" s="1"/>
  <c r="R31" i="1"/>
  <c r="R30" i="1"/>
  <c r="AF30" i="1" s="1"/>
  <c r="R29" i="1"/>
  <c r="R28" i="1"/>
  <c r="AF28" i="1" s="1"/>
  <c r="R27" i="1"/>
  <c r="R26" i="1"/>
  <c r="AF26" i="1" s="1"/>
  <c r="R25" i="1"/>
  <c r="R24" i="1"/>
  <c r="AF24" i="1" s="1"/>
  <c r="R23" i="1"/>
  <c r="R22" i="1"/>
  <c r="AF22" i="1" s="1"/>
  <c r="R21" i="1"/>
  <c r="R19" i="1"/>
  <c r="AF19" i="1" s="1"/>
  <c r="R18" i="1"/>
  <c r="R17" i="1"/>
  <c r="AF17" i="1" s="1"/>
  <c r="R16" i="1"/>
  <c r="R15" i="1"/>
  <c r="AF15" i="1" s="1"/>
  <c r="R14" i="1"/>
  <c r="R13" i="1"/>
  <c r="AF13" i="1" s="1"/>
  <c r="R12" i="1"/>
  <c r="R11" i="1"/>
  <c r="AF11" i="1" s="1"/>
  <c r="R10" i="1"/>
  <c r="R8" i="1"/>
  <c r="AF8" i="1" s="1"/>
  <c r="R7" i="1"/>
  <c r="AF7" i="1"/>
  <c r="AF9" i="1"/>
  <c r="AF10" i="1"/>
  <c r="AF12" i="1"/>
  <c r="AF14" i="1"/>
  <c r="AF16" i="1"/>
  <c r="AF18" i="1"/>
  <c r="AF20" i="1"/>
  <c r="AF21" i="1"/>
  <c r="AF23" i="1"/>
  <c r="AF25" i="1"/>
  <c r="AF27" i="1"/>
  <c r="AF29" i="1"/>
  <c r="AF31" i="1"/>
  <c r="AF33" i="1"/>
  <c r="AF35" i="1"/>
  <c r="AF37" i="1"/>
  <c r="AF38" i="1"/>
  <c r="AF40" i="1"/>
  <c r="AF41" i="1"/>
  <c r="AF43" i="1"/>
  <c r="AF44" i="1"/>
  <c r="AF45" i="1"/>
  <c r="AF46" i="1"/>
  <c r="AF47" i="1"/>
  <c r="AF48" i="1"/>
  <c r="AF49" i="1"/>
  <c r="AF50" i="1"/>
  <c r="AF51" i="1"/>
  <c r="AF52" i="1"/>
  <c r="R6" i="1"/>
  <c r="R5" i="1" s="1"/>
  <c r="AF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6" i="1"/>
  <c r="AH5" i="1" l="1"/>
  <c r="AG5" i="1" l="1"/>
  <c r="P69" i="1" l="1"/>
  <c r="U69" i="1" s="1"/>
  <c r="L69" i="1"/>
  <c r="P68" i="1"/>
  <c r="U68" i="1" s="1"/>
  <c r="L68" i="1"/>
  <c r="P67" i="1"/>
  <c r="U67" i="1" s="1"/>
  <c r="L67" i="1"/>
  <c r="P66" i="1"/>
  <c r="U66" i="1" s="1"/>
  <c r="L66" i="1"/>
  <c r="P65" i="1"/>
  <c r="U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F52" i="1"/>
  <c r="E52" i="1"/>
  <c r="L52" i="1" s="1"/>
  <c r="P51" i="1"/>
  <c r="U51" i="1" s="1"/>
  <c r="L51" i="1"/>
  <c r="P50" i="1"/>
  <c r="U50" i="1" s="1"/>
  <c r="L50" i="1"/>
  <c r="P49" i="1"/>
  <c r="U49" i="1" s="1"/>
  <c r="L49" i="1"/>
  <c r="P48" i="1"/>
  <c r="L48" i="1"/>
  <c r="P47" i="1"/>
  <c r="U47" i="1" s="1"/>
  <c r="L47" i="1"/>
  <c r="P46" i="1"/>
  <c r="L46" i="1"/>
  <c r="F45" i="1"/>
  <c r="E45" i="1"/>
  <c r="P45" i="1" s="1"/>
  <c r="P44" i="1"/>
  <c r="U44" i="1" s="1"/>
  <c r="L44" i="1"/>
  <c r="F43" i="1"/>
  <c r="E43" i="1"/>
  <c r="L43" i="1" s="1"/>
  <c r="P42" i="1"/>
  <c r="U42" i="1" s="1"/>
  <c r="L42" i="1"/>
  <c r="E41" i="1"/>
  <c r="P41" i="1" s="1"/>
  <c r="U41" i="1" s="1"/>
  <c r="F40" i="1"/>
  <c r="E40" i="1"/>
  <c r="P40" i="1" s="1"/>
  <c r="P39" i="1"/>
  <c r="L39" i="1"/>
  <c r="P38" i="1"/>
  <c r="U38" i="1" s="1"/>
  <c r="L38" i="1"/>
  <c r="P37" i="1"/>
  <c r="U37" i="1" s="1"/>
  <c r="L37" i="1"/>
  <c r="F36" i="1"/>
  <c r="E36" i="1"/>
  <c r="L36" i="1" s="1"/>
  <c r="F35" i="1"/>
  <c r="E35" i="1"/>
  <c r="P35" i="1" s="1"/>
  <c r="F34" i="1"/>
  <c r="E34" i="1"/>
  <c r="L34" i="1" s="1"/>
  <c r="F33" i="1"/>
  <c r="E33" i="1"/>
  <c r="P33" i="1" s="1"/>
  <c r="P32" i="1"/>
  <c r="L32" i="1"/>
  <c r="F32" i="1"/>
  <c r="U32" i="1" s="1"/>
  <c r="F31" i="1"/>
  <c r="E31" i="1"/>
  <c r="L31" i="1" s="1"/>
  <c r="P30" i="1"/>
  <c r="U30" i="1" s="1"/>
  <c r="L30" i="1"/>
  <c r="P29" i="1"/>
  <c r="L29" i="1"/>
  <c r="P28" i="1"/>
  <c r="U28" i="1" s="1"/>
  <c r="L28" i="1"/>
  <c r="P27" i="1"/>
  <c r="U27" i="1" s="1"/>
  <c r="L27" i="1"/>
  <c r="P26" i="1"/>
  <c r="L26" i="1"/>
  <c r="P25" i="1"/>
  <c r="U25" i="1" s="1"/>
  <c r="L25" i="1"/>
  <c r="F24" i="1"/>
  <c r="E24" i="1"/>
  <c r="P24" i="1" s="1"/>
  <c r="P23" i="1"/>
  <c r="U23" i="1" s="1"/>
  <c r="L23" i="1"/>
  <c r="F22" i="1"/>
  <c r="E22" i="1"/>
  <c r="P22" i="1" s="1"/>
  <c r="F21" i="1"/>
  <c r="E21" i="1"/>
  <c r="L21" i="1" s="1"/>
  <c r="P20" i="1"/>
  <c r="U20" i="1" s="1"/>
  <c r="L20" i="1"/>
  <c r="P19" i="1"/>
  <c r="L19" i="1"/>
  <c r="P18" i="1"/>
  <c r="U18" i="1" s="1"/>
  <c r="L18" i="1"/>
  <c r="P17" i="1"/>
  <c r="U17" i="1" s="1"/>
  <c r="L17" i="1"/>
  <c r="F16" i="1"/>
  <c r="E16" i="1"/>
  <c r="L16" i="1" s="1"/>
  <c r="F15" i="1"/>
  <c r="E15" i="1"/>
  <c r="P15" i="1" s="1"/>
  <c r="F14" i="1"/>
  <c r="E14" i="1"/>
  <c r="L14" i="1" s="1"/>
  <c r="P13" i="1"/>
  <c r="U13" i="1" s="1"/>
  <c r="L13" i="1"/>
  <c r="P12" i="1"/>
  <c r="U12" i="1" s="1"/>
  <c r="L12" i="1"/>
  <c r="P11" i="1"/>
  <c r="U11" i="1" s="1"/>
  <c r="L11" i="1"/>
  <c r="P10" i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U15" i="1" l="1"/>
  <c r="U22" i="1"/>
  <c r="U24" i="1"/>
  <c r="U45" i="1"/>
  <c r="Q10" i="1"/>
  <c r="U10" i="1"/>
  <c r="Q19" i="1"/>
  <c r="U19" i="1"/>
  <c r="Q26" i="1"/>
  <c r="U26" i="1"/>
  <c r="Q29" i="1"/>
  <c r="U29" i="1"/>
  <c r="Q46" i="1"/>
  <c r="U46" i="1"/>
  <c r="Q48" i="1"/>
  <c r="U48" i="1"/>
  <c r="U33" i="1"/>
  <c r="U35" i="1"/>
  <c r="Q39" i="1"/>
  <c r="U39" i="1"/>
  <c r="U40" i="1"/>
  <c r="Q22" i="1"/>
  <c r="Q24" i="1"/>
  <c r="V47" i="1"/>
  <c r="Q47" i="1"/>
  <c r="V18" i="1"/>
  <c r="Q18" i="1"/>
  <c r="V19" i="1"/>
  <c r="V23" i="1"/>
  <c r="Q23" i="1"/>
  <c r="V25" i="1"/>
  <c r="Q25" i="1"/>
  <c r="V27" i="1"/>
  <c r="Q27" i="1"/>
  <c r="Q40" i="1"/>
  <c r="V51" i="1"/>
  <c r="Q51" i="1"/>
  <c r="V6" i="1"/>
  <c r="V7" i="1"/>
  <c r="V8" i="1"/>
  <c r="V9" i="1"/>
  <c r="V10" i="1"/>
  <c r="V11" i="1"/>
  <c r="V12" i="1"/>
  <c r="V13" i="1"/>
  <c r="V15" i="1"/>
  <c r="V17" i="1"/>
  <c r="V20" i="1"/>
  <c r="V22" i="1"/>
  <c r="V24" i="1"/>
  <c r="V26" i="1"/>
  <c r="V28" i="1"/>
  <c r="V41" i="1"/>
  <c r="V42" i="1"/>
  <c r="V50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29" i="1"/>
  <c r="V30" i="1"/>
  <c r="V32" i="1"/>
  <c r="V33" i="1"/>
  <c r="V35" i="1"/>
  <c r="V37" i="1"/>
  <c r="V38" i="1"/>
  <c r="V39" i="1"/>
  <c r="V40" i="1"/>
  <c r="V44" i="1"/>
  <c r="V45" i="1"/>
  <c r="V46" i="1"/>
  <c r="V48" i="1"/>
  <c r="V49" i="1"/>
  <c r="E5" i="1"/>
  <c r="P14" i="1"/>
  <c r="U14" i="1" s="1"/>
  <c r="P16" i="1"/>
  <c r="U16" i="1" s="1"/>
  <c r="P43" i="1"/>
  <c r="U43" i="1" s="1"/>
  <c r="P21" i="1"/>
  <c r="U21" i="1" s="1"/>
  <c r="P31" i="1"/>
  <c r="U31" i="1" s="1"/>
  <c r="P34" i="1"/>
  <c r="U34" i="1" s="1"/>
  <c r="P36" i="1"/>
  <c r="U36" i="1" s="1"/>
  <c r="L41" i="1"/>
  <c r="P52" i="1"/>
  <c r="U52" i="1" s="1"/>
  <c r="L24" i="1"/>
  <c r="L40" i="1"/>
  <c r="L45" i="1"/>
  <c r="F5" i="1"/>
  <c r="L15" i="1"/>
  <c r="L22" i="1"/>
  <c r="L33" i="1"/>
  <c r="L35" i="1"/>
  <c r="V36" i="1" l="1"/>
  <c r="Q36" i="1"/>
  <c r="V31" i="1"/>
  <c r="V43" i="1"/>
  <c r="Q43" i="1"/>
  <c r="V14" i="1"/>
  <c r="Q14" i="1"/>
  <c r="V34" i="1"/>
  <c r="Q34" i="1"/>
  <c r="V21" i="1"/>
  <c r="Q21" i="1"/>
  <c r="V52" i="1"/>
  <c r="V16" i="1"/>
  <c r="P5" i="1"/>
  <c r="L5" i="1"/>
  <c r="Q5" i="1" l="1"/>
  <c r="AF5" i="1" l="1"/>
</calcChain>
</file>

<file path=xl/sharedStrings.xml><?xml version="1.0" encoding="utf-8"?>
<sst xmlns="http://schemas.openxmlformats.org/spreadsheetml/2006/main" count="274" uniqueCount="122">
  <si>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</si>
  <si>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</si>
  <si>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</si>
  <si>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</si>
  <si>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</si>
  <si>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</si>
  <si>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</si>
  <si>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</si>
  <si>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</si>
  <si>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</si>
  <si>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</si>
  <si>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</si>
  <si>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</si>
  <si>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</si>
  <si>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</si>
  <si>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</si>
  <si>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</si>
  <si>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</si>
  <si>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</si>
  <si>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</si>
  <si>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</si>
  <si>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</si>
  <si>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</si>
  <si>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</si>
  <si>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12,11,</t>
  </si>
  <si>
    <t>13,11,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</si>
  <si>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</si>
  <si>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</si>
  <si>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</si>
  <si>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</si>
  <si>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</si>
  <si>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</si>
  <si>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</si>
  <si>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</si>
  <si>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</si>
  <si>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</si>
  <si>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</si>
  <si>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</si>
  <si>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</si>
  <si>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</si>
  <si>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</si>
  <si>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</si>
  <si>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</si>
  <si>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</si>
  <si>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</si>
  <si>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</si>
  <si>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</si>
  <si>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</si>
  <si>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</si>
  <si>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</si>
  <si>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</si>
  <si>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</si>
  <si>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</si>
  <si>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</si>
  <si>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</si>
  <si>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</si>
  <si>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</si>
  <si>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</si>
  <si>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</si>
  <si>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</si>
  <si>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</si>
  <si>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</si>
  <si>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</si>
  <si>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</si>
  <si>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</si>
  <si>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</si>
  <si>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</si>
  <si>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</si>
  <si>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</si>
  <si>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</si>
  <si>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</si>
  <si>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</si>
  <si>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</si>
  <si>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нужно увеличить продажи!!!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</si>
  <si>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</si>
  <si>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</si>
  <si>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</si>
  <si>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</si>
  <si>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</si>
  <si>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</si>
  <si>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</si>
  <si>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</si>
  <si>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</si>
  <si>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</si>
  <si>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18,09,25 списание недостача 69кг / вывод (Шиганцов)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</si>
  <si>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</si>
  <si>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</si>
  <si>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</si>
  <si>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</si>
  <si>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</si>
  <si>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</si>
  <si>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</si>
  <si>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</si>
  <si>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БОНУС_1202 В/к колбасы Сервелат Мясорубский с мелкорубленным окороком срез Бордо Фикс.вес 0,35 фибро</t>
  </si>
  <si>
    <t>бонус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</si>
  <si>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</si>
  <si>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</si>
  <si>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</si>
  <si>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</si>
  <si>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</si>
  <si>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</si>
  <si>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</si>
  <si>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</si>
  <si>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</si>
  <si>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</si>
  <si>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</si>
  <si>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БОНУС_2094 Вареные колбасы Докторская Дугушка Дугушка Весовые Вектор Стародворье, вес 1кг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</si>
  <si>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</si>
  <si>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</si>
  <si>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</si>
  <si>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</si>
  <si>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</si>
  <si>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</si>
  <si>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t>нужно увеличить продажи / 18,09,25 списание недостача 120кг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</si>
  <si>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</si>
  <si>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17,09,25 списание 25кг</t>
    </r>
  </si>
  <si>
    <t>нужно увеличить продажи / 18,09,25 списание недостача 154кг / по тф с НС уточнено</t>
  </si>
  <si>
    <t>в 1С на 06,11,25 остаток 4560шт.!!! / фактически же 921шт.</t>
  </si>
  <si>
    <t>в 1С на 06,11,25 остаток 2018шт.!!! / фактически же 299шт.</t>
  </si>
  <si>
    <t>ОШ</t>
  </si>
  <si>
    <t>заказ</t>
  </si>
  <si>
    <t>19,11,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</si>
</sst>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9;&#1072;&#1084;&#1077;&#1090;&#1082;&#1080;/&#1088;&#1072;&#1079;&#1085;&#1086;&#1077;/&#1064;&#1074;&#1077;&#1094;/&#1076;&#1074;%2013,11,25%20&#1090;&#1096;&#1088;&#1089;&#1095;%20&#1087;&#1086;&#1082;%20&#1082;&#1080;&#1054;&#10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  <cell r="T3" t="str">
            <v>Комментарии филиала</v>
          </cell>
        </row>
        <row r="4">
          <cell r="O4" t="str">
            <v>12,11,</v>
          </cell>
          <cell r="P4" t="str">
            <v>вес</v>
          </cell>
          <cell r="Q4" t="str">
            <v>13,11,</v>
          </cell>
        </row>
        <row r="5">
          <cell r="E5">
            <v>9105.5730000000021</v>
          </cell>
          <cell r="F5">
            <v>15272.448999999997</v>
          </cell>
          <cell r="K5">
            <v>0</v>
          </cell>
          <cell r="L5">
            <v>9105.5730000000021</v>
          </cell>
          <cell r="M5">
            <v>0</v>
          </cell>
          <cell r="N5">
            <v>0</v>
          </cell>
          <cell r="O5">
            <v>10493.174603174604</v>
          </cell>
          <cell r="P5">
            <v>0</v>
          </cell>
          <cell r="Q5">
            <v>1950.6955999999998</v>
          </cell>
          <cell r="R5">
            <v>6400.878196825397</v>
          </cell>
          <cell r="S5">
            <v>6536</v>
          </cell>
        </row>
        <row r="6">
          <cell r="A6" t="str">
            <v>1869-Колбаса Молочная ТМ Особый рецепт в оболочке полиамид большой батон.  ПОКОМ</v>
          </cell>
          <cell r="B6" t="str">
            <v>кг</v>
          </cell>
          <cell r="C6">
            <v>413.33300000000003</v>
          </cell>
          <cell r="D6">
            <v>732.07100000000003</v>
          </cell>
          <cell r="E6">
            <v>335.73</v>
          </cell>
          <cell r="F6">
            <v>840</v>
          </cell>
          <cell r="G6">
            <v>1</v>
          </cell>
          <cell r="H6">
            <v>60</v>
          </cell>
          <cell r="I6" t="str">
            <v>матрица</v>
          </cell>
          <cell r="L6">
            <v>335.73</v>
          </cell>
          <cell r="O6">
            <v>700</v>
          </cell>
          <cell r="Q6">
            <v>96</v>
          </cell>
          <cell r="R6">
            <v>188</v>
          </cell>
          <cell r="S6">
            <v>470</v>
          </cell>
        </row>
        <row r="7">
          <cell r="A7" t="str">
            <v>1867-Колбаса Филейная ТМ Особый рецепт в оболочке полиамид большой батон.  ПОКОМ</v>
          </cell>
          <cell r="B7" t="str">
            <v>кг</v>
          </cell>
          <cell r="C7">
            <v>323.29199999999997</v>
          </cell>
          <cell r="D7">
            <v>762.87</v>
          </cell>
          <cell r="E7">
            <v>356.96000000000004</v>
          </cell>
          <cell r="F7">
            <v>630</v>
          </cell>
          <cell r="G7">
            <v>1</v>
          </cell>
          <cell r="H7">
            <v>60</v>
          </cell>
          <cell r="I7" t="str">
            <v>матрица</v>
          </cell>
          <cell r="L7">
            <v>356.96000000000004</v>
          </cell>
          <cell r="O7">
            <v>700</v>
          </cell>
          <cell r="Q7">
            <v>80</v>
          </cell>
          <cell r="R7">
            <v>110</v>
          </cell>
          <cell r="S7">
            <v>350</v>
          </cell>
        </row>
        <row r="8">
          <cell r="A8" t="str">
            <v>1875-Колбаса Филейная оригинальная ТМ Особый рецепт в оболочке полиамид.  ПОКОМ</v>
          </cell>
          <cell r="B8" t="str">
            <v>кг</v>
          </cell>
          <cell r="C8">
            <v>830.41200000000003</v>
          </cell>
          <cell r="D8">
            <v>550.79200000000003</v>
          </cell>
          <cell r="E8">
            <v>556.52499999999998</v>
          </cell>
          <cell r="F8">
            <v>840</v>
          </cell>
          <cell r="G8">
            <v>1</v>
          </cell>
          <cell r="H8">
            <v>60</v>
          </cell>
          <cell r="I8" t="str">
            <v>матрица</v>
          </cell>
          <cell r="L8">
            <v>556.52499999999998</v>
          </cell>
          <cell r="O8">
            <v>500</v>
          </cell>
          <cell r="Q8">
            <v>90</v>
          </cell>
          <cell r="R8">
            <v>280</v>
          </cell>
          <cell r="S8">
            <v>270</v>
          </cell>
        </row>
        <row r="9">
          <cell r="A9" t="str">
            <v>1870-Колбаса Со шпиком ТМ Особый рецепт в оболочке полиамид большой батон.  ПОКОМ</v>
          </cell>
          <cell r="B9" t="str">
            <v>кг</v>
          </cell>
          <cell r="C9">
            <v>78.432000000000002</v>
          </cell>
          <cell r="D9">
            <v>1113.069</v>
          </cell>
          <cell r="E9">
            <v>508.64</v>
          </cell>
          <cell r="F9">
            <v>735</v>
          </cell>
          <cell r="G9">
            <v>1</v>
          </cell>
          <cell r="H9">
            <v>60</v>
          </cell>
          <cell r="I9" t="str">
            <v>матрица</v>
          </cell>
          <cell r="L9">
            <v>508.64</v>
          </cell>
          <cell r="O9">
            <v>420</v>
          </cell>
          <cell r="Q9">
            <v>80</v>
          </cell>
          <cell r="R9">
            <v>285</v>
          </cell>
          <cell r="S9">
            <v>280</v>
          </cell>
        </row>
        <row r="10">
          <cell r="A10" t="str">
            <v>0222-Ветчины Дугушка Дугушка б/о Стародворье, 1кг</v>
          </cell>
          <cell r="B10" t="str">
            <v>кг</v>
          </cell>
          <cell r="C10">
            <v>241.98500000000001</v>
          </cell>
          <cell r="D10">
            <v>652.79600000000005</v>
          </cell>
          <cell r="E10">
            <v>180.71</v>
          </cell>
          <cell r="F10">
            <v>652</v>
          </cell>
          <cell r="G10">
            <v>1</v>
          </cell>
          <cell r="H10">
            <v>55</v>
          </cell>
          <cell r="I10" t="str">
            <v>матрица</v>
          </cell>
          <cell r="L10">
            <v>180.71</v>
          </cell>
          <cell r="O10">
            <v>270</v>
          </cell>
          <cell r="Q10">
            <v>36.142000000000003</v>
          </cell>
          <cell r="R10">
            <v>-271.44399999999996</v>
          </cell>
        </row>
        <row r="11">
          <cell r="A11" t="str">
            <v>0178 Ветчины Нежная Особая Особая Весовые П/а Особый рецепт большой батон  ПОКОМ</v>
          </cell>
          <cell r="B11" t="str">
            <v>кг</v>
          </cell>
          <cell r="C11">
            <v>286.72199999999998</v>
          </cell>
          <cell r="D11">
            <v>507.63299999999998</v>
          </cell>
          <cell r="E11">
            <v>216.27799999999999</v>
          </cell>
          <cell r="F11">
            <v>480</v>
          </cell>
          <cell r="G11">
            <v>1</v>
          </cell>
          <cell r="H11">
            <v>50</v>
          </cell>
          <cell r="I11" t="str">
            <v>матрица</v>
          </cell>
          <cell r="L11">
            <v>216.27799999999999</v>
          </cell>
          <cell r="O11">
            <v>270</v>
          </cell>
          <cell r="Q11">
            <v>48</v>
          </cell>
          <cell r="R11">
            <v>114</v>
          </cell>
          <cell r="S11">
            <v>230</v>
          </cell>
        </row>
        <row r="12">
          <cell r="A12" t="str">
            <v>2634 Колбаса Дугушка Стародворская ТМ Стародворье ТС Дугушка  ПОКОМ</v>
          </cell>
          <cell r="B12" t="str">
            <v>кг</v>
          </cell>
          <cell r="C12">
            <v>386.73</v>
          </cell>
          <cell r="D12">
            <v>577.44600000000003</v>
          </cell>
          <cell r="E12">
            <v>245.58799999999999</v>
          </cell>
          <cell r="F12">
            <v>695</v>
          </cell>
          <cell r="G12">
            <v>1</v>
          </cell>
          <cell r="H12">
            <v>60</v>
          </cell>
          <cell r="I12" t="str">
            <v>матрица</v>
          </cell>
          <cell r="L12">
            <v>245.58799999999999</v>
          </cell>
          <cell r="O12">
            <v>200</v>
          </cell>
          <cell r="Q12">
            <v>49.117599999999996</v>
          </cell>
          <cell r="R12">
            <v>-10.883200000000102</v>
          </cell>
        </row>
        <row r="13">
          <cell r="A13" t="str">
            <v>2074-Сосиски Молочные для завтрака Особый рецепт</v>
          </cell>
          <cell r="B13" t="str">
            <v>кг</v>
          </cell>
          <cell r="C13">
            <v>1131.58</v>
          </cell>
          <cell r="D13">
            <v>1310.2539999999999</v>
          </cell>
          <cell r="E13">
            <v>1017.455</v>
          </cell>
          <cell r="F13">
            <v>945</v>
          </cell>
          <cell r="G13">
            <v>1</v>
          </cell>
          <cell r="H13">
            <v>40</v>
          </cell>
          <cell r="I13" t="str">
            <v>матрица</v>
          </cell>
          <cell r="L13">
            <v>1017.455</v>
          </cell>
          <cell r="O13">
            <v>1150</v>
          </cell>
          <cell r="Q13">
            <v>180</v>
          </cell>
          <cell r="R13">
            <v>1145</v>
          </cell>
          <cell r="S13">
            <v>900</v>
          </cell>
        </row>
        <row r="14">
          <cell r="A14" t="str">
            <v>1721-Сосиски Вязанка Сливочные ТМ Стародворские колбасы</v>
          </cell>
          <cell r="B14" t="str">
            <v>кг</v>
          </cell>
          <cell r="C14">
            <v>669.64700000000005</v>
          </cell>
          <cell r="D14">
            <v>962.62099999999998</v>
          </cell>
          <cell r="E14">
            <v>440.62</v>
          </cell>
          <cell r="F14">
            <v>1000</v>
          </cell>
          <cell r="G14">
            <v>1</v>
          </cell>
          <cell r="H14">
            <v>45</v>
          </cell>
          <cell r="I14" t="str">
            <v>матрица</v>
          </cell>
          <cell r="L14">
            <v>440.62</v>
          </cell>
          <cell r="O14">
            <v>600</v>
          </cell>
          <cell r="Q14">
            <v>100</v>
          </cell>
          <cell r="R14">
            <v>200</v>
          </cell>
          <cell r="S14">
            <v>270</v>
          </cell>
        </row>
        <row r="15">
          <cell r="A15" t="str">
            <v>2205-Сосиски Молочные для завтрака ТМ Особый рецепт 0,4кг</v>
          </cell>
          <cell r="B15" t="str">
            <v>шт</v>
          </cell>
          <cell r="C15">
            <v>299</v>
          </cell>
          <cell r="D15">
            <v>1878</v>
          </cell>
          <cell r="E15">
            <v>591</v>
          </cell>
          <cell r="F15">
            <v>888</v>
          </cell>
          <cell r="G15">
            <v>0.4</v>
          </cell>
          <cell r="H15">
            <v>40</v>
          </cell>
          <cell r="I15" t="str">
            <v>матрица</v>
          </cell>
          <cell r="L15">
            <v>591</v>
          </cell>
          <cell r="O15">
            <v>1100</v>
          </cell>
          <cell r="Q15">
            <v>150</v>
          </cell>
          <cell r="R15">
            <v>712</v>
          </cell>
          <cell r="S15">
            <v>700</v>
          </cell>
          <cell r="T15" t="str">
            <v>остановлены отгрузки на халк</v>
          </cell>
        </row>
        <row r="16">
          <cell r="A16" t="str">
            <v>1370-Сосиски Сочинки Бордо Весовой п/а Стародворье</v>
          </cell>
          <cell r="B16" t="str">
            <v>кг</v>
          </cell>
          <cell r="C16">
            <v>40.51</v>
          </cell>
          <cell r="D16">
            <v>363.23399999999998</v>
          </cell>
          <cell r="E16">
            <v>151.29300000000001</v>
          </cell>
          <cell r="F16">
            <v>170</v>
          </cell>
          <cell r="G16">
            <v>1</v>
          </cell>
          <cell r="H16">
            <v>45</v>
          </cell>
          <cell r="I16" t="str">
            <v>матрица</v>
          </cell>
          <cell r="L16">
            <v>151.29300000000001</v>
          </cell>
          <cell r="O16">
            <v>300</v>
          </cell>
          <cell r="Q16">
            <v>37</v>
          </cell>
          <cell r="R16">
            <v>196</v>
          </cell>
          <cell r="S16">
            <v>230</v>
          </cell>
        </row>
        <row r="17">
          <cell r="A17" t="str">
            <v>1411 Сосиски «Сочинки Сливочные» Весовые ТМ «Стародворье» 1,35 кг  ПОКОМ</v>
          </cell>
          <cell r="B17" t="str">
            <v>кг</v>
          </cell>
          <cell r="C17">
            <v>216.23</v>
          </cell>
          <cell r="D17">
            <v>201.81299999999999</v>
          </cell>
          <cell r="E17">
            <v>127.48699999999999</v>
          </cell>
          <cell r="F17">
            <v>230</v>
          </cell>
          <cell r="G17">
            <v>1</v>
          </cell>
          <cell r="H17">
            <v>40</v>
          </cell>
          <cell r="I17" t="str">
            <v>матрица</v>
          </cell>
          <cell r="L17">
            <v>127.48699999999999</v>
          </cell>
          <cell r="O17">
            <v>200</v>
          </cell>
          <cell r="Q17">
            <v>35</v>
          </cell>
          <cell r="R17">
            <v>200</v>
          </cell>
          <cell r="S17">
            <v>110</v>
          </cell>
        </row>
        <row r="18">
          <cell r="A18" t="str">
            <v>1205 Копченые колбасы Салями Мясорубская с рубленым шпиком срез Бордо ф/в 0,35 фиброуз Стародворье  ПОКОМ</v>
          </cell>
          <cell r="B18" t="str">
            <v>шт</v>
          </cell>
          <cell r="C18">
            <v>140</v>
          </cell>
          <cell r="D18">
            <v>884</v>
          </cell>
          <cell r="E18">
            <v>258</v>
          </cell>
          <cell r="F18">
            <v>588</v>
          </cell>
          <cell r="G18">
            <v>0.35</v>
          </cell>
          <cell r="H18">
            <v>40</v>
          </cell>
          <cell r="I18" t="str">
            <v>матрица</v>
          </cell>
          <cell r="L18">
            <v>258</v>
          </cell>
          <cell r="O18">
            <v>457.14285714285722</v>
          </cell>
          <cell r="Q18">
            <v>75</v>
          </cell>
          <cell r="R18">
            <v>304.85714285714278</v>
          </cell>
          <cell r="S18">
            <v>300</v>
          </cell>
        </row>
        <row r="19">
          <cell r="A19" t="str">
            <v>1523-Сосиски Вязанка Молочные ТМ Стародворские колбасы</v>
          </cell>
          <cell r="B19" t="str">
            <v>кг</v>
          </cell>
          <cell r="C19">
            <v>27.428000000000001</v>
          </cell>
          <cell r="D19">
            <v>327.74099999999999</v>
          </cell>
          <cell r="E19">
            <v>143.863</v>
          </cell>
          <cell r="F19">
            <v>150</v>
          </cell>
          <cell r="G19">
            <v>1</v>
          </cell>
          <cell r="H19">
            <v>45</v>
          </cell>
          <cell r="I19" t="str">
            <v>матрица</v>
          </cell>
          <cell r="L19">
            <v>143.863</v>
          </cell>
          <cell r="O19">
            <v>200</v>
          </cell>
          <cell r="Q19">
            <v>28.772600000000001</v>
          </cell>
          <cell r="R19">
            <v>167.90679999999998</v>
          </cell>
          <cell r="S19">
            <v>110</v>
          </cell>
        </row>
        <row r="20">
          <cell r="A20" t="str">
            <v>1202 В/к колбасы Сервелат Мясорубский с мелкорубленным окороком срез Бордо Фикс.вес 0,35 фиброуз Ста</v>
          </cell>
          <cell r="B20" t="str">
            <v>шт</v>
          </cell>
          <cell r="C20">
            <v>252</v>
          </cell>
          <cell r="D20">
            <v>792</v>
          </cell>
          <cell r="E20">
            <v>401.78300000000002</v>
          </cell>
          <cell r="F20">
            <v>588</v>
          </cell>
          <cell r="G20">
            <v>0.35</v>
          </cell>
          <cell r="H20">
            <v>40</v>
          </cell>
          <cell r="I20" t="str">
            <v>матрица</v>
          </cell>
          <cell r="L20">
            <v>401.78300000000002</v>
          </cell>
          <cell r="O20">
            <v>400</v>
          </cell>
          <cell r="Q20">
            <v>80.3566</v>
          </cell>
          <cell r="R20">
            <v>458.41879999999992</v>
          </cell>
          <cell r="S20">
            <v>320</v>
          </cell>
        </row>
        <row r="21">
          <cell r="A21" t="str">
            <v>1204 Копченые колбасы Салями Мясорубская с рубленым шпиком Бордо Весовой фиброуз Стародворье  ПОКОМ</v>
          </cell>
          <cell r="B21" t="str">
            <v>кг</v>
          </cell>
          <cell r="C21">
            <v>-3.6139999999999999</v>
          </cell>
          <cell r="D21">
            <v>221.96100000000001</v>
          </cell>
          <cell r="E21">
            <v>112.66300000000001</v>
          </cell>
          <cell r="F21">
            <v>126</v>
          </cell>
          <cell r="G21">
            <v>1</v>
          </cell>
          <cell r="H21">
            <v>40</v>
          </cell>
          <cell r="I21" t="str">
            <v>матрица</v>
          </cell>
          <cell r="L21">
            <v>112.66300000000001</v>
          </cell>
          <cell r="O21">
            <v>150</v>
          </cell>
          <cell r="Q21">
            <v>22.532600000000002</v>
          </cell>
          <cell r="R21">
            <v>129.58680000000004</v>
          </cell>
          <cell r="S21">
            <v>90</v>
          </cell>
        </row>
        <row r="22">
          <cell r="A22" t="str">
            <v>1720-Сосиски Вязанка Сливочные ТМ Стародворские колбасы ТС Вязанка амицел в мод газов.среде 0,45кг</v>
          </cell>
          <cell r="B22" t="str">
            <v>шт</v>
          </cell>
          <cell r="C22">
            <v>184</v>
          </cell>
          <cell r="D22">
            <v>229</v>
          </cell>
          <cell r="E22">
            <v>166</v>
          </cell>
          <cell r="F22">
            <v>188</v>
          </cell>
          <cell r="G22">
            <v>0.45</v>
          </cell>
          <cell r="H22">
            <v>45</v>
          </cell>
          <cell r="I22" t="str">
            <v>матрица</v>
          </cell>
          <cell r="L22">
            <v>166</v>
          </cell>
          <cell r="O22">
            <v>222.2222222222222</v>
          </cell>
          <cell r="Q22">
            <v>40</v>
          </cell>
          <cell r="R22">
            <v>309.77777777777783</v>
          </cell>
          <cell r="S22">
            <v>300</v>
          </cell>
        </row>
        <row r="23">
          <cell r="A23" t="str">
            <v>1201 В/к колбасы Сервелат Мясорубский с мелкорубленным окороком Бордо Весовой фиброуз Стародворье  П</v>
          </cell>
          <cell r="B23" t="str">
            <v>кг</v>
          </cell>
          <cell r="C23">
            <v>8.1259999999999994</v>
          </cell>
          <cell r="D23">
            <v>221.72499999999999</v>
          </cell>
          <cell r="E23">
            <v>68.165000000000006</v>
          </cell>
          <cell r="F23">
            <v>126</v>
          </cell>
          <cell r="G23">
            <v>1</v>
          </cell>
          <cell r="H23">
            <v>40</v>
          </cell>
          <cell r="I23" t="str">
            <v>матрица</v>
          </cell>
          <cell r="L23">
            <v>68.165000000000006</v>
          </cell>
          <cell r="O23">
            <v>100</v>
          </cell>
          <cell r="Q23">
            <v>17</v>
          </cell>
          <cell r="R23">
            <v>80</v>
          </cell>
          <cell r="S23">
            <v>80</v>
          </cell>
        </row>
        <row r="24">
          <cell r="A24" t="str">
            <v>1371-Сосиски Сочинки с сочной грудинкой Бордо Фикс.вес 0,4 П/а мгс Стародворье</v>
          </cell>
          <cell r="B24" t="str">
            <v>шт</v>
          </cell>
          <cell r="C24">
            <v>179</v>
          </cell>
          <cell r="D24">
            <v>186</v>
          </cell>
          <cell r="E24">
            <v>275.78300000000002</v>
          </cell>
          <cell r="F24">
            <v>60</v>
          </cell>
          <cell r="G24">
            <v>0.4</v>
          </cell>
          <cell r="H24">
            <v>45</v>
          </cell>
          <cell r="I24" t="str">
            <v>матрица</v>
          </cell>
          <cell r="L24">
            <v>275.78300000000002</v>
          </cell>
          <cell r="O24">
            <v>200</v>
          </cell>
          <cell r="Q24">
            <v>55.156600000000005</v>
          </cell>
          <cell r="R24">
            <v>732.81880000000012</v>
          </cell>
          <cell r="S24">
            <v>325</v>
          </cell>
        </row>
        <row r="25">
          <cell r="A25" t="str">
            <v>1231 Сосиски Сливочные Дугушки Дугушка Весовые П/а Стародворье, вес 1кг</v>
          </cell>
          <cell r="B25" t="str">
            <v>кг</v>
          </cell>
          <cell r="C25">
            <v>-2.6589999999999998</v>
          </cell>
          <cell r="D25">
            <v>259.43799999999999</v>
          </cell>
          <cell r="E25">
            <v>62.313000000000002</v>
          </cell>
          <cell r="F25">
            <v>160</v>
          </cell>
          <cell r="G25">
            <v>1</v>
          </cell>
          <cell r="H25">
            <v>45</v>
          </cell>
          <cell r="I25" t="str">
            <v>матрица</v>
          </cell>
          <cell r="L25">
            <v>62.313000000000002</v>
          </cell>
          <cell r="O25">
            <v>0</v>
          </cell>
          <cell r="Q25">
            <v>12.4626</v>
          </cell>
          <cell r="R25">
            <v>64.326799999999992</v>
          </cell>
          <cell r="S25">
            <v>60</v>
          </cell>
        </row>
        <row r="26">
          <cell r="A26" t="str">
            <v>1224 В/к колбасы «Сочинка по-европейски с сочной грудинкой» Весовой фиброуз ТМ «Стародворье»  ПОКОМ</v>
          </cell>
          <cell r="B26" t="str">
            <v>кг</v>
          </cell>
          <cell r="C26">
            <v>26.981999999999999</v>
          </cell>
          <cell r="D26">
            <v>172.87700000000001</v>
          </cell>
          <cell r="E26">
            <v>55.802999999999997</v>
          </cell>
          <cell r="F26">
            <v>120</v>
          </cell>
          <cell r="G26">
            <v>1</v>
          </cell>
          <cell r="H26">
            <v>40</v>
          </cell>
          <cell r="I26" t="str">
            <v>матрица</v>
          </cell>
          <cell r="L26">
            <v>55.802999999999997</v>
          </cell>
          <cell r="O26">
            <v>60</v>
          </cell>
          <cell r="Q26">
            <v>11.160599999999999</v>
          </cell>
          <cell r="R26">
            <v>20.890799999999984</v>
          </cell>
          <cell r="S26">
            <v>30</v>
          </cell>
        </row>
        <row r="27">
          <cell r="A27" t="str">
            <v>1372-Сосиски Сочинки с сочным окороком Бордо Фикс.вес 0,4 П/а мгс Стародворье</v>
          </cell>
          <cell r="B27" t="str">
            <v>шт</v>
          </cell>
          <cell r="C27">
            <v>166</v>
          </cell>
          <cell r="D27">
            <v>228</v>
          </cell>
          <cell r="E27">
            <v>157</v>
          </cell>
          <cell r="F27">
            <v>138</v>
          </cell>
          <cell r="G27">
            <v>0.4</v>
          </cell>
          <cell r="H27">
            <v>45</v>
          </cell>
          <cell r="I27" t="str">
            <v>матрица</v>
          </cell>
          <cell r="L27">
            <v>157</v>
          </cell>
          <cell r="O27">
            <v>200</v>
          </cell>
          <cell r="Q27">
            <v>31.4</v>
          </cell>
          <cell r="R27">
            <v>227.19999999999993</v>
          </cell>
          <cell r="S27">
            <v>175</v>
          </cell>
        </row>
        <row r="28">
          <cell r="A28" t="str">
            <v>1284-Сосиски Баварушки ТМ Баварушка в оболочке амицел в модифицированной газовой среде 0,6 кг.</v>
          </cell>
          <cell r="B28" t="str">
            <v>шт</v>
          </cell>
          <cell r="D28">
            <v>176</v>
          </cell>
          <cell r="E28">
            <v>60</v>
          </cell>
          <cell r="F28">
            <v>110</v>
          </cell>
          <cell r="G28">
            <v>0.6</v>
          </cell>
          <cell r="H28">
            <v>45</v>
          </cell>
          <cell r="I28" t="str">
            <v>матрица</v>
          </cell>
          <cell r="L28">
            <v>60</v>
          </cell>
          <cell r="O28">
            <v>0</v>
          </cell>
          <cell r="Q28">
            <v>12</v>
          </cell>
          <cell r="R28">
            <v>106</v>
          </cell>
          <cell r="S28">
            <v>60</v>
          </cell>
        </row>
        <row r="29">
          <cell r="A29" t="str">
            <v>1461 Сосиски «Баварские» Фикс.вес 0,35 П/а ТМ «Стародворье»  ПОКОМ</v>
          </cell>
          <cell r="B29" t="str">
            <v>шт</v>
          </cell>
          <cell r="C29">
            <v>52</v>
          </cell>
          <cell r="D29">
            <v>132</v>
          </cell>
          <cell r="E29">
            <v>93</v>
          </cell>
          <cell r="F29">
            <v>72</v>
          </cell>
          <cell r="G29">
            <v>0.35</v>
          </cell>
          <cell r="H29">
            <v>45</v>
          </cell>
          <cell r="I29" t="str">
            <v>матрица</v>
          </cell>
          <cell r="L29">
            <v>93</v>
          </cell>
          <cell r="O29">
            <v>157.14285714285711</v>
          </cell>
          <cell r="Q29">
            <v>18.600000000000001</v>
          </cell>
          <cell r="R29">
            <v>105.6571428571429</v>
          </cell>
          <cell r="S29">
            <v>50</v>
          </cell>
        </row>
        <row r="30">
          <cell r="A30" t="str">
            <v>Вареные колбасы Сливушка Вязанка Фикс.вес 0,45 П/а Вязанка  ПОКОМ</v>
          </cell>
          <cell r="B30" t="str">
            <v>шт</v>
          </cell>
          <cell r="C30">
            <v>403</v>
          </cell>
          <cell r="D30">
            <v>830</v>
          </cell>
          <cell r="E30">
            <v>334</v>
          </cell>
          <cell r="F30">
            <v>820</v>
          </cell>
          <cell r="G30">
            <v>0.45</v>
          </cell>
          <cell r="H30">
            <v>50</v>
          </cell>
          <cell r="I30" t="str">
            <v>матрица</v>
          </cell>
          <cell r="L30">
            <v>334</v>
          </cell>
          <cell r="O30">
            <v>333.33333333333331</v>
          </cell>
          <cell r="Q30">
            <v>66.8</v>
          </cell>
          <cell r="R30">
            <v>49.066666666666606</v>
          </cell>
        </row>
        <row r="31">
          <cell r="A31" t="str">
            <v>1871-Колбаса Филейная оригинальная ТМ Особый рецепт в оболочке полиамид 0,4 кг.  ПОКОМ</v>
          </cell>
          <cell r="B31" t="str">
            <v>шт</v>
          </cell>
          <cell r="C31">
            <v>921</v>
          </cell>
          <cell r="D31">
            <v>500</v>
          </cell>
          <cell r="E31">
            <v>252.994</v>
          </cell>
          <cell r="F31">
            <v>950</v>
          </cell>
          <cell r="G31">
            <v>0.4</v>
          </cell>
          <cell r="H31">
            <v>60</v>
          </cell>
          <cell r="I31" t="str">
            <v>матрица</v>
          </cell>
          <cell r="L31">
            <v>252.994</v>
          </cell>
          <cell r="O31">
            <v>250</v>
          </cell>
          <cell r="Q31">
            <v>85</v>
          </cell>
          <cell r="R31">
            <v>330</v>
          </cell>
          <cell r="S31">
            <v>250</v>
          </cell>
        </row>
        <row r="32">
          <cell r="A32" t="str">
            <v>2150 В/к колбасы Рубленая Запеченная Дугушка Весовые Вектор Стародворье, вес 1кг</v>
          </cell>
          <cell r="B32" t="str">
            <v>кг</v>
          </cell>
          <cell r="C32">
            <v>173.17</v>
          </cell>
          <cell r="D32">
            <v>430.81200000000001</v>
          </cell>
          <cell r="E32">
            <v>99.341999999999999</v>
          </cell>
          <cell r="F32">
            <v>455</v>
          </cell>
          <cell r="G32">
            <v>1</v>
          </cell>
          <cell r="H32">
            <v>70</v>
          </cell>
          <cell r="I32" t="str">
            <v>матрица</v>
          </cell>
          <cell r="L32">
            <v>99.341999999999999</v>
          </cell>
          <cell r="O32">
            <v>100</v>
          </cell>
          <cell r="Q32">
            <v>28</v>
          </cell>
          <cell r="R32">
            <v>-51</v>
          </cell>
        </row>
        <row r="33">
          <cell r="A33" t="str">
            <v>1120 В/к колбасы Сервелат Запеченный Дугушка Вес Вектор Стародворье, вес 1кг</v>
          </cell>
          <cell r="B33" t="str">
            <v>кг</v>
          </cell>
          <cell r="C33">
            <v>191.94200000000001</v>
          </cell>
          <cell r="D33">
            <v>204.65</v>
          </cell>
          <cell r="E33">
            <v>114.376</v>
          </cell>
          <cell r="F33">
            <v>243</v>
          </cell>
          <cell r="G33">
            <v>1</v>
          </cell>
          <cell r="H33">
            <v>60</v>
          </cell>
          <cell r="I33" t="str">
            <v>матрица</v>
          </cell>
          <cell r="L33">
            <v>114.376</v>
          </cell>
          <cell r="O33">
            <v>190</v>
          </cell>
          <cell r="Q33">
            <v>22.8752</v>
          </cell>
          <cell r="R33">
            <v>-21.246399999999994</v>
          </cell>
        </row>
        <row r="34">
          <cell r="A34" t="str">
            <v>1118 В/к колбасы Салями Запеченая Дугушка  Вектор Стародворье, 1кг</v>
          </cell>
          <cell r="B34" t="str">
            <v>кг</v>
          </cell>
          <cell r="C34">
            <v>76.721000000000004</v>
          </cell>
          <cell r="D34">
            <v>357.68599999999998</v>
          </cell>
          <cell r="E34">
            <v>100.61799999999999</v>
          </cell>
          <cell r="F34">
            <v>280</v>
          </cell>
          <cell r="G34">
            <v>1</v>
          </cell>
          <cell r="H34">
            <v>60</v>
          </cell>
          <cell r="I34" t="str">
            <v>матрица</v>
          </cell>
          <cell r="L34">
            <v>100.61799999999999</v>
          </cell>
          <cell r="O34">
            <v>150</v>
          </cell>
          <cell r="Q34">
            <v>24</v>
          </cell>
          <cell r="R34">
            <v>2</v>
          </cell>
        </row>
        <row r="35">
          <cell r="A35" t="str">
            <v>Вареные колбасы Молокуша Вязанка Вес п/а Вязанка  ПОКОМ</v>
          </cell>
          <cell r="B35" t="str">
            <v>кг</v>
          </cell>
          <cell r="C35">
            <v>20.617000000000001</v>
          </cell>
          <cell r="D35">
            <v>215.148</v>
          </cell>
          <cell r="E35">
            <v>69.533000000000001</v>
          </cell>
          <cell r="F35">
            <v>154</v>
          </cell>
          <cell r="G35">
            <v>1</v>
          </cell>
          <cell r="H35">
            <v>50</v>
          </cell>
          <cell r="I35" t="str">
            <v>матрица</v>
          </cell>
          <cell r="L35">
            <v>69.533000000000001</v>
          </cell>
          <cell r="O35">
            <v>100</v>
          </cell>
          <cell r="Q35">
            <v>13.906600000000001</v>
          </cell>
          <cell r="R35">
            <v>-3.6811999999999898</v>
          </cell>
        </row>
        <row r="36">
          <cell r="A36" t="str">
            <v>Вареные колбасы Докторская ГОСТ Вязанка Фикс.вес 0,4 Вектор Вязанка  ПОКОМ</v>
          </cell>
          <cell r="B36" t="str">
            <v>шт</v>
          </cell>
          <cell r="C36">
            <v>35</v>
          </cell>
          <cell r="D36">
            <v>600</v>
          </cell>
          <cell r="E36">
            <v>174</v>
          </cell>
          <cell r="F36">
            <v>400</v>
          </cell>
          <cell r="G36">
            <v>0.4</v>
          </cell>
          <cell r="H36">
            <v>50</v>
          </cell>
          <cell r="I36" t="str">
            <v>матрица</v>
          </cell>
          <cell r="L36">
            <v>174</v>
          </cell>
          <cell r="O36">
            <v>150</v>
          </cell>
          <cell r="Q36">
            <v>34.799999999999997</v>
          </cell>
          <cell r="R36">
            <v>76.399999999999977</v>
          </cell>
          <cell r="S36">
            <v>113</v>
          </cell>
        </row>
        <row r="37">
          <cell r="A37" t="str">
            <v>1851-Колбаса Филедворская по-стародворски ТМ Стародворье в оболочке полиамид 0,4 кг.  ПОКОМ</v>
          </cell>
          <cell r="B37" t="str">
            <v>шт</v>
          </cell>
          <cell r="C37">
            <v>87</v>
          </cell>
          <cell r="D37">
            <v>400</v>
          </cell>
          <cell r="E37">
            <v>115</v>
          </cell>
          <cell r="F37">
            <v>310</v>
          </cell>
          <cell r="G37">
            <v>0.4</v>
          </cell>
          <cell r="H37">
            <v>55</v>
          </cell>
          <cell r="I37" t="str">
            <v>матрица</v>
          </cell>
          <cell r="L37">
            <v>115</v>
          </cell>
          <cell r="O37">
            <v>200</v>
          </cell>
          <cell r="Q37">
            <v>30</v>
          </cell>
          <cell r="R37">
            <v>30</v>
          </cell>
          <cell r="S37">
            <v>80</v>
          </cell>
        </row>
        <row r="38">
          <cell r="A38" t="str">
            <v>1989 Вареные колбасы Докторская Особая п/а ТМ Особый рецепт шт. 0,5 кг</v>
          </cell>
          <cell r="B38" t="str">
            <v>шт</v>
          </cell>
          <cell r="C38">
            <v>-31</v>
          </cell>
          <cell r="F38">
            <v>-31</v>
          </cell>
          <cell r="G38">
            <v>0</v>
          </cell>
          <cell r="I38" t="str">
            <v>не в матрице</v>
          </cell>
          <cell r="J38" t="str">
            <v>1868-Колбаса Филейная ТМ Особый рецепт в оболочке полиамид 0,5 кг.  ПОКОМ</v>
          </cell>
          <cell r="L38">
            <v>0</v>
          </cell>
          <cell r="Q38">
            <v>0</v>
          </cell>
          <cell r="R38">
            <v>31</v>
          </cell>
        </row>
        <row r="39">
          <cell r="A39" t="str">
            <v>0262 Ветчина «Сочинка с сочным окороком» Весовой п/а ТМ «Стародворье»  ПОКОМ</v>
          </cell>
          <cell r="B39" t="str">
            <v>кг</v>
          </cell>
          <cell r="C39">
            <v>42.59</v>
          </cell>
          <cell r="D39">
            <v>64.578000000000003</v>
          </cell>
          <cell r="E39">
            <v>44.988</v>
          </cell>
          <cell r="F39">
            <v>51.844999999999999</v>
          </cell>
          <cell r="G39">
            <v>1</v>
          </cell>
          <cell r="H39">
            <v>50</v>
          </cell>
          <cell r="I39" t="str">
            <v>матрица</v>
          </cell>
          <cell r="L39">
            <v>44.988</v>
          </cell>
          <cell r="O39">
            <v>90</v>
          </cell>
          <cell r="Q39">
            <v>12</v>
          </cell>
          <cell r="R39">
            <v>74.155000000000001</v>
          </cell>
          <cell r="S39">
            <v>80</v>
          </cell>
        </row>
        <row r="40">
          <cell r="A40" t="str">
            <v>1728-Сосиски сливочные по-стародворски в оболочке</v>
          </cell>
          <cell r="B40" t="str">
            <v>кг</v>
          </cell>
          <cell r="C40">
            <v>26.460999999999999</v>
          </cell>
          <cell r="D40">
            <v>32.942999999999998</v>
          </cell>
          <cell r="E40">
            <v>39.258000000000003</v>
          </cell>
          <cell r="F40">
            <v>16</v>
          </cell>
          <cell r="G40">
            <v>1</v>
          </cell>
          <cell r="H40">
            <v>40</v>
          </cell>
          <cell r="I40" t="str">
            <v>матрица</v>
          </cell>
          <cell r="L40">
            <v>39.258000000000003</v>
          </cell>
          <cell r="O40">
            <v>0</v>
          </cell>
          <cell r="Q40">
            <v>7.8516000000000004</v>
          </cell>
          <cell r="R40">
            <v>125.3288</v>
          </cell>
          <cell r="S40">
            <v>30</v>
          </cell>
        </row>
        <row r="41">
          <cell r="A41" t="str">
            <v>2094 Вареные колбасы Докторская Дугушка Дугушка Весовые Вектор Стародворье, вес 1кг</v>
          </cell>
          <cell r="B41" t="str">
            <v>кг</v>
          </cell>
          <cell r="C41">
            <v>-4.2350000000000003</v>
          </cell>
          <cell r="E41">
            <v>1.69</v>
          </cell>
          <cell r="F41">
            <v>-4.2350000000000003</v>
          </cell>
          <cell r="G41">
            <v>0</v>
          </cell>
          <cell r="I41" t="str">
            <v>не в матрице</v>
          </cell>
          <cell r="L41">
            <v>1.69</v>
          </cell>
          <cell r="Q41">
            <v>0.33799999999999997</v>
          </cell>
          <cell r="R41">
            <v>10.318999999999999</v>
          </cell>
        </row>
        <row r="42">
          <cell r="A42" t="str">
            <v>Вареные колбасы «Филейская» Фикс.вес 0,45 Вектор ТМ «Вязанка»  ПОКОМ</v>
          </cell>
          <cell r="B42" t="str">
            <v>шт</v>
          </cell>
          <cell r="C42">
            <v>86</v>
          </cell>
          <cell r="D42">
            <v>239</v>
          </cell>
          <cell r="E42">
            <v>127</v>
          </cell>
          <cell r="F42">
            <v>150</v>
          </cell>
          <cell r="G42">
            <v>0.45</v>
          </cell>
          <cell r="H42">
            <v>50</v>
          </cell>
          <cell r="I42" t="str">
            <v>матрица</v>
          </cell>
          <cell r="L42">
            <v>127</v>
          </cell>
          <cell r="O42">
            <v>133.33333333333329</v>
          </cell>
          <cell r="Q42">
            <v>25.4</v>
          </cell>
          <cell r="R42">
            <v>173.86666666666667</v>
          </cell>
          <cell r="S42">
            <v>120</v>
          </cell>
        </row>
        <row r="43">
          <cell r="A43" t="str">
            <v>1314-Сосиски Молокуши миникушай Вязанка Ф/в 0,45 амилюкс мгс Вязанка</v>
          </cell>
          <cell r="B43" t="str">
            <v>шт</v>
          </cell>
          <cell r="C43">
            <v>-2</v>
          </cell>
          <cell r="F43">
            <v>-2</v>
          </cell>
          <cell r="G43">
            <v>0</v>
          </cell>
          <cell r="H43">
            <v>45</v>
          </cell>
          <cell r="I43" t="str">
            <v>вывод</v>
          </cell>
          <cell r="L43">
            <v>0</v>
          </cell>
          <cell r="Q43">
            <v>0</v>
          </cell>
          <cell r="R43">
            <v>2</v>
          </cell>
        </row>
        <row r="44">
          <cell r="A44" t="str">
            <v>2472 Сардельки Левантские Особая Без свинины Весовые NDX мгс Особый рецепт, вес 1кг</v>
          </cell>
          <cell r="B44" t="str">
            <v>кг</v>
          </cell>
          <cell r="C44">
            <v>56.968000000000004</v>
          </cell>
          <cell r="E44">
            <v>-44.465000000000003</v>
          </cell>
          <cell r="G44">
            <v>0</v>
          </cell>
          <cell r="H44">
            <v>40</v>
          </cell>
          <cell r="I44" t="str">
            <v>вывод</v>
          </cell>
          <cell r="L44">
            <v>-44.465000000000003</v>
          </cell>
          <cell r="Q44">
            <v>-8.8930000000000007</v>
          </cell>
          <cell r="R44">
            <v>-160.07400000000001</v>
          </cell>
        </row>
        <row r="45">
          <cell r="A45" t="str">
            <v>1952-Колбаса Со шпиком ТМ Особый рецепт в оболочке полиамид 0,5 кг.  ПОКОМ</v>
          </cell>
          <cell r="B45" t="str">
            <v>шт</v>
          </cell>
          <cell r="D45">
            <v>330</v>
          </cell>
          <cell r="E45">
            <v>67</v>
          </cell>
          <cell r="F45">
            <v>240</v>
          </cell>
          <cell r="G45">
            <v>0.5</v>
          </cell>
          <cell r="H45">
            <v>60</v>
          </cell>
          <cell r="I45" t="str">
            <v>матрица</v>
          </cell>
          <cell r="L45">
            <v>67</v>
          </cell>
          <cell r="O45">
            <v>100</v>
          </cell>
          <cell r="Q45">
            <v>20</v>
          </cell>
          <cell r="R45">
            <v>20</v>
          </cell>
          <cell r="S45">
            <v>40</v>
          </cell>
        </row>
        <row r="46">
          <cell r="A46" t="str">
            <v>Вареные колбасы «Филейская» Весовые Вектор ТМ «Вязанка»  ПОКОМ</v>
          </cell>
          <cell r="B46" t="str">
            <v>кг</v>
          </cell>
          <cell r="C46">
            <v>91.001999999999995</v>
          </cell>
          <cell r="D46">
            <v>62.762999999999998</v>
          </cell>
          <cell r="E46">
            <v>44.293999999999997</v>
          </cell>
          <cell r="F46">
            <v>80</v>
          </cell>
          <cell r="G46">
            <v>1</v>
          </cell>
          <cell r="H46">
            <v>50</v>
          </cell>
          <cell r="I46" t="str">
            <v>матрица</v>
          </cell>
          <cell r="L46">
            <v>44.293999999999997</v>
          </cell>
          <cell r="O46">
            <v>50</v>
          </cell>
          <cell r="Q46">
            <v>8.8587999999999987</v>
          </cell>
          <cell r="R46">
            <v>29.458399999999983</v>
          </cell>
        </row>
        <row r="47">
          <cell r="A47" t="str">
            <v>1868-Колбаса Филейная ТМ Особый рецепт в оболочке полиамид 0,5 кг.  ПОКОМ</v>
          </cell>
          <cell r="B47" t="str">
            <v>шт</v>
          </cell>
          <cell r="D47">
            <v>230</v>
          </cell>
          <cell r="E47">
            <v>44</v>
          </cell>
          <cell r="F47">
            <v>150</v>
          </cell>
          <cell r="G47">
            <v>0.5</v>
          </cell>
          <cell r="H47">
            <v>60</v>
          </cell>
          <cell r="I47" t="str">
            <v>матрица</v>
          </cell>
          <cell r="L47">
            <v>44</v>
          </cell>
          <cell r="O47">
            <v>40</v>
          </cell>
          <cell r="Q47">
            <v>8.8000000000000007</v>
          </cell>
          <cell r="R47">
            <v>-31.599999999999994</v>
          </cell>
        </row>
        <row r="48">
          <cell r="A48" t="str">
            <v>2027 Ветчина Нежная п/а ТМ Особый рецепт шт. 0,4кг</v>
          </cell>
          <cell r="B48" t="str">
            <v>шт</v>
          </cell>
          <cell r="D48">
            <v>89</v>
          </cell>
          <cell r="E48">
            <v>63</v>
          </cell>
          <cell r="F48">
            <v>19</v>
          </cell>
          <cell r="G48">
            <v>0.4</v>
          </cell>
          <cell r="H48">
            <v>50</v>
          </cell>
          <cell r="I48" t="str">
            <v>матрица</v>
          </cell>
          <cell r="L48">
            <v>63</v>
          </cell>
          <cell r="O48">
            <v>50</v>
          </cell>
          <cell r="Q48">
            <v>10</v>
          </cell>
          <cell r="R48">
            <v>111</v>
          </cell>
          <cell r="S48">
            <v>113</v>
          </cell>
        </row>
        <row r="49">
          <cell r="A49" t="str">
            <v>С/к колбасы Швейцарская Бордо Фикс.вес 0,17 Фиброуз терм/п Стародворье</v>
          </cell>
          <cell r="B49" t="str">
            <v>шт</v>
          </cell>
          <cell r="C49">
            <v>-2</v>
          </cell>
          <cell r="D49">
            <v>810</v>
          </cell>
          <cell r="E49">
            <v>120</v>
          </cell>
          <cell r="F49">
            <v>696</v>
          </cell>
          <cell r="G49">
            <v>0.17</v>
          </cell>
          <cell r="H49">
            <v>180</v>
          </cell>
          <cell r="I49" t="str">
            <v>матрица</v>
          </cell>
          <cell r="L49">
            <v>120</v>
          </cell>
          <cell r="O49">
            <v>0</v>
          </cell>
          <cell r="Q49">
            <v>24</v>
          </cell>
          <cell r="R49">
            <v>-264</v>
          </cell>
        </row>
        <row r="50">
          <cell r="A50" t="str">
            <v>С/к колбасы Баварская Бавария Фикс.вес 0,17 б/о терм/п Стародворье</v>
          </cell>
          <cell r="B50" t="str">
            <v>шт</v>
          </cell>
          <cell r="C50">
            <v>211</v>
          </cell>
          <cell r="E50">
            <v>49</v>
          </cell>
          <cell r="F50">
            <v>161</v>
          </cell>
          <cell r="G50">
            <v>0.17</v>
          </cell>
          <cell r="H50">
            <v>180</v>
          </cell>
          <cell r="I50" t="str">
            <v>матрица</v>
          </cell>
          <cell r="L50">
            <v>49</v>
          </cell>
          <cell r="O50">
            <v>0</v>
          </cell>
          <cell r="Q50">
            <v>9.8000000000000007</v>
          </cell>
          <cell r="R50">
            <v>15.400000000000006</v>
          </cell>
        </row>
        <row r="51">
          <cell r="A51" t="str">
            <v>0232 С/к колбасы Княжеская Бордо Весовые б/о терм/п Стародворье</v>
          </cell>
          <cell r="B51" t="str">
            <v>кг</v>
          </cell>
          <cell r="C51">
            <v>37.386000000000003</v>
          </cell>
          <cell r="E51">
            <v>7.556</v>
          </cell>
          <cell r="F51">
            <v>29.83</v>
          </cell>
          <cell r="G51">
            <v>1</v>
          </cell>
          <cell r="H51">
            <v>180</v>
          </cell>
          <cell r="I51" t="str">
            <v>матрица</v>
          </cell>
          <cell r="L51">
            <v>7.556</v>
          </cell>
          <cell r="O51">
            <v>0</v>
          </cell>
          <cell r="Q51">
            <v>1.5112000000000001</v>
          </cell>
          <cell r="R51">
            <v>-2.6283999999999956</v>
          </cell>
        </row>
        <row r="52">
          <cell r="A52" t="str">
            <v>0235 С/к колбасы Салями Охотничья Бордо Весовые б/о терм/п 180 Стародворье</v>
          </cell>
          <cell r="B52" t="str">
            <v>кг</v>
          </cell>
          <cell r="C52">
            <v>-0.62</v>
          </cell>
          <cell r="F52">
            <v>-0.62</v>
          </cell>
          <cell r="G52">
            <v>0</v>
          </cell>
          <cell r="H52">
            <v>180</v>
          </cell>
          <cell r="I52" t="str">
            <v>нет в бланке</v>
          </cell>
          <cell r="L52">
            <v>0</v>
          </cell>
          <cell r="Q52">
            <v>0</v>
          </cell>
        </row>
        <row r="53">
          <cell r="A53" t="str">
            <v>БОНУС_1202 В/к колбасы Сервелат Мясорубский с мелкорубленным окороком срез Бордо Фикс.вес 0,35 фибро</v>
          </cell>
          <cell r="B53" t="str">
            <v>шт</v>
          </cell>
          <cell r="E53">
            <v>3</v>
          </cell>
          <cell r="F53">
            <v>-3</v>
          </cell>
          <cell r="G53">
            <v>0</v>
          </cell>
          <cell r="I53" t="str">
            <v>бонус</v>
          </cell>
          <cell r="J53" t="str">
            <v>1202 В/к колбасы Сервелат Мясорубский с мелкорубленным окороком срез Бордо Фикс.вес 0,35 фиброуз Ста</v>
          </cell>
          <cell r="L53">
            <v>3</v>
          </cell>
          <cell r="Q53">
            <v>0.6</v>
          </cell>
        </row>
        <row r="54">
          <cell r="A54" t="str">
            <v>БОНУС_1204 Копченые колбасы Салями Мясорубская с рубленым шпиком Бордо Весовой фиброуз Стародворье  ПОКОМ</v>
          </cell>
          <cell r="B54" t="str">
            <v>кг</v>
          </cell>
          <cell r="C54">
            <v>4.3570000000000002</v>
          </cell>
          <cell r="E54">
            <v>16.814</v>
          </cell>
          <cell r="F54">
            <v>-12.457000000000001</v>
          </cell>
          <cell r="G54">
            <v>0</v>
          </cell>
          <cell r="I54" t="str">
            <v>бонус</v>
          </cell>
          <cell r="J54" t="str">
            <v>1204 Копченые колбасы Салями Мясорубская с рубленым шпиком Бордо Весовой фиброуз Стародворье  ПОКОМ</v>
          </cell>
          <cell r="L54">
            <v>16.814</v>
          </cell>
          <cell r="Q54">
            <v>3.3628</v>
          </cell>
        </row>
        <row r="55">
          <cell r="A55" t="str">
            <v>БОНУС_1205 Копченые колбасы Салями Мясорубская с рубленым шпиком срез Бордо ф/в 0,35 фиброуз Стародворье</v>
          </cell>
          <cell r="B55" t="str">
            <v>шт</v>
          </cell>
          <cell r="C55">
            <v>23</v>
          </cell>
          <cell r="E55">
            <v>56</v>
          </cell>
          <cell r="F55">
            <v>-43</v>
          </cell>
          <cell r="G55">
            <v>0</v>
          </cell>
          <cell r="I55" t="str">
            <v>бонус</v>
          </cell>
          <cell r="J55" t="str">
            <v>1205 Копченые колбасы Салями Мясорубская с рубленым шпиком срез Бордо ф/в 0,35 фиброуз Стародворье  ПОКОМ</v>
          </cell>
          <cell r="L55">
            <v>56</v>
          </cell>
          <cell r="Q55">
            <v>11.2</v>
          </cell>
        </row>
        <row r="56">
          <cell r="A56" t="str">
            <v>БОНУС_1370-Сосиски Сочинки Бордо Весовой п/а Стародворье</v>
          </cell>
          <cell r="B56" t="str">
            <v>кг</v>
          </cell>
          <cell r="C56">
            <v>5.851</v>
          </cell>
          <cell r="E56">
            <v>14.590999999999999</v>
          </cell>
          <cell r="F56">
            <v>-10.182</v>
          </cell>
          <cell r="G56">
            <v>0</v>
          </cell>
          <cell r="I56" t="str">
            <v>бонус</v>
          </cell>
          <cell r="J56" t="str">
            <v>1370-Сосиски Сочинки Бордо Весовой п/а Стародворье</v>
          </cell>
          <cell r="L56">
            <v>14.590999999999999</v>
          </cell>
          <cell r="Q56">
            <v>2.9181999999999997</v>
          </cell>
        </row>
        <row r="57">
          <cell r="A57" t="str">
            <v>БОНУС_1371-Сосиски Сочинки с сочной грудинкой Бордо Фикс.вес 0,4 П/а мгс Стародворье</v>
          </cell>
          <cell r="B57" t="str">
            <v>шт</v>
          </cell>
          <cell r="C57">
            <v>9</v>
          </cell>
          <cell r="E57">
            <v>25</v>
          </cell>
          <cell r="F57">
            <v>-18</v>
          </cell>
          <cell r="G57">
            <v>0</v>
          </cell>
          <cell r="I57" t="str">
            <v>бонус</v>
          </cell>
          <cell r="J57" t="str">
            <v>1371-Сосиски Сочинки с сочной грудинкой Бордо Фикс.вес 0,4 П/а мгс Стародворье</v>
          </cell>
          <cell r="L57">
            <v>25</v>
          </cell>
          <cell r="Q57">
            <v>5</v>
          </cell>
        </row>
        <row r="58">
          <cell r="A58" t="str">
            <v>БОНУС_1411 Сосиски «Сочинки Сливочные» Весовые ТМ «Стародворье» 1,35 кг  ПОКОМ</v>
          </cell>
          <cell r="B58" t="str">
            <v>шт</v>
          </cell>
          <cell r="C58">
            <v>8.3879999999999999</v>
          </cell>
          <cell r="E58">
            <v>13.994</v>
          </cell>
          <cell r="F58">
            <v>-6.9630000000000001</v>
          </cell>
          <cell r="G58">
            <v>0</v>
          </cell>
          <cell r="I58" t="str">
            <v>бонус</v>
          </cell>
          <cell r="J58" t="str">
            <v>1411 Сосиски «Сочинки Сливочные» Весовые ТМ «Стародворье» 1,35 кг  ПОКОМ</v>
          </cell>
          <cell r="L58">
            <v>13.994</v>
          </cell>
          <cell r="Q58">
            <v>2.7988</v>
          </cell>
        </row>
        <row r="59">
          <cell r="A59" t="str">
            <v>БОНУС_1867-Колбаса Филейная ТМ Особый рецепт в оболочке полиамид большой батон.  ПОКОМ</v>
          </cell>
          <cell r="B59" t="str">
            <v>кг</v>
          </cell>
          <cell r="C59">
            <v>30.788</v>
          </cell>
          <cell r="E59">
            <v>75.783000000000001</v>
          </cell>
          <cell r="F59">
            <v>-44.994999999999997</v>
          </cell>
          <cell r="G59">
            <v>0</v>
          </cell>
          <cell r="I59" t="str">
            <v>бонус</v>
          </cell>
          <cell r="J59" t="str">
            <v>1867-Колбаса Филейная ТМ Особый рецепт в оболочке полиамид большой батон.  ПОКОМ</v>
          </cell>
          <cell r="L59">
            <v>75.783000000000001</v>
          </cell>
          <cell r="Q59">
            <v>15.156600000000001</v>
          </cell>
        </row>
        <row r="60">
          <cell r="A60" t="str">
            <v>БОНУС_1869-Колбаса Молочная ТМ Особый рецепт в оболочке полиамид большой батон.  ПОКОМ</v>
          </cell>
          <cell r="B60" t="str">
            <v>кг</v>
          </cell>
          <cell r="C60">
            <v>14.89</v>
          </cell>
          <cell r="E60">
            <v>54.045000000000002</v>
          </cell>
          <cell r="F60">
            <v>-41.674999999999997</v>
          </cell>
          <cell r="G60">
            <v>0</v>
          </cell>
          <cell r="I60" t="str">
            <v>бонус</v>
          </cell>
          <cell r="J60" t="str">
            <v>1869-Колбаса Молочная ТМ Особый рецепт в оболочке полиамид большой батон.  ПОКОМ</v>
          </cell>
          <cell r="L60">
            <v>54.045000000000002</v>
          </cell>
          <cell r="Q60">
            <v>10.809000000000001</v>
          </cell>
        </row>
        <row r="61">
          <cell r="A61" t="str">
            <v>БОНУС_1870-Колбаса Со шпиком ТМ Особый рецепт в оболочке полиамид большой батон.  ПОКОМ</v>
          </cell>
          <cell r="B61" t="str">
            <v>кг</v>
          </cell>
          <cell r="C61">
            <v>2.492</v>
          </cell>
          <cell r="E61">
            <v>19.887</v>
          </cell>
          <cell r="F61">
            <v>-17.395</v>
          </cell>
          <cell r="G61">
            <v>0</v>
          </cell>
          <cell r="I61" t="str">
            <v>бонус</v>
          </cell>
          <cell r="J61" t="str">
            <v>1870-Колбаса Со шпиком ТМ Особый рецепт в оболочке полиамид большой батон.  ПОКОМ</v>
          </cell>
          <cell r="L61">
            <v>19.887</v>
          </cell>
          <cell r="Q61">
            <v>3.9774000000000003</v>
          </cell>
        </row>
        <row r="62">
          <cell r="A62" t="str">
            <v>БОНУС_1871-Колбаса Филейная оригинальная ТМ Особый рецепт в оболочке полиамид 0,4 кг.  ПОКОМ</v>
          </cell>
          <cell r="B62" t="str">
            <v>шт</v>
          </cell>
          <cell r="C62">
            <v>12</v>
          </cell>
          <cell r="E62">
            <v>23</v>
          </cell>
          <cell r="F62">
            <v>-16</v>
          </cell>
          <cell r="G62">
            <v>0</v>
          </cell>
          <cell r="I62" t="str">
            <v>бонус</v>
          </cell>
          <cell r="J62" t="str">
            <v>1871-Колбаса Филейная оригинальная ТМ Особый рецепт в оболочке полиамид 0,4 кг.  ПОКОМ</v>
          </cell>
          <cell r="L62">
            <v>23</v>
          </cell>
          <cell r="Q62">
            <v>4.5999999999999996</v>
          </cell>
        </row>
        <row r="63">
          <cell r="A63" t="str">
            <v>БОНУС_1875-Колбаса Филейная оригинальная ТМ Особый рецепт в оболочке полиамид.  ПОКОМ</v>
          </cell>
          <cell r="B63" t="str">
            <v>кг</v>
          </cell>
          <cell r="C63">
            <v>65.906000000000006</v>
          </cell>
          <cell r="E63">
            <v>98.096000000000004</v>
          </cell>
          <cell r="F63">
            <v>-32.19</v>
          </cell>
          <cell r="G63">
            <v>0</v>
          </cell>
          <cell r="I63" t="str">
            <v>бонус</v>
          </cell>
          <cell r="J63" t="str">
            <v>1875-Колбаса Филейная оригинальная ТМ Особый рецепт в оболочке полиамид.  ПОКОМ</v>
          </cell>
          <cell r="L63">
            <v>98.096000000000004</v>
          </cell>
          <cell r="Q63">
            <v>19.619199999999999</v>
          </cell>
        </row>
        <row r="64">
          <cell r="A64" t="str">
            <v>БОНУС_2074-Сосиски Молочные для завтрака Особый рецепт</v>
          </cell>
          <cell r="B64" t="str">
            <v>кг</v>
          </cell>
          <cell r="C64">
            <v>105.408</v>
          </cell>
          <cell r="E64">
            <v>156.24799999999999</v>
          </cell>
          <cell r="F64">
            <v>-58.284999999999997</v>
          </cell>
          <cell r="G64">
            <v>0</v>
          </cell>
          <cell r="I64" t="str">
            <v>бонус</v>
          </cell>
          <cell r="J64" t="str">
            <v>2074-Сосиски Молочные для завтрака Особый рецепт</v>
          </cell>
          <cell r="L64">
            <v>156.24799999999999</v>
          </cell>
          <cell r="Q64">
            <v>31.249599999999997</v>
          </cell>
        </row>
        <row r="65">
          <cell r="A65" t="str">
            <v>БОНУС_2094 Вареные колбасы Докторская Дугушка Дугушка Весовые Вектор Стародворье, вес 1кг</v>
          </cell>
          <cell r="B65" t="str">
            <v>кг</v>
          </cell>
          <cell r="C65">
            <v>1.69</v>
          </cell>
          <cell r="E65">
            <v>1.69</v>
          </cell>
          <cell r="G65">
            <v>0</v>
          </cell>
          <cell r="I65" t="str">
            <v>бонус</v>
          </cell>
          <cell r="J65" t="str">
            <v>2094 Вареные колбасы Докторская Дугушка Дугушка Весовые Вектор Стародворье, вес 1кг</v>
          </cell>
          <cell r="L65">
            <v>1.69</v>
          </cell>
          <cell r="Q65">
            <v>0.33799999999999997</v>
          </cell>
        </row>
        <row r="66">
          <cell r="A66" t="str">
            <v>БОНУС_2205-Сосиски Молочные для завтрака ТМ Особый рецепт 0,4кг</v>
          </cell>
          <cell r="B66" t="str">
            <v>шт</v>
          </cell>
          <cell r="C66">
            <v>25</v>
          </cell>
          <cell r="E66">
            <v>60</v>
          </cell>
          <cell r="F66">
            <v>-52</v>
          </cell>
          <cell r="G66">
            <v>0</v>
          </cell>
          <cell r="I66" t="str">
            <v>бонус</v>
          </cell>
          <cell r="J66" t="str">
            <v>2205-Сосиски Молочные для завтрака ТМ Особый рецепт 0,4кг</v>
          </cell>
          <cell r="L66">
            <v>60</v>
          </cell>
          <cell r="Q66">
            <v>12</v>
          </cell>
        </row>
        <row r="67">
          <cell r="A67" t="str">
            <v>БОНУС_2634 Колбаса Дугушка Стародворская ТМ Стародворье ТС Дугушка  ПОКОМ</v>
          </cell>
          <cell r="B67" t="str">
            <v>кг</v>
          </cell>
          <cell r="C67">
            <v>46.628999999999998</v>
          </cell>
          <cell r="E67">
            <v>75.581999999999994</v>
          </cell>
          <cell r="F67">
            <v>-38.264000000000003</v>
          </cell>
          <cell r="G67">
            <v>0</v>
          </cell>
          <cell r="I67" t="str">
            <v>бонус</v>
          </cell>
          <cell r="J67" t="str">
            <v>2634 Колбаса Дугушка Стародворская ТМ Стародворье ТС Дугушка  ПОКОМ</v>
          </cell>
          <cell r="L67">
            <v>75.581999999999994</v>
          </cell>
          <cell r="Q67">
            <v>15.116399999999999</v>
          </cell>
        </row>
        <row r="68">
          <cell r="A68" t="str">
            <v>БОНУС_Колбаса «Филедворская по-стародворски» Весовой п/а ТМ «Стародворье»  ПОКОМ</v>
          </cell>
          <cell r="B68" t="str">
            <v>кг</v>
          </cell>
          <cell r="C68">
            <v>-27.965</v>
          </cell>
          <cell r="F68">
            <v>-27.965</v>
          </cell>
          <cell r="G68">
            <v>0</v>
          </cell>
          <cell r="I68" t="str">
            <v>???</v>
          </cell>
          <cell r="L68">
            <v>0</v>
          </cell>
          <cell r="Q68">
            <v>0</v>
          </cell>
        </row>
        <row r="69">
          <cell r="A69" t="str">
            <v>БОНУС_С/к колбасы Швейцарская Бордо Фикс.вес 0,17 Фиброуз терм/п Стародворье</v>
          </cell>
          <cell r="B69" t="str">
            <v>шт</v>
          </cell>
          <cell r="C69">
            <v>2</v>
          </cell>
          <cell r="E69">
            <v>6</v>
          </cell>
          <cell r="F69">
            <v>-4</v>
          </cell>
          <cell r="G69">
            <v>0</v>
          </cell>
          <cell r="I69" t="str">
            <v>бонус</v>
          </cell>
          <cell r="J69" t="str">
            <v>С/к колбасы Швейцарская Бордо Фикс.вес 0,17 Фиброуз терм/п Стародворье</v>
          </cell>
          <cell r="L69">
            <v>6</v>
          </cell>
          <cell r="Q69">
            <v>1.2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2" sqref="AE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7" width="7" customWidth="1"/>
    <col min="18" max="18" width="7" style="23" customWidth="1"/>
    <col min="19" max="19" width="7" customWidth="1"/>
    <col min="20" max="20" width="12.7109375" customWidth="1"/>
    <col min="21" max="22" width="5" customWidth="1"/>
    <col min="23" max="30" width="6" customWidth="1"/>
    <col min="31" max="31" width="35.42578125" customWidth="1"/>
    <col min="32" max="32" width="7" customWidth="1"/>
    <col min="33" max="34" width="5.7109375" bestFit="1" customWidth="1"/>
    <col min="35" max="49" width="3" customWidth="1"/>
  </cols>
  <sheetData>
    <row r="1" spans="1:49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120</v>
      </c>
      <c r="S3" s="7" t="s">
        <v>17</v>
      </c>
      <c r="T3" s="7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5" t="s">
        <v>23</v>
      </c>
      <c r="AH3" s="5" t="s">
        <v>23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 t="s">
        <v>121</v>
      </c>
      <c r="S4" s="5"/>
      <c r="T4" s="5"/>
      <c r="U4" s="5"/>
      <c r="V4" s="5"/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/>
      <c r="AF4" s="5" t="s">
        <v>121</v>
      </c>
      <c r="AG4" s="5"/>
      <c r="AH4" s="22" t="s">
        <v>119</v>
      </c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SUM(E6:E482)</f>
        <v>8840.8359999999993</v>
      </c>
      <c r="F5" s="3">
        <f>SUM(F6:F482)</f>
        <v>17309.612000000001</v>
      </c>
      <c r="G5" s="8"/>
      <c r="H5" s="5"/>
      <c r="I5" s="5"/>
      <c r="J5" s="5"/>
      <c r="K5" s="3">
        <f t="shared" ref="K5:S5" si="0">SUM(K6:K482)</f>
        <v>0</v>
      </c>
      <c r="L5" s="3">
        <f t="shared" si="0"/>
        <v>8840.8359999999993</v>
      </c>
      <c r="M5" s="3">
        <f t="shared" si="0"/>
        <v>0</v>
      </c>
      <c r="N5" s="3">
        <f t="shared" si="0"/>
        <v>0</v>
      </c>
      <c r="O5" s="3">
        <f t="shared" si="0"/>
        <v>10493.174603174604</v>
      </c>
      <c r="P5" s="3">
        <f t="shared" si="0"/>
        <v>1768.1672000000005</v>
      </c>
      <c r="Q5" s="3">
        <f t="shared" si="0"/>
        <v>3865.5043873015879</v>
      </c>
      <c r="R5" s="3">
        <f t="shared" si="0"/>
        <v>6536.4285714285716</v>
      </c>
      <c r="S5" s="3">
        <f t="shared" si="0"/>
        <v>0</v>
      </c>
      <c r="T5" s="5"/>
      <c r="U5" s="5"/>
      <c r="V5" s="5"/>
      <c r="W5" s="3">
        <f t="shared" ref="W5:AD5" si="1">SUM(W6:W482)</f>
        <v>1975.0254</v>
      </c>
      <c r="X5" s="3">
        <f t="shared" si="1"/>
        <v>1954.3322000000005</v>
      </c>
      <c r="Y5" s="3">
        <f t="shared" si="1"/>
        <v>1677.3712000000005</v>
      </c>
      <c r="Z5" s="3">
        <f t="shared" si="1"/>
        <v>1905.5168000000003</v>
      </c>
      <c r="AA5" s="3">
        <f t="shared" si="1"/>
        <v>2365.1888000000008</v>
      </c>
      <c r="AB5" s="3">
        <f t="shared" si="1"/>
        <v>1483.76</v>
      </c>
      <c r="AC5" s="3">
        <f t="shared" si="1"/>
        <v>1683.1852000000001</v>
      </c>
      <c r="AD5" s="3">
        <f t="shared" si="1"/>
        <v>1893.5028000000007</v>
      </c>
      <c r="AE5" s="5"/>
      <c r="AF5" s="3">
        <f>SUM(AF6:AF482)</f>
        <v>4772</v>
      </c>
      <c r="AG5" s="3">
        <f>SUM(AG6:AG482)</f>
        <v>4610</v>
      </c>
      <c r="AH5" s="3">
        <f>SUM(AH6:AH482)</f>
        <v>4772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34</v>
      </c>
      <c r="B6" s="5" t="s">
        <v>35</v>
      </c>
      <c r="C6" s="5">
        <v>286.72199999999998</v>
      </c>
      <c r="D6" s="5">
        <v>507.63299999999998</v>
      </c>
      <c r="E6" s="5">
        <v>216.27799999999999</v>
      </c>
      <c r="F6" s="5">
        <v>568.69200000000001</v>
      </c>
      <c r="G6" s="8">
        <v>1</v>
      </c>
      <c r="H6" s="5">
        <v>50</v>
      </c>
      <c r="I6" s="5" t="s">
        <v>36</v>
      </c>
      <c r="J6" s="5"/>
      <c r="K6" s="5"/>
      <c r="L6" s="5">
        <f t="shared" ref="L6:L37" si="2">E6-K6</f>
        <v>216.27799999999999</v>
      </c>
      <c r="M6" s="5"/>
      <c r="N6" s="5"/>
      <c r="O6" s="5">
        <v>270</v>
      </c>
      <c r="P6" s="5">
        <f t="shared" ref="P6:P37" si="3">E6/5</f>
        <v>43.255600000000001</v>
      </c>
      <c r="Q6" s="4"/>
      <c r="R6" s="4">
        <f>AH6/G6</f>
        <v>230</v>
      </c>
      <c r="S6" s="4"/>
      <c r="T6" s="5">
        <f>VLOOKUP(A:A,[1]Sheet!$A:$T,20,0)</f>
        <v>0</v>
      </c>
      <c r="U6" s="5">
        <f>(F6+O6+R6)/P6</f>
        <v>24.706442634017328</v>
      </c>
      <c r="V6" s="5">
        <f>(F6+O6)/P6</f>
        <v>19.389212032661668</v>
      </c>
      <c r="W6" s="5">
        <v>50.669199999999996</v>
      </c>
      <c r="X6" s="5">
        <v>57.2684</v>
      </c>
      <c r="Y6" s="5">
        <v>39.6828</v>
      </c>
      <c r="Z6" s="5">
        <v>43.6858</v>
      </c>
      <c r="AA6" s="5">
        <v>61.004600000000003</v>
      </c>
      <c r="AB6" s="5">
        <v>45.517600000000002</v>
      </c>
      <c r="AC6" s="5">
        <v>49.614999999999988</v>
      </c>
      <c r="AD6" s="5">
        <v>39.811199999999999</v>
      </c>
      <c r="AE6" s="17" t="s">
        <v>113</v>
      </c>
      <c r="AF6" s="5">
        <f>ROUND(G6*R6,0)</f>
        <v>230</v>
      </c>
      <c r="AG6" s="5">
        <v>230</v>
      </c>
      <c r="AH6" s="5">
        <v>230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37</v>
      </c>
      <c r="B7" s="5" t="s">
        <v>35</v>
      </c>
      <c r="C7" s="5">
        <v>241.98500000000001</v>
      </c>
      <c r="D7" s="5">
        <v>652.79600000000005</v>
      </c>
      <c r="E7" s="5">
        <v>180.71</v>
      </c>
      <c r="F7" s="5">
        <v>691.89300000000003</v>
      </c>
      <c r="G7" s="8">
        <v>1</v>
      </c>
      <c r="H7" s="5">
        <v>55</v>
      </c>
      <c r="I7" s="5" t="s">
        <v>36</v>
      </c>
      <c r="J7" s="5"/>
      <c r="K7" s="5"/>
      <c r="L7" s="5">
        <f t="shared" si="2"/>
        <v>180.71</v>
      </c>
      <c r="M7" s="5"/>
      <c r="N7" s="5"/>
      <c r="O7" s="5">
        <v>270</v>
      </c>
      <c r="P7" s="5">
        <f t="shared" si="3"/>
        <v>36.142000000000003</v>
      </c>
      <c r="Q7" s="4"/>
      <c r="R7" s="4">
        <f t="shared" ref="R7:R8" si="4">AH7/G7</f>
        <v>0</v>
      </c>
      <c r="S7" s="4"/>
      <c r="T7" s="5">
        <f>VLOOKUP(A:A,[1]Sheet!$A:$T,20,0)</f>
        <v>0</v>
      </c>
      <c r="U7" s="5">
        <f t="shared" ref="U7:U69" si="5">(F7+O7+R7)/P7</f>
        <v>26.614271484699241</v>
      </c>
      <c r="V7" s="5">
        <f t="shared" ref="V7:V69" si="6">(F7+O7)/P7</f>
        <v>26.614271484699241</v>
      </c>
      <c r="W7" s="5">
        <v>51.187800000000003</v>
      </c>
      <c r="X7" s="5">
        <v>53.262999999999998</v>
      </c>
      <c r="Y7" s="5">
        <v>41.200200000000002</v>
      </c>
      <c r="Z7" s="5">
        <v>48.932200000000002</v>
      </c>
      <c r="AA7" s="5">
        <v>67.626599999999996</v>
      </c>
      <c r="AB7" s="5">
        <v>37.741</v>
      </c>
      <c r="AC7" s="5">
        <v>43.161000000000001</v>
      </c>
      <c r="AD7" s="5">
        <v>44.670400000000001</v>
      </c>
      <c r="AE7" s="18" t="s">
        <v>73</v>
      </c>
      <c r="AF7" s="5">
        <f t="shared" ref="AF7:AF52" si="7">ROUND(G7*R7,0)</f>
        <v>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38</v>
      </c>
      <c r="B8" s="5" t="s">
        <v>35</v>
      </c>
      <c r="C8" s="5">
        <v>37.386000000000003</v>
      </c>
      <c r="D8" s="5"/>
      <c r="E8" s="5">
        <v>7.556</v>
      </c>
      <c r="F8" s="5">
        <v>29.83</v>
      </c>
      <c r="G8" s="8">
        <v>1</v>
      </c>
      <c r="H8" s="5">
        <v>180</v>
      </c>
      <c r="I8" s="5" t="s">
        <v>36</v>
      </c>
      <c r="J8" s="5"/>
      <c r="K8" s="5"/>
      <c r="L8" s="5">
        <f t="shared" si="2"/>
        <v>7.556</v>
      </c>
      <c r="M8" s="5"/>
      <c r="N8" s="5"/>
      <c r="O8" s="5">
        <v>0</v>
      </c>
      <c r="P8" s="5">
        <f t="shared" si="3"/>
        <v>1.5112000000000001</v>
      </c>
      <c r="Q8" s="4"/>
      <c r="R8" s="4">
        <f t="shared" si="4"/>
        <v>0</v>
      </c>
      <c r="S8" s="4"/>
      <c r="T8" s="5">
        <f>VLOOKUP(A:A,[1]Sheet!$A:$T,20,0)</f>
        <v>0</v>
      </c>
      <c r="U8" s="5">
        <f t="shared" si="5"/>
        <v>19.739280042350448</v>
      </c>
      <c r="V8" s="5">
        <f t="shared" si="6"/>
        <v>19.739280042350448</v>
      </c>
      <c r="W8" s="5">
        <v>0.48299999999999998</v>
      </c>
      <c r="X8" s="5">
        <v>-5.1200000000000002E-2</v>
      </c>
      <c r="Y8" s="5">
        <v>0.48180000000000001</v>
      </c>
      <c r="Z8" s="5">
        <v>0.72399999999999998</v>
      </c>
      <c r="AA8" s="5">
        <v>0.63200000000000001</v>
      </c>
      <c r="AB8" s="5">
        <v>0</v>
      </c>
      <c r="AC8" s="5">
        <v>0</v>
      </c>
      <c r="AD8" s="5">
        <v>0.75780000000000003</v>
      </c>
      <c r="AE8" s="19" t="s">
        <v>115</v>
      </c>
      <c r="AF8" s="5">
        <f t="shared" si="7"/>
        <v>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10" t="s">
        <v>39</v>
      </c>
      <c r="B9" s="10" t="s">
        <v>35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40</v>
      </c>
      <c r="J9" s="10"/>
      <c r="K9" s="10"/>
      <c r="L9" s="10">
        <f t="shared" si="2"/>
        <v>0</v>
      </c>
      <c r="M9" s="10"/>
      <c r="N9" s="10"/>
      <c r="O9" s="10"/>
      <c r="P9" s="10">
        <f t="shared" si="3"/>
        <v>0</v>
      </c>
      <c r="Q9" s="12"/>
      <c r="R9" s="12"/>
      <c r="S9" s="12"/>
      <c r="T9" s="5">
        <f>VLOOKUP(A:A,[1]Sheet!$A:$T,20,0)</f>
        <v>0</v>
      </c>
      <c r="U9" s="5" t="e">
        <f t="shared" si="5"/>
        <v>#DIV/0!</v>
      </c>
      <c r="V9" s="10" t="e">
        <f t="shared" si="6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 t="s">
        <v>40</v>
      </c>
      <c r="AF9" s="5">
        <f t="shared" si="7"/>
        <v>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41</v>
      </c>
      <c r="B10" s="5" t="s">
        <v>35</v>
      </c>
      <c r="C10" s="5">
        <v>42.59</v>
      </c>
      <c r="D10" s="5">
        <v>64.578000000000003</v>
      </c>
      <c r="E10" s="5">
        <v>44.988</v>
      </c>
      <c r="F10" s="5">
        <v>51.844999999999999</v>
      </c>
      <c r="G10" s="8">
        <v>1</v>
      </c>
      <c r="H10" s="5">
        <v>50</v>
      </c>
      <c r="I10" s="5" t="s">
        <v>36</v>
      </c>
      <c r="J10" s="5"/>
      <c r="K10" s="5"/>
      <c r="L10" s="5">
        <f t="shared" si="2"/>
        <v>44.988</v>
      </c>
      <c r="M10" s="5"/>
      <c r="N10" s="5"/>
      <c r="O10" s="5">
        <v>90</v>
      </c>
      <c r="P10" s="5">
        <f t="shared" si="3"/>
        <v>8.9976000000000003</v>
      </c>
      <c r="Q10" s="4">
        <f t="shared" ref="Q10:Q18" si="8">18*P10-O10-F10</f>
        <v>20.111800000000017</v>
      </c>
      <c r="R10" s="4">
        <f t="shared" ref="R10:R19" si="9">AH10/G10</f>
        <v>80</v>
      </c>
      <c r="S10" s="4"/>
      <c r="T10" s="5">
        <f>VLOOKUP(A:A,[1]Sheet!$A:$T,20,0)</f>
        <v>0</v>
      </c>
      <c r="U10" s="5">
        <f t="shared" si="5"/>
        <v>24.656019382946564</v>
      </c>
      <c r="V10" s="5">
        <f t="shared" si="6"/>
        <v>15.764759491419934</v>
      </c>
      <c r="W10" s="5">
        <v>17.722999999999999</v>
      </c>
      <c r="X10" s="5">
        <v>5.0465999999999998</v>
      </c>
      <c r="Y10" s="5">
        <v>13.7874</v>
      </c>
      <c r="Z10" s="5">
        <v>10.507</v>
      </c>
      <c r="AA10" s="5">
        <v>3.9436</v>
      </c>
      <c r="AB10" s="5">
        <v>8.9291999999999998</v>
      </c>
      <c r="AC10" s="5">
        <v>8.6709999999999994</v>
      </c>
      <c r="AD10" s="5">
        <v>11.391</v>
      </c>
      <c r="AE10" s="5"/>
      <c r="AF10" s="5">
        <f t="shared" si="7"/>
        <v>80</v>
      </c>
      <c r="AG10" s="5">
        <v>80</v>
      </c>
      <c r="AH10" s="5">
        <v>80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42</v>
      </c>
      <c r="B11" s="5" t="s">
        <v>35</v>
      </c>
      <c r="C11" s="5">
        <v>76.721000000000004</v>
      </c>
      <c r="D11" s="5">
        <v>357.68599999999998</v>
      </c>
      <c r="E11" s="5">
        <v>100.61799999999999</v>
      </c>
      <c r="F11" s="5">
        <v>313.82900000000001</v>
      </c>
      <c r="G11" s="8">
        <v>1</v>
      </c>
      <c r="H11" s="5">
        <v>60</v>
      </c>
      <c r="I11" s="5" t="s">
        <v>36</v>
      </c>
      <c r="J11" s="5"/>
      <c r="K11" s="5"/>
      <c r="L11" s="5">
        <f t="shared" si="2"/>
        <v>100.61799999999999</v>
      </c>
      <c r="M11" s="5"/>
      <c r="N11" s="5"/>
      <c r="O11" s="5">
        <v>150</v>
      </c>
      <c r="P11" s="5">
        <f t="shared" si="3"/>
        <v>20.1236</v>
      </c>
      <c r="Q11" s="4"/>
      <c r="R11" s="4">
        <f t="shared" si="9"/>
        <v>0</v>
      </c>
      <c r="S11" s="4"/>
      <c r="T11" s="5">
        <f>VLOOKUP(A:A,[1]Sheet!$A:$T,20,0)</f>
        <v>0</v>
      </c>
      <c r="U11" s="5">
        <f t="shared" si="5"/>
        <v>23.049007135900137</v>
      </c>
      <c r="V11" s="5">
        <f t="shared" si="6"/>
        <v>23.049007135900137</v>
      </c>
      <c r="W11" s="5">
        <v>28.831199999999999</v>
      </c>
      <c r="X11" s="5">
        <v>24.735399999999998</v>
      </c>
      <c r="Y11" s="5">
        <v>15.5068</v>
      </c>
      <c r="Z11" s="5">
        <v>25.658200000000001</v>
      </c>
      <c r="AA11" s="5">
        <v>36.5762</v>
      </c>
      <c r="AB11" s="5">
        <v>18.8</v>
      </c>
      <c r="AC11" s="5">
        <v>23.578600000000002</v>
      </c>
      <c r="AD11" s="5">
        <v>21.7056</v>
      </c>
      <c r="AE11" s="5"/>
      <c r="AF11" s="5">
        <f t="shared" si="7"/>
        <v>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43</v>
      </c>
      <c r="B12" s="5" t="s">
        <v>35</v>
      </c>
      <c r="C12" s="5">
        <v>191.94200000000001</v>
      </c>
      <c r="D12" s="5">
        <v>204.65</v>
      </c>
      <c r="E12" s="5">
        <v>114.376</v>
      </c>
      <c r="F12" s="5">
        <v>262.947</v>
      </c>
      <c r="G12" s="8">
        <v>1</v>
      </c>
      <c r="H12" s="5">
        <v>60</v>
      </c>
      <c r="I12" s="5" t="s">
        <v>36</v>
      </c>
      <c r="J12" s="5"/>
      <c r="K12" s="5"/>
      <c r="L12" s="5">
        <f t="shared" si="2"/>
        <v>114.376</v>
      </c>
      <c r="M12" s="5"/>
      <c r="N12" s="5"/>
      <c r="O12" s="5">
        <v>190</v>
      </c>
      <c r="P12" s="5">
        <f t="shared" si="3"/>
        <v>22.8752</v>
      </c>
      <c r="Q12" s="4"/>
      <c r="R12" s="4">
        <f t="shared" si="9"/>
        <v>0</v>
      </c>
      <c r="S12" s="4"/>
      <c r="T12" s="5">
        <f>VLOOKUP(A:A,[1]Sheet!$A:$T,20,0)</f>
        <v>0</v>
      </c>
      <c r="U12" s="5">
        <f t="shared" si="5"/>
        <v>19.800788626984684</v>
      </c>
      <c r="V12" s="5">
        <f t="shared" si="6"/>
        <v>19.800788626984684</v>
      </c>
      <c r="W12" s="5">
        <v>34.6098</v>
      </c>
      <c r="X12" s="5">
        <v>23.917400000000001</v>
      </c>
      <c r="Y12" s="5">
        <v>14.502800000000001</v>
      </c>
      <c r="Z12" s="5">
        <v>26.8992</v>
      </c>
      <c r="AA12" s="5">
        <v>39.279200000000003</v>
      </c>
      <c r="AB12" s="5">
        <v>18.087</v>
      </c>
      <c r="AC12" s="5">
        <v>30.946999999999999</v>
      </c>
      <c r="AD12" s="5">
        <v>22.4068</v>
      </c>
      <c r="AE12" s="17" t="s">
        <v>114</v>
      </c>
      <c r="AF12" s="5">
        <f t="shared" si="7"/>
        <v>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44</v>
      </c>
      <c r="B13" s="5" t="s">
        <v>35</v>
      </c>
      <c r="C13" s="5">
        <v>8.1259999999999994</v>
      </c>
      <c r="D13" s="5">
        <v>221.72499999999999</v>
      </c>
      <c r="E13" s="5">
        <v>68.165000000000006</v>
      </c>
      <c r="F13" s="5">
        <v>144.63</v>
      </c>
      <c r="G13" s="8">
        <v>1</v>
      </c>
      <c r="H13" s="5">
        <v>40</v>
      </c>
      <c r="I13" s="5" t="s">
        <v>36</v>
      </c>
      <c r="J13" s="5"/>
      <c r="K13" s="5"/>
      <c r="L13" s="5">
        <f t="shared" si="2"/>
        <v>68.165000000000006</v>
      </c>
      <c r="M13" s="5"/>
      <c r="N13" s="5"/>
      <c r="O13" s="5">
        <v>100</v>
      </c>
      <c r="P13" s="5">
        <f t="shared" si="3"/>
        <v>13.633000000000001</v>
      </c>
      <c r="Q13" s="4"/>
      <c r="R13" s="4">
        <f t="shared" si="9"/>
        <v>80</v>
      </c>
      <c r="S13" s="4"/>
      <c r="T13" s="5">
        <f>VLOOKUP(A:A,[1]Sheet!$A:$T,20,0)</f>
        <v>0</v>
      </c>
      <c r="U13" s="5">
        <f t="shared" si="5"/>
        <v>23.812073644832392</v>
      </c>
      <c r="V13" s="5">
        <f t="shared" si="6"/>
        <v>17.943959510012469</v>
      </c>
      <c r="W13" s="5">
        <v>22.357399999999998</v>
      </c>
      <c r="X13" s="5">
        <v>11.1294</v>
      </c>
      <c r="Y13" s="5">
        <v>12.228400000000001</v>
      </c>
      <c r="Z13" s="5">
        <v>24.070599999999999</v>
      </c>
      <c r="AA13" s="5">
        <v>19.779</v>
      </c>
      <c r="AB13" s="5">
        <v>10.7804</v>
      </c>
      <c r="AC13" s="5">
        <v>16.055399999999999</v>
      </c>
      <c r="AD13" s="5">
        <v>16.852799999999998</v>
      </c>
      <c r="AE13" s="5"/>
      <c r="AF13" s="5">
        <f t="shared" si="7"/>
        <v>80</v>
      </c>
      <c r="AG13" s="5">
        <v>80</v>
      </c>
      <c r="AH13" s="5">
        <v>80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45</v>
      </c>
      <c r="B14" s="5" t="s">
        <v>46</v>
      </c>
      <c r="C14" s="5">
        <v>252</v>
      </c>
      <c r="D14" s="5">
        <v>792</v>
      </c>
      <c r="E14" s="16">
        <f>326+E53</f>
        <v>329</v>
      </c>
      <c r="F14" s="16">
        <f>663+F53</f>
        <v>660</v>
      </c>
      <c r="G14" s="8">
        <v>0.35</v>
      </c>
      <c r="H14" s="5">
        <v>40</v>
      </c>
      <c r="I14" s="5" t="s">
        <v>36</v>
      </c>
      <c r="J14" s="5"/>
      <c r="K14" s="5"/>
      <c r="L14" s="5">
        <f t="shared" si="2"/>
        <v>329</v>
      </c>
      <c r="M14" s="5"/>
      <c r="N14" s="5"/>
      <c r="O14" s="5">
        <v>400</v>
      </c>
      <c r="P14" s="5">
        <f t="shared" si="3"/>
        <v>65.8</v>
      </c>
      <c r="Q14" s="4">
        <f t="shared" si="8"/>
        <v>124.39999999999986</v>
      </c>
      <c r="R14" s="4">
        <f t="shared" si="9"/>
        <v>320</v>
      </c>
      <c r="S14" s="4"/>
      <c r="T14" s="5">
        <f>VLOOKUP(A:A,[1]Sheet!$A:$T,20,0)</f>
        <v>0</v>
      </c>
      <c r="U14" s="5">
        <f t="shared" si="5"/>
        <v>20.972644376899698</v>
      </c>
      <c r="V14" s="5">
        <f t="shared" si="6"/>
        <v>16.109422492401215</v>
      </c>
      <c r="W14" s="5">
        <v>68.8</v>
      </c>
      <c r="X14" s="5">
        <v>72.599999999999994</v>
      </c>
      <c r="Y14" s="5">
        <v>62.6</v>
      </c>
      <c r="Z14" s="5">
        <v>74.599999999999994</v>
      </c>
      <c r="AA14" s="5">
        <v>84.2</v>
      </c>
      <c r="AB14" s="5">
        <v>61.6</v>
      </c>
      <c r="AC14" s="5">
        <v>66</v>
      </c>
      <c r="AD14" s="5">
        <v>56.6</v>
      </c>
      <c r="AE14" s="5"/>
      <c r="AF14" s="5">
        <f t="shared" si="7"/>
        <v>112</v>
      </c>
      <c r="AG14" s="5">
        <v>110</v>
      </c>
      <c r="AH14" s="5">
        <v>112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47</v>
      </c>
      <c r="B15" s="5" t="s">
        <v>35</v>
      </c>
      <c r="C15" s="5">
        <v>-3.6139999999999999</v>
      </c>
      <c r="D15" s="5">
        <v>221.96100000000001</v>
      </c>
      <c r="E15" s="16">
        <f>58.618+E54</f>
        <v>75.432000000000002</v>
      </c>
      <c r="F15" s="16">
        <f>151.768+F54</f>
        <v>139.31100000000001</v>
      </c>
      <c r="G15" s="8">
        <v>1</v>
      </c>
      <c r="H15" s="5">
        <v>40</v>
      </c>
      <c r="I15" s="5" t="s">
        <v>36</v>
      </c>
      <c r="J15" s="5"/>
      <c r="K15" s="5"/>
      <c r="L15" s="5">
        <f t="shared" si="2"/>
        <v>75.432000000000002</v>
      </c>
      <c r="M15" s="5"/>
      <c r="N15" s="5"/>
      <c r="O15" s="5">
        <v>150</v>
      </c>
      <c r="P15" s="5">
        <f t="shared" si="3"/>
        <v>15.086400000000001</v>
      </c>
      <c r="Q15" s="4"/>
      <c r="R15" s="4">
        <f t="shared" si="9"/>
        <v>90</v>
      </c>
      <c r="S15" s="4"/>
      <c r="T15" s="5">
        <f>VLOOKUP(A:A,[1]Sheet!$A:$T,20,0)</f>
        <v>0</v>
      </c>
      <c r="U15" s="5">
        <f t="shared" si="5"/>
        <v>25.142578746420618</v>
      </c>
      <c r="V15" s="5">
        <f t="shared" si="6"/>
        <v>19.176940820871778</v>
      </c>
      <c r="W15" s="5">
        <v>29.709399999999999</v>
      </c>
      <c r="X15" s="5">
        <v>11.33</v>
      </c>
      <c r="Y15" s="5">
        <v>13.348599999999999</v>
      </c>
      <c r="Z15" s="5">
        <v>27.452000000000002</v>
      </c>
      <c r="AA15" s="5">
        <v>26.2254</v>
      </c>
      <c r="AB15" s="5">
        <v>20.599799999999998</v>
      </c>
      <c r="AC15" s="5">
        <v>14.2568</v>
      </c>
      <c r="AD15" s="5">
        <v>18.3004</v>
      </c>
      <c r="AE15" s="5"/>
      <c r="AF15" s="5">
        <f t="shared" si="7"/>
        <v>90</v>
      </c>
      <c r="AG15" s="5">
        <v>90</v>
      </c>
      <c r="AH15" s="5">
        <v>90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48</v>
      </c>
      <c r="B16" s="5" t="s">
        <v>46</v>
      </c>
      <c r="C16" s="5">
        <v>140</v>
      </c>
      <c r="D16" s="5">
        <v>884</v>
      </c>
      <c r="E16" s="16">
        <f>233+E55</f>
        <v>289</v>
      </c>
      <c r="F16" s="16">
        <f>726+F55</f>
        <v>683</v>
      </c>
      <c r="G16" s="8">
        <v>0.35</v>
      </c>
      <c r="H16" s="5">
        <v>40</v>
      </c>
      <c r="I16" s="5" t="s">
        <v>36</v>
      </c>
      <c r="J16" s="5"/>
      <c r="K16" s="5"/>
      <c r="L16" s="5">
        <f t="shared" si="2"/>
        <v>289</v>
      </c>
      <c r="M16" s="5"/>
      <c r="N16" s="5"/>
      <c r="O16" s="5">
        <v>457.14285714285722</v>
      </c>
      <c r="P16" s="5">
        <f t="shared" si="3"/>
        <v>57.8</v>
      </c>
      <c r="Q16" s="4"/>
      <c r="R16" s="4">
        <f t="shared" si="9"/>
        <v>300</v>
      </c>
      <c r="S16" s="4"/>
      <c r="T16" s="5">
        <f>VLOOKUP(A:A,[1]Sheet!$A:$T,20,0)</f>
        <v>0</v>
      </c>
      <c r="U16" s="5">
        <f t="shared" si="5"/>
        <v>24.915966386554626</v>
      </c>
      <c r="V16" s="5">
        <f t="shared" si="6"/>
        <v>19.725654967869506</v>
      </c>
      <c r="W16" s="5">
        <v>76.2</v>
      </c>
      <c r="X16" s="5">
        <v>87</v>
      </c>
      <c r="Y16" s="5">
        <v>66.8</v>
      </c>
      <c r="Z16" s="5">
        <v>72.599999999999994</v>
      </c>
      <c r="AA16" s="5">
        <v>86</v>
      </c>
      <c r="AB16" s="5">
        <v>72.2</v>
      </c>
      <c r="AC16" s="5">
        <v>64.599999999999994</v>
      </c>
      <c r="AD16" s="5">
        <v>55.2</v>
      </c>
      <c r="AE16" s="5"/>
      <c r="AF16" s="5">
        <f t="shared" si="7"/>
        <v>105</v>
      </c>
      <c r="AG16" s="5">
        <v>140</v>
      </c>
      <c r="AH16" s="5">
        <v>105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49</v>
      </c>
      <c r="B17" s="5" t="s">
        <v>35</v>
      </c>
      <c r="C17" s="5">
        <v>26.981999999999999</v>
      </c>
      <c r="D17" s="5">
        <v>172.87700000000001</v>
      </c>
      <c r="E17" s="5">
        <v>55.802999999999997</v>
      </c>
      <c r="F17" s="5">
        <v>137.69999999999999</v>
      </c>
      <c r="G17" s="8">
        <v>1</v>
      </c>
      <c r="H17" s="5">
        <v>40</v>
      </c>
      <c r="I17" s="5" t="s">
        <v>36</v>
      </c>
      <c r="J17" s="5"/>
      <c r="K17" s="5"/>
      <c r="L17" s="5">
        <f t="shared" si="2"/>
        <v>55.802999999999997</v>
      </c>
      <c r="M17" s="5"/>
      <c r="N17" s="5"/>
      <c r="O17" s="5">
        <v>60</v>
      </c>
      <c r="P17" s="5">
        <f t="shared" si="3"/>
        <v>11.160599999999999</v>
      </c>
      <c r="Q17" s="4"/>
      <c r="R17" s="4">
        <f t="shared" si="9"/>
        <v>30</v>
      </c>
      <c r="S17" s="4"/>
      <c r="T17" s="5">
        <f>VLOOKUP(A:A,[1]Sheet!$A:$T,20,0)</f>
        <v>0</v>
      </c>
      <c r="U17" s="5">
        <f t="shared" si="5"/>
        <v>20.40212891780012</v>
      </c>
      <c r="V17" s="5">
        <f t="shared" si="6"/>
        <v>17.714101392398259</v>
      </c>
      <c r="W17" s="5">
        <v>17.8444</v>
      </c>
      <c r="X17" s="5">
        <v>5.4691999999999998</v>
      </c>
      <c r="Y17" s="5">
        <v>7.2450000000000001</v>
      </c>
      <c r="Z17" s="5">
        <v>15.610799999999999</v>
      </c>
      <c r="AA17" s="5">
        <v>19.899999999999999</v>
      </c>
      <c r="AB17" s="5">
        <v>13.0268</v>
      </c>
      <c r="AC17" s="5">
        <v>2.3544</v>
      </c>
      <c r="AD17" s="5">
        <v>13.5174</v>
      </c>
      <c r="AE17" s="5" t="s">
        <v>50</v>
      </c>
      <c r="AF17" s="5">
        <f t="shared" si="7"/>
        <v>30</v>
      </c>
      <c r="AG17" s="5">
        <v>30</v>
      </c>
      <c r="AH17" s="5">
        <v>30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51</v>
      </c>
      <c r="B18" s="5" t="s">
        <v>35</v>
      </c>
      <c r="C18" s="5">
        <v>-2.6589999999999998</v>
      </c>
      <c r="D18" s="5">
        <v>259.43799999999999</v>
      </c>
      <c r="E18" s="5">
        <v>62.313000000000002</v>
      </c>
      <c r="F18" s="5">
        <v>187.988</v>
      </c>
      <c r="G18" s="8">
        <v>1</v>
      </c>
      <c r="H18" s="5">
        <v>45</v>
      </c>
      <c r="I18" s="5" t="s">
        <v>36</v>
      </c>
      <c r="J18" s="5"/>
      <c r="K18" s="5"/>
      <c r="L18" s="5">
        <f t="shared" si="2"/>
        <v>62.313000000000002</v>
      </c>
      <c r="M18" s="5"/>
      <c r="N18" s="5"/>
      <c r="O18" s="5">
        <v>0</v>
      </c>
      <c r="P18" s="5">
        <f t="shared" si="3"/>
        <v>12.4626</v>
      </c>
      <c r="Q18" s="4">
        <f t="shared" si="8"/>
        <v>36.338799999999992</v>
      </c>
      <c r="R18" s="4">
        <f t="shared" si="9"/>
        <v>60</v>
      </c>
      <c r="S18" s="4"/>
      <c r="T18" s="5">
        <f>VLOOKUP(A:A,[1]Sheet!$A:$T,20,0)</f>
        <v>0</v>
      </c>
      <c r="U18" s="5">
        <f t="shared" si="5"/>
        <v>19.898576541010705</v>
      </c>
      <c r="V18" s="5">
        <f t="shared" si="6"/>
        <v>15.084171842151719</v>
      </c>
      <c r="W18" s="5">
        <v>15.3696</v>
      </c>
      <c r="X18" s="5">
        <v>-1.1786000000000001</v>
      </c>
      <c r="Y18" s="5">
        <v>16.7942</v>
      </c>
      <c r="Z18" s="5">
        <v>17.0852</v>
      </c>
      <c r="AA18" s="5">
        <v>11.982799999999999</v>
      </c>
      <c r="AB18" s="5">
        <v>9.9471999999999987</v>
      </c>
      <c r="AC18" s="5">
        <v>4.1318000000000001</v>
      </c>
      <c r="AD18" s="5">
        <v>6.1862000000000004</v>
      </c>
      <c r="AE18" s="5"/>
      <c r="AF18" s="5">
        <f t="shared" si="7"/>
        <v>60</v>
      </c>
      <c r="AG18" s="5">
        <v>60</v>
      </c>
      <c r="AH18" s="5">
        <v>60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52</v>
      </c>
      <c r="B19" s="5" t="s">
        <v>46</v>
      </c>
      <c r="C19" s="5"/>
      <c r="D19" s="5">
        <v>176</v>
      </c>
      <c r="E19" s="5">
        <v>60</v>
      </c>
      <c r="F19" s="5">
        <v>110</v>
      </c>
      <c r="G19" s="8">
        <v>0.6</v>
      </c>
      <c r="H19" s="5">
        <v>45</v>
      </c>
      <c r="I19" s="5" t="s">
        <v>36</v>
      </c>
      <c r="J19" s="5"/>
      <c r="K19" s="5"/>
      <c r="L19" s="5">
        <f t="shared" si="2"/>
        <v>60</v>
      </c>
      <c r="M19" s="5"/>
      <c r="N19" s="5"/>
      <c r="O19" s="5">
        <v>0</v>
      </c>
      <c r="P19" s="5">
        <f t="shared" si="3"/>
        <v>12</v>
      </c>
      <c r="Q19" s="4">
        <f>17*P19-O19-F19</f>
        <v>94</v>
      </c>
      <c r="R19" s="4">
        <f t="shared" si="9"/>
        <v>60</v>
      </c>
      <c r="S19" s="4"/>
      <c r="T19" s="5">
        <f>VLOOKUP(A:A,[1]Sheet!$A:$T,20,0)</f>
        <v>0</v>
      </c>
      <c r="U19" s="5">
        <f t="shared" si="5"/>
        <v>14.166666666666666</v>
      </c>
      <c r="V19" s="5">
        <f t="shared" si="6"/>
        <v>9.1666666666666661</v>
      </c>
      <c r="W19" s="5">
        <v>16.8</v>
      </c>
      <c r="X19" s="5">
        <v>6.4</v>
      </c>
      <c r="Y19" s="5">
        <v>0</v>
      </c>
      <c r="Z19" s="5">
        <v>14.6</v>
      </c>
      <c r="AA19" s="5">
        <v>13.8</v>
      </c>
      <c r="AB19" s="5">
        <v>17</v>
      </c>
      <c r="AC19" s="5">
        <v>8.6</v>
      </c>
      <c r="AD19" s="5">
        <v>15.8</v>
      </c>
      <c r="AE19" s="5"/>
      <c r="AF19" s="5">
        <f t="shared" si="7"/>
        <v>36</v>
      </c>
      <c r="AG19" s="5">
        <v>35</v>
      </c>
      <c r="AH19" s="5">
        <v>36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10" t="s">
        <v>53</v>
      </c>
      <c r="B20" s="10" t="s">
        <v>46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54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12"/>
      <c r="S20" s="12"/>
      <c r="T20" s="5">
        <f>VLOOKUP(A:A,[1]Sheet!$A:$T,20,0)</f>
        <v>0</v>
      </c>
      <c r="U20" s="5" t="e">
        <f t="shared" si="5"/>
        <v>#DIV/0!</v>
      </c>
      <c r="V20" s="10" t="e">
        <f t="shared" si="6"/>
        <v>#DIV/0!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 t="s">
        <v>55</v>
      </c>
      <c r="AF20" s="5">
        <f t="shared" si="7"/>
        <v>0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56</v>
      </c>
      <c r="B21" s="5" t="s">
        <v>35</v>
      </c>
      <c r="C21" s="5">
        <v>40.51</v>
      </c>
      <c r="D21" s="5">
        <v>363.23399999999998</v>
      </c>
      <c r="E21" s="16">
        <f>143.737+E56</f>
        <v>158.328</v>
      </c>
      <c r="F21" s="16">
        <f>208.795+F56</f>
        <v>198.613</v>
      </c>
      <c r="G21" s="8">
        <v>1</v>
      </c>
      <c r="H21" s="5">
        <v>45</v>
      </c>
      <c r="I21" s="5" t="s">
        <v>36</v>
      </c>
      <c r="J21" s="5"/>
      <c r="K21" s="5"/>
      <c r="L21" s="5">
        <f t="shared" si="2"/>
        <v>158.328</v>
      </c>
      <c r="M21" s="5"/>
      <c r="N21" s="5"/>
      <c r="O21" s="5">
        <v>300</v>
      </c>
      <c r="P21" s="5">
        <f t="shared" si="3"/>
        <v>31.665600000000001</v>
      </c>
      <c r="Q21" s="4">
        <f t="shared" ref="Q21:Q36" si="10">18*P21-O21-F21</f>
        <v>71.367800000000045</v>
      </c>
      <c r="R21" s="4">
        <f t="shared" ref="R21:R37" si="11">AH21/G21</f>
        <v>230</v>
      </c>
      <c r="S21" s="4"/>
      <c r="T21" s="5">
        <f>VLOOKUP(A:A,[1]Sheet!$A:$T,20,0)</f>
        <v>0</v>
      </c>
      <c r="U21" s="5">
        <f t="shared" si="5"/>
        <v>23.009606639381538</v>
      </c>
      <c r="V21" s="5">
        <f t="shared" si="6"/>
        <v>15.746204082663837</v>
      </c>
      <c r="W21" s="5">
        <v>50.165399999999998</v>
      </c>
      <c r="X21" s="5">
        <v>15.9466</v>
      </c>
      <c r="Y21" s="5">
        <v>47.153399999999998</v>
      </c>
      <c r="Z21" s="5">
        <v>35.1066</v>
      </c>
      <c r="AA21" s="5">
        <v>36.44</v>
      </c>
      <c r="AB21" s="5">
        <v>27.1386</v>
      </c>
      <c r="AC21" s="5">
        <v>33.550600000000003</v>
      </c>
      <c r="AD21" s="5">
        <v>37.227800000000002</v>
      </c>
      <c r="AE21" s="5"/>
      <c r="AF21" s="5">
        <f t="shared" si="7"/>
        <v>230</v>
      </c>
      <c r="AG21" s="5">
        <v>230</v>
      </c>
      <c r="AH21" s="5">
        <v>230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57</v>
      </c>
      <c r="B22" s="5" t="s">
        <v>46</v>
      </c>
      <c r="C22" s="5">
        <v>179</v>
      </c>
      <c r="D22" s="5">
        <v>186</v>
      </c>
      <c r="E22" s="16">
        <f>200+E57</f>
        <v>225</v>
      </c>
      <c r="F22" s="16">
        <f>137+F57</f>
        <v>119</v>
      </c>
      <c r="G22" s="8">
        <v>0.4</v>
      </c>
      <c r="H22" s="5">
        <v>45</v>
      </c>
      <c r="I22" s="5" t="s">
        <v>36</v>
      </c>
      <c r="J22" s="5"/>
      <c r="K22" s="5"/>
      <c r="L22" s="5">
        <f t="shared" si="2"/>
        <v>225</v>
      </c>
      <c r="M22" s="5"/>
      <c r="N22" s="5"/>
      <c r="O22" s="5">
        <v>200</v>
      </c>
      <c r="P22" s="5">
        <f t="shared" si="3"/>
        <v>45</v>
      </c>
      <c r="Q22" s="4">
        <f>15*P22-O22-F22</f>
        <v>356</v>
      </c>
      <c r="R22" s="4">
        <f t="shared" si="11"/>
        <v>325</v>
      </c>
      <c r="S22" s="4"/>
      <c r="T22" s="5">
        <f>VLOOKUP(A:A,[1]Sheet!$A:$T,20,0)</f>
        <v>0</v>
      </c>
      <c r="U22" s="5">
        <f t="shared" si="5"/>
        <v>14.311111111111112</v>
      </c>
      <c r="V22" s="5">
        <f t="shared" si="6"/>
        <v>7.0888888888888886</v>
      </c>
      <c r="W22" s="5">
        <v>49.2</v>
      </c>
      <c r="X22" s="5">
        <v>31.4</v>
      </c>
      <c r="Y22" s="5">
        <v>51.4</v>
      </c>
      <c r="Z22" s="5">
        <v>-3</v>
      </c>
      <c r="AA22" s="5">
        <v>-5</v>
      </c>
      <c r="AB22" s="5">
        <v>23.8</v>
      </c>
      <c r="AC22" s="5">
        <v>31.8</v>
      </c>
      <c r="AD22" s="5">
        <v>51</v>
      </c>
      <c r="AE22" s="5"/>
      <c r="AF22" s="5">
        <f t="shared" si="7"/>
        <v>130</v>
      </c>
      <c r="AG22" s="5">
        <v>130</v>
      </c>
      <c r="AH22" s="5">
        <v>130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58</v>
      </c>
      <c r="B23" s="5" t="s">
        <v>46</v>
      </c>
      <c r="C23" s="5">
        <v>166</v>
      </c>
      <c r="D23" s="5">
        <v>228</v>
      </c>
      <c r="E23" s="5">
        <v>157</v>
      </c>
      <c r="F23" s="5">
        <v>182</v>
      </c>
      <c r="G23" s="8">
        <v>0.4</v>
      </c>
      <c r="H23" s="5">
        <v>45</v>
      </c>
      <c r="I23" s="5" t="s">
        <v>36</v>
      </c>
      <c r="J23" s="5"/>
      <c r="K23" s="5"/>
      <c r="L23" s="5">
        <f t="shared" si="2"/>
        <v>157</v>
      </c>
      <c r="M23" s="5"/>
      <c r="N23" s="5"/>
      <c r="O23" s="5">
        <v>200</v>
      </c>
      <c r="P23" s="5">
        <f t="shared" si="3"/>
        <v>31.4</v>
      </c>
      <c r="Q23" s="4">
        <f t="shared" si="10"/>
        <v>183.19999999999993</v>
      </c>
      <c r="R23" s="4">
        <f t="shared" si="11"/>
        <v>175</v>
      </c>
      <c r="S23" s="4"/>
      <c r="T23" s="5">
        <f>VLOOKUP(A:A,[1]Sheet!$A:$T,20,0)</f>
        <v>0</v>
      </c>
      <c r="U23" s="5">
        <f t="shared" si="5"/>
        <v>17.738853503184714</v>
      </c>
      <c r="V23" s="5">
        <f t="shared" si="6"/>
        <v>12.165605095541402</v>
      </c>
      <c r="W23" s="5">
        <v>41.4</v>
      </c>
      <c r="X23" s="5">
        <v>26.6</v>
      </c>
      <c r="Y23" s="5">
        <v>47.8</v>
      </c>
      <c r="Z23" s="5">
        <v>-3.2</v>
      </c>
      <c r="AA23" s="5">
        <v>-5.8</v>
      </c>
      <c r="AB23" s="5">
        <v>30.2</v>
      </c>
      <c r="AC23" s="5">
        <v>27.2</v>
      </c>
      <c r="AD23" s="5">
        <v>45</v>
      </c>
      <c r="AE23" s="5"/>
      <c r="AF23" s="5">
        <f t="shared" si="7"/>
        <v>70</v>
      </c>
      <c r="AG23" s="5">
        <v>70</v>
      </c>
      <c r="AH23" s="5">
        <v>70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59</v>
      </c>
      <c r="B24" s="5" t="s">
        <v>35</v>
      </c>
      <c r="C24" s="5">
        <v>216.23</v>
      </c>
      <c r="D24" s="5">
        <v>201.81299999999999</v>
      </c>
      <c r="E24" s="16">
        <f>119.931+E58</f>
        <v>133.92500000000001</v>
      </c>
      <c r="F24" s="16">
        <f>260.818+F58</f>
        <v>253.85499999999999</v>
      </c>
      <c r="G24" s="8">
        <v>1</v>
      </c>
      <c r="H24" s="5">
        <v>40</v>
      </c>
      <c r="I24" s="5" t="s">
        <v>36</v>
      </c>
      <c r="J24" s="5"/>
      <c r="K24" s="5"/>
      <c r="L24" s="5">
        <f t="shared" si="2"/>
        <v>133.92500000000001</v>
      </c>
      <c r="M24" s="5"/>
      <c r="N24" s="5"/>
      <c r="O24" s="5">
        <v>200</v>
      </c>
      <c r="P24" s="5">
        <f t="shared" si="3"/>
        <v>26.785000000000004</v>
      </c>
      <c r="Q24" s="4">
        <f t="shared" si="10"/>
        <v>28.275000000000063</v>
      </c>
      <c r="R24" s="4">
        <f t="shared" si="11"/>
        <v>110</v>
      </c>
      <c r="S24" s="4"/>
      <c r="T24" s="5">
        <f>VLOOKUP(A:A,[1]Sheet!$A:$T,20,0)</f>
        <v>0</v>
      </c>
      <c r="U24" s="5">
        <f t="shared" si="5"/>
        <v>21.051148030614147</v>
      </c>
      <c r="V24" s="5">
        <f t="shared" si="6"/>
        <v>16.944371849915996</v>
      </c>
      <c r="W24" s="5">
        <v>25.805800000000001</v>
      </c>
      <c r="X24" s="5">
        <v>34.767600000000002</v>
      </c>
      <c r="Y24" s="5">
        <v>29.1784</v>
      </c>
      <c r="Z24" s="5">
        <v>24.391200000000001</v>
      </c>
      <c r="AA24" s="5">
        <v>56.445000000000007</v>
      </c>
      <c r="AB24" s="5">
        <v>14.645</v>
      </c>
      <c r="AC24" s="5">
        <v>27.874199999999998</v>
      </c>
      <c r="AD24" s="5">
        <v>37.243600000000001</v>
      </c>
      <c r="AE24" s="5"/>
      <c r="AF24" s="5">
        <f t="shared" si="7"/>
        <v>110</v>
      </c>
      <c r="AG24" s="5">
        <v>110</v>
      </c>
      <c r="AH24" s="5">
        <v>110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60</v>
      </c>
      <c r="B25" s="5" t="s">
        <v>46</v>
      </c>
      <c r="C25" s="5">
        <v>52</v>
      </c>
      <c r="D25" s="5">
        <v>132</v>
      </c>
      <c r="E25" s="5">
        <v>93</v>
      </c>
      <c r="F25" s="5">
        <v>72</v>
      </c>
      <c r="G25" s="8">
        <v>0.35</v>
      </c>
      <c r="H25" s="5">
        <v>45</v>
      </c>
      <c r="I25" s="5" t="s">
        <v>36</v>
      </c>
      <c r="J25" s="5"/>
      <c r="K25" s="5"/>
      <c r="L25" s="5">
        <f t="shared" si="2"/>
        <v>93</v>
      </c>
      <c r="M25" s="5"/>
      <c r="N25" s="5"/>
      <c r="O25" s="5">
        <v>157.14285714285711</v>
      </c>
      <c r="P25" s="5">
        <f t="shared" si="3"/>
        <v>18.600000000000001</v>
      </c>
      <c r="Q25" s="4">
        <f t="shared" si="10"/>
        <v>105.6571428571429</v>
      </c>
      <c r="R25" s="4">
        <f t="shared" si="11"/>
        <v>51.428571428571431</v>
      </c>
      <c r="S25" s="4"/>
      <c r="T25" s="5">
        <f>VLOOKUP(A:A,[1]Sheet!$A:$T,20,0)</f>
        <v>0</v>
      </c>
      <c r="U25" s="5">
        <f t="shared" si="5"/>
        <v>15.084485407066051</v>
      </c>
      <c r="V25" s="5">
        <f t="shared" si="6"/>
        <v>12.319508448540704</v>
      </c>
      <c r="W25" s="5">
        <v>19.399999999999999</v>
      </c>
      <c r="X25" s="5">
        <v>13.6</v>
      </c>
      <c r="Y25" s="5">
        <v>16.399999999999999</v>
      </c>
      <c r="Z25" s="5">
        <v>14.6</v>
      </c>
      <c r="AA25" s="5">
        <v>23.4</v>
      </c>
      <c r="AB25" s="5">
        <v>15.009</v>
      </c>
      <c r="AC25" s="5">
        <v>5.2</v>
      </c>
      <c r="AD25" s="5">
        <v>24.4</v>
      </c>
      <c r="AE25" s="5"/>
      <c r="AF25" s="5">
        <f t="shared" si="7"/>
        <v>18</v>
      </c>
      <c r="AG25" s="5">
        <v>15</v>
      </c>
      <c r="AH25" s="5">
        <v>18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61</v>
      </c>
      <c r="B26" s="5" t="s">
        <v>35</v>
      </c>
      <c r="C26" s="5">
        <v>27.428000000000001</v>
      </c>
      <c r="D26" s="5">
        <v>327.74099999999999</v>
      </c>
      <c r="E26" s="5">
        <v>143.863</v>
      </c>
      <c r="F26" s="5">
        <v>175.392</v>
      </c>
      <c r="G26" s="8">
        <v>1</v>
      </c>
      <c r="H26" s="5">
        <v>45</v>
      </c>
      <c r="I26" s="5" t="s">
        <v>36</v>
      </c>
      <c r="J26" s="5"/>
      <c r="K26" s="5"/>
      <c r="L26" s="5">
        <f t="shared" si="2"/>
        <v>143.863</v>
      </c>
      <c r="M26" s="5"/>
      <c r="N26" s="5"/>
      <c r="O26" s="5">
        <v>200</v>
      </c>
      <c r="P26" s="5">
        <f t="shared" si="3"/>
        <v>28.772600000000001</v>
      </c>
      <c r="Q26" s="4">
        <f t="shared" si="10"/>
        <v>142.51479999999998</v>
      </c>
      <c r="R26" s="4">
        <f t="shared" si="11"/>
        <v>110</v>
      </c>
      <c r="S26" s="4"/>
      <c r="T26" s="5">
        <f>VLOOKUP(A:A,[1]Sheet!$A:$T,20,0)</f>
        <v>0</v>
      </c>
      <c r="U26" s="5">
        <f t="shared" si="5"/>
        <v>16.869938761182514</v>
      </c>
      <c r="V26" s="5">
        <f t="shared" si="6"/>
        <v>13.046857079304615</v>
      </c>
      <c r="W26" s="5">
        <v>30.851800000000001</v>
      </c>
      <c r="X26" s="5">
        <v>24.670999999999999</v>
      </c>
      <c r="Y26" s="5">
        <v>20.548999999999999</v>
      </c>
      <c r="Z26" s="5">
        <v>21.646000000000001</v>
      </c>
      <c r="AA26" s="5">
        <v>34.644799999999996</v>
      </c>
      <c r="AB26" s="5">
        <v>15.675000000000001</v>
      </c>
      <c r="AC26" s="5">
        <v>11.4254</v>
      </c>
      <c r="AD26" s="5">
        <v>37.688200000000002</v>
      </c>
      <c r="AE26" s="5" t="s">
        <v>62</v>
      </c>
      <c r="AF26" s="5">
        <f t="shared" si="7"/>
        <v>110</v>
      </c>
      <c r="AG26" s="5">
        <v>110</v>
      </c>
      <c r="AH26" s="5">
        <v>110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63</v>
      </c>
      <c r="B27" s="5" t="s">
        <v>46</v>
      </c>
      <c r="C27" s="5">
        <v>184</v>
      </c>
      <c r="D27" s="5">
        <v>229</v>
      </c>
      <c r="E27" s="5">
        <v>166</v>
      </c>
      <c r="F27" s="5">
        <v>239</v>
      </c>
      <c r="G27" s="8">
        <v>0.45</v>
      </c>
      <c r="H27" s="5">
        <v>45</v>
      </c>
      <c r="I27" s="5" t="s">
        <v>36</v>
      </c>
      <c r="J27" s="5"/>
      <c r="K27" s="5"/>
      <c r="L27" s="5">
        <f t="shared" si="2"/>
        <v>166</v>
      </c>
      <c r="M27" s="5"/>
      <c r="N27" s="5"/>
      <c r="O27" s="5">
        <v>222.2222222222222</v>
      </c>
      <c r="P27" s="5">
        <f t="shared" si="3"/>
        <v>33.200000000000003</v>
      </c>
      <c r="Q27" s="4">
        <f t="shared" si="10"/>
        <v>136.37777777777785</v>
      </c>
      <c r="R27" s="4">
        <f t="shared" si="11"/>
        <v>300</v>
      </c>
      <c r="S27" s="4"/>
      <c r="T27" s="5">
        <f>VLOOKUP(A:A,[1]Sheet!$A:$T,20,0)</f>
        <v>0</v>
      </c>
      <c r="U27" s="5">
        <f t="shared" si="5"/>
        <v>22.92838018741633</v>
      </c>
      <c r="V27" s="5">
        <f t="shared" si="6"/>
        <v>13.892235609103077</v>
      </c>
      <c r="W27" s="5">
        <v>41.4</v>
      </c>
      <c r="X27" s="5">
        <v>30.4</v>
      </c>
      <c r="Y27" s="5">
        <v>42.6</v>
      </c>
      <c r="Z27" s="5">
        <v>41.6</v>
      </c>
      <c r="AA27" s="5">
        <v>50.2</v>
      </c>
      <c r="AB27" s="5">
        <v>26.4</v>
      </c>
      <c r="AC27" s="5">
        <v>35.799999999999997</v>
      </c>
      <c r="AD27" s="5">
        <v>50.2</v>
      </c>
      <c r="AE27" s="5"/>
      <c r="AF27" s="5">
        <f t="shared" si="7"/>
        <v>135</v>
      </c>
      <c r="AG27" s="5">
        <v>130</v>
      </c>
      <c r="AH27" s="5">
        <v>135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64</v>
      </c>
      <c r="B28" s="5" t="s">
        <v>35</v>
      </c>
      <c r="C28" s="5">
        <v>669.64700000000005</v>
      </c>
      <c r="D28" s="5">
        <v>962.62099999999998</v>
      </c>
      <c r="E28" s="5">
        <v>440.62</v>
      </c>
      <c r="F28" s="5">
        <v>1151.5999999999999</v>
      </c>
      <c r="G28" s="8">
        <v>1</v>
      </c>
      <c r="H28" s="5">
        <v>45</v>
      </c>
      <c r="I28" s="5" t="s">
        <v>36</v>
      </c>
      <c r="J28" s="5"/>
      <c r="K28" s="5"/>
      <c r="L28" s="5">
        <f t="shared" si="2"/>
        <v>440.62</v>
      </c>
      <c r="M28" s="5"/>
      <c r="N28" s="5"/>
      <c r="O28" s="5">
        <v>600</v>
      </c>
      <c r="P28" s="5">
        <f t="shared" si="3"/>
        <v>88.123999999999995</v>
      </c>
      <c r="Q28" s="4"/>
      <c r="R28" s="4">
        <f t="shared" si="11"/>
        <v>270</v>
      </c>
      <c r="S28" s="4"/>
      <c r="T28" s="5">
        <f>VLOOKUP(A:A,[1]Sheet!$A:$T,20,0)</f>
        <v>0</v>
      </c>
      <c r="U28" s="5">
        <f t="shared" si="5"/>
        <v>22.940402160591894</v>
      </c>
      <c r="V28" s="5">
        <f t="shared" si="6"/>
        <v>19.876537606100495</v>
      </c>
      <c r="W28" s="5">
        <v>110.1108</v>
      </c>
      <c r="X28" s="5">
        <v>94.604600000000005</v>
      </c>
      <c r="Y28" s="5">
        <v>93.9696</v>
      </c>
      <c r="Z28" s="5">
        <v>96.637199999999993</v>
      </c>
      <c r="AA28" s="5">
        <v>145.0078</v>
      </c>
      <c r="AB28" s="5">
        <v>75.780600000000007</v>
      </c>
      <c r="AC28" s="5">
        <v>99.303399999999996</v>
      </c>
      <c r="AD28" s="5">
        <v>122.3514</v>
      </c>
      <c r="AE28" s="19" t="s">
        <v>116</v>
      </c>
      <c r="AF28" s="5">
        <f t="shared" si="7"/>
        <v>270</v>
      </c>
      <c r="AG28" s="5">
        <v>270</v>
      </c>
      <c r="AH28" s="5">
        <v>270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65</v>
      </c>
      <c r="B29" s="5" t="s">
        <v>35</v>
      </c>
      <c r="C29" s="5">
        <v>26.460999999999999</v>
      </c>
      <c r="D29" s="5">
        <v>32.942999999999998</v>
      </c>
      <c r="E29" s="5">
        <v>39.258000000000003</v>
      </c>
      <c r="F29" s="5">
        <v>9.048</v>
      </c>
      <c r="G29" s="8">
        <v>1</v>
      </c>
      <c r="H29" s="5">
        <v>40</v>
      </c>
      <c r="I29" s="5" t="s">
        <v>36</v>
      </c>
      <c r="J29" s="5"/>
      <c r="K29" s="5"/>
      <c r="L29" s="5">
        <f t="shared" si="2"/>
        <v>39.258000000000003</v>
      </c>
      <c r="M29" s="5"/>
      <c r="N29" s="5"/>
      <c r="O29" s="5">
        <v>0</v>
      </c>
      <c r="P29" s="5">
        <f t="shared" si="3"/>
        <v>7.8516000000000004</v>
      </c>
      <c r="Q29" s="4">
        <f>9*P29-O29-F29</f>
        <v>61.616399999999999</v>
      </c>
      <c r="R29" s="4">
        <f t="shared" si="11"/>
        <v>30</v>
      </c>
      <c r="S29" s="4"/>
      <c r="T29" s="5">
        <f>VLOOKUP(A:A,[1]Sheet!$A:$T,20,0)</f>
        <v>0</v>
      </c>
      <c r="U29" s="5">
        <f t="shared" si="5"/>
        <v>4.9732538590860464</v>
      </c>
      <c r="V29" s="5">
        <f t="shared" si="6"/>
        <v>1.1523765856640684</v>
      </c>
      <c r="W29" s="5">
        <v>3.5236000000000001</v>
      </c>
      <c r="X29" s="5">
        <v>3.6286</v>
      </c>
      <c r="Y29" s="5">
        <v>-1.3802000000000001</v>
      </c>
      <c r="Z29" s="5">
        <v>4.3376000000000001</v>
      </c>
      <c r="AA29" s="5">
        <v>-1.5336000000000001</v>
      </c>
      <c r="AB29" s="5">
        <v>-1.3872</v>
      </c>
      <c r="AC29" s="5">
        <v>1.0673999999999999</v>
      </c>
      <c r="AD29" s="5">
        <v>2.9087999999999998</v>
      </c>
      <c r="AE29" s="5"/>
      <c r="AF29" s="5">
        <f t="shared" si="7"/>
        <v>30</v>
      </c>
      <c r="AG29" s="5">
        <v>25</v>
      </c>
      <c r="AH29" s="5">
        <v>30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66</v>
      </c>
      <c r="B30" s="5" t="s">
        <v>46</v>
      </c>
      <c r="C30" s="5">
        <v>87</v>
      </c>
      <c r="D30" s="5">
        <v>400</v>
      </c>
      <c r="E30" s="5">
        <v>115</v>
      </c>
      <c r="F30" s="5">
        <v>358</v>
      </c>
      <c r="G30" s="8">
        <v>0.4</v>
      </c>
      <c r="H30" s="5">
        <v>55</v>
      </c>
      <c r="I30" s="5" t="s">
        <v>36</v>
      </c>
      <c r="J30" s="5"/>
      <c r="K30" s="5"/>
      <c r="L30" s="5">
        <f t="shared" si="2"/>
        <v>115</v>
      </c>
      <c r="M30" s="5"/>
      <c r="N30" s="5"/>
      <c r="O30" s="5">
        <v>200</v>
      </c>
      <c r="P30" s="5">
        <f t="shared" si="3"/>
        <v>23</v>
      </c>
      <c r="Q30" s="4"/>
      <c r="R30" s="4">
        <f t="shared" si="11"/>
        <v>80</v>
      </c>
      <c r="S30" s="4"/>
      <c r="T30" s="5">
        <f>VLOOKUP(A:A,[1]Sheet!$A:$T,20,0)</f>
        <v>0</v>
      </c>
      <c r="U30" s="5">
        <f t="shared" si="5"/>
        <v>27.739130434782609</v>
      </c>
      <c r="V30" s="5">
        <f t="shared" si="6"/>
        <v>24.260869565217391</v>
      </c>
      <c r="W30" s="5">
        <v>41.8</v>
      </c>
      <c r="X30" s="5">
        <v>29.6</v>
      </c>
      <c r="Y30" s="5">
        <v>27</v>
      </c>
      <c r="Z30" s="5">
        <v>23.4</v>
      </c>
      <c r="AA30" s="5">
        <v>37.6</v>
      </c>
      <c r="AB30" s="5">
        <v>21.4</v>
      </c>
      <c r="AC30" s="5">
        <v>29.4</v>
      </c>
      <c r="AD30" s="5">
        <v>41.4</v>
      </c>
      <c r="AE30" s="5"/>
      <c r="AF30" s="5">
        <f t="shared" si="7"/>
        <v>32</v>
      </c>
      <c r="AG30" s="5">
        <v>35</v>
      </c>
      <c r="AH30" s="5">
        <v>32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67</v>
      </c>
      <c r="B31" s="5" t="s">
        <v>35</v>
      </c>
      <c r="C31" s="5">
        <v>323.29199999999997</v>
      </c>
      <c r="D31" s="5">
        <v>762.87</v>
      </c>
      <c r="E31" s="16">
        <f>287.427+E59</f>
        <v>363.21000000000004</v>
      </c>
      <c r="F31" s="16">
        <f>763.967+F59</f>
        <v>718.97199999999998</v>
      </c>
      <c r="G31" s="8">
        <v>1</v>
      </c>
      <c r="H31" s="5">
        <v>60</v>
      </c>
      <c r="I31" s="5" t="s">
        <v>36</v>
      </c>
      <c r="J31" s="5"/>
      <c r="K31" s="5"/>
      <c r="L31" s="5">
        <f t="shared" si="2"/>
        <v>363.21000000000004</v>
      </c>
      <c r="M31" s="5"/>
      <c r="N31" s="5"/>
      <c r="O31" s="5">
        <v>700</v>
      </c>
      <c r="P31" s="5">
        <f t="shared" si="3"/>
        <v>72.64200000000001</v>
      </c>
      <c r="Q31" s="4"/>
      <c r="R31" s="4">
        <f t="shared" si="11"/>
        <v>350</v>
      </c>
      <c r="S31" s="4"/>
      <c r="T31" s="5">
        <f>VLOOKUP(A:A,[1]Sheet!$A:$T,20,0)</f>
        <v>0</v>
      </c>
      <c r="U31" s="5">
        <f t="shared" si="5"/>
        <v>24.351917623413449</v>
      </c>
      <c r="V31" s="5">
        <f t="shared" si="6"/>
        <v>19.533768343382611</v>
      </c>
      <c r="W31" s="5">
        <v>72.347000000000008</v>
      </c>
      <c r="X31" s="5">
        <v>110.3852</v>
      </c>
      <c r="Y31" s="5">
        <v>64.878600000000006</v>
      </c>
      <c r="Z31" s="5">
        <v>67.605999999999995</v>
      </c>
      <c r="AA31" s="5">
        <v>98.049199999999999</v>
      </c>
      <c r="AB31" s="5">
        <v>63.814999999999998</v>
      </c>
      <c r="AC31" s="5">
        <v>70.668599999999998</v>
      </c>
      <c r="AD31" s="5">
        <v>63.731999999999992</v>
      </c>
      <c r="AE31" s="5"/>
      <c r="AF31" s="5">
        <f t="shared" si="7"/>
        <v>350</v>
      </c>
      <c r="AG31" s="5">
        <v>350</v>
      </c>
      <c r="AH31" s="5">
        <v>350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68</v>
      </c>
      <c r="B32" s="5" t="s">
        <v>46</v>
      </c>
      <c r="C32" s="5"/>
      <c r="D32" s="5">
        <v>230</v>
      </c>
      <c r="E32" s="5">
        <v>44</v>
      </c>
      <c r="F32" s="16">
        <f>169+F38</f>
        <v>138</v>
      </c>
      <c r="G32" s="8">
        <v>0.5</v>
      </c>
      <c r="H32" s="5">
        <v>60</v>
      </c>
      <c r="I32" s="5" t="s">
        <v>36</v>
      </c>
      <c r="J32" s="5"/>
      <c r="K32" s="5"/>
      <c r="L32" s="5">
        <f t="shared" si="2"/>
        <v>44</v>
      </c>
      <c r="M32" s="5"/>
      <c r="N32" s="5"/>
      <c r="O32" s="5">
        <v>40</v>
      </c>
      <c r="P32" s="5">
        <f t="shared" si="3"/>
        <v>8.8000000000000007</v>
      </c>
      <c r="Q32" s="4"/>
      <c r="R32" s="4">
        <f t="shared" si="11"/>
        <v>0</v>
      </c>
      <c r="S32" s="4"/>
      <c r="T32" s="5">
        <f>VLOOKUP(A:A,[1]Sheet!$A:$T,20,0)</f>
        <v>0</v>
      </c>
      <c r="U32" s="5">
        <f t="shared" si="5"/>
        <v>20.227272727272727</v>
      </c>
      <c r="V32" s="5">
        <f t="shared" si="6"/>
        <v>20.227272727272727</v>
      </c>
      <c r="W32" s="5">
        <v>5.6</v>
      </c>
      <c r="X32" s="5">
        <v>11.6</v>
      </c>
      <c r="Y32" s="5">
        <v>7</v>
      </c>
      <c r="Z32" s="5">
        <v>10.6</v>
      </c>
      <c r="AA32" s="5">
        <v>16.2</v>
      </c>
      <c r="AB32" s="5">
        <v>15.8</v>
      </c>
      <c r="AC32" s="5">
        <v>10</v>
      </c>
      <c r="AD32" s="5">
        <v>9.6</v>
      </c>
      <c r="AE32" s="5"/>
      <c r="AF32" s="5">
        <f t="shared" si="7"/>
        <v>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69</v>
      </c>
      <c r="B33" s="5" t="s">
        <v>35</v>
      </c>
      <c r="C33" s="5">
        <v>413.33300000000003</v>
      </c>
      <c r="D33" s="5">
        <v>732.07100000000003</v>
      </c>
      <c r="E33" s="16">
        <f>221.354+E60</f>
        <v>275.399</v>
      </c>
      <c r="F33" s="16">
        <f>901.471+F60</f>
        <v>859.79600000000005</v>
      </c>
      <c r="G33" s="8">
        <v>1</v>
      </c>
      <c r="H33" s="5">
        <v>60</v>
      </c>
      <c r="I33" s="5" t="s">
        <v>36</v>
      </c>
      <c r="J33" s="5"/>
      <c r="K33" s="5"/>
      <c r="L33" s="5">
        <f t="shared" si="2"/>
        <v>275.399</v>
      </c>
      <c r="M33" s="5"/>
      <c r="N33" s="5"/>
      <c r="O33" s="5">
        <v>700</v>
      </c>
      <c r="P33" s="5">
        <f t="shared" si="3"/>
        <v>55.079799999999999</v>
      </c>
      <c r="Q33" s="4"/>
      <c r="R33" s="4">
        <f t="shared" si="11"/>
        <v>470</v>
      </c>
      <c r="S33" s="4"/>
      <c r="T33" s="5">
        <f>VLOOKUP(A:A,[1]Sheet!$A:$T,20,0)</f>
        <v>0</v>
      </c>
      <c r="U33" s="5">
        <f t="shared" si="5"/>
        <v>36.851913042531024</v>
      </c>
      <c r="V33" s="5">
        <f t="shared" si="6"/>
        <v>28.318839211471357</v>
      </c>
      <c r="W33" s="5">
        <v>108.70659999999999</v>
      </c>
      <c r="X33" s="5">
        <v>100.682</v>
      </c>
      <c r="Y33" s="5">
        <v>62.739000000000011</v>
      </c>
      <c r="Z33" s="5">
        <v>110.8276</v>
      </c>
      <c r="AA33" s="5">
        <v>72.517799999999994</v>
      </c>
      <c r="AB33" s="5">
        <v>64.449600000000004</v>
      </c>
      <c r="AC33" s="5">
        <v>86.211199999999991</v>
      </c>
      <c r="AD33" s="5">
        <v>60.296599999999998</v>
      </c>
      <c r="AE33" s="18" t="s">
        <v>73</v>
      </c>
      <c r="AF33" s="5">
        <f t="shared" si="7"/>
        <v>470</v>
      </c>
      <c r="AG33" s="5">
        <v>470</v>
      </c>
      <c r="AH33" s="5">
        <v>470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70</v>
      </c>
      <c r="B34" s="5" t="s">
        <v>35</v>
      </c>
      <c r="C34" s="5">
        <v>78.432000000000002</v>
      </c>
      <c r="D34" s="5">
        <v>1113.069</v>
      </c>
      <c r="E34" s="16">
        <f>334.64+E61</f>
        <v>354.52699999999999</v>
      </c>
      <c r="F34" s="16">
        <f>848.879+F61</f>
        <v>831.48400000000004</v>
      </c>
      <c r="G34" s="8">
        <v>1</v>
      </c>
      <c r="H34" s="5">
        <v>60</v>
      </c>
      <c r="I34" s="5" t="s">
        <v>36</v>
      </c>
      <c r="J34" s="5"/>
      <c r="K34" s="5"/>
      <c r="L34" s="5">
        <f t="shared" si="2"/>
        <v>354.52699999999999</v>
      </c>
      <c r="M34" s="5"/>
      <c r="N34" s="5"/>
      <c r="O34" s="5">
        <v>420</v>
      </c>
      <c r="P34" s="5">
        <f t="shared" si="3"/>
        <v>70.9054</v>
      </c>
      <c r="Q34" s="4">
        <f t="shared" si="10"/>
        <v>24.813199999999938</v>
      </c>
      <c r="R34" s="4">
        <f t="shared" si="11"/>
        <v>280</v>
      </c>
      <c r="S34" s="4"/>
      <c r="T34" s="5">
        <f>VLOOKUP(A:A,[1]Sheet!$A:$T,20,0)</f>
        <v>0</v>
      </c>
      <c r="U34" s="5">
        <f t="shared" si="5"/>
        <v>21.598975536418944</v>
      </c>
      <c r="V34" s="5">
        <f t="shared" si="6"/>
        <v>17.650052041170348</v>
      </c>
      <c r="W34" s="5">
        <v>58.851199999999992</v>
      </c>
      <c r="X34" s="5">
        <v>95.770399999999995</v>
      </c>
      <c r="Y34" s="5">
        <v>60.529200000000003</v>
      </c>
      <c r="Z34" s="5">
        <v>57.493399999999987</v>
      </c>
      <c r="AA34" s="5">
        <v>94.940799999999996</v>
      </c>
      <c r="AB34" s="5">
        <v>52.801400000000001</v>
      </c>
      <c r="AC34" s="5">
        <v>55.516599999999997</v>
      </c>
      <c r="AD34" s="5">
        <v>57.593199999999989</v>
      </c>
      <c r="AE34" s="5"/>
      <c r="AF34" s="5">
        <f t="shared" si="7"/>
        <v>280</v>
      </c>
      <c r="AG34" s="5">
        <v>270</v>
      </c>
      <c r="AH34" s="5">
        <v>280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5" t="s">
        <v>71</v>
      </c>
      <c r="B35" s="5" t="s">
        <v>46</v>
      </c>
      <c r="C35" s="20">
        <v>921</v>
      </c>
      <c r="D35" s="5">
        <v>500</v>
      </c>
      <c r="E35" s="16">
        <f>239+E62</f>
        <v>262</v>
      </c>
      <c r="F35" s="16">
        <f>982+F62</f>
        <v>966</v>
      </c>
      <c r="G35" s="8">
        <v>0.4</v>
      </c>
      <c r="H35" s="5">
        <v>60</v>
      </c>
      <c r="I35" s="5" t="s">
        <v>36</v>
      </c>
      <c r="J35" s="5"/>
      <c r="K35" s="5"/>
      <c r="L35" s="5">
        <f t="shared" si="2"/>
        <v>262</v>
      </c>
      <c r="M35" s="5"/>
      <c r="N35" s="5"/>
      <c r="O35" s="5">
        <v>250</v>
      </c>
      <c r="P35" s="5">
        <f t="shared" si="3"/>
        <v>52.4</v>
      </c>
      <c r="Q35" s="4"/>
      <c r="R35" s="4">
        <f t="shared" si="11"/>
        <v>250</v>
      </c>
      <c r="S35" s="4"/>
      <c r="T35" s="5">
        <f>VLOOKUP(A:A,[1]Sheet!$A:$T,20,0)</f>
        <v>0</v>
      </c>
      <c r="U35" s="5">
        <f t="shared" si="5"/>
        <v>27.977099236641223</v>
      </c>
      <c r="V35" s="5">
        <f t="shared" si="6"/>
        <v>23.206106870229007</v>
      </c>
      <c r="W35" s="5">
        <v>71.8</v>
      </c>
      <c r="X35" s="5">
        <v>82.8</v>
      </c>
      <c r="Y35" s="5">
        <v>51.6</v>
      </c>
      <c r="Z35" s="5">
        <v>82</v>
      </c>
      <c r="AA35" s="5">
        <v>85.6</v>
      </c>
      <c r="AB35" s="5">
        <v>59.6</v>
      </c>
      <c r="AC35" s="5">
        <v>37.799999999999997</v>
      </c>
      <c r="AD35" s="5">
        <v>47.2</v>
      </c>
      <c r="AE35" s="21" t="s">
        <v>117</v>
      </c>
      <c r="AF35" s="5">
        <f t="shared" si="7"/>
        <v>100</v>
      </c>
      <c r="AG35" s="5">
        <v>100</v>
      </c>
      <c r="AH35" s="5">
        <v>100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72</v>
      </c>
      <c r="B36" s="5" t="s">
        <v>35</v>
      </c>
      <c r="C36" s="5">
        <v>830.41200000000003</v>
      </c>
      <c r="D36" s="5">
        <v>550.79200000000003</v>
      </c>
      <c r="E36" s="16">
        <f>486.992+E63</f>
        <v>585.08799999999997</v>
      </c>
      <c r="F36" s="16">
        <f>868.645+F63</f>
        <v>836.45499999999993</v>
      </c>
      <c r="G36" s="8">
        <v>1</v>
      </c>
      <c r="H36" s="5">
        <v>60</v>
      </c>
      <c r="I36" s="5" t="s">
        <v>36</v>
      </c>
      <c r="J36" s="5"/>
      <c r="K36" s="5"/>
      <c r="L36" s="5">
        <f t="shared" si="2"/>
        <v>585.08799999999997</v>
      </c>
      <c r="M36" s="5"/>
      <c r="N36" s="5"/>
      <c r="O36" s="5">
        <v>500</v>
      </c>
      <c r="P36" s="5">
        <f t="shared" si="3"/>
        <v>117.01759999999999</v>
      </c>
      <c r="Q36" s="4">
        <f t="shared" si="10"/>
        <v>769.86179999999968</v>
      </c>
      <c r="R36" s="4">
        <f t="shared" si="11"/>
        <v>270</v>
      </c>
      <c r="S36" s="4"/>
      <c r="T36" s="5">
        <f>VLOOKUP(A:A,[1]Sheet!$A:$T,20,0)</f>
        <v>0</v>
      </c>
      <c r="U36" s="5">
        <f t="shared" si="5"/>
        <v>13.728319500656312</v>
      </c>
      <c r="V36" s="5">
        <f t="shared" si="6"/>
        <v>11.420974280791949</v>
      </c>
      <c r="W36" s="5">
        <v>49.442399999999999</v>
      </c>
      <c r="X36" s="5">
        <v>103.33240000000001</v>
      </c>
      <c r="Y36" s="5">
        <v>45.733600000000003</v>
      </c>
      <c r="Z36" s="5">
        <v>109.50020000000001</v>
      </c>
      <c r="AA36" s="5">
        <v>85.315399999999997</v>
      </c>
      <c r="AB36" s="5">
        <v>40.558399999999999</v>
      </c>
      <c r="AC36" s="5">
        <v>112.6086</v>
      </c>
      <c r="AD36" s="5">
        <v>78.438000000000002</v>
      </c>
      <c r="AE36" s="5"/>
      <c r="AF36" s="5">
        <f t="shared" si="7"/>
        <v>270</v>
      </c>
      <c r="AG36" s="5">
        <v>270</v>
      </c>
      <c r="AH36" s="5">
        <v>270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74</v>
      </c>
      <c r="B37" s="5" t="s">
        <v>46</v>
      </c>
      <c r="C37" s="5"/>
      <c r="D37" s="5">
        <v>330</v>
      </c>
      <c r="E37" s="5">
        <v>67</v>
      </c>
      <c r="F37" s="5">
        <v>259</v>
      </c>
      <c r="G37" s="8">
        <v>0.5</v>
      </c>
      <c r="H37" s="5">
        <v>60</v>
      </c>
      <c r="I37" s="5" t="s">
        <v>36</v>
      </c>
      <c r="J37" s="5"/>
      <c r="K37" s="5"/>
      <c r="L37" s="5">
        <f t="shared" si="2"/>
        <v>67</v>
      </c>
      <c r="M37" s="5"/>
      <c r="N37" s="5"/>
      <c r="O37" s="5">
        <v>100</v>
      </c>
      <c r="P37" s="5">
        <f t="shared" si="3"/>
        <v>13.4</v>
      </c>
      <c r="Q37" s="4"/>
      <c r="R37" s="4">
        <f t="shared" si="11"/>
        <v>40</v>
      </c>
      <c r="S37" s="4"/>
      <c r="T37" s="5">
        <f>VLOOKUP(A:A,[1]Sheet!$A:$T,20,0)</f>
        <v>0</v>
      </c>
      <c r="U37" s="5">
        <f t="shared" si="5"/>
        <v>29.776119402985074</v>
      </c>
      <c r="V37" s="5">
        <f t="shared" si="6"/>
        <v>26.791044776119403</v>
      </c>
      <c r="W37" s="5">
        <v>13</v>
      </c>
      <c r="X37" s="5">
        <v>19.600000000000001</v>
      </c>
      <c r="Y37" s="5">
        <v>13</v>
      </c>
      <c r="Z37" s="5">
        <v>18.8</v>
      </c>
      <c r="AA37" s="5">
        <v>28</v>
      </c>
      <c r="AB37" s="5">
        <v>25.2</v>
      </c>
      <c r="AC37" s="5">
        <v>10.4</v>
      </c>
      <c r="AD37" s="5">
        <v>23.8</v>
      </c>
      <c r="AE37" s="5"/>
      <c r="AF37" s="5">
        <f t="shared" si="7"/>
        <v>20</v>
      </c>
      <c r="AG37" s="5"/>
      <c r="AH37" s="5">
        <v>20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10" t="s">
        <v>75</v>
      </c>
      <c r="B38" s="10" t="s">
        <v>46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76</v>
      </c>
      <c r="J38" s="10" t="s">
        <v>68</v>
      </c>
      <c r="K38" s="10"/>
      <c r="L38" s="10">
        <f t="shared" ref="L38:L69" si="12">E38-K38</f>
        <v>0</v>
      </c>
      <c r="M38" s="10"/>
      <c r="N38" s="10"/>
      <c r="O38" s="10"/>
      <c r="P38" s="10">
        <f t="shared" ref="P38:P69" si="13">E38/5</f>
        <v>0</v>
      </c>
      <c r="Q38" s="12"/>
      <c r="R38" s="12"/>
      <c r="S38" s="12"/>
      <c r="T38" s="5">
        <f>VLOOKUP(A:A,[1]Sheet!$A:$T,20,0)</f>
        <v>0</v>
      </c>
      <c r="U38" s="5" t="e">
        <f t="shared" si="5"/>
        <v>#DIV/0!</v>
      </c>
      <c r="V38" s="10" t="e">
        <f t="shared" si="6"/>
        <v>#DIV/0!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/>
      <c r="AF38" s="5">
        <f t="shared" si="7"/>
        <v>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77</v>
      </c>
      <c r="B39" s="5" t="s">
        <v>46</v>
      </c>
      <c r="C39" s="5"/>
      <c r="D39" s="5">
        <v>89</v>
      </c>
      <c r="E39" s="5">
        <v>63</v>
      </c>
      <c r="F39" s="5">
        <v>19</v>
      </c>
      <c r="G39" s="8">
        <v>0.4</v>
      </c>
      <c r="H39" s="5">
        <v>50</v>
      </c>
      <c r="I39" s="5" t="s">
        <v>36</v>
      </c>
      <c r="J39" s="5"/>
      <c r="K39" s="5"/>
      <c r="L39" s="5">
        <f t="shared" si="12"/>
        <v>63</v>
      </c>
      <c r="M39" s="5"/>
      <c r="N39" s="5"/>
      <c r="O39" s="5">
        <v>50</v>
      </c>
      <c r="P39" s="5">
        <f t="shared" si="13"/>
        <v>12.6</v>
      </c>
      <c r="Q39" s="4">
        <f>14*P39-O39-F39</f>
        <v>107.4</v>
      </c>
      <c r="R39" s="4">
        <f t="shared" ref="R39:R40" si="14">AH39/G39</f>
        <v>112.5</v>
      </c>
      <c r="S39" s="4"/>
      <c r="T39" s="5">
        <f>VLOOKUP(A:A,[1]Sheet!$A:$T,20,0)</f>
        <v>0</v>
      </c>
      <c r="U39" s="5">
        <f t="shared" si="5"/>
        <v>14.404761904761905</v>
      </c>
      <c r="V39" s="5">
        <f t="shared" si="6"/>
        <v>5.4761904761904763</v>
      </c>
      <c r="W39" s="5">
        <v>14.2</v>
      </c>
      <c r="X39" s="5">
        <v>10.199999999999999</v>
      </c>
      <c r="Y39" s="5">
        <v>11</v>
      </c>
      <c r="Z39" s="5">
        <v>0.8</v>
      </c>
      <c r="AA39" s="5">
        <v>6.4</v>
      </c>
      <c r="AB39" s="5">
        <v>17</v>
      </c>
      <c r="AC39" s="5">
        <v>7</v>
      </c>
      <c r="AD39" s="5">
        <v>17.8</v>
      </c>
      <c r="AE39" s="5" t="s">
        <v>78</v>
      </c>
      <c r="AF39" s="5">
        <f t="shared" si="7"/>
        <v>45</v>
      </c>
      <c r="AG39" s="5">
        <v>45</v>
      </c>
      <c r="AH39" s="5">
        <v>45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79</v>
      </c>
      <c r="B40" s="5" t="s">
        <v>35</v>
      </c>
      <c r="C40" s="5">
        <v>1131.58</v>
      </c>
      <c r="D40" s="5">
        <v>1310.2539999999999</v>
      </c>
      <c r="E40" s="16">
        <f>902.455+E64</f>
        <v>1058.703</v>
      </c>
      <c r="F40" s="16">
        <f>1364.676+F64</f>
        <v>1306.3909999999998</v>
      </c>
      <c r="G40" s="8">
        <v>1</v>
      </c>
      <c r="H40" s="5">
        <v>40</v>
      </c>
      <c r="I40" s="5" t="s">
        <v>36</v>
      </c>
      <c r="J40" s="5"/>
      <c r="K40" s="5"/>
      <c r="L40" s="5">
        <f t="shared" si="12"/>
        <v>1058.703</v>
      </c>
      <c r="M40" s="5"/>
      <c r="N40" s="5"/>
      <c r="O40" s="5">
        <v>1150</v>
      </c>
      <c r="P40" s="5">
        <f t="shared" si="13"/>
        <v>211.7406</v>
      </c>
      <c r="Q40" s="4">
        <f t="shared" ref="Q40" si="15">18*P40-O40-F40</f>
        <v>1354.9398000000003</v>
      </c>
      <c r="R40" s="4">
        <f t="shared" si="14"/>
        <v>900</v>
      </c>
      <c r="S40" s="4"/>
      <c r="T40" s="5">
        <f>VLOOKUP(A:A,[1]Sheet!$A:$T,20,0)</f>
        <v>0</v>
      </c>
      <c r="U40" s="5">
        <f t="shared" si="5"/>
        <v>15.851428587620889</v>
      </c>
      <c r="V40" s="5">
        <f t="shared" si="6"/>
        <v>11.600944740876335</v>
      </c>
      <c r="W40" s="5">
        <v>139.38579999999999</v>
      </c>
      <c r="X40" s="5">
        <v>149.83959999999999</v>
      </c>
      <c r="Y40" s="5">
        <v>133.23519999999999</v>
      </c>
      <c r="Z40" s="5">
        <v>159.911</v>
      </c>
      <c r="AA40" s="5">
        <v>226.24279999999999</v>
      </c>
      <c r="AB40" s="5">
        <v>103.3708</v>
      </c>
      <c r="AC40" s="5">
        <v>172.51499999999999</v>
      </c>
      <c r="AD40" s="5">
        <v>191.07300000000001</v>
      </c>
      <c r="AE40" s="5"/>
      <c r="AF40" s="5">
        <f t="shared" si="7"/>
        <v>900</v>
      </c>
      <c r="AG40" s="5">
        <v>650</v>
      </c>
      <c r="AH40" s="5">
        <v>900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10" t="s">
        <v>80</v>
      </c>
      <c r="B41" s="10" t="s">
        <v>35</v>
      </c>
      <c r="C41" s="10">
        <v>-4.2350000000000003</v>
      </c>
      <c r="D41" s="10"/>
      <c r="E41" s="16">
        <f>0+E65</f>
        <v>1.69</v>
      </c>
      <c r="F41" s="10">
        <v>-4.2350000000000003</v>
      </c>
      <c r="G41" s="11">
        <v>0</v>
      </c>
      <c r="H41" s="10"/>
      <c r="I41" s="10" t="s">
        <v>76</v>
      </c>
      <c r="J41" s="10"/>
      <c r="K41" s="10"/>
      <c r="L41" s="10">
        <f t="shared" si="12"/>
        <v>1.69</v>
      </c>
      <c r="M41" s="10"/>
      <c r="N41" s="10"/>
      <c r="O41" s="10"/>
      <c r="P41" s="10">
        <f t="shared" si="13"/>
        <v>0.33799999999999997</v>
      </c>
      <c r="Q41" s="12"/>
      <c r="R41" s="12"/>
      <c r="S41" s="12"/>
      <c r="T41" s="5">
        <f>VLOOKUP(A:A,[1]Sheet!$A:$T,20,0)</f>
        <v>0</v>
      </c>
      <c r="U41" s="5">
        <f t="shared" si="5"/>
        <v>-12.529585798816571</v>
      </c>
      <c r="V41" s="10">
        <f t="shared" si="6"/>
        <v>-12.529585798816571</v>
      </c>
      <c r="W41" s="10">
        <v>-0.3392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/>
      <c r="AF41" s="5">
        <f t="shared" si="7"/>
        <v>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81</v>
      </c>
      <c r="B42" s="5" t="s">
        <v>35</v>
      </c>
      <c r="C42" s="5">
        <v>173.17</v>
      </c>
      <c r="D42" s="5">
        <v>430.81200000000001</v>
      </c>
      <c r="E42" s="5">
        <v>99.341999999999999</v>
      </c>
      <c r="F42" s="5">
        <v>487.9</v>
      </c>
      <c r="G42" s="8">
        <v>1</v>
      </c>
      <c r="H42" s="5">
        <v>70</v>
      </c>
      <c r="I42" s="5" t="s">
        <v>36</v>
      </c>
      <c r="J42" s="5"/>
      <c r="K42" s="5"/>
      <c r="L42" s="5">
        <f t="shared" si="12"/>
        <v>99.341999999999999</v>
      </c>
      <c r="M42" s="5"/>
      <c r="N42" s="5"/>
      <c r="O42" s="5">
        <v>100</v>
      </c>
      <c r="P42" s="5">
        <f t="shared" si="13"/>
        <v>19.868400000000001</v>
      </c>
      <c r="Q42" s="4"/>
      <c r="R42" s="4">
        <f t="shared" ref="R42:R43" si="16">AH42/G42</f>
        <v>0</v>
      </c>
      <c r="S42" s="4"/>
      <c r="T42" s="5">
        <f>VLOOKUP(A:A,[1]Sheet!$A:$T,20,0)</f>
        <v>0</v>
      </c>
      <c r="U42" s="5">
        <f t="shared" si="5"/>
        <v>29.589700227496927</v>
      </c>
      <c r="V42" s="5">
        <f t="shared" si="6"/>
        <v>29.589700227496927</v>
      </c>
      <c r="W42" s="5">
        <v>35.039400000000001</v>
      </c>
      <c r="X42" s="5">
        <v>23.706800000000001</v>
      </c>
      <c r="Y42" s="5">
        <v>14.4344</v>
      </c>
      <c r="Z42" s="5">
        <v>38.240600000000001</v>
      </c>
      <c r="AA42" s="5">
        <v>44.201000000000001</v>
      </c>
      <c r="AB42" s="5">
        <v>23.965399999999999</v>
      </c>
      <c r="AC42" s="5">
        <v>16.132000000000001</v>
      </c>
      <c r="AD42" s="5">
        <v>27.191600000000001</v>
      </c>
      <c r="AE42" s="18" t="s">
        <v>73</v>
      </c>
      <c r="AF42" s="5">
        <f t="shared" si="7"/>
        <v>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82</v>
      </c>
      <c r="B43" s="5" t="s">
        <v>46</v>
      </c>
      <c r="C43" s="20">
        <v>299</v>
      </c>
      <c r="D43" s="5">
        <v>1878</v>
      </c>
      <c r="E43" s="16">
        <f>591+E66</f>
        <v>651</v>
      </c>
      <c r="F43" s="16">
        <f>1246+F66</f>
        <v>1194</v>
      </c>
      <c r="G43" s="8">
        <v>0.4</v>
      </c>
      <c r="H43" s="5">
        <v>40</v>
      </c>
      <c r="I43" s="5" t="s">
        <v>36</v>
      </c>
      <c r="J43" s="5"/>
      <c r="K43" s="5"/>
      <c r="L43" s="5">
        <f t="shared" si="12"/>
        <v>651</v>
      </c>
      <c r="M43" s="5"/>
      <c r="N43" s="5"/>
      <c r="O43" s="5">
        <v>1100</v>
      </c>
      <c r="P43" s="5">
        <f t="shared" si="13"/>
        <v>130.19999999999999</v>
      </c>
      <c r="Q43" s="4">
        <f t="shared" ref="Q43" si="17">18*P43-O43-F43</f>
        <v>49.599999999999909</v>
      </c>
      <c r="R43" s="4">
        <f t="shared" si="16"/>
        <v>700</v>
      </c>
      <c r="S43" s="4"/>
      <c r="T43" s="5" t="str">
        <f>VLOOKUP(A:A,[1]Sheet!$A:$T,20,0)</f>
        <v>остановлены отгрузки на халк</v>
      </c>
      <c r="U43" s="5">
        <f t="shared" si="5"/>
        <v>22.995391705069128</v>
      </c>
      <c r="V43" s="5">
        <f t="shared" si="6"/>
        <v>17.61904761904762</v>
      </c>
      <c r="W43" s="5">
        <v>169.6</v>
      </c>
      <c r="X43" s="5">
        <v>152.19999999999999</v>
      </c>
      <c r="Y43" s="5">
        <v>152.19999999999999</v>
      </c>
      <c r="Z43" s="5">
        <v>148.19999999999999</v>
      </c>
      <c r="AA43" s="5">
        <v>162.80000000000001</v>
      </c>
      <c r="AB43" s="5">
        <v>88.8</v>
      </c>
      <c r="AC43" s="5">
        <v>98.2</v>
      </c>
      <c r="AD43" s="5">
        <v>104.4</v>
      </c>
      <c r="AE43" s="21" t="s">
        <v>118</v>
      </c>
      <c r="AF43" s="5">
        <f t="shared" si="7"/>
        <v>280</v>
      </c>
      <c r="AG43" s="5">
        <v>380</v>
      </c>
      <c r="AH43" s="5">
        <v>280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10" t="s">
        <v>83</v>
      </c>
      <c r="B44" s="10" t="s">
        <v>35</v>
      </c>
      <c r="C44" s="10">
        <v>56.968000000000004</v>
      </c>
      <c r="D44" s="10"/>
      <c r="E44" s="10">
        <v>-44.465000000000003</v>
      </c>
      <c r="F44" s="10"/>
      <c r="G44" s="11">
        <v>0</v>
      </c>
      <c r="H44" s="10">
        <v>40</v>
      </c>
      <c r="I44" s="10" t="s">
        <v>54</v>
      </c>
      <c r="J44" s="10"/>
      <c r="K44" s="10"/>
      <c r="L44" s="10">
        <f t="shared" si="12"/>
        <v>-44.465000000000003</v>
      </c>
      <c r="M44" s="10"/>
      <c r="N44" s="10"/>
      <c r="O44" s="10"/>
      <c r="P44" s="10">
        <f t="shared" si="13"/>
        <v>-8.8930000000000007</v>
      </c>
      <c r="Q44" s="12"/>
      <c r="R44" s="12"/>
      <c r="S44" s="12"/>
      <c r="T44" s="5">
        <f>VLOOKUP(A:A,[1]Sheet!$A:$T,20,0)</f>
        <v>0</v>
      </c>
      <c r="U44" s="5">
        <f t="shared" si="5"/>
        <v>0</v>
      </c>
      <c r="V44" s="10">
        <f t="shared" si="6"/>
        <v>0</v>
      </c>
      <c r="W44" s="10">
        <v>48.434800000000003</v>
      </c>
      <c r="X44" s="10">
        <v>53.868200000000002</v>
      </c>
      <c r="Y44" s="10">
        <v>39.2804</v>
      </c>
      <c r="Z44" s="10">
        <v>70.917600000000007</v>
      </c>
      <c r="AA44" s="10">
        <v>89.366799999999998</v>
      </c>
      <c r="AB44" s="10">
        <v>38.957799999999999</v>
      </c>
      <c r="AC44" s="10">
        <v>46.474800000000002</v>
      </c>
      <c r="AD44" s="10">
        <v>58.183799999999998</v>
      </c>
      <c r="AE44" s="10" t="s">
        <v>84</v>
      </c>
      <c r="AF44" s="5">
        <f t="shared" si="7"/>
        <v>0</v>
      </c>
      <c r="AG44" s="5"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85</v>
      </c>
      <c r="B45" s="5" t="s">
        <v>35</v>
      </c>
      <c r="C45" s="5">
        <v>386.73</v>
      </c>
      <c r="D45" s="5">
        <v>577.44600000000003</v>
      </c>
      <c r="E45" s="16">
        <f>144.97+E67</f>
        <v>220.55199999999999</v>
      </c>
      <c r="F45" s="16">
        <f>798.041+F67</f>
        <v>759.77700000000004</v>
      </c>
      <c r="G45" s="8">
        <v>1</v>
      </c>
      <c r="H45" s="5">
        <v>60</v>
      </c>
      <c r="I45" s="5" t="s">
        <v>36</v>
      </c>
      <c r="J45" s="5"/>
      <c r="K45" s="5"/>
      <c r="L45" s="5">
        <f t="shared" si="12"/>
        <v>220.55199999999999</v>
      </c>
      <c r="M45" s="5"/>
      <c r="N45" s="5"/>
      <c r="O45" s="5">
        <v>200</v>
      </c>
      <c r="P45" s="5">
        <f t="shared" si="13"/>
        <v>44.110399999999998</v>
      </c>
      <c r="Q45" s="4"/>
      <c r="R45" s="4">
        <f t="shared" ref="R45:R52" si="18">AH45/G45</f>
        <v>0</v>
      </c>
      <c r="S45" s="4"/>
      <c r="T45" s="5">
        <f>VLOOKUP(A:A,[1]Sheet!$A:$T,20,0)</f>
        <v>0</v>
      </c>
      <c r="U45" s="5">
        <f t="shared" si="5"/>
        <v>21.758519532808592</v>
      </c>
      <c r="V45" s="5">
        <f t="shared" si="6"/>
        <v>21.758519532808592</v>
      </c>
      <c r="W45" s="5">
        <v>55.955199999999998</v>
      </c>
      <c r="X45" s="5">
        <v>43.550600000000003</v>
      </c>
      <c r="Y45" s="5">
        <v>41.447400000000002</v>
      </c>
      <c r="Z45" s="5">
        <v>48.029000000000003</v>
      </c>
      <c r="AA45" s="5">
        <v>79.710799999999992</v>
      </c>
      <c r="AB45" s="5">
        <v>45.574800000000003</v>
      </c>
      <c r="AC45" s="5">
        <v>48.013599999999997</v>
      </c>
      <c r="AD45" s="5">
        <v>54.533200000000001</v>
      </c>
      <c r="AE45" s="17" t="s">
        <v>114</v>
      </c>
      <c r="AF45" s="5">
        <f t="shared" si="7"/>
        <v>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86</v>
      </c>
      <c r="B46" s="5" t="s">
        <v>35</v>
      </c>
      <c r="C46" s="5">
        <v>91.001999999999995</v>
      </c>
      <c r="D46" s="5">
        <v>62.762999999999998</v>
      </c>
      <c r="E46" s="5">
        <v>44.293999999999997</v>
      </c>
      <c r="F46" s="5">
        <v>100.095</v>
      </c>
      <c r="G46" s="8">
        <v>1</v>
      </c>
      <c r="H46" s="5">
        <v>50</v>
      </c>
      <c r="I46" s="5" t="s">
        <v>36</v>
      </c>
      <c r="J46" s="5"/>
      <c r="K46" s="5"/>
      <c r="L46" s="5">
        <f t="shared" si="12"/>
        <v>44.293999999999997</v>
      </c>
      <c r="M46" s="5"/>
      <c r="N46" s="5"/>
      <c r="O46" s="5">
        <v>50</v>
      </c>
      <c r="P46" s="5">
        <f t="shared" si="13"/>
        <v>8.8587999999999987</v>
      </c>
      <c r="Q46" s="4">
        <f t="shared" ref="Q46:Q51" si="19">18*P46-O46-F46</f>
        <v>9.3633999999999844</v>
      </c>
      <c r="R46" s="4">
        <f t="shared" si="18"/>
        <v>0</v>
      </c>
      <c r="S46" s="4"/>
      <c r="T46" s="5">
        <f>VLOOKUP(A:A,[1]Sheet!$A:$T,20,0)</f>
        <v>0</v>
      </c>
      <c r="U46" s="5">
        <f t="shared" si="5"/>
        <v>16.943039689348446</v>
      </c>
      <c r="V46" s="5">
        <f t="shared" si="6"/>
        <v>16.943039689348446</v>
      </c>
      <c r="W46" s="5">
        <v>11.0182</v>
      </c>
      <c r="X46" s="5">
        <v>7.6918000000000006</v>
      </c>
      <c r="Y46" s="5">
        <v>0.50519999999999998</v>
      </c>
      <c r="Z46" s="5">
        <v>6.7165999999999997</v>
      </c>
      <c r="AA46" s="5">
        <v>13.8034</v>
      </c>
      <c r="AB46" s="5">
        <v>8.3033999999999999</v>
      </c>
      <c r="AC46" s="5">
        <v>11.757999999999999</v>
      </c>
      <c r="AD46" s="5">
        <v>9.4796000000000014</v>
      </c>
      <c r="AE46" s="5"/>
      <c r="AF46" s="5">
        <f t="shared" si="7"/>
        <v>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87</v>
      </c>
      <c r="B47" s="5" t="s">
        <v>46</v>
      </c>
      <c r="C47" s="5">
        <v>86</v>
      </c>
      <c r="D47" s="5">
        <v>239</v>
      </c>
      <c r="E47" s="5">
        <v>127</v>
      </c>
      <c r="F47" s="5">
        <v>189</v>
      </c>
      <c r="G47" s="8">
        <v>0.45</v>
      </c>
      <c r="H47" s="5">
        <v>50</v>
      </c>
      <c r="I47" s="5" t="s">
        <v>36</v>
      </c>
      <c r="J47" s="5"/>
      <c r="K47" s="5"/>
      <c r="L47" s="5">
        <f t="shared" si="12"/>
        <v>127</v>
      </c>
      <c r="M47" s="5"/>
      <c r="N47" s="5"/>
      <c r="O47" s="5">
        <v>133.33333333333329</v>
      </c>
      <c r="P47" s="5">
        <f t="shared" si="13"/>
        <v>25.4</v>
      </c>
      <c r="Q47" s="4">
        <f t="shared" si="19"/>
        <v>134.86666666666667</v>
      </c>
      <c r="R47" s="4">
        <f t="shared" si="18"/>
        <v>120</v>
      </c>
      <c r="S47" s="4"/>
      <c r="T47" s="5">
        <f>VLOOKUP(A:A,[1]Sheet!$A:$T,20,0)</f>
        <v>0</v>
      </c>
      <c r="U47" s="5">
        <f t="shared" si="5"/>
        <v>17.414698162729657</v>
      </c>
      <c r="V47" s="5">
        <f t="shared" si="6"/>
        <v>12.690288713910759</v>
      </c>
      <c r="W47" s="5">
        <v>20.6</v>
      </c>
      <c r="X47" s="5">
        <v>22.4</v>
      </c>
      <c r="Y47" s="5">
        <v>13</v>
      </c>
      <c r="Z47" s="5">
        <v>27</v>
      </c>
      <c r="AA47" s="5">
        <v>33.6</v>
      </c>
      <c r="AB47" s="5">
        <v>17</v>
      </c>
      <c r="AC47" s="5">
        <v>11.2</v>
      </c>
      <c r="AD47" s="5">
        <v>23.8</v>
      </c>
      <c r="AE47" s="5"/>
      <c r="AF47" s="5">
        <f t="shared" si="7"/>
        <v>54</v>
      </c>
      <c r="AG47" s="5">
        <v>50</v>
      </c>
      <c r="AH47" s="5">
        <v>54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88</v>
      </c>
      <c r="B48" s="5" t="s">
        <v>46</v>
      </c>
      <c r="C48" s="5">
        <v>35</v>
      </c>
      <c r="D48" s="5">
        <v>600</v>
      </c>
      <c r="E48" s="5">
        <v>174</v>
      </c>
      <c r="F48" s="5">
        <v>437</v>
      </c>
      <c r="G48" s="8">
        <v>0.4</v>
      </c>
      <c r="H48" s="5">
        <v>50</v>
      </c>
      <c r="I48" s="5" t="s">
        <v>36</v>
      </c>
      <c r="J48" s="5"/>
      <c r="K48" s="5"/>
      <c r="L48" s="5">
        <f t="shared" si="12"/>
        <v>174</v>
      </c>
      <c r="M48" s="5"/>
      <c r="N48" s="5"/>
      <c r="O48" s="5">
        <v>150</v>
      </c>
      <c r="P48" s="5">
        <f t="shared" si="13"/>
        <v>34.799999999999997</v>
      </c>
      <c r="Q48" s="4">
        <f t="shared" si="19"/>
        <v>39.399999999999977</v>
      </c>
      <c r="R48" s="4">
        <f t="shared" si="18"/>
        <v>112.5</v>
      </c>
      <c r="S48" s="4"/>
      <c r="T48" s="5">
        <f>VLOOKUP(A:A,[1]Sheet!$A:$T,20,0)</f>
        <v>0</v>
      </c>
      <c r="U48" s="5">
        <f t="shared" si="5"/>
        <v>20.100574712643681</v>
      </c>
      <c r="V48" s="5">
        <f t="shared" si="6"/>
        <v>16.867816091954026</v>
      </c>
      <c r="W48" s="5">
        <v>40.200000000000003</v>
      </c>
      <c r="X48" s="5">
        <v>41.4</v>
      </c>
      <c r="Y48" s="5">
        <v>26</v>
      </c>
      <c r="Z48" s="5">
        <v>31.4</v>
      </c>
      <c r="AA48" s="5">
        <v>54.4</v>
      </c>
      <c r="AB48" s="5">
        <v>33</v>
      </c>
      <c r="AC48" s="5">
        <v>11.2</v>
      </c>
      <c r="AD48" s="5">
        <v>41.4</v>
      </c>
      <c r="AE48" s="5"/>
      <c r="AF48" s="5">
        <f t="shared" si="7"/>
        <v>45</v>
      </c>
      <c r="AG48" s="5">
        <v>45</v>
      </c>
      <c r="AH48" s="5">
        <v>45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89</v>
      </c>
      <c r="B49" s="5" t="s">
        <v>35</v>
      </c>
      <c r="C49" s="5">
        <v>20.617000000000001</v>
      </c>
      <c r="D49" s="5">
        <v>215.148</v>
      </c>
      <c r="E49" s="5">
        <v>69.533000000000001</v>
      </c>
      <c r="F49" s="5">
        <v>156.79499999999999</v>
      </c>
      <c r="G49" s="8">
        <v>1</v>
      </c>
      <c r="H49" s="5">
        <v>50</v>
      </c>
      <c r="I49" s="5" t="s">
        <v>36</v>
      </c>
      <c r="J49" s="5"/>
      <c r="K49" s="5"/>
      <c r="L49" s="5">
        <f t="shared" si="12"/>
        <v>69.533000000000001</v>
      </c>
      <c r="M49" s="5"/>
      <c r="N49" s="5"/>
      <c r="O49" s="5">
        <v>100</v>
      </c>
      <c r="P49" s="5">
        <f t="shared" si="13"/>
        <v>13.906600000000001</v>
      </c>
      <c r="Q49" s="4"/>
      <c r="R49" s="4">
        <f t="shared" si="18"/>
        <v>0</v>
      </c>
      <c r="S49" s="4"/>
      <c r="T49" s="5">
        <f>VLOOKUP(A:A,[1]Sheet!$A:$T,20,0)</f>
        <v>0</v>
      </c>
      <c r="U49" s="5">
        <f t="shared" si="5"/>
        <v>18.465692548861686</v>
      </c>
      <c r="V49" s="5">
        <f t="shared" si="6"/>
        <v>18.465692548861686</v>
      </c>
      <c r="W49" s="5">
        <v>16.425999999999998</v>
      </c>
      <c r="X49" s="5">
        <v>17.5504</v>
      </c>
      <c r="Y49" s="5">
        <v>9.9718</v>
      </c>
      <c r="Z49" s="5">
        <v>11.7598</v>
      </c>
      <c r="AA49" s="5">
        <v>15.9208</v>
      </c>
      <c r="AB49" s="5">
        <v>14.7422</v>
      </c>
      <c r="AC49" s="5">
        <v>10.381</v>
      </c>
      <c r="AD49" s="5">
        <v>12.5642</v>
      </c>
      <c r="AE49" s="5"/>
      <c r="AF49" s="5">
        <f t="shared" si="7"/>
        <v>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90</v>
      </c>
      <c r="B50" s="5" t="s">
        <v>46</v>
      </c>
      <c r="C50" s="5">
        <v>403</v>
      </c>
      <c r="D50" s="5">
        <v>830</v>
      </c>
      <c r="E50" s="5">
        <v>334</v>
      </c>
      <c r="F50" s="5">
        <v>869</v>
      </c>
      <c r="G50" s="8">
        <v>0.45</v>
      </c>
      <c r="H50" s="5">
        <v>50</v>
      </c>
      <c r="I50" s="5" t="s">
        <v>36</v>
      </c>
      <c r="J50" s="5"/>
      <c r="K50" s="5"/>
      <c r="L50" s="5">
        <f t="shared" si="12"/>
        <v>334</v>
      </c>
      <c r="M50" s="5"/>
      <c r="N50" s="5"/>
      <c r="O50" s="5">
        <v>333.33333333333331</v>
      </c>
      <c r="P50" s="5">
        <f t="shared" si="13"/>
        <v>66.8</v>
      </c>
      <c r="Q50" s="4"/>
      <c r="R50" s="4">
        <f t="shared" si="18"/>
        <v>0</v>
      </c>
      <c r="S50" s="4"/>
      <c r="T50" s="5">
        <f>VLOOKUP(A:A,[1]Sheet!$A:$T,20,0)</f>
        <v>0</v>
      </c>
      <c r="U50" s="5">
        <f t="shared" si="5"/>
        <v>17.999001996007983</v>
      </c>
      <c r="V50" s="5">
        <f t="shared" si="6"/>
        <v>17.999001996007983</v>
      </c>
      <c r="W50" s="5">
        <v>55</v>
      </c>
      <c r="X50" s="5">
        <v>74.8</v>
      </c>
      <c r="Y50" s="5">
        <v>75.599999999999994</v>
      </c>
      <c r="Z50" s="5">
        <v>56.4</v>
      </c>
      <c r="AA50" s="5">
        <v>80.599999999999994</v>
      </c>
      <c r="AB50" s="5">
        <v>56.2</v>
      </c>
      <c r="AC50" s="5">
        <v>74.599999999999994</v>
      </c>
      <c r="AD50" s="5">
        <v>72.400000000000006</v>
      </c>
      <c r="AE50" s="5"/>
      <c r="AF50" s="5">
        <f t="shared" si="7"/>
        <v>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91</v>
      </c>
      <c r="B51" s="5" t="s">
        <v>46</v>
      </c>
      <c r="C51" s="5">
        <v>211</v>
      </c>
      <c r="D51" s="5"/>
      <c r="E51" s="5">
        <v>49</v>
      </c>
      <c r="F51" s="5">
        <v>161</v>
      </c>
      <c r="G51" s="8">
        <v>0.17</v>
      </c>
      <c r="H51" s="5">
        <v>180</v>
      </c>
      <c r="I51" s="5" t="s">
        <v>36</v>
      </c>
      <c r="J51" s="5"/>
      <c r="K51" s="5"/>
      <c r="L51" s="5">
        <f t="shared" si="12"/>
        <v>49</v>
      </c>
      <c r="M51" s="5"/>
      <c r="N51" s="5"/>
      <c r="O51" s="5">
        <v>0</v>
      </c>
      <c r="P51" s="5">
        <f t="shared" si="13"/>
        <v>9.8000000000000007</v>
      </c>
      <c r="Q51" s="4">
        <f t="shared" si="19"/>
        <v>15.400000000000006</v>
      </c>
      <c r="R51" s="4">
        <f t="shared" si="18"/>
        <v>0</v>
      </c>
      <c r="S51" s="4"/>
      <c r="T51" s="5">
        <f>VLOOKUP(A:A,[1]Sheet!$A:$T,20,0)</f>
        <v>0</v>
      </c>
      <c r="U51" s="5">
        <f t="shared" si="5"/>
        <v>16.428571428571427</v>
      </c>
      <c r="V51" s="5">
        <f t="shared" si="6"/>
        <v>16.428571428571427</v>
      </c>
      <c r="W51" s="5">
        <v>7.4</v>
      </c>
      <c r="X51" s="5">
        <v>8.1999999999999993</v>
      </c>
      <c r="Y51" s="5">
        <v>11.4</v>
      </c>
      <c r="Z51" s="5">
        <v>10.6</v>
      </c>
      <c r="AA51" s="5">
        <v>12.2</v>
      </c>
      <c r="AB51" s="5">
        <v>6.6</v>
      </c>
      <c r="AC51" s="5">
        <v>5.4</v>
      </c>
      <c r="AD51" s="5">
        <v>13.2</v>
      </c>
      <c r="AE51" s="19" t="s">
        <v>114</v>
      </c>
      <c r="AF51" s="5">
        <f t="shared" si="7"/>
        <v>0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92</v>
      </c>
      <c r="B52" s="5" t="s">
        <v>46</v>
      </c>
      <c r="C52" s="5">
        <v>-2</v>
      </c>
      <c r="D52" s="5">
        <v>810</v>
      </c>
      <c r="E52" s="16">
        <f>60+E69</f>
        <v>66</v>
      </c>
      <c r="F52" s="16">
        <f>748+F69</f>
        <v>744</v>
      </c>
      <c r="G52" s="8">
        <v>0.17</v>
      </c>
      <c r="H52" s="5">
        <v>180</v>
      </c>
      <c r="I52" s="5" t="s">
        <v>36</v>
      </c>
      <c r="J52" s="5"/>
      <c r="K52" s="5"/>
      <c r="L52" s="5">
        <f t="shared" si="12"/>
        <v>66</v>
      </c>
      <c r="M52" s="5"/>
      <c r="N52" s="5"/>
      <c r="O52" s="5">
        <v>0</v>
      </c>
      <c r="P52" s="5">
        <f t="shared" si="13"/>
        <v>13.2</v>
      </c>
      <c r="Q52" s="4"/>
      <c r="R52" s="4">
        <f t="shared" si="18"/>
        <v>0</v>
      </c>
      <c r="S52" s="4"/>
      <c r="T52" s="5">
        <f>VLOOKUP(A:A,[1]Sheet!$A:$T,20,0)</f>
        <v>0</v>
      </c>
      <c r="U52" s="5">
        <f t="shared" si="5"/>
        <v>56.363636363636367</v>
      </c>
      <c r="V52" s="5">
        <f t="shared" si="6"/>
        <v>56.363636363636367</v>
      </c>
      <c r="W52" s="5">
        <v>0</v>
      </c>
      <c r="X52" s="5">
        <v>1</v>
      </c>
      <c r="Y52" s="5">
        <v>35.4</v>
      </c>
      <c r="Z52" s="5">
        <v>21</v>
      </c>
      <c r="AA52" s="5">
        <v>33.4</v>
      </c>
      <c r="AB52" s="5">
        <v>24.4</v>
      </c>
      <c r="AC52" s="5">
        <v>2.8</v>
      </c>
      <c r="AD52" s="5">
        <v>13.2</v>
      </c>
      <c r="AE52" s="5"/>
      <c r="AF52" s="5">
        <f t="shared" si="7"/>
        <v>0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13" t="s">
        <v>93</v>
      </c>
      <c r="B53" s="13" t="s">
        <v>46</v>
      </c>
      <c r="C53" s="13"/>
      <c r="D53" s="13"/>
      <c r="E53" s="16">
        <v>3</v>
      </c>
      <c r="F53" s="16">
        <v>-3</v>
      </c>
      <c r="G53" s="14">
        <v>0</v>
      </c>
      <c r="H53" s="13"/>
      <c r="I53" s="13" t="s">
        <v>94</v>
      </c>
      <c r="J53" s="13" t="s">
        <v>45</v>
      </c>
      <c r="K53" s="13"/>
      <c r="L53" s="13">
        <f t="shared" si="12"/>
        <v>3</v>
      </c>
      <c r="M53" s="13"/>
      <c r="N53" s="13"/>
      <c r="O53" s="13"/>
      <c r="P53" s="13">
        <f t="shared" si="13"/>
        <v>0.6</v>
      </c>
      <c r="Q53" s="15"/>
      <c r="R53" s="15"/>
      <c r="S53" s="15"/>
      <c r="T53" s="5">
        <f>VLOOKUP(A:A,[1]Sheet!$A:$T,20,0)</f>
        <v>0</v>
      </c>
      <c r="U53" s="5">
        <f t="shared" si="5"/>
        <v>-5</v>
      </c>
      <c r="V53" s="13">
        <f t="shared" si="6"/>
        <v>-5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/>
      <c r="AF53" s="13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13" t="s">
        <v>95</v>
      </c>
      <c r="B54" s="13" t="s">
        <v>35</v>
      </c>
      <c r="C54" s="13">
        <v>4.3570000000000002</v>
      </c>
      <c r="D54" s="13"/>
      <c r="E54" s="16">
        <v>16.814</v>
      </c>
      <c r="F54" s="16">
        <v>-12.457000000000001</v>
      </c>
      <c r="G54" s="14">
        <v>0</v>
      </c>
      <c r="H54" s="13"/>
      <c r="I54" s="13" t="s">
        <v>94</v>
      </c>
      <c r="J54" s="13" t="s">
        <v>47</v>
      </c>
      <c r="K54" s="13"/>
      <c r="L54" s="13">
        <f t="shared" si="12"/>
        <v>16.814</v>
      </c>
      <c r="M54" s="13"/>
      <c r="N54" s="13"/>
      <c r="O54" s="13"/>
      <c r="P54" s="13">
        <f t="shared" si="13"/>
        <v>3.3628</v>
      </c>
      <c r="Q54" s="15"/>
      <c r="R54" s="15"/>
      <c r="S54" s="15"/>
      <c r="T54" s="5">
        <f>VLOOKUP(A:A,[1]Sheet!$A:$T,20,0)</f>
        <v>0</v>
      </c>
      <c r="U54" s="5">
        <f t="shared" si="5"/>
        <v>-3.7043535149280364</v>
      </c>
      <c r="V54" s="13">
        <f t="shared" si="6"/>
        <v>-3.7043535149280364</v>
      </c>
      <c r="W54" s="13">
        <v>7.0025999999999993</v>
      </c>
      <c r="X54" s="13">
        <v>3.2052</v>
      </c>
      <c r="Y54" s="13">
        <v>3.0546000000000002</v>
      </c>
      <c r="Z54" s="13">
        <v>8.920399999999999</v>
      </c>
      <c r="AA54" s="13">
        <v>6.1425999999999998</v>
      </c>
      <c r="AB54" s="13">
        <v>4.9412000000000003</v>
      </c>
      <c r="AC54" s="13">
        <v>3.4994000000000001</v>
      </c>
      <c r="AD54" s="13">
        <v>5.0663999999999998</v>
      </c>
      <c r="AE54" s="13"/>
      <c r="AF54" s="13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13" t="s">
        <v>96</v>
      </c>
      <c r="B55" s="13" t="s">
        <v>46</v>
      </c>
      <c r="C55" s="13">
        <v>23</v>
      </c>
      <c r="D55" s="13"/>
      <c r="E55" s="16">
        <v>56</v>
      </c>
      <c r="F55" s="16">
        <v>-43</v>
      </c>
      <c r="G55" s="14">
        <v>0</v>
      </c>
      <c r="H55" s="13"/>
      <c r="I55" s="13" t="s">
        <v>94</v>
      </c>
      <c r="J55" s="13" t="s">
        <v>48</v>
      </c>
      <c r="K55" s="13"/>
      <c r="L55" s="13">
        <f t="shared" si="12"/>
        <v>56</v>
      </c>
      <c r="M55" s="13"/>
      <c r="N55" s="13"/>
      <c r="O55" s="13"/>
      <c r="P55" s="13">
        <f t="shared" si="13"/>
        <v>11.2</v>
      </c>
      <c r="Q55" s="15"/>
      <c r="R55" s="15"/>
      <c r="S55" s="15"/>
      <c r="T55" s="5">
        <f>VLOOKUP(A:A,[1]Sheet!$A:$T,20,0)</f>
        <v>0</v>
      </c>
      <c r="U55" s="5">
        <f t="shared" si="5"/>
        <v>-3.8392857142857144</v>
      </c>
      <c r="V55" s="13">
        <f t="shared" si="6"/>
        <v>-3.8392857142857144</v>
      </c>
      <c r="W55" s="13">
        <v>14</v>
      </c>
      <c r="X55" s="13">
        <v>19</v>
      </c>
      <c r="Y55" s="13">
        <v>12.8</v>
      </c>
      <c r="Z55" s="13">
        <v>15.8</v>
      </c>
      <c r="AA55" s="13">
        <v>15</v>
      </c>
      <c r="AB55" s="13">
        <v>14</v>
      </c>
      <c r="AC55" s="13">
        <v>12.6</v>
      </c>
      <c r="AD55" s="13">
        <v>10</v>
      </c>
      <c r="AE55" s="13"/>
      <c r="AF55" s="13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13" t="s">
        <v>97</v>
      </c>
      <c r="B56" s="13" t="s">
        <v>35</v>
      </c>
      <c r="C56" s="13">
        <v>5.851</v>
      </c>
      <c r="D56" s="13"/>
      <c r="E56" s="16">
        <v>14.590999999999999</v>
      </c>
      <c r="F56" s="16">
        <v>-10.182</v>
      </c>
      <c r="G56" s="14">
        <v>0</v>
      </c>
      <c r="H56" s="13"/>
      <c r="I56" s="13" t="s">
        <v>94</v>
      </c>
      <c r="J56" s="13" t="s">
        <v>56</v>
      </c>
      <c r="K56" s="13"/>
      <c r="L56" s="13">
        <f t="shared" si="12"/>
        <v>14.590999999999999</v>
      </c>
      <c r="M56" s="13"/>
      <c r="N56" s="13"/>
      <c r="O56" s="13"/>
      <c r="P56" s="13">
        <f t="shared" si="13"/>
        <v>2.9181999999999997</v>
      </c>
      <c r="Q56" s="15"/>
      <c r="R56" s="15"/>
      <c r="S56" s="15"/>
      <c r="T56" s="5">
        <f>VLOOKUP(A:A,[1]Sheet!$A:$T,20,0)</f>
        <v>0</v>
      </c>
      <c r="U56" s="5">
        <f t="shared" si="5"/>
        <v>-3.4891371393324659</v>
      </c>
      <c r="V56" s="13">
        <f t="shared" si="6"/>
        <v>-3.4891371393324659</v>
      </c>
      <c r="W56" s="13">
        <v>7.8639999999999999</v>
      </c>
      <c r="X56" s="13">
        <v>1.468</v>
      </c>
      <c r="Y56" s="13">
        <v>5.5077999999999996</v>
      </c>
      <c r="Z56" s="13">
        <v>4.9828000000000001</v>
      </c>
      <c r="AA56" s="13">
        <v>2.8896000000000002</v>
      </c>
      <c r="AB56" s="13">
        <v>2.3967999999999998</v>
      </c>
      <c r="AC56" s="13">
        <v>5.0686</v>
      </c>
      <c r="AD56" s="13">
        <v>4.8994</v>
      </c>
      <c r="AE56" s="13"/>
      <c r="AF56" s="13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13" t="s">
        <v>98</v>
      </c>
      <c r="B57" s="13" t="s">
        <v>46</v>
      </c>
      <c r="C57" s="13">
        <v>9</v>
      </c>
      <c r="D57" s="13"/>
      <c r="E57" s="16">
        <v>25</v>
      </c>
      <c r="F57" s="16">
        <v>-18</v>
      </c>
      <c r="G57" s="14">
        <v>0</v>
      </c>
      <c r="H57" s="13"/>
      <c r="I57" s="13" t="s">
        <v>94</v>
      </c>
      <c r="J57" s="13" t="s">
        <v>57</v>
      </c>
      <c r="K57" s="13"/>
      <c r="L57" s="13">
        <f t="shared" si="12"/>
        <v>25</v>
      </c>
      <c r="M57" s="13"/>
      <c r="N57" s="13"/>
      <c r="O57" s="13"/>
      <c r="P57" s="13">
        <f t="shared" si="13"/>
        <v>5</v>
      </c>
      <c r="Q57" s="15"/>
      <c r="R57" s="15"/>
      <c r="S57" s="15"/>
      <c r="T57" s="5">
        <f>VLOOKUP(A:A,[1]Sheet!$A:$T,20,0)</f>
        <v>0</v>
      </c>
      <c r="U57" s="5">
        <f t="shared" si="5"/>
        <v>-3.6</v>
      </c>
      <c r="V57" s="13">
        <f t="shared" si="6"/>
        <v>-3.6</v>
      </c>
      <c r="W57" s="13">
        <v>2.8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/>
      <c r="AF57" s="13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13" t="s">
        <v>99</v>
      </c>
      <c r="B58" s="13" t="s">
        <v>46</v>
      </c>
      <c r="C58" s="13">
        <v>8.3879999999999999</v>
      </c>
      <c r="D58" s="13"/>
      <c r="E58" s="16">
        <v>13.994</v>
      </c>
      <c r="F58" s="16">
        <v>-6.9630000000000001</v>
      </c>
      <c r="G58" s="14">
        <v>0</v>
      </c>
      <c r="H58" s="13"/>
      <c r="I58" s="13" t="s">
        <v>94</v>
      </c>
      <c r="J58" s="13" t="s">
        <v>59</v>
      </c>
      <c r="K58" s="13"/>
      <c r="L58" s="13">
        <f t="shared" si="12"/>
        <v>13.994</v>
      </c>
      <c r="M58" s="13"/>
      <c r="N58" s="13"/>
      <c r="O58" s="13"/>
      <c r="P58" s="13">
        <f t="shared" si="13"/>
        <v>2.7988</v>
      </c>
      <c r="Q58" s="15"/>
      <c r="R58" s="15"/>
      <c r="S58" s="15"/>
      <c r="T58" s="5">
        <f>VLOOKUP(A:A,[1]Sheet!$A:$T,20,0)</f>
        <v>0</v>
      </c>
      <c r="U58" s="5">
        <f t="shared" si="5"/>
        <v>-2.4878519365442333</v>
      </c>
      <c r="V58" s="13">
        <f t="shared" si="6"/>
        <v>-2.4878519365442333</v>
      </c>
      <c r="W58" s="13">
        <v>2.4306000000000001</v>
      </c>
      <c r="X58" s="13">
        <v>3.5232000000000001</v>
      </c>
      <c r="Y58" s="13">
        <v>3.2067999999999999</v>
      </c>
      <c r="Z58" s="13">
        <v>1.3842000000000001</v>
      </c>
      <c r="AA58" s="13">
        <v>14.4564</v>
      </c>
      <c r="AB58" s="13">
        <v>3.9980000000000002</v>
      </c>
      <c r="AC58" s="13">
        <v>8.0655999999999999</v>
      </c>
      <c r="AD58" s="13">
        <v>10.5006</v>
      </c>
      <c r="AE58" s="13"/>
      <c r="AF58" s="13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13" t="s">
        <v>100</v>
      </c>
      <c r="B59" s="13" t="s">
        <v>35</v>
      </c>
      <c r="C59" s="13">
        <v>30.788</v>
      </c>
      <c r="D59" s="13"/>
      <c r="E59" s="16">
        <v>75.783000000000001</v>
      </c>
      <c r="F59" s="16">
        <v>-44.994999999999997</v>
      </c>
      <c r="G59" s="14">
        <v>0</v>
      </c>
      <c r="H59" s="13"/>
      <c r="I59" s="13" t="s">
        <v>94</v>
      </c>
      <c r="J59" s="13" t="s">
        <v>67</v>
      </c>
      <c r="K59" s="13"/>
      <c r="L59" s="13">
        <f t="shared" si="12"/>
        <v>75.783000000000001</v>
      </c>
      <c r="M59" s="13"/>
      <c r="N59" s="13"/>
      <c r="O59" s="13"/>
      <c r="P59" s="13">
        <f t="shared" si="13"/>
        <v>15.156600000000001</v>
      </c>
      <c r="Q59" s="15"/>
      <c r="R59" s="15"/>
      <c r="S59" s="15"/>
      <c r="T59" s="5">
        <f>VLOOKUP(A:A,[1]Sheet!$A:$T,20,0)</f>
        <v>0</v>
      </c>
      <c r="U59" s="5">
        <f t="shared" si="5"/>
        <v>-2.9686737131018828</v>
      </c>
      <c r="V59" s="13">
        <f t="shared" si="6"/>
        <v>-2.9686737131018828</v>
      </c>
      <c r="W59" s="13">
        <v>17.712</v>
      </c>
      <c r="X59" s="13">
        <v>16.5352</v>
      </c>
      <c r="Y59" s="13">
        <v>11.657</v>
      </c>
      <c r="Z59" s="13">
        <v>14.0426</v>
      </c>
      <c r="AA59" s="13">
        <v>19.265799999999999</v>
      </c>
      <c r="AB59" s="13">
        <v>7.5004000000000008</v>
      </c>
      <c r="AC59" s="13">
        <v>22.939800000000002</v>
      </c>
      <c r="AD59" s="13">
        <v>12.2064</v>
      </c>
      <c r="AE59" s="13"/>
      <c r="AF59" s="13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13" t="s">
        <v>101</v>
      </c>
      <c r="B60" s="13" t="s">
        <v>35</v>
      </c>
      <c r="C60" s="13">
        <v>14.89</v>
      </c>
      <c r="D60" s="13"/>
      <c r="E60" s="16">
        <v>54.045000000000002</v>
      </c>
      <c r="F60" s="16">
        <v>-41.674999999999997</v>
      </c>
      <c r="G60" s="14">
        <v>0</v>
      </c>
      <c r="H60" s="13"/>
      <c r="I60" s="13" t="s">
        <v>94</v>
      </c>
      <c r="J60" s="13" t="s">
        <v>69</v>
      </c>
      <c r="K60" s="13"/>
      <c r="L60" s="13">
        <f t="shared" si="12"/>
        <v>54.045000000000002</v>
      </c>
      <c r="M60" s="13"/>
      <c r="N60" s="13"/>
      <c r="O60" s="13"/>
      <c r="P60" s="13">
        <f t="shared" si="13"/>
        <v>10.809000000000001</v>
      </c>
      <c r="Q60" s="15"/>
      <c r="R60" s="15"/>
      <c r="S60" s="15"/>
      <c r="T60" s="5">
        <f>VLOOKUP(A:A,[1]Sheet!$A:$T,20,0)</f>
        <v>0</v>
      </c>
      <c r="U60" s="5">
        <f t="shared" si="5"/>
        <v>-3.8555833102044588</v>
      </c>
      <c r="V60" s="13">
        <f t="shared" si="6"/>
        <v>-3.8555833102044588</v>
      </c>
      <c r="W60" s="13">
        <v>6.4495999999999993</v>
      </c>
      <c r="X60" s="13">
        <v>21.395199999999999</v>
      </c>
      <c r="Y60" s="13">
        <v>9.0473999999999997</v>
      </c>
      <c r="Z60" s="13">
        <v>7.9974000000000007</v>
      </c>
      <c r="AA60" s="13">
        <v>5.1243999999999996</v>
      </c>
      <c r="AB60" s="13">
        <v>9.6981999999999999</v>
      </c>
      <c r="AC60" s="13">
        <v>3.5289999999999999</v>
      </c>
      <c r="AD60" s="13">
        <v>10.135999999999999</v>
      </c>
      <c r="AE60" s="13"/>
      <c r="AF60" s="13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13" t="s">
        <v>102</v>
      </c>
      <c r="B61" s="13" t="s">
        <v>35</v>
      </c>
      <c r="C61" s="13">
        <v>2.492</v>
      </c>
      <c r="D61" s="13"/>
      <c r="E61" s="16">
        <v>19.887</v>
      </c>
      <c r="F61" s="16">
        <v>-17.395</v>
      </c>
      <c r="G61" s="14">
        <v>0</v>
      </c>
      <c r="H61" s="13"/>
      <c r="I61" s="13" t="s">
        <v>94</v>
      </c>
      <c r="J61" s="13" t="s">
        <v>70</v>
      </c>
      <c r="K61" s="13"/>
      <c r="L61" s="13">
        <f t="shared" si="12"/>
        <v>19.887</v>
      </c>
      <c r="M61" s="13"/>
      <c r="N61" s="13"/>
      <c r="O61" s="13"/>
      <c r="P61" s="13">
        <f t="shared" si="13"/>
        <v>3.9774000000000003</v>
      </c>
      <c r="Q61" s="15"/>
      <c r="R61" s="15"/>
      <c r="S61" s="15"/>
      <c r="T61" s="5">
        <f>VLOOKUP(A:A,[1]Sheet!$A:$T,20,0)</f>
        <v>0</v>
      </c>
      <c r="U61" s="5">
        <f t="shared" si="5"/>
        <v>-4.3734600492784228</v>
      </c>
      <c r="V61" s="13">
        <f t="shared" si="6"/>
        <v>-4.3734600492784228</v>
      </c>
      <c r="W61" s="13">
        <v>11.007199999999999</v>
      </c>
      <c r="X61" s="13">
        <v>11.8918</v>
      </c>
      <c r="Y61" s="13">
        <v>8.9428000000000001</v>
      </c>
      <c r="Z61" s="13">
        <v>13.5512</v>
      </c>
      <c r="AA61" s="13">
        <v>14.083399999999999</v>
      </c>
      <c r="AB61" s="13">
        <v>10.1534</v>
      </c>
      <c r="AC61" s="13">
        <v>9.0644000000000009</v>
      </c>
      <c r="AD61" s="13">
        <v>4.4857999999999993</v>
      </c>
      <c r="AE61" s="13"/>
      <c r="AF61" s="13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13" t="s">
        <v>103</v>
      </c>
      <c r="B62" s="13" t="s">
        <v>46</v>
      </c>
      <c r="C62" s="13">
        <v>12</v>
      </c>
      <c r="D62" s="13"/>
      <c r="E62" s="16">
        <v>23</v>
      </c>
      <c r="F62" s="16">
        <v>-16</v>
      </c>
      <c r="G62" s="14">
        <v>0</v>
      </c>
      <c r="H62" s="13"/>
      <c r="I62" s="13" t="s">
        <v>94</v>
      </c>
      <c r="J62" s="13" t="s">
        <v>71</v>
      </c>
      <c r="K62" s="13"/>
      <c r="L62" s="13">
        <f t="shared" si="12"/>
        <v>23</v>
      </c>
      <c r="M62" s="13"/>
      <c r="N62" s="13"/>
      <c r="O62" s="13"/>
      <c r="P62" s="13">
        <f t="shared" si="13"/>
        <v>4.5999999999999996</v>
      </c>
      <c r="Q62" s="15"/>
      <c r="R62" s="15"/>
      <c r="S62" s="15"/>
      <c r="T62" s="5">
        <f>VLOOKUP(A:A,[1]Sheet!$A:$T,20,0)</f>
        <v>0</v>
      </c>
      <c r="U62" s="5">
        <f t="shared" si="5"/>
        <v>-3.4782608695652177</v>
      </c>
      <c r="V62" s="13">
        <f t="shared" si="6"/>
        <v>-3.4782608695652177</v>
      </c>
      <c r="W62" s="13">
        <v>3.4</v>
      </c>
      <c r="X62" s="13">
        <v>5.8</v>
      </c>
      <c r="Y62" s="13">
        <v>3.8</v>
      </c>
      <c r="Z62" s="13">
        <v>5.6</v>
      </c>
      <c r="AA62" s="13">
        <v>6.4</v>
      </c>
      <c r="AB62" s="13">
        <v>2.2000000000000002</v>
      </c>
      <c r="AC62" s="13">
        <v>4.2</v>
      </c>
      <c r="AD62" s="13">
        <v>6.8</v>
      </c>
      <c r="AE62" s="13"/>
      <c r="AF62" s="13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13" t="s">
        <v>104</v>
      </c>
      <c r="B63" s="13" t="s">
        <v>35</v>
      </c>
      <c r="C63" s="13">
        <v>65.906000000000006</v>
      </c>
      <c r="D63" s="13"/>
      <c r="E63" s="16">
        <v>98.096000000000004</v>
      </c>
      <c r="F63" s="16">
        <v>-32.19</v>
      </c>
      <c r="G63" s="14">
        <v>0</v>
      </c>
      <c r="H63" s="13"/>
      <c r="I63" s="13" t="s">
        <v>94</v>
      </c>
      <c r="J63" s="13" t="s">
        <v>72</v>
      </c>
      <c r="K63" s="13"/>
      <c r="L63" s="13">
        <f t="shared" si="12"/>
        <v>98.096000000000004</v>
      </c>
      <c r="M63" s="13"/>
      <c r="N63" s="13"/>
      <c r="O63" s="13"/>
      <c r="P63" s="13">
        <f t="shared" si="13"/>
        <v>19.619199999999999</v>
      </c>
      <c r="Q63" s="15"/>
      <c r="R63" s="15"/>
      <c r="S63" s="15"/>
      <c r="T63" s="5">
        <f>VLOOKUP(A:A,[1]Sheet!$A:$T,20,0)</f>
        <v>0</v>
      </c>
      <c r="U63" s="5">
        <f t="shared" si="5"/>
        <v>-1.6407396835752732</v>
      </c>
      <c r="V63" s="13">
        <f t="shared" si="6"/>
        <v>-1.6407396835752732</v>
      </c>
      <c r="W63" s="13">
        <v>6.1630000000000003</v>
      </c>
      <c r="X63" s="13">
        <v>16.0258</v>
      </c>
      <c r="Y63" s="13">
        <v>7.2391999999999994</v>
      </c>
      <c r="Z63" s="13">
        <v>17.9636</v>
      </c>
      <c r="AA63" s="13">
        <v>12.4908</v>
      </c>
      <c r="AB63" s="13">
        <v>6.15</v>
      </c>
      <c r="AC63" s="13">
        <v>18.315200000000001</v>
      </c>
      <c r="AD63" s="13">
        <v>12.7662</v>
      </c>
      <c r="AE63" s="13"/>
      <c r="AF63" s="13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13" t="s">
        <v>105</v>
      </c>
      <c r="B64" s="13" t="s">
        <v>35</v>
      </c>
      <c r="C64" s="13">
        <v>105.408</v>
      </c>
      <c r="D64" s="13"/>
      <c r="E64" s="16">
        <v>156.24799999999999</v>
      </c>
      <c r="F64" s="16">
        <v>-58.284999999999997</v>
      </c>
      <c r="G64" s="14">
        <v>0</v>
      </c>
      <c r="H64" s="13"/>
      <c r="I64" s="13" t="s">
        <v>94</v>
      </c>
      <c r="J64" s="13" t="s">
        <v>79</v>
      </c>
      <c r="K64" s="13"/>
      <c r="L64" s="13">
        <f t="shared" si="12"/>
        <v>156.24799999999999</v>
      </c>
      <c r="M64" s="13"/>
      <c r="N64" s="13"/>
      <c r="O64" s="13"/>
      <c r="P64" s="13">
        <f t="shared" si="13"/>
        <v>31.249599999999997</v>
      </c>
      <c r="Q64" s="15"/>
      <c r="R64" s="15"/>
      <c r="S64" s="15"/>
      <c r="T64" s="5">
        <f>VLOOKUP(A:A,[1]Sheet!$A:$T,20,0)</f>
        <v>0</v>
      </c>
      <c r="U64" s="5">
        <f t="shared" si="5"/>
        <v>-1.8651438738415853</v>
      </c>
      <c r="V64" s="13">
        <f t="shared" si="6"/>
        <v>-1.8651438738415853</v>
      </c>
      <c r="W64" s="13">
        <v>21.385200000000001</v>
      </c>
      <c r="X64" s="13">
        <v>27.7514</v>
      </c>
      <c r="Y64" s="13">
        <v>19.673999999999999</v>
      </c>
      <c r="Z64" s="13">
        <v>33.543999999999997</v>
      </c>
      <c r="AA64" s="13">
        <v>40.716000000000001</v>
      </c>
      <c r="AB64" s="13">
        <v>17.152799999999999</v>
      </c>
      <c r="AC64" s="13">
        <v>29.183599999999998</v>
      </c>
      <c r="AD64" s="13">
        <v>31.096599999999999</v>
      </c>
      <c r="AE64" s="13"/>
      <c r="AF64" s="13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13" t="s">
        <v>106</v>
      </c>
      <c r="B65" s="13" t="s">
        <v>35</v>
      </c>
      <c r="C65" s="13">
        <v>1.69</v>
      </c>
      <c r="D65" s="13"/>
      <c r="E65" s="16">
        <v>1.69</v>
      </c>
      <c r="F65" s="13"/>
      <c r="G65" s="14">
        <v>0</v>
      </c>
      <c r="H65" s="13"/>
      <c r="I65" s="13" t="s">
        <v>94</v>
      </c>
      <c r="J65" s="13" t="s">
        <v>80</v>
      </c>
      <c r="K65" s="13"/>
      <c r="L65" s="13">
        <f t="shared" si="12"/>
        <v>1.69</v>
      </c>
      <c r="M65" s="13"/>
      <c r="N65" s="13"/>
      <c r="O65" s="13"/>
      <c r="P65" s="13">
        <f t="shared" si="13"/>
        <v>0.33799999999999997</v>
      </c>
      <c r="Q65" s="15"/>
      <c r="R65" s="15"/>
      <c r="S65" s="15"/>
      <c r="T65" s="5">
        <f>VLOOKUP(A:A,[1]Sheet!$A:$T,20,0)</f>
        <v>0</v>
      </c>
      <c r="U65" s="5">
        <f t="shared" si="5"/>
        <v>0</v>
      </c>
      <c r="V65" s="13">
        <f t="shared" si="6"/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13" t="s">
        <v>107</v>
      </c>
      <c r="B66" s="13" t="s">
        <v>46</v>
      </c>
      <c r="C66" s="13">
        <v>25</v>
      </c>
      <c r="D66" s="13"/>
      <c r="E66" s="16">
        <v>60</v>
      </c>
      <c r="F66" s="16">
        <v>-52</v>
      </c>
      <c r="G66" s="14">
        <v>0</v>
      </c>
      <c r="H66" s="13"/>
      <c r="I66" s="13" t="s">
        <v>94</v>
      </c>
      <c r="J66" s="13" t="s">
        <v>82</v>
      </c>
      <c r="K66" s="13"/>
      <c r="L66" s="13">
        <f t="shared" si="12"/>
        <v>60</v>
      </c>
      <c r="M66" s="13"/>
      <c r="N66" s="13"/>
      <c r="O66" s="13"/>
      <c r="P66" s="13">
        <f t="shared" si="13"/>
        <v>12</v>
      </c>
      <c r="Q66" s="15"/>
      <c r="R66" s="15"/>
      <c r="S66" s="15"/>
      <c r="T66" s="5">
        <f>VLOOKUP(A:A,[1]Sheet!$A:$T,20,0)</f>
        <v>0</v>
      </c>
      <c r="U66" s="5">
        <f t="shared" si="5"/>
        <v>-4.333333333333333</v>
      </c>
      <c r="V66" s="13">
        <f t="shared" si="6"/>
        <v>-4.333333333333333</v>
      </c>
      <c r="W66" s="13">
        <v>12.2</v>
      </c>
      <c r="X66" s="13">
        <v>14.2</v>
      </c>
      <c r="Y66" s="13">
        <v>15.4</v>
      </c>
      <c r="Z66" s="13">
        <v>13</v>
      </c>
      <c r="AA66" s="13">
        <v>17</v>
      </c>
      <c r="AB66" s="13">
        <v>5</v>
      </c>
      <c r="AC66" s="13">
        <v>13.2</v>
      </c>
      <c r="AD66" s="13">
        <v>13.2</v>
      </c>
      <c r="AE66" s="13"/>
      <c r="AF66" s="13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13" t="s">
        <v>108</v>
      </c>
      <c r="B67" s="13" t="s">
        <v>35</v>
      </c>
      <c r="C67" s="13">
        <v>46.628999999999998</v>
      </c>
      <c r="D67" s="13"/>
      <c r="E67" s="16">
        <v>75.581999999999994</v>
      </c>
      <c r="F67" s="16">
        <v>-38.264000000000003</v>
      </c>
      <c r="G67" s="14">
        <v>0</v>
      </c>
      <c r="H67" s="13"/>
      <c r="I67" s="13" t="s">
        <v>94</v>
      </c>
      <c r="J67" s="13" t="s">
        <v>85</v>
      </c>
      <c r="K67" s="13"/>
      <c r="L67" s="13">
        <f t="shared" si="12"/>
        <v>75.581999999999994</v>
      </c>
      <c r="M67" s="13"/>
      <c r="N67" s="13"/>
      <c r="O67" s="13"/>
      <c r="P67" s="13">
        <f t="shared" si="13"/>
        <v>15.116399999999999</v>
      </c>
      <c r="Q67" s="15"/>
      <c r="R67" s="15"/>
      <c r="S67" s="15"/>
      <c r="T67" s="5">
        <f>VLOOKUP(A:A,[1]Sheet!$A:$T,20,0)</f>
        <v>0</v>
      </c>
      <c r="U67" s="5">
        <f t="shared" si="5"/>
        <v>-2.5312905189066184</v>
      </c>
      <c r="V67" s="13">
        <f t="shared" si="6"/>
        <v>-2.5312905189066184</v>
      </c>
      <c r="W67" s="13">
        <v>25.166599999999999</v>
      </c>
      <c r="X67" s="13">
        <v>20.013000000000002</v>
      </c>
      <c r="Y67" s="13">
        <v>16.002600000000001</v>
      </c>
      <c r="Z67" s="13">
        <v>19.5852</v>
      </c>
      <c r="AA67" s="13">
        <v>31.197600000000001</v>
      </c>
      <c r="AB67" s="13">
        <v>17.340399999999999</v>
      </c>
      <c r="AC67" s="13">
        <v>20.048200000000001</v>
      </c>
      <c r="AD67" s="13">
        <v>19.840800000000002</v>
      </c>
      <c r="AE67" s="13"/>
      <c r="AF67" s="13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13" t="s">
        <v>109</v>
      </c>
      <c r="B68" s="13" t="s">
        <v>35</v>
      </c>
      <c r="C68" s="13">
        <v>-27.965</v>
      </c>
      <c r="D68" s="13"/>
      <c r="E68" s="13"/>
      <c r="F68" s="13">
        <v>-27.965</v>
      </c>
      <c r="G68" s="14">
        <v>0</v>
      </c>
      <c r="H68" s="13"/>
      <c r="I68" s="13" t="s">
        <v>110</v>
      </c>
      <c r="J68" s="13"/>
      <c r="K68" s="13"/>
      <c r="L68" s="13">
        <f t="shared" si="12"/>
        <v>0</v>
      </c>
      <c r="M68" s="13"/>
      <c r="N68" s="13"/>
      <c r="O68" s="13"/>
      <c r="P68" s="13">
        <f t="shared" si="13"/>
        <v>0</v>
      </c>
      <c r="Q68" s="15"/>
      <c r="R68" s="15"/>
      <c r="S68" s="15"/>
      <c r="T68" s="5">
        <f>VLOOKUP(A:A,[1]Sheet!$A:$T,20,0)</f>
        <v>0</v>
      </c>
      <c r="U68" s="5" t="e">
        <f t="shared" si="5"/>
        <v>#DIV/0!</v>
      </c>
      <c r="V68" s="13" t="e">
        <f t="shared" si="6"/>
        <v>#DIV/0!</v>
      </c>
      <c r="W68" s="13">
        <v>0.53499999999999992</v>
      </c>
      <c r="X68" s="13">
        <v>0.79800000000000004</v>
      </c>
      <c r="Y68" s="13">
        <v>8.8360000000000003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 t="s">
        <v>111</v>
      </c>
      <c r="AF68" s="13"/>
      <c r="AG68" s="5">
        <v>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13" t="s">
        <v>112</v>
      </c>
      <c r="B69" s="13" t="s">
        <v>46</v>
      </c>
      <c r="C69" s="13">
        <v>2</v>
      </c>
      <c r="D69" s="13"/>
      <c r="E69" s="16">
        <v>6</v>
      </c>
      <c r="F69" s="16">
        <v>-4</v>
      </c>
      <c r="G69" s="14">
        <v>0</v>
      </c>
      <c r="H69" s="13"/>
      <c r="I69" s="13" t="s">
        <v>94</v>
      </c>
      <c r="J69" s="13" t="s">
        <v>92</v>
      </c>
      <c r="K69" s="13"/>
      <c r="L69" s="13">
        <f t="shared" si="12"/>
        <v>6</v>
      </c>
      <c r="M69" s="13"/>
      <c r="N69" s="13"/>
      <c r="O69" s="13"/>
      <c r="P69" s="13">
        <f t="shared" si="13"/>
        <v>1.2</v>
      </c>
      <c r="Q69" s="15"/>
      <c r="R69" s="15"/>
      <c r="S69" s="15"/>
      <c r="T69" s="5">
        <f>VLOOKUP(A:A,[1]Sheet!$A:$T,20,0)</f>
        <v>0</v>
      </c>
      <c r="U69" s="5">
        <f t="shared" si="5"/>
        <v>-3.3333333333333335</v>
      </c>
      <c r="V69" s="13">
        <f t="shared" si="6"/>
        <v>-3.3333333333333335</v>
      </c>
      <c r="W69" s="13">
        <v>0</v>
      </c>
      <c r="X69" s="13">
        <v>0</v>
      </c>
      <c r="Y69" s="13">
        <v>4.4000000000000004</v>
      </c>
      <c r="Z69" s="13">
        <v>3.4</v>
      </c>
      <c r="AA69" s="13">
        <v>4.8</v>
      </c>
      <c r="AB69" s="13">
        <v>0.2</v>
      </c>
      <c r="AC69" s="13">
        <v>0</v>
      </c>
      <c r="AD69" s="13">
        <v>0</v>
      </c>
      <c r="AE69" s="13"/>
      <c r="AF69" s="13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</sheetData>
  <autoFilter ref="A3:AF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2025-11-13T11:34:51Z</dcterms:created>
  <dcterms:modified xsi:type="dcterms:W3CDTF">2025-11-14T13:50:36Z</dcterms:modified>
</cp:coreProperties>
</file>