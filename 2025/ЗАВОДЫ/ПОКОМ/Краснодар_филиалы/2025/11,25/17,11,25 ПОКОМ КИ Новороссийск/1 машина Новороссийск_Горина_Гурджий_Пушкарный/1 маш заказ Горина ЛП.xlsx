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736A6B8-6C1B-4B41-A241-39E8EBE6B5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Z103" i="1" l="1"/>
  <c r="Z126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Z216" i="1" s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6" i="1" s="1"/>
  <c r="BP303" i="1"/>
  <c r="BN303" i="1"/>
  <c r="Z303" i="1"/>
  <c r="BP311" i="1"/>
  <c r="BN311" i="1"/>
  <c r="Z311" i="1"/>
  <c r="Y320" i="1"/>
  <c r="Z326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48" i="1" l="1"/>
  <c r="Z433" i="1"/>
  <c r="Z235" i="1"/>
  <c r="Y492" i="1"/>
  <c r="Z149" i="1"/>
  <c r="Z69" i="1"/>
  <c r="Y490" i="1"/>
  <c r="Z469" i="1"/>
  <c r="Z395" i="1"/>
  <c r="Z313" i="1"/>
  <c r="Z172" i="1"/>
  <c r="Z88" i="1"/>
  <c r="Z43" i="1"/>
  <c r="Z31" i="1"/>
  <c r="Z495" i="1" s="1"/>
  <c r="Y494" i="1"/>
  <c r="Y491" i="1"/>
  <c r="Z275" i="1"/>
  <c r="Z116" i="1"/>
  <c r="Z95" i="1"/>
  <c r="Y493" i="1" l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<sst xmlns="http://schemas.openxmlformats.org/spreadsheetml/2006/main" count="2349" uniqueCount="770">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</sst>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6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76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6" customWidth="1"/>
    <col min="19" max="19" width="6.140625" style="53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6" customWidth="1"/>
    <col min="25" max="25" width="11" style="536" customWidth="1"/>
    <col min="26" max="26" width="10" style="536" customWidth="1"/>
    <col min="27" max="27" width="11.5703125" style="536" customWidth="1"/>
    <col min="28" max="28" width="10.42578125" style="536" customWidth="1"/>
    <col min="29" max="29" width="30" style="53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6" customWidth="1"/>
    <col min="34" max="34" width="9.140625" style="536" customWidth="1"/>
    <col min="35" max="16384" width="9.140625" style="536"/>
  </cols>
  <sheetData>
    <row r="1" spans="1:32" s="540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4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4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0" customFormat="1" ht="23.45" customHeight="1" x14ac:dyDescent="0.2">
      <c r="A5" s="669" t="s">
        <v>8</v>
      </c>
      <c r="B5" s="644"/>
      <c r="C5" s="645"/>
      <c r="D5" s="628"/>
      <c r="E5" s="629"/>
      <c r="F5" s="836" t="s">
        <v>9</v>
      </c>
      <c r="G5" s="645"/>
      <c r="H5" s="628"/>
      <c r="I5" s="777"/>
      <c r="J5" s="777"/>
      <c r="K5" s="777"/>
      <c r="L5" s="777"/>
      <c r="M5" s="629"/>
      <c r="N5" s="58"/>
      <c r="P5" s="24" t="s">
        <v>10</v>
      </c>
      <c r="Q5" s="846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40" customFormat="1" ht="24" customHeight="1" x14ac:dyDescent="0.2">
      <c r="A6" s="669" t="s">
        <v>13</v>
      </c>
      <c r="B6" s="644"/>
      <c r="C6" s="645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3" t="s">
        <v>17</v>
      </c>
      <c r="W6" s="591"/>
      <c r="AB6" s="51"/>
      <c r="AC6" s="51"/>
      <c r="AD6" s="51"/>
      <c r="AE6" s="51"/>
    </row>
    <row r="7" spans="1:32" s="540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4"/>
      <c r="W7" s="765"/>
      <c r="AB7" s="51"/>
      <c r="AC7" s="51"/>
      <c r="AD7" s="51"/>
      <c r="AE7" s="51"/>
    </row>
    <row r="8" spans="1:32" s="540" customFormat="1" ht="25.5" customHeight="1" x14ac:dyDescent="0.2">
      <c r="A8" s="865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4">
        <v>0.41666666666666669</v>
      </c>
      <c r="R8" s="608"/>
      <c r="T8" s="555"/>
      <c r="U8" s="709"/>
      <c r="V8" s="764"/>
      <c r="W8" s="765"/>
      <c r="AB8" s="51"/>
      <c r="AC8" s="51"/>
      <c r="AD8" s="51"/>
      <c r="AE8" s="51"/>
    </row>
    <row r="9" spans="1:32" s="540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41"/>
      <c r="P9" s="26" t="s">
        <v>21</v>
      </c>
      <c r="Q9" s="664"/>
      <c r="R9" s="665"/>
      <c r="T9" s="555"/>
      <c r="U9" s="709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0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4" t="str">
        <f>IFERROR(VLOOKUP($D$10,Proxy,2,FALSE),"")</f>
        <v/>
      </c>
      <c r="I10" s="555"/>
      <c r="J10" s="555"/>
      <c r="K10" s="555"/>
      <c r="L10" s="555"/>
      <c r="M10" s="555"/>
      <c r="N10" s="539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4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0" customFormat="1" ht="18.600000000000001" customHeight="1" x14ac:dyDescent="0.2">
      <c r="A12" s="703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74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40" customFormat="1" ht="23.25" customHeight="1" x14ac:dyDescent="0.2">
      <c r="A13" s="703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4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0" customFormat="1" ht="18.600000000000001" customHeight="1" x14ac:dyDescent="0.2">
      <c r="A14" s="703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0" customFormat="1" ht="22.5" customHeight="1" x14ac:dyDescent="0.2">
      <c r="A15" s="733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2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2" t="s">
        <v>51</v>
      </c>
      <c r="V17" s="645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20</v>
      </c>
      <c r="Y40" s="544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20.75925925925926</v>
      </c>
      <c r="BN40" s="64">
        <f>IFERROR(Y40*I40/H40,"0")</f>
        <v>22.42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1.8518518518518516</v>
      </c>
      <c r="Y43" s="545">
        <f>IFERROR(Y40/H40,"0")+IFERROR(Y41/H41,"0")+IFERROR(Y42/H42,"0")</f>
        <v>2</v>
      </c>
      <c r="Z43" s="545">
        <f>IFERROR(IF(Z40="",0,Z40),"0")+IFERROR(IF(Z41="",0,Z41),"0")+IFERROR(IF(Z42="",0,Z42),"0")</f>
        <v>3.7960000000000001E-2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20</v>
      </c>
      <c r="Y44" s="545">
        <f>IFERROR(SUM(Y40:Y42),"0")</f>
        <v>21.6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20.75925925925926</v>
      </c>
      <c r="BN52" s="64">
        <f t="shared" si="2"/>
        <v>22.42</v>
      </c>
      <c r="BO52" s="64">
        <f t="shared" si="3"/>
        <v>2.8935185185185182E-2</v>
      </c>
      <c r="BP52" s="64">
        <f t="shared" si="4"/>
        <v>3.125E-2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30</v>
      </c>
      <c r="Y60" s="544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2.7777777777777777</v>
      </c>
      <c r="Y63" s="545">
        <f>IFERROR(Y60/H60,"0")+IFERROR(Y61/H61,"0")+IFERROR(Y62/H62,"0")</f>
        <v>3.0000000000000004</v>
      </c>
      <c r="Z63" s="545">
        <f>IFERROR(IF(Z60="",0,Z60),"0")+IFERROR(IF(Z61="",0,Z61),"0")+IFERROR(IF(Z62="",0,Z62),"0")</f>
        <v>5.6940000000000004E-2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30</v>
      </c>
      <c r="Y64" s="545">
        <f>IFERROR(SUM(Y60:Y62),"0")</f>
        <v>32.400000000000006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10</v>
      </c>
      <c r="Y85" s="544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0.92592592592592582</v>
      </c>
      <c r="Y88" s="545">
        <f>IFERROR(Y85/H85,"0")+IFERROR(Y86/H86,"0")+IFERROR(Y87/H87,"0")</f>
        <v>1</v>
      </c>
      <c r="Z88" s="545">
        <f>IFERROR(IF(Z85="",0,Z85),"0")+IFERROR(IF(Z86="",0,Z86),"0")+IFERROR(IF(Z87="",0,Z87),"0")</f>
        <v>1.898E-2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10</v>
      </c>
      <c r="Y89" s="545">
        <f>IFERROR(SUM(Y85:Y87),"0")</f>
        <v>10.8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7</v>
      </c>
      <c r="Y91" s="544">
        <f>IFERROR(IF(X91="",0,CEILING((X91/$H91),1)*$H91),"")</f>
        <v>8.1</v>
      </c>
      <c r="Z91" s="36">
        <f>IFERROR(IF(Y91=0,"",ROUNDUP(Y91/H91,0)*0.01898),"")</f>
        <v>1.898E-2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7.4269135802469135</v>
      </c>
      <c r="BN91" s="64">
        <f>IFERROR(Y91*I91/H91,"0")</f>
        <v>8.5939999999999994</v>
      </c>
      <c r="BO91" s="64">
        <f>IFERROR(1/J91*(X91/H91),"0")</f>
        <v>1.3503086419753087E-2</v>
      </c>
      <c r="BP91" s="64">
        <f>IFERROR(1/J91*(Y91/H91),"0")</f>
        <v>1.5625E-2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0.86419753086419759</v>
      </c>
      <c r="Y95" s="545">
        <f>IFERROR(Y91/H91,"0")+IFERROR(Y92/H92,"0")+IFERROR(Y93/H93,"0")+IFERROR(Y94/H94,"0")</f>
        <v>1</v>
      </c>
      <c r="Z95" s="545">
        <f>IFERROR(IF(Z91="",0,Z91),"0")+IFERROR(IF(Z92="",0,Z92),"0")+IFERROR(IF(Z93="",0,Z93),"0")+IFERROR(IF(Z94="",0,Z94),"0")</f>
        <v>1.898E-2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7</v>
      </c>
      <c r="Y96" s="545">
        <f>IFERROR(SUM(Y91:Y94),"0")</f>
        <v>8.1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25</v>
      </c>
      <c r="Y112" s="544">
        <f>IFERROR(IF(X112="",0,CEILING((X112/$H112),1)*$H112),"")</f>
        <v>32.4</v>
      </c>
      <c r="Z112" s="36">
        <f>IFERROR(IF(Y112=0,"",ROUNDUP(Y112/H112,0)*0.01898),"")</f>
        <v>7.5920000000000001E-2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26.506172839506174</v>
      </c>
      <c r="BN112" s="64">
        <f>IFERROR(Y112*I112/H112,"0")</f>
        <v>34.351999999999997</v>
      </c>
      <c r="BO112" s="64">
        <f>IFERROR(1/J112*(X112/H112),"0")</f>
        <v>4.8225308641975308E-2</v>
      </c>
      <c r="BP112" s="64">
        <f>IFERROR(1/J112*(Y112/H112),"0")</f>
        <v>6.25E-2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3.0864197530864197</v>
      </c>
      <c r="Y116" s="545">
        <f>IFERROR(Y112/H112,"0")+IFERROR(Y113/H113,"0")+IFERROR(Y114/H114,"0")+IFERROR(Y115/H115,"0")</f>
        <v>4</v>
      </c>
      <c r="Z116" s="545">
        <f>IFERROR(IF(Z112="",0,Z112),"0")+IFERROR(IF(Z113="",0,Z113),"0")+IFERROR(IF(Z114="",0,Z114),"0")+IFERROR(IF(Z115="",0,Z115),"0")</f>
        <v>7.5920000000000001E-2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25</v>
      </c>
      <c r="Y117" s="545">
        <f>IFERROR(SUM(Y112:Y115),"0")</f>
        <v>32.4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3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10</v>
      </c>
      <c r="Y226" s="544">
        <f t="shared" si="21"/>
        <v>11.6</v>
      </c>
      <c r="Z226" s="36">
        <f>IFERROR(IF(Y226=0,"",ROUNDUP(Y226/H226,0)*0.01898),"")</f>
        <v>1.898E-2</v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10.353448275862069</v>
      </c>
      <c r="BN226" s="64">
        <f t="shared" si="23"/>
        <v>12.01</v>
      </c>
      <c r="BO226" s="64">
        <f t="shared" si="24"/>
        <v>1.3469827586206897E-2</v>
      </c>
      <c r="BP226" s="64">
        <f t="shared" si="25"/>
        <v>1.5625E-2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0.86206896551724144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10</v>
      </c>
      <c r="Y236" s="545">
        <f>IFERROR(SUM(Y225:Y234),"0")</f>
        <v>11.6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10</v>
      </c>
      <c r="Y257" s="544">
        <f>IFERROR(IF(X257="",0,CEILING((X257/$H257),1)*$H257),"")</f>
        <v>10.8</v>
      </c>
      <c r="Z257" s="36">
        <f>IFERROR(IF(Y257=0,"",ROUNDUP(Y257/H257,0)*0.01898),"")</f>
        <v>1.898E-2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10.37962962962963</v>
      </c>
      <c r="BN257" s="64">
        <f>IFERROR(Y257*I257/H257,"0")</f>
        <v>11.21</v>
      </c>
      <c r="BO257" s="64">
        <f>IFERROR(1/J257*(X257/H257),"0")</f>
        <v>1.4467592592592591E-2</v>
      </c>
      <c r="BP257" s="64">
        <f>IFERROR(1/J257*(Y257/H257),"0")</f>
        <v>1.5625E-2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4</v>
      </c>
      <c r="Y259" s="544">
        <f>IFERROR(IF(X259="",0,CEILING((X259/$H259),1)*$H259),"")</f>
        <v>4</v>
      </c>
      <c r="Z259" s="36">
        <f>IFERROR(IF(Y259=0,"",ROUNDUP(Y259/H259,0)*0.00902),"")</f>
        <v>9.0200000000000002E-3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4.1900000000000004</v>
      </c>
      <c r="BN259" s="64">
        <f>IFERROR(Y259*I259/H259,"0")</f>
        <v>4.1900000000000004</v>
      </c>
      <c r="BO259" s="64">
        <f>IFERROR(1/J259*(X259/H259),"0")</f>
        <v>7.575757575757576E-3</v>
      </c>
      <c r="BP259" s="64">
        <f>IFERROR(1/J259*(Y259/H259),"0")</f>
        <v>7.575757575757576E-3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1.9259259259259258</v>
      </c>
      <c r="Y260" s="545">
        <f>IFERROR(Y255/H255,"0")+IFERROR(Y256/H256,"0")+IFERROR(Y257/H257,"0")+IFERROR(Y258/H258,"0")+IFERROR(Y259/H259,"0")</f>
        <v>2</v>
      </c>
      <c r="Z260" s="545">
        <f>IFERROR(IF(Z255="",0,Z255),"0")+IFERROR(IF(Z256="",0,Z256),"0")+IFERROR(IF(Z257="",0,Z257),"0")+IFERROR(IF(Z258="",0,Z258),"0")+IFERROR(IF(Z259="",0,Z259),"0")</f>
        <v>2.8000000000000001E-2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14</v>
      </c>
      <c r="Y261" s="545">
        <f>IFERROR(SUM(Y255:Y259),"0")</f>
        <v>14.8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10</v>
      </c>
      <c r="Y291" s="544">
        <f t="shared" si="26"/>
        <v>10.8</v>
      </c>
      <c r="Z291" s="36">
        <f>IFERROR(IF(Y291=0,"",ROUNDUP(Y291/H291,0)*0.01898),"")</f>
        <v>1.898E-2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10.37962962962963</v>
      </c>
      <c r="BN291" s="64">
        <f t="shared" si="28"/>
        <v>11.21</v>
      </c>
      <c r="BO291" s="64">
        <f t="shared" si="29"/>
        <v>1.4467592592592591E-2</v>
      </c>
      <c r="BP291" s="64">
        <f t="shared" si="30"/>
        <v>1.5625E-2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80</v>
      </c>
      <c r="Y293" s="544">
        <f t="shared" si="26"/>
        <v>86.4</v>
      </c>
      <c r="Z293" s="36">
        <f>IFERROR(IF(Y293=0,"",ROUNDUP(Y293/H293,0)*0.01898),"")</f>
        <v>0.15184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83.037037037037038</v>
      </c>
      <c r="BN293" s="64">
        <f t="shared" si="28"/>
        <v>89.68</v>
      </c>
      <c r="BO293" s="64">
        <f t="shared" si="29"/>
        <v>0.11574074074074073</v>
      </c>
      <c r="BP293" s="64">
        <f t="shared" si="30"/>
        <v>0.125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4</v>
      </c>
      <c r="Y294" s="544">
        <f t="shared" si="26"/>
        <v>4</v>
      </c>
      <c r="Z294" s="36">
        <f>IFERROR(IF(Y294=0,"",ROUNDUP(Y294/H294,0)*0.00902),"")</f>
        <v>9.0200000000000002E-3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4.1900000000000004</v>
      </c>
      <c r="BN294" s="64">
        <f t="shared" si="28"/>
        <v>4.1900000000000004</v>
      </c>
      <c r="BO294" s="64">
        <f t="shared" si="29"/>
        <v>7.575757575757576E-3</v>
      </c>
      <c r="BP294" s="64">
        <f t="shared" si="30"/>
        <v>7.575757575757576E-3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9.3333333333333321</v>
      </c>
      <c r="Y296" s="545">
        <f>IFERROR(Y290/H290,"0")+IFERROR(Y291/H291,"0")+IFERROR(Y292/H292,"0")+IFERROR(Y293/H293,"0")+IFERROR(Y294/H294,"0")+IFERROR(Y295/H295,"0")</f>
        <v>10</v>
      </c>
      <c r="Z296" s="545">
        <f>IFERROR(IF(Z290="",0,Z290),"0")+IFERROR(IF(Z291="",0,Z291),"0")+IFERROR(IF(Z292="",0,Z292),"0")+IFERROR(IF(Z293="",0,Z293),"0")+IFERROR(IF(Z294="",0,Z294),"0")+IFERROR(IF(Z295="",0,Z295),"0")</f>
        <v>0.17984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94</v>
      </c>
      <c r="Y297" s="545">
        <f>IFERROR(SUM(Y290:Y295),"0")</f>
        <v>101.2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7"/>
      <c r="AB298" s="537"/>
      <c r="AC298" s="537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30</v>
      </c>
      <c r="Y299" s="544">
        <f t="shared" ref="Y299:Y305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31.785714285714285</v>
      </c>
      <c r="BN299" s="64">
        <f t="shared" ref="BN299:BN305" si="33">IFERROR(Y299*I299/H299,"0")</f>
        <v>35.6</v>
      </c>
      <c r="BO299" s="64">
        <f t="shared" ref="BO299:BO305" si="34">IFERROR(1/J299*(X299/H299),"0")</f>
        <v>5.4112554112554112E-2</v>
      </c>
      <c r="BP299" s="64">
        <f t="shared" ref="BP299:BP305" si="35">IFERROR(1/J299*(Y299/H299),"0")</f>
        <v>6.0606060606060608E-2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7.1428571428571423</v>
      </c>
      <c r="Y306" s="545">
        <f>IFERROR(Y299/H299,"0")+IFERROR(Y300/H300,"0")+IFERROR(Y301/H301,"0")+IFERROR(Y302/H302,"0")+IFERROR(Y303/H303,"0")+IFERROR(Y304/H304,"0")+IFERROR(Y305/H305,"0")</f>
        <v>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7.2160000000000002E-2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30</v>
      </c>
      <c r="Y307" s="545">
        <f>IFERROR(SUM(Y299:Y305),"0")</f>
        <v>33.6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7"/>
      <c r="AB308" s="537"/>
      <c r="AC308" s="537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180</v>
      </c>
      <c r="Y309" s="544">
        <f>IFERROR(IF(X309="",0,CEILING((X309/$H309),1)*$H309),"")</f>
        <v>187.2</v>
      </c>
      <c r="Z309" s="36">
        <f>IFERROR(IF(Y309=0,"",ROUNDUP(Y309/H309,0)*0.01898),"")</f>
        <v>0.45552000000000004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191.26153846153849</v>
      </c>
      <c r="BN309" s="64">
        <f>IFERROR(Y309*I309/H309,"0")</f>
        <v>198.91200000000001</v>
      </c>
      <c r="BO309" s="64">
        <f>IFERROR(1/J309*(X309/H309),"0")</f>
        <v>0.36057692307692307</v>
      </c>
      <c r="BP309" s="64">
        <f>IFERROR(1/J309*(Y309/H309),"0")</f>
        <v>0.375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23.076923076923077</v>
      </c>
      <c r="Y313" s="545">
        <f>IFERROR(Y309/H309,"0")+IFERROR(Y310/H310,"0")+IFERROR(Y311/H311,"0")+IFERROR(Y312/H312,"0")</f>
        <v>24</v>
      </c>
      <c r="Z313" s="545">
        <f>IFERROR(IF(Z309="",0,Z309),"0")+IFERROR(IF(Z310="",0,Z310),"0")+IFERROR(IF(Z311="",0,Z311),"0")+IFERROR(IF(Z312="",0,Z312),"0")</f>
        <v>0.45552000000000004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180</v>
      </c>
      <c r="Y314" s="545">
        <f>IFERROR(SUM(Y309:Y312),"0")</f>
        <v>187.2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7"/>
      <c r="AB315" s="537"/>
      <c r="AC315" s="537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40</v>
      </c>
      <c r="Y317" s="544">
        <f>IFERROR(IF(X317="",0,CEILING((X317/$H317),1)*$H317),"")</f>
        <v>46.8</v>
      </c>
      <c r="Z317" s="36">
        <f>IFERROR(IF(Y317=0,"",ROUNDUP(Y317/H317,0)*0.01898),"")</f>
        <v>0.11388000000000001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42.533333333333331</v>
      </c>
      <c r="BN317" s="64">
        <f>IFERROR(Y317*I317/H317,"0")</f>
        <v>49.764000000000003</v>
      </c>
      <c r="BO317" s="64">
        <f>IFERROR(1/J317*(X317/H317),"0")</f>
        <v>8.0128205128205135E-2</v>
      </c>
      <c r="BP317" s="64">
        <f>IFERROR(1/J317*(Y317/H317),"0")</f>
        <v>9.375E-2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5.1282051282051286</v>
      </c>
      <c r="Y319" s="545">
        <f>IFERROR(Y316/H316,"0")+IFERROR(Y317/H317,"0")+IFERROR(Y318/H318,"0")</f>
        <v>6</v>
      </c>
      <c r="Z319" s="545">
        <f>IFERROR(IF(Z316="",0,Z316),"0")+IFERROR(IF(Z317="",0,Z317),"0")+IFERROR(IF(Z318="",0,Z318),"0")</f>
        <v>0.11388000000000001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40</v>
      </c>
      <c r="Y320" s="545">
        <f>IFERROR(SUM(Y316:Y318),"0")</f>
        <v>46.8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7"/>
      <c r="AB321" s="537"/>
      <c r="AC321" s="537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7"/>
      <c r="AB328" s="537"/>
      <c r="AC328" s="537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7"/>
      <c r="AB335" s="537"/>
      <c r="AC335" s="537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7"/>
      <c r="AB343" s="537"/>
      <c r="AC343" s="537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15</v>
      </c>
      <c r="Y345" s="544">
        <f t="shared" si="36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15.47</v>
      </c>
      <c r="BN345" s="64">
        <f t="shared" si="38"/>
        <v>15.47</v>
      </c>
      <c r="BO345" s="64">
        <f t="shared" si="39"/>
        <v>2.0833333333333332E-2</v>
      </c>
      <c r="BP345" s="64">
        <f t="shared" si="40"/>
        <v>2.0833333333333332E-2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6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</v>
      </c>
      <c r="Y351" s="545">
        <f>IFERROR(Y344/H344,"0")+IFERROR(Y345/H345,"0")+IFERROR(Y346/H346,"0")+IFERROR(Y347/H347,"0")+IFERROR(Y348/H348,"0")+IFERROR(Y349/H349,"0")+IFERROR(Y350/H350,"0")</f>
        <v>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2.1749999999999999E-2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15</v>
      </c>
      <c r="Y352" s="545">
        <f>IFERROR(SUM(Y344:Y350),"0")</f>
        <v>15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7"/>
      <c r="AB353" s="537"/>
      <c r="AC353" s="537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120</v>
      </c>
      <c r="Y354" s="544">
        <f>IFERROR(IF(X354="",0,CEILING((X354/$H354),1)*$H354),"")</f>
        <v>120</v>
      </c>
      <c r="Z354" s="36">
        <f>IFERROR(IF(Y354=0,"",ROUNDUP(Y354/H354,0)*0.02175),"")</f>
        <v>0.17399999999999999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123.76</v>
      </c>
      <c r="BN354" s="64">
        <f>IFERROR(Y354*I354/H354,"0")</f>
        <v>123.76</v>
      </c>
      <c r="BO354" s="64">
        <f>IFERROR(1/J354*(X354/H354),"0")</f>
        <v>0.16666666666666666</v>
      </c>
      <c r="BP354" s="64">
        <f>IFERROR(1/J354*(Y354/H354),"0")</f>
        <v>0.16666666666666666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8</v>
      </c>
      <c r="Y356" s="545">
        <f>IFERROR(Y354/H354,"0")+IFERROR(Y355/H355,"0")</f>
        <v>8</v>
      </c>
      <c r="Z356" s="545">
        <f>IFERROR(IF(Z354="",0,Z354),"0")+IFERROR(IF(Z355="",0,Z355),"0")</f>
        <v>0.17399999999999999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120</v>
      </c>
      <c r="Y357" s="545">
        <f>IFERROR(SUM(Y354:Y355),"0")</f>
        <v>120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7"/>
      <c r="AB358" s="537"/>
      <c r="AC358" s="537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7"/>
      <c r="AB363" s="537"/>
      <c r="AC363" s="537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7"/>
      <c r="AB368" s="537"/>
      <c r="AC368" s="537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7"/>
      <c r="AB373" s="537"/>
      <c r="AC373" s="537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7"/>
      <c r="AB378" s="537"/>
      <c r="AC378" s="537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7"/>
      <c r="AB385" s="537"/>
      <c r="AC385" s="537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7"/>
      <c r="AB397" s="537"/>
      <c r="AC397" s="537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7"/>
      <c r="AB403" s="537"/>
      <c r="AC403" s="537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7"/>
      <c r="AB407" s="537"/>
      <c r="AC407" s="537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7"/>
      <c r="AB415" s="537"/>
      <c r="AC415" s="537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7"/>
      <c r="AB421" s="537"/>
      <c r="AC421" s="537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7"/>
      <c r="AB435" s="537"/>
      <c r="AC435" s="537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7"/>
      <c r="AB441" s="537"/>
      <c r="AC441" s="537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40</v>
      </c>
      <c r="Y444" s="544">
        <f t="shared" si="53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42.651515151515149</v>
      </c>
      <c r="BN444" s="64">
        <f t="shared" si="55"/>
        <v>45.04</v>
      </c>
      <c r="BO444" s="64">
        <f t="shared" si="56"/>
        <v>7.2843822843822847E-2</v>
      </c>
      <c r="BP444" s="64">
        <f t="shared" si="57"/>
        <v>7.6923076923076927E-2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7.5757575757575752</v>
      </c>
      <c r="Y448" s="545">
        <f>IFERROR(Y442/H442,"0")+IFERROR(Y443/H443,"0")+IFERROR(Y444/H444,"0")+IFERROR(Y445/H445,"0")+IFERROR(Y446/H446,"0")+IFERROR(Y447/H447,"0")</f>
        <v>8</v>
      </c>
      <c r="Z448" s="545">
        <f>IFERROR(IF(Z442="",0,Z442),"0")+IFERROR(IF(Z443="",0,Z443),"0")+IFERROR(IF(Z444="",0,Z444),"0")+IFERROR(IF(Z445="",0,Z445),"0")+IFERROR(IF(Z446="",0,Z446),"0")+IFERROR(IF(Z447="",0,Z447),"0")</f>
        <v>9.5680000000000001E-2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40</v>
      </c>
      <c r="Y449" s="545">
        <f>IFERROR(SUM(Y442:Y447),"0")</f>
        <v>42.24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7"/>
      <c r="AB450" s="537"/>
      <c r="AC450" s="537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7"/>
      <c r="AB458" s="537"/>
      <c r="AC458" s="537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7"/>
      <c r="AB465" s="537"/>
      <c r="AC465" s="537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7"/>
      <c r="AB471" s="537"/>
      <c r="AC471" s="537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7"/>
      <c r="AB476" s="537"/>
      <c r="AC476" s="537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7"/>
      <c r="AB480" s="537"/>
      <c r="AC480" s="537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7"/>
      <c r="AB486" s="537"/>
      <c r="AC486" s="537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655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699.34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686.96196926104972</v>
      </c>
      <c r="Y491" s="545">
        <f>IFERROR(SUM(BN22:BN487),"0")</f>
        <v>733.66200000000003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736.96196926104972</v>
      </c>
      <c r="Y493" s="545">
        <f>GrossWeightTotalR+PalletQtyTotalR*25</f>
        <v>783.66200000000003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75.403095839877452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81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1.40655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35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255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541</v>
      </c>
      <c r="T497" s="602"/>
      <c r="U497" s="598" t="s">
        <v>593</v>
      </c>
      <c r="V497" s="601"/>
      <c r="W497" s="602"/>
      <c r="X497" s="535" t="s">
        <v>644</v>
      </c>
      <c r="Y497" s="598" t="s">
        <v>704</v>
      </c>
      <c r="Z497" s="602"/>
      <c r="AB497" s="52"/>
      <c r="AC497" s="52"/>
      <c r="AF497" s="536"/>
    </row>
    <row r="498" spans="1:32" ht="14.25" customHeight="1" thickTop="1" x14ac:dyDescent="0.2">
      <c r="A498" s="613" t="s">
        <v>753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256</v>
      </c>
      <c r="J498" s="598" t="s">
        <v>301</v>
      </c>
      <c r="K498" s="598" t="s">
        <v>361</v>
      </c>
      <c r="L498" s="598" t="s">
        <v>403</v>
      </c>
      <c r="M498" s="598" t="s">
        <v>419</v>
      </c>
      <c r="N498" s="536"/>
      <c r="O498" s="598" t="s">
        <v>430</v>
      </c>
      <c r="P498" s="598" t="s">
        <v>439</v>
      </c>
      <c r="Q498" s="598" t="s">
        <v>453</v>
      </c>
      <c r="R498" s="598" t="s">
        <v>531</v>
      </c>
      <c r="S498" s="598" t="s">
        <v>542</v>
      </c>
      <c r="T498" s="598" t="s">
        <v>577</v>
      </c>
      <c r="U498" s="598" t="s">
        <v>594</v>
      </c>
      <c r="V498" s="598" t="s">
        <v>625</v>
      </c>
      <c r="W498" s="598" t="s">
        <v>640</v>
      </c>
      <c r="X498" s="598" t="s">
        <v>644</v>
      </c>
      <c r="Y498" s="598" t="s">
        <v>704</v>
      </c>
      <c r="Z498" s="598" t="s">
        <v>740</v>
      </c>
      <c r="AB498" s="52"/>
      <c r="AC498" s="52"/>
      <c r="AF498" s="536"/>
    </row>
    <row r="499" spans="1:32" ht="13.5" customHeight="1" thickBot="1" x14ac:dyDescent="0.25">
      <c r="A499" s="614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36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36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21.6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54.000000000000007</v>
      </c>
      <c r="E500" s="46">
        <f>IFERROR(Y85*1,"0")+IFERROR(Y86*1,"0")+IFERROR(Y87*1,"0")+IFERROR(Y91*1,"0")+IFERROR(Y92*1,"0")+IFERROR(Y93*1,"0")+IFERROR(Y94*1,"0")</f>
        <v>18.899999999999999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32.4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14.8</v>
      </c>
      <c r="M500" s="46">
        <f>IFERROR(Y264*1,"0")+IFERROR(Y265*1,"0")+IFERROR(Y266*1,"0")+IFERROR(Y267*1,"0")</f>
        <v>0</v>
      </c>
      <c r="N500" s="536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368.8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135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36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124:T124"/>
    <mergeCell ref="A260:O261"/>
    <mergeCell ref="D355:E355"/>
    <mergeCell ref="D293:E293"/>
    <mergeCell ref="P410:T410"/>
    <mergeCell ref="P360:T360"/>
    <mergeCell ref="P76:V76"/>
    <mergeCell ref="A128:Z128"/>
    <mergeCell ref="A268:O269"/>
    <mergeCell ref="A10:C10"/>
    <mergeCell ref="P361:V361"/>
    <mergeCell ref="P69:V69"/>
    <mergeCell ref="A21:Z21"/>
    <mergeCell ref="D192:E192"/>
    <mergeCell ref="P296:V296"/>
    <mergeCell ref="D42:E42"/>
    <mergeCell ref="P356:V356"/>
    <mergeCell ref="P338:T338"/>
    <mergeCell ref="D17:E18"/>
    <mergeCell ref="D344:E344"/>
    <mergeCell ref="X17:X18"/>
    <mergeCell ref="A188:O189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U17:V17"/>
    <mergeCell ref="Y17:Y18"/>
    <mergeCell ref="D250:E250"/>
    <mergeCell ref="P216:V216"/>
    <mergeCell ref="N17:N18"/>
    <mergeCell ref="P72:T72"/>
    <mergeCell ref="Q5:R5"/>
    <mergeCell ref="F17:F18"/>
    <mergeCell ref="P132:V132"/>
    <mergeCell ref="P199:T199"/>
    <mergeCell ref="D242:E242"/>
    <mergeCell ref="A315:Z315"/>
    <mergeCell ref="P370:T370"/>
    <mergeCell ref="D107:E107"/>
    <mergeCell ref="D163:E163"/>
    <mergeCell ref="P291:T291"/>
    <mergeCell ref="D234:E234"/>
    <mergeCell ref="P228:T228"/>
    <mergeCell ref="D171:E171"/>
    <mergeCell ref="P355:T355"/>
    <mergeCell ref="P293:T293"/>
    <mergeCell ref="A149:O150"/>
    <mergeCell ref="D336:E336"/>
    <mergeCell ref="Q6:R6"/>
    <mergeCell ref="P200:T200"/>
    <mergeCell ref="P134:T134"/>
    <mergeCell ref="A251:O252"/>
    <mergeCell ref="P292:T292"/>
    <mergeCell ref="P495:V495"/>
    <mergeCell ref="P351:V351"/>
    <mergeCell ref="P239:V239"/>
    <mergeCell ref="M498:M499"/>
    <mergeCell ref="O498:O499"/>
    <mergeCell ref="D249:E249"/>
    <mergeCell ref="D170:E170"/>
    <mergeCell ref="A476:Z476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D331:E331"/>
    <mergeCell ref="P372:V372"/>
    <mergeCell ref="A415:Z415"/>
    <mergeCell ref="P444:T444"/>
    <mergeCell ref="L498:L499"/>
    <mergeCell ref="D408:E408"/>
    <mergeCell ref="D29:E29"/>
    <mergeCell ref="D265:E265"/>
    <mergeCell ref="P344:T344"/>
    <mergeCell ref="A20:Z20"/>
    <mergeCell ref="P371:V371"/>
    <mergeCell ref="D452:E452"/>
    <mergeCell ref="P493:V493"/>
    <mergeCell ref="P408:T408"/>
    <mergeCell ref="P137:V137"/>
    <mergeCell ref="D247:E247"/>
    <mergeCell ref="A31:O32"/>
    <mergeCell ref="D102:E102"/>
    <mergeCell ref="P81:V81"/>
    <mergeCell ref="A33:Z33"/>
    <mergeCell ref="A126:O127"/>
    <mergeCell ref="P23:V23"/>
    <mergeCell ref="D54:E54"/>
    <mergeCell ref="P160:V160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A326:O327"/>
    <mergeCell ref="D165:E165"/>
    <mergeCell ref="P75:T75"/>
    <mergeCell ref="P406:V406"/>
    <mergeCell ref="P146:T146"/>
    <mergeCell ref="D152:E152"/>
    <mergeCell ref="A136:O137"/>
    <mergeCell ref="P317:T317"/>
    <mergeCell ref="D279:E279"/>
    <mergeCell ref="D323:E323"/>
    <mergeCell ref="P2:W3"/>
    <mergeCell ref="A57:O58"/>
    <mergeCell ref="D437:E437"/>
    <mergeCell ref="P198:T198"/>
    <mergeCell ref="P369:T369"/>
    <mergeCell ref="P54:T54"/>
    <mergeCell ref="P347:T347"/>
    <mergeCell ref="D228:E228"/>
    <mergeCell ref="A371:O372"/>
    <mergeCell ref="D404:E404"/>
    <mergeCell ref="A289:Z289"/>
    <mergeCell ref="D10:E10"/>
    <mergeCell ref="A23:O24"/>
    <mergeCell ref="F10:G10"/>
    <mergeCell ref="P135:T135"/>
    <mergeCell ref="D34:E34"/>
    <mergeCell ref="P191:T191"/>
    <mergeCell ref="D305:E305"/>
    <mergeCell ref="D99:E99"/>
    <mergeCell ref="P349:T349"/>
    <mergeCell ref="P205:V205"/>
    <mergeCell ref="P376:V376"/>
    <mergeCell ref="D310:E310"/>
    <mergeCell ref="P364:T364"/>
    <mergeCell ref="M17:M18"/>
    <mergeCell ref="A339:O340"/>
    <mergeCell ref="O17:O18"/>
    <mergeCell ref="P336:T336"/>
    <mergeCell ref="P131:V131"/>
    <mergeCell ref="C498:C499"/>
    <mergeCell ref="E498:E499"/>
    <mergeCell ref="P430:T430"/>
    <mergeCell ref="P494:V494"/>
    <mergeCell ref="P102:T102"/>
    <mergeCell ref="P189:V189"/>
    <mergeCell ref="A185:Z185"/>
    <mergeCell ref="P196:T196"/>
    <mergeCell ref="D177:E177"/>
    <mergeCell ref="P287:V287"/>
    <mergeCell ref="P281:V281"/>
    <mergeCell ref="D226:E226"/>
    <mergeCell ref="A313:O314"/>
    <mergeCell ref="D164:E164"/>
    <mergeCell ref="P352:V352"/>
    <mergeCell ref="P354:T354"/>
    <mergeCell ref="D462:E462"/>
    <mergeCell ref="P62:T62"/>
    <mergeCell ref="Z498:Z499"/>
    <mergeCell ref="A457:Z457"/>
    <mergeCell ref="P107:T107"/>
    <mergeCell ref="P63:V63"/>
    <mergeCell ref="P101:T101"/>
    <mergeCell ref="D215:E215"/>
    <mergeCell ref="D386:E386"/>
    <mergeCell ref="P194:V194"/>
    <mergeCell ref="P492:V492"/>
    <mergeCell ref="A103:O104"/>
    <mergeCell ref="P286:V286"/>
    <mergeCell ref="P479:V479"/>
    <mergeCell ref="A465:Z465"/>
    <mergeCell ref="P469:V469"/>
    <mergeCell ref="D394:E394"/>
    <mergeCell ref="A254:Z254"/>
    <mergeCell ref="P181:T181"/>
    <mergeCell ref="A9:C9"/>
    <mergeCell ref="P125:T125"/>
    <mergeCell ref="D202:E202"/>
    <mergeCell ref="P112:T112"/>
    <mergeCell ref="D294:E294"/>
    <mergeCell ref="P348:T348"/>
    <mergeCell ref="A298:Z298"/>
    <mergeCell ref="A478:O479"/>
    <mergeCell ref="P323:T323"/>
    <mergeCell ref="A414:Z414"/>
    <mergeCell ref="D231:E231"/>
    <mergeCell ref="P70:V70"/>
    <mergeCell ref="A156:Z156"/>
    <mergeCell ref="P116:V116"/>
    <mergeCell ref="P32:V32"/>
    <mergeCell ref="P474:V474"/>
    <mergeCell ref="P103:V103"/>
    <mergeCell ref="Q13:R13"/>
    <mergeCell ref="A155:Z155"/>
    <mergeCell ref="P268:V268"/>
    <mergeCell ref="D318:E318"/>
    <mergeCell ref="P201:T201"/>
    <mergeCell ref="P339:V339"/>
    <mergeCell ref="D389:E389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463:O464"/>
    <mergeCell ref="X498:X499"/>
    <mergeCell ref="P401:V401"/>
    <mergeCell ref="P176:T176"/>
    <mergeCell ref="P114:T114"/>
    <mergeCell ref="P247:T247"/>
    <mergeCell ref="A157:Z157"/>
    <mergeCell ref="A328:Z328"/>
    <mergeCell ref="D447:E447"/>
    <mergeCell ref="P301:T301"/>
    <mergeCell ref="D498:D499"/>
    <mergeCell ref="P93:T93"/>
    <mergeCell ref="P226:T226"/>
    <mergeCell ref="D85:E85"/>
    <mergeCell ref="P164:T164"/>
    <mergeCell ref="D207:E207"/>
    <mergeCell ref="P120:V120"/>
    <mergeCell ref="D256:E256"/>
    <mergeCell ref="P462:T462"/>
    <mergeCell ref="D481:E481"/>
    <mergeCell ref="D299:E299"/>
    <mergeCell ref="F498:F4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P498:P499"/>
    <mergeCell ref="I497:R497"/>
    <mergeCell ref="A90:Z90"/>
    <mergeCell ref="A283:Z283"/>
    <mergeCell ref="A277:Z277"/>
    <mergeCell ref="D446:E446"/>
    <mergeCell ref="P44:V44"/>
    <mergeCell ref="H5:M5"/>
    <mergeCell ref="P31:V31"/>
    <mergeCell ref="D212:E212"/>
    <mergeCell ref="D146:E146"/>
    <mergeCell ref="P225:T225"/>
    <mergeCell ref="D317:E317"/>
    <mergeCell ref="D6:M6"/>
    <mergeCell ref="A341:Z341"/>
    <mergeCell ref="A456:Z456"/>
    <mergeCell ref="D304:E304"/>
    <mergeCell ref="P461:T461"/>
    <mergeCell ref="Y497:Z497"/>
    <mergeCell ref="P175:T175"/>
    <mergeCell ref="P95:V95"/>
    <mergeCell ref="P162:T162"/>
    <mergeCell ref="A278:Z278"/>
    <mergeCell ref="P460:T460"/>
    <mergeCell ref="P472:T472"/>
    <mergeCell ref="A435:Z435"/>
    <mergeCell ref="A235:O236"/>
    <mergeCell ref="P487:T487"/>
    <mergeCell ref="A288:Z288"/>
    <mergeCell ref="P318:T318"/>
    <mergeCell ref="V6:W9"/>
    <mergeCell ref="P256:T256"/>
    <mergeCell ref="D199:E199"/>
    <mergeCell ref="D364:E364"/>
    <mergeCell ref="A59:Z59"/>
    <mergeCell ref="D186:E186"/>
    <mergeCell ref="P274:T274"/>
    <mergeCell ref="P345:T345"/>
    <mergeCell ref="P22:T22"/>
    <mergeCell ref="P40:T40"/>
    <mergeCell ref="D428:E428"/>
    <mergeCell ref="P236:V236"/>
    <mergeCell ref="P257:T257"/>
    <mergeCell ref="P80:T80"/>
    <mergeCell ref="Z17:Z18"/>
    <mergeCell ref="P173:V173"/>
    <mergeCell ref="A172:O173"/>
    <mergeCell ref="P227:T227"/>
    <mergeCell ref="H10:M10"/>
    <mergeCell ref="AA17:AA18"/>
    <mergeCell ref="P212:T212"/>
    <mergeCell ref="AC17:AC18"/>
    <mergeCell ref="A122:Z122"/>
    <mergeCell ref="P108:T108"/>
    <mergeCell ref="P279:T279"/>
    <mergeCell ref="A224:Z224"/>
    <mergeCell ref="D393:E393"/>
    <mergeCell ref="AB17:AB18"/>
    <mergeCell ref="P106:T106"/>
    <mergeCell ref="P177:T177"/>
    <mergeCell ref="G17:G18"/>
    <mergeCell ref="P57:V57"/>
    <mergeCell ref="A81:O82"/>
    <mergeCell ref="D80:E80"/>
    <mergeCell ref="P46:T46"/>
    <mergeCell ref="P47:V47"/>
    <mergeCell ref="P41:T41"/>
    <mergeCell ref="D22:E22"/>
    <mergeCell ref="A35:O36"/>
    <mergeCell ref="P295:T295"/>
    <mergeCell ref="P34:T34"/>
    <mergeCell ref="D86:E86"/>
    <mergeCell ref="D438:E438"/>
    <mergeCell ref="D425:E425"/>
    <mergeCell ref="D359:E359"/>
    <mergeCell ref="A486:Z486"/>
    <mergeCell ref="H17:H18"/>
    <mergeCell ref="P388:T388"/>
    <mergeCell ref="D198:E198"/>
    <mergeCell ref="P459:T459"/>
    <mergeCell ref="P104:V104"/>
    <mergeCell ref="P275:V275"/>
    <mergeCell ref="D427:E427"/>
    <mergeCell ref="P27:T27"/>
    <mergeCell ref="D75:E75"/>
    <mergeCell ref="P325:T325"/>
    <mergeCell ref="P390:T390"/>
    <mergeCell ref="P483:V483"/>
    <mergeCell ref="D181:E181"/>
    <mergeCell ref="A221:O222"/>
    <mergeCell ref="P91:T91"/>
    <mergeCell ref="D273:E273"/>
    <mergeCell ref="A286:O287"/>
    <mergeCell ref="P252:V252"/>
    <mergeCell ref="P366:V366"/>
    <mergeCell ref="A420:Z420"/>
    <mergeCell ref="J9:M9"/>
    <mergeCell ref="D112:E112"/>
    <mergeCell ref="A296:O297"/>
    <mergeCell ref="D348:E348"/>
    <mergeCell ref="D62:E62"/>
    <mergeCell ref="P141:T141"/>
    <mergeCell ref="P454:V454"/>
    <mergeCell ref="D56:E56"/>
    <mergeCell ref="Q498:Q499"/>
    <mergeCell ref="P233:T233"/>
    <mergeCell ref="D176:E176"/>
    <mergeCell ref="P304:T304"/>
    <mergeCell ref="D114:E114"/>
    <mergeCell ref="D285:E285"/>
    <mergeCell ref="D347:E347"/>
    <mergeCell ref="S498:S499"/>
    <mergeCell ref="P248:T248"/>
    <mergeCell ref="D51:E51"/>
    <mergeCell ref="A365:O366"/>
    <mergeCell ref="D349:E349"/>
    <mergeCell ref="P477:T477"/>
    <mergeCell ref="A38:Z38"/>
    <mergeCell ref="P455:V455"/>
    <mergeCell ref="A454:O455"/>
    <mergeCell ref="R498:R499"/>
    <mergeCell ref="P313:V313"/>
    <mergeCell ref="A138:Z138"/>
    <mergeCell ref="P307:V307"/>
    <mergeCell ref="P58:V58"/>
    <mergeCell ref="A13:M13"/>
    <mergeCell ref="P380:T380"/>
    <mergeCell ref="P244:V244"/>
    <mergeCell ref="D61:E61"/>
    <mergeCell ref="P115:T115"/>
    <mergeCell ref="A367:Z367"/>
    <mergeCell ref="A15:M15"/>
    <mergeCell ref="P238:T238"/>
    <mergeCell ref="A88:O89"/>
    <mergeCell ref="D346:E346"/>
    <mergeCell ref="P229:T229"/>
    <mergeCell ref="A419:Z419"/>
    <mergeCell ref="A153:O154"/>
    <mergeCell ref="D477:E477"/>
    <mergeCell ref="A133:Z133"/>
    <mergeCell ref="D125:E125"/>
    <mergeCell ref="P375:T375"/>
    <mergeCell ref="P446:T446"/>
    <mergeCell ref="P207:T207"/>
    <mergeCell ref="Q10:R10"/>
    <mergeCell ref="D41:E41"/>
    <mergeCell ref="A490:O495"/>
    <mergeCell ref="A37:Z37"/>
    <mergeCell ref="P149:V149"/>
    <mergeCell ref="A145:Z145"/>
    <mergeCell ref="P320:V320"/>
    <mergeCell ref="P314:V314"/>
    <mergeCell ref="A139:Z139"/>
    <mergeCell ref="P387:T387"/>
    <mergeCell ref="D422:E422"/>
    <mergeCell ref="D74:E74"/>
    <mergeCell ref="P87:T87"/>
    <mergeCell ref="D130:E130"/>
    <mergeCell ref="D68:E68"/>
    <mergeCell ref="D201:E201"/>
    <mergeCell ref="P449:V449"/>
    <mergeCell ref="A204:O205"/>
    <mergeCell ref="P451:T451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203:T203"/>
    <mergeCell ref="D46:E46"/>
    <mergeCell ref="D246:E246"/>
    <mergeCell ref="P374:T374"/>
    <mergeCell ref="D40:E40"/>
    <mergeCell ref="I498:I499"/>
    <mergeCell ref="D233:E233"/>
    <mergeCell ref="D338:E338"/>
    <mergeCell ref="D409:E409"/>
    <mergeCell ref="Q8:R8"/>
    <mergeCell ref="P140:T140"/>
    <mergeCell ref="P311:T311"/>
    <mergeCell ref="P267:T267"/>
    <mergeCell ref="P438:T438"/>
    <mergeCell ref="D248:E248"/>
    <mergeCell ref="D219:E219"/>
    <mergeCell ref="D444:E444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:Z19"/>
    <mergeCell ref="A190:Z190"/>
    <mergeCell ref="P310:T310"/>
    <mergeCell ref="A14:M14"/>
    <mergeCell ref="A111:Z111"/>
    <mergeCell ref="P163:T163"/>
    <mergeCell ref="D280:E280"/>
    <mergeCell ref="A353:Z353"/>
    <mergeCell ref="D345:E345"/>
    <mergeCell ref="P424:T424"/>
    <mergeCell ref="D467:E467"/>
    <mergeCell ref="A480:Z480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D91:E91"/>
    <mergeCell ref="P219:T219"/>
    <mergeCell ref="D162:E162"/>
    <mergeCell ref="A275:O276"/>
    <mergeCell ref="A69:O70"/>
    <mergeCell ref="P272:T272"/>
    <mergeCell ref="P210:T210"/>
    <mergeCell ref="A335:Z335"/>
    <mergeCell ref="D106:E106"/>
    <mergeCell ref="D93:E93"/>
    <mergeCell ref="D264:E264"/>
    <mergeCell ref="D220:E220"/>
    <mergeCell ref="A195:Z195"/>
    <mergeCell ref="P297:V297"/>
    <mergeCell ref="P285:T285"/>
    <mergeCell ref="P136:V136"/>
    <mergeCell ref="A253:Z253"/>
    <mergeCell ref="A131:O132"/>
    <mergeCell ref="P172:V172"/>
    <mergeCell ref="P299:T299"/>
    <mergeCell ref="P150:V150"/>
    <mergeCell ref="P221:V221"/>
    <mergeCell ref="P326:V326"/>
    <mergeCell ref="A483:O484"/>
    <mergeCell ref="P82:V82"/>
    <mergeCell ref="P204:V204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D398:E398"/>
    <mergeCell ref="P439:V439"/>
    <mergeCell ref="P433:V433"/>
    <mergeCell ref="D460:E460"/>
    <mergeCell ref="D416:E416"/>
    <mergeCell ref="P427:T427"/>
    <mergeCell ref="D391:E391"/>
    <mergeCell ref="P484:V484"/>
    <mergeCell ref="P434:V434"/>
    <mergeCell ref="A433:O434"/>
    <mergeCell ref="P491:V491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166:E166"/>
    <mergeCell ref="D337:E337"/>
    <mergeCell ref="A17:A18"/>
    <mergeCell ref="K17:K18"/>
    <mergeCell ref="A118:Z118"/>
    <mergeCell ref="C17:C18"/>
    <mergeCell ref="P300:T300"/>
    <mergeCell ref="P431:T431"/>
    <mergeCell ref="A488:O489"/>
    <mergeCell ref="D230:E230"/>
    <mergeCell ref="D168:E168"/>
    <mergeCell ref="D466:E466"/>
    <mergeCell ref="P66:T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D26:E26"/>
    <mergeCell ref="D148:E148"/>
    <mergeCell ref="A161:Z161"/>
    <mergeCell ref="D324:E324"/>
    <mergeCell ref="P55:T55"/>
    <mergeCell ref="D115:E115"/>
    <mergeCell ref="D311:E311"/>
    <mergeCell ref="P417:V417"/>
    <mergeCell ref="Q12:R12"/>
    <mergeCell ref="P280:T280"/>
    <mergeCell ref="P169:T169"/>
    <mergeCell ref="P411:T411"/>
    <mergeCell ref="D388:E388"/>
    <mergeCell ref="P442:T442"/>
    <mergeCell ref="P467:T467"/>
    <mergeCell ref="P489:V489"/>
    <mergeCell ref="Q9:R9"/>
    <mergeCell ref="P463:V463"/>
    <mergeCell ref="P312:T312"/>
    <mergeCell ref="D451:E451"/>
    <mergeCell ref="D255:E255"/>
    <mergeCell ref="P36:V36"/>
    <mergeCell ref="P478:V478"/>
    <mergeCell ref="A97:Z97"/>
    <mergeCell ref="Q11:R11"/>
    <mergeCell ref="D322:E322"/>
    <mergeCell ref="P119:T119"/>
    <mergeCell ref="P183:V183"/>
    <mergeCell ref="A43:O44"/>
    <mergeCell ref="P246:T246"/>
    <mergeCell ref="P127:V127"/>
    <mergeCell ref="A123:Z123"/>
    <mergeCell ref="D390:E390"/>
    <mergeCell ref="D9:E9"/>
    <mergeCell ref="P197:T197"/>
    <mergeCell ref="F9:G9"/>
    <mergeCell ref="P53:T53"/>
    <mergeCell ref="D167:E167"/>
    <mergeCell ref="P422:T422"/>
    <mergeCell ref="D232:E232"/>
    <mergeCell ref="P481:T481"/>
    <mergeCell ref="I17:I18"/>
    <mergeCell ref="D141:E141"/>
    <mergeCell ref="D135:E135"/>
    <mergeCell ref="A319:O320"/>
    <mergeCell ref="A417:O418"/>
    <mergeCell ref="P470:V470"/>
    <mergeCell ref="D72:E72"/>
    <mergeCell ref="P178:V178"/>
    <mergeCell ref="P276:V276"/>
    <mergeCell ref="A263:Z263"/>
    <mergeCell ref="P264:T264"/>
    <mergeCell ref="P68:T68"/>
    <mergeCell ref="A356:O357"/>
    <mergeCell ref="D169:E169"/>
    <mergeCell ref="D52:E52"/>
    <mergeCell ref="D27:E27"/>
    <mergeCell ref="P393:T393"/>
    <mergeCell ref="D203:E203"/>
    <mergeCell ref="D374:E374"/>
    <mergeCell ref="P232:T232"/>
    <mergeCell ref="P330:T330"/>
    <mergeCell ref="D140:E140"/>
    <mergeCell ref="D267:E267"/>
    <mergeCell ref="P187:T187"/>
    <mergeCell ref="P258:T258"/>
    <mergeCell ref="D375:E375"/>
    <mergeCell ref="D369:E369"/>
    <mergeCell ref="A182:O183"/>
    <mergeCell ref="P52:T52"/>
    <mergeCell ref="P423:T423"/>
    <mergeCell ref="P429:T429"/>
    <mergeCell ref="P350:T350"/>
    <mergeCell ref="P398:T398"/>
    <mergeCell ref="P214:T214"/>
    <mergeCell ref="D257:E257"/>
    <mergeCell ref="D213:E213"/>
    <mergeCell ref="A400:O401"/>
    <mergeCell ref="D1:F1"/>
    <mergeCell ref="P466:T466"/>
    <mergeCell ref="A71:Z71"/>
    <mergeCell ref="P488:V488"/>
    <mergeCell ref="P282:V282"/>
    <mergeCell ref="J17:J18"/>
    <mergeCell ref="L17:L18"/>
    <mergeCell ref="A184:Z184"/>
    <mergeCell ref="B498:B499"/>
    <mergeCell ref="P48:V48"/>
    <mergeCell ref="P255:T255"/>
    <mergeCell ref="P426:T426"/>
    <mergeCell ref="P490:V490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A332:O333"/>
    <mergeCell ref="P475:V475"/>
    <mergeCell ref="U498:U499"/>
    <mergeCell ref="W498:W499"/>
    <mergeCell ref="P269:V269"/>
    <mergeCell ref="A45:Z45"/>
    <mergeCell ref="A458:Z458"/>
    <mergeCell ref="A343:Z343"/>
    <mergeCell ref="P333:V333"/>
    <mergeCell ref="P273:T273"/>
    <mergeCell ref="D316:E316"/>
    <mergeCell ref="A218:Z218"/>
    <mergeCell ref="D272:E272"/>
    <mergeCell ref="D387:E387"/>
    <mergeCell ref="D210:E210"/>
    <mergeCell ref="D443:E443"/>
    <mergeCell ref="D87:E87"/>
    <mergeCell ref="P166:T166"/>
    <mergeCell ref="D147:E147"/>
    <mergeCell ref="P188:V188"/>
    <mergeCell ref="D209:E209"/>
    <mergeCell ref="D274:E274"/>
    <mergeCell ref="P337:T337"/>
    <mergeCell ref="H1:Q1"/>
    <mergeCell ref="A448:O449"/>
    <mergeCell ref="P109:V109"/>
    <mergeCell ref="A397:Z397"/>
    <mergeCell ref="D214:E214"/>
    <mergeCell ref="P222:V222"/>
    <mergeCell ref="P193:V193"/>
    <mergeCell ref="D284:E284"/>
    <mergeCell ref="D259:E259"/>
    <mergeCell ref="D28:E28"/>
    <mergeCell ref="D432:E432"/>
    <mergeCell ref="D92:E92"/>
    <mergeCell ref="D55:E55"/>
    <mergeCell ref="D30:E30"/>
    <mergeCell ref="A95:O96"/>
    <mergeCell ref="P171:T171"/>
    <mergeCell ref="A239:O240"/>
    <mergeCell ref="P242:T242"/>
    <mergeCell ref="P340:V340"/>
    <mergeCell ref="D67:E67"/>
    <mergeCell ref="D5:E5"/>
    <mergeCell ref="D303:E303"/>
    <mergeCell ref="P42:T42"/>
    <mergeCell ref="D290:E290"/>
    <mergeCell ref="A498:A499"/>
    <mergeCell ref="P94:T94"/>
    <mergeCell ref="P265:T265"/>
    <mergeCell ref="D208:E208"/>
    <mergeCell ref="D8:M8"/>
    <mergeCell ref="D379:E379"/>
    <mergeCell ref="D300:E300"/>
    <mergeCell ref="P473:T473"/>
    <mergeCell ref="P158:T158"/>
    <mergeCell ref="P329:T329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D94:E94"/>
    <mergeCell ref="A474:O475"/>
    <mergeCell ref="P396:V396"/>
    <mergeCell ref="P259:T259"/>
    <mergeCell ref="A395:O396"/>
    <mergeCell ref="P148:T148"/>
    <mergeCell ref="D7:M7"/>
    <mergeCell ref="D129:E129"/>
    <mergeCell ref="A373:Z373"/>
    <mergeCell ref="A405:O406"/>
    <mergeCell ref="D79:E79"/>
    <mergeCell ref="P92:T92"/>
    <mergeCell ref="P327:V327"/>
    <mergeCell ref="P394:T394"/>
    <mergeCell ref="A450:Z450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D354:E354"/>
    <mergeCell ref="P35:V35"/>
    <mergeCell ref="D301:E301"/>
    <mergeCell ref="D380:E380"/>
    <mergeCell ref="D445:E445"/>
    <mergeCell ref="A105:Z105"/>
    <mergeCell ref="P230:T230"/>
    <mergeCell ref="T498:T499"/>
    <mergeCell ref="D53:E53"/>
    <mergeCell ref="A84:Z84"/>
    <mergeCell ref="P159:V159"/>
    <mergeCell ref="D411:E411"/>
    <mergeCell ref="D482:E482"/>
    <mergeCell ref="P395:V395"/>
    <mergeCell ref="P209:T209"/>
    <mergeCell ref="C497:H497"/>
    <mergeCell ref="P147:T147"/>
    <mergeCell ref="A385:Z385"/>
    <mergeCell ref="A193:O194"/>
    <mergeCell ref="P96:V96"/>
    <mergeCell ref="P445:T445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154:V154"/>
    <mergeCell ref="A321:Z321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D66:E66"/>
    <mergeCell ref="P316:T316"/>
    <mergeCell ref="P443:T443"/>
    <mergeCell ref="D197:E197"/>
    <mergeCell ref="W17:W18"/>
    <mergeCell ref="A50:Z50"/>
    <mergeCell ref="D142:E142"/>
    <mergeCell ref="A120:O121"/>
    <mergeCell ref="P168:T168"/>
    <mergeCell ref="D211:E211"/>
    <mergeCell ref="P129:T129"/>
    <mergeCell ref="P250:T250"/>
    <mergeCell ref="D158:E158"/>
    <mergeCell ref="D329:E329"/>
    <mergeCell ref="D229:E229"/>
    <mergeCell ref="A402:Z402"/>
    <mergeCell ref="R1:T1"/>
    <mergeCell ref="P28:T28"/>
    <mergeCell ref="A351:O352"/>
    <mergeCell ref="P392:T392"/>
    <mergeCell ref="P215:T215"/>
    <mergeCell ref="P386:T386"/>
    <mergeCell ref="A381:O382"/>
    <mergeCell ref="P165:T165"/>
    <mergeCell ref="P432:T432"/>
    <mergeCell ref="P400:V400"/>
    <mergeCell ref="P30:T30"/>
    <mergeCell ref="D73:E73"/>
    <mergeCell ref="P77:V77"/>
    <mergeCell ref="A76:O77"/>
    <mergeCell ref="P152:T152"/>
    <mergeCell ref="P179:V179"/>
    <mergeCell ref="P290:T290"/>
    <mergeCell ref="P377:V377"/>
    <mergeCell ref="A63:O64"/>
    <mergeCell ref="B17:B18"/>
    <mergeCell ref="P143:V143"/>
    <mergeCell ref="P235:V235"/>
    <mergeCell ref="D258:E258"/>
    <mergeCell ref="A358:Z358"/>
    <mergeCell ref="H9:I9"/>
    <mergeCell ref="A49:Z49"/>
    <mergeCell ref="P24:V24"/>
    <mergeCell ref="P89:V89"/>
    <mergeCell ref="P260:V260"/>
    <mergeCell ref="P389:T389"/>
    <mergeCell ref="A334:Z334"/>
    <mergeCell ref="A383:Z383"/>
    <mergeCell ref="P88:V88"/>
    <mergeCell ref="A78:Z78"/>
    <mergeCell ref="P153:V153"/>
    <mergeCell ref="P220:T220"/>
    <mergeCell ref="A65:Z65"/>
    <mergeCell ref="D312:E312"/>
    <mergeCell ref="A363:Z363"/>
    <mergeCell ref="D238:E238"/>
    <mergeCell ref="A216:O217"/>
    <mergeCell ref="P86:T86"/>
    <mergeCell ref="D134:E134"/>
    <mergeCell ref="P213:T213"/>
    <mergeCell ref="A281:O282"/>
    <mergeCell ref="A378:Z378"/>
    <mergeCell ref="P249:T249"/>
    <mergeCell ref="D124:E124"/>
    <mergeCell ref="P79:T79"/>
    <mergeCell ref="D473:E473"/>
    <mergeCell ref="D60:E60"/>
    <mergeCell ref="P73:T73"/>
    <mergeCell ref="D187:E187"/>
    <mergeCell ref="P437:T437"/>
    <mergeCell ref="A361:O362"/>
    <mergeCell ref="P231:T231"/>
    <mergeCell ref="D423:E423"/>
    <mergeCell ref="P302:T302"/>
    <mergeCell ref="D472:E472"/>
    <mergeCell ref="A83:Z83"/>
    <mergeCell ref="D410:E410"/>
    <mergeCell ref="A270:Z270"/>
    <mergeCell ref="A441:Z441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D108:E10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2025-11-18T08:38:21Z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