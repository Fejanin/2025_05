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81E2D91-6905-4BB2-A022-2D4AFCCECBA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7" i="1"/>
  <c r="Y326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Y327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61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Z103" i="1" l="1"/>
  <c r="Z126" i="1"/>
  <c r="H9" i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Z286" i="1" s="1"/>
  <c r="Y286" i="1"/>
  <c r="BP330" i="1"/>
  <c r="BN330" i="1"/>
  <c r="Z330" i="1"/>
  <c r="Z332" i="1" s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0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Z319" i="1" s="1"/>
  <c r="Y319" i="1"/>
  <c r="BP345" i="1"/>
  <c r="BN345" i="1"/>
  <c r="Z345" i="1"/>
  <c r="Z351" i="1" s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Z463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Z216" i="1" s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Z251" i="1" s="1"/>
  <c r="Y251" i="1"/>
  <c r="Z260" i="1"/>
  <c r="BP256" i="1"/>
  <c r="BN256" i="1"/>
  <c r="Z256" i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Z296" i="1" s="1"/>
  <c r="BP295" i="1"/>
  <c r="BN295" i="1"/>
  <c r="Z295" i="1"/>
  <c r="Y297" i="1"/>
  <c r="Y306" i="1"/>
  <c r="BP299" i="1"/>
  <c r="BN299" i="1"/>
  <c r="Z299" i="1"/>
  <c r="Z306" i="1" s="1"/>
  <c r="BP303" i="1"/>
  <c r="BN303" i="1"/>
  <c r="Z303" i="1"/>
  <c r="BP311" i="1"/>
  <c r="BN311" i="1"/>
  <c r="Z311" i="1"/>
  <c r="Y320" i="1"/>
  <c r="Z326" i="1"/>
  <c r="BP324" i="1"/>
  <c r="BN324" i="1"/>
  <c r="Z324" i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33" i="1" l="1"/>
  <c r="Z235" i="1"/>
  <c r="Z448" i="1"/>
  <c r="Y492" i="1"/>
  <c r="Z149" i="1"/>
  <c r="Z69" i="1"/>
  <c r="Y490" i="1"/>
  <c r="Z469" i="1"/>
  <c r="Z395" i="1"/>
  <c r="Z313" i="1"/>
  <c r="Z172" i="1"/>
  <c r="Z88" i="1"/>
  <c r="Z43" i="1"/>
  <c r="Z31" i="1"/>
  <c r="Z495" i="1" s="1"/>
  <c r="Y494" i="1"/>
  <c r="Y491" i="1"/>
  <c r="Y493" i="1" s="1"/>
  <c r="Z275" i="1"/>
  <c r="Z116" i="1"/>
  <c r="Z95" i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<sst xmlns="http://schemas.openxmlformats.org/spreadsheetml/2006/main" count="2349" uniqueCount="770">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</sst>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5"/>
      <c r="F1" s="575"/>
      <c r="G1" s="12" t="s">
        <v>1</v>
      </c>
      <c r="H1" s="625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9" t="s">
        <v>8</v>
      </c>
      <c r="B5" s="642"/>
      <c r="C5" s="643"/>
      <c r="D5" s="628"/>
      <c r="E5" s="629"/>
      <c r="F5" s="836" t="s">
        <v>9</v>
      </c>
      <c r="G5" s="643"/>
      <c r="H5" s="628"/>
      <c r="I5" s="777"/>
      <c r="J5" s="777"/>
      <c r="K5" s="777"/>
      <c r="L5" s="777"/>
      <c r="M5" s="629"/>
      <c r="N5" s="58"/>
      <c r="P5" s="24" t="s">
        <v>10</v>
      </c>
      <c r="Q5" s="848">
        <v>45981</v>
      </c>
      <c r="R5" s="668"/>
      <c r="T5" s="708" t="s">
        <v>11</v>
      </c>
      <c r="U5" s="709"/>
      <c r="V5" s="710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69" t="s">
        <v>13</v>
      </c>
      <c r="B6" s="642"/>
      <c r="C6" s="64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8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8" t="s">
        <v>16</v>
      </c>
      <c r="U6" s="709"/>
      <c r="V6" s="764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5"/>
      <c r="U7" s="709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4"/>
      <c r="C8" s="565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5">
        <v>0.41666666666666669</v>
      </c>
      <c r="R8" s="608"/>
      <c r="T8" s="555"/>
      <c r="U8" s="709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6"/>
      <c r="E9" s="562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5"/>
      <c r="P9" s="26" t="s">
        <v>21</v>
      </c>
      <c r="Q9" s="664"/>
      <c r="R9" s="665"/>
      <c r="T9" s="555"/>
      <c r="U9" s="709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6"/>
      <c r="E10" s="562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57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30</v>
      </c>
      <c r="Q12" s="675"/>
      <c r="R12" s="608"/>
      <c r="S12" s="23"/>
      <c r="U12" s="24"/>
      <c r="V12" s="575"/>
      <c r="W12" s="555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3" t="s">
        <v>34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696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83" t="s">
        <v>38</v>
      </c>
      <c r="D17" s="586" t="s">
        <v>39</v>
      </c>
      <c r="E17" s="651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0"/>
      <c r="R17" s="650"/>
      <c r="S17" s="650"/>
      <c r="T17" s="651"/>
      <c r="U17" s="866" t="s">
        <v>51</v>
      </c>
      <c r="V17" s="643"/>
      <c r="W17" s="586" t="s">
        <v>52</v>
      </c>
      <c r="X17" s="586" t="s">
        <v>53</v>
      </c>
      <c r="Y17" s="863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2"/>
      <c r="E18" s="654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87"/>
      <c r="X18" s="587"/>
      <c r="Y18" s="864"/>
      <c r="Z18" s="776"/>
      <c r="AA18" s="756"/>
      <c r="AB18" s="756"/>
      <c r="AC18" s="756"/>
      <c r="AD18" s="833"/>
      <c r="AE18" s="834"/>
      <c r="AF18" s="835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0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3" t="s">
        <v>71</v>
      </c>
      <c r="Q23" s="564"/>
      <c r="R23" s="564"/>
      <c r="S23" s="564"/>
      <c r="T23" s="564"/>
      <c r="U23" s="564"/>
      <c r="V23" s="565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3" t="s">
        <v>71</v>
      </c>
      <c r="Q24" s="564"/>
      <c r="R24" s="564"/>
      <c r="S24" s="564"/>
      <c r="T24" s="564"/>
      <c r="U24" s="564"/>
      <c r="V24" s="565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0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3" t="s">
        <v>71</v>
      </c>
      <c r="Q31" s="564"/>
      <c r="R31" s="564"/>
      <c r="S31" s="564"/>
      <c r="T31" s="564"/>
      <c r="U31" s="564"/>
      <c r="V31" s="565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3" t="s">
        <v>71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60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3" t="s">
        <v>71</v>
      </c>
      <c r="Q35" s="564"/>
      <c r="R35" s="564"/>
      <c r="S35" s="564"/>
      <c r="T35" s="564"/>
      <c r="U35" s="564"/>
      <c r="V35" s="565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3" t="s">
        <v>71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7" t="s">
        <v>99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8"/>
      <c r="U37" s="568"/>
      <c r="V37" s="568"/>
      <c r="W37" s="568"/>
      <c r="X37" s="568"/>
      <c r="Y37" s="568"/>
      <c r="Z37" s="568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0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3" t="s">
        <v>71</v>
      </c>
      <c r="Q43" s="564"/>
      <c r="R43" s="564"/>
      <c r="S43" s="564"/>
      <c r="T43" s="564"/>
      <c r="U43" s="564"/>
      <c r="V43" s="565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3" t="s">
        <v>71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60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3" t="s">
        <v>71</v>
      </c>
      <c r="Q47" s="564"/>
      <c r="R47" s="564"/>
      <c r="S47" s="564"/>
      <c r="T47" s="564"/>
      <c r="U47" s="564"/>
      <c r="V47" s="565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3" t="s">
        <v>71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0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150</v>
      </c>
      <c r="Y52" s="544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9</v>
      </c>
      <c r="Y56" s="544">
        <f t="shared" si="0"/>
        <v>9</v>
      </c>
      <c r="Z56" s="36">
        <f>IFERROR(IF(Y56=0,"",ROUNDUP(Y56/H56,0)*0.00902),"")</f>
        <v>1.804E-2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9.3800000000000008</v>
      </c>
      <c r="BN56" s="64">
        <f t="shared" si="2"/>
        <v>9.3800000000000008</v>
      </c>
      <c r="BO56" s="64">
        <f t="shared" si="3"/>
        <v>1.5151515151515152E-2</v>
      </c>
      <c r="BP56" s="64">
        <f t="shared" si="4"/>
        <v>1.5151515151515152E-2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3" t="s">
        <v>71</v>
      </c>
      <c r="Q57" s="564"/>
      <c r="R57" s="564"/>
      <c r="S57" s="564"/>
      <c r="T57" s="564"/>
      <c r="U57" s="564"/>
      <c r="V57" s="565"/>
      <c r="W57" s="37" t="s">
        <v>72</v>
      </c>
      <c r="X57" s="545">
        <f>IFERROR(X51/H51,"0")+IFERROR(X52/H52,"0")+IFERROR(X53/H53,"0")+IFERROR(X54/H54,"0")+IFERROR(X55/H55,"0")+IFERROR(X56/H56,"0")</f>
        <v>15.888888888888888</v>
      </c>
      <c r="Y57" s="545">
        <f>IFERROR(Y51/H51,"0")+IFERROR(Y52/H52,"0")+IFERROR(Y53/H53,"0")+IFERROR(Y54/H54,"0")+IFERROR(Y55/H55,"0")+IFERROR(Y56/H56,"0")</f>
        <v>16</v>
      </c>
      <c r="Z57" s="545">
        <f>IFERROR(IF(Z51="",0,Z51),"0")+IFERROR(IF(Z52="",0,Z52),"0")+IFERROR(IF(Z53="",0,Z53),"0")+IFERROR(IF(Z54="",0,Z54),"0")+IFERROR(IF(Z55="",0,Z55),"0")+IFERROR(IF(Z56="",0,Z56),"0")</f>
        <v>0.28376000000000001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3" t="s">
        <v>71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159</v>
      </c>
      <c r="Y58" s="545">
        <f>IFERROR(SUM(Y51:Y56),"0")</f>
        <v>160.20000000000002</v>
      </c>
      <c r="Z58" s="37"/>
      <c r="AA58" s="546"/>
      <c r="AB58" s="546"/>
      <c r="AC58" s="546"/>
    </row>
    <row r="59" spans="1:68" ht="14.25" customHeight="1" x14ac:dyDescent="0.25">
      <c r="A59" s="560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50</v>
      </c>
      <c r="Y60" s="544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5.4</v>
      </c>
      <c r="Y62" s="544">
        <f>IFERROR(IF(X62="",0,CEILING((X62/$H62),1)*$H62),"")</f>
        <v>5.4</v>
      </c>
      <c r="Z62" s="36">
        <f>IFERROR(IF(Y62=0,"",ROUNDUP(Y62/H62,0)*0.00651),"")</f>
        <v>1.302E-2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5.76</v>
      </c>
      <c r="BN62" s="64">
        <f>IFERROR(Y62*I62/H62,"0")</f>
        <v>5.76</v>
      </c>
      <c r="BO62" s="64">
        <f>IFERROR(1/J62*(X62/H62),"0")</f>
        <v>1.098901098901099E-2</v>
      </c>
      <c r="BP62" s="64">
        <f>IFERROR(1/J62*(Y62/H62),"0")</f>
        <v>1.098901098901099E-2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3" t="s">
        <v>71</v>
      </c>
      <c r="Q63" s="564"/>
      <c r="R63" s="564"/>
      <c r="S63" s="564"/>
      <c r="T63" s="564"/>
      <c r="U63" s="564"/>
      <c r="V63" s="565"/>
      <c r="W63" s="37" t="s">
        <v>72</v>
      </c>
      <c r="X63" s="545">
        <f>IFERROR(X60/H60,"0")+IFERROR(X61/H61,"0")+IFERROR(X62/H62,"0")</f>
        <v>6.6296296296296298</v>
      </c>
      <c r="Y63" s="545">
        <f>IFERROR(Y60/H60,"0")+IFERROR(Y61/H61,"0")+IFERROR(Y62/H62,"0")</f>
        <v>7</v>
      </c>
      <c r="Z63" s="545">
        <f>IFERROR(IF(Z60="",0,Z60),"0")+IFERROR(IF(Z61="",0,Z61),"0")+IFERROR(IF(Z62="",0,Z62),"0")</f>
        <v>0.10792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3" t="s">
        <v>71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55.4</v>
      </c>
      <c r="Y64" s="545">
        <f>IFERROR(SUM(Y60:Y62),"0")</f>
        <v>59.4</v>
      </c>
      <c r="Z64" s="37"/>
      <c r="AA64" s="546"/>
      <c r="AB64" s="546"/>
      <c r="AC64" s="546"/>
    </row>
    <row r="65" spans="1:68" ht="14.25" customHeight="1" x14ac:dyDescent="0.25">
      <c r="A65" s="560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3" t="s">
        <v>71</v>
      </c>
      <c r="Q69" s="564"/>
      <c r="R69" s="564"/>
      <c r="S69" s="564"/>
      <c r="T69" s="564"/>
      <c r="U69" s="564"/>
      <c r="V69" s="565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3" t="s">
        <v>71</v>
      </c>
      <c r="Q70" s="564"/>
      <c r="R70" s="564"/>
      <c r="S70" s="564"/>
      <c r="T70" s="564"/>
      <c r="U70" s="564"/>
      <c r="V70" s="565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0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3" t="s">
        <v>71</v>
      </c>
      <c r="Q76" s="564"/>
      <c r="R76" s="564"/>
      <c r="S76" s="564"/>
      <c r="T76" s="564"/>
      <c r="U76" s="564"/>
      <c r="V76" s="565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3" t="s">
        <v>71</v>
      </c>
      <c r="Q77" s="564"/>
      <c r="R77" s="564"/>
      <c r="S77" s="564"/>
      <c r="T77" s="564"/>
      <c r="U77" s="564"/>
      <c r="V77" s="565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60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3" t="s">
        <v>71</v>
      </c>
      <c r="Q81" s="564"/>
      <c r="R81" s="564"/>
      <c r="S81" s="564"/>
      <c r="T81" s="564"/>
      <c r="U81" s="564"/>
      <c r="V81" s="565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3" t="s">
        <v>71</v>
      </c>
      <c r="Q82" s="564"/>
      <c r="R82" s="564"/>
      <c r="S82" s="564"/>
      <c r="T82" s="564"/>
      <c r="U82" s="564"/>
      <c r="V82" s="565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0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3" t="s">
        <v>71</v>
      </c>
      <c r="Q88" s="564"/>
      <c r="R88" s="564"/>
      <c r="S88" s="564"/>
      <c r="T88" s="564"/>
      <c r="U88" s="564"/>
      <c r="V88" s="565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3" t="s">
        <v>71</v>
      </c>
      <c r="Q89" s="564"/>
      <c r="R89" s="564"/>
      <c r="S89" s="564"/>
      <c r="T89" s="564"/>
      <c r="U89" s="564"/>
      <c r="V89" s="565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customHeight="1" x14ac:dyDescent="0.25">
      <c r="A90" s="560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3" t="s">
        <v>71</v>
      </c>
      <c r="Q95" s="564"/>
      <c r="R95" s="564"/>
      <c r="S95" s="564"/>
      <c r="T95" s="564"/>
      <c r="U95" s="564"/>
      <c r="V95" s="565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3" t="s">
        <v>71</v>
      </c>
      <c r="Q96" s="564"/>
      <c r="R96" s="564"/>
      <c r="S96" s="564"/>
      <c r="T96" s="564"/>
      <c r="U96" s="564"/>
      <c r="V96" s="565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0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3" t="s">
        <v>71</v>
      </c>
      <c r="Q103" s="564"/>
      <c r="R103" s="564"/>
      <c r="S103" s="564"/>
      <c r="T103" s="564"/>
      <c r="U103" s="564"/>
      <c r="V103" s="565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3" t="s">
        <v>71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60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3" t="s">
        <v>71</v>
      </c>
      <c r="Q109" s="564"/>
      <c r="R109" s="564"/>
      <c r="S109" s="564"/>
      <c r="T109" s="564"/>
      <c r="U109" s="564"/>
      <c r="V109" s="565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3" t="s">
        <v>71</v>
      </c>
      <c r="Q110" s="564"/>
      <c r="R110" s="564"/>
      <c r="S110" s="564"/>
      <c r="T110" s="564"/>
      <c r="U110" s="564"/>
      <c r="V110" s="565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60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3" t="s">
        <v>71</v>
      </c>
      <c r="Q116" s="564"/>
      <c r="R116" s="564"/>
      <c r="S116" s="564"/>
      <c r="T116" s="564"/>
      <c r="U116" s="564"/>
      <c r="V116" s="565"/>
      <c r="W116" s="37" t="s">
        <v>72</v>
      </c>
      <c r="X116" s="545">
        <f>IFERROR(X112/H112,"0")+IFERROR(X113/H113,"0")+IFERROR(X114/H114,"0")+IFERROR(X115/H115,"0")</f>
        <v>0</v>
      </c>
      <c r="Y116" s="545">
        <f>IFERROR(Y112/H112,"0")+IFERROR(Y113/H113,"0")+IFERROR(Y114/H114,"0")+IFERROR(Y115/H115,"0")</f>
        <v>0</v>
      </c>
      <c r="Z116" s="545">
        <f>IFERROR(IF(Z112="",0,Z112),"0")+IFERROR(IF(Z113="",0,Z113),"0")+IFERROR(IF(Z114="",0,Z114),"0")+IFERROR(IF(Z115="",0,Z115),"0")</f>
        <v>0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3" t="s">
        <v>71</v>
      </c>
      <c r="Q117" s="564"/>
      <c r="R117" s="564"/>
      <c r="S117" s="564"/>
      <c r="T117" s="564"/>
      <c r="U117" s="564"/>
      <c r="V117" s="565"/>
      <c r="W117" s="37" t="s">
        <v>69</v>
      </c>
      <c r="X117" s="545">
        <f>IFERROR(SUM(X112:X115),"0")</f>
        <v>0</v>
      </c>
      <c r="Y117" s="545">
        <f>IFERROR(SUM(Y112:Y115),"0")</f>
        <v>0</v>
      </c>
      <c r="Z117" s="37"/>
      <c r="AA117" s="546"/>
      <c r="AB117" s="546"/>
      <c r="AC117" s="546"/>
    </row>
    <row r="118" spans="1:68" ht="14.25" customHeight="1" x14ac:dyDescent="0.25">
      <c r="A118" s="560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3" t="s">
        <v>71</v>
      </c>
      <c r="Q120" s="564"/>
      <c r="R120" s="564"/>
      <c r="S120" s="564"/>
      <c r="T120" s="564"/>
      <c r="U120" s="564"/>
      <c r="V120" s="565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3" t="s">
        <v>71</v>
      </c>
      <c r="Q121" s="564"/>
      <c r="R121" s="564"/>
      <c r="S121" s="564"/>
      <c r="T121" s="564"/>
      <c r="U121" s="564"/>
      <c r="V121" s="565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0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3" t="s">
        <v>71</v>
      </c>
      <c r="Q126" s="564"/>
      <c r="R126" s="564"/>
      <c r="S126" s="564"/>
      <c r="T126" s="564"/>
      <c r="U126" s="564"/>
      <c r="V126" s="565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3" t="s">
        <v>71</v>
      </c>
      <c r="Q127" s="564"/>
      <c r="R127" s="564"/>
      <c r="S127" s="564"/>
      <c r="T127" s="564"/>
      <c r="U127" s="564"/>
      <c r="V127" s="565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60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3" t="s">
        <v>71</v>
      </c>
      <c r="Q131" s="564"/>
      <c r="R131" s="564"/>
      <c r="S131" s="564"/>
      <c r="T131" s="564"/>
      <c r="U131" s="564"/>
      <c r="V131" s="565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3" t="s">
        <v>71</v>
      </c>
      <c r="Q132" s="564"/>
      <c r="R132" s="564"/>
      <c r="S132" s="564"/>
      <c r="T132" s="564"/>
      <c r="U132" s="564"/>
      <c r="V132" s="565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60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3" t="s">
        <v>71</v>
      </c>
      <c r="Q136" s="564"/>
      <c r="R136" s="564"/>
      <c r="S136" s="564"/>
      <c r="T136" s="564"/>
      <c r="U136" s="564"/>
      <c r="V136" s="565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3" t="s">
        <v>71</v>
      </c>
      <c r="Q137" s="564"/>
      <c r="R137" s="564"/>
      <c r="S137" s="564"/>
      <c r="T137" s="564"/>
      <c r="U137" s="564"/>
      <c r="V137" s="565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0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72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3" t="s">
        <v>71</v>
      </c>
      <c r="Q143" s="564"/>
      <c r="R143" s="564"/>
      <c r="S143" s="564"/>
      <c r="T143" s="564"/>
      <c r="U143" s="564"/>
      <c r="V143" s="565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3" t="s">
        <v>71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customHeight="1" x14ac:dyDescent="0.25">
      <c r="A145" s="560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4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3" t="s">
        <v>71</v>
      </c>
      <c r="Q149" s="564"/>
      <c r="R149" s="564"/>
      <c r="S149" s="564"/>
      <c r="T149" s="564"/>
      <c r="U149" s="564"/>
      <c r="V149" s="565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3" t="s">
        <v>71</v>
      </c>
      <c r="Q150" s="564"/>
      <c r="R150" s="564"/>
      <c r="S150" s="564"/>
      <c r="T150" s="564"/>
      <c r="U150" s="564"/>
      <c r="V150" s="565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60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2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3" t="s">
        <v>71</v>
      </c>
      <c r="Q153" s="564"/>
      <c r="R153" s="564"/>
      <c r="S153" s="564"/>
      <c r="T153" s="564"/>
      <c r="U153" s="564"/>
      <c r="V153" s="565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3" t="s">
        <v>71</v>
      </c>
      <c r="Q154" s="564"/>
      <c r="R154" s="564"/>
      <c r="S154" s="564"/>
      <c r="T154" s="564"/>
      <c r="U154" s="564"/>
      <c r="V154" s="565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567" t="s">
        <v>255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0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3" t="s">
        <v>71</v>
      </c>
      <c r="Q159" s="564"/>
      <c r="R159" s="564"/>
      <c r="S159" s="564"/>
      <c r="T159" s="564"/>
      <c r="U159" s="564"/>
      <c r="V159" s="565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3" t="s">
        <v>71</v>
      </c>
      <c r="Q160" s="564"/>
      <c r="R160" s="564"/>
      <c r="S160" s="564"/>
      <c r="T160" s="564"/>
      <c r="U160" s="564"/>
      <c r="V160" s="565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0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0">
        <v>4680115887213</v>
      </c>
      <c r="E162" s="551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3" t="s">
        <v>262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0">
        <v>4680115880993</v>
      </c>
      <c r="E163" s="551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0">
        <v>4680115881761</v>
      </c>
      <c r="E164" s="551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0">
        <v>4680115881563</v>
      </c>
      <c r="E165" s="551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0">
        <v>4680115880986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0">
        <v>4680115881785</v>
      </c>
      <c r="E167" s="55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0">
        <v>4680115886537</v>
      </c>
      <c r="E168" s="55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0">
        <v>4680115881679</v>
      </c>
      <c r="E169" s="55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0">
        <v>4680115880191</v>
      </c>
      <c r="E170" s="55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0">
        <v>4680115883963</v>
      </c>
      <c r="E171" s="55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3" t="s">
        <v>71</v>
      </c>
      <c r="Q172" s="564"/>
      <c r="R172" s="564"/>
      <c r="S172" s="564"/>
      <c r="T172" s="564"/>
      <c r="U172" s="564"/>
      <c r="V172" s="565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3" t="s">
        <v>71</v>
      </c>
      <c r="Q173" s="564"/>
      <c r="R173" s="564"/>
      <c r="S173" s="564"/>
      <c r="T173" s="564"/>
      <c r="U173" s="564"/>
      <c r="V173" s="565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customHeight="1" x14ac:dyDescent="0.25">
      <c r="A174" s="560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0">
        <v>4680115886780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0">
        <v>4680115886742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0">
        <v>4680115886766</v>
      </c>
      <c r="E177" s="55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3" t="s">
        <v>71</v>
      </c>
      <c r="Q178" s="564"/>
      <c r="R178" s="564"/>
      <c r="S178" s="564"/>
      <c r="T178" s="564"/>
      <c r="U178" s="564"/>
      <c r="V178" s="565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3" t="s">
        <v>71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0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0">
        <v>4680115886797</v>
      </c>
      <c r="E181" s="55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3" t="s">
        <v>71</v>
      </c>
      <c r="Q182" s="564"/>
      <c r="R182" s="564"/>
      <c r="S182" s="564"/>
      <c r="T182" s="564"/>
      <c r="U182" s="564"/>
      <c r="V182" s="565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3" t="s">
        <v>71</v>
      </c>
      <c r="Q183" s="564"/>
      <c r="R183" s="564"/>
      <c r="S183" s="564"/>
      <c r="T183" s="564"/>
      <c r="U183" s="564"/>
      <c r="V183" s="565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0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0">
        <v>4680115881402</v>
      </c>
      <c r="E186" s="551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40</v>
      </c>
      <c r="Y186" s="544">
        <f>IFERROR(IF(X186="",0,CEILING((X186/$H186),1)*$H186),"")</f>
        <v>43.2</v>
      </c>
      <c r="Z186" s="36">
        <f>IFERROR(IF(Y186=0,"",ROUNDUP(Y186/H186,0)*0.01898),"")</f>
        <v>7.5920000000000001E-2</v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41.518518518518519</v>
      </c>
      <c r="BN186" s="64">
        <f>IFERROR(Y186*I186/H186,"0")</f>
        <v>44.84</v>
      </c>
      <c r="BO186" s="64">
        <f>IFERROR(1/J186*(X186/H186),"0")</f>
        <v>5.7870370370370364E-2</v>
      </c>
      <c r="BP186" s="64">
        <f>IFERROR(1/J186*(Y186/H186),"0")</f>
        <v>6.25E-2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0">
        <v>4680115881396</v>
      </c>
      <c r="E187" s="55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3" t="s">
        <v>71</v>
      </c>
      <c r="Q188" s="564"/>
      <c r="R188" s="564"/>
      <c r="S188" s="564"/>
      <c r="T188" s="564"/>
      <c r="U188" s="564"/>
      <c r="V188" s="565"/>
      <c r="W188" s="37" t="s">
        <v>72</v>
      </c>
      <c r="X188" s="545">
        <f>IFERROR(X186/H186,"0")+IFERROR(X187/H187,"0")</f>
        <v>3.7037037037037033</v>
      </c>
      <c r="Y188" s="545">
        <f>IFERROR(Y186/H186,"0")+IFERROR(Y187/H187,"0")</f>
        <v>4</v>
      </c>
      <c r="Z188" s="545">
        <f>IFERROR(IF(Z186="",0,Z186),"0")+IFERROR(IF(Z187="",0,Z187),"0")</f>
        <v>7.5920000000000001E-2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3" t="s">
        <v>71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IFERROR(SUM(X186:X187),"0")</f>
        <v>40</v>
      </c>
      <c r="Y189" s="545">
        <f>IFERROR(SUM(Y186:Y187),"0")</f>
        <v>43.2</v>
      </c>
      <c r="Z189" s="37"/>
      <c r="AA189" s="546"/>
      <c r="AB189" s="546"/>
      <c r="AC189" s="546"/>
    </row>
    <row r="190" spans="1:68" ht="14.25" customHeight="1" x14ac:dyDescent="0.25">
      <c r="A190" s="560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0">
        <v>4680115882935</v>
      </c>
      <c r="E191" s="551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0">
        <v>4680115880764</v>
      </c>
      <c r="E192" s="55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3" t="s">
        <v>71</v>
      </c>
      <c r="Q193" s="564"/>
      <c r="R193" s="564"/>
      <c r="S193" s="564"/>
      <c r="T193" s="564"/>
      <c r="U193" s="564"/>
      <c r="V193" s="565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3" t="s">
        <v>71</v>
      </c>
      <c r="Q194" s="564"/>
      <c r="R194" s="564"/>
      <c r="S194" s="564"/>
      <c r="T194" s="564"/>
      <c r="U194" s="564"/>
      <c r="V194" s="565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0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0">
        <v>4680115882683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0">
        <v>4680115882690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0">
        <v>4680115882669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0">
        <v>4680115882676</v>
      </c>
      <c r="E199" s="551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0">
        <v>4680115884014</v>
      </c>
      <c r="E200" s="55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0">
        <v>4680115884007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0">
        <v>4680115884038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0">
        <v>4680115884021</v>
      </c>
      <c r="E203" s="55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3" t="s">
        <v>71</v>
      </c>
      <c r="Q204" s="564"/>
      <c r="R204" s="564"/>
      <c r="S204" s="564"/>
      <c r="T204" s="564"/>
      <c r="U204" s="564"/>
      <c r="V204" s="565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3" t="s">
        <v>71</v>
      </c>
      <c r="Q205" s="564"/>
      <c r="R205" s="564"/>
      <c r="S205" s="564"/>
      <c r="T205" s="564"/>
      <c r="U205" s="564"/>
      <c r="V205" s="565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60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0">
        <v>4680115881594</v>
      </c>
      <c r="E207" s="551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0">
        <v>4680115881617</v>
      </c>
      <c r="E208" s="551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0">
        <v>4680115880573</v>
      </c>
      <c r="E209" s="551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0">
        <v>4680115882195</v>
      </c>
      <c r="E210" s="55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0">
        <v>4680115882607</v>
      </c>
      <c r="E211" s="55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0">
        <v>4680115880092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0">
        <v>4680115880221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0">
        <v>4680115880504</v>
      </c>
      <c r="E214" s="55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0">
        <v>4680115882164</v>
      </c>
      <c r="E215" s="55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3" t="s">
        <v>71</v>
      </c>
      <c r="Q216" s="564"/>
      <c r="R216" s="564"/>
      <c r="S216" s="564"/>
      <c r="T216" s="564"/>
      <c r="U216" s="564"/>
      <c r="V216" s="565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3" t="s">
        <v>71</v>
      </c>
      <c r="Q217" s="564"/>
      <c r="R217" s="564"/>
      <c r="S217" s="564"/>
      <c r="T217" s="564"/>
      <c r="U217" s="564"/>
      <c r="V217" s="565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60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0">
        <v>4680115880818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0">
        <v>4680115880801</v>
      </c>
      <c r="E220" s="55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3" t="s">
        <v>71</v>
      </c>
      <c r="Q221" s="564"/>
      <c r="R221" s="564"/>
      <c r="S221" s="564"/>
      <c r="T221" s="564"/>
      <c r="U221" s="564"/>
      <c r="V221" s="565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3" t="s">
        <v>71</v>
      </c>
      <c r="Q222" s="564"/>
      <c r="R222" s="564"/>
      <c r="S222" s="564"/>
      <c r="T222" s="564"/>
      <c r="U222" s="564"/>
      <c r="V222" s="565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0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0">
        <v>4680115884137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0">
        <v>4680115884236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0">
        <v>4680115884175</v>
      </c>
      <c r="E227" s="551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0">
        <v>4680115884144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0">
        <v>4680115886551</v>
      </c>
      <c r="E230" s="551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0">
        <v>4680115884182</v>
      </c>
      <c r="E231" s="551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0">
        <v>4680115887282</v>
      </c>
      <c r="E232" s="55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0">
        <v>4680115884205</v>
      </c>
      <c r="E234" s="551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3" t="s">
        <v>71</v>
      </c>
      <c r="Q235" s="564"/>
      <c r="R235" s="564"/>
      <c r="S235" s="564"/>
      <c r="T235" s="564"/>
      <c r="U235" s="564"/>
      <c r="V235" s="565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3" t="s">
        <v>71</v>
      </c>
      <c r="Q236" s="564"/>
      <c r="R236" s="564"/>
      <c r="S236" s="564"/>
      <c r="T236" s="564"/>
      <c r="U236" s="564"/>
      <c r="V236" s="565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60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0">
        <v>4680115885981</v>
      </c>
      <c r="E238" s="55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3" t="s">
        <v>71</v>
      </c>
      <c r="Q239" s="564"/>
      <c r="R239" s="564"/>
      <c r="S239" s="564"/>
      <c r="T239" s="564"/>
      <c r="U239" s="564"/>
      <c r="V239" s="565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3" t="s">
        <v>71</v>
      </c>
      <c r="Q240" s="564"/>
      <c r="R240" s="564"/>
      <c r="S240" s="564"/>
      <c r="T240" s="564"/>
      <c r="U240" s="564"/>
      <c r="V240" s="565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0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0">
        <v>4680115886803</v>
      </c>
      <c r="E242" s="55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3" t="s">
        <v>71</v>
      </c>
      <c r="Q243" s="564"/>
      <c r="R243" s="564"/>
      <c r="S243" s="564"/>
      <c r="T243" s="564"/>
      <c r="U243" s="564"/>
      <c r="V243" s="565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3" t="s">
        <v>71</v>
      </c>
      <c r="Q244" s="564"/>
      <c r="R244" s="564"/>
      <c r="S244" s="564"/>
      <c r="T244" s="564"/>
      <c r="U244" s="564"/>
      <c r="V244" s="565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0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0">
        <v>4680115886704</v>
      </c>
      <c r="E246" s="55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0">
        <v>4680115886681</v>
      </c>
      <c r="E247" s="55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0">
        <v>4680115886735</v>
      </c>
      <c r="E248" s="55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0">
        <v>4680115886728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0">
        <v>4680115886711</v>
      </c>
      <c r="E250" s="55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3" t="s">
        <v>71</v>
      </c>
      <c r="Q251" s="564"/>
      <c r="R251" s="564"/>
      <c r="S251" s="564"/>
      <c r="T251" s="564"/>
      <c r="U251" s="564"/>
      <c r="V251" s="565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3" t="s">
        <v>71</v>
      </c>
      <c r="Q252" s="564"/>
      <c r="R252" s="564"/>
      <c r="S252" s="564"/>
      <c r="T252" s="564"/>
      <c r="U252" s="564"/>
      <c r="V252" s="565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0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0">
        <v>4680115885837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0">
        <v>4680115885851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0">
        <v>4680115885806</v>
      </c>
      <c r="E257" s="551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0">
        <v>4680115885844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0">
        <v>4680115885820</v>
      </c>
      <c r="E259" s="551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3" t="s">
        <v>71</v>
      </c>
      <c r="Q260" s="564"/>
      <c r="R260" s="564"/>
      <c r="S260" s="564"/>
      <c r="T260" s="564"/>
      <c r="U260" s="564"/>
      <c r="V260" s="565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3" t="s">
        <v>71</v>
      </c>
      <c r="Q261" s="564"/>
      <c r="R261" s="564"/>
      <c r="S261" s="564"/>
      <c r="T261" s="564"/>
      <c r="U261" s="564"/>
      <c r="V261" s="565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0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0">
        <v>4607091383423</v>
      </c>
      <c r="E264" s="551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0">
        <v>4680115886957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0">
        <v>4680115885660</v>
      </c>
      <c r="E266" s="551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0">
        <v>4680115886773</v>
      </c>
      <c r="E267" s="551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3" t="s">
        <v>71</v>
      </c>
      <c r="Q268" s="564"/>
      <c r="R268" s="564"/>
      <c r="S268" s="564"/>
      <c r="T268" s="564"/>
      <c r="U268" s="564"/>
      <c r="V268" s="565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3" t="s">
        <v>71</v>
      </c>
      <c r="Q269" s="564"/>
      <c r="R269" s="564"/>
      <c r="S269" s="564"/>
      <c r="T269" s="564"/>
      <c r="U269" s="564"/>
      <c r="V269" s="565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0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0">
        <v>4680115886186</v>
      </c>
      <c r="E272" s="55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0">
        <v>4680115881228</v>
      </c>
      <c r="E273" s="55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0">
        <v>4680115881211</v>
      </c>
      <c r="E274" s="55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3" t="s">
        <v>71</v>
      </c>
      <c r="Q275" s="564"/>
      <c r="R275" s="564"/>
      <c r="S275" s="564"/>
      <c r="T275" s="564"/>
      <c r="U275" s="564"/>
      <c r="V275" s="565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3" t="s">
        <v>71</v>
      </c>
      <c r="Q276" s="564"/>
      <c r="R276" s="564"/>
      <c r="S276" s="564"/>
      <c r="T276" s="564"/>
      <c r="U276" s="564"/>
      <c r="V276" s="565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0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0">
        <v>4680115880344</v>
      </c>
      <c r="E279" s="55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0">
        <v>4680115886919</v>
      </c>
      <c r="E280" s="55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3" t="s">
        <v>71</v>
      </c>
      <c r="Q281" s="564"/>
      <c r="R281" s="564"/>
      <c r="S281" s="564"/>
      <c r="T281" s="564"/>
      <c r="U281" s="564"/>
      <c r="V281" s="565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3" t="s">
        <v>71</v>
      </c>
      <c r="Q282" s="564"/>
      <c r="R282" s="564"/>
      <c r="S282" s="564"/>
      <c r="T282" s="564"/>
      <c r="U282" s="564"/>
      <c r="V282" s="565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0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8" t="s">
        <v>448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0">
        <v>4680115884618</v>
      </c>
      <c r="E285" s="551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3" t="s">
        <v>71</v>
      </c>
      <c r="Q286" s="564"/>
      <c r="R286" s="564"/>
      <c r="S286" s="564"/>
      <c r="T286" s="564"/>
      <c r="U286" s="564"/>
      <c r="V286" s="565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3" t="s">
        <v>71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0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0">
        <v>4607091386004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0">
        <v>4680115885615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0">
        <v>4680115885646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0">
        <v>4680115885554</v>
      </c>
      <c r="E293" s="551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0">
        <v>4680115885622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0">
        <v>4680115885608</v>
      </c>
      <c r="E295" s="551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3" t="s">
        <v>71</v>
      </c>
      <c r="Q296" s="564"/>
      <c r="R296" s="564"/>
      <c r="S296" s="564"/>
      <c r="T296" s="564"/>
      <c r="U296" s="564"/>
      <c r="V296" s="565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63" t="s">
        <v>71</v>
      </c>
      <c r="Q297" s="564"/>
      <c r="R297" s="564"/>
      <c r="S297" s="564"/>
      <c r="T297" s="564"/>
      <c r="U297" s="564"/>
      <c r="V297" s="565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customHeight="1" x14ac:dyDescent="0.25">
      <c r="A298" s="560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0">
        <v>4607091387193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30</v>
      </c>
      <c r="Y299" s="544">
        <f t="shared" ref="Y299:Y305" si="31">IFERROR(IF(X299="",0,CEILING((X299/$H299),1)*$H299),"")</f>
        <v>33.6</v>
      </c>
      <c r="Z299" s="36">
        <f>IFERROR(IF(Y299=0,"",ROUNDUP(Y299/H299,0)*0.00902),"")</f>
        <v>7.2160000000000002E-2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31.785714285714285</v>
      </c>
      <c r="BN299" s="64">
        <f t="shared" ref="BN299:BN305" si="33">IFERROR(Y299*I299/H299,"0")</f>
        <v>35.6</v>
      </c>
      <c r="BO299" s="64">
        <f t="shared" ref="BO299:BO305" si="34">IFERROR(1/J299*(X299/H299),"0")</f>
        <v>5.4112554112554112E-2</v>
      </c>
      <c r="BP299" s="64">
        <f t="shared" ref="BP299:BP305" si="35">IFERROR(1/J299*(Y299/H299),"0")</f>
        <v>6.0606060606060608E-2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0">
        <v>4607091387230</v>
      </c>
      <c r="E300" s="551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0">
        <v>4607091387292</v>
      </c>
      <c r="E301" s="551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0">
        <v>4607091387285</v>
      </c>
      <c r="E302" s="551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0">
        <v>4607091389845</v>
      </c>
      <c r="E303" s="551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0">
        <v>4680115882881</v>
      </c>
      <c r="E304" s="551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0">
        <v>4607091383836</v>
      </c>
      <c r="E305" s="551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3" t="s">
        <v>71</v>
      </c>
      <c r="Q306" s="564"/>
      <c r="R306" s="564"/>
      <c r="S306" s="564"/>
      <c r="T306" s="564"/>
      <c r="U306" s="564"/>
      <c r="V306" s="565"/>
      <c r="W306" s="37" t="s">
        <v>72</v>
      </c>
      <c r="X306" s="545">
        <f>IFERROR(X299/H299,"0")+IFERROR(X300/H300,"0")+IFERROR(X301/H301,"0")+IFERROR(X302/H302,"0")+IFERROR(X303/H303,"0")+IFERROR(X304/H304,"0")+IFERROR(X305/H305,"0")</f>
        <v>7.1428571428571423</v>
      </c>
      <c r="Y306" s="545">
        <f>IFERROR(Y299/H299,"0")+IFERROR(Y300/H300,"0")+IFERROR(Y301/H301,"0")+IFERROR(Y302/H302,"0")+IFERROR(Y303/H303,"0")+IFERROR(Y304/H304,"0")+IFERROR(Y305/H305,"0")</f>
        <v>8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7.2160000000000002E-2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63" t="s">
        <v>71</v>
      </c>
      <c r="Q307" s="564"/>
      <c r="R307" s="564"/>
      <c r="S307" s="564"/>
      <c r="T307" s="564"/>
      <c r="U307" s="564"/>
      <c r="V307" s="565"/>
      <c r="W307" s="37" t="s">
        <v>69</v>
      </c>
      <c r="X307" s="545">
        <f>IFERROR(SUM(X299:X305),"0")</f>
        <v>30</v>
      </c>
      <c r="Y307" s="545">
        <f>IFERROR(SUM(Y299:Y305),"0")</f>
        <v>33.6</v>
      </c>
      <c r="Z307" s="37"/>
      <c r="AA307" s="546"/>
      <c r="AB307" s="546"/>
      <c r="AC307" s="546"/>
    </row>
    <row r="308" spans="1:68" ht="14.25" customHeight="1" x14ac:dyDescent="0.25">
      <c r="A308" s="560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0">
        <v>4607091387766</v>
      </c>
      <c r="E309" s="551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0">
        <v>4607091387957</v>
      </c>
      <c r="E310" s="551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0">
        <v>4607091387964</v>
      </c>
      <c r="E311" s="551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0">
        <v>4680115884588</v>
      </c>
      <c r="E312" s="551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48"/>
      <c r="R312" s="548"/>
      <c r="S312" s="548"/>
      <c r="T312" s="549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3" t="s">
        <v>71</v>
      </c>
      <c r="Q313" s="564"/>
      <c r="R313" s="564"/>
      <c r="S313" s="564"/>
      <c r="T313" s="564"/>
      <c r="U313" s="564"/>
      <c r="V313" s="565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63" t="s">
        <v>71</v>
      </c>
      <c r="Q314" s="564"/>
      <c r="R314" s="564"/>
      <c r="S314" s="564"/>
      <c r="T314" s="564"/>
      <c r="U314" s="564"/>
      <c r="V314" s="565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customHeight="1" x14ac:dyDescent="0.25">
      <c r="A315" s="560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0">
        <v>4607091380880</v>
      </c>
      <c r="E316" s="551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0">
        <v>4607091384482</v>
      </c>
      <c r="E317" s="551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0">
        <v>4607091380897</v>
      </c>
      <c r="E318" s="551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48"/>
      <c r="R318" s="548"/>
      <c r="S318" s="548"/>
      <c r="T318" s="549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3" t="s">
        <v>71</v>
      </c>
      <c r="Q319" s="564"/>
      <c r="R319" s="564"/>
      <c r="S319" s="564"/>
      <c r="T319" s="564"/>
      <c r="U319" s="564"/>
      <c r="V319" s="565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63" t="s">
        <v>71</v>
      </c>
      <c r="Q320" s="564"/>
      <c r="R320" s="564"/>
      <c r="S320" s="564"/>
      <c r="T320" s="564"/>
      <c r="U320" s="564"/>
      <c r="V320" s="565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60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0">
        <v>4607091388381</v>
      </c>
      <c r="E322" s="551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0">
        <v>4607091388374</v>
      </c>
      <c r="E323" s="551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3" t="s">
        <v>516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0">
        <v>4607091383102</v>
      </c>
      <c r="E324" s="55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0">
        <v>4607091388404</v>
      </c>
      <c r="E325" s="55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3" t="s">
        <v>71</v>
      </c>
      <c r="Q326" s="564"/>
      <c r="R326" s="564"/>
      <c r="S326" s="564"/>
      <c r="T326" s="564"/>
      <c r="U326" s="564"/>
      <c r="V326" s="565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63" t="s">
        <v>71</v>
      </c>
      <c r="Q327" s="564"/>
      <c r="R327" s="564"/>
      <c r="S327" s="564"/>
      <c r="T327" s="564"/>
      <c r="U327" s="564"/>
      <c r="V327" s="565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60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0">
        <v>4680115881808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0">
        <v>4680115881822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0">
        <v>4680115880016</v>
      </c>
      <c r="E331" s="55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48"/>
      <c r="R331" s="548"/>
      <c r="S331" s="548"/>
      <c r="T331" s="549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3" t="s">
        <v>71</v>
      </c>
      <c r="Q332" s="564"/>
      <c r="R332" s="564"/>
      <c r="S332" s="564"/>
      <c r="T332" s="564"/>
      <c r="U332" s="564"/>
      <c r="V332" s="565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63" t="s">
        <v>71</v>
      </c>
      <c r="Q333" s="564"/>
      <c r="R333" s="564"/>
      <c r="S333" s="564"/>
      <c r="T333" s="564"/>
      <c r="U333" s="564"/>
      <c r="V333" s="565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0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0">
        <v>4607091387919</v>
      </c>
      <c r="E336" s="551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0">
        <v>4680115883604</v>
      </c>
      <c r="E337" s="55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0">
        <v>4680115883567</v>
      </c>
      <c r="E338" s="55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48"/>
      <c r="R338" s="548"/>
      <c r="S338" s="548"/>
      <c r="T338" s="549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3" t="s">
        <v>71</v>
      </c>
      <c r="Q339" s="564"/>
      <c r="R339" s="564"/>
      <c r="S339" s="564"/>
      <c r="T339" s="564"/>
      <c r="U339" s="564"/>
      <c r="V339" s="565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63" t="s">
        <v>71</v>
      </c>
      <c r="Q340" s="564"/>
      <c r="R340" s="564"/>
      <c r="S340" s="564"/>
      <c r="T340" s="564"/>
      <c r="U340" s="564"/>
      <c r="V340" s="565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customHeight="1" x14ac:dyDescent="0.2">
      <c r="A341" s="567" t="s">
        <v>541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48"/>
      <c r="AB341" s="48"/>
      <c r="AC341" s="48"/>
    </row>
    <row r="342" spans="1:68" ht="16.5" customHeight="1" x14ac:dyDescent="0.25">
      <c r="A342" s="559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0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0">
        <v>4680115884847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0">
        <v>4680115884854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0">
        <v>4680115884830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150</v>
      </c>
      <c r="Y346" s="544">
        <f t="shared" si="36"/>
        <v>150</v>
      </c>
      <c r="Z346" s="36">
        <f>IFERROR(IF(Y346=0,"",ROUNDUP(Y346/H346,0)*0.02175),"")</f>
        <v>0.21749999999999997</v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154.69999999999999</v>
      </c>
      <c r="BN346" s="64">
        <f t="shared" si="38"/>
        <v>154.69999999999999</v>
      </c>
      <c r="BO346" s="64">
        <f t="shared" si="39"/>
        <v>0.20833333333333331</v>
      </c>
      <c r="BP346" s="64">
        <f t="shared" si="40"/>
        <v>0.20833333333333331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0">
        <v>4680115887046</v>
      </c>
      <c r="E347" s="551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5" t="s">
        <v>554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0">
        <v>4680115882638</v>
      </c>
      <c r="E348" s="551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0">
        <v>4680115884922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0">
        <v>4680115884861</v>
      </c>
      <c r="E350" s="551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3" t="s">
        <v>71</v>
      </c>
      <c r="Q351" s="564"/>
      <c r="R351" s="564"/>
      <c r="S351" s="564"/>
      <c r="T351" s="564"/>
      <c r="U351" s="564"/>
      <c r="V351" s="565"/>
      <c r="W351" s="37" t="s">
        <v>72</v>
      </c>
      <c r="X351" s="545">
        <f>IFERROR(X344/H344,"0")+IFERROR(X345/H345,"0")+IFERROR(X346/H346,"0")+IFERROR(X347/H347,"0")+IFERROR(X348/H348,"0")+IFERROR(X349/H349,"0")+IFERROR(X350/H350,"0")</f>
        <v>10</v>
      </c>
      <c r="Y351" s="545">
        <f>IFERROR(Y344/H344,"0")+IFERROR(Y345/H345,"0")+IFERROR(Y346/H346,"0")+IFERROR(Y347/H347,"0")+IFERROR(Y348/H348,"0")+IFERROR(Y349/H349,"0")+IFERROR(Y350/H350,"0")</f>
        <v>10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0.21749999999999997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63" t="s">
        <v>71</v>
      </c>
      <c r="Q352" s="564"/>
      <c r="R352" s="564"/>
      <c r="S352" s="564"/>
      <c r="T352" s="564"/>
      <c r="U352" s="564"/>
      <c r="V352" s="565"/>
      <c r="W352" s="37" t="s">
        <v>69</v>
      </c>
      <c r="X352" s="545">
        <f>IFERROR(SUM(X344:X350),"0")</f>
        <v>150</v>
      </c>
      <c r="Y352" s="545">
        <f>IFERROR(SUM(Y344:Y350),"0")</f>
        <v>150</v>
      </c>
      <c r="Z352" s="37"/>
      <c r="AA352" s="546"/>
      <c r="AB352" s="546"/>
      <c r="AC352" s="546"/>
    </row>
    <row r="353" spans="1:68" ht="14.25" customHeight="1" x14ac:dyDescent="0.25">
      <c r="A353" s="560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0">
        <v>4607091383980</v>
      </c>
      <c r="E354" s="551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300</v>
      </c>
      <c r="Y354" s="544">
        <f>IFERROR(IF(X354="",0,CEILING((X354/$H354),1)*$H354),"")</f>
        <v>300</v>
      </c>
      <c r="Z354" s="36">
        <f>IFERROR(IF(Y354=0,"",ROUNDUP(Y354/H354,0)*0.02175),"")</f>
        <v>0.43499999999999994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309.39999999999998</v>
      </c>
      <c r="BN354" s="64">
        <f>IFERROR(Y354*I354/H354,"0")</f>
        <v>309.39999999999998</v>
      </c>
      <c r="BO354" s="64">
        <f>IFERROR(1/J354*(X354/H354),"0")</f>
        <v>0.41666666666666663</v>
      </c>
      <c r="BP354" s="64">
        <f>IFERROR(1/J354*(Y354/H354),"0")</f>
        <v>0.41666666666666663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0">
        <v>4607091384178</v>
      </c>
      <c r="E355" s="551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48"/>
      <c r="R355" s="548"/>
      <c r="S355" s="548"/>
      <c r="T355" s="549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3" t="s">
        <v>71</v>
      </c>
      <c r="Q356" s="564"/>
      <c r="R356" s="564"/>
      <c r="S356" s="564"/>
      <c r="T356" s="564"/>
      <c r="U356" s="564"/>
      <c r="V356" s="565"/>
      <c r="W356" s="37" t="s">
        <v>72</v>
      </c>
      <c r="X356" s="545">
        <f>IFERROR(X354/H354,"0")+IFERROR(X355/H355,"0")</f>
        <v>20</v>
      </c>
      <c r="Y356" s="545">
        <f>IFERROR(Y354/H354,"0")+IFERROR(Y355/H355,"0")</f>
        <v>20</v>
      </c>
      <c r="Z356" s="545">
        <f>IFERROR(IF(Z354="",0,Z354),"0")+IFERROR(IF(Z355="",0,Z355),"0")</f>
        <v>0.43499999999999994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63" t="s">
        <v>71</v>
      </c>
      <c r="Q357" s="564"/>
      <c r="R357" s="564"/>
      <c r="S357" s="564"/>
      <c r="T357" s="564"/>
      <c r="U357" s="564"/>
      <c r="V357" s="565"/>
      <c r="W357" s="37" t="s">
        <v>69</v>
      </c>
      <c r="X357" s="545">
        <f>IFERROR(SUM(X354:X355),"0")</f>
        <v>300</v>
      </c>
      <c r="Y357" s="545">
        <f>IFERROR(SUM(Y354:Y355),"0")</f>
        <v>300</v>
      </c>
      <c r="Z357" s="37"/>
      <c r="AA357" s="546"/>
      <c r="AB357" s="546"/>
      <c r="AC357" s="546"/>
    </row>
    <row r="358" spans="1:68" ht="14.25" customHeight="1" x14ac:dyDescent="0.25">
      <c r="A358" s="560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0">
        <v>4607091383928</v>
      </c>
      <c r="E359" s="551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0">
        <v>4607091384260</v>
      </c>
      <c r="E360" s="551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48"/>
      <c r="R360" s="548"/>
      <c r="S360" s="548"/>
      <c r="T360" s="549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3" t="s">
        <v>71</v>
      </c>
      <c r="Q361" s="564"/>
      <c r="R361" s="564"/>
      <c r="S361" s="564"/>
      <c r="T361" s="564"/>
      <c r="U361" s="564"/>
      <c r="V361" s="565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63" t="s">
        <v>71</v>
      </c>
      <c r="Q362" s="564"/>
      <c r="R362" s="564"/>
      <c r="S362" s="564"/>
      <c r="T362" s="564"/>
      <c r="U362" s="564"/>
      <c r="V362" s="565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60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0">
        <v>4607091384673</v>
      </c>
      <c r="E364" s="551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3" t="s">
        <v>71</v>
      </c>
      <c r="Q365" s="564"/>
      <c r="R365" s="564"/>
      <c r="S365" s="564"/>
      <c r="T365" s="564"/>
      <c r="U365" s="564"/>
      <c r="V365" s="565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63" t="s">
        <v>71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0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0">
        <v>4680115884885</v>
      </c>
      <c r="E369" s="551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0">
        <v>4680115884908</v>
      </c>
      <c r="E370" s="551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48"/>
      <c r="R370" s="548"/>
      <c r="S370" s="548"/>
      <c r="T370" s="549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3" t="s">
        <v>71</v>
      </c>
      <c r="Q371" s="564"/>
      <c r="R371" s="564"/>
      <c r="S371" s="564"/>
      <c r="T371" s="564"/>
      <c r="U371" s="564"/>
      <c r="V371" s="565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63" t="s">
        <v>71</v>
      </c>
      <c r="Q372" s="564"/>
      <c r="R372" s="564"/>
      <c r="S372" s="564"/>
      <c r="T372" s="564"/>
      <c r="U372" s="564"/>
      <c r="V372" s="565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0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0">
        <v>4607091384802</v>
      </c>
      <c r="E374" s="551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0">
        <v>4607091384802</v>
      </c>
      <c r="E375" s="551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48"/>
      <c r="R375" s="548"/>
      <c r="S375" s="548"/>
      <c r="T375" s="549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3" t="s">
        <v>71</v>
      </c>
      <c r="Q376" s="564"/>
      <c r="R376" s="564"/>
      <c r="S376" s="564"/>
      <c r="T376" s="564"/>
      <c r="U376" s="564"/>
      <c r="V376" s="565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63" t="s">
        <v>71</v>
      </c>
      <c r="Q377" s="564"/>
      <c r="R377" s="564"/>
      <c r="S377" s="564"/>
      <c r="T377" s="564"/>
      <c r="U377" s="564"/>
      <c r="V377" s="565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60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0">
        <v>4607091384246</v>
      </c>
      <c r="E379" s="551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3" t="s">
        <v>71</v>
      </c>
      <c r="Q381" s="564"/>
      <c r="R381" s="564"/>
      <c r="S381" s="564"/>
      <c r="T381" s="564"/>
      <c r="U381" s="564"/>
      <c r="V381" s="565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63" t="s">
        <v>71</v>
      </c>
      <c r="Q382" s="564"/>
      <c r="R382" s="564"/>
      <c r="S382" s="564"/>
      <c r="T382" s="564"/>
      <c r="U382" s="564"/>
      <c r="V382" s="565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567" t="s">
        <v>593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59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0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3" t="s">
        <v>71</v>
      </c>
      <c r="Q395" s="564"/>
      <c r="R395" s="564"/>
      <c r="S395" s="564"/>
      <c r="T395" s="564"/>
      <c r="U395" s="564"/>
      <c r="V395" s="565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63" t="s">
        <v>71</v>
      </c>
      <c r="Q396" s="564"/>
      <c r="R396" s="564"/>
      <c r="S396" s="564"/>
      <c r="T396" s="564"/>
      <c r="U396" s="564"/>
      <c r="V396" s="565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60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3" t="s">
        <v>71</v>
      </c>
      <c r="Q400" s="564"/>
      <c r="R400" s="564"/>
      <c r="S400" s="564"/>
      <c r="T400" s="564"/>
      <c r="U400" s="564"/>
      <c r="V400" s="565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63" t="s">
        <v>71</v>
      </c>
      <c r="Q401" s="564"/>
      <c r="R401" s="564"/>
      <c r="S401" s="564"/>
      <c r="T401" s="564"/>
      <c r="U401" s="564"/>
      <c r="V401" s="565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0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3" t="s">
        <v>71</v>
      </c>
      <c r="Q405" s="564"/>
      <c r="R405" s="564"/>
      <c r="S405" s="564"/>
      <c r="T405" s="564"/>
      <c r="U405" s="564"/>
      <c r="V405" s="565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63" t="s">
        <v>71</v>
      </c>
      <c r="Q406" s="564"/>
      <c r="R406" s="564"/>
      <c r="S406" s="564"/>
      <c r="T406" s="564"/>
      <c r="U406" s="564"/>
      <c r="V406" s="565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0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3" t="s">
        <v>71</v>
      </c>
      <c r="Q412" s="564"/>
      <c r="R412" s="564"/>
      <c r="S412" s="564"/>
      <c r="T412" s="564"/>
      <c r="U412" s="564"/>
      <c r="V412" s="565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63" t="s">
        <v>71</v>
      </c>
      <c r="Q413" s="564"/>
      <c r="R413" s="564"/>
      <c r="S413" s="564"/>
      <c r="T413" s="564"/>
      <c r="U413" s="564"/>
      <c r="V413" s="565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0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3" t="s">
        <v>71</v>
      </c>
      <c r="Q417" s="564"/>
      <c r="R417" s="564"/>
      <c r="S417" s="564"/>
      <c r="T417" s="564"/>
      <c r="U417" s="564"/>
      <c r="V417" s="565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63" t="s">
        <v>71</v>
      </c>
      <c r="Q418" s="564"/>
      <c r="R418" s="564"/>
      <c r="S418" s="564"/>
      <c r="T418" s="564"/>
      <c r="U418" s="564"/>
      <c r="V418" s="565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7" t="s">
        <v>644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59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0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20</v>
      </c>
      <c r="Y422" s="544">
        <f t="shared" ref="Y422:Y432" si="47">IFERROR(IF(X422="",0,CEILING((X422/$H422),1)*$H422),"")</f>
        <v>21.12</v>
      </c>
      <c r="Z422" s="36">
        <f t="shared" ref="Z422:Z427" si="48">IFERROR(IF(Y422=0,"",ROUNDUP(Y422/H422,0)*0.01196),"")</f>
        <v>4.7840000000000001E-2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21.325757575757574</v>
      </c>
      <c r="BN422" s="64">
        <f t="shared" ref="BN422:BN432" si="50">IFERROR(Y422*I422/H422,"0")</f>
        <v>22.52</v>
      </c>
      <c r="BO422" s="64">
        <f t="shared" ref="BO422:BO432" si="51">IFERROR(1/J422*(X422/H422),"0")</f>
        <v>3.6421911421911424E-2</v>
      </c>
      <c r="BP422" s="64">
        <f t="shared" ref="BP422:BP432" si="52">IFERROR(1/J422*(Y422/H422),"0")</f>
        <v>3.8461538461538464E-2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0">
        <v>4680115885271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0">
        <v>4680115885226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0">
        <v>4607091383522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3" t="s">
        <v>71</v>
      </c>
      <c r="Q433" s="564"/>
      <c r="R433" s="564"/>
      <c r="S433" s="564"/>
      <c r="T433" s="564"/>
      <c r="U433" s="564"/>
      <c r="V433" s="565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3.7878787878787876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4.7840000000000001E-2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63" t="s">
        <v>71</v>
      </c>
      <c r="Q434" s="564"/>
      <c r="R434" s="564"/>
      <c r="S434" s="564"/>
      <c r="T434" s="564"/>
      <c r="U434" s="564"/>
      <c r="V434" s="565"/>
      <c r="W434" s="37" t="s">
        <v>69</v>
      </c>
      <c r="X434" s="545">
        <f>IFERROR(SUM(X422:X432),"0")</f>
        <v>20</v>
      </c>
      <c r="Y434" s="545">
        <f>IFERROR(SUM(Y422:Y432),"0")</f>
        <v>21.12</v>
      </c>
      <c r="Z434" s="37"/>
      <c r="AA434" s="546"/>
      <c r="AB434" s="546"/>
      <c r="AC434" s="546"/>
    </row>
    <row r="435" spans="1:68" ht="14.25" customHeight="1" x14ac:dyDescent="0.25">
      <c r="A435" s="560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20</v>
      </c>
      <c r="Y436" s="544">
        <f>IFERROR(IF(X436="",0,CEILING((X436/$H436),1)*$H436),"")</f>
        <v>21.12</v>
      </c>
      <c r="Z436" s="36">
        <f>IFERROR(IF(Y436=0,"",ROUNDUP(Y436/H436,0)*0.01196),"")</f>
        <v>4.7840000000000001E-2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21.325757575757574</v>
      </c>
      <c r="BN436" s="64">
        <f>IFERROR(Y436*I436/H436,"0")</f>
        <v>22.52</v>
      </c>
      <c r="BO436" s="64">
        <f>IFERROR(1/J436*(X436/H436),"0")</f>
        <v>3.6421911421911424E-2</v>
      </c>
      <c r="BP436" s="64">
        <f>IFERROR(1/J436*(Y436/H436),"0")</f>
        <v>3.8461538461538464E-2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3" t="s">
        <v>71</v>
      </c>
      <c r="Q439" s="564"/>
      <c r="R439" s="564"/>
      <c r="S439" s="564"/>
      <c r="T439" s="564"/>
      <c r="U439" s="564"/>
      <c r="V439" s="565"/>
      <c r="W439" s="37" t="s">
        <v>72</v>
      </c>
      <c r="X439" s="545">
        <f>IFERROR(X436/H436,"0")+IFERROR(X437/H437,"0")+IFERROR(X438/H438,"0")</f>
        <v>3.7878787878787876</v>
      </c>
      <c r="Y439" s="545">
        <f>IFERROR(Y436/H436,"0")+IFERROR(Y437/H437,"0")+IFERROR(Y438/H438,"0")</f>
        <v>4</v>
      </c>
      <c r="Z439" s="545">
        <f>IFERROR(IF(Z436="",0,Z436),"0")+IFERROR(IF(Z437="",0,Z437),"0")+IFERROR(IF(Z438="",0,Z438),"0")</f>
        <v>4.7840000000000001E-2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63" t="s">
        <v>71</v>
      </c>
      <c r="Q440" s="564"/>
      <c r="R440" s="564"/>
      <c r="S440" s="564"/>
      <c r="T440" s="564"/>
      <c r="U440" s="564"/>
      <c r="V440" s="565"/>
      <c r="W440" s="37" t="s">
        <v>69</v>
      </c>
      <c r="X440" s="545">
        <f>IFERROR(SUM(X436:X438),"0")</f>
        <v>20</v>
      </c>
      <c r="Y440" s="545">
        <f>IFERROR(SUM(Y436:Y438),"0")</f>
        <v>21.12</v>
      </c>
      <c r="Z440" s="37"/>
      <c r="AA440" s="546"/>
      <c r="AB440" s="546"/>
      <c r="AC440" s="546"/>
    </row>
    <row r="441" spans="1:68" ht="14.25" customHeight="1" x14ac:dyDescent="0.25">
      <c r="A441" s="560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3" t="s">
        <v>71</v>
      </c>
      <c r="Q448" s="564"/>
      <c r="R448" s="564"/>
      <c r="S448" s="564"/>
      <c r="T448" s="564"/>
      <c r="U448" s="564"/>
      <c r="V448" s="565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63" t="s">
        <v>71</v>
      </c>
      <c r="Q449" s="564"/>
      <c r="R449" s="564"/>
      <c r="S449" s="564"/>
      <c r="T449" s="564"/>
      <c r="U449" s="564"/>
      <c r="V449" s="565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60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3" t="s">
        <v>71</v>
      </c>
      <c r="Q454" s="564"/>
      <c r="R454" s="564"/>
      <c r="S454" s="564"/>
      <c r="T454" s="564"/>
      <c r="U454" s="564"/>
      <c r="V454" s="565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63" t="s">
        <v>71</v>
      </c>
      <c r="Q455" s="564"/>
      <c r="R455" s="564"/>
      <c r="S455" s="564"/>
      <c r="T455" s="564"/>
      <c r="U455" s="564"/>
      <c r="V455" s="565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7" t="s">
        <v>704</v>
      </c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68"/>
      <c r="P456" s="568"/>
      <c r="Q456" s="568"/>
      <c r="R456" s="568"/>
      <c r="S456" s="568"/>
      <c r="T456" s="568"/>
      <c r="U456" s="568"/>
      <c r="V456" s="568"/>
      <c r="W456" s="568"/>
      <c r="X456" s="568"/>
      <c r="Y456" s="568"/>
      <c r="Z456" s="568"/>
      <c r="AA456" s="48"/>
      <c r="AB456" s="48"/>
      <c r="AC456" s="48"/>
    </row>
    <row r="457" spans="1:68" ht="16.5" customHeight="1" x14ac:dyDescent="0.25">
      <c r="A457" s="559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0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3" t="s">
        <v>71</v>
      </c>
      <c r="Q463" s="564"/>
      <c r="R463" s="564"/>
      <c r="S463" s="564"/>
      <c r="T463" s="564"/>
      <c r="U463" s="564"/>
      <c r="V463" s="565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63" t="s">
        <v>71</v>
      </c>
      <c r="Q464" s="564"/>
      <c r="R464" s="564"/>
      <c r="S464" s="564"/>
      <c r="T464" s="564"/>
      <c r="U464" s="564"/>
      <c r="V464" s="565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60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3" t="s">
        <v>71</v>
      </c>
      <c r="Q469" s="564"/>
      <c r="R469" s="564"/>
      <c r="S469" s="564"/>
      <c r="T469" s="564"/>
      <c r="U469" s="564"/>
      <c r="V469" s="565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63" t="s">
        <v>71</v>
      </c>
      <c r="Q470" s="564"/>
      <c r="R470" s="564"/>
      <c r="S470" s="564"/>
      <c r="T470" s="564"/>
      <c r="U470" s="564"/>
      <c r="V470" s="565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0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30</v>
      </c>
      <c r="Y473" s="544">
        <f>IFERROR(IF(X473="",0,CEILING((X473/$H473),1)*$H473),"")</f>
        <v>33.6</v>
      </c>
      <c r="Z473" s="36">
        <f>IFERROR(IF(Y473=0,"",ROUNDUP(Y473/H473,0)*0.00902),"")</f>
        <v>7.2160000000000002E-2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31.785714285714285</v>
      </c>
      <c r="BN473" s="64">
        <f>IFERROR(Y473*I473/H473,"0")</f>
        <v>35.6</v>
      </c>
      <c r="BO473" s="64">
        <f>IFERROR(1/J473*(X473/H473),"0")</f>
        <v>5.4112554112554112E-2</v>
      </c>
      <c r="BP473" s="64">
        <f>IFERROR(1/J473*(Y473/H473),"0")</f>
        <v>6.0606060606060608E-2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3" t="s">
        <v>71</v>
      </c>
      <c r="Q474" s="564"/>
      <c r="R474" s="564"/>
      <c r="S474" s="564"/>
      <c r="T474" s="564"/>
      <c r="U474" s="564"/>
      <c r="V474" s="565"/>
      <c r="W474" s="37" t="s">
        <v>72</v>
      </c>
      <c r="X474" s="545">
        <f>IFERROR(X472/H472,"0")+IFERROR(X473/H473,"0")</f>
        <v>7.1428571428571423</v>
      </c>
      <c r="Y474" s="545">
        <f>IFERROR(Y472/H472,"0")+IFERROR(Y473/H473,"0")</f>
        <v>8</v>
      </c>
      <c r="Z474" s="545">
        <f>IFERROR(IF(Z472="",0,Z472),"0")+IFERROR(IF(Z473="",0,Z473),"0")</f>
        <v>7.2160000000000002E-2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63" t="s">
        <v>71</v>
      </c>
      <c r="Q475" s="564"/>
      <c r="R475" s="564"/>
      <c r="S475" s="564"/>
      <c r="T475" s="564"/>
      <c r="U475" s="564"/>
      <c r="V475" s="565"/>
      <c r="W475" s="37" t="s">
        <v>69</v>
      </c>
      <c r="X475" s="545">
        <f>IFERROR(SUM(X472:X473),"0")</f>
        <v>30</v>
      </c>
      <c r="Y475" s="545">
        <f>IFERROR(SUM(Y472:Y473),"0")</f>
        <v>33.6</v>
      </c>
      <c r="Z475" s="37"/>
      <c r="AA475" s="546"/>
      <c r="AB475" s="546"/>
      <c r="AC475" s="546"/>
    </row>
    <row r="476" spans="1:68" ht="14.25" customHeight="1" x14ac:dyDescent="0.25">
      <c r="A476" s="560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3" t="s">
        <v>71</v>
      </c>
      <c r="Q478" s="564"/>
      <c r="R478" s="564"/>
      <c r="S478" s="564"/>
      <c r="T478" s="564"/>
      <c r="U478" s="564"/>
      <c r="V478" s="565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63" t="s">
        <v>71</v>
      </c>
      <c r="Q479" s="564"/>
      <c r="R479" s="564"/>
      <c r="S479" s="564"/>
      <c r="T479" s="564"/>
      <c r="U479" s="564"/>
      <c r="V479" s="565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60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3" t="s">
        <v>71</v>
      </c>
      <c r="Q483" s="564"/>
      <c r="R483" s="564"/>
      <c r="S483" s="564"/>
      <c r="T483" s="564"/>
      <c r="U483" s="564"/>
      <c r="V483" s="565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63" t="s">
        <v>71</v>
      </c>
      <c r="Q484" s="564"/>
      <c r="R484" s="564"/>
      <c r="S484" s="564"/>
      <c r="T484" s="564"/>
      <c r="U484" s="564"/>
      <c r="V484" s="565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0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3" t="s">
        <v>71</v>
      </c>
      <c r="Q488" s="564"/>
      <c r="R488" s="564"/>
      <c r="S488" s="564"/>
      <c r="T488" s="564"/>
      <c r="U488" s="564"/>
      <c r="V488" s="565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63" t="s">
        <v>71</v>
      </c>
      <c r="Q489" s="564"/>
      <c r="R489" s="564"/>
      <c r="S489" s="564"/>
      <c r="T489" s="564"/>
      <c r="U489" s="564"/>
      <c r="V489" s="565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9"/>
      <c r="P490" s="641" t="s">
        <v>744</v>
      </c>
      <c r="Q490" s="642"/>
      <c r="R490" s="642"/>
      <c r="S490" s="642"/>
      <c r="T490" s="642"/>
      <c r="U490" s="642"/>
      <c r="V490" s="643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804.4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822.24000000000012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9"/>
      <c r="P491" s="641" t="s">
        <v>745</v>
      </c>
      <c r="Q491" s="642"/>
      <c r="R491" s="642"/>
      <c r="S491" s="642"/>
      <c r="T491" s="642"/>
      <c r="U491" s="642"/>
      <c r="V491" s="643"/>
      <c r="W491" s="37" t="s">
        <v>69</v>
      </c>
      <c r="X491" s="545">
        <f>IFERROR(SUM(BM22:BM487),"0")</f>
        <v>834.57405483405489</v>
      </c>
      <c r="Y491" s="545">
        <f>IFERROR(SUM(BN22:BN487),"0")</f>
        <v>853.31000000000006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9"/>
      <c r="P492" s="641" t="s">
        <v>746</v>
      </c>
      <c r="Q492" s="642"/>
      <c r="R492" s="642"/>
      <c r="S492" s="642"/>
      <c r="T492" s="642"/>
      <c r="U492" s="642"/>
      <c r="V492" s="643"/>
      <c r="W492" s="37" t="s">
        <v>747</v>
      </c>
      <c r="X492" s="38">
        <f>ROUNDUP(SUM(BO22:BO487),0)</f>
        <v>2</v>
      </c>
      <c r="Y492" s="38">
        <f>ROUNDUP(SUM(BP22:BP487),0)</f>
        <v>2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9"/>
      <c r="P493" s="641" t="s">
        <v>748</v>
      </c>
      <c r="Q493" s="642"/>
      <c r="R493" s="642"/>
      <c r="S493" s="642"/>
      <c r="T493" s="642"/>
      <c r="U493" s="642"/>
      <c r="V493" s="643"/>
      <c r="W493" s="37" t="s">
        <v>69</v>
      </c>
      <c r="X493" s="545">
        <f>GrossWeightTotal+PalletQtyTotal*25</f>
        <v>884.57405483405489</v>
      </c>
      <c r="Y493" s="545">
        <f>GrossWeightTotalR+PalletQtyTotalR*25</f>
        <v>903.31000000000006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9"/>
      <c r="P494" s="641" t="s">
        <v>749</v>
      </c>
      <c r="Q494" s="642"/>
      <c r="R494" s="642"/>
      <c r="S494" s="642"/>
      <c r="T494" s="642"/>
      <c r="U494" s="642"/>
      <c r="V494" s="643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78.08369408369407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81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09"/>
      <c r="P495" s="641" t="s">
        <v>750</v>
      </c>
      <c r="Q495" s="642"/>
      <c r="R495" s="642"/>
      <c r="S495" s="642"/>
      <c r="T495" s="642"/>
      <c r="U495" s="642"/>
      <c r="V495" s="643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1.3601000000000003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255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541</v>
      </c>
      <c r="T497" s="601"/>
      <c r="U497" s="597" t="s">
        <v>593</v>
      </c>
      <c r="V497" s="600"/>
      <c r="W497" s="601"/>
      <c r="X497" s="540" t="s">
        <v>644</v>
      </c>
      <c r="Y497" s="597" t="s">
        <v>704</v>
      </c>
      <c r="Z497" s="601"/>
      <c r="AB497" s="52"/>
      <c r="AC497" s="52"/>
      <c r="AF497" s="541"/>
    </row>
    <row r="498" spans="1:32" ht="14.25" customHeight="1" thickTop="1" x14ac:dyDescent="0.2">
      <c r="A498" s="613" t="s">
        <v>753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256</v>
      </c>
      <c r="J498" s="597" t="s">
        <v>301</v>
      </c>
      <c r="K498" s="597" t="s">
        <v>361</v>
      </c>
      <c r="L498" s="597" t="s">
        <v>403</v>
      </c>
      <c r="M498" s="597" t="s">
        <v>419</v>
      </c>
      <c r="N498" s="541"/>
      <c r="O498" s="597" t="s">
        <v>430</v>
      </c>
      <c r="P498" s="597" t="s">
        <v>439</v>
      </c>
      <c r="Q498" s="597" t="s">
        <v>453</v>
      </c>
      <c r="R498" s="597" t="s">
        <v>531</v>
      </c>
      <c r="S498" s="597" t="s">
        <v>542</v>
      </c>
      <c r="T498" s="597" t="s">
        <v>577</v>
      </c>
      <c r="U498" s="597" t="s">
        <v>594</v>
      </c>
      <c r="V498" s="597" t="s">
        <v>625</v>
      </c>
      <c r="W498" s="597" t="s">
        <v>640</v>
      </c>
      <c r="X498" s="597" t="s">
        <v>644</v>
      </c>
      <c r="Y498" s="597" t="s">
        <v>704</v>
      </c>
      <c r="Z498" s="597" t="s">
        <v>740</v>
      </c>
      <c r="AB498" s="52"/>
      <c r="AC498" s="52"/>
      <c r="AF498" s="541"/>
    </row>
    <row r="499" spans="1:32" ht="13.5" customHeight="1" thickBot="1" x14ac:dyDescent="0.25">
      <c r="A499" s="614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219.60000000000002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43.2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33.6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450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42.24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33.6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P492:V492"/>
    <mergeCell ref="A103:O104"/>
    <mergeCell ref="P286:V286"/>
    <mergeCell ref="P479:V479"/>
    <mergeCell ref="A339:O340"/>
    <mergeCell ref="M17:M18"/>
    <mergeCell ref="O17:O18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D318:E318"/>
    <mergeCell ref="D389:E389"/>
    <mergeCell ref="P201:T201"/>
    <mergeCell ref="P176:T176"/>
    <mergeCell ref="P247:T247"/>
    <mergeCell ref="P114:T114"/>
    <mergeCell ref="A328:Z328"/>
    <mergeCell ref="A157:Z157"/>
    <mergeCell ref="D447:E447"/>
    <mergeCell ref="P301:T301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P70:V70"/>
    <mergeCell ref="A156:Z156"/>
    <mergeCell ref="P116:V116"/>
    <mergeCell ref="D86:E86"/>
    <mergeCell ref="P101:T101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A136:O137"/>
    <mergeCell ref="A254:Z254"/>
    <mergeCell ref="P181:T181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F17:F1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56:T56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P79:T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2025-11-18T09:04:19Z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