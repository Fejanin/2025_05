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och\"/>
    </mc:Choice>
  </mc:AlternateContent>
  <xr:revisionPtr revIDLastSave="0" documentId="13_ncr:1_{A644311D-642F-441E-AC2E-B8B2811295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Y469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Y470" i="1" s="1"/>
  <c r="P466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Y455" i="1" s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Y448" i="1" s="1"/>
  <c r="P442" i="1"/>
  <c r="X440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Y440" i="1" s="1"/>
  <c r="P436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Y433" i="1" s="1"/>
  <c r="P423" i="1"/>
  <c r="BP422" i="1"/>
  <c r="BO422" i="1"/>
  <c r="BN422" i="1"/>
  <c r="BM422" i="1"/>
  <c r="Z422" i="1"/>
  <c r="Y422" i="1"/>
  <c r="X500" i="1" s="1"/>
  <c r="P422" i="1"/>
  <c r="X418" i="1"/>
  <c r="X417" i="1"/>
  <c r="BP416" i="1"/>
  <c r="BO416" i="1"/>
  <c r="BN416" i="1"/>
  <c r="BM416" i="1"/>
  <c r="Z416" i="1"/>
  <c r="Z417" i="1" s="1"/>
  <c r="Y416" i="1"/>
  <c r="Y417" i="1" s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Y413" i="1" s="1"/>
  <c r="P408" i="1"/>
  <c r="X406" i="1"/>
  <c r="X405" i="1"/>
  <c r="BO404" i="1"/>
  <c r="BM404" i="1"/>
  <c r="Y404" i="1"/>
  <c r="V500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Y400" i="1" s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Y395" i="1" s="1"/>
  <c r="P386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2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Y376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T500" i="1" s="1"/>
  <c r="P369" i="1"/>
  <c r="X366" i="1"/>
  <c r="X365" i="1"/>
  <c r="BO364" i="1"/>
  <c r="BM364" i="1"/>
  <c r="Y364" i="1"/>
  <c r="Y365" i="1" s="1"/>
  <c r="P364" i="1"/>
  <c r="X362" i="1"/>
  <c r="X361" i="1"/>
  <c r="BO360" i="1"/>
  <c r="BM360" i="1"/>
  <c r="Y360" i="1"/>
  <c r="BP360" i="1" s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Y357" i="1" s="1"/>
  <c r="P354" i="1"/>
  <c r="X352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Y352" i="1" s="1"/>
  <c r="P344" i="1"/>
  <c r="X340" i="1"/>
  <c r="X339" i="1"/>
  <c r="BP338" i="1"/>
  <c r="BO338" i="1"/>
  <c r="BN338" i="1"/>
  <c r="BM338" i="1"/>
  <c r="Z338" i="1"/>
  <c r="Y338" i="1"/>
  <c r="P338" i="1"/>
  <c r="BO337" i="1"/>
  <c r="BN337" i="1"/>
  <c r="BM337" i="1"/>
  <c r="Z337" i="1"/>
  <c r="Y337" i="1"/>
  <c r="BP337" i="1" s="1"/>
  <c r="P337" i="1"/>
  <c r="BO336" i="1"/>
  <c r="BM336" i="1"/>
  <c r="Y336" i="1"/>
  <c r="P336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Y332" i="1" s="1"/>
  <c r="P329" i="1"/>
  <c r="X327" i="1"/>
  <c r="X326" i="1"/>
  <c r="BO325" i="1"/>
  <c r="BM325" i="1"/>
  <c r="Y325" i="1"/>
  <c r="BP325" i="1" s="1"/>
  <c r="P325" i="1"/>
  <c r="BP324" i="1"/>
  <c r="BO324" i="1"/>
  <c r="BN324" i="1"/>
  <c r="BM324" i="1"/>
  <c r="Z324" i="1"/>
  <c r="Y324" i="1"/>
  <c r="P324" i="1"/>
  <c r="BO323" i="1"/>
  <c r="BM323" i="1"/>
  <c r="Y323" i="1"/>
  <c r="BP323" i="1" s="1"/>
  <c r="BO322" i="1"/>
  <c r="BM322" i="1"/>
  <c r="Y322" i="1"/>
  <c r="Y326" i="1" s="1"/>
  <c r="P322" i="1"/>
  <c r="X320" i="1"/>
  <c r="X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Y319" i="1" s="1"/>
  <c r="P316" i="1"/>
  <c r="X314" i="1"/>
  <c r="X313" i="1"/>
  <c r="BO312" i="1"/>
  <c r="BM312" i="1"/>
  <c r="Y312" i="1"/>
  <c r="BP312" i="1" s="1"/>
  <c r="P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Y313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Y307" i="1" s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Q500" i="1" s="1"/>
  <c r="P290" i="1"/>
  <c r="X287" i="1"/>
  <c r="X286" i="1"/>
  <c r="BO285" i="1"/>
  <c r="BM285" i="1"/>
  <c r="Y285" i="1"/>
  <c r="BP285" i="1" s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M500" i="1" s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50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Y236" i="1" s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3" i="1" s="1"/>
  <c r="X160" i="1"/>
  <c r="X159" i="1"/>
  <c r="BO158" i="1"/>
  <c r="BM158" i="1"/>
  <c r="Y158" i="1"/>
  <c r="I500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500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500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0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90" i="1" s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Z43" i="1" s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500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500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5" i="1"/>
  <c r="Z177" i="1"/>
  <c r="BN177" i="1"/>
  <c r="Y178" i="1"/>
  <c r="Z181" i="1"/>
  <c r="Z182" i="1" s="1"/>
  <c r="BN181" i="1"/>
  <c r="BP181" i="1"/>
  <c r="Y182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H9" i="1"/>
  <c r="Y24" i="1"/>
  <c r="Y44" i="1"/>
  <c r="Y57" i="1"/>
  <c r="Y103" i="1"/>
  <c r="Y126" i="1"/>
  <c r="Y160" i="1"/>
  <c r="Z176" i="1"/>
  <c r="BN176" i="1"/>
  <c r="Y193" i="1"/>
  <c r="Z204" i="1"/>
  <c r="BP197" i="1"/>
  <c r="BN197" i="1"/>
  <c r="Z197" i="1"/>
  <c r="Y205" i="1"/>
  <c r="BP201" i="1"/>
  <c r="BN201" i="1"/>
  <c r="Z201" i="1"/>
  <c r="Y217" i="1"/>
  <c r="Y221" i="1"/>
  <c r="Y240" i="1"/>
  <c r="Y244" i="1"/>
  <c r="Y252" i="1"/>
  <c r="Y261" i="1"/>
  <c r="Y268" i="1"/>
  <c r="Y275" i="1"/>
  <c r="Y282" i="1"/>
  <c r="Y287" i="1"/>
  <c r="Y296" i="1"/>
  <c r="Y306" i="1"/>
  <c r="Y314" i="1"/>
  <c r="Y320" i="1"/>
  <c r="Y327" i="1"/>
  <c r="Y333" i="1"/>
  <c r="R500" i="1"/>
  <c r="Y340" i="1"/>
  <c r="Y339" i="1"/>
  <c r="BP345" i="1"/>
  <c r="BN345" i="1"/>
  <c r="Z345" i="1"/>
  <c r="J500" i="1"/>
  <c r="Y188" i="1"/>
  <c r="Z207" i="1"/>
  <c r="Z216" i="1" s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K500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Z251" i="1" s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4" i="1"/>
  <c r="Z266" i="1"/>
  <c r="BN266" i="1"/>
  <c r="Y269" i="1"/>
  <c r="O500" i="1"/>
  <c r="Z273" i="1"/>
  <c r="Z275" i="1" s="1"/>
  <c r="BN273" i="1"/>
  <c r="Y276" i="1"/>
  <c r="P500" i="1"/>
  <c r="Z280" i="1"/>
  <c r="Z281" i="1" s="1"/>
  <c r="BN280" i="1"/>
  <c r="Y281" i="1"/>
  <c r="Z285" i="1"/>
  <c r="Z286" i="1" s="1"/>
  <c r="BN285" i="1"/>
  <c r="Z290" i="1"/>
  <c r="BN290" i="1"/>
  <c r="BP290" i="1"/>
  <c r="Z292" i="1"/>
  <c r="BN292" i="1"/>
  <c r="Z294" i="1"/>
  <c r="BN294" i="1"/>
  <c r="Y297" i="1"/>
  <c r="Z300" i="1"/>
  <c r="Z306" i="1" s="1"/>
  <c r="BN300" i="1"/>
  <c r="Z302" i="1"/>
  <c r="BN302" i="1"/>
  <c r="Z304" i="1"/>
  <c r="BN304" i="1"/>
  <c r="Z310" i="1"/>
  <c r="Z313" i="1" s="1"/>
  <c r="BN310" i="1"/>
  <c r="Z312" i="1"/>
  <c r="BN312" i="1"/>
  <c r="Z316" i="1"/>
  <c r="BN316" i="1"/>
  <c r="BP316" i="1"/>
  <c r="Z318" i="1"/>
  <c r="BN318" i="1"/>
  <c r="Z322" i="1"/>
  <c r="Z326" i="1" s="1"/>
  <c r="BN322" i="1"/>
  <c r="BP322" i="1"/>
  <c r="Z323" i="1"/>
  <c r="BN323" i="1"/>
  <c r="Z325" i="1"/>
  <c r="BN325" i="1"/>
  <c r="Z329" i="1"/>
  <c r="BN329" i="1"/>
  <c r="BP329" i="1"/>
  <c r="Z331" i="1"/>
  <c r="BN331" i="1"/>
  <c r="Z336" i="1"/>
  <c r="Z339" i="1" s="1"/>
  <c r="BN336" i="1"/>
  <c r="BP336" i="1"/>
  <c r="Y356" i="1"/>
  <c r="Y362" i="1"/>
  <c r="Y366" i="1"/>
  <c r="Y371" i="1"/>
  <c r="Y377" i="1"/>
  <c r="Y381" i="1"/>
  <c r="Y401" i="1"/>
  <c r="Y406" i="1"/>
  <c r="Y412" i="1"/>
  <c r="BP425" i="1"/>
  <c r="BN425" i="1"/>
  <c r="Z425" i="1"/>
  <c r="BP429" i="1"/>
  <c r="BN429" i="1"/>
  <c r="Z429" i="1"/>
  <c r="Z439" i="1"/>
  <c r="BP437" i="1"/>
  <c r="BN437" i="1"/>
  <c r="Z437" i="1"/>
  <c r="BP445" i="1"/>
  <c r="BN445" i="1"/>
  <c r="Z445" i="1"/>
  <c r="BP453" i="1"/>
  <c r="BN453" i="1"/>
  <c r="Z453" i="1"/>
  <c r="Y500" i="1"/>
  <c r="Y464" i="1"/>
  <c r="BP459" i="1"/>
  <c r="BN459" i="1"/>
  <c r="Z459" i="1"/>
  <c r="Y463" i="1"/>
  <c r="Z469" i="1"/>
  <c r="BP467" i="1"/>
  <c r="BN467" i="1"/>
  <c r="Z467" i="1"/>
  <c r="S500" i="1"/>
  <c r="Z348" i="1"/>
  <c r="Z351" i="1" s="1"/>
  <c r="BN348" i="1"/>
  <c r="Z350" i="1"/>
  <c r="BN350" i="1"/>
  <c r="Y351" i="1"/>
  <c r="Z354" i="1"/>
  <c r="Z356" i="1" s="1"/>
  <c r="BN354" i="1"/>
  <c r="BP354" i="1"/>
  <c r="Z360" i="1"/>
  <c r="Z361" i="1" s="1"/>
  <c r="BN360" i="1"/>
  <c r="Z364" i="1"/>
  <c r="Z365" i="1" s="1"/>
  <c r="BN364" i="1"/>
  <c r="BP364" i="1"/>
  <c r="Z369" i="1"/>
  <c r="Z371" i="1" s="1"/>
  <c r="BN369" i="1"/>
  <c r="BP369" i="1"/>
  <c r="Y372" i="1"/>
  <c r="Z375" i="1"/>
  <c r="Z376" i="1" s="1"/>
  <c r="BN375" i="1"/>
  <c r="Z379" i="1"/>
  <c r="Z381" i="1" s="1"/>
  <c r="BN379" i="1"/>
  <c r="BP379" i="1"/>
  <c r="U500" i="1"/>
  <c r="Z387" i="1"/>
  <c r="Z395" i="1" s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W500" i="1"/>
  <c r="Y418" i="1"/>
  <c r="BP423" i="1"/>
  <c r="BN423" i="1"/>
  <c r="Z423" i="1"/>
  <c r="BP427" i="1"/>
  <c r="BN427" i="1"/>
  <c r="Z427" i="1"/>
  <c r="Z433" i="1" s="1"/>
  <c r="BP431" i="1"/>
  <c r="BN431" i="1"/>
  <c r="Z431" i="1"/>
  <c r="Y439" i="1"/>
  <c r="BP443" i="1"/>
  <c r="BN443" i="1"/>
  <c r="Z443" i="1"/>
  <c r="Z448" i="1" s="1"/>
  <c r="BP447" i="1"/>
  <c r="BN447" i="1"/>
  <c r="Z447" i="1"/>
  <c r="Y449" i="1"/>
  <c r="Y454" i="1"/>
  <c r="BP451" i="1"/>
  <c r="BN451" i="1"/>
  <c r="Z451" i="1"/>
  <c r="Z454" i="1" s="1"/>
  <c r="BP461" i="1"/>
  <c r="BN461" i="1"/>
  <c r="Z461" i="1"/>
  <c r="BP473" i="1"/>
  <c r="BN473" i="1"/>
  <c r="Z473" i="1"/>
  <c r="Z474" i="1" s="1"/>
  <c r="Y475" i="1"/>
  <c r="Y478" i="1"/>
  <c r="BP477" i="1"/>
  <c r="BN477" i="1"/>
  <c r="Z477" i="1"/>
  <c r="Z478" i="1" s="1"/>
  <c r="Y479" i="1"/>
  <c r="Y484" i="1"/>
  <c r="BP481" i="1"/>
  <c r="BN481" i="1"/>
  <c r="Z481" i="1"/>
  <c r="Z483" i="1" s="1"/>
  <c r="Y434" i="1"/>
  <c r="Y489" i="1"/>
  <c r="Z487" i="1"/>
  <c r="Z488" i="1" s="1"/>
  <c r="BN487" i="1"/>
  <c r="BP487" i="1"/>
  <c r="Y488" i="1"/>
  <c r="Z463" i="1" l="1"/>
  <c r="Y492" i="1"/>
  <c r="Z412" i="1"/>
  <c r="Z332" i="1"/>
  <c r="Z319" i="1"/>
  <c r="Z296" i="1"/>
  <c r="Z268" i="1"/>
  <c r="Z260" i="1"/>
  <c r="Y490" i="1"/>
  <c r="Z178" i="1"/>
  <c r="Z103" i="1"/>
  <c r="Z495" i="1" s="1"/>
  <c r="Y494" i="1"/>
  <c r="Y491" i="1"/>
  <c r="Y493" i="1" s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<sst xmlns="http://schemas.openxmlformats.org/spreadsheetml/2006/main" count="2349" uniqueCount="770">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</sst>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60</v>
      </c>
      <c r="Y40" s="544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62.277777777777779</v>
      </c>
      <c r="BN40" s="64">
        <f>IFERROR(Y40*I40/H40,"0")</f>
        <v>67.260000000000005</v>
      </c>
      <c r="BO40" s="64">
        <f>IFERROR(1/J40*(X40/H40),"0")</f>
        <v>8.6805555555555552E-2</v>
      </c>
      <c r="BP40" s="64">
        <f>IFERROR(1/J40*(Y40/H40),"0")</f>
        <v>9.3750000000000014E-2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240</v>
      </c>
      <c r="Y41" s="544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65.555555555555557</v>
      </c>
      <c r="Y43" s="545">
        <f>IFERROR(Y40/H40,"0")+IFERROR(Y41/H41,"0")+IFERROR(Y42/H42,"0")</f>
        <v>66</v>
      </c>
      <c r="Z43" s="545">
        <f>IFERROR(IF(Z40="",0,Z40),"0")+IFERROR(IF(Z41="",0,Z41),"0")+IFERROR(IF(Z42="",0,Z42),"0")</f>
        <v>0.65508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300</v>
      </c>
      <c r="Y44" s="545">
        <f>IFERROR(SUM(Y40:Y42),"0")</f>
        <v>304.8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200</v>
      </c>
      <c r="Y52" s="544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327</v>
      </c>
      <c r="Y56" s="544">
        <f t="shared" si="0"/>
        <v>328.5</v>
      </c>
      <c r="Z56" s="36">
        <f>IFERROR(IF(Y56=0,"",ROUNDUP(Y56/H56,0)*0.00902),"")</f>
        <v>0.65846000000000005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340.80666666666667</v>
      </c>
      <c r="BN56" s="64">
        <f t="shared" si="2"/>
        <v>342.37000000000006</v>
      </c>
      <c r="BO56" s="64">
        <f t="shared" si="3"/>
        <v>0.55050505050505061</v>
      </c>
      <c r="BP56" s="64">
        <f t="shared" si="4"/>
        <v>0.55303030303030309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91.18518518518519</v>
      </c>
      <c r="Y57" s="545">
        <f>IFERROR(Y51/H51,"0")+IFERROR(Y52/H52,"0")+IFERROR(Y53/H53,"0")+IFERROR(Y54/H54,"0")+IFERROR(Y55/H55,"0")+IFERROR(Y56/H56,"0")</f>
        <v>92</v>
      </c>
      <c r="Z57" s="545">
        <f>IFERROR(IF(Z51="",0,Z51),"0")+IFERROR(IF(Z52="",0,Z52),"0")+IFERROR(IF(Z53="",0,Z53),"0")+IFERROR(IF(Z54="",0,Z54),"0")+IFERROR(IF(Z55="",0,Z55),"0")+IFERROR(IF(Z56="",0,Z56),"0")</f>
        <v>1.01908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527</v>
      </c>
      <c r="Y58" s="545">
        <f>IFERROR(SUM(Y51:Y56),"0")</f>
        <v>533.70000000000005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202</v>
      </c>
      <c r="Y62" s="544">
        <f>IFERROR(IF(X62="",0,CEILING((X62/$H62),1)*$H62),"")</f>
        <v>202.5</v>
      </c>
      <c r="Z62" s="36">
        <f>IFERROR(IF(Y62=0,"",ROUNDUP(Y62/H62,0)*0.00651),"")</f>
        <v>0.48825000000000002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215.46666666666664</v>
      </c>
      <c r="BN62" s="64">
        <f>IFERROR(Y62*I62/H62,"0")</f>
        <v>215.99999999999997</v>
      </c>
      <c r="BO62" s="64">
        <f>IFERROR(1/J62*(X62/H62),"0")</f>
        <v>0.41107041107041109</v>
      </c>
      <c r="BP62" s="64">
        <f>IFERROR(1/J62*(Y62/H62),"0")</f>
        <v>0.41208791208791212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74.81481481481481</v>
      </c>
      <c r="Y63" s="545">
        <f>IFERROR(Y60/H60,"0")+IFERROR(Y61/H61,"0")+IFERROR(Y62/H62,"0")</f>
        <v>75</v>
      </c>
      <c r="Z63" s="545">
        <f>IFERROR(IF(Z60="",0,Z60),"0")+IFERROR(IF(Z61="",0,Z61),"0")+IFERROR(IF(Z62="",0,Z62),"0")</f>
        <v>0.48825000000000002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202</v>
      </c>
      <c r="Y64" s="545">
        <f>IFERROR(SUM(Y60:Y62),"0")</f>
        <v>202.5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15</v>
      </c>
      <c r="Y85" s="544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15.569444444444445</v>
      </c>
      <c r="BN85" s="64">
        <f>IFERROR(Y85*I85/H85,"0")</f>
        <v>22.42</v>
      </c>
      <c r="BO85" s="64">
        <f>IFERROR(1/J85*(X85/H85),"0")</f>
        <v>2.1701388888888888E-2</v>
      </c>
      <c r="BP85" s="64">
        <f>IFERROR(1/J85*(Y85/H85),"0")</f>
        <v>3.125E-2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304</v>
      </c>
      <c r="Y87" s="544">
        <f>IFERROR(IF(X87="",0,CEILING((X87/$H87),1)*$H87),"")</f>
        <v>306</v>
      </c>
      <c r="Z87" s="36">
        <f>IFERROR(IF(Y87=0,"",ROUNDUP(Y87/H87,0)*0.00902),"")</f>
        <v>0.61336000000000002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316.83555555555563</v>
      </c>
      <c r="BN87" s="64">
        <f>IFERROR(Y87*I87/H87,"0")</f>
        <v>318.92</v>
      </c>
      <c r="BO87" s="64">
        <f>IFERROR(1/J87*(X87/H87),"0")</f>
        <v>0.51178451178451179</v>
      </c>
      <c r="BP87" s="64">
        <f>IFERROR(1/J87*(Y87/H87),"0")</f>
        <v>0.51515151515151514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68.944444444444443</v>
      </c>
      <c r="Y88" s="545">
        <f>IFERROR(Y85/H85,"0")+IFERROR(Y86/H86,"0")+IFERROR(Y87/H87,"0")</f>
        <v>70</v>
      </c>
      <c r="Z88" s="545">
        <f>IFERROR(IF(Z85="",0,Z85),"0")+IFERROR(IF(Z86="",0,Z86),"0")+IFERROR(IF(Z87="",0,Z87),"0")</f>
        <v>0.65132000000000001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319</v>
      </c>
      <c r="Y89" s="545">
        <f>IFERROR(SUM(Y85:Y87),"0")</f>
        <v>327.60000000000002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300</v>
      </c>
      <c r="Y91" s="544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180</v>
      </c>
      <c r="Y93" s="544">
        <f>IFERROR(IF(X93="",0,CEILING((X93/$H93),1)*$H93),"")</f>
        <v>180.9</v>
      </c>
      <c r="Z93" s="36">
        <f>IFERROR(IF(Y93=0,"",ROUNDUP(Y93/H93,0)*0.00651),"")</f>
        <v>0.43617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196.79999999999998</v>
      </c>
      <c r="BN93" s="64">
        <f>IFERROR(Y93*I93/H93,"0")</f>
        <v>197.78399999999999</v>
      </c>
      <c r="BO93" s="64">
        <f>IFERROR(1/J93*(X93/H93),"0")</f>
        <v>0.36630036630036628</v>
      </c>
      <c r="BP93" s="64">
        <f>IFERROR(1/J93*(Y93/H93),"0")</f>
        <v>0.36813186813186816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103.7037037037037</v>
      </c>
      <c r="Y95" s="545">
        <f>IFERROR(Y91/H91,"0")+IFERROR(Y92/H92,"0")+IFERROR(Y93/H93,"0")+IFERROR(Y94/H94,"0")</f>
        <v>105</v>
      </c>
      <c r="Z95" s="545">
        <f>IFERROR(IF(Z91="",0,Z91),"0")+IFERROR(IF(Z92="",0,Z92),"0")+IFERROR(IF(Z93="",0,Z93),"0")+IFERROR(IF(Z94="",0,Z94),"0")</f>
        <v>1.15741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480</v>
      </c>
      <c r="Y96" s="545">
        <f>IFERROR(SUM(Y91:Y94),"0")</f>
        <v>488.70000000000005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40</v>
      </c>
      <c r="Y99" s="544">
        <f>IFERROR(IF(X99="",0,CEILING((X99/$H99),1)*$H99),"")</f>
        <v>43.2</v>
      </c>
      <c r="Z99" s="36">
        <f>IFERROR(IF(Y99=0,"",ROUNDUP(Y99/H99,0)*0.01898),"")</f>
        <v>7.5920000000000001E-2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41.518518518518519</v>
      </c>
      <c r="BN99" s="64">
        <f>IFERROR(Y99*I99/H99,"0")</f>
        <v>44.84</v>
      </c>
      <c r="BO99" s="64">
        <f>IFERROR(1/J99*(X99/H99),"0")</f>
        <v>5.7870370370370364E-2</v>
      </c>
      <c r="BP99" s="64">
        <f>IFERROR(1/J99*(Y99/H99),"0")</f>
        <v>6.25E-2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144</v>
      </c>
      <c r="Y100" s="544">
        <f>IFERROR(IF(X100="",0,CEILING((X100/$H100),1)*$H100),"")</f>
        <v>146.25</v>
      </c>
      <c r="Z100" s="36">
        <f>IFERROR(IF(Y100=0,"",ROUNDUP(Y100/H100,0)*0.00902),"")</f>
        <v>0.35177999999999998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151.29599999999999</v>
      </c>
      <c r="BN100" s="64">
        <f>IFERROR(Y100*I100/H100,"0")</f>
        <v>153.66</v>
      </c>
      <c r="BO100" s="64">
        <f>IFERROR(1/J100*(X100/H100),"0")</f>
        <v>0.29090909090909089</v>
      </c>
      <c r="BP100" s="64">
        <f>IFERROR(1/J100*(Y100/H100),"0")</f>
        <v>0.29545454545454547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65</v>
      </c>
      <c r="Y101" s="544">
        <f>IFERROR(IF(X101="",0,CEILING((X101/$H101),1)*$H101),"")</f>
        <v>67.5</v>
      </c>
      <c r="Z101" s="36">
        <f>IFERROR(IF(Y101=0,"",ROUNDUP(Y101/H101,0)*0.00902),"")</f>
        <v>0.1353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67.744444444444454</v>
      </c>
      <c r="BN101" s="64">
        <f>IFERROR(Y101*I101/H101,"0")</f>
        <v>70.350000000000009</v>
      </c>
      <c r="BO101" s="64">
        <f>IFERROR(1/J101*(X101/H101),"0")</f>
        <v>0.10942760942760943</v>
      </c>
      <c r="BP101" s="64">
        <f>IFERROR(1/J101*(Y101/H101),"0")</f>
        <v>0.11363636363636365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56.548148148148144</v>
      </c>
      <c r="Y103" s="545">
        <f>IFERROR(Y99/H99,"0")+IFERROR(Y100/H100,"0")+IFERROR(Y101/H101,"0")+IFERROR(Y102/H102,"0")</f>
        <v>58</v>
      </c>
      <c r="Z103" s="545">
        <f>IFERROR(IF(Z99="",0,Z99),"0")+IFERROR(IF(Z100="",0,Z100),"0")+IFERROR(IF(Z101="",0,Z101),"0")+IFERROR(IF(Z102="",0,Z102),"0")</f>
        <v>0.56299999999999994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249</v>
      </c>
      <c r="Y104" s="545">
        <f>IFERROR(SUM(Y99:Y102),"0")</f>
        <v>256.95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15</v>
      </c>
      <c r="Y107" s="544">
        <f>IFERROR(IF(X107="",0,CEILING((X107/$H107),1)*$H107),"")</f>
        <v>16.8</v>
      </c>
      <c r="Z107" s="36">
        <f>IFERROR(IF(Y107=0,"",ROUNDUP(Y107/H107,0)*0.00502),"")</f>
        <v>3.5140000000000005E-2</v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15.625</v>
      </c>
      <c r="BN107" s="64">
        <f>IFERROR(Y107*I107/H107,"0")</f>
        <v>17.5</v>
      </c>
      <c r="BO107" s="64">
        <f>IFERROR(1/J107*(X107/H107),"0")</f>
        <v>2.6709401709401712E-2</v>
      </c>
      <c r="BP107" s="64">
        <f>IFERROR(1/J107*(Y107/H107),"0")</f>
        <v>2.9914529914529923E-2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6.25</v>
      </c>
      <c r="Y109" s="545">
        <f>IFERROR(Y106/H106,"0")+IFERROR(Y107/H107,"0")+IFERROR(Y108/H108,"0")</f>
        <v>7.0000000000000009</v>
      </c>
      <c r="Z109" s="545">
        <f>IFERROR(IF(Z106="",0,Z106),"0")+IFERROR(IF(Z107="",0,Z107),"0")+IFERROR(IF(Z108="",0,Z108),"0")</f>
        <v>3.5140000000000005E-2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15</v>
      </c>
      <c r="Y110" s="545">
        <f>IFERROR(SUM(Y106:Y108),"0")</f>
        <v>16.8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50</v>
      </c>
      <c r="Y112" s="544">
        <f>IFERROR(IF(X112="",0,CEILING((X112/$H112),1)*$H112),"")</f>
        <v>56.699999999999996</v>
      </c>
      <c r="Z112" s="36">
        <f>IFERROR(IF(Y112=0,"",ROUNDUP(Y112/H112,0)*0.01898),"")</f>
        <v>0.13286000000000001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53.012345679012348</v>
      </c>
      <c r="BN112" s="64">
        <f>IFERROR(Y112*I112/H112,"0")</f>
        <v>60.115999999999993</v>
      </c>
      <c r="BO112" s="64">
        <f>IFERROR(1/J112*(X112/H112),"0")</f>
        <v>9.6450617283950615E-2</v>
      </c>
      <c r="BP112" s="64">
        <f>IFERROR(1/J112*(Y112/H112),"0")</f>
        <v>0.109375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122</v>
      </c>
      <c r="Y113" s="544">
        <f>IFERROR(IF(X113="",0,CEILING((X113/$H113),1)*$H113),"")</f>
        <v>122.76</v>
      </c>
      <c r="Z113" s="36">
        <f>IFERROR(IF(Y113=0,"",ROUNDUP(Y113/H113,0)*0.00651),"")</f>
        <v>0.40362000000000003</v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137.15757575757576</v>
      </c>
      <c r="BN113" s="64">
        <f>IFERROR(Y113*I113/H113,"0")</f>
        <v>138.012</v>
      </c>
      <c r="BO113" s="64">
        <f>IFERROR(1/J113*(X113/H113),"0")</f>
        <v>0.33855033855033861</v>
      </c>
      <c r="BP113" s="64">
        <f>IFERROR(1/J113*(Y113/H113),"0")</f>
        <v>0.34065934065934067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45</v>
      </c>
      <c r="Y114" s="544">
        <f>IFERROR(IF(X114="",0,CEILING((X114/$H114),1)*$H114),"")</f>
        <v>45.900000000000006</v>
      </c>
      <c r="Z114" s="36">
        <f>IFERROR(IF(Y114=0,"",ROUNDUP(Y114/H114,0)*0.00651),"")</f>
        <v>0.11067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49.199999999999996</v>
      </c>
      <c r="BN114" s="64">
        <f>IFERROR(Y114*I114/H114,"0")</f>
        <v>50.183999999999997</v>
      </c>
      <c r="BO114" s="64">
        <f>IFERROR(1/J114*(X114/H114),"0")</f>
        <v>9.1575091575091569E-2</v>
      </c>
      <c r="BP114" s="64">
        <f>IFERROR(1/J114*(Y114/H114),"0")</f>
        <v>9.3406593406593408E-2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84.455667789001126</v>
      </c>
      <c r="Y116" s="545">
        <f>IFERROR(Y112/H112,"0")+IFERROR(Y113/H113,"0")+IFERROR(Y114/H114,"0")+IFERROR(Y115/H115,"0")</f>
        <v>86</v>
      </c>
      <c r="Z116" s="545">
        <f>IFERROR(IF(Z112="",0,Z112),"0")+IFERROR(IF(Z113="",0,Z113),"0")+IFERROR(IF(Z114="",0,Z114),"0")+IFERROR(IF(Z115="",0,Z115),"0")</f>
        <v>0.64715000000000011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217</v>
      </c>
      <c r="Y117" s="545">
        <f>IFERROR(SUM(Y112:Y115),"0")</f>
        <v>225.36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80</v>
      </c>
      <c r="Y124" s="544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25</v>
      </c>
      <c r="Y126" s="545">
        <f>IFERROR(Y124/H124,"0")+IFERROR(Y125/H125,"0")</f>
        <v>25</v>
      </c>
      <c r="Z126" s="545">
        <f>IFERROR(IF(Z124="",0,Z124),"0")+IFERROR(IF(Z125="",0,Z125),"0")</f>
        <v>0.16275000000000001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80</v>
      </c>
      <c r="Y127" s="545">
        <f>IFERROR(SUM(Y124:Y125),"0")</f>
        <v>80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42</v>
      </c>
      <c r="Y130" s="544">
        <f>IFERROR(IF(X130="",0,CEILING((X130/$H130),1)*$H130),"")</f>
        <v>42</v>
      </c>
      <c r="Z130" s="36">
        <f>IFERROR(IF(Y130=0,"",ROUNDUP(Y130/H130,0)*0.00651),"")</f>
        <v>9.7650000000000001E-2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46.02</v>
      </c>
      <c r="BN130" s="64">
        <f>IFERROR(Y130*I130/H130,"0")</f>
        <v>46.02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15.000000000000002</v>
      </c>
      <c r="Y131" s="545">
        <f>IFERROR(Y129/H129,"0")+IFERROR(Y130/H130,"0")</f>
        <v>15.000000000000002</v>
      </c>
      <c r="Z131" s="545">
        <f>IFERROR(IF(Z129="",0,Z129),"0")+IFERROR(IF(Z130="",0,Z130),"0")</f>
        <v>9.7650000000000001E-2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42</v>
      </c>
      <c r="Y132" s="545">
        <f>IFERROR(SUM(Y129:Y130),"0")</f>
        <v>42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66</v>
      </c>
      <c r="Y135" s="544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25</v>
      </c>
      <c r="Y136" s="545">
        <f>IFERROR(Y134/H134,"0")+IFERROR(Y135/H135,"0")</f>
        <v>25</v>
      </c>
      <c r="Z136" s="545">
        <f>IFERROR(IF(Z134="",0,Z134),"0")+IFERROR(IF(Z135="",0,Z135),"0")</f>
        <v>0.16275000000000001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66</v>
      </c>
      <c r="Y137" s="545">
        <f>IFERROR(SUM(Y134:Y135),"0")</f>
        <v>66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168</v>
      </c>
      <c r="Y141" s="544">
        <f>IFERROR(IF(X141="",0,CEILING((X141/$H141),1)*$H141),"")</f>
        <v>168</v>
      </c>
      <c r="Z141" s="36">
        <f>IFERROR(IF(Y141=0,"",ROUNDUP(Y141/H141,0)*0.00902),"")</f>
        <v>0.37884000000000001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175.98000000000002</v>
      </c>
      <c r="BN141" s="64">
        <f>IFERROR(Y141*I141/H141,"0")</f>
        <v>175.98000000000002</v>
      </c>
      <c r="BO141" s="64">
        <f>IFERROR(1/J141*(X141/H141),"0")</f>
        <v>0.31818181818181818</v>
      </c>
      <c r="BP141" s="64">
        <f>IFERROR(1/J141*(Y141/H141),"0")</f>
        <v>0.31818181818181818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42</v>
      </c>
      <c r="Y143" s="545">
        <f>IFERROR(Y140/H140,"0")+IFERROR(Y141/H141,"0")+IFERROR(Y142/H142,"0")</f>
        <v>42</v>
      </c>
      <c r="Z143" s="545">
        <f>IFERROR(IF(Z140="",0,Z140),"0")+IFERROR(IF(Z141="",0,Z141),"0")+IFERROR(IF(Z142="",0,Z142),"0")</f>
        <v>0.37884000000000001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168</v>
      </c>
      <c r="Y144" s="545">
        <f>IFERROR(SUM(Y140:Y142),"0")</f>
        <v>168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20</v>
      </c>
      <c r="Y146" s="544">
        <f>IFERROR(IF(X146="",0,CEILING((X146/$H146),1)*$H146),"")</f>
        <v>27</v>
      </c>
      <c r="Z146" s="36">
        <f>IFERROR(IF(Y146=0,"",ROUNDUP(Y146/H146,0)*0.01898),"")</f>
        <v>5.6940000000000004E-2</v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21.244444444444447</v>
      </c>
      <c r="BN146" s="64">
        <f>IFERROR(Y146*I146/H146,"0")</f>
        <v>28.68</v>
      </c>
      <c r="BO146" s="64">
        <f>IFERROR(1/J146*(X146/H146),"0")</f>
        <v>3.4722222222222224E-2</v>
      </c>
      <c r="BP146" s="64">
        <f>IFERROR(1/J146*(Y146/H146),"0")</f>
        <v>4.6875E-2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2.2222222222222223</v>
      </c>
      <c r="Y149" s="545">
        <f>IFERROR(Y146/H146,"0")+IFERROR(Y147/H147,"0")+IFERROR(Y148/H148,"0")</f>
        <v>3</v>
      </c>
      <c r="Z149" s="545">
        <f>IFERROR(IF(Z146="",0,Z146),"0")+IFERROR(IF(Z147="",0,Z147),"0")+IFERROR(IF(Z148="",0,Z148),"0")</f>
        <v>5.6940000000000004E-2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20</v>
      </c>
      <c r="Y150" s="545">
        <f>IFERROR(SUM(Y146:Y148),"0")</f>
        <v>27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191</v>
      </c>
      <c r="Y165" s="544">
        <f t="shared" si="5"/>
        <v>193.20000000000002</v>
      </c>
      <c r="Z165" s="36">
        <f>IFERROR(IF(Y165=0,"",ROUNDUP(Y165/H165,0)*0.00902),"")</f>
        <v>0.41492000000000001</v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199.64047619047616</v>
      </c>
      <c r="BN165" s="64">
        <f t="shared" si="7"/>
        <v>201.94</v>
      </c>
      <c r="BO165" s="64">
        <f t="shared" si="8"/>
        <v>0.3445165945165945</v>
      </c>
      <c r="BP165" s="64">
        <f t="shared" si="9"/>
        <v>0.34848484848484851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123</v>
      </c>
      <c r="Y166" s="544">
        <f t="shared" si="5"/>
        <v>123.9</v>
      </c>
      <c r="Z166" s="36">
        <f>IFERROR(IF(Y166=0,"",ROUNDUP(Y166/H166,0)*0.00502),"")</f>
        <v>0.29618</v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130.61428571428573</v>
      </c>
      <c r="BN166" s="64">
        <f t="shared" si="7"/>
        <v>131.57</v>
      </c>
      <c r="BO166" s="64">
        <f t="shared" si="8"/>
        <v>0.2503052503052503</v>
      </c>
      <c r="BP166" s="64">
        <f t="shared" si="9"/>
        <v>0.25213675213675218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117</v>
      </c>
      <c r="Y167" s="544">
        <f t="shared" si="5"/>
        <v>117.60000000000001</v>
      </c>
      <c r="Z167" s="36">
        <f>IFERROR(IF(Y167=0,"",ROUNDUP(Y167/H167,0)*0.00502),"")</f>
        <v>0.28112000000000004</v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124.24285714285715</v>
      </c>
      <c r="BN167" s="64">
        <f t="shared" si="7"/>
        <v>124.88</v>
      </c>
      <c r="BO167" s="64">
        <f t="shared" si="8"/>
        <v>0.23809523809523811</v>
      </c>
      <c r="BP167" s="64">
        <f t="shared" si="9"/>
        <v>0.23931623931623935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248</v>
      </c>
      <c r="Y169" s="544">
        <f t="shared" si="5"/>
        <v>249.9</v>
      </c>
      <c r="Z169" s="36">
        <f>IFERROR(IF(Y169=0,"",ROUNDUP(Y169/H169,0)*0.00502),"")</f>
        <v>0.59738000000000002</v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259.8095238095238</v>
      </c>
      <c r="BN169" s="64">
        <f t="shared" si="7"/>
        <v>261.8</v>
      </c>
      <c r="BO169" s="64">
        <f t="shared" si="8"/>
        <v>0.50468050468050474</v>
      </c>
      <c r="BP169" s="64">
        <f t="shared" si="9"/>
        <v>0.50854700854700863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277.85714285714283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280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1.5896000000000001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679</v>
      </c>
      <c r="Y173" s="545">
        <f>IFERROR(SUM(Y162:Y171),"0")</f>
        <v>684.6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4</v>
      </c>
      <c r="Y175" s="544">
        <f>IFERROR(IF(X175="",0,CEILING((X175/$H175),1)*$H175),"")</f>
        <v>5.04</v>
      </c>
      <c r="Z175" s="36">
        <f>IFERROR(IF(Y175=0,"",ROUNDUP(Y175/H175,0)*0.0059),"")</f>
        <v>2.3599999999999999E-2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4.6031746031746028</v>
      </c>
      <c r="BN175" s="64">
        <f>IFERROR(Y175*I175/H175,"0")</f>
        <v>5.8</v>
      </c>
      <c r="BO175" s="64">
        <f>IFERROR(1/J175*(X175/H175),"0")</f>
        <v>1.469723691945914E-2</v>
      </c>
      <c r="BP175" s="64">
        <f>IFERROR(1/J175*(Y175/H175),"0")</f>
        <v>1.8518518518518517E-2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14</v>
      </c>
      <c r="Y176" s="544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14</v>
      </c>
      <c r="Y177" s="544">
        <f>IFERROR(IF(X177="",0,CEILING((X177/$H177),1)*$H177),"")</f>
        <v>15.120000000000001</v>
      </c>
      <c r="Z177" s="36">
        <f>IFERROR(IF(Y177=0,"",ROUNDUP(Y177/H177,0)*0.0059),"")</f>
        <v>7.0800000000000002E-2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16.111111111111111</v>
      </c>
      <c r="BN177" s="64">
        <f>IFERROR(Y177*I177/H177,"0")</f>
        <v>17.399999999999999</v>
      </c>
      <c r="BO177" s="64">
        <f>IFERROR(1/J177*(X177/H177),"0")</f>
        <v>5.1440329218106991E-2</v>
      </c>
      <c r="BP177" s="64">
        <f>IFERROR(1/J177*(Y177/H177),"0")</f>
        <v>5.5555555555555552E-2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25.396825396825395</v>
      </c>
      <c r="Y178" s="545">
        <f>IFERROR(Y175/H175,"0")+IFERROR(Y176/H176,"0")+IFERROR(Y177/H177,"0")</f>
        <v>28</v>
      </c>
      <c r="Z178" s="545">
        <f>IFERROR(IF(Z175="",0,Z175),"0")+IFERROR(IF(Z176="",0,Z176),"0")+IFERROR(IF(Z177="",0,Z177),"0")</f>
        <v>0.16520000000000001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32</v>
      </c>
      <c r="Y179" s="545">
        <f>IFERROR(SUM(Y175:Y177),"0")</f>
        <v>35.28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4</v>
      </c>
      <c r="Y181" s="544">
        <f>IFERROR(IF(X181="",0,CEILING((X181/$H181),1)*$H181),"")</f>
        <v>5.04</v>
      </c>
      <c r="Z181" s="36">
        <f>IFERROR(IF(Y181=0,"",ROUNDUP(Y181/H181,0)*0.0059),"")</f>
        <v>2.3599999999999999E-2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4.6031746031746028</v>
      </c>
      <c r="BN181" s="64">
        <f>IFERROR(Y181*I181/H181,"0")</f>
        <v>5.8</v>
      </c>
      <c r="BO181" s="64">
        <f>IFERROR(1/J181*(X181/H181),"0")</f>
        <v>1.469723691945914E-2</v>
      </c>
      <c r="BP181" s="64">
        <f>IFERROR(1/J181*(Y181/H181),"0")</f>
        <v>1.8518518518518517E-2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3.1746031746031744</v>
      </c>
      <c r="Y182" s="545">
        <f>IFERROR(Y181/H181,"0")</f>
        <v>4</v>
      </c>
      <c r="Z182" s="545">
        <f>IFERROR(IF(Z181="",0,Z181),"0")</f>
        <v>2.3599999999999999E-2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4</v>
      </c>
      <c r="Y183" s="545">
        <f>IFERROR(SUM(Y181:Y181),"0")</f>
        <v>5.04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8</v>
      </c>
      <c r="Y196" s="544">
        <f t="shared" ref="Y196:Y203" si="10">IFERROR(IF(X196="",0,CEILING((X196/$H196),1)*$H196),"")</f>
        <v>10.8</v>
      </c>
      <c r="Z196" s="36">
        <f>IFERROR(IF(Y196=0,"",ROUNDUP(Y196/H196,0)*0.00902),"")</f>
        <v>1.804E-2</v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8.2814814814814799</v>
      </c>
      <c r="BN196" s="64">
        <f t="shared" ref="BN196:BN203" si="12">IFERROR(Y196*I196/H196,"0")</f>
        <v>11.18</v>
      </c>
      <c r="BO196" s="64">
        <f t="shared" ref="BO196:BO203" si="13">IFERROR(1/J196*(X196/H196),"0")</f>
        <v>1.1223344556677889E-2</v>
      </c>
      <c r="BP196" s="64">
        <f t="shared" ref="BP196:BP203" si="14">IFERROR(1/J196*(Y196/H196),"0")</f>
        <v>1.5151515151515152E-2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60</v>
      </c>
      <c r="Y200" s="544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64.333333333333329</v>
      </c>
      <c r="BN200" s="64">
        <f t="shared" si="12"/>
        <v>65.62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18</v>
      </c>
      <c r="Y201" s="544">
        <f t="shared" si="10"/>
        <v>18</v>
      </c>
      <c r="Z201" s="36">
        <f>IFERROR(IF(Y201=0,"",ROUNDUP(Y201/H201,0)*0.00502),"")</f>
        <v>5.0200000000000002E-2</v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18.999999999999996</v>
      </c>
      <c r="BN201" s="64">
        <f t="shared" si="12"/>
        <v>18.999999999999996</v>
      </c>
      <c r="BO201" s="64">
        <f t="shared" si="13"/>
        <v>4.2735042735042736E-2</v>
      </c>
      <c r="BP201" s="64">
        <f t="shared" si="14"/>
        <v>4.2735042735042736E-2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50</v>
      </c>
      <c r="Y203" s="544">
        <f t="shared" si="10"/>
        <v>50.4</v>
      </c>
      <c r="Z203" s="36">
        <f>IFERROR(IF(Y203=0,"",ROUNDUP(Y203/H203,0)*0.00502),"")</f>
        <v>0.14056000000000002</v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52.777777777777779</v>
      </c>
      <c r="BN203" s="64">
        <f t="shared" si="12"/>
        <v>53.199999999999996</v>
      </c>
      <c r="BO203" s="64">
        <f t="shared" si="13"/>
        <v>0.11870845204178539</v>
      </c>
      <c r="BP203" s="64">
        <f t="shared" si="14"/>
        <v>0.11965811965811968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72.592592592592595</v>
      </c>
      <c r="Y204" s="545">
        <f>IFERROR(Y196/H196,"0")+IFERROR(Y197/H197,"0")+IFERROR(Y198/H198,"0")+IFERROR(Y199/H199,"0")+IFERROR(Y200/H200,"0")+IFERROR(Y201/H201,"0")+IFERROR(Y202/H202,"0")+IFERROR(Y203/H203,"0")</f>
        <v>74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0.37948000000000004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136</v>
      </c>
      <c r="Y205" s="545">
        <f>IFERROR(SUM(Y196:Y203),"0")</f>
        <v>140.4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124</v>
      </c>
      <c r="Y210" s="544">
        <f t="shared" si="15"/>
        <v>124.8</v>
      </c>
      <c r="Z210" s="36">
        <f t="shared" ref="Z210:Z215" si="20">IFERROR(IF(Y210=0,"",ROUNDUP(Y210/H210,0)*0.00651),"")</f>
        <v>0.33851999999999999</v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137.94999999999999</v>
      </c>
      <c r="BN210" s="64">
        <f t="shared" si="17"/>
        <v>138.84</v>
      </c>
      <c r="BO210" s="64">
        <f t="shared" si="18"/>
        <v>0.28388278388278393</v>
      </c>
      <c r="BP210" s="64">
        <f t="shared" si="19"/>
        <v>0.28571428571428575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200</v>
      </c>
      <c r="Y212" s="544">
        <f t="shared" si="15"/>
        <v>201.6</v>
      </c>
      <c r="Z212" s="36">
        <f t="shared" si="20"/>
        <v>0.54683999999999999</v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221</v>
      </c>
      <c r="BN212" s="64">
        <f t="shared" si="17"/>
        <v>222.768</v>
      </c>
      <c r="BO212" s="64">
        <f t="shared" si="18"/>
        <v>0.45787545787545797</v>
      </c>
      <c r="BP212" s="64">
        <f t="shared" si="19"/>
        <v>0.46153846153846156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210</v>
      </c>
      <c r="Y213" s="544">
        <f t="shared" si="15"/>
        <v>211.2</v>
      </c>
      <c r="Z213" s="36">
        <f t="shared" si="20"/>
        <v>0.57288000000000006</v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232.05000000000004</v>
      </c>
      <c r="BN213" s="64">
        <f t="shared" si="17"/>
        <v>233.376</v>
      </c>
      <c r="BO213" s="64">
        <f t="shared" si="18"/>
        <v>0.48076923076923078</v>
      </c>
      <c r="BP213" s="64">
        <f t="shared" si="19"/>
        <v>0.48351648351648358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120</v>
      </c>
      <c r="Y215" s="544">
        <f t="shared" si="15"/>
        <v>120</v>
      </c>
      <c r="Z215" s="36">
        <f t="shared" si="20"/>
        <v>0.32550000000000001</v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132.9</v>
      </c>
      <c r="BN215" s="64">
        <f t="shared" si="17"/>
        <v>132.9</v>
      </c>
      <c r="BO215" s="64">
        <f t="shared" si="18"/>
        <v>0.27472527472527475</v>
      </c>
      <c r="BP215" s="64">
        <f t="shared" si="19"/>
        <v>0.27472527472527475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272.5</v>
      </c>
      <c r="Y216" s="545">
        <f>IFERROR(Y207/H207,"0")+IFERROR(Y208/H208,"0")+IFERROR(Y209/H209,"0")+IFERROR(Y210/H210,"0")+IFERROR(Y211/H211,"0")+IFERROR(Y212/H212,"0")+IFERROR(Y213/H213,"0")+IFERROR(Y214/H214,"0")+IFERROR(Y215/H215,"0")</f>
        <v>274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1.7837399999999999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654</v>
      </c>
      <c r="Y217" s="545">
        <f>IFERROR(SUM(Y207:Y215),"0")</f>
        <v>657.59999999999991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40</v>
      </c>
      <c r="Y220" s="544">
        <f>IFERROR(IF(X220="",0,CEILING((X220/$H220),1)*$H220),"")</f>
        <v>40.799999999999997</v>
      </c>
      <c r="Z220" s="36">
        <f>IFERROR(IF(Y220=0,"",ROUNDUP(Y220/H220,0)*0.00651),"")</f>
        <v>0.11067</v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44.20000000000001</v>
      </c>
      <c r="BN220" s="64">
        <f>IFERROR(Y220*I220/H220,"0")</f>
        <v>45.084000000000003</v>
      </c>
      <c r="BO220" s="64">
        <f>IFERROR(1/J220*(X220/H220),"0")</f>
        <v>9.1575091575091583E-2</v>
      </c>
      <c r="BP220" s="64">
        <f>IFERROR(1/J220*(Y220/H220),"0")</f>
        <v>9.3406593406593408E-2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16.666666666666668</v>
      </c>
      <c r="Y221" s="545">
        <f>IFERROR(Y219/H219,"0")+IFERROR(Y220/H220,"0")</f>
        <v>17</v>
      </c>
      <c r="Z221" s="545">
        <f>IFERROR(IF(Z219="",0,Z219),"0")+IFERROR(IF(Z220="",0,Z220),"0")</f>
        <v>0.11067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40</v>
      </c>
      <c r="Y222" s="545">
        <f>IFERROR(SUM(Y219:Y220),"0")</f>
        <v>40.799999999999997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7</v>
      </c>
      <c r="Y242" s="544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7.6805555555555562</v>
      </c>
      <c r="BN242" s="64">
        <f>IFERROR(Y242*I242/H242,"0")</f>
        <v>7.9</v>
      </c>
      <c r="BO242" s="64">
        <f>IFERROR(1/J242*(X242/H242),"0")</f>
        <v>1.8004115226337446E-2</v>
      </c>
      <c r="BP242" s="64">
        <f>IFERROR(1/J242*(Y242/H242),"0")</f>
        <v>1.8518518518518517E-2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3.8888888888888888</v>
      </c>
      <c r="Y243" s="545">
        <f>IFERROR(Y242/H242,"0")</f>
        <v>4</v>
      </c>
      <c r="Z243" s="545">
        <f>IFERROR(IF(Z242="",0,Z242),"0")</f>
        <v>2.3599999999999999E-2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7</v>
      </c>
      <c r="Y244" s="545">
        <f>IFERROR(SUM(Y242:Y242),"0")</f>
        <v>7.2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3</v>
      </c>
      <c r="Y246" s="544">
        <f>IFERROR(IF(X246="",0,CEILING((X246/$H246),1)*$H246),"")</f>
        <v>3.96</v>
      </c>
      <c r="Z246" s="36">
        <f>IFERROR(IF(Y246=0,"",ROUNDUP(Y246/H246,0)*0.0059),"")</f>
        <v>2.3599999999999999E-2</v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3.5757575757575757</v>
      </c>
      <c r="BN246" s="64">
        <f>IFERROR(Y246*I246/H246,"0")</f>
        <v>4.72</v>
      </c>
      <c r="BO246" s="64">
        <f>IFERROR(1/J246*(X246/H246),"0")</f>
        <v>1.4029180695847361E-2</v>
      </c>
      <c r="BP246" s="64">
        <f>IFERROR(1/J246*(Y246/H246),"0")</f>
        <v>1.8518518518518517E-2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8</v>
      </c>
      <c r="Y247" s="544">
        <f>IFERROR(IF(X247="",0,CEILING((X247/$H247),1)*$H247),"")</f>
        <v>9</v>
      </c>
      <c r="Z247" s="36">
        <f>IFERROR(IF(Y247=0,"",ROUNDUP(Y247/H247,0)*0.0059),"")</f>
        <v>2.9499999999999998E-2</v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8.7777777777777786</v>
      </c>
      <c r="BN247" s="64">
        <f>IFERROR(Y247*I247/H247,"0")</f>
        <v>9.8750000000000018</v>
      </c>
      <c r="BO247" s="64">
        <f>IFERROR(1/J247*(X247/H247),"0")</f>
        <v>2.0576131687242798E-2</v>
      </c>
      <c r="BP247" s="64">
        <f>IFERROR(1/J247*(Y247/H247),"0")</f>
        <v>2.3148148148148147E-2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3</v>
      </c>
      <c r="Y248" s="544">
        <f>IFERROR(IF(X248="",0,CEILING((X248/$H248),1)*$H248),"")</f>
        <v>3.6</v>
      </c>
      <c r="Z248" s="36">
        <f>IFERROR(IF(Y248=0,"",ROUNDUP(Y248/H248,0)*0.0059),"")</f>
        <v>2.3599999999999999E-2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3.6333333333333337</v>
      </c>
      <c r="BN248" s="64">
        <f>IFERROR(Y248*I248/H248,"0")</f>
        <v>4.3600000000000003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6</v>
      </c>
      <c r="Y249" s="544">
        <f>IFERROR(IF(X249="",0,CEILING((X249/$H249),1)*$H249),"")</f>
        <v>6.93</v>
      </c>
      <c r="Z249" s="36">
        <f>IFERROR(IF(Y249=0,"",ROUNDUP(Y249/H249,0)*0.0059),"")</f>
        <v>4.1299999999999996E-2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7.1515151515151514</v>
      </c>
      <c r="BN249" s="64">
        <f>IFERROR(Y249*I249/H249,"0")</f>
        <v>8.259999999999998</v>
      </c>
      <c r="BO249" s="64">
        <f>IFERROR(1/J249*(X249/H249),"0")</f>
        <v>2.8058361391694722E-2</v>
      </c>
      <c r="BP249" s="64">
        <f>IFERROR(1/J249*(Y249/H249),"0")</f>
        <v>3.2407407407407406E-2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3</v>
      </c>
      <c r="Y250" s="544">
        <f>IFERROR(IF(X250="",0,CEILING((X250/$H250),1)*$H250),"")</f>
        <v>3.96</v>
      </c>
      <c r="Z250" s="36">
        <f>IFERROR(IF(Y250=0,"",ROUNDUP(Y250/H250,0)*0.0059),"")</f>
        <v>2.3599999999999999E-2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3.5757575757575757</v>
      </c>
      <c r="BN250" s="64">
        <f>IFERROR(Y250*I250/H250,"0")</f>
        <v>4.72</v>
      </c>
      <c r="BO250" s="64">
        <f>IFERROR(1/J250*(X250/H250),"0")</f>
        <v>1.4029180695847361E-2</v>
      </c>
      <c r="BP250" s="64">
        <f>IFERROR(1/J250*(Y250/H250),"0")</f>
        <v>1.8518518518518517E-2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19.8989898989899</v>
      </c>
      <c r="Y251" s="545">
        <f>IFERROR(Y246/H246,"0")+IFERROR(Y247/H247,"0")+IFERROR(Y248/H248,"0")+IFERROR(Y249/H249,"0")+IFERROR(Y250/H250,"0")</f>
        <v>24</v>
      </c>
      <c r="Z251" s="545">
        <f>IFERROR(IF(Z246="",0,Z246),"0")+IFERROR(IF(Z247="",0,Z247),"0")+IFERROR(IF(Z248="",0,Z248),"0")+IFERROR(IF(Z249="",0,Z249),"0")+IFERROR(IF(Z250="",0,Z250),"0")</f>
        <v>0.1416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23</v>
      </c>
      <c r="Y252" s="545">
        <f>IFERROR(SUM(Y246:Y250),"0")</f>
        <v>27.450000000000003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150</v>
      </c>
      <c r="Y257" s="544">
        <f>IFERROR(IF(X257="",0,CEILING((X257/$H257),1)*$H257),"")</f>
        <v>151.20000000000002</v>
      </c>
      <c r="Z257" s="36">
        <f>IFERROR(IF(Y257=0,"",ROUNDUP(Y257/H257,0)*0.01898),"")</f>
        <v>0.26572000000000001</v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155.69444444444446</v>
      </c>
      <c r="BN257" s="64">
        <f>IFERROR(Y257*I257/H257,"0")</f>
        <v>156.94</v>
      </c>
      <c r="BO257" s="64">
        <f>IFERROR(1/J257*(X257/H257),"0")</f>
        <v>0.21701388888888887</v>
      </c>
      <c r="BP257" s="64">
        <f>IFERROR(1/J257*(Y257/H257),"0")</f>
        <v>0.21875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13.888888888888888</v>
      </c>
      <c r="Y260" s="545">
        <f>IFERROR(Y255/H255,"0")+IFERROR(Y256/H256,"0")+IFERROR(Y257/H257,"0")+IFERROR(Y258/H258,"0")+IFERROR(Y259/H259,"0")</f>
        <v>14</v>
      </c>
      <c r="Z260" s="545">
        <f>IFERROR(IF(Z255="",0,Z255),"0")+IFERROR(IF(Z256="",0,Z256),"0")+IFERROR(IF(Z257="",0,Z257),"0")+IFERROR(IF(Z258="",0,Z258),"0")+IFERROR(IF(Z259="",0,Z259),"0")</f>
        <v>0.26572000000000001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150</v>
      </c>
      <c r="Y261" s="545">
        <f>IFERROR(SUM(Y255:Y259),"0")</f>
        <v>151.20000000000002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16</v>
      </c>
      <c r="Y273" s="544">
        <f>IFERROR(IF(X273="",0,CEILING((X273/$H273),1)*$H273),"")</f>
        <v>16.8</v>
      </c>
      <c r="Z273" s="36">
        <f>IFERROR(IF(Y273=0,"",ROUNDUP(Y273/H273,0)*0.00651),"")</f>
        <v>4.5569999999999999E-2</v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17.680000000000003</v>
      </c>
      <c r="BN273" s="64">
        <f>IFERROR(Y273*I273/H273,"0")</f>
        <v>18.564000000000004</v>
      </c>
      <c r="BO273" s="64">
        <f>IFERROR(1/J273*(X273/H273),"0")</f>
        <v>3.6630036630036632E-2</v>
      </c>
      <c r="BP273" s="64">
        <f>IFERROR(1/J273*(Y273/H273),"0")</f>
        <v>3.8461538461538471E-2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6.666666666666667</v>
      </c>
      <c r="Y275" s="545">
        <f>IFERROR(Y272/H272,"0")+IFERROR(Y273/H273,"0")+IFERROR(Y274/H274,"0")</f>
        <v>7.0000000000000009</v>
      </c>
      <c r="Z275" s="545">
        <f>IFERROR(IF(Z272="",0,Z272),"0")+IFERROR(IF(Z273="",0,Z273),"0")+IFERROR(IF(Z274="",0,Z274),"0")</f>
        <v>4.5569999999999999E-2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16</v>
      </c>
      <c r="Y276" s="545">
        <f>IFERROR(SUM(Y272:Y274),"0")</f>
        <v>16.8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75</v>
      </c>
      <c r="Y292" s="544">
        <f t="shared" si="26"/>
        <v>75.600000000000009</v>
      </c>
      <c r="Z292" s="36">
        <f>IFERROR(IF(Y292=0,"",ROUNDUP(Y292/H292,0)*0.01898),"")</f>
        <v>0.13286000000000001</v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77.847222222222229</v>
      </c>
      <c r="BN292" s="64">
        <f t="shared" si="28"/>
        <v>78.47</v>
      </c>
      <c r="BO292" s="64">
        <f t="shared" si="29"/>
        <v>0.10850694444444443</v>
      </c>
      <c r="BP292" s="64">
        <f t="shared" si="30"/>
        <v>0.109375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240</v>
      </c>
      <c r="Y293" s="544">
        <f t="shared" si="26"/>
        <v>248.4</v>
      </c>
      <c r="Z293" s="36">
        <f>IFERROR(IF(Y293=0,"",ROUNDUP(Y293/H293,0)*0.01898),"")</f>
        <v>0.43653999999999998</v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249.11111111111111</v>
      </c>
      <c r="BN293" s="64">
        <f t="shared" si="28"/>
        <v>257.83</v>
      </c>
      <c r="BO293" s="64">
        <f t="shared" si="29"/>
        <v>0.34722222222222221</v>
      </c>
      <c r="BP293" s="64">
        <f t="shared" si="30"/>
        <v>0.359375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24</v>
      </c>
      <c r="Y294" s="544">
        <f t="shared" si="26"/>
        <v>24</v>
      </c>
      <c r="Z294" s="36">
        <f>IFERROR(IF(Y294=0,"",ROUNDUP(Y294/H294,0)*0.00902),"")</f>
        <v>5.4120000000000001E-2</v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25.14</v>
      </c>
      <c r="BN294" s="64">
        <f t="shared" si="28"/>
        <v>25.14</v>
      </c>
      <c r="BO294" s="64">
        <f t="shared" si="29"/>
        <v>4.5454545454545456E-2</v>
      </c>
      <c r="BP294" s="64">
        <f t="shared" si="30"/>
        <v>4.5454545454545456E-2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2</v>
      </c>
      <c r="Y295" s="544">
        <f t="shared" si="26"/>
        <v>4</v>
      </c>
      <c r="Z295" s="36">
        <f>IFERROR(IF(Y295=0,"",ROUNDUP(Y295/H295,0)*0.00902),"")</f>
        <v>9.0200000000000002E-3</v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2.0950000000000002</v>
      </c>
      <c r="BN295" s="64">
        <f t="shared" si="28"/>
        <v>4.1900000000000004</v>
      </c>
      <c r="BO295" s="64">
        <f t="shared" si="29"/>
        <v>3.787878787878788E-3</v>
      </c>
      <c r="BP295" s="64">
        <f t="shared" si="30"/>
        <v>7.575757575757576E-3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35.666666666666664</v>
      </c>
      <c r="Y296" s="545">
        <f>IFERROR(Y290/H290,"0")+IFERROR(Y291/H291,"0")+IFERROR(Y292/H292,"0")+IFERROR(Y293/H293,"0")+IFERROR(Y294/H294,"0")+IFERROR(Y295/H295,"0")</f>
        <v>37</v>
      </c>
      <c r="Z296" s="545">
        <f>IFERROR(IF(Z290="",0,Z290),"0")+IFERROR(IF(Z291="",0,Z291),"0")+IFERROR(IF(Z292="",0,Z292),"0")+IFERROR(IF(Z293="",0,Z293),"0")+IFERROR(IF(Z294="",0,Z294),"0")+IFERROR(IF(Z295="",0,Z295),"0")</f>
        <v>0.6325400000000001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341</v>
      </c>
      <c r="Y297" s="545">
        <f>IFERROR(SUM(Y290:Y295),"0")</f>
        <v>352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63</v>
      </c>
      <c r="Y299" s="544">
        <f t="shared" ref="Y299:Y305" si="31">IFERROR(IF(X299="",0,CEILING((X299/$H299),1)*$H299),"")</f>
        <v>63</v>
      </c>
      <c r="Z299" s="36">
        <f>IFERROR(IF(Y299=0,"",ROUNDUP(Y299/H299,0)*0.00902),"")</f>
        <v>0.1353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66.75</v>
      </c>
      <c r="BN299" s="64">
        <f t="shared" ref="BN299:BN305" si="33">IFERROR(Y299*I299/H299,"0")</f>
        <v>66.75</v>
      </c>
      <c r="BO299" s="64">
        <f t="shared" ref="BO299:BO305" si="34">IFERROR(1/J299*(X299/H299),"0")</f>
        <v>0.11363636363636365</v>
      </c>
      <c r="BP299" s="64">
        <f t="shared" ref="BP299:BP305" si="35">IFERROR(1/J299*(Y299/H299),"0")</f>
        <v>0.11363636363636365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600</v>
      </c>
      <c r="Y300" s="544">
        <f t="shared" si="31"/>
        <v>600.6</v>
      </c>
      <c r="Z300" s="36">
        <f>IFERROR(IF(Y300=0,"",ROUNDUP(Y300/H300,0)*0.00902),"")</f>
        <v>1.28986</v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635.71428571428567</v>
      </c>
      <c r="BN300" s="64">
        <f t="shared" si="33"/>
        <v>636.35</v>
      </c>
      <c r="BO300" s="64">
        <f t="shared" si="34"/>
        <v>1.0822510822510822</v>
      </c>
      <c r="BP300" s="64">
        <f t="shared" si="35"/>
        <v>1.0833333333333333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70</v>
      </c>
      <c r="Y302" s="544">
        <f t="shared" si="31"/>
        <v>71.400000000000006</v>
      </c>
      <c r="Z302" s="36">
        <f>IFERROR(IF(Y302=0,"",ROUNDUP(Y302/H302,0)*0.00502),"")</f>
        <v>0.17068</v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74.333333333333329</v>
      </c>
      <c r="BN302" s="64">
        <f t="shared" si="33"/>
        <v>75.820000000000007</v>
      </c>
      <c r="BO302" s="64">
        <f t="shared" si="34"/>
        <v>0.14245014245014245</v>
      </c>
      <c r="BP302" s="64">
        <f t="shared" si="35"/>
        <v>0.14529914529914531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46</v>
      </c>
      <c r="Y303" s="544">
        <f t="shared" si="31"/>
        <v>46.2</v>
      </c>
      <c r="Z303" s="36">
        <f>IFERROR(IF(Y303=0,"",ROUNDUP(Y303/H303,0)*0.00502),"")</f>
        <v>0.11044000000000001</v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48.19047619047619</v>
      </c>
      <c r="BN303" s="64">
        <f t="shared" si="33"/>
        <v>48.400000000000006</v>
      </c>
      <c r="BO303" s="64">
        <f t="shared" si="34"/>
        <v>9.361009361009362E-2</v>
      </c>
      <c r="BP303" s="64">
        <f t="shared" si="35"/>
        <v>9.401709401709403E-2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66</v>
      </c>
      <c r="Y305" s="544">
        <f t="shared" si="31"/>
        <v>66.600000000000009</v>
      </c>
      <c r="Z305" s="36">
        <f>IFERROR(IF(Y305=0,"",ROUNDUP(Y305/H305,0)*0.00651),"")</f>
        <v>0.24087</v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74.36</v>
      </c>
      <c r="BN305" s="64">
        <f t="shared" si="33"/>
        <v>75.036000000000016</v>
      </c>
      <c r="BO305" s="64">
        <f t="shared" si="34"/>
        <v>0.20146520146520147</v>
      </c>
      <c r="BP305" s="64">
        <f t="shared" si="35"/>
        <v>0.20329670329670335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249.76190476190476</v>
      </c>
      <c r="Y306" s="545">
        <f>IFERROR(Y299/H299,"0")+IFERROR(Y300/H300,"0")+IFERROR(Y301/H301,"0")+IFERROR(Y302/H302,"0")+IFERROR(Y303/H303,"0")+IFERROR(Y304/H304,"0")+IFERROR(Y305/H305,"0")</f>
        <v>251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1.9471499999999999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845</v>
      </c>
      <c r="Y307" s="545">
        <f>IFERROR(SUM(Y299:Y305),"0")</f>
        <v>847.80000000000007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2000</v>
      </c>
      <c r="Y309" s="544">
        <f>IFERROR(IF(X309="",0,CEILING((X309/$H309),1)*$H309),"")</f>
        <v>2004.6</v>
      </c>
      <c r="Z309" s="36">
        <f>IFERROR(IF(Y309=0,"",ROUNDUP(Y309/H309,0)*0.01898),"")</f>
        <v>4.8778600000000001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2125.1282051282051</v>
      </c>
      <c r="BN309" s="64">
        <f>IFERROR(Y309*I309/H309,"0")</f>
        <v>2130.0160000000001</v>
      </c>
      <c r="BO309" s="64">
        <f>IFERROR(1/J309*(X309/H309),"0")</f>
        <v>4.0064102564102564</v>
      </c>
      <c r="BP309" s="64">
        <f>IFERROR(1/J309*(Y309/H309),"0")</f>
        <v>4.015625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160</v>
      </c>
      <c r="Y312" s="544">
        <f>IFERROR(IF(X312="",0,CEILING((X312/$H312),1)*$H312),"")</f>
        <v>162</v>
      </c>
      <c r="Z312" s="36">
        <f>IFERROR(IF(Y312=0,"",ROUNDUP(Y312/H312,0)*0.00651),"")</f>
        <v>0.35154000000000002</v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173.12</v>
      </c>
      <c r="BN312" s="64">
        <f>IFERROR(Y312*I312/H312,"0")</f>
        <v>175.28399999999999</v>
      </c>
      <c r="BO312" s="64">
        <f>IFERROR(1/J312*(X312/H312),"0")</f>
        <v>0.29304029304029305</v>
      </c>
      <c r="BP312" s="64">
        <f>IFERROR(1/J312*(Y312/H312),"0")</f>
        <v>0.2967032967032967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309.74358974358972</v>
      </c>
      <c r="Y313" s="545">
        <f>IFERROR(Y309/H309,"0")+IFERROR(Y310/H310,"0")+IFERROR(Y311/H311,"0")+IFERROR(Y312/H312,"0")</f>
        <v>311</v>
      </c>
      <c r="Z313" s="545">
        <f>IFERROR(IF(Z309="",0,Z309),"0")+IFERROR(IF(Z310="",0,Z310),"0")+IFERROR(IF(Z311="",0,Z311),"0")+IFERROR(IF(Z312="",0,Z312),"0")</f>
        <v>5.2294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2160</v>
      </c>
      <c r="Y314" s="545">
        <f>IFERROR(SUM(Y309:Y312),"0")</f>
        <v>2166.6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200</v>
      </c>
      <c r="Y316" s="544">
        <f>IFERROR(IF(X316="",0,CEILING((X316/$H316),1)*$H316),"")</f>
        <v>201.60000000000002</v>
      </c>
      <c r="Z316" s="36">
        <f>IFERROR(IF(Y316=0,"",ROUNDUP(Y316/H316,0)*0.01898),"")</f>
        <v>0.45552000000000004</v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211.76190476190476</v>
      </c>
      <c r="BN316" s="64">
        <f>IFERROR(Y316*I316/H316,"0")</f>
        <v>213.45600000000002</v>
      </c>
      <c r="BO316" s="64">
        <f>IFERROR(1/J316*(X316/H316),"0")</f>
        <v>0.37202380952380953</v>
      </c>
      <c r="BP316" s="64">
        <f>IFERROR(1/J316*(Y316/H316),"0")</f>
        <v>0.375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80</v>
      </c>
      <c r="Y317" s="544">
        <f>IFERROR(IF(X317="",0,CEILING((X317/$H317),1)*$H317),"")</f>
        <v>85.8</v>
      </c>
      <c r="Z317" s="36">
        <f>IFERROR(IF(Y317=0,"",ROUNDUP(Y317/H317,0)*0.01898),"")</f>
        <v>0.20877999999999999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85.066666666666663</v>
      </c>
      <c r="BN317" s="64">
        <f>IFERROR(Y317*I317/H317,"0")</f>
        <v>91.234000000000009</v>
      </c>
      <c r="BO317" s="64">
        <f>IFERROR(1/J317*(X317/H317),"0")</f>
        <v>0.16025641025641027</v>
      </c>
      <c r="BP317" s="64">
        <f>IFERROR(1/J317*(Y317/H317),"0")</f>
        <v>0.171875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188</v>
      </c>
      <c r="Y318" s="544">
        <f>IFERROR(IF(X318="",0,CEILING((X318/$H318),1)*$H318),"")</f>
        <v>193.20000000000002</v>
      </c>
      <c r="Z318" s="36">
        <f>IFERROR(IF(Y318=0,"",ROUNDUP(Y318/H318,0)*0.01898),"")</f>
        <v>0.43653999999999998</v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199.05619047619049</v>
      </c>
      <c r="BN318" s="64">
        <f>IFERROR(Y318*I318/H318,"0")</f>
        <v>204.56200000000001</v>
      </c>
      <c r="BO318" s="64">
        <f>IFERROR(1/J318*(X318/H318),"0")</f>
        <v>0.34970238095238093</v>
      </c>
      <c r="BP318" s="64">
        <f>IFERROR(1/J318*(Y318/H318),"0")</f>
        <v>0.359375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56.446886446886445</v>
      </c>
      <c r="Y319" s="545">
        <f>IFERROR(Y316/H316,"0")+IFERROR(Y317/H317,"0")+IFERROR(Y318/H318,"0")</f>
        <v>58</v>
      </c>
      <c r="Z319" s="545">
        <f>IFERROR(IF(Z316="",0,Z316),"0")+IFERROR(IF(Z317="",0,Z317),"0")+IFERROR(IF(Z318="",0,Z318),"0")</f>
        <v>1.10084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468</v>
      </c>
      <c r="Y320" s="545">
        <f>IFERROR(SUM(Y316:Y318),"0")</f>
        <v>480.6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26</v>
      </c>
      <c r="Y324" s="544">
        <f>IFERROR(IF(X324="",0,CEILING((X324/$H324),1)*$H324),"")</f>
        <v>28.049999999999997</v>
      </c>
      <c r="Z324" s="36">
        <f>IFERROR(IF(Y324=0,"",ROUNDUP(Y324/H324,0)*0.00651),"")</f>
        <v>7.1610000000000007E-2</v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30.129411764705885</v>
      </c>
      <c r="BN324" s="64">
        <f>IFERROR(Y324*I324/H324,"0")</f>
        <v>32.505000000000003</v>
      </c>
      <c r="BO324" s="64">
        <f>IFERROR(1/J324*(X324/H324),"0")</f>
        <v>5.6022408963585443E-2</v>
      </c>
      <c r="BP324" s="64">
        <f>IFERROR(1/J324*(Y324/H324),"0")</f>
        <v>6.0439560439560447E-2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34</v>
      </c>
      <c r="Y325" s="544">
        <f>IFERROR(IF(X325="",0,CEILING((X325/$H325),1)*$H325),"")</f>
        <v>35.699999999999996</v>
      </c>
      <c r="Z325" s="36">
        <f>IFERROR(IF(Y325=0,"",ROUNDUP(Y325/H325,0)*0.00651),"")</f>
        <v>9.1139999999999999E-2</v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38.400000000000006</v>
      </c>
      <c r="BN325" s="64">
        <f>IFERROR(Y325*I325/H325,"0")</f>
        <v>40.32</v>
      </c>
      <c r="BO325" s="64">
        <f>IFERROR(1/J325*(X325/H325),"0")</f>
        <v>7.3260073260073263E-2</v>
      </c>
      <c r="BP325" s="64">
        <f>IFERROR(1/J325*(Y325/H325),"0")</f>
        <v>7.6923076923076927E-2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23.529411764705884</v>
      </c>
      <c r="Y326" s="545">
        <f>IFERROR(Y322/H322,"0")+IFERROR(Y323/H323,"0")+IFERROR(Y324/H324,"0")+IFERROR(Y325/H325,"0")</f>
        <v>25</v>
      </c>
      <c r="Z326" s="545">
        <f>IFERROR(IF(Z322="",0,Z322),"0")+IFERROR(IF(Z323="",0,Z323),"0")+IFERROR(IF(Z324="",0,Z324),"0")+IFERROR(IF(Z325="",0,Z325),"0")</f>
        <v>0.16275000000000001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60</v>
      </c>
      <c r="Y327" s="545">
        <f>IFERROR(SUM(Y322:Y325),"0")</f>
        <v>63.749999999999993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377</v>
      </c>
      <c r="Y337" s="544">
        <f>IFERROR(IF(X337="",0,CEILING((X337/$H337),1)*$H337),"")</f>
        <v>378</v>
      </c>
      <c r="Z337" s="36">
        <f>IFERROR(IF(Y337=0,"",ROUNDUP(Y337/H337,0)*0.00651),"")</f>
        <v>1.1718</v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422.23999999999995</v>
      </c>
      <c r="BN337" s="64">
        <f>IFERROR(Y337*I337/H337,"0")</f>
        <v>423.35999999999996</v>
      </c>
      <c r="BO337" s="64">
        <f>IFERROR(1/J337*(X337/H337),"0")</f>
        <v>0.98639455782312935</v>
      </c>
      <c r="BP337" s="64">
        <f>IFERROR(1/J337*(Y337/H337),"0")</f>
        <v>0.98901098901098905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115</v>
      </c>
      <c r="Y338" s="544">
        <f>IFERROR(IF(X338="",0,CEILING((X338/$H338),1)*$H338),"")</f>
        <v>115.5</v>
      </c>
      <c r="Z338" s="36">
        <f>IFERROR(IF(Y338=0,"",ROUNDUP(Y338/H338,0)*0.00651),"")</f>
        <v>0.35805000000000003</v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128.14285714285711</v>
      </c>
      <c r="BN338" s="64">
        <f>IFERROR(Y338*I338/H338,"0")</f>
        <v>128.69999999999999</v>
      </c>
      <c r="BO338" s="64">
        <f>IFERROR(1/J338*(X338/H338),"0")</f>
        <v>0.30088958660387233</v>
      </c>
      <c r="BP338" s="64">
        <f>IFERROR(1/J338*(Y338/H338),"0")</f>
        <v>0.30219780219780223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234.28571428571428</v>
      </c>
      <c r="Y339" s="545">
        <f>IFERROR(Y336/H336,"0")+IFERROR(Y337/H337,"0")+IFERROR(Y338/H338,"0")</f>
        <v>235</v>
      </c>
      <c r="Z339" s="545">
        <f>IFERROR(IF(Z336="",0,Z336),"0")+IFERROR(IF(Z337="",0,Z337),"0")+IFERROR(IF(Z338="",0,Z338),"0")</f>
        <v>1.5298499999999999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492</v>
      </c>
      <c r="Y340" s="545">
        <f>IFERROR(SUM(Y336:Y338),"0")</f>
        <v>493.5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300</v>
      </c>
      <c r="Y344" s="544">
        <f t="shared" ref="Y344:Y350" si="36">IFERROR(IF(X344="",0,CEILING((X344/$H344),1)*$H344),"")</f>
        <v>300</v>
      </c>
      <c r="Z344" s="36">
        <f>IFERROR(IF(Y344=0,"",ROUNDUP(Y344/H344,0)*0.02175),"")</f>
        <v>0.43499999999999994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309.39999999999998</v>
      </c>
      <c r="BN344" s="64">
        <f t="shared" ref="BN344:BN350" si="38">IFERROR(Y344*I344/H344,"0")</f>
        <v>309.39999999999998</v>
      </c>
      <c r="BO344" s="64">
        <f t="shared" ref="BO344:BO350" si="39">IFERROR(1/J344*(X344/H344),"0")</f>
        <v>0.41666666666666663</v>
      </c>
      <c r="BP344" s="64">
        <f t="shared" ref="BP344:BP350" si="40">IFERROR(1/J344*(Y344/H344),"0")</f>
        <v>0.41666666666666663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400</v>
      </c>
      <c r="Y345" s="544">
        <f t="shared" si="36"/>
        <v>405</v>
      </c>
      <c r="Z345" s="36">
        <f>IFERROR(IF(Y345=0,"",ROUNDUP(Y345/H345,0)*0.02175),"")</f>
        <v>0.58724999999999994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412.53333333333336</v>
      </c>
      <c r="BN345" s="64">
        <f t="shared" si="38"/>
        <v>417.69</v>
      </c>
      <c r="BO345" s="64">
        <f t="shared" si="39"/>
        <v>0.55555555555555558</v>
      </c>
      <c r="BP345" s="64">
        <f t="shared" si="40"/>
        <v>0.5625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1165</v>
      </c>
      <c r="Y347" s="544">
        <f t="shared" si="36"/>
        <v>1170</v>
      </c>
      <c r="Z347" s="36">
        <f>IFERROR(IF(Y347=0,"",ROUNDUP(Y347/H347,0)*0.02175),"")</f>
        <v>1.6964999999999999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1201.5033333333333</v>
      </c>
      <c r="BN347" s="64">
        <f t="shared" si="38"/>
        <v>1206.6600000000001</v>
      </c>
      <c r="BO347" s="64">
        <f t="shared" si="39"/>
        <v>1.6180555555555556</v>
      </c>
      <c r="BP347" s="64">
        <f t="shared" si="40"/>
        <v>1.625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50</v>
      </c>
      <c r="Y349" s="544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100</v>
      </c>
      <c r="Y350" s="544">
        <f t="shared" si="36"/>
        <v>100</v>
      </c>
      <c r="Z350" s="36">
        <f>IFERROR(IF(Y350=0,"",ROUNDUP(Y350/H350,0)*0.00902),"")</f>
        <v>0.1804</v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103.8</v>
      </c>
      <c r="BN350" s="64">
        <f t="shared" si="38"/>
        <v>103.8</v>
      </c>
      <c r="BO350" s="64">
        <f t="shared" si="39"/>
        <v>0.15151515151515152</v>
      </c>
      <c r="BP350" s="64">
        <f t="shared" si="40"/>
        <v>0.15151515151515152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154.33333333333334</v>
      </c>
      <c r="Y351" s="545">
        <f>IFERROR(Y344/H344,"0")+IFERROR(Y345/H345,"0")+IFERROR(Y346/H346,"0")+IFERROR(Y347/H347,"0")+IFERROR(Y348/H348,"0")+IFERROR(Y349/H349,"0")+IFERROR(Y350/H350,"0")</f>
        <v>155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2.98935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2015</v>
      </c>
      <c r="Y352" s="545">
        <f>IFERROR(SUM(Y344:Y350),"0")</f>
        <v>2025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1000</v>
      </c>
      <c r="Y354" s="544">
        <f>IFERROR(IF(X354="",0,CEILING((X354/$H354),1)*$H354),"")</f>
        <v>1005</v>
      </c>
      <c r="Z354" s="36">
        <f>IFERROR(IF(Y354=0,"",ROUNDUP(Y354/H354,0)*0.02175),"")</f>
        <v>1.4572499999999999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1031.3333333333333</v>
      </c>
      <c r="BN354" s="64">
        <f>IFERROR(Y354*I354/H354,"0")</f>
        <v>1036.49</v>
      </c>
      <c r="BO354" s="64">
        <f>IFERROR(1/J354*(X354/H354),"0")</f>
        <v>1.3888888888888888</v>
      </c>
      <c r="BP354" s="64">
        <f>IFERROR(1/J354*(Y354/H354),"0")</f>
        <v>1.3958333333333333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66.666666666666671</v>
      </c>
      <c r="Y356" s="545">
        <f>IFERROR(Y354/H354,"0")+IFERROR(Y355/H355,"0")</f>
        <v>67</v>
      </c>
      <c r="Z356" s="545">
        <f>IFERROR(IF(Z354="",0,Z354),"0")+IFERROR(IF(Z355="",0,Z355),"0")</f>
        <v>1.4572499999999999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1000</v>
      </c>
      <c r="Y357" s="545">
        <f>IFERROR(SUM(Y354:Y355),"0")</f>
        <v>1005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95</v>
      </c>
      <c r="Y379" s="544">
        <f>IFERROR(IF(X379="",0,CEILING((X379/$H379),1)*$H379),"")</f>
        <v>99</v>
      </c>
      <c r="Z379" s="36">
        <f>IFERROR(IF(Y379=0,"",ROUNDUP(Y379/H379,0)*0.01898),"")</f>
        <v>0.20877999999999999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100.21444444444444</v>
      </c>
      <c r="BN379" s="64">
        <f>IFERROR(Y379*I379/H379,"0")</f>
        <v>104.434</v>
      </c>
      <c r="BO379" s="64">
        <f>IFERROR(1/J379*(X379/H379),"0")</f>
        <v>0.16493055555555555</v>
      </c>
      <c r="BP379" s="64">
        <f>IFERROR(1/J379*(Y379/H379),"0")</f>
        <v>0.171875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72</v>
      </c>
      <c r="Y380" s="544">
        <f>IFERROR(IF(X380="",0,CEILING((X380/$H380),1)*$H380),"")</f>
        <v>72</v>
      </c>
      <c r="Z380" s="36">
        <f>IFERROR(IF(Y380=0,"",ROUNDUP(Y380/H380,0)*0.00651),"")</f>
        <v>0.1953</v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79.920000000000016</v>
      </c>
      <c r="BN380" s="64">
        <f>IFERROR(Y380*I380/H380,"0")</f>
        <v>79.920000000000016</v>
      </c>
      <c r="BO380" s="64">
        <f>IFERROR(1/J380*(X380/H380),"0")</f>
        <v>0.16483516483516486</v>
      </c>
      <c r="BP380" s="64">
        <f>IFERROR(1/J380*(Y380/H380),"0")</f>
        <v>0.16483516483516486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40.555555555555557</v>
      </c>
      <c r="Y381" s="545">
        <f>IFERROR(Y379/H379,"0")+IFERROR(Y380/H380,"0")</f>
        <v>41</v>
      </c>
      <c r="Z381" s="545">
        <f>IFERROR(IF(Z379="",0,Z379),"0")+IFERROR(IF(Z380="",0,Z380),"0")</f>
        <v>0.40407999999999999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167</v>
      </c>
      <c r="Y382" s="545">
        <f>IFERROR(SUM(Y379:Y380),"0")</f>
        <v>171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7</v>
      </c>
      <c r="Y390" s="544">
        <f t="shared" si="41"/>
        <v>8.4</v>
      </c>
      <c r="Z390" s="36">
        <f t="shared" si="46"/>
        <v>2.0080000000000001E-2</v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7.4333333333333327</v>
      </c>
      <c r="BN390" s="64">
        <f t="shared" si="43"/>
        <v>8.92</v>
      </c>
      <c r="BO390" s="64">
        <f t="shared" si="44"/>
        <v>1.4245014245014245E-2</v>
      </c>
      <c r="BP390" s="64">
        <f t="shared" si="45"/>
        <v>1.7094017094017096E-2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3.333333333333333</v>
      </c>
      <c r="Y395" s="545">
        <f>IFERROR(Y386/H386,"0")+IFERROR(Y387/H387,"0")+IFERROR(Y388/H388,"0")+IFERROR(Y389/H389,"0")+IFERROR(Y390/H390,"0")+IFERROR(Y391/H391,"0")+IFERROR(Y392/H392,"0")+IFERROR(Y393/H393,"0")+IFERROR(Y394/H394,"0")</f>
        <v>4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2.0080000000000001E-2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7</v>
      </c>
      <c r="Y396" s="545">
        <f>IFERROR(SUM(Y386:Y394),"0")</f>
        <v>8.4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47</v>
      </c>
      <c r="Y422" s="544">
        <f t="shared" ref="Y422:Y432" si="47">IFERROR(IF(X422="",0,CEILING((X422/$H422),1)*$H422),"")</f>
        <v>47.52</v>
      </c>
      <c r="Z422" s="36">
        <f t="shared" ref="Z422:Z427" si="48">IFERROR(IF(Y422=0,"",ROUNDUP(Y422/H422,0)*0.01196),"")</f>
        <v>0.10764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50.115530303030305</v>
      </c>
      <c r="BN422" s="64">
        <f t="shared" ref="BN422:BN432" si="50">IFERROR(Y422*I422/H422,"0")</f>
        <v>50.669999999999995</v>
      </c>
      <c r="BO422" s="64">
        <f t="shared" ref="BO422:BO432" si="51">IFERROR(1/J422*(X422/H422),"0")</f>
        <v>8.559149184149184E-2</v>
      </c>
      <c r="BP422" s="64">
        <f t="shared" ref="BP422:BP432" si="52">IFERROR(1/J422*(Y422/H422),"0")</f>
        <v>8.6538461538461536E-2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60</v>
      </c>
      <c r="Y427" s="544">
        <f t="shared" si="47"/>
        <v>63.36</v>
      </c>
      <c r="Z427" s="36">
        <f t="shared" si="48"/>
        <v>0.14352000000000001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63.977272727272727</v>
      </c>
      <c r="BN427" s="64">
        <f t="shared" si="50"/>
        <v>67.559999999999988</v>
      </c>
      <c r="BO427" s="64">
        <f t="shared" si="51"/>
        <v>0.10926573426573427</v>
      </c>
      <c r="BP427" s="64">
        <f t="shared" si="52"/>
        <v>0.11538461538461539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15</v>
      </c>
      <c r="Y429" s="544">
        <f t="shared" si="47"/>
        <v>19.2</v>
      </c>
      <c r="Z429" s="36">
        <f>IFERROR(IF(Y429=0,"",ROUNDUP(Y429/H429,0)*0.00902),"")</f>
        <v>3.6080000000000001E-2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21.593750000000004</v>
      </c>
      <c r="BN429" s="64">
        <f t="shared" si="50"/>
        <v>27.64</v>
      </c>
      <c r="BO429" s="64">
        <f t="shared" si="51"/>
        <v>2.3674242424242424E-2</v>
      </c>
      <c r="BP429" s="64">
        <f t="shared" si="52"/>
        <v>3.0303030303030304E-2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8</v>
      </c>
      <c r="Y431" s="544">
        <f t="shared" si="47"/>
        <v>9.6</v>
      </c>
      <c r="Z431" s="36">
        <f>IFERROR(IF(Y431=0,"",ROUNDUP(Y431/H431,0)*0.00651),"")</f>
        <v>2.6040000000000001E-2</v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8.6000000000000014</v>
      </c>
      <c r="BN431" s="64">
        <f t="shared" si="50"/>
        <v>10.32</v>
      </c>
      <c r="BO431" s="64">
        <f t="shared" si="51"/>
        <v>1.8315018315018316E-2</v>
      </c>
      <c r="BP431" s="64">
        <f t="shared" si="52"/>
        <v>2.197802197802198E-2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26.723484848484848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29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0.31328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130</v>
      </c>
      <c r="Y434" s="545">
        <f>IFERROR(SUM(Y422:Y432),"0")</f>
        <v>139.67999999999998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50</v>
      </c>
      <c r="Y436" s="544">
        <f>IFERROR(IF(X436="",0,CEILING((X436/$H436),1)*$H436),"")</f>
        <v>52.800000000000004</v>
      </c>
      <c r="Z436" s="36">
        <f>IFERROR(IF(Y436=0,"",ROUNDUP(Y436/H436,0)*0.01196),"")</f>
        <v>0.1196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53.314393939393938</v>
      </c>
      <c r="BN436" s="64">
        <f>IFERROR(Y436*I436/H436,"0")</f>
        <v>56.3</v>
      </c>
      <c r="BO436" s="64">
        <f>IFERROR(1/J436*(X436/H436),"0")</f>
        <v>9.1054778554778545E-2</v>
      </c>
      <c r="BP436" s="64">
        <f>IFERROR(1/J436*(Y436/H436),"0")</f>
        <v>9.6153846153846159E-2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9.4696969696969688</v>
      </c>
      <c r="Y439" s="545">
        <f>IFERROR(Y436/H436,"0")+IFERROR(Y437/H437,"0")+IFERROR(Y438/H438,"0")</f>
        <v>10</v>
      </c>
      <c r="Z439" s="545">
        <f>IFERROR(IF(Z436="",0,Z436),"0")+IFERROR(IF(Z437="",0,Z437),"0")+IFERROR(IF(Z438="",0,Z438),"0")</f>
        <v>0.1196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50</v>
      </c>
      <c r="Y440" s="545">
        <f>IFERROR(SUM(Y436:Y438),"0")</f>
        <v>52.800000000000004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29</v>
      </c>
      <c r="Y442" s="544">
        <f t="shared" ref="Y442:Y447" si="53">IFERROR(IF(X442="",0,CEILING((X442/$H442),1)*$H442),"")</f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30.922348484848484</v>
      </c>
      <c r="BN442" s="64">
        <f t="shared" ref="BN442:BN447" si="55">IFERROR(Y442*I442/H442,"0")</f>
        <v>33.779999999999994</v>
      </c>
      <c r="BO442" s="64">
        <f t="shared" ref="BO442:BO447" si="56">IFERROR(1/J442*(X442/H442),"0")</f>
        <v>5.281177156177156E-2</v>
      </c>
      <c r="BP442" s="64">
        <f t="shared" ref="BP442:BP447" si="57">IFERROR(1/J442*(Y442/H442),"0")</f>
        <v>5.7692307692307696E-2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30</v>
      </c>
      <c r="Y444" s="544">
        <f t="shared" si="53"/>
        <v>31.68</v>
      </c>
      <c r="Z444" s="36">
        <f>IFERROR(IF(Y444=0,"",ROUNDUP(Y444/H444,0)*0.01196),"")</f>
        <v>7.1760000000000004E-2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31.988636363636363</v>
      </c>
      <c r="BN444" s="64">
        <f t="shared" si="55"/>
        <v>33.779999999999994</v>
      </c>
      <c r="BO444" s="64">
        <f t="shared" si="56"/>
        <v>5.4632867132867136E-2</v>
      </c>
      <c r="BP444" s="64">
        <f t="shared" si="57"/>
        <v>5.7692307692307696E-2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18</v>
      </c>
      <c r="Y445" s="544">
        <f t="shared" si="53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25.912500000000001</v>
      </c>
      <c r="BN445" s="64">
        <f t="shared" si="55"/>
        <v>27.64</v>
      </c>
      <c r="BO445" s="64">
        <f t="shared" si="56"/>
        <v>2.8409090909090912E-2</v>
      </c>
      <c r="BP445" s="64">
        <f t="shared" si="57"/>
        <v>3.0303030303030304E-2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13</v>
      </c>
      <c r="Y447" s="544">
        <f t="shared" si="53"/>
        <v>14.399999999999999</v>
      </c>
      <c r="Z447" s="36">
        <f>IFERROR(IF(Y447=0,"",ROUNDUP(Y447/H447,0)*0.00902),"")</f>
        <v>2.7060000000000001E-2</v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18.064583333333331</v>
      </c>
      <c r="BN447" s="64">
        <f t="shared" si="55"/>
        <v>20.009999999999998</v>
      </c>
      <c r="BO447" s="64">
        <f t="shared" si="56"/>
        <v>2.0517676767676768E-2</v>
      </c>
      <c r="BP447" s="64">
        <f t="shared" si="57"/>
        <v>2.2727272727272728E-2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17.632575757575758</v>
      </c>
      <c r="Y448" s="545">
        <f>IFERROR(Y442/H442,"0")+IFERROR(Y443/H443,"0")+IFERROR(Y444/H444,"0")+IFERROR(Y445/H445,"0")+IFERROR(Y446/H446,"0")+IFERROR(Y447/H447,"0")</f>
        <v>19</v>
      </c>
      <c r="Z448" s="545">
        <f>IFERROR(IF(Z442="",0,Z442),"0")+IFERROR(IF(Z443="",0,Z443),"0")+IFERROR(IF(Z444="",0,Z444),"0")+IFERROR(IF(Z445="",0,Z445),"0")+IFERROR(IF(Z446="",0,Z446),"0")+IFERROR(IF(Z447="",0,Z447),"0")</f>
        <v>0.20666000000000001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90</v>
      </c>
      <c r="Y449" s="545">
        <f>IFERROR(SUM(Y442:Y447),"0")</f>
        <v>96.960000000000008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20</v>
      </c>
      <c r="Y461" s="544">
        <f>IFERROR(IF(X461="",0,CEILING((X461/$H461),1)*$H461),"")</f>
        <v>24</v>
      </c>
      <c r="Z461" s="36">
        <f>IFERROR(IF(Y461=0,"",ROUNDUP(Y461/H461,0)*0.01898),"")</f>
        <v>3.7960000000000001E-2</v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20.683333333333334</v>
      </c>
      <c r="BN461" s="64">
        <f>IFERROR(Y461*I461/H461,"0")</f>
        <v>24.820000000000004</v>
      </c>
      <c r="BO461" s="64">
        <f>IFERROR(1/J461*(X461/H461),"0")</f>
        <v>2.6041666666666668E-2</v>
      </c>
      <c r="BP461" s="64">
        <f>IFERROR(1/J461*(Y461/H461),"0")</f>
        <v>3.125E-2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1.6666666666666667</v>
      </c>
      <c r="Y463" s="545">
        <f>IFERROR(Y459/H459,"0")+IFERROR(Y460/H460,"0")+IFERROR(Y461/H461,"0")+IFERROR(Y462/H462,"0")</f>
        <v>2</v>
      </c>
      <c r="Z463" s="545">
        <f>IFERROR(IF(Z459="",0,Z459),"0")+IFERROR(IF(Z460="",0,Z460),"0")+IFERROR(IF(Z461="",0,Z461),"0")+IFERROR(IF(Z462="",0,Z462),"0")</f>
        <v>3.7960000000000001E-2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20</v>
      </c>
      <c r="Y464" s="545">
        <f>IFERROR(SUM(Y459:Y462),"0")</f>
        <v>24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50</v>
      </c>
      <c r="Y472" s="544">
        <f>IFERROR(IF(X472="",0,CEILING((X472/$H472),1)*$H472),"")</f>
        <v>50.400000000000006</v>
      </c>
      <c r="Z472" s="36">
        <f>IFERROR(IF(Y472=0,"",ROUNDUP(Y472/H472,0)*0.00902),"")</f>
        <v>0.10824</v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52.976190476190474</v>
      </c>
      <c r="BN472" s="64">
        <f>IFERROR(Y472*I472/H472,"0")</f>
        <v>53.400000000000006</v>
      </c>
      <c r="BO472" s="64">
        <f>IFERROR(1/J472*(X472/H472),"0")</f>
        <v>9.0187590187590191E-2</v>
      </c>
      <c r="BP472" s="64">
        <f>IFERROR(1/J472*(Y472/H472),"0")</f>
        <v>9.0909090909090912E-2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50</v>
      </c>
      <c r="Y473" s="544">
        <f>IFERROR(IF(X473="",0,CEILING((X473/$H473),1)*$H473),"")</f>
        <v>50.400000000000006</v>
      </c>
      <c r="Z473" s="36">
        <f>IFERROR(IF(Y473=0,"",ROUNDUP(Y473/H473,0)*0.00902),"")</f>
        <v>0.10824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52.976190476190474</v>
      </c>
      <c r="BN473" s="64">
        <f>IFERROR(Y473*I473/H473,"0")</f>
        <v>53.400000000000006</v>
      </c>
      <c r="BO473" s="64">
        <f>IFERROR(1/J473*(X473/H473),"0")</f>
        <v>9.0187590187590191E-2</v>
      </c>
      <c r="BP473" s="64">
        <f>IFERROR(1/J473*(Y473/H473),"0")</f>
        <v>9.0909090909090912E-2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23.80952380952381</v>
      </c>
      <c r="Y474" s="545">
        <f>IFERROR(Y472/H472,"0")+IFERROR(Y473/H473,"0")</f>
        <v>24</v>
      </c>
      <c r="Z474" s="545">
        <f>IFERROR(IF(Z472="",0,Z472),"0")+IFERROR(IF(Z473="",0,Z473),"0")</f>
        <v>0.21648000000000001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100</v>
      </c>
      <c r="Y475" s="545">
        <f>IFERROR(SUM(Y472:Y473),"0")</f>
        <v>100.80000000000001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12371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12533.669999999998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13112.789948863407</v>
      </c>
      <c r="Y491" s="545">
        <f>IFERROR(SUM(BN22:BN487),"0")</f>
        <v>13288.111999999997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23</v>
      </c>
      <c r="Y492" s="38">
        <f>ROUNDUP(SUM(BP22:BP487),0)</f>
        <v>24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13687.789948863407</v>
      </c>
      <c r="Y493" s="545">
        <f>GrossWeightTotalR+PalletQtyTotalR*25</f>
        <v>13888.111999999997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2626.836017504646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2663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26.971409999999995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304.8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736.2</v>
      </c>
      <c r="E500" s="46">
        <f>IFERROR(Y85*1,"0")+IFERROR(Y86*1,"0")+IFERROR(Y87*1,"0")+IFERROR(Y91*1,"0")+IFERROR(Y92*1,"0")+IFERROR(Y93*1,"0")+IFERROR(Y94*1,"0")</f>
        <v>816.30000000000007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499.11</v>
      </c>
      <c r="G500" s="46">
        <f>IFERROR(Y124*1,"0")+IFERROR(Y125*1,"0")+IFERROR(Y129*1,"0")+IFERROR(Y130*1,"0")+IFERROR(Y134*1,"0")+IFERROR(Y135*1,"0")</f>
        <v>188</v>
      </c>
      <c r="H500" s="46">
        <f>IFERROR(Y140*1,"0")+IFERROR(Y141*1,"0")+IFERROR(Y142*1,"0")+IFERROR(Y146*1,"0")+IFERROR(Y147*1,"0")+IFERROR(Y148*1,"0")+IFERROR(Y152*1,"0")</f>
        <v>195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724.92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838.8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34.65</v>
      </c>
      <c r="L500" s="46">
        <f>IFERROR(Y255*1,"0")+IFERROR(Y256*1,"0")+IFERROR(Y257*1,"0")+IFERROR(Y258*1,"0")+IFERROR(Y259*1,"0")</f>
        <v>151.20000000000002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16.8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3910.7499999999995</v>
      </c>
      <c r="R500" s="46">
        <f>IFERROR(Y336*1,"0")+IFERROR(Y337*1,"0")+IFERROR(Y338*1,"0")</f>
        <v>493.5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3030</v>
      </c>
      <c r="T500" s="46">
        <f>IFERROR(Y369*1,"0")+IFERROR(Y370*1,"0")+IFERROR(Y374*1,"0")+IFERROR(Y375*1,"0")+IFERROR(Y379*1,"0")+IFERROR(Y380*1,"0")</f>
        <v>171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8.4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289.44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124.80000000000001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2025-11-18T07:59:32Z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