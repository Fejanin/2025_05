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84D1BBA0-C80A-46C7-8A3A-4026467E435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7" i="1"/>
  <c r="Y326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Y327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Y261" i="1" s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Z204" i="1" s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Z286" i="1" s="1"/>
  <c r="Y286" i="1"/>
  <c r="BP330" i="1"/>
  <c r="BN330" i="1"/>
  <c r="Z330" i="1"/>
  <c r="Z332" i="1" s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0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Z143" i="1" s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BP208" i="1"/>
  <c r="BN208" i="1"/>
  <c r="Z208" i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BP317" i="1"/>
  <c r="BN317" i="1"/>
  <c r="Z317" i="1"/>
  <c r="Z319" i="1" s="1"/>
  <c r="Y319" i="1"/>
  <c r="BP345" i="1"/>
  <c r="BN345" i="1"/>
  <c r="Z345" i="1"/>
  <c r="Z351" i="1" s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Z412" i="1" s="1"/>
  <c r="Y413" i="1"/>
  <c r="BP424" i="1"/>
  <c r="BN424" i="1"/>
  <c r="Z424" i="1"/>
  <c r="BP460" i="1"/>
  <c r="BN460" i="1"/>
  <c r="Z460" i="1"/>
  <c r="Z463" i="1" s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Z216" i="1" s="1"/>
  <c r="BP214" i="1"/>
  <c r="BN214" i="1"/>
  <c r="Z214" i="1"/>
  <c r="Y221" i="1"/>
  <c r="BP227" i="1"/>
  <c r="BN227" i="1"/>
  <c r="Z227" i="1"/>
  <c r="BP231" i="1"/>
  <c r="BN231" i="1"/>
  <c r="Z231" i="1"/>
  <c r="Z251" i="1"/>
  <c r="BP247" i="1"/>
  <c r="BN247" i="1"/>
  <c r="Z247" i="1"/>
  <c r="Y251" i="1"/>
  <c r="BP256" i="1"/>
  <c r="BN256" i="1"/>
  <c r="Z256" i="1"/>
  <c r="Z260" i="1" s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Z296" i="1" s="1"/>
  <c r="BP295" i="1"/>
  <c r="BN295" i="1"/>
  <c r="Z295" i="1"/>
  <c r="Y297" i="1"/>
  <c r="Y306" i="1"/>
  <c r="BP299" i="1"/>
  <c r="BN299" i="1"/>
  <c r="Z299" i="1"/>
  <c r="BP303" i="1"/>
  <c r="BN303" i="1"/>
  <c r="Z303" i="1"/>
  <c r="BP311" i="1"/>
  <c r="BN311" i="1"/>
  <c r="Z311" i="1"/>
  <c r="Y320" i="1"/>
  <c r="BP324" i="1"/>
  <c r="BN324" i="1"/>
  <c r="Z324" i="1"/>
  <c r="Z326" i="1" s="1"/>
  <c r="Y333" i="1"/>
  <c r="Z339" i="1"/>
  <c r="BP337" i="1"/>
  <c r="BN337" i="1"/>
  <c r="Z337" i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Z381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39" i="1" l="1"/>
  <c r="Z448" i="1"/>
  <c r="Z433" i="1"/>
  <c r="Z306" i="1"/>
  <c r="Z235" i="1"/>
  <c r="Y492" i="1"/>
  <c r="Z149" i="1"/>
  <c r="Z69" i="1"/>
  <c r="Y490" i="1"/>
  <c r="Z395" i="1"/>
  <c r="Z313" i="1"/>
  <c r="Z172" i="1"/>
  <c r="Z43" i="1"/>
  <c r="Z31" i="1"/>
  <c r="Z495" i="1" s="1"/>
  <c r="Y494" i="1"/>
  <c r="Y491" i="1"/>
  <c r="Y493" i="1" s="1"/>
  <c r="Z275" i="1"/>
  <c r="Z116" i="1"/>
  <c r="Z95" i="1"/>
</calcChain>
</file>

<file path=xl/sharedStrings.xml><?xml version="1.0" encoding="utf-8"?>
<sst xmlns="http://schemas.openxmlformats.org/spreadsheetml/2006/main" count="2349" uniqueCount="770">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</sst>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5"/>
      <c r="F1" s="575"/>
      <c r="G1" s="12" t="s">
        <v>1</v>
      </c>
      <c r="H1" s="625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9" t="s">
        <v>8</v>
      </c>
      <c r="B5" s="642"/>
      <c r="C5" s="643"/>
      <c r="D5" s="628"/>
      <c r="E5" s="629"/>
      <c r="F5" s="836" t="s">
        <v>9</v>
      </c>
      <c r="G5" s="643"/>
      <c r="H5" s="628"/>
      <c r="I5" s="777"/>
      <c r="J5" s="777"/>
      <c r="K5" s="777"/>
      <c r="L5" s="777"/>
      <c r="M5" s="629"/>
      <c r="N5" s="58"/>
      <c r="P5" s="24" t="s">
        <v>10</v>
      </c>
      <c r="Q5" s="848">
        <v>45981</v>
      </c>
      <c r="R5" s="668"/>
      <c r="T5" s="708" t="s">
        <v>11</v>
      </c>
      <c r="U5" s="709"/>
      <c r="V5" s="710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69" t="s">
        <v>13</v>
      </c>
      <c r="B6" s="642"/>
      <c r="C6" s="64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68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8" t="s">
        <v>16</v>
      </c>
      <c r="U6" s="709"/>
      <c r="V6" s="764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5"/>
      <c r="U7" s="709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4"/>
      <c r="C8" s="565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75">
        <v>0.41666666666666669</v>
      </c>
      <c r="R8" s="608"/>
      <c r="T8" s="555"/>
      <c r="U8" s="709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6"/>
      <c r="E9" s="562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5"/>
      <c r="P9" s="26" t="s">
        <v>21</v>
      </c>
      <c r="Q9" s="664"/>
      <c r="R9" s="665"/>
      <c r="T9" s="555"/>
      <c r="U9" s="709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6"/>
      <c r="E10" s="562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57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19"/>
      <c r="R10" s="720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30</v>
      </c>
      <c r="Q12" s="675"/>
      <c r="R12" s="608"/>
      <c r="S12" s="23"/>
      <c r="U12" s="24"/>
      <c r="V12" s="575"/>
      <c r="W12" s="555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3" t="s">
        <v>34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696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83" t="s">
        <v>38</v>
      </c>
      <c r="D17" s="586" t="s">
        <v>39</v>
      </c>
      <c r="E17" s="651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50"/>
      <c r="R17" s="650"/>
      <c r="S17" s="650"/>
      <c r="T17" s="651"/>
      <c r="U17" s="866" t="s">
        <v>51</v>
      </c>
      <c r="V17" s="643"/>
      <c r="W17" s="586" t="s">
        <v>52</v>
      </c>
      <c r="X17" s="586" t="s">
        <v>53</v>
      </c>
      <c r="Y17" s="863" t="s">
        <v>54</v>
      </c>
      <c r="Z17" s="775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52"/>
      <c r="E18" s="654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87"/>
      <c r="X18" s="587"/>
      <c r="Y18" s="864"/>
      <c r="Z18" s="776"/>
      <c r="AA18" s="756"/>
      <c r="AB18" s="756"/>
      <c r="AC18" s="756"/>
      <c r="AD18" s="833"/>
      <c r="AE18" s="834"/>
      <c r="AF18" s="835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60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3" t="s">
        <v>71</v>
      </c>
      <c r="Q23" s="564"/>
      <c r="R23" s="564"/>
      <c r="S23" s="564"/>
      <c r="T23" s="564"/>
      <c r="U23" s="564"/>
      <c r="V23" s="565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3" t="s">
        <v>71</v>
      </c>
      <c r="Q24" s="564"/>
      <c r="R24" s="564"/>
      <c r="S24" s="564"/>
      <c r="T24" s="564"/>
      <c r="U24" s="564"/>
      <c r="V24" s="565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60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3" t="s">
        <v>71</v>
      </c>
      <c r="Q31" s="564"/>
      <c r="R31" s="564"/>
      <c r="S31" s="564"/>
      <c r="T31" s="564"/>
      <c r="U31" s="564"/>
      <c r="V31" s="565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3" t="s">
        <v>71</v>
      </c>
      <c r="Q32" s="564"/>
      <c r="R32" s="564"/>
      <c r="S32" s="564"/>
      <c r="T32" s="564"/>
      <c r="U32" s="564"/>
      <c r="V32" s="565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60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3" t="s">
        <v>71</v>
      </c>
      <c r="Q35" s="564"/>
      <c r="R35" s="564"/>
      <c r="S35" s="564"/>
      <c r="T35" s="564"/>
      <c r="U35" s="564"/>
      <c r="V35" s="565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3" t="s">
        <v>71</v>
      </c>
      <c r="Q36" s="564"/>
      <c r="R36" s="564"/>
      <c r="S36" s="564"/>
      <c r="T36" s="564"/>
      <c r="U36" s="564"/>
      <c r="V36" s="565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7" t="s">
        <v>99</v>
      </c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68"/>
      <c r="P37" s="568"/>
      <c r="Q37" s="568"/>
      <c r="R37" s="568"/>
      <c r="S37" s="568"/>
      <c r="T37" s="568"/>
      <c r="U37" s="568"/>
      <c r="V37" s="568"/>
      <c r="W37" s="568"/>
      <c r="X37" s="568"/>
      <c r="Y37" s="568"/>
      <c r="Z37" s="568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60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3" t="s">
        <v>71</v>
      </c>
      <c r="Q43" s="564"/>
      <c r="R43" s="564"/>
      <c r="S43" s="564"/>
      <c r="T43" s="564"/>
      <c r="U43" s="564"/>
      <c r="V43" s="565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3" t="s">
        <v>71</v>
      </c>
      <c r="Q44" s="564"/>
      <c r="R44" s="564"/>
      <c r="S44" s="564"/>
      <c r="T44" s="564"/>
      <c r="U44" s="564"/>
      <c r="V44" s="565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customHeight="1" x14ac:dyDescent="0.25">
      <c r="A45" s="560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3" t="s">
        <v>71</v>
      </c>
      <c r="Q47" s="564"/>
      <c r="R47" s="564"/>
      <c r="S47" s="564"/>
      <c r="T47" s="564"/>
      <c r="U47" s="564"/>
      <c r="V47" s="565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3" t="s">
        <v>71</v>
      </c>
      <c r="Q48" s="564"/>
      <c r="R48" s="564"/>
      <c r="S48" s="564"/>
      <c r="T48" s="564"/>
      <c r="U48" s="564"/>
      <c r="V48" s="565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60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3" t="s">
        <v>71</v>
      </c>
      <c r="Q57" s="564"/>
      <c r="R57" s="564"/>
      <c r="S57" s="564"/>
      <c r="T57" s="564"/>
      <c r="U57" s="564"/>
      <c r="V57" s="565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3" t="s">
        <v>71</v>
      </c>
      <c r="Q58" s="564"/>
      <c r="R58" s="564"/>
      <c r="S58" s="564"/>
      <c r="T58" s="564"/>
      <c r="U58" s="564"/>
      <c r="V58" s="565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customHeight="1" x14ac:dyDescent="0.25">
      <c r="A59" s="560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3" t="s">
        <v>71</v>
      </c>
      <c r="Q63" s="564"/>
      <c r="R63" s="564"/>
      <c r="S63" s="564"/>
      <c r="T63" s="564"/>
      <c r="U63" s="564"/>
      <c r="V63" s="565"/>
      <c r="W63" s="37" t="s">
        <v>72</v>
      </c>
      <c r="X63" s="545">
        <f>IFERROR(X60/H60,"0")+IFERROR(X61/H61,"0")+IFERROR(X62/H62,"0")</f>
        <v>0</v>
      </c>
      <c r="Y63" s="545">
        <f>IFERROR(Y60/H60,"0")+IFERROR(Y61/H61,"0")+IFERROR(Y62/H62,"0")</f>
        <v>0</v>
      </c>
      <c r="Z63" s="545">
        <f>IFERROR(IF(Z60="",0,Z60),"0")+IFERROR(IF(Z61="",0,Z61),"0")+IFERROR(IF(Z62="",0,Z62),"0")</f>
        <v>0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3" t="s">
        <v>71</v>
      </c>
      <c r="Q64" s="564"/>
      <c r="R64" s="564"/>
      <c r="S64" s="564"/>
      <c r="T64" s="564"/>
      <c r="U64" s="564"/>
      <c r="V64" s="565"/>
      <c r="W64" s="37" t="s">
        <v>69</v>
      </c>
      <c r="X64" s="545">
        <f>IFERROR(SUM(X60:X62),"0")</f>
        <v>0</v>
      </c>
      <c r="Y64" s="545">
        <f>IFERROR(SUM(Y60:Y62),"0")</f>
        <v>0</v>
      </c>
      <c r="Z64" s="37"/>
      <c r="AA64" s="546"/>
      <c r="AB64" s="546"/>
      <c r="AC64" s="546"/>
    </row>
    <row r="65" spans="1:68" ht="14.25" customHeight="1" x14ac:dyDescent="0.25">
      <c r="A65" s="560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3" t="s">
        <v>71</v>
      </c>
      <c r="Q69" s="564"/>
      <c r="R69" s="564"/>
      <c r="S69" s="564"/>
      <c r="T69" s="564"/>
      <c r="U69" s="564"/>
      <c r="V69" s="565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3" t="s">
        <v>71</v>
      </c>
      <c r="Q70" s="564"/>
      <c r="R70" s="564"/>
      <c r="S70" s="564"/>
      <c r="T70" s="564"/>
      <c r="U70" s="564"/>
      <c r="V70" s="565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60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3" t="s">
        <v>71</v>
      </c>
      <c r="Q76" s="564"/>
      <c r="R76" s="564"/>
      <c r="S76" s="564"/>
      <c r="T76" s="564"/>
      <c r="U76" s="564"/>
      <c r="V76" s="565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3" t="s">
        <v>71</v>
      </c>
      <c r="Q77" s="564"/>
      <c r="R77" s="564"/>
      <c r="S77" s="564"/>
      <c r="T77" s="564"/>
      <c r="U77" s="564"/>
      <c r="V77" s="565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60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3" t="s">
        <v>71</v>
      </c>
      <c r="Q81" s="564"/>
      <c r="R81" s="564"/>
      <c r="S81" s="564"/>
      <c r="T81" s="564"/>
      <c r="U81" s="564"/>
      <c r="V81" s="565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3" t="s">
        <v>71</v>
      </c>
      <c r="Q82" s="564"/>
      <c r="R82" s="564"/>
      <c r="S82" s="564"/>
      <c r="T82" s="564"/>
      <c r="U82" s="564"/>
      <c r="V82" s="565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customHeight="1" x14ac:dyDescent="0.25">
      <c r="A84" s="560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3" t="s">
        <v>71</v>
      </c>
      <c r="Q88" s="564"/>
      <c r="R88" s="564"/>
      <c r="S88" s="564"/>
      <c r="T88" s="564"/>
      <c r="U88" s="564"/>
      <c r="V88" s="565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3" t="s">
        <v>71</v>
      </c>
      <c r="Q89" s="564"/>
      <c r="R89" s="564"/>
      <c r="S89" s="564"/>
      <c r="T89" s="564"/>
      <c r="U89" s="564"/>
      <c r="V89" s="565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customHeight="1" x14ac:dyDescent="0.25">
      <c r="A90" s="560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3" t="s">
        <v>71</v>
      </c>
      <c r="Q95" s="564"/>
      <c r="R95" s="564"/>
      <c r="S95" s="564"/>
      <c r="T95" s="564"/>
      <c r="U95" s="564"/>
      <c r="V95" s="565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3" t="s">
        <v>71</v>
      </c>
      <c r="Q96" s="564"/>
      <c r="R96" s="564"/>
      <c r="S96" s="564"/>
      <c r="T96" s="564"/>
      <c r="U96" s="564"/>
      <c r="V96" s="565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customHeight="1" x14ac:dyDescent="0.25">
      <c r="A98" s="560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3" t="s">
        <v>71</v>
      </c>
      <c r="Q103" s="564"/>
      <c r="R103" s="564"/>
      <c r="S103" s="564"/>
      <c r="T103" s="564"/>
      <c r="U103" s="564"/>
      <c r="V103" s="565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3" t="s">
        <v>71</v>
      </c>
      <c r="Q104" s="564"/>
      <c r="R104" s="564"/>
      <c r="S104" s="564"/>
      <c r="T104" s="564"/>
      <c r="U104" s="564"/>
      <c r="V104" s="565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customHeight="1" x14ac:dyDescent="0.25">
      <c r="A105" s="560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3" t="s">
        <v>71</v>
      </c>
      <c r="Q109" s="564"/>
      <c r="R109" s="564"/>
      <c r="S109" s="564"/>
      <c r="T109" s="564"/>
      <c r="U109" s="564"/>
      <c r="V109" s="565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3" t="s">
        <v>71</v>
      </c>
      <c r="Q110" s="564"/>
      <c r="R110" s="564"/>
      <c r="S110" s="564"/>
      <c r="T110" s="564"/>
      <c r="U110" s="564"/>
      <c r="V110" s="565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60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3" t="s">
        <v>71</v>
      </c>
      <c r="Q116" s="564"/>
      <c r="R116" s="564"/>
      <c r="S116" s="564"/>
      <c r="T116" s="564"/>
      <c r="U116" s="564"/>
      <c r="V116" s="565"/>
      <c r="W116" s="37" t="s">
        <v>72</v>
      </c>
      <c r="X116" s="545">
        <f>IFERROR(X112/H112,"0")+IFERROR(X113/H113,"0")+IFERROR(X114/H114,"0")+IFERROR(X115/H115,"0")</f>
        <v>0</v>
      </c>
      <c r="Y116" s="545">
        <f>IFERROR(Y112/H112,"0")+IFERROR(Y113/H113,"0")+IFERROR(Y114/H114,"0")+IFERROR(Y115/H115,"0")</f>
        <v>0</v>
      </c>
      <c r="Z116" s="545">
        <f>IFERROR(IF(Z112="",0,Z112),"0")+IFERROR(IF(Z113="",0,Z113),"0")+IFERROR(IF(Z114="",0,Z114),"0")+IFERROR(IF(Z115="",0,Z115),"0")</f>
        <v>0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3" t="s">
        <v>71</v>
      </c>
      <c r="Q117" s="564"/>
      <c r="R117" s="564"/>
      <c r="S117" s="564"/>
      <c r="T117" s="564"/>
      <c r="U117" s="564"/>
      <c r="V117" s="565"/>
      <c r="W117" s="37" t="s">
        <v>69</v>
      </c>
      <c r="X117" s="545">
        <f>IFERROR(SUM(X112:X115),"0")</f>
        <v>0</v>
      </c>
      <c r="Y117" s="545">
        <f>IFERROR(SUM(Y112:Y115),"0")</f>
        <v>0</v>
      </c>
      <c r="Z117" s="37"/>
      <c r="AA117" s="546"/>
      <c r="AB117" s="546"/>
      <c r="AC117" s="546"/>
    </row>
    <row r="118" spans="1:68" ht="14.25" customHeight="1" x14ac:dyDescent="0.25">
      <c r="A118" s="560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3" t="s">
        <v>71</v>
      </c>
      <c r="Q120" s="564"/>
      <c r="R120" s="564"/>
      <c r="S120" s="564"/>
      <c r="T120" s="564"/>
      <c r="U120" s="564"/>
      <c r="V120" s="565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3" t="s">
        <v>71</v>
      </c>
      <c r="Q121" s="564"/>
      <c r="R121" s="564"/>
      <c r="S121" s="564"/>
      <c r="T121" s="564"/>
      <c r="U121" s="564"/>
      <c r="V121" s="565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customHeight="1" x14ac:dyDescent="0.25">
      <c r="A123" s="560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3" t="s">
        <v>71</v>
      </c>
      <c r="Q126" s="564"/>
      <c r="R126" s="564"/>
      <c r="S126" s="564"/>
      <c r="T126" s="564"/>
      <c r="U126" s="564"/>
      <c r="V126" s="565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3" t="s">
        <v>71</v>
      </c>
      <c r="Q127" s="564"/>
      <c r="R127" s="564"/>
      <c r="S127" s="564"/>
      <c r="T127" s="564"/>
      <c r="U127" s="564"/>
      <c r="V127" s="565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60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3" t="s">
        <v>71</v>
      </c>
      <c r="Q131" s="564"/>
      <c r="R131" s="564"/>
      <c r="S131" s="564"/>
      <c r="T131" s="564"/>
      <c r="U131" s="564"/>
      <c r="V131" s="565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3" t="s">
        <v>71</v>
      </c>
      <c r="Q132" s="564"/>
      <c r="R132" s="564"/>
      <c r="S132" s="564"/>
      <c r="T132" s="564"/>
      <c r="U132" s="564"/>
      <c r="V132" s="565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60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3" t="s">
        <v>71</v>
      </c>
      <c r="Q136" s="564"/>
      <c r="R136" s="564"/>
      <c r="S136" s="564"/>
      <c r="T136" s="564"/>
      <c r="U136" s="564"/>
      <c r="V136" s="565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3" t="s">
        <v>71</v>
      </c>
      <c r="Q137" s="564"/>
      <c r="R137" s="564"/>
      <c r="S137" s="564"/>
      <c r="T137" s="564"/>
      <c r="U137" s="564"/>
      <c r="V137" s="565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customHeight="1" x14ac:dyDescent="0.25">
      <c r="A139" s="560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0">
        <v>4680115886810</v>
      </c>
      <c r="E142" s="551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72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3" t="s">
        <v>71</v>
      </c>
      <c r="Q143" s="564"/>
      <c r="R143" s="564"/>
      <c r="S143" s="564"/>
      <c r="T143" s="564"/>
      <c r="U143" s="564"/>
      <c r="V143" s="565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3" t="s">
        <v>71</v>
      </c>
      <c r="Q144" s="564"/>
      <c r="R144" s="564"/>
      <c r="S144" s="564"/>
      <c r="T144" s="564"/>
      <c r="U144" s="564"/>
      <c r="V144" s="565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customHeight="1" x14ac:dyDescent="0.25">
      <c r="A145" s="560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9"/>
      <c r="AB145" s="539"/>
      <c r="AC145" s="539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0">
        <v>4607091387667</v>
      </c>
      <c r="E146" s="551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4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0">
        <v>4607091387636</v>
      </c>
      <c r="E147" s="551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0">
        <v>4607091382426</v>
      </c>
      <c r="E148" s="551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3" t="s">
        <v>71</v>
      </c>
      <c r="Q149" s="564"/>
      <c r="R149" s="564"/>
      <c r="S149" s="564"/>
      <c r="T149" s="564"/>
      <c r="U149" s="564"/>
      <c r="V149" s="565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3" t="s">
        <v>71</v>
      </c>
      <c r="Q150" s="564"/>
      <c r="R150" s="564"/>
      <c r="S150" s="564"/>
      <c r="T150" s="564"/>
      <c r="U150" s="564"/>
      <c r="V150" s="565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60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9"/>
      <c r="AB151" s="539"/>
      <c r="AC151" s="539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0">
        <v>4680115887459</v>
      </c>
      <c r="E152" s="551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2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3" t="s">
        <v>71</v>
      </c>
      <c r="Q153" s="564"/>
      <c r="R153" s="564"/>
      <c r="S153" s="564"/>
      <c r="T153" s="564"/>
      <c r="U153" s="564"/>
      <c r="V153" s="565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3" t="s">
        <v>71</v>
      </c>
      <c r="Q154" s="564"/>
      <c r="R154" s="564"/>
      <c r="S154" s="564"/>
      <c r="T154" s="564"/>
      <c r="U154" s="564"/>
      <c r="V154" s="565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567" t="s">
        <v>255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customHeight="1" x14ac:dyDescent="0.25">
      <c r="A157" s="560" t="s">
        <v>136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9"/>
      <c r="AB157" s="539"/>
      <c r="AC157" s="539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0">
        <v>4680115886223</v>
      </c>
      <c r="E158" s="551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3" t="s">
        <v>71</v>
      </c>
      <c r="Q159" s="564"/>
      <c r="R159" s="564"/>
      <c r="S159" s="564"/>
      <c r="T159" s="564"/>
      <c r="U159" s="564"/>
      <c r="V159" s="565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3" t="s">
        <v>71</v>
      </c>
      <c r="Q160" s="564"/>
      <c r="R160" s="564"/>
      <c r="S160" s="564"/>
      <c r="T160" s="564"/>
      <c r="U160" s="564"/>
      <c r="V160" s="565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60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9"/>
      <c r="AB161" s="539"/>
      <c r="AC161" s="539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50">
        <v>4680115887213</v>
      </c>
      <c r="E162" s="551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3" t="s">
        <v>262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50">
        <v>4680115880993</v>
      </c>
      <c r="E163" s="551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50">
        <v>4680115881761</v>
      </c>
      <c r="E164" s="551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50">
        <v>4680115881563</v>
      </c>
      <c r="E165" s="551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50">
        <v>4680115880986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50">
        <v>4680115881785</v>
      </c>
      <c r="E167" s="55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50">
        <v>4680115886537</v>
      </c>
      <c r="E168" s="55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50">
        <v>4680115881679</v>
      </c>
      <c r="E169" s="55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50">
        <v>4680115880191</v>
      </c>
      <c r="E170" s="55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50">
        <v>4680115883963</v>
      </c>
      <c r="E171" s="55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3" t="s">
        <v>71</v>
      </c>
      <c r="Q172" s="564"/>
      <c r="R172" s="564"/>
      <c r="S172" s="564"/>
      <c r="T172" s="564"/>
      <c r="U172" s="564"/>
      <c r="V172" s="565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3" t="s">
        <v>71</v>
      </c>
      <c r="Q173" s="564"/>
      <c r="R173" s="564"/>
      <c r="S173" s="564"/>
      <c r="T173" s="564"/>
      <c r="U173" s="564"/>
      <c r="V173" s="565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customHeight="1" x14ac:dyDescent="0.25">
      <c r="A174" s="560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50">
        <v>4680115886780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50">
        <v>4680115886742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50">
        <v>4680115886766</v>
      </c>
      <c r="E177" s="55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3" t="s">
        <v>71</v>
      </c>
      <c r="Q178" s="564"/>
      <c r="R178" s="564"/>
      <c r="S178" s="564"/>
      <c r="T178" s="564"/>
      <c r="U178" s="564"/>
      <c r="V178" s="565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3" t="s">
        <v>71</v>
      </c>
      <c r="Q179" s="564"/>
      <c r="R179" s="564"/>
      <c r="S179" s="564"/>
      <c r="T179" s="564"/>
      <c r="U179" s="564"/>
      <c r="V179" s="565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60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50">
        <v>4680115886797</v>
      </c>
      <c r="E181" s="55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3" t="s">
        <v>71</v>
      </c>
      <c r="Q182" s="564"/>
      <c r="R182" s="564"/>
      <c r="S182" s="564"/>
      <c r="T182" s="564"/>
      <c r="U182" s="564"/>
      <c r="V182" s="565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3" t="s">
        <v>71</v>
      </c>
      <c r="Q183" s="564"/>
      <c r="R183" s="564"/>
      <c r="S183" s="564"/>
      <c r="T183" s="564"/>
      <c r="U183" s="564"/>
      <c r="V183" s="565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60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50">
        <v>4680115881402</v>
      </c>
      <c r="E186" s="551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50">
        <v>4680115881396</v>
      </c>
      <c r="E187" s="55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3" t="s">
        <v>71</v>
      </c>
      <c r="Q188" s="564"/>
      <c r="R188" s="564"/>
      <c r="S188" s="564"/>
      <c r="T188" s="564"/>
      <c r="U188" s="564"/>
      <c r="V188" s="565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3" t="s">
        <v>71</v>
      </c>
      <c r="Q189" s="564"/>
      <c r="R189" s="564"/>
      <c r="S189" s="564"/>
      <c r="T189" s="564"/>
      <c r="U189" s="564"/>
      <c r="V189" s="565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60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50">
        <v>4680115882935</v>
      </c>
      <c r="E191" s="551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50">
        <v>4680115880764</v>
      </c>
      <c r="E192" s="55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3" t="s">
        <v>71</v>
      </c>
      <c r="Q193" s="564"/>
      <c r="R193" s="564"/>
      <c r="S193" s="564"/>
      <c r="T193" s="564"/>
      <c r="U193" s="564"/>
      <c r="V193" s="565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3" t="s">
        <v>71</v>
      </c>
      <c r="Q194" s="564"/>
      <c r="R194" s="564"/>
      <c r="S194" s="564"/>
      <c r="T194" s="564"/>
      <c r="U194" s="564"/>
      <c r="V194" s="565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60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50">
        <v>4680115882683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50">
        <v>4680115882690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50">
        <v>4680115882669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50">
        <v>4680115882676</v>
      </c>
      <c r="E199" s="551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50">
        <v>4680115884014</v>
      </c>
      <c r="E200" s="55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50">
        <v>4680115884007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50">
        <v>4680115884038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50">
        <v>4680115884021</v>
      </c>
      <c r="E203" s="55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3" t="s">
        <v>71</v>
      </c>
      <c r="Q204" s="564"/>
      <c r="R204" s="564"/>
      <c r="S204" s="564"/>
      <c r="T204" s="564"/>
      <c r="U204" s="564"/>
      <c r="V204" s="565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3" t="s">
        <v>71</v>
      </c>
      <c r="Q205" s="564"/>
      <c r="R205" s="564"/>
      <c r="S205" s="564"/>
      <c r="T205" s="564"/>
      <c r="U205" s="564"/>
      <c r="V205" s="565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60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50">
        <v>4680115881594</v>
      </c>
      <c r="E207" s="551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50">
        <v>4680115881617</v>
      </c>
      <c r="E208" s="551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50">
        <v>4680115880573</v>
      </c>
      <c r="E209" s="551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50">
        <v>4680115882195</v>
      </c>
      <c r="E210" s="55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50">
        <v>4680115882607</v>
      </c>
      <c r="E211" s="55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50">
        <v>4680115880092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50">
        <v>4680115880221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50">
        <v>4680115880504</v>
      </c>
      <c r="E214" s="55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50">
        <v>4680115882164</v>
      </c>
      <c r="E215" s="55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3" t="s">
        <v>71</v>
      </c>
      <c r="Q216" s="564"/>
      <c r="R216" s="564"/>
      <c r="S216" s="564"/>
      <c r="T216" s="564"/>
      <c r="U216" s="564"/>
      <c r="V216" s="565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3" t="s">
        <v>71</v>
      </c>
      <c r="Q217" s="564"/>
      <c r="R217" s="564"/>
      <c r="S217" s="564"/>
      <c r="T217" s="564"/>
      <c r="U217" s="564"/>
      <c r="V217" s="565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customHeight="1" x14ac:dyDescent="0.25">
      <c r="A218" s="560" t="s">
        <v>164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50">
        <v>4680115880818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50">
        <v>4680115880801</v>
      </c>
      <c r="E220" s="55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3" t="s">
        <v>71</v>
      </c>
      <c r="Q221" s="564"/>
      <c r="R221" s="564"/>
      <c r="S221" s="564"/>
      <c r="T221" s="564"/>
      <c r="U221" s="564"/>
      <c r="V221" s="565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3" t="s">
        <v>71</v>
      </c>
      <c r="Q222" s="564"/>
      <c r="R222" s="564"/>
      <c r="S222" s="564"/>
      <c r="T222" s="564"/>
      <c r="U222" s="564"/>
      <c r="V222" s="565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60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50">
        <v>4680115884137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50">
        <v>4680115884236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50">
        <v>4680115884175</v>
      </c>
      <c r="E227" s="551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50">
        <v>4680115884144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50">
        <v>4680115886551</v>
      </c>
      <c r="E230" s="551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50">
        <v>4680115884182</v>
      </c>
      <c r="E231" s="551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50">
        <v>4680115887282</v>
      </c>
      <c r="E232" s="55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50">
        <v>4680115884205</v>
      </c>
      <c r="E234" s="551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3" t="s">
        <v>71</v>
      </c>
      <c r="Q235" s="564"/>
      <c r="R235" s="564"/>
      <c r="S235" s="564"/>
      <c r="T235" s="564"/>
      <c r="U235" s="564"/>
      <c r="V235" s="565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3" t="s">
        <v>71</v>
      </c>
      <c r="Q236" s="564"/>
      <c r="R236" s="564"/>
      <c r="S236" s="564"/>
      <c r="T236" s="564"/>
      <c r="U236" s="564"/>
      <c r="V236" s="565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60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50">
        <v>4680115885981</v>
      </c>
      <c r="E238" s="55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3" t="s">
        <v>71</v>
      </c>
      <c r="Q239" s="564"/>
      <c r="R239" s="564"/>
      <c r="S239" s="564"/>
      <c r="T239" s="564"/>
      <c r="U239" s="564"/>
      <c r="V239" s="565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3" t="s">
        <v>71</v>
      </c>
      <c r="Q240" s="564"/>
      <c r="R240" s="564"/>
      <c r="S240" s="564"/>
      <c r="T240" s="564"/>
      <c r="U240" s="564"/>
      <c r="V240" s="565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60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50">
        <v>4680115886803</v>
      </c>
      <c r="E242" s="55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3" t="s">
        <v>71</v>
      </c>
      <c r="Q243" s="564"/>
      <c r="R243" s="564"/>
      <c r="S243" s="564"/>
      <c r="T243" s="564"/>
      <c r="U243" s="564"/>
      <c r="V243" s="565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3" t="s">
        <v>71</v>
      </c>
      <c r="Q244" s="564"/>
      <c r="R244" s="564"/>
      <c r="S244" s="564"/>
      <c r="T244" s="564"/>
      <c r="U244" s="564"/>
      <c r="V244" s="565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60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50">
        <v>4680115886704</v>
      </c>
      <c r="E246" s="55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50">
        <v>4680115886681</v>
      </c>
      <c r="E247" s="55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0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50">
        <v>4680115886735</v>
      </c>
      <c r="E248" s="55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50">
        <v>4680115886728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50">
        <v>4680115886711</v>
      </c>
      <c r="E250" s="55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3" t="s">
        <v>71</v>
      </c>
      <c r="Q251" s="564"/>
      <c r="R251" s="564"/>
      <c r="S251" s="564"/>
      <c r="T251" s="564"/>
      <c r="U251" s="564"/>
      <c r="V251" s="565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3" t="s">
        <v>71</v>
      </c>
      <c r="Q252" s="564"/>
      <c r="R252" s="564"/>
      <c r="S252" s="564"/>
      <c r="T252" s="564"/>
      <c r="U252" s="564"/>
      <c r="V252" s="565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60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50">
        <v>4680115885837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50">
        <v>4680115885851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50">
        <v>4680115885806</v>
      </c>
      <c r="E257" s="551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50">
        <v>4680115885844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50">
        <v>4680115885820</v>
      </c>
      <c r="E259" s="551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3" t="s">
        <v>71</v>
      </c>
      <c r="Q260" s="564"/>
      <c r="R260" s="564"/>
      <c r="S260" s="564"/>
      <c r="T260" s="564"/>
      <c r="U260" s="564"/>
      <c r="V260" s="565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3" t="s">
        <v>71</v>
      </c>
      <c r="Q261" s="564"/>
      <c r="R261" s="564"/>
      <c r="S261" s="564"/>
      <c r="T261" s="564"/>
      <c r="U261" s="564"/>
      <c r="V261" s="565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60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50">
        <v>4607091383423</v>
      </c>
      <c r="E264" s="551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50">
        <v>4680115886957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50">
        <v>4680115885660</v>
      </c>
      <c r="E266" s="551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50">
        <v>4680115886773</v>
      </c>
      <c r="E267" s="551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3" t="s">
        <v>71</v>
      </c>
      <c r="Q268" s="564"/>
      <c r="R268" s="564"/>
      <c r="S268" s="564"/>
      <c r="T268" s="564"/>
      <c r="U268" s="564"/>
      <c r="V268" s="565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3" t="s">
        <v>71</v>
      </c>
      <c r="Q269" s="564"/>
      <c r="R269" s="564"/>
      <c r="S269" s="564"/>
      <c r="T269" s="564"/>
      <c r="U269" s="564"/>
      <c r="V269" s="565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60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50">
        <v>4680115886186</v>
      </c>
      <c r="E272" s="55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50">
        <v>4680115881228</v>
      </c>
      <c r="E273" s="55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50">
        <v>4680115881211</v>
      </c>
      <c r="E274" s="55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3" t="s">
        <v>71</v>
      </c>
      <c r="Q275" s="564"/>
      <c r="R275" s="564"/>
      <c r="S275" s="564"/>
      <c r="T275" s="564"/>
      <c r="U275" s="564"/>
      <c r="V275" s="565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3" t="s">
        <v>71</v>
      </c>
      <c r="Q276" s="564"/>
      <c r="R276" s="564"/>
      <c r="S276" s="564"/>
      <c r="T276" s="564"/>
      <c r="U276" s="564"/>
      <c r="V276" s="565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60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50">
        <v>4680115880344</v>
      </c>
      <c r="E279" s="55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50">
        <v>4680115886919</v>
      </c>
      <c r="E280" s="55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3" t="s">
        <v>71</v>
      </c>
      <c r="Q281" s="564"/>
      <c r="R281" s="564"/>
      <c r="S281" s="564"/>
      <c r="T281" s="564"/>
      <c r="U281" s="564"/>
      <c r="V281" s="565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3" t="s">
        <v>71</v>
      </c>
      <c r="Q282" s="564"/>
      <c r="R282" s="564"/>
      <c r="S282" s="564"/>
      <c r="T282" s="564"/>
      <c r="U282" s="564"/>
      <c r="V282" s="565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60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8" t="s">
        <v>448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50">
        <v>4680115884618</v>
      </c>
      <c r="E285" s="551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3" t="s">
        <v>71</v>
      </c>
      <c r="Q286" s="564"/>
      <c r="R286" s="564"/>
      <c r="S286" s="564"/>
      <c r="T286" s="564"/>
      <c r="U286" s="564"/>
      <c r="V286" s="565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3" t="s">
        <v>71</v>
      </c>
      <c r="Q287" s="564"/>
      <c r="R287" s="564"/>
      <c r="S287" s="564"/>
      <c r="T287" s="564"/>
      <c r="U287" s="564"/>
      <c r="V287" s="565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customHeight="1" x14ac:dyDescent="0.25">
      <c r="A289" s="560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9"/>
      <c r="AB289" s="539"/>
      <c r="AC289" s="539"/>
    </row>
    <row r="290" spans="1:68" ht="27" customHeight="1" x14ac:dyDescent="0.25">
      <c r="A290" s="54" t="s">
        <v>454</v>
      </c>
      <c r="B290" s="54" t="s">
        <v>455</v>
      </c>
      <c r="C290" s="31">
        <v>4301012126</v>
      </c>
      <c r="D290" s="550">
        <v>4607091386004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50">
        <v>4680115885615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460</v>
      </c>
      <c r="B292" s="54" t="s">
        <v>461</v>
      </c>
      <c r="C292" s="31">
        <v>4301011858</v>
      </c>
      <c r="D292" s="550">
        <v>4680115885646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50">
        <v>4680115885554</v>
      </c>
      <c r="E293" s="551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50">
        <v>4680115885622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50">
        <v>4680115885608</v>
      </c>
      <c r="E295" s="551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3" t="s">
        <v>71</v>
      </c>
      <c r="Q296" s="564"/>
      <c r="R296" s="564"/>
      <c r="S296" s="564"/>
      <c r="T296" s="564"/>
      <c r="U296" s="564"/>
      <c r="V296" s="565"/>
      <c r="W296" s="37" t="s">
        <v>72</v>
      </c>
      <c r="X296" s="545">
        <f>IFERROR(X290/H290,"0")+IFERROR(X291/H291,"0")+IFERROR(X292/H292,"0")+IFERROR(X293/H293,"0")+IFERROR(X294/H294,"0")+IFERROR(X295/H295,"0")</f>
        <v>0</v>
      </c>
      <c r="Y296" s="545">
        <f>IFERROR(Y290/H290,"0")+IFERROR(Y291/H291,"0")+IFERROR(Y292/H292,"0")+IFERROR(Y293/H293,"0")+IFERROR(Y294/H294,"0")+IFERROR(Y295/H295,"0")</f>
        <v>0</v>
      </c>
      <c r="Z296" s="545">
        <f>IFERROR(IF(Z290="",0,Z290),"0")+IFERROR(IF(Z291="",0,Z291),"0")+IFERROR(IF(Z292="",0,Z292),"0")+IFERROR(IF(Z293="",0,Z293),"0")+IFERROR(IF(Z294="",0,Z294),"0")+IFERROR(IF(Z295="",0,Z295),"0")</f>
        <v>0</v>
      </c>
      <c r="AA296" s="546"/>
      <c r="AB296" s="546"/>
      <c r="AC296" s="546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63" t="s">
        <v>71</v>
      </c>
      <c r="Q297" s="564"/>
      <c r="R297" s="564"/>
      <c r="S297" s="564"/>
      <c r="T297" s="564"/>
      <c r="U297" s="564"/>
      <c r="V297" s="565"/>
      <c r="W297" s="37" t="s">
        <v>69</v>
      </c>
      <c r="X297" s="545">
        <f>IFERROR(SUM(X290:X295),"0")</f>
        <v>0</v>
      </c>
      <c r="Y297" s="545">
        <f>IFERROR(SUM(Y290:Y295),"0")</f>
        <v>0</v>
      </c>
      <c r="Z297" s="37"/>
      <c r="AA297" s="546"/>
      <c r="AB297" s="546"/>
      <c r="AC297" s="546"/>
    </row>
    <row r="298" spans="1:68" ht="14.25" customHeight="1" x14ac:dyDescent="0.25">
      <c r="A298" s="560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50">
        <v>4607091387193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0</v>
      </c>
      <c r="Y299" s="544">
        <f t="shared" ref="Y299:Y305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0</v>
      </c>
      <c r="BN299" s="64">
        <f t="shared" ref="BN299:BN305" si="33">IFERROR(Y299*I299/H299,"0")</f>
        <v>0</v>
      </c>
      <c r="BO299" s="64">
        <f t="shared" ref="BO299:BO305" si="34">IFERROR(1/J299*(X299/H299),"0")</f>
        <v>0</v>
      </c>
      <c r="BP299" s="64">
        <f t="shared" ref="BP299:BP305" si="35">IFERROR(1/J299*(Y299/H299),"0")</f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50">
        <v>4607091387230</v>
      </c>
      <c r="E300" s="551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4301031154</v>
      </c>
      <c r="D301" s="550">
        <v>4607091387292</v>
      </c>
      <c r="E301" s="551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50">
        <v>4607091387285</v>
      </c>
      <c r="E302" s="551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50">
        <v>4607091389845</v>
      </c>
      <c r="E303" s="551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4301031306</v>
      </c>
      <c r="D304" s="550">
        <v>4680115882881</v>
      </c>
      <c r="E304" s="551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4301031066</v>
      </c>
      <c r="D305" s="550">
        <v>4607091383836</v>
      </c>
      <c r="E305" s="551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3" t="s">
        <v>71</v>
      </c>
      <c r="Q306" s="564"/>
      <c r="R306" s="564"/>
      <c r="S306" s="564"/>
      <c r="T306" s="564"/>
      <c r="U306" s="564"/>
      <c r="V306" s="565"/>
      <c r="W306" s="37" t="s">
        <v>72</v>
      </c>
      <c r="X306" s="545">
        <f>IFERROR(X299/H299,"0")+IFERROR(X300/H300,"0")+IFERROR(X301/H301,"0")+IFERROR(X302/H302,"0")+IFERROR(X303/H303,"0")+IFERROR(X304/H304,"0")+IFERROR(X305/H305,"0")</f>
        <v>0</v>
      </c>
      <c r="Y306" s="545">
        <f>IFERROR(Y299/H299,"0")+IFERROR(Y300/H300,"0")+IFERROR(Y301/H301,"0")+IFERROR(Y302/H302,"0")+IFERROR(Y303/H303,"0")+IFERROR(Y304/H304,"0")+IFERROR(Y305/H305,"0")</f>
        <v>0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63" t="s">
        <v>71</v>
      </c>
      <c r="Q307" s="564"/>
      <c r="R307" s="564"/>
      <c r="S307" s="564"/>
      <c r="T307" s="564"/>
      <c r="U307" s="564"/>
      <c r="V307" s="565"/>
      <c r="W307" s="37" t="s">
        <v>69</v>
      </c>
      <c r="X307" s="545">
        <f>IFERROR(SUM(X299:X305),"0")</f>
        <v>0</v>
      </c>
      <c r="Y307" s="545">
        <f>IFERROR(SUM(Y299:Y305),"0")</f>
        <v>0</v>
      </c>
      <c r="Z307" s="37"/>
      <c r="AA307" s="546"/>
      <c r="AB307" s="546"/>
      <c r="AC307" s="546"/>
    </row>
    <row r="308" spans="1:68" ht="14.25" customHeight="1" x14ac:dyDescent="0.25">
      <c r="A308" s="560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50">
        <v>4607091387766</v>
      </c>
      <c r="E309" s="551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4301051818</v>
      </c>
      <c r="D310" s="550">
        <v>4607091387957</v>
      </c>
      <c r="E310" s="551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4301051819</v>
      </c>
      <c r="D311" s="550">
        <v>4607091387964</v>
      </c>
      <c r="E311" s="551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499</v>
      </c>
      <c r="B312" s="54" t="s">
        <v>500</v>
      </c>
      <c r="C312" s="31">
        <v>4301051734</v>
      </c>
      <c r="D312" s="550">
        <v>4680115884588</v>
      </c>
      <c r="E312" s="551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48"/>
      <c r="R312" s="548"/>
      <c r="S312" s="548"/>
      <c r="T312" s="549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3" t="s">
        <v>71</v>
      </c>
      <c r="Q313" s="564"/>
      <c r="R313" s="564"/>
      <c r="S313" s="564"/>
      <c r="T313" s="564"/>
      <c r="U313" s="564"/>
      <c r="V313" s="565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63" t="s">
        <v>71</v>
      </c>
      <c r="Q314" s="564"/>
      <c r="R314" s="564"/>
      <c r="S314" s="564"/>
      <c r="T314" s="564"/>
      <c r="U314" s="564"/>
      <c r="V314" s="565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customHeight="1" x14ac:dyDescent="0.25">
      <c r="A315" s="560" t="s">
        <v>164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50">
        <v>4607091380880</v>
      </c>
      <c r="E316" s="551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50">
        <v>4607091384482</v>
      </c>
      <c r="E317" s="551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50">
        <v>4607091380897</v>
      </c>
      <c r="E318" s="551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48"/>
      <c r="R318" s="548"/>
      <c r="S318" s="548"/>
      <c r="T318" s="549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3" t="s">
        <v>71</v>
      </c>
      <c r="Q319" s="564"/>
      <c r="R319" s="564"/>
      <c r="S319" s="564"/>
      <c r="T319" s="564"/>
      <c r="U319" s="564"/>
      <c r="V319" s="565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63" t="s">
        <v>71</v>
      </c>
      <c r="Q320" s="564"/>
      <c r="R320" s="564"/>
      <c r="S320" s="564"/>
      <c r="T320" s="564"/>
      <c r="U320" s="564"/>
      <c r="V320" s="565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customHeight="1" x14ac:dyDescent="0.25">
      <c r="A321" s="560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511</v>
      </c>
      <c r="B322" s="54" t="s">
        <v>512</v>
      </c>
      <c r="C322" s="31">
        <v>4301030235</v>
      </c>
      <c r="D322" s="550">
        <v>4607091388381</v>
      </c>
      <c r="E322" s="551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4301030232</v>
      </c>
      <c r="D323" s="550">
        <v>4607091388374</v>
      </c>
      <c r="E323" s="551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3" t="s">
        <v>516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4301032015</v>
      </c>
      <c r="D324" s="550">
        <v>4607091383102</v>
      </c>
      <c r="E324" s="55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520</v>
      </c>
      <c r="B325" s="54" t="s">
        <v>521</v>
      </c>
      <c r="C325" s="31">
        <v>4301030233</v>
      </c>
      <c r="D325" s="550">
        <v>4607091388404</v>
      </c>
      <c r="E325" s="55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48"/>
      <c r="R325" s="548"/>
      <c r="S325" s="548"/>
      <c r="T325" s="549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3" t="s">
        <v>71</v>
      </c>
      <c r="Q326" s="564"/>
      <c r="R326" s="564"/>
      <c r="S326" s="564"/>
      <c r="T326" s="564"/>
      <c r="U326" s="564"/>
      <c r="V326" s="565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63" t="s">
        <v>71</v>
      </c>
      <c r="Q327" s="564"/>
      <c r="R327" s="564"/>
      <c r="S327" s="564"/>
      <c r="T327" s="564"/>
      <c r="U327" s="564"/>
      <c r="V327" s="565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60" t="s">
        <v>522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523</v>
      </c>
      <c r="B329" s="54" t="s">
        <v>524</v>
      </c>
      <c r="C329" s="31">
        <v>4301180007</v>
      </c>
      <c r="D329" s="550">
        <v>4680115881808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4301180006</v>
      </c>
      <c r="D330" s="550">
        <v>4680115881822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7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529</v>
      </c>
      <c r="B331" s="54" t="s">
        <v>530</v>
      </c>
      <c r="C331" s="31">
        <v>4301180001</v>
      </c>
      <c r="D331" s="550">
        <v>4680115880016</v>
      </c>
      <c r="E331" s="55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48"/>
      <c r="R331" s="548"/>
      <c r="S331" s="548"/>
      <c r="T331" s="549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3" t="s">
        <v>71</v>
      </c>
      <c r="Q332" s="564"/>
      <c r="R332" s="564"/>
      <c r="S332" s="564"/>
      <c r="T332" s="564"/>
      <c r="U332" s="564"/>
      <c r="V332" s="565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63" t="s">
        <v>71</v>
      </c>
      <c r="Q333" s="564"/>
      <c r="R333" s="564"/>
      <c r="S333" s="564"/>
      <c r="T333" s="564"/>
      <c r="U333" s="564"/>
      <c r="V333" s="565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531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60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50">
        <v>4607091387919</v>
      </c>
      <c r="E336" s="551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50">
        <v>4680115883604</v>
      </c>
      <c r="E337" s="55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50">
        <v>4680115883567</v>
      </c>
      <c r="E338" s="55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48"/>
      <c r="R338" s="548"/>
      <c r="S338" s="548"/>
      <c r="T338" s="549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3" t="s">
        <v>71</v>
      </c>
      <c r="Q339" s="564"/>
      <c r="R339" s="564"/>
      <c r="S339" s="564"/>
      <c r="T339" s="564"/>
      <c r="U339" s="564"/>
      <c r="V339" s="565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63" t="s">
        <v>71</v>
      </c>
      <c r="Q340" s="564"/>
      <c r="R340" s="564"/>
      <c r="S340" s="564"/>
      <c r="T340" s="564"/>
      <c r="U340" s="564"/>
      <c r="V340" s="565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customHeight="1" x14ac:dyDescent="0.2">
      <c r="A341" s="567" t="s">
        <v>541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48"/>
      <c r="AB341" s="48"/>
      <c r="AC341" s="48"/>
    </row>
    <row r="342" spans="1:68" ht="16.5" customHeight="1" x14ac:dyDescent="0.25">
      <c r="A342" s="559" t="s">
        <v>542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60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50">
        <v>4680115884847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50">
        <v>4680115884854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650</v>
      </c>
      <c r="Y345" s="544">
        <f t="shared" si="36"/>
        <v>660</v>
      </c>
      <c r="Z345" s="36">
        <f>IFERROR(IF(Y345=0,"",ROUNDUP(Y345/H345,0)*0.02175),"")</f>
        <v>0.95699999999999996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670.36666666666667</v>
      </c>
      <c r="BN345" s="64">
        <f t="shared" si="38"/>
        <v>680.68000000000006</v>
      </c>
      <c r="BO345" s="64">
        <f t="shared" si="39"/>
        <v>0.90277777777777779</v>
      </c>
      <c r="BP345" s="64">
        <f t="shared" si="40"/>
        <v>0.91666666666666663</v>
      </c>
    </row>
    <row r="346" spans="1:68" ht="37.5" customHeight="1" x14ac:dyDescent="0.25">
      <c r="A346" s="54" t="s">
        <v>549</v>
      </c>
      <c r="B346" s="54" t="s">
        <v>550</v>
      </c>
      <c r="C346" s="31">
        <v>4301011867</v>
      </c>
      <c r="D346" s="550">
        <v>4680115884830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50">
        <v>4680115887046</v>
      </c>
      <c r="E347" s="551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5" t="s">
        <v>554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1000</v>
      </c>
      <c r="Y347" s="544">
        <f t="shared" si="36"/>
        <v>1005</v>
      </c>
      <c r="Z347" s="36">
        <f>IFERROR(IF(Y347=0,"",ROUNDUP(Y347/H347,0)*0.02175),"")</f>
        <v>1.4572499999999999</v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1031.3333333333333</v>
      </c>
      <c r="BN347" s="64">
        <f t="shared" si="38"/>
        <v>1036.49</v>
      </c>
      <c r="BO347" s="64">
        <f t="shared" si="39"/>
        <v>1.3888888888888888</v>
      </c>
      <c r="BP347" s="64">
        <f t="shared" si="40"/>
        <v>1.3958333333333333</v>
      </c>
    </row>
    <row r="348" spans="1:68" ht="27" customHeight="1" x14ac:dyDescent="0.25">
      <c r="A348" s="54" t="s">
        <v>556</v>
      </c>
      <c r="B348" s="54" t="s">
        <v>557</v>
      </c>
      <c r="C348" s="31">
        <v>4301011433</v>
      </c>
      <c r="D348" s="550">
        <v>4680115882638</v>
      </c>
      <c r="E348" s="551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4301011952</v>
      </c>
      <c r="D349" s="550">
        <v>4680115884922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561</v>
      </c>
      <c r="B350" s="54" t="s">
        <v>562</v>
      </c>
      <c r="C350" s="31">
        <v>4301011868</v>
      </c>
      <c r="D350" s="550">
        <v>4680115884861</v>
      </c>
      <c r="E350" s="551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48"/>
      <c r="R350" s="548"/>
      <c r="S350" s="548"/>
      <c r="T350" s="549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3" t="s">
        <v>71</v>
      </c>
      <c r="Q351" s="564"/>
      <c r="R351" s="564"/>
      <c r="S351" s="564"/>
      <c r="T351" s="564"/>
      <c r="U351" s="564"/>
      <c r="V351" s="565"/>
      <c r="W351" s="37" t="s">
        <v>72</v>
      </c>
      <c r="X351" s="545">
        <f>IFERROR(X344/H344,"0")+IFERROR(X345/H345,"0")+IFERROR(X346/H346,"0")+IFERROR(X347/H347,"0")+IFERROR(X348/H348,"0")+IFERROR(X349/H349,"0")+IFERROR(X350/H350,"0")</f>
        <v>110</v>
      </c>
      <c r="Y351" s="545">
        <f>IFERROR(Y344/H344,"0")+IFERROR(Y345/H345,"0")+IFERROR(Y346/H346,"0")+IFERROR(Y347/H347,"0")+IFERROR(Y348/H348,"0")+IFERROR(Y349/H349,"0")+IFERROR(Y350/H350,"0")</f>
        <v>111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2.41425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63" t="s">
        <v>71</v>
      </c>
      <c r="Q352" s="564"/>
      <c r="R352" s="564"/>
      <c r="S352" s="564"/>
      <c r="T352" s="564"/>
      <c r="U352" s="564"/>
      <c r="V352" s="565"/>
      <c r="W352" s="37" t="s">
        <v>69</v>
      </c>
      <c r="X352" s="545">
        <f>IFERROR(SUM(X344:X350),"0")</f>
        <v>1650</v>
      </c>
      <c r="Y352" s="545">
        <f>IFERROR(SUM(Y344:Y350),"0")</f>
        <v>1665</v>
      </c>
      <c r="Z352" s="37"/>
      <c r="AA352" s="546"/>
      <c r="AB352" s="546"/>
      <c r="AC352" s="546"/>
    </row>
    <row r="353" spans="1:68" ht="14.25" customHeight="1" x14ac:dyDescent="0.25">
      <c r="A353" s="560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50">
        <v>4607091383980</v>
      </c>
      <c r="E354" s="551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650</v>
      </c>
      <c r="Y354" s="544">
        <f>IFERROR(IF(X354="",0,CEILING((X354/$H354),1)*$H354),"")</f>
        <v>660</v>
      </c>
      <c r="Z354" s="36">
        <f>IFERROR(IF(Y354=0,"",ROUNDUP(Y354/H354,0)*0.02175),"")</f>
        <v>0.95699999999999996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670.36666666666667</v>
      </c>
      <c r="BN354" s="64">
        <f>IFERROR(Y354*I354/H354,"0")</f>
        <v>680.68000000000006</v>
      </c>
      <c r="BO354" s="64">
        <f>IFERROR(1/J354*(X354/H354),"0")</f>
        <v>0.90277777777777779</v>
      </c>
      <c r="BP354" s="64">
        <f>IFERROR(1/J354*(Y354/H354),"0")</f>
        <v>0.91666666666666663</v>
      </c>
    </row>
    <row r="355" spans="1:68" ht="16.5" customHeight="1" x14ac:dyDescent="0.25">
      <c r="A355" s="54" t="s">
        <v>566</v>
      </c>
      <c r="B355" s="54" t="s">
        <v>567</v>
      </c>
      <c r="C355" s="31">
        <v>4301020179</v>
      </c>
      <c r="D355" s="550">
        <v>4607091384178</v>
      </c>
      <c r="E355" s="551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48"/>
      <c r="R355" s="548"/>
      <c r="S355" s="548"/>
      <c r="T355" s="549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3" t="s">
        <v>71</v>
      </c>
      <c r="Q356" s="564"/>
      <c r="R356" s="564"/>
      <c r="S356" s="564"/>
      <c r="T356" s="564"/>
      <c r="U356" s="564"/>
      <c r="V356" s="565"/>
      <c r="W356" s="37" t="s">
        <v>72</v>
      </c>
      <c r="X356" s="545">
        <f>IFERROR(X354/H354,"0")+IFERROR(X355/H355,"0")</f>
        <v>43.333333333333336</v>
      </c>
      <c r="Y356" s="545">
        <f>IFERROR(Y354/H354,"0")+IFERROR(Y355/H355,"0")</f>
        <v>44</v>
      </c>
      <c r="Z356" s="545">
        <f>IFERROR(IF(Z354="",0,Z354),"0")+IFERROR(IF(Z355="",0,Z355),"0")</f>
        <v>0.95699999999999996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63" t="s">
        <v>71</v>
      </c>
      <c r="Q357" s="564"/>
      <c r="R357" s="564"/>
      <c r="S357" s="564"/>
      <c r="T357" s="564"/>
      <c r="U357" s="564"/>
      <c r="V357" s="565"/>
      <c r="W357" s="37" t="s">
        <v>69</v>
      </c>
      <c r="X357" s="545">
        <f>IFERROR(SUM(X354:X355),"0")</f>
        <v>650</v>
      </c>
      <c r="Y357" s="545">
        <f>IFERROR(SUM(Y354:Y355),"0")</f>
        <v>660</v>
      </c>
      <c r="Z357" s="37"/>
      <c r="AA357" s="546"/>
      <c r="AB357" s="546"/>
      <c r="AC357" s="546"/>
    </row>
    <row r="358" spans="1:68" ht="14.25" customHeight="1" x14ac:dyDescent="0.25">
      <c r="A358" s="560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568</v>
      </c>
      <c r="B359" s="54" t="s">
        <v>569</v>
      </c>
      <c r="C359" s="31">
        <v>4301051903</v>
      </c>
      <c r="D359" s="550">
        <v>4607091383928</v>
      </c>
      <c r="E359" s="551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571</v>
      </c>
      <c r="B360" s="54" t="s">
        <v>572</v>
      </c>
      <c r="C360" s="31">
        <v>4301051897</v>
      </c>
      <c r="D360" s="550">
        <v>4607091384260</v>
      </c>
      <c r="E360" s="551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48"/>
      <c r="R360" s="548"/>
      <c r="S360" s="548"/>
      <c r="T360" s="549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3" t="s">
        <v>71</v>
      </c>
      <c r="Q361" s="564"/>
      <c r="R361" s="564"/>
      <c r="S361" s="564"/>
      <c r="T361" s="564"/>
      <c r="U361" s="564"/>
      <c r="V361" s="565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63" t="s">
        <v>71</v>
      </c>
      <c r="Q362" s="564"/>
      <c r="R362" s="564"/>
      <c r="S362" s="564"/>
      <c r="T362" s="564"/>
      <c r="U362" s="564"/>
      <c r="V362" s="565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60" t="s">
        <v>164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574</v>
      </c>
      <c r="B364" s="54" t="s">
        <v>575</v>
      </c>
      <c r="C364" s="31">
        <v>4301060524</v>
      </c>
      <c r="D364" s="550">
        <v>4607091384673</v>
      </c>
      <c r="E364" s="551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48"/>
      <c r="R364" s="548"/>
      <c r="S364" s="548"/>
      <c r="T364" s="549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3" t="s">
        <v>71</v>
      </c>
      <c r="Q365" s="564"/>
      <c r="R365" s="564"/>
      <c r="S365" s="564"/>
      <c r="T365" s="564"/>
      <c r="U365" s="564"/>
      <c r="V365" s="565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63" t="s">
        <v>71</v>
      </c>
      <c r="Q366" s="564"/>
      <c r="R366" s="564"/>
      <c r="S366" s="564"/>
      <c r="T366" s="564"/>
      <c r="U366" s="564"/>
      <c r="V366" s="565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60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578</v>
      </c>
      <c r="B369" s="54" t="s">
        <v>579</v>
      </c>
      <c r="C369" s="31">
        <v>4301011875</v>
      </c>
      <c r="D369" s="550">
        <v>4680115884885</v>
      </c>
      <c r="E369" s="551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581</v>
      </c>
      <c r="B370" s="54" t="s">
        <v>582</v>
      </c>
      <c r="C370" s="31">
        <v>4301011871</v>
      </c>
      <c r="D370" s="550">
        <v>4680115884908</v>
      </c>
      <c r="E370" s="551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48"/>
      <c r="R370" s="548"/>
      <c r="S370" s="548"/>
      <c r="T370" s="549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3" t="s">
        <v>71</v>
      </c>
      <c r="Q371" s="564"/>
      <c r="R371" s="564"/>
      <c r="S371" s="564"/>
      <c r="T371" s="564"/>
      <c r="U371" s="564"/>
      <c r="V371" s="565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63" t="s">
        <v>71</v>
      </c>
      <c r="Q372" s="564"/>
      <c r="R372" s="564"/>
      <c r="S372" s="564"/>
      <c r="T372" s="564"/>
      <c r="U372" s="564"/>
      <c r="V372" s="565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60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583</v>
      </c>
      <c r="B374" s="54" t="s">
        <v>584</v>
      </c>
      <c r="C374" s="31">
        <v>4301031303</v>
      </c>
      <c r="D374" s="550">
        <v>4607091384802</v>
      </c>
      <c r="E374" s="551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583</v>
      </c>
      <c r="B375" s="54" t="s">
        <v>586</v>
      </c>
      <c r="C375" s="31">
        <v>4301031457</v>
      </c>
      <c r="D375" s="550">
        <v>4607091384802</v>
      </c>
      <c r="E375" s="551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48"/>
      <c r="R375" s="548"/>
      <c r="S375" s="548"/>
      <c r="T375" s="549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3" t="s">
        <v>71</v>
      </c>
      <c r="Q376" s="564"/>
      <c r="R376" s="564"/>
      <c r="S376" s="564"/>
      <c r="T376" s="564"/>
      <c r="U376" s="564"/>
      <c r="V376" s="565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63" t="s">
        <v>71</v>
      </c>
      <c r="Q377" s="564"/>
      <c r="R377" s="564"/>
      <c r="S377" s="564"/>
      <c r="T377" s="564"/>
      <c r="U377" s="564"/>
      <c r="V377" s="565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60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50">
        <v>4607091384246</v>
      </c>
      <c r="E379" s="551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591</v>
      </c>
      <c r="B380" s="54" t="s">
        <v>592</v>
      </c>
      <c r="C380" s="31">
        <v>4301051660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3" t="s">
        <v>71</v>
      </c>
      <c r="Q381" s="564"/>
      <c r="R381" s="564"/>
      <c r="S381" s="564"/>
      <c r="T381" s="564"/>
      <c r="U381" s="564"/>
      <c r="V381" s="565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63" t="s">
        <v>71</v>
      </c>
      <c r="Q382" s="564"/>
      <c r="R382" s="564"/>
      <c r="S382" s="564"/>
      <c r="T382" s="564"/>
      <c r="U382" s="564"/>
      <c r="V382" s="565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customHeight="1" x14ac:dyDescent="0.2">
      <c r="A383" s="567" t="s">
        <v>593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59" t="s">
        <v>594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60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608</v>
      </c>
      <c r="B391" s="54" t="s">
        <v>609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617</v>
      </c>
      <c r="B394" s="54" t="s">
        <v>618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3" t="s">
        <v>71</v>
      </c>
      <c r="Q395" s="564"/>
      <c r="R395" s="564"/>
      <c r="S395" s="564"/>
      <c r="T395" s="564"/>
      <c r="U395" s="564"/>
      <c r="V395" s="565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63" t="s">
        <v>71</v>
      </c>
      <c r="Q396" s="564"/>
      <c r="R396" s="564"/>
      <c r="S396" s="564"/>
      <c r="T396" s="564"/>
      <c r="U396" s="564"/>
      <c r="V396" s="565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customHeight="1" x14ac:dyDescent="0.25">
      <c r="A397" s="560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619</v>
      </c>
      <c r="B398" s="54" t="s">
        <v>620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622</v>
      </c>
      <c r="B399" s="54" t="s">
        <v>623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3" t="s">
        <v>71</v>
      </c>
      <c r="Q400" s="564"/>
      <c r="R400" s="564"/>
      <c r="S400" s="564"/>
      <c r="T400" s="564"/>
      <c r="U400" s="564"/>
      <c r="V400" s="565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63" t="s">
        <v>71</v>
      </c>
      <c r="Q401" s="564"/>
      <c r="R401" s="564"/>
      <c r="S401" s="564"/>
      <c r="T401" s="564"/>
      <c r="U401" s="564"/>
      <c r="V401" s="565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60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626</v>
      </c>
      <c r="B404" s="54" t="s">
        <v>627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3" t="s">
        <v>71</v>
      </c>
      <c r="Q405" s="564"/>
      <c r="R405" s="564"/>
      <c r="S405" s="564"/>
      <c r="T405" s="564"/>
      <c r="U405" s="564"/>
      <c r="V405" s="565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63" t="s">
        <v>71</v>
      </c>
      <c r="Q406" s="564"/>
      <c r="R406" s="564"/>
      <c r="S406" s="564"/>
      <c r="T406" s="564"/>
      <c r="U406" s="564"/>
      <c r="V406" s="565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60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629</v>
      </c>
      <c r="B408" s="54" t="s">
        <v>630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638</v>
      </c>
      <c r="B411" s="54" t="s">
        <v>639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3" t="s">
        <v>71</v>
      </c>
      <c r="Q412" s="564"/>
      <c r="R412" s="564"/>
      <c r="S412" s="564"/>
      <c r="T412" s="564"/>
      <c r="U412" s="564"/>
      <c r="V412" s="565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63" t="s">
        <v>71</v>
      </c>
      <c r="Q413" s="564"/>
      <c r="R413" s="564"/>
      <c r="S413" s="564"/>
      <c r="T413" s="564"/>
      <c r="U413" s="564"/>
      <c r="V413" s="565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640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60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641</v>
      </c>
      <c r="B416" s="54" t="s">
        <v>642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3" t="s">
        <v>71</v>
      </c>
      <c r="Q417" s="564"/>
      <c r="R417" s="564"/>
      <c r="S417" s="564"/>
      <c r="T417" s="564"/>
      <c r="U417" s="564"/>
      <c r="V417" s="565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63" t="s">
        <v>71</v>
      </c>
      <c r="Q418" s="564"/>
      <c r="R418" s="564"/>
      <c r="S418" s="564"/>
      <c r="T418" s="564"/>
      <c r="U418" s="564"/>
      <c r="V418" s="565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7" t="s">
        <v>644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59" t="s">
        <v>644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60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645</v>
      </c>
      <c r="B422" s="54" t="s">
        <v>646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4301011961</v>
      </c>
      <c r="D423" s="550">
        <v>4680115885271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50">
        <v>4680115885226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50">
        <v>4607091383522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656</v>
      </c>
      <c r="B426" s="54" t="s">
        <v>657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664</v>
      </c>
      <c r="B429" s="54" t="s">
        <v>665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3" t="s">
        <v>71</v>
      </c>
      <c r="Q433" s="564"/>
      <c r="R433" s="564"/>
      <c r="S433" s="564"/>
      <c r="T433" s="564"/>
      <c r="U433" s="564"/>
      <c r="V433" s="565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63" t="s">
        <v>71</v>
      </c>
      <c r="Q434" s="564"/>
      <c r="R434" s="564"/>
      <c r="S434" s="564"/>
      <c r="T434" s="564"/>
      <c r="U434" s="564"/>
      <c r="V434" s="565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customHeight="1" x14ac:dyDescent="0.25">
      <c r="A435" s="560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676</v>
      </c>
      <c r="B437" s="54" t="s">
        <v>677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678</v>
      </c>
      <c r="B438" s="54" t="s">
        <v>679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3" t="s">
        <v>71</v>
      </c>
      <c r="Q439" s="564"/>
      <c r="R439" s="564"/>
      <c r="S439" s="564"/>
      <c r="T439" s="564"/>
      <c r="U439" s="564"/>
      <c r="V439" s="565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63" t="s">
        <v>71</v>
      </c>
      <c r="Q440" s="564"/>
      <c r="R440" s="564"/>
      <c r="S440" s="564"/>
      <c r="T440" s="564"/>
      <c r="U440" s="564"/>
      <c r="V440" s="565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60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689</v>
      </c>
      <c r="B445" s="54" t="s">
        <v>690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691</v>
      </c>
      <c r="B446" s="54" t="s">
        <v>692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693</v>
      </c>
      <c r="B447" s="54" t="s">
        <v>694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3" t="s">
        <v>71</v>
      </c>
      <c r="Q448" s="564"/>
      <c r="R448" s="564"/>
      <c r="S448" s="564"/>
      <c r="T448" s="564"/>
      <c r="U448" s="564"/>
      <c r="V448" s="565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63" t="s">
        <v>71</v>
      </c>
      <c r="Q449" s="564"/>
      <c r="R449" s="564"/>
      <c r="S449" s="564"/>
      <c r="T449" s="564"/>
      <c r="U449" s="564"/>
      <c r="V449" s="565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customHeight="1" x14ac:dyDescent="0.25">
      <c r="A450" s="560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695</v>
      </c>
      <c r="B451" s="54" t="s">
        <v>696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698</v>
      </c>
      <c r="B452" s="54" t="s">
        <v>699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701</v>
      </c>
      <c r="B453" s="54" t="s">
        <v>702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3" t="s">
        <v>71</v>
      </c>
      <c r="Q454" s="564"/>
      <c r="R454" s="564"/>
      <c r="S454" s="564"/>
      <c r="T454" s="564"/>
      <c r="U454" s="564"/>
      <c r="V454" s="565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63" t="s">
        <v>71</v>
      </c>
      <c r="Q455" s="564"/>
      <c r="R455" s="564"/>
      <c r="S455" s="564"/>
      <c r="T455" s="564"/>
      <c r="U455" s="564"/>
      <c r="V455" s="565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7" t="s">
        <v>704</v>
      </c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68"/>
      <c r="P456" s="568"/>
      <c r="Q456" s="568"/>
      <c r="R456" s="568"/>
      <c r="S456" s="568"/>
      <c r="T456" s="568"/>
      <c r="U456" s="568"/>
      <c r="V456" s="568"/>
      <c r="W456" s="568"/>
      <c r="X456" s="568"/>
      <c r="Y456" s="568"/>
      <c r="Z456" s="568"/>
      <c r="AA456" s="48"/>
      <c r="AB456" s="48"/>
      <c r="AC456" s="48"/>
    </row>
    <row r="457" spans="1:68" ht="16.5" customHeight="1" x14ac:dyDescent="0.25">
      <c r="A457" s="559" t="s">
        <v>704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60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705</v>
      </c>
      <c r="B459" s="54" t="s">
        <v>706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714</v>
      </c>
      <c r="B462" s="54" t="s">
        <v>715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3" t="s">
        <v>71</v>
      </c>
      <c r="Q463" s="564"/>
      <c r="R463" s="564"/>
      <c r="S463" s="564"/>
      <c r="T463" s="564"/>
      <c r="U463" s="564"/>
      <c r="V463" s="565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63" t="s">
        <v>71</v>
      </c>
      <c r="Q464" s="564"/>
      <c r="R464" s="564"/>
      <c r="S464" s="564"/>
      <c r="T464" s="564"/>
      <c r="U464" s="564"/>
      <c r="V464" s="565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60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716</v>
      </c>
      <c r="B466" s="54" t="s">
        <v>717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722</v>
      </c>
      <c r="B468" s="54" t="s">
        <v>723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3" t="s">
        <v>71</v>
      </c>
      <c r="Q469" s="564"/>
      <c r="R469" s="564"/>
      <c r="S469" s="564"/>
      <c r="T469" s="564"/>
      <c r="U469" s="564"/>
      <c r="V469" s="565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63" t="s">
        <v>71</v>
      </c>
      <c r="Q470" s="564"/>
      <c r="R470" s="564"/>
      <c r="S470" s="564"/>
      <c r="T470" s="564"/>
      <c r="U470" s="564"/>
      <c r="V470" s="565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60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1200</v>
      </c>
      <c r="Y473" s="544">
        <f>IFERROR(IF(X473="",0,CEILING((X473/$H473),1)*$H473),"")</f>
        <v>1201.2</v>
      </c>
      <c r="Z473" s="36">
        <f>IFERROR(IF(Y473=0,"",ROUNDUP(Y473/H473,0)*0.00902),"")</f>
        <v>2.57972</v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1271.4285714285713</v>
      </c>
      <c r="BN473" s="64">
        <f>IFERROR(Y473*I473/H473,"0")</f>
        <v>1272.7</v>
      </c>
      <c r="BO473" s="64">
        <f>IFERROR(1/J473*(X473/H473),"0")</f>
        <v>2.1645021645021645</v>
      </c>
      <c r="BP473" s="64">
        <f>IFERROR(1/J473*(Y473/H473),"0")</f>
        <v>2.1666666666666665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3" t="s">
        <v>71</v>
      </c>
      <c r="Q474" s="564"/>
      <c r="R474" s="564"/>
      <c r="S474" s="564"/>
      <c r="T474" s="564"/>
      <c r="U474" s="564"/>
      <c r="V474" s="565"/>
      <c r="W474" s="37" t="s">
        <v>72</v>
      </c>
      <c r="X474" s="545">
        <f>IFERROR(X472/H472,"0")+IFERROR(X473/H473,"0")</f>
        <v>285.71428571428572</v>
      </c>
      <c r="Y474" s="545">
        <f>IFERROR(Y472/H472,"0")+IFERROR(Y473/H473,"0")</f>
        <v>286</v>
      </c>
      <c r="Z474" s="545">
        <f>IFERROR(IF(Z472="",0,Z472),"0")+IFERROR(IF(Z473="",0,Z473),"0")</f>
        <v>2.57972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63" t="s">
        <v>71</v>
      </c>
      <c r="Q475" s="564"/>
      <c r="R475" s="564"/>
      <c r="S475" s="564"/>
      <c r="T475" s="564"/>
      <c r="U475" s="564"/>
      <c r="V475" s="565"/>
      <c r="W475" s="37" t="s">
        <v>69</v>
      </c>
      <c r="X475" s="545">
        <f>IFERROR(SUM(X472:X473),"0")</f>
        <v>1200</v>
      </c>
      <c r="Y475" s="545">
        <f>IFERROR(SUM(Y472:Y473),"0")</f>
        <v>1201.2</v>
      </c>
      <c r="Z475" s="37"/>
      <c r="AA475" s="546"/>
      <c r="AB475" s="546"/>
      <c r="AC475" s="546"/>
    </row>
    <row r="476" spans="1:68" ht="14.25" customHeight="1" x14ac:dyDescent="0.25">
      <c r="A476" s="560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731</v>
      </c>
      <c r="B477" s="54" t="s">
        <v>732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3" t="s">
        <v>71</v>
      </c>
      <c r="Q478" s="564"/>
      <c r="R478" s="564"/>
      <c r="S478" s="564"/>
      <c r="T478" s="564"/>
      <c r="U478" s="564"/>
      <c r="V478" s="565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63" t="s">
        <v>71</v>
      </c>
      <c r="Q479" s="564"/>
      <c r="R479" s="564"/>
      <c r="S479" s="564"/>
      <c r="T479" s="564"/>
      <c r="U479" s="564"/>
      <c r="V479" s="565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60" t="s">
        <v>164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734</v>
      </c>
      <c r="B481" s="54" t="s">
        <v>735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3" t="s">
        <v>71</v>
      </c>
      <c r="Q483" s="564"/>
      <c r="R483" s="564"/>
      <c r="S483" s="564"/>
      <c r="T483" s="564"/>
      <c r="U483" s="564"/>
      <c r="V483" s="565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63" t="s">
        <v>71</v>
      </c>
      <c r="Q484" s="564"/>
      <c r="R484" s="564"/>
      <c r="S484" s="564"/>
      <c r="T484" s="564"/>
      <c r="U484" s="564"/>
      <c r="V484" s="565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740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60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741</v>
      </c>
      <c r="B487" s="54" t="s">
        <v>742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3" t="s">
        <v>71</v>
      </c>
      <c r="Q488" s="564"/>
      <c r="R488" s="564"/>
      <c r="S488" s="564"/>
      <c r="T488" s="564"/>
      <c r="U488" s="564"/>
      <c r="V488" s="565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63" t="s">
        <v>71</v>
      </c>
      <c r="Q489" s="564"/>
      <c r="R489" s="564"/>
      <c r="S489" s="564"/>
      <c r="T489" s="564"/>
      <c r="U489" s="564"/>
      <c r="V489" s="565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9"/>
      <c r="P490" s="641" t="s">
        <v>744</v>
      </c>
      <c r="Q490" s="642"/>
      <c r="R490" s="642"/>
      <c r="S490" s="642"/>
      <c r="T490" s="642"/>
      <c r="U490" s="642"/>
      <c r="V490" s="643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3500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3526.2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9"/>
      <c r="P491" s="641" t="s">
        <v>745</v>
      </c>
      <c r="Q491" s="642"/>
      <c r="R491" s="642"/>
      <c r="S491" s="642"/>
      <c r="T491" s="642"/>
      <c r="U491" s="642"/>
      <c r="V491" s="643"/>
      <c r="W491" s="37" t="s">
        <v>69</v>
      </c>
      <c r="X491" s="545">
        <f>IFERROR(SUM(BM22:BM487),"0")</f>
        <v>3643.4952380952382</v>
      </c>
      <c r="Y491" s="545">
        <f>IFERROR(SUM(BN22:BN487),"0")</f>
        <v>3670.55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9"/>
      <c r="P492" s="641" t="s">
        <v>746</v>
      </c>
      <c r="Q492" s="642"/>
      <c r="R492" s="642"/>
      <c r="S492" s="642"/>
      <c r="T492" s="642"/>
      <c r="U492" s="642"/>
      <c r="V492" s="643"/>
      <c r="W492" s="37" t="s">
        <v>747</v>
      </c>
      <c r="X492" s="38">
        <f>ROUNDUP(SUM(BO22:BO487),0)</f>
        <v>6</v>
      </c>
      <c r="Y492" s="38">
        <f>ROUNDUP(SUM(BP22:BP487),0)</f>
        <v>6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9"/>
      <c r="P493" s="641" t="s">
        <v>748</v>
      </c>
      <c r="Q493" s="642"/>
      <c r="R493" s="642"/>
      <c r="S493" s="642"/>
      <c r="T493" s="642"/>
      <c r="U493" s="642"/>
      <c r="V493" s="643"/>
      <c r="W493" s="37" t="s">
        <v>69</v>
      </c>
      <c r="X493" s="545">
        <f>GrossWeightTotal+PalletQtyTotal*25</f>
        <v>3793.4952380952382</v>
      </c>
      <c r="Y493" s="545">
        <f>GrossWeightTotalR+PalletQtyTotalR*25</f>
        <v>3820.55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9"/>
      <c r="P494" s="641" t="s">
        <v>749</v>
      </c>
      <c r="Q494" s="642"/>
      <c r="R494" s="642"/>
      <c r="S494" s="642"/>
      <c r="T494" s="642"/>
      <c r="U494" s="642"/>
      <c r="V494" s="643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439.04761904761904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441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09"/>
      <c r="P495" s="641" t="s">
        <v>750</v>
      </c>
      <c r="Q495" s="642"/>
      <c r="R495" s="642"/>
      <c r="S495" s="642"/>
      <c r="T495" s="642"/>
      <c r="U495" s="642"/>
      <c r="V495" s="643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5.9509699999999999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255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541</v>
      </c>
      <c r="T497" s="601"/>
      <c r="U497" s="597" t="s">
        <v>593</v>
      </c>
      <c r="V497" s="600"/>
      <c r="W497" s="601"/>
      <c r="X497" s="540" t="s">
        <v>644</v>
      </c>
      <c r="Y497" s="597" t="s">
        <v>704</v>
      </c>
      <c r="Z497" s="601"/>
      <c r="AB497" s="52"/>
      <c r="AC497" s="52"/>
      <c r="AF497" s="541"/>
    </row>
    <row r="498" spans="1:32" ht="14.25" customHeight="1" thickTop="1" x14ac:dyDescent="0.2">
      <c r="A498" s="613" t="s">
        <v>753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256</v>
      </c>
      <c r="J498" s="597" t="s">
        <v>301</v>
      </c>
      <c r="K498" s="597" t="s">
        <v>361</v>
      </c>
      <c r="L498" s="597" t="s">
        <v>403</v>
      </c>
      <c r="M498" s="597" t="s">
        <v>419</v>
      </c>
      <c r="N498" s="541"/>
      <c r="O498" s="597" t="s">
        <v>430</v>
      </c>
      <c r="P498" s="597" t="s">
        <v>439</v>
      </c>
      <c r="Q498" s="597" t="s">
        <v>453</v>
      </c>
      <c r="R498" s="597" t="s">
        <v>531</v>
      </c>
      <c r="S498" s="597" t="s">
        <v>542</v>
      </c>
      <c r="T498" s="597" t="s">
        <v>577</v>
      </c>
      <c r="U498" s="597" t="s">
        <v>594</v>
      </c>
      <c r="V498" s="597" t="s">
        <v>625</v>
      </c>
      <c r="W498" s="597" t="s">
        <v>640</v>
      </c>
      <c r="X498" s="597" t="s">
        <v>644</v>
      </c>
      <c r="Y498" s="597" t="s">
        <v>704</v>
      </c>
      <c r="Z498" s="597" t="s">
        <v>740</v>
      </c>
      <c r="AB498" s="52"/>
      <c r="AC498" s="52"/>
      <c r="AF498" s="541"/>
    </row>
    <row r="499" spans="1:32" ht="13.5" customHeight="1" thickBot="1" x14ac:dyDescent="0.25">
      <c r="A499" s="614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500" s="46">
        <f>IFERROR(Y85*1,"0")+IFERROR(Y86*1,"0")+IFERROR(Y87*1,"0")+IFERROR(Y91*1,"0")+IFERROR(Y92*1,"0")+IFERROR(Y93*1,"0")+IFERROR(Y94*1,"0")</f>
        <v>0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0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2325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1201.2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P492:V492"/>
    <mergeCell ref="A103:O104"/>
    <mergeCell ref="P286:V286"/>
    <mergeCell ref="P479:V479"/>
    <mergeCell ref="A339:O340"/>
    <mergeCell ref="M17:M18"/>
    <mergeCell ref="O17:O18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D318:E318"/>
    <mergeCell ref="D389:E389"/>
    <mergeCell ref="P201:T201"/>
    <mergeCell ref="P176:T176"/>
    <mergeCell ref="P247:T247"/>
    <mergeCell ref="P114:T114"/>
    <mergeCell ref="A328:Z328"/>
    <mergeCell ref="A157:Z157"/>
    <mergeCell ref="D447:E447"/>
    <mergeCell ref="P301:T301"/>
    <mergeCell ref="P295:T295"/>
    <mergeCell ref="A400:O401"/>
    <mergeCell ref="D257:E257"/>
    <mergeCell ref="P214:T214"/>
    <mergeCell ref="D213:E213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P70:V70"/>
    <mergeCell ref="A156:Z156"/>
    <mergeCell ref="P116:V116"/>
    <mergeCell ref="D86:E86"/>
    <mergeCell ref="P101:T101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A136:O137"/>
    <mergeCell ref="A254:Z254"/>
    <mergeCell ref="P181:T181"/>
    <mergeCell ref="P344:T344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F17:F1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D375:E375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P56:T56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P79:T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2025-11-18T09:25:36Z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