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9046962B-211D-4956-8DF6-61CFB014F1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0" i="1" l="1"/>
  <c r="O500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Y356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Z137" i="1" l="1"/>
  <c r="Z104" i="1"/>
  <c r="Z188" i="1"/>
  <c r="Y24" i="1"/>
  <c r="Y32" i="1"/>
  <c r="Y36" i="1"/>
  <c r="Y44" i="1"/>
  <c r="Y48" i="1"/>
  <c r="Y57" i="1"/>
  <c r="Y63" i="1"/>
  <c r="Y69" i="1"/>
  <c r="Y77" i="1"/>
  <c r="Y83" i="1"/>
  <c r="Y90" i="1"/>
  <c r="Y96" i="1"/>
  <c r="Y105" i="1"/>
  <c r="Y111" i="1"/>
  <c r="Y117" i="1"/>
  <c r="Y128" i="1"/>
  <c r="Y132" i="1"/>
  <c r="Y138" i="1"/>
  <c r="Y145" i="1"/>
  <c r="Y151" i="1"/>
  <c r="Y172" i="1"/>
  <c r="Y178" i="1"/>
  <c r="Y189" i="1"/>
  <c r="Y193" i="1"/>
  <c r="Y205" i="1"/>
  <c r="Y217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BP256" i="1"/>
  <c r="BN256" i="1"/>
  <c r="Z256" i="1"/>
  <c r="Y260" i="1"/>
  <c r="BP265" i="1"/>
  <c r="BN265" i="1"/>
  <c r="Z265" i="1"/>
  <c r="BP387" i="1"/>
  <c r="BN387" i="1"/>
  <c r="Z387" i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Z433" i="1" s="1"/>
  <c r="Y434" i="1"/>
  <c r="H9" i="1"/>
  <c r="A1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7" i="1" s="1"/>
  <c r="BN73" i="1"/>
  <c r="Z75" i="1"/>
  <c r="BN75" i="1"/>
  <c r="Z81" i="1"/>
  <c r="Z82" i="1" s="1"/>
  <c r="BN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Z101" i="1"/>
  <c r="BN101" i="1"/>
  <c r="Z103" i="1"/>
  <c r="BN103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BN136" i="1"/>
  <c r="Z141" i="1"/>
  <c r="BN141" i="1"/>
  <c r="BP141" i="1"/>
  <c r="Z143" i="1"/>
  <c r="BN143" i="1"/>
  <c r="Y144" i="1"/>
  <c r="Z147" i="1"/>
  <c r="BN147" i="1"/>
  <c r="BP147" i="1"/>
  <c r="Z149" i="1"/>
  <c r="BN149" i="1"/>
  <c r="I500" i="1"/>
  <c r="Y161" i="1"/>
  <c r="Z164" i="1"/>
  <c r="Z172" i="1" s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BP220" i="1"/>
  <c r="BN220" i="1"/>
  <c r="Z220" i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BP258" i="1"/>
  <c r="BN258" i="1"/>
  <c r="Z258" i="1"/>
  <c r="Z260" i="1" s="1"/>
  <c r="BP267" i="1"/>
  <c r="BN267" i="1"/>
  <c r="Z267" i="1"/>
  <c r="Z268" i="1" s="1"/>
  <c r="Y269" i="1"/>
  <c r="Y275" i="1"/>
  <c r="BP272" i="1"/>
  <c r="Y276" i="1"/>
  <c r="BN272" i="1"/>
  <c r="Z272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Y333" i="1"/>
  <c r="BP338" i="1"/>
  <c r="BN338" i="1"/>
  <c r="Z338" i="1"/>
  <c r="Y340" i="1"/>
  <c r="Y351" i="1"/>
  <c r="BP344" i="1"/>
  <c r="BN344" i="1"/>
  <c r="Z344" i="1"/>
  <c r="S500" i="1"/>
  <c r="Y352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1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1" i="1"/>
  <c r="M500" i="1"/>
  <c r="Y268" i="1"/>
  <c r="BP274" i="1"/>
  <c r="BN274" i="1"/>
  <c r="Z274" i="1"/>
  <c r="P500" i="1"/>
  <c r="Y282" i="1"/>
  <c r="BP279" i="1"/>
  <c r="BN279" i="1"/>
  <c r="Z279" i="1"/>
  <c r="Z281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3" i="1" s="1"/>
  <c r="BP312" i="1"/>
  <c r="BN312" i="1"/>
  <c r="Z312" i="1"/>
  <c r="Y314" i="1"/>
  <c r="Y319" i="1"/>
  <c r="BP316" i="1"/>
  <c r="BN316" i="1"/>
  <c r="Z316" i="1"/>
  <c r="Z319" i="1" s="1"/>
  <c r="BP323" i="1"/>
  <c r="BN323" i="1"/>
  <c r="Z323" i="1"/>
  <c r="BP331" i="1"/>
  <c r="BN331" i="1"/>
  <c r="Z331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7" i="1"/>
  <c r="BP354" i="1"/>
  <c r="BN354" i="1"/>
  <c r="Z354" i="1"/>
  <c r="Z356" i="1" s="1"/>
  <c r="Y361" i="1"/>
  <c r="BP375" i="1"/>
  <c r="BN375" i="1"/>
  <c r="Z375" i="1"/>
  <c r="Z376" i="1" s="1"/>
  <c r="Y377" i="1"/>
  <c r="Y382" i="1"/>
  <c r="BP379" i="1"/>
  <c r="BN379" i="1"/>
  <c r="Z379" i="1"/>
  <c r="Z381" i="1" s="1"/>
  <c r="U500" i="1"/>
  <c r="BP389" i="1"/>
  <c r="BN389" i="1"/>
  <c r="Z389" i="1"/>
  <c r="Z395" i="1" s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Z448" i="1" s="1"/>
  <c r="BP446" i="1"/>
  <c r="BN446" i="1"/>
  <c r="Z446" i="1"/>
  <c r="Y455" i="1"/>
  <c r="BP460" i="1"/>
  <c r="BN460" i="1"/>
  <c r="Z460" i="1"/>
  <c r="BP468" i="1"/>
  <c r="BN468" i="1"/>
  <c r="Z468" i="1"/>
  <c r="Y475" i="1"/>
  <c r="BP472" i="1"/>
  <c r="BN472" i="1"/>
  <c r="Z472" i="1"/>
  <c r="Z474" i="1" s="1"/>
  <c r="Y483" i="1"/>
  <c r="Y500" i="1"/>
  <c r="Z351" i="1" l="1"/>
  <c r="Z463" i="1"/>
  <c r="Z439" i="1"/>
  <c r="Z469" i="1"/>
  <c r="Z332" i="1"/>
  <c r="Z326" i="1"/>
  <c r="Z275" i="1"/>
  <c r="Z235" i="1"/>
  <c r="Z216" i="1"/>
  <c r="Z150" i="1"/>
  <c r="Z144" i="1"/>
  <c r="Z117" i="1"/>
  <c r="Z43" i="1"/>
  <c r="Z31" i="1"/>
  <c r="Y494" i="1"/>
  <c r="Y491" i="1"/>
  <c r="Z412" i="1"/>
  <c r="Z305" i="1"/>
  <c r="Y492" i="1"/>
  <c r="Z495" i="1"/>
  <c r="Y490" i="1"/>
  <c r="Y493" i="1" l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<sst xmlns="http://schemas.openxmlformats.org/spreadsheetml/2006/main" count="2355" uniqueCount="766">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</sst>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250</v>
      </c>
      <c r="Y60" s="544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260.0694444444444</v>
      </c>
      <c r="BN60" s="64">
        <f>IFERROR(Y60*I60/H60,"0")</f>
        <v>269.64000000000004</v>
      </c>
      <c r="BO60" s="64">
        <f>IFERROR(1/J60*(X60/H60),"0")</f>
        <v>0.36168981481481477</v>
      </c>
      <c r="BP60" s="64">
        <f>IFERROR(1/J60*(Y60/H60),"0")</f>
        <v>0.37500000000000006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23.148148148148145</v>
      </c>
      <c r="Y63" s="545">
        <f>IFERROR(Y60/H60,"0")+IFERROR(Y61/H61,"0")+IFERROR(Y62/H62,"0")</f>
        <v>24.000000000000004</v>
      </c>
      <c r="Z63" s="545">
        <f>IFERROR(IF(Z60="",0,Z60),"0")+IFERROR(IF(Z61="",0,Z61),"0")+IFERROR(IF(Z62="",0,Z62),"0")</f>
        <v>0.45552000000000004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250</v>
      </c>
      <c r="Y64" s="545">
        <f>IFERROR(SUM(Y60:Y62),"0")</f>
        <v>259.20000000000005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900</v>
      </c>
      <c r="Y308" s="544">
        <f>IFERROR(IF(X308="",0,CEILING((X308/$H308),1)*$H308),"")</f>
        <v>904.8</v>
      </c>
      <c r="Z308" s="36">
        <f>IFERROR(IF(Y308=0,"",ROUNDUP(Y308/H308,0)*0.01898),"")</f>
        <v>2.2016800000000001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959.19230769230785</v>
      </c>
      <c r="BN308" s="64">
        <f>IFERROR(Y308*I308/H308,"0")</f>
        <v>964.30799999999999</v>
      </c>
      <c r="BO308" s="64">
        <f>IFERROR(1/J308*(X308/H308),"0")</f>
        <v>1.8028846153846154</v>
      </c>
      <c r="BP308" s="64">
        <f>IFERROR(1/J308*(Y308/H308),"0")</f>
        <v>1.8125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115.38461538461539</v>
      </c>
      <c r="Y313" s="545">
        <f>IFERROR(Y308/H308,"0")+IFERROR(Y309/H309,"0")+IFERROR(Y310/H310,"0")+IFERROR(Y311/H311,"0")+IFERROR(Y312/H312,"0")</f>
        <v>116</v>
      </c>
      <c r="Z313" s="545">
        <f>IFERROR(IF(Z308="",0,Z308),"0")+IFERROR(IF(Z309="",0,Z309),"0")+IFERROR(IF(Z310="",0,Z310),"0")+IFERROR(IF(Z311="",0,Z311),"0")+IFERROR(IF(Z312="",0,Z312),"0")</f>
        <v>2.2016800000000001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900</v>
      </c>
      <c r="Y314" s="545">
        <f>IFERROR(SUM(Y308:Y312),"0")</f>
        <v>904.8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450</v>
      </c>
      <c r="Y346" s="544">
        <f t="shared" si="36"/>
        <v>450</v>
      </c>
      <c r="Z346" s="36">
        <f>IFERROR(IF(Y346=0,"",ROUNDUP(Y346/H346,0)*0.02175),"")</f>
        <v>0.65249999999999997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464.4</v>
      </c>
      <c r="BN346" s="64">
        <f t="shared" si="38"/>
        <v>464.4</v>
      </c>
      <c r="BO346" s="64">
        <f t="shared" si="39"/>
        <v>0.625</v>
      </c>
      <c r="BP346" s="64">
        <f t="shared" si="40"/>
        <v>0.625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30</v>
      </c>
      <c r="Y351" s="545">
        <f>IFERROR(Y344/H344,"0")+IFERROR(Y345/H345,"0")+IFERROR(Y346/H346,"0")+IFERROR(Y347/H347,"0")+IFERROR(Y348/H348,"0")+IFERROR(Y349/H349,"0")+IFERROR(Y350/H350,"0")</f>
        <v>30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0.65249999999999997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450</v>
      </c>
      <c r="Y352" s="545">
        <f>IFERROR(SUM(Y344:Y350),"0")</f>
        <v>450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600</v>
      </c>
      <c r="Y354" s="544">
        <f>IFERROR(IF(X354="",0,CEILING((X354/$H354),1)*$H354),"")</f>
        <v>600</v>
      </c>
      <c r="Z354" s="36">
        <f>IFERROR(IF(Y354=0,"",ROUNDUP(Y354/H354,0)*0.02175),"")</f>
        <v>0.86999999999999988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619.20000000000005</v>
      </c>
      <c r="BN354" s="64">
        <f>IFERROR(Y354*I354/H354,"0")</f>
        <v>619.20000000000005</v>
      </c>
      <c r="BO354" s="64">
        <f>IFERROR(1/J354*(X354/H354),"0")</f>
        <v>0.83333333333333326</v>
      </c>
      <c r="BP354" s="64">
        <f>IFERROR(1/J354*(Y354/H354),"0")</f>
        <v>0.83333333333333326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40</v>
      </c>
      <c r="Y356" s="545">
        <f>IFERROR(Y354/H354,"0")+IFERROR(Y355/H355,"0")</f>
        <v>40</v>
      </c>
      <c r="Z356" s="545">
        <f>IFERROR(IF(Z354="",0,Z354),"0")+IFERROR(IF(Z355="",0,Z355),"0")</f>
        <v>0.86999999999999988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600</v>
      </c>
      <c r="Y357" s="545">
        <f>IFERROR(SUM(Y354:Y355),"0")</f>
        <v>600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2200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2214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2302.8617521367523</v>
      </c>
      <c r="Y491" s="545">
        <f>IFERROR(SUM(BN22:BN487),"0")</f>
        <v>2317.5479999999998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4</v>
      </c>
      <c r="Y492" s="38">
        <f>ROUNDUP(SUM(BP22:BP487),0)</f>
        <v>4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2402.8617521367523</v>
      </c>
      <c r="Y493" s="545">
        <f>GrossWeightTotalR+PalletQtyTotalR*25</f>
        <v>2417.5479999999998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208.53276353276354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210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4.1796999999999995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259.20000000000005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904.8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1050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