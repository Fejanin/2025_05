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och\"/>
    </mc:Choice>
  </mc:AlternateContent>
  <xr:revisionPtr revIDLastSave="0" documentId="13_ncr:1_{6BE3D170-ABE5-4920-B6C0-6A208E6582A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500" i="1" l="1"/>
  <c r="O500" i="1"/>
  <c r="X489" i="1"/>
  <c r="X488" i="1"/>
  <c r="BO487" i="1"/>
  <c r="BM487" i="1"/>
  <c r="Y487" i="1"/>
  <c r="P487" i="1"/>
  <c r="X484" i="1"/>
  <c r="X483" i="1"/>
  <c r="BO482" i="1"/>
  <c r="BM482" i="1"/>
  <c r="Y482" i="1"/>
  <c r="P482" i="1"/>
  <c r="BP481" i="1"/>
  <c r="BO481" i="1"/>
  <c r="BN481" i="1"/>
  <c r="BM481" i="1"/>
  <c r="Z481" i="1"/>
  <c r="Y481" i="1"/>
  <c r="P481" i="1"/>
  <c r="X479" i="1"/>
  <c r="Y478" i="1"/>
  <c r="X478" i="1"/>
  <c r="BP477" i="1"/>
  <c r="BO477" i="1"/>
  <c r="BN477" i="1"/>
  <c r="BM477" i="1"/>
  <c r="Z477" i="1"/>
  <c r="Z478" i="1" s="1"/>
  <c r="Y477" i="1"/>
  <c r="Y479" i="1" s="1"/>
  <c r="P477" i="1"/>
  <c r="X475" i="1"/>
  <c r="Y474" i="1"/>
  <c r="X474" i="1"/>
  <c r="BP473" i="1"/>
  <c r="BO473" i="1"/>
  <c r="BN473" i="1"/>
  <c r="BM473" i="1"/>
  <c r="Z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P467" i="1"/>
  <c r="BO467" i="1"/>
  <c r="BN467" i="1"/>
  <c r="BM467" i="1"/>
  <c r="Z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P459" i="1"/>
  <c r="BO459" i="1"/>
  <c r="BN459" i="1"/>
  <c r="BM459" i="1"/>
  <c r="Z459" i="1"/>
  <c r="Y459" i="1"/>
  <c r="Y463" i="1" s="1"/>
  <c r="P459" i="1"/>
  <c r="X455" i="1"/>
  <c r="X454" i="1"/>
  <c r="BP453" i="1"/>
  <c r="BO453" i="1"/>
  <c r="BN453" i="1"/>
  <c r="BM453" i="1"/>
  <c r="Z453" i="1"/>
  <c r="Y453" i="1"/>
  <c r="P453" i="1"/>
  <c r="BO452" i="1"/>
  <c r="BM452" i="1"/>
  <c r="Y452" i="1"/>
  <c r="P452" i="1"/>
  <c r="BP451" i="1"/>
  <c r="BO451" i="1"/>
  <c r="BN451" i="1"/>
  <c r="BM451" i="1"/>
  <c r="Z451" i="1"/>
  <c r="Y451" i="1"/>
  <c r="P451" i="1"/>
  <c r="X449" i="1"/>
  <c r="X448" i="1"/>
  <c r="BP447" i="1"/>
  <c r="BO447" i="1"/>
  <c r="BN447" i="1"/>
  <c r="BM447" i="1"/>
  <c r="Z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X418" i="1"/>
  <c r="Y417" i="1"/>
  <c r="X417" i="1"/>
  <c r="BP416" i="1"/>
  <c r="BO416" i="1"/>
  <c r="BN416" i="1"/>
  <c r="BM416" i="1"/>
  <c r="Z416" i="1"/>
  <c r="Z417" i="1" s="1"/>
  <c r="Y416" i="1"/>
  <c r="Y418" i="1" s="1"/>
  <c r="P416" i="1"/>
  <c r="X413" i="1"/>
  <c r="X412" i="1"/>
  <c r="BP411" i="1"/>
  <c r="BO411" i="1"/>
  <c r="BN411" i="1"/>
  <c r="BM411" i="1"/>
  <c r="Z411" i="1"/>
  <c r="Y411" i="1"/>
  <c r="P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X382" i="1"/>
  <c r="Y381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Y376" i="1" s="1"/>
  <c r="P374" i="1"/>
  <c r="X372" i="1"/>
  <c r="X371" i="1"/>
  <c r="BP370" i="1"/>
  <c r="BO370" i="1"/>
  <c r="BN370" i="1"/>
  <c r="BM370" i="1"/>
  <c r="Z370" i="1"/>
  <c r="Y370" i="1"/>
  <c r="P370" i="1"/>
  <c r="BO369" i="1"/>
  <c r="BM369" i="1"/>
  <c r="Y369" i="1"/>
  <c r="P369" i="1"/>
  <c r="X366" i="1"/>
  <c r="X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P359" i="1"/>
  <c r="X357" i="1"/>
  <c r="Y356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X352" i="1"/>
  <c r="X351" i="1"/>
  <c r="BO350" i="1"/>
  <c r="BM350" i="1"/>
  <c r="Y350" i="1"/>
  <c r="P350" i="1"/>
  <c r="BP349" i="1"/>
  <c r="BO349" i="1"/>
  <c r="BN349" i="1"/>
  <c r="BM349" i="1"/>
  <c r="Z349" i="1"/>
  <c r="Y349" i="1"/>
  <c r="P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P324" i="1"/>
  <c r="BO324" i="1"/>
  <c r="BN324" i="1"/>
  <c r="BM324" i="1"/>
  <c r="Z324" i="1"/>
  <c r="Y324" i="1"/>
  <c r="P324" i="1"/>
  <c r="BO323" i="1"/>
  <c r="BM323" i="1"/>
  <c r="Y323" i="1"/>
  <c r="BO322" i="1"/>
  <c r="BM322" i="1"/>
  <c r="Y322" i="1"/>
  <c r="P322" i="1"/>
  <c r="X320" i="1"/>
  <c r="X319" i="1"/>
  <c r="BO318" i="1"/>
  <c r="BM318" i="1"/>
  <c r="Y318" i="1"/>
  <c r="P318" i="1"/>
  <c r="BP317" i="1"/>
  <c r="BO317" i="1"/>
  <c r="BN317" i="1"/>
  <c r="BM317" i="1"/>
  <c r="Z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P311" i="1"/>
  <c r="BO311" i="1"/>
  <c r="BN311" i="1"/>
  <c r="BM311" i="1"/>
  <c r="Z311" i="1"/>
  <c r="Y311" i="1"/>
  <c r="P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P301" i="1"/>
  <c r="BO301" i="1"/>
  <c r="BN301" i="1"/>
  <c r="BM301" i="1"/>
  <c r="Z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6" i="1"/>
  <c r="X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6" i="1"/>
  <c r="Y285" i="1"/>
  <c r="X285" i="1"/>
  <c r="BP284" i="1"/>
  <c r="BO284" i="1"/>
  <c r="BN284" i="1"/>
  <c r="BM284" i="1"/>
  <c r="Z284" i="1"/>
  <c r="Z285" i="1" s="1"/>
  <c r="Y284" i="1"/>
  <c r="Y286" i="1" s="1"/>
  <c r="P284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P259" i="1"/>
  <c r="BO259" i="1"/>
  <c r="BN259" i="1"/>
  <c r="BM259" i="1"/>
  <c r="Z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Y221" i="1" s="1"/>
  <c r="P219" i="1"/>
  <c r="X217" i="1"/>
  <c r="X216" i="1"/>
  <c r="BO215" i="1"/>
  <c r="BM215" i="1"/>
  <c r="Y215" i="1"/>
  <c r="BP215" i="1" s="1"/>
  <c r="P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P208" i="1"/>
  <c r="BO208" i="1"/>
  <c r="BN208" i="1"/>
  <c r="BM208" i="1"/>
  <c r="Z208" i="1"/>
  <c r="Y208" i="1"/>
  <c r="P208" i="1"/>
  <c r="BO207" i="1"/>
  <c r="BM207" i="1"/>
  <c r="Y207" i="1"/>
  <c r="Y216" i="1" s="1"/>
  <c r="P207" i="1"/>
  <c r="X205" i="1"/>
  <c r="X204" i="1"/>
  <c r="BO203" i="1"/>
  <c r="BM203" i="1"/>
  <c r="Y203" i="1"/>
  <c r="BP203" i="1" s="1"/>
  <c r="P203" i="1"/>
  <c r="BP202" i="1"/>
  <c r="BO202" i="1"/>
  <c r="BN202" i="1"/>
  <c r="BM202" i="1"/>
  <c r="Z202" i="1"/>
  <c r="Y202" i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P198" i="1"/>
  <c r="BO198" i="1"/>
  <c r="BN198" i="1"/>
  <c r="BM198" i="1"/>
  <c r="Z198" i="1"/>
  <c r="Y198" i="1"/>
  <c r="P198" i="1"/>
  <c r="BO197" i="1"/>
  <c r="BM197" i="1"/>
  <c r="Y197" i="1"/>
  <c r="BP197" i="1" s="1"/>
  <c r="P197" i="1"/>
  <c r="BP196" i="1"/>
  <c r="BO196" i="1"/>
  <c r="BN196" i="1"/>
  <c r="BM196" i="1"/>
  <c r="Z196" i="1"/>
  <c r="Y196" i="1"/>
  <c r="Y204" i="1" s="1"/>
  <c r="P196" i="1"/>
  <c r="X194" i="1"/>
  <c r="X193" i="1"/>
  <c r="BP192" i="1"/>
  <c r="BO192" i="1"/>
  <c r="BN192" i="1"/>
  <c r="BM192" i="1"/>
  <c r="Z192" i="1"/>
  <c r="Y192" i="1"/>
  <c r="P192" i="1"/>
  <c r="BO191" i="1"/>
  <c r="BM191" i="1"/>
  <c r="Y191" i="1"/>
  <c r="Y194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P177" i="1"/>
  <c r="BO177" i="1"/>
  <c r="BN177" i="1"/>
  <c r="BM177" i="1"/>
  <c r="Z177" i="1"/>
  <c r="Y177" i="1"/>
  <c r="P177" i="1"/>
  <c r="BO176" i="1"/>
  <c r="BM176" i="1"/>
  <c r="Y176" i="1"/>
  <c r="BP176" i="1" s="1"/>
  <c r="P176" i="1"/>
  <c r="BP175" i="1"/>
  <c r="BO175" i="1"/>
  <c r="BN175" i="1"/>
  <c r="BM175" i="1"/>
  <c r="Z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BP170" i="1" s="1"/>
  <c r="P170" i="1"/>
  <c r="BP169" i="1"/>
  <c r="BO169" i="1"/>
  <c r="BN169" i="1"/>
  <c r="BM169" i="1"/>
  <c r="Z169" i="1"/>
  <c r="Y169" i="1"/>
  <c r="P169" i="1"/>
  <c r="BO168" i="1"/>
  <c r="BM168" i="1"/>
  <c r="Y168" i="1"/>
  <c r="BP168" i="1" s="1"/>
  <c r="P168" i="1"/>
  <c r="BP167" i="1"/>
  <c r="BO167" i="1"/>
  <c r="BN167" i="1"/>
  <c r="BM167" i="1"/>
  <c r="Z167" i="1"/>
  <c r="Y167" i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P163" i="1"/>
  <c r="BO163" i="1"/>
  <c r="BN163" i="1"/>
  <c r="BM163" i="1"/>
  <c r="Z163" i="1"/>
  <c r="Y163" i="1"/>
  <c r="Y173" i="1" s="1"/>
  <c r="P163" i="1"/>
  <c r="X161" i="1"/>
  <c r="Y160" i="1"/>
  <c r="X160" i="1"/>
  <c r="BP159" i="1"/>
  <c r="BO159" i="1"/>
  <c r="BN159" i="1"/>
  <c r="BM159" i="1"/>
  <c r="Z159" i="1"/>
  <c r="Z160" i="1" s="1"/>
  <c r="Y159" i="1"/>
  <c r="P159" i="1"/>
  <c r="X155" i="1"/>
  <c r="Y154" i="1"/>
  <c r="X154" i="1"/>
  <c r="BP153" i="1"/>
  <c r="BO153" i="1"/>
  <c r="BN153" i="1"/>
  <c r="BM153" i="1"/>
  <c r="Z153" i="1"/>
  <c r="Z154" i="1" s="1"/>
  <c r="Y153" i="1"/>
  <c r="Y155" i="1" s="1"/>
  <c r="X151" i="1"/>
  <c r="X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0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BO141" i="1"/>
  <c r="BM141" i="1"/>
  <c r="Y141" i="1"/>
  <c r="H500" i="1" s="1"/>
  <c r="P141" i="1"/>
  <c r="X138" i="1"/>
  <c r="X137" i="1"/>
  <c r="BO136" i="1"/>
  <c r="BM136" i="1"/>
  <c r="Y136" i="1"/>
  <c r="BP136" i="1" s="1"/>
  <c r="P136" i="1"/>
  <c r="BP135" i="1"/>
  <c r="BO135" i="1"/>
  <c r="BN135" i="1"/>
  <c r="BM135" i="1"/>
  <c r="Z135" i="1"/>
  <c r="Y135" i="1"/>
  <c r="Y137" i="1" s="1"/>
  <c r="P135" i="1"/>
  <c r="X133" i="1"/>
  <c r="X132" i="1"/>
  <c r="BP131" i="1"/>
  <c r="BO131" i="1"/>
  <c r="BN131" i="1"/>
  <c r="BM131" i="1"/>
  <c r="Z131" i="1"/>
  <c r="Y131" i="1"/>
  <c r="P131" i="1"/>
  <c r="BO130" i="1"/>
  <c r="BM130" i="1"/>
  <c r="Y130" i="1"/>
  <c r="Y133" i="1" s="1"/>
  <c r="P130" i="1"/>
  <c r="X128" i="1"/>
  <c r="X127" i="1"/>
  <c r="BO126" i="1"/>
  <c r="BM126" i="1"/>
  <c r="Y126" i="1"/>
  <c r="BP126" i="1" s="1"/>
  <c r="P126" i="1"/>
  <c r="BP125" i="1"/>
  <c r="BO125" i="1"/>
  <c r="BN125" i="1"/>
  <c r="BM125" i="1"/>
  <c r="Z125" i="1"/>
  <c r="Y125" i="1"/>
  <c r="P125" i="1"/>
  <c r="X122" i="1"/>
  <c r="Y121" i="1"/>
  <c r="X121" i="1"/>
  <c r="BP120" i="1"/>
  <c r="BO120" i="1"/>
  <c r="BN120" i="1"/>
  <c r="BM120" i="1"/>
  <c r="Z120" i="1"/>
  <c r="Z121" i="1" s="1"/>
  <c r="Y120" i="1"/>
  <c r="Y122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8" i="1" s="1"/>
  <c r="P113" i="1"/>
  <c r="X111" i="1"/>
  <c r="X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0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F500" i="1" s="1"/>
  <c r="P100" i="1"/>
  <c r="X97" i="1"/>
  <c r="X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Y97" i="1" s="1"/>
  <c r="P92" i="1"/>
  <c r="X90" i="1"/>
  <c r="X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BO86" i="1"/>
  <c r="BM86" i="1"/>
  <c r="Y86" i="1"/>
  <c r="E500" i="1" s="1"/>
  <c r="P86" i="1"/>
  <c r="X83" i="1"/>
  <c r="X82" i="1"/>
  <c r="BO81" i="1"/>
  <c r="BM81" i="1"/>
  <c r="Y81" i="1"/>
  <c r="BP81" i="1" s="1"/>
  <c r="P81" i="1"/>
  <c r="BP80" i="1"/>
  <c r="BO80" i="1"/>
  <c r="BN80" i="1"/>
  <c r="BM80" i="1"/>
  <c r="Z80" i="1"/>
  <c r="Y80" i="1"/>
  <c r="Y82" i="1" s="1"/>
  <c r="P80" i="1"/>
  <c r="X78" i="1"/>
  <c r="X77" i="1"/>
  <c r="BP76" i="1"/>
  <c r="BO76" i="1"/>
  <c r="BN76" i="1"/>
  <c r="BM76" i="1"/>
  <c r="Z76" i="1"/>
  <c r="Y76" i="1"/>
  <c r="P76" i="1"/>
  <c r="BO75" i="1"/>
  <c r="BM75" i="1"/>
  <c r="Y75" i="1"/>
  <c r="BP75" i="1" s="1"/>
  <c r="P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Y78" i="1" s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BP67" i="1" s="1"/>
  <c r="P67" i="1"/>
  <c r="BP66" i="1"/>
  <c r="BO66" i="1"/>
  <c r="BN66" i="1"/>
  <c r="BM66" i="1"/>
  <c r="Z66" i="1"/>
  <c r="Y66" i="1"/>
  <c r="Y70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500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500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BO26" i="1"/>
  <c r="BM26" i="1"/>
  <c r="Y26" i="1"/>
  <c r="Y31" i="1" s="1"/>
  <c r="P26" i="1"/>
  <c r="X24" i="1"/>
  <c r="X23" i="1"/>
  <c r="X494" i="1" s="1"/>
  <c r="BO22" i="1"/>
  <c r="X492" i="1" s="1"/>
  <c r="BM22" i="1"/>
  <c r="X491" i="1" s="1"/>
  <c r="X493" i="1" s="1"/>
  <c r="Y22" i="1"/>
  <c r="B500" i="1" s="1"/>
  <c r="P22" i="1"/>
  <c r="H10" i="1"/>
  <c r="A9" i="1"/>
  <c r="F10" i="1" s="1"/>
  <c r="D7" i="1"/>
  <c r="Q6" i="1"/>
  <c r="P2" i="1"/>
  <c r="Z137" i="1" l="1"/>
  <c r="Z268" i="1"/>
  <c r="Z104" i="1"/>
  <c r="Z188" i="1"/>
  <c r="Y44" i="1"/>
  <c r="Y48" i="1"/>
  <c r="Y57" i="1"/>
  <c r="Y63" i="1"/>
  <c r="Y105" i="1"/>
  <c r="Y117" i="1"/>
  <c r="Y132" i="1"/>
  <c r="Y138" i="1"/>
  <c r="Y145" i="1"/>
  <c r="Y151" i="1"/>
  <c r="Y172" i="1"/>
  <c r="Y178" i="1"/>
  <c r="Y189" i="1"/>
  <c r="Y193" i="1"/>
  <c r="Y205" i="1"/>
  <c r="Y217" i="1"/>
  <c r="BP227" i="1"/>
  <c r="BN227" i="1"/>
  <c r="Z227" i="1"/>
  <c r="BP231" i="1"/>
  <c r="BN231" i="1"/>
  <c r="Z231" i="1"/>
  <c r="Y235" i="1"/>
  <c r="BP247" i="1"/>
  <c r="BN247" i="1"/>
  <c r="Z247" i="1"/>
  <c r="Z251" i="1" s="1"/>
  <c r="Y251" i="1"/>
  <c r="BP256" i="1"/>
  <c r="BN256" i="1"/>
  <c r="Z256" i="1"/>
  <c r="Y260" i="1"/>
  <c r="BP265" i="1"/>
  <c r="BN265" i="1"/>
  <c r="Z265" i="1"/>
  <c r="BP387" i="1"/>
  <c r="BN387" i="1"/>
  <c r="Z387" i="1"/>
  <c r="BP391" i="1"/>
  <c r="BN391" i="1"/>
  <c r="Z391" i="1"/>
  <c r="Y395" i="1"/>
  <c r="BP399" i="1"/>
  <c r="BN399" i="1"/>
  <c r="Z399" i="1"/>
  <c r="Z400" i="1" s="1"/>
  <c r="Y401" i="1"/>
  <c r="V500" i="1"/>
  <c r="Y405" i="1"/>
  <c r="BP404" i="1"/>
  <c r="BN404" i="1"/>
  <c r="Z404" i="1"/>
  <c r="Z405" i="1" s="1"/>
  <c r="Y406" i="1"/>
  <c r="Y413" i="1"/>
  <c r="BP408" i="1"/>
  <c r="BN408" i="1"/>
  <c r="Z408" i="1"/>
  <c r="Y412" i="1"/>
  <c r="BP423" i="1"/>
  <c r="BN423" i="1"/>
  <c r="Z423" i="1"/>
  <c r="Z433" i="1" s="1"/>
  <c r="Y434" i="1"/>
  <c r="H9" i="1"/>
  <c r="A10" i="1"/>
  <c r="Y24" i="1"/>
  <c r="Y32" i="1"/>
  <c r="Y36" i="1"/>
  <c r="Y69" i="1"/>
  <c r="Y77" i="1"/>
  <c r="Y83" i="1"/>
  <c r="Y90" i="1"/>
  <c r="Y96" i="1"/>
  <c r="Y111" i="1"/>
  <c r="Y128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Z57" i="1" s="1"/>
  <c r="BN51" i="1"/>
  <c r="BP51" i="1"/>
  <c r="Z53" i="1"/>
  <c r="BN53" i="1"/>
  <c r="Z55" i="1"/>
  <c r="BN55" i="1"/>
  <c r="Y58" i="1"/>
  <c r="Z61" i="1"/>
  <c r="Z63" i="1" s="1"/>
  <c r="BN61" i="1"/>
  <c r="Z67" i="1"/>
  <c r="Z69" i="1" s="1"/>
  <c r="BN67" i="1"/>
  <c r="Z73" i="1"/>
  <c r="Z77" i="1" s="1"/>
  <c r="BN73" i="1"/>
  <c r="Z75" i="1"/>
  <c r="BN75" i="1"/>
  <c r="Z81" i="1"/>
  <c r="Z82" i="1" s="1"/>
  <c r="BN81" i="1"/>
  <c r="Z86" i="1"/>
  <c r="Z89" i="1" s="1"/>
  <c r="BN86" i="1"/>
  <c r="BP86" i="1"/>
  <c r="Z88" i="1"/>
  <c r="BN88" i="1"/>
  <c r="Y89" i="1"/>
  <c r="Z92" i="1"/>
  <c r="Z96" i="1" s="1"/>
  <c r="BN92" i="1"/>
  <c r="BP92" i="1"/>
  <c r="Z94" i="1"/>
  <c r="BN94" i="1"/>
  <c r="Z101" i="1"/>
  <c r="BN101" i="1"/>
  <c r="Z103" i="1"/>
  <c r="BN103" i="1"/>
  <c r="Y104" i="1"/>
  <c r="Z107" i="1"/>
  <c r="Z110" i="1" s="1"/>
  <c r="BN107" i="1"/>
  <c r="BP107" i="1"/>
  <c r="Z109" i="1"/>
  <c r="BN109" i="1"/>
  <c r="Z113" i="1"/>
  <c r="BN113" i="1"/>
  <c r="BP113" i="1"/>
  <c r="Z115" i="1"/>
  <c r="BN115" i="1"/>
  <c r="G500" i="1"/>
  <c r="Z126" i="1"/>
  <c r="Z127" i="1" s="1"/>
  <c r="BN126" i="1"/>
  <c r="Y127" i="1"/>
  <c r="Z130" i="1"/>
  <c r="Z132" i="1" s="1"/>
  <c r="BN130" i="1"/>
  <c r="BP130" i="1"/>
  <c r="Z136" i="1"/>
  <c r="BN136" i="1"/>
  <c r="Z141" i="1"/>
  <c r="BN141" i="1"/>
  <c r="BP141" i="1"/>
  <c r="Z143" i="1"/>
  <c r="BN143" i="1"/>
  <c r="Y144" i="1"/>
  <c r="Z147" i="1"/>
  <c r="BN147" i="1"/>
  <c r="BP147" i="1"/>
  <c r="Z149" i="1"/>
  <c r="BN149" i="1"/>
  <c r="I500" i="1"/>
  <c r="Y161" i="1"/>
  <c r="Z164" i="1"/>
  <c r="Z172" i="1" s="1"/>
  <c r="BN164" i="1"/>
  <c r="Z166" i="1"/>
  <c r="BN166" i="1"/>
  <c r="Z168" i="1"/>
  <c r="BN168" i="1"/>
  <c r="Z170" i="1"/>
  <c r="BN170" i="1"/>
  <c r="Z176" i="1"/>
  <c r="Z178" i="1" s="1"/>
  <c r="BN176" i="1"/>
  <c r="J500" i="1"/>
  <c r="Z187" i="1"/>
  <c r="BN187" i="1"/>
  <c r="Y188" i="1"/>
  <c r="Z191" i="1"/>
  <c r="Z193" i="1" s="1"/>
  <c r="BN191" i="1"/>
  <c r="BP191" i="1"/>
  <c r="Z197" i="1"/>
  <c r="Z204" i="1" s="1"/>
  <c r="BN197" i="1"/>
  <c r="Z199" i="1"/>
  <c r="BN199" i="1"/>
  <c r="Z201" i="1"/>
  <c r="BN201" i="1"/>
  <c r="Z203" i="1"/>
  <c r="BN203" i="1"/>
  <c r="Z207" i="1"/>
  <c r="BN207" i="1"/>
  <c r="BP207" i="1"/>
  <c r="Z209" i="1"/>
  <c r="BN209" i="1"/>
  <c r="Z211" i="1"/>
  <c r="BN211" i="1"/>
  <c r="Z213" i="1"/>
  <c r="BN213" i="1"/>
  <c r="Z215" i="1"/>
  <c r="BN215" i="1"/>
  <c r="Z219" i="1"/>
  <c r="Z221" i="1" s="1"/>
  <c r="BN219" i="1"/>
  <c r="BP219" i="1"/>
  <c r="BP220" i="1"/>
  <c r="BN220" i="1"/>
  <c r="Z220" i="1"/>
  <c r="Y222" i="1"/>
  <c r="K500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BP258" i="1"/>
  <c r="BN258" i="1"/>
  <c r="Z258" i="1"/>
  <c r="Z260" i="1" s="1"/>
  <c r="BP267" i="1"/>
  <c r="BN267" i="1"/>
  <c r="Z267" i="1"/>
  <c r="Y269" i="1"/>
  <c r="Y275" i="1"/>
  <c r="BP272" i="1"/>
  <c r="Y276" i="1"/>
  <c r="BN272" i="1"/>
  <c r="Z272" i="1"/>
  <c r="BP290" i="1"/>
  <c r="BN290" i="1"/>
  <c r="Z290" i="1"/>
  <c r="Z295" i="1" s="1"/>
  <c r="BP294" i="1"/>
  <c r="BN294" i="1"/>
  <c r="Z294" i="1"/>
  <c r="Y296" i="1"/>
  <c r="Y305" i="1"/>
  <c r="BP298" i="1"/>
  <c r="BN298" i="1"/>
  <c r="Z298" i="1"/>
  <c r="Y306" i="1"/>
  <c r="BP302" i="1"/>
  <c r="BN302" i="1"/>
  <c r="Z302" i="1"/>
  <c r="BP310" i="1"/>
  <c r="BN310" i="1"/>
  <c r="Z310" i="1"/>
  <c r="BP318" i="1"/>
  <c r="BN318" i="1"/>
  <c r="Z318" i="1"/>
  <c r="Y320" i="1"/>
  <c r="Y326" i="1"/>
  <c r="BP322" i="1"/>
  <c r="BN322" i="1"/>
  <c r="Z322" i="1"/>
  <c r="BP325" i="1"/>
  <c r="BN325" i="1"/>
  <c r="Z325" i="1"/>
  <c r="Y327" i="1"/>
  <c r="Y332" i="1"/>
  <c r="BP329" i="1"/>
  <c r="BN329" i="1"/>
  <c r="Z329" i="1"/>
  <c r="Y333" i="1"/>
  <c r="BP338" i="1"/>
  <c r="BN338" i="1"/>
  <c r="Z338" i="1"/>
  <c r="Y340" i="1"/>
  <c r="Y351" i="1"/>
  <c r="BP344" i="1"/>
  <c r="BN344" i="1"/>
  <c r="Z344" i="1"/>
  <c r="S500" i="1"/>
  <c r="Y352" i="1"/>
  <c r="BP348" i="1"/>
  <c r="BN348" i="1"/>
  <c r="Z348" i="1"/>
  <c r="BP360" i="1"/>
  <c r="BN360" i="1"/>
  <c r="Z360" i="1"/>
  <c r="Z361" i="1" s="1"/>
  <c r="Y362" i="1"/>
  <c r="Y365" i="1"/>
  <c r="BP364" i="1"/>
  <c r="BN364" i="1"/>
  <c r="Z364" i="1"/>
  <c r="Z365" i="1" s="1"/>
  <c r="Y366" i="1"/>
  <c r="T500" i="1"/>
  <c r="Y372" i="1"/>
  <c r="BP369" i="1"/>
  <c r="BN369" i="1"/>
  <c r="Z369" i="1"/>
  <c r="Z371" i="1" s="1"/>
  <c r="Y371" i="1"/>
  <c r="BP462" i="1"/>
  <c r="BN462" i="1"/>
  <c r="Z462" i="1"/>
  <c r="Y464" i="1"/>
  <c r="Y469" i="1"/>
  <c r="BP466" i="1"/>
  <c r="BN466" i="1"/>
  <c r="Z466" i="1"/>
  <c r="Y470" i="1"/>
  <c r="BP482" i="1"/>
  <c r="BN482" i="1"/>
  <c r="Z482" i="1"/>
  <c r="Z483" i="1" s="1"/>
  <c r="Y484" i="1"/>
  <c r="Z500" i="1"/>
  <c r="Y488" i="1"/>
  <c r="BP487" i="1"/>
  <c r="BN487" i="1"/>
  <c r="Z487" i="1"/>
  <c r="Z488" i="1" s="1"/>
  <c r="Y489" i="1"/>
  <c r="L500" i="1"/>
  <c r="Y261" i="1"/>
  <c r="M500" i="1"/>
  <c r="Y268" i="1"/>
  <c r="BP274" i="1"/>
  <c r="BN274" i="1"/>
  <c r="Z274" i="1"/>
  <c r="P500" i="1"/>
  <c r="Y282" i="1"/>
  <c r="BP279" i="1"/>
  <c r="BN279" i="1"/>
  <c r="Z279" i="1"/>
  <c r="Z281" i="1" s="1"/>
  <c r="Q500" i="1"/>
  <c r="BP292" i="1"/>
  <c r="BN292" i="1"/>
  <c r="Z292" i="1"/>
  <c r="BP300" i="1"/>
  <c r="BN300" i="1"/>
  <c r="Z300" i="1"/>
  <c r="BP304" i="1"/>
  <c r="BN304" i="1"/>
  <c r="Z304" i="1"/>
  <c r="Y313" i="1"/>
  <c r="BP308" i="1"/>
  <c r="BN308" i="1"/>
  <c r="Z308" i="1"/>
  <c r="Z313" i="1" s="1"/>
  <c r="BP312" i="1"/>
  <c r="BN312" i="1"/>
  <c r="Z312" i="1"/>
  <c r="Y314" i="1"/>
  <c r="Y319" i="1"/>
  <c r="BP316" i="1"/>
  <c r="BN316" i="1"/>
  <c r="Z316" i="1"/>
  <c r="Z319" i="1" s="1"/>
  <c r="BP323" i="1"/>
  <c r="BN323" i="1"/>
  <c r="Z323" i="1"/>
  <c r="BP331" i="1"/>
  <c r="BN331" i="1"/>
  <c r="Z331" i="1"/>
  <c r="R500" i="1"/>
  <c r="Y339" i="1"/>
  <c r="BP336" i="1"/>
  <c r="BN336" i="1"/>
  <c r="Z336" i="1"/>
  <c r="Z339" i="1" s="1"/>
  <c r="BP346" i="1"/>
  <c r="BN346" i="1"/>
  <c r="Z346" i="1"/>
  <c r="BP350" i="1"/>
  <c r="BN350" i="1"/>
  <c r="Z350" i="1"/>
  <c r="Y357" i="1"/>
  <c r="BP354" i="1"/>
  <c r="BN354" i="1"/>
  <c r="Z354" i="1"/>
  <c r="Z356" i="1" s="1"/>
  <c r="Y361" i="1"/>
  <c r="BP375" i="1"/>
  <c r="BN375" i="1"/>
  <c r="Z375" i="1"/>
  <c r="Z376" i="1" s="1"/>
  <c r="Y377" i="1"/>
  <c r="Y382" i="1"/>
  <c r="BP379" i="1"/>
  <c r="BN379" i="1"/>
  <c r="Z379" i="1"/>
  <c r="Z381" i="1" s="1"/>
  <c r="U500" i="1"/>
  <c r="BP389" i="1"/>
  <c r="BN389" i="1"/>
  <c r="Z389" i="1"/>
  <c r="Z395" i="1" s="1"/>
  <c r="BP393" i="1"/>
  <c r="BN393" i="1"/>
  <c r="Z393" i="1"/>
  <c r="Y400" i="1"/>
  <c r="BP410" i="1"/>
  <c r="BN410" i="1"/>
  <c r="Z410" i="1"/>
  <c r="BP428" i="1"/>
  <c r="BN428" i="1"/>
  <c r="Z428" i="1"/>
  <c r="BP432" i="1"/>
  <c r="BN432" i="1"/>
  <c r="Z432" i="1"/>
  <c r="Y439" i="1"/>
  <c r="BP436" i="1"/>
  <c r="BN436" i="1"/>
  <c r="Z436" i="1"/>
  <c r="Y440" i="1"/>
  <c r="BP444" i="1"/>
  <c r="BN444" i="1"/>
  <c r="Z444" i="1"/>
  <c r="Y448" i="1"/>
  <c r="BP452" i="1"/>
  <c r="BN452" i="1"/>
  <c r="Z452" i="1"/>
  <c r="Z454" i="1" s="1"/>
  <c r="Y454" i="1"/>
  <c r="Y295" i="1"/>
  <c r="Y396" i="1"/>
  <c r="X500" i="1"/>
  <c r="Y433" i="1"/>
  <c r="BP424" i="1"/>
  <c r="BN424" i="1"/>
  <c r="BP426" i="1"/>
  <c r="BN426" i="1"/>
  <c r="Z426" i="1"/>
  <c r="BP430" i="1"/>
  <c r="BN430" i="1"/>
  <c r="Z430" i="1"/>
  <c r="BP438" i="1"/>
  <c r="BN438" i="1"/>
  <c r="Z438" i="1"/>
  <c r="Y449" i="1"/>
  <c r="BP442" i="1"/>
  <c r="BN442" i="1"/>
  <c r="Z442" i="1"/>
  <c r="Z448" i="1" s="1"/>
  <c r="BP446" i="1"/>
  <c r="BN446" i="1"/>
  <c r="Z446" i="1"/>
  <c r="Y455" i="1"/>
  <c r="BP460" i="1"/>
  <c r="BN460" i="1"/>
  <c r="Z460" i="1"/>
  <c r="BP468" i="1"/>
  <c r="BN468" i="1"/>
  <c r="Z468" i="1"/>
  <c r="Y475" i="1"/>
  <c r="BP472" i="1"/>
  <c r="BN472" i="1"/>
  <c r="Z472" i="1"/>
  <c r="Z474" i="1" s="1"/>
  <c r="Y483" i="1"/>
  <c r="Y500" i="1"/>
  <c r="Z351" i="1" l="1"/>
  <c r="Z305" i="1"/>
  <c r="Y492" i="1"/>
  <c r="Y490" i="1"/>
  <c r="Z463" i="1"/>
  <c r="Z439" i="1"/>
  <c r="Z469" i="1"/>
  <c r="Z332" i="1"/>
  <c r="Z326" i="1"/>
  <c r="Z275" i="1"/>
  <c r="Z235" i="1"/>
  <c r="Z216" i="1"/>
  <c r="Z150" i="1"/>
  <c r="Z144" i="1"/>
  <c r="Z117" i="1"/>
  <c r="Z43" i="1"/>
  <c r="Z31" i="1"/>
  <c r="Z495" i="1" s="1"/>
  <c r="Y494" i="1"/>
  <c r="Y491" i="1"/>
  <c r="Z412" i="1"/>
  <c r="Y493" i="1" l="1"/>
</calcChain>
</file>

<file path=xl/sharedStrings.xml><?xml version="1.0" encoding="utf-8"?>
<sst xmlns="http://schemas.openxmlformats.org/spreadsheetml/2006/main" count="2355" uniqueCount="766">
  <si>
    <t xml:space="preserve">  БЛАНК ЗАКАЗА </t>
  </si>
  <si>
    <t>КИ</t>
  </si>
  <si>
    <t>на отгрузку продукции с ООО Трейд-Сервис с</t>
  </si>
  <si>
    <t>03.11.2025</t>
  </si>
  <si>
    <t>бланк создан</t>
  </si>
  <si>
    <t>29.10.2025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</si>
  <si>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</si>
  <si>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</si>
  <si>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</si>
  <si>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</si>
  <si>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</si>
  <si>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</si>
  <si>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</si>
  <si>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</si>
  <si>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</si>
  <si>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</si>
  <si>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</si>
  <si>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</si>
  <si>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</si>
  <si>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</si>
  <si>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</si>
  <si>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</si>
  <si>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</si>
  <si>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</si>
  <si>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</si>
  <si>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</si>
  <si>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</si>
  <si>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</si>
  <si>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</si>
  <si>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</si>
  <si>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</si>
  <si>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</si>
  <si>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</si>
  <si>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</si>
  <si>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</si>
  <si>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</si>
  <si>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</si>
  <si>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</si>
  <si>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</si>
  <si>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</si>
  <si>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</si>
  <si>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</si>
  <si>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</si>
  <si>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</si>
  <si>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</si>
  <si>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</si>
  <si>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</si>
  <si>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</si>
  <si>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</si>
  <si>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</si>
  <si>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</si>
  <si>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</si>
  <si>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</si>
  <si>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</si>
  <si>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</si>
  <si>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</si>
  <si>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</si>
  <si>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</si>
  <si>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</si>
  <si>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</si>
  <si>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</si>
  <si>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</si>
  <si>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</si>
  <si>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</si>
  <si>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</si>
  <si>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</si>
  <si>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</si>
  <si>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</si>
  <si>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</si>
  <si>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</si>
  <si>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</si>
  <si>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</si>
  <si>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</si>
  <si>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</si>
  <si>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</si>
  <si>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</si>
  <si>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</si>
  <si>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</si>
  <si>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</si>
  <si>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</si>
  <si>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</si>
  <si>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</si>
  <si>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</si>
  <si>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</si>
  <si>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</si>
  <si>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</si>
  <si>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</si>
  <si>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</si>
  <si>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</si>
  <si>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</si>
  <si>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</si>
  <si>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</si>
  <si>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</si>
  <si>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</si>
  <si>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</si>
  <si>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</si>
  <si>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</si>
  <si>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</si>
  <si>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</si>
  <si>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</si>
  <si>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</si>
  <si>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</si>
  <si>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</si>
  <si>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</si>
  <si>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</si>
  <si>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</si>
  <si>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</si>
  <si>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</si>
  <si>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</si>
  <si>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</si>
  <si>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</si>
  <si>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</si>
  <si>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</si>
  <si>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</si>
  <si>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</si>
  <si>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</si>
  <si>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</si>
  <si>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</si>
  <si>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</si>
  <si>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</si>
  <si>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</si>
  <si>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</si>
  <si>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</si>
  <si>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</si>
  <si>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</si>
  <si>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</si>
  <si>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</si>
  <si>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</si>
  <si>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</si>
  <si>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</si>
  <si>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</si>
  <si>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</si>
  <si>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</si>
  <si>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</si>
  <si>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</si>
  <si>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</si>
  <si>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</si>
  <si>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</si>
  <si>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</si>
  <si>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</si>
  <si>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</si>
  <si>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</si>
  <si>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</si>
  <si>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</si>
  <si>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</si>
  <si>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</si>
  <si>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</si>
  <si>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</si>
  <si>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</si>
  <si>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</si>
  <si>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</si>
  <si>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</si>
  <si>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</si>
  <si>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</si>
  <si>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</si>
  <si>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</si>
  <si>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</si>
  <si>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</si>
  <si>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Д-RU.РА09.В.07930/25, ЕАЭС N RU Д-RU.РА09.В.08380/25</t>
  </si>
  <si>
    <t>SU002825</t>
  </si>
  <si>
    <t>P004554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</si>
  <si>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</si>
  <si>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</si>
  <si>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</si>
  <si>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</si>
  <si>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</si>
  <si>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</si>
  <si>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</si>
  <si>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</si>
  <si>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Д-RU.РА01.В.63000/23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</si>
  <si>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</si>
  <si>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</si>
  <si>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</si>
  <si>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</si>
  <si>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</si>
  <si>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</si>
  <si>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</si>
  <si>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</si>
  <si>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</si>
  <si>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</si>
  <si>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</si>
  <si>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</si>
  <si>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</si>
  <si>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</si>
  <si>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</si>
  <si>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</si>
  <si>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</si>
  <si>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</si>
  <si>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</si>
  <si>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</si>
  <si>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</si>
  <si>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</si>
  <si>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</si>
  <si>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</si>
  <si>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</si>
  <si>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</si>
  <si>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</si>
  <si>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</si>
  <si>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</si>
  <si>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</si>
  <si>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</si>
  <si>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</si>
  <si>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</si>
  <si>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</si>
  <si>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</si>
  <si>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</si>
  <si>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</si>
  <si>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</si>
  <si>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</si>
  <si>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</si>
  <si>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</si>
  <si>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</si>
  <si>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</si>
  <si>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</si>
  <si>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</si>
  <si>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</si>
  <si>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</si>
  <si>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</si>
  <si>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</si>
  <si>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</si>
  <si>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</si>
  <si>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</si>
  <si>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</si>
  <si>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</si>
  <si>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</si>
  <si>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</si>
  <si>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</si>
  <si>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</si>
  <si>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</si>
  <si>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</si>
  <si>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</si>
  <si>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</si>
  <si>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</si>
  <si>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</si>
  <si>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</si>
  <si>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</si>
  <si>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Новинка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</si>
  <si>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</si>
  <si>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</si>
  <si>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</si>
  <si>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</si>
  <si>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</si>
  <si>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</si>
  <si>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</si>
  <si>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</si>
  <si>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</si>
  <si>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</si>
  <si>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</si>
  <si>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</si>
  <si>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</si>
  <si>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</si>
  <si>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</si>
  <si>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</si>
  <si>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</si>
  <si>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</si>
  <si>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</si>
  <si>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</si>
  <si>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</si>
  <si>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</si>
  <si>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</si>
  <si>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</si>
  <si>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</si>
  <si>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</si>
  <si>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</si>
  <si>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</si>
  <si>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</si>
  <si>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</si>
  <si>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</si>
  <si>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</si>
  <si>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</si>
  <si>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</si>
  <si>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</si>
  <si>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</si>
  <si>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</si>
  <si>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</si>
  <si>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</si>
  <si>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</si>
  <si>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</si>
  <si>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</si>
  <si>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</si>
  <si>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</si>
  <si>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</si>
  <si>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</si>
  <si>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</si>
  <si>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</si>
  <si>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</si>
  <si>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</si>
  <si>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</si>
  <si>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</si>
  <si>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</si>
  <si>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</si>
  <si>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</si>
  <si>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</si>
  <si>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</si>
  <si>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</si>
  <si>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</si>
  <si>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</si>
  <si>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</si>
  <si>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</si>
  <si>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</si>
  <si>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</si>
  <si>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</si>
  <si>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</si>
  <si>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</si>
  <si>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</si>
  <si>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</si>
  <si>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</si>
  <si>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</si>
  <si>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</si>
  <si>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</si>
  <si>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</si>
  <si>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</si>
  <si>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</si>
  <si>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</si>
  <si>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</si>
  <si>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</si>
  <si>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</si>
  <si>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</si>
  <si>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</si>
  <si>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</si>
  <si>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</si>
  <si>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</si>
  <si>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</si>
  <si>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</si>
  <si>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</si>
  <si>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</si>
  <si>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</si>
  <si>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</si>
  <si>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</si>
  <si>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</si>
  <si>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</si>
  <si>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</si>
  <si>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</si>
  <si>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</si>
  <si>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</si>
  <si>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</si>
  <si>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</si>
  <si>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</si>
  <si>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</si>
  <si>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</si>
  <si>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</si>
  <si>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</si>
  <si>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</si>
  <si>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</si>
  <si>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</si>
  <si>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</si>
  <si>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</si>
  <si>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</si>
  <si>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</si>
  <si>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</si>
  <si>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</si>
  <si>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</si>
  <si>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</si>
  <si>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</si>
  <si>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</si>
  <si>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</si>
  <si>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</si>
  <si>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</si>
  <si>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</si>
  <si>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</si>
  <si>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</si>
  <si>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</si>
  <si>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</si>
  <si>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</si>
  <si>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</si>
  <si>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</si>
  <si>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</si>
  <si>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</si>
  <si>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</si>
  <si>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</si>
  <si>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</si>
  <si>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</si>
  <si>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</si>
  <si>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</si>
  <si>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</si>
  <si>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</si>
  <si>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</si>
  <si>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</si>
  <si>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</si>
  <si>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</si>
  <si>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</si>
  <si>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</si>
  <si>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</si>
  <si>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</si>
  <si>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</si>
  <si>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</si>
  <si>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</si>
  <si>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</si>
  <si>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</si>
  <si>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</si>
  <si>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</si>
  <si>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</si>
  <si>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</si>
  <si>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</si>
  <si>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</si>
  <si>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</si>
  <si>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</si>
  <si>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</si>
  <si>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</si>
  <si>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</si>
  <si>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</si>
  <si>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</si>
  <si>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</si>
  <si>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</si>
  <si>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</si>
  <si>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</si>
  <si>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</si>
  <si>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</si>
  <si>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</si>
  <si>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</si>
  <si>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</si>
  <si>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</si>
  <si>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</si>
  <si>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</si>
  <si>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</si>
  <si>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</si>
  <si>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</si>
  <si>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</si>
  <si>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</si>
  <si>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</si>
  <si>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</si>
  <si>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</si>
  <si>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</si>
  <si>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</si>
  <si>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</si>
  <si>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</si>
  <si>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</si>
  <si>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</si>
  <si>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</si>
  <si>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</si>
  <si>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</si>
  <si>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</si>
  <si>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</si>
  <si>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</si>
  <si>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</si>
  <si>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</si>
  <si>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</si>
  <si>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</si>
  <si>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</si>
  <si>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</si>
  <si>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</si>
  <si>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</si>
  <si>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</si>
  <si>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</si>
  <si>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</si>
  <si>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</si>
  <si>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</si>
  <si>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</si>
  <si>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</si>
  <si>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</si>
  <si>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</si>
  <si>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</si>
  <si>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</si>
  <si>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</si>
  <si>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</si>
  <si>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</si>
  <si>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</si>
  <si>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</si>
  <si>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</si>
  <si>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</si>
  <si>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</si>
  <si>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</si>
  <si>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</si>
  <si>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</si>
  <si>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</si>
  <si>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</si>
  <si>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</si>
  <si>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</si>
  <si>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</si>
  <si>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</si>
  <si>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</si>
  <si>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</si>
  <si>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</si>
  <si>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</si>
  <si>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</si>
  <si>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</si>
  <si>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</si>
  <si>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</si>
  <si>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</si>
  <si>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</si>
  <si>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</si>
  <si>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</si>
  <si>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</si>
  <si>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</si>
  <si>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</si>
  <si>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</si>
  <si>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</si>
  <si>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</si>
  <si>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</si>
  <si>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</si>
  <si>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</si>
  <si>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</si>
  <si>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</si>
  <si>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</si>
  <si>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</si>
  <si>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</si>
  <si>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</si>
  <si>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</si>
  <si>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</si>
  <si>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</si>
  <si>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</si>
  <si>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</si>
  <si>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</si>
  <si>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</si>
  <si>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</si>
  <si>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</si>
  <si>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</si>
  <si>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</si>
  <si>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</si>
  <si>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</si>
  <si>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</si>
  <si>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</si>
  <si>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</si>
  <si>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</si>
  <si>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</si>
  <si>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</si>
  <si>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</si>
  <si>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</si>
  <si>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</si>
  <si>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</si>
  <si>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</si>
  <si>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</si>
  <si>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</si>
  <si>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</si>
  <si>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</si>
  <si>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</si>
  <si>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</si>
  <si>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</si>
  <si>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</si>
  <si>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</si>
  <si>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</si>
  <si>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</si>
  <si>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</si>
  <si>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</si>
  <si>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</si>
  <si>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</si>
  <si>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</si>
  <si>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</si>
  <si>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</si>
  <si>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</si>
  <si>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</si>
  <si>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</si>
  <si>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</si>
  <si>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</si>
  <si>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</si>
  <si>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</si>
  <si>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</si>
  <si>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P002584</t>
  </si>
  <si>
    <t>ЕАЭС N RU Д-RU.РА09.В.35957/22</t>
  </si>
  <si>
    <t>SU003420</t>
  </si>
  <si>
    <t>P004252</t>
  </si>
  <si>
    <t>ЕАЭС N RU Д-RU.РА09.В.21652/25, ЕАЭС N RU Д-RU.РА10.В.85286/23, ЕАЭС N RU Д-RU.РА10.В.85449/23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</si>
  <si>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</si>
  <si>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</si>
  <si>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</si>
  <si>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</si>
  <si>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</si>
  <si>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</si>
  <si>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</si>
  <si>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</si>
  <si>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</si>
  <si>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</si>
  <si>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</si>
  <si>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</si>
  <si>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</si>
  <si>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</si>
  <si>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</si>
  <si>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</si>
  <si>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</si>
  <si>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</si>
  <si>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</si>
  <si>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</si>
  <si>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</si>
  <si>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</si>
  <si>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</si>
  <si>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</si>
  <si>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</si>
  <si>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</si>
  <si>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</si>
  <si>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</si>
  <si>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</si>
  <si>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</si>
  <si>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</si>
  <si>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</si>
  <si>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</si>
  <si>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</si>
  <si>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</si>
  <si>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</si>
  <si>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</si>
  <si>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</si>
  <si>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</si>
  <si>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</si>
  <si>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</si>
  <si>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</si>
  <si>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</si>
  <si>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</si>
  <si>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</si>
  <si>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</si>
  <si>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</si>
  <si>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</si>
  <si>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</si>
  <si>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</si>
  <si>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</si>
  <si>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</si>
  <si>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</si>
  <si>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</si>
  <si>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</si>
  <si>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</si>
  <si>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</si>
  <si>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</si>
  <si>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</si>
  <si>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</si>
  <si>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</si>
  <si>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</si>
  <si>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</si>
  <si>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</si>
  <si>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</si>
  <si>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</si>
  <si>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</si>
  <si>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</si>
  <si>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</si>
  <si>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</si>
  <si>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</si>
  <si>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</si>
  <si>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</si>
  <si>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</si>
  <si>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</si>
  <si>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</si>
  <si>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</si>
  <si>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</si>
  <si>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</si>
  <si>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</si>
  <si>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</si>
  <si>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</si>
  <si>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</si>
  <si>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</si>
  <si>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</si>
  <si>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</si>
  <si>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</si>
  <si>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</si>
  <si>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</si>
  <si>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</si>
  <si>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</si>
  <si>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</si>
  <si>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</si>
  <si>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</si>
  <si>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</si>
  <si>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</si>
  <si>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</si>
  <si>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</si>
  <si>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</si>
  <si>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</si>
  <si>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</si>
  <si>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</si>
  <si>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</si>
  <si>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</si>
  <si>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</si>
  <si>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</si>
  <si>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</si>
  <si>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</si>
  <si>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</si>
  <si>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</si>
  <si>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</si>
  <si>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</si>
  <si>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</si>
  <si>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</si>
  <si>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</si>
  <si>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</si>
  <si>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</si>
  <si>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</si>
  <si>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</si>
  <si>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</si>
  <si>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</si>
  <si>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</si>
  <si>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</si>
  <si>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</si>
  <si>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</si>
  <si>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</si>
  <si>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Д-RU.РА04.В.72302/24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</si>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</sst>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7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0"/>
  <sheetViews>
    <sheetView showGridLines="0" tabSelected="1" topLeftCell="A477" zoomScaleNormal="100" zoomScaleSheetLayoutView="100" workbookViewId="0">
      <selection activeCell="AA496" sqref="AA496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23" t="s">
        <v>0</v>
      </c>
      <c r="E1" s="574"/>
      <c r="F1" s="574"/>
      <c r="G1" s="12" t="s">
        <v>1</v>
      </c>
      <c r="H1" s="623" t="s">
        <v>2</v>
      </c>
      <c r="I1" s="574"/>
      <c r="J1" s="574"/>
      <c r="K1" s="574"/>
      <c r="L1" s="574"/>
      <c r="M1" s="574"/>
      <c r="N1" s="574"/>
      <c r="O1" s="574"/>
      <c r="P1" s="574"/>
      <c r="Q1" s="574"/>
      <c r="R1" s="573" t="s">
        <v>3</v>
      </c>
      <c r="S1" s="574"/>
      <c r="T1" s="57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70" t="s">
        <v>8</v>
      </c>
      <c r="B5" s="643"/>
      <c r="C5" s="644"/>
      <c r="D5" s="627"/>
      <c r="E5" s="628"/>
      <c r="F5" s="837" t="s">
        <v>9</v>
      </c>
      <c r="G5" s="644"/>
      <c r="H5" s="627"/>
      <c r="I5" s="781"/>
      <c r="J5" s="781"/>
      <c r="K5" s="781"/>
      <c r="L5" s="781"/>
      <c r="M5" s="628"/>
      <c r="N5" s="58"/>
      <c r="P5" s="24" t="s">
        <v>10</v>
      </c>
      <c r="Q5" s="846">
        <v>45967</v>
      </c>
      <c r="R5" s="669"/>
      <c r="T5" s="708" t="s">
        <v>11</v>
      </c>
      <c r="U5" s="709"/>
      <c r="V5" s="711" t="s">
        <v>12</v>
      </c>
      <c r="W5" s="669"/>
      <c r="AB5" s="51"/>
      <c r="AC5" s="51"/>
      <c r="AD5" s="51"/>
      <c r="AE5" s="51"/>
    </row>
    <row r="6" spans="1:32" s="537" customFormat="1" ht="24" customHeight="1" x14ac:dyDescent="0.2">
      <c r="A6" s="670" t="s">
        <v>13</v>
      </c>
      <c r="B6" s="643"/>
      <c r="C6" s="644"/>
      <c r="D6" s="784" t="s">
        <v>14</v>
      </c>
      <c r="E6" s="785"/>
      <c r="F6" s="785"/>
      <c r="G6" s="785"/>
      <c r="H6" s="785"/>
      <c r="I6" s="785"/>
      <c r="J6" s="785"/>
      <c r="K6" s="785"/>
      <c r="L6" s="785"/>
      <c r="M6" s="669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18" t="s">
        <v>16</v>
      </c>
      <c r="U6" s="709"/>
      <c r="V6" s="767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4" t="str">
        <f>IFERROR(VLOOKUP(DeliveryAddress,Table,3,0),1)</f>
        <v>1</v>
      </c>
      <c r="E7" s="605"/>
      <c r="F7" s="605"/>
      <c r="G7" s="605"/>
      <c r="H7" s="605"/>
      <c r="I7" s="605"/>
      <c r="J7" s="605"/>
      <c r="K7" s="605"/>
      <c r="L7" s="605"/>
      <c r="M7" s="606"/>
      <c r="N7" s="60"/>
      <c r="P7" s="24"/>
      <c r="Q7" s="42"/>
      <c r="R7" s="42"/>
      <c r="T7" s="554"/>
      <c r="U7" s="709"/>
      <c r="V7" s="768"/>
      <c r="W7" s="769"/>
      <c r="AB7" s="51"/>
      <c r="AC7" s="51"/>
      <c r="AD7" s="51"/>
      <c r="AE7" s="51"/>
    </row>
    <row r="8" spans="1:32" s="537" customFormat="1" ht="25.5" customHeight="1" x14ac:dyDescent="0.2">
      <c r="A8" s="866" t="s">
        <v>18</v>
      </c>
      <c r="B8" s="563"/>
      <c r="C8" s="564"/>
      <c r="D8" s="615" t="s">
        <v>19</v>
      </c>
      <c r="E8" s="616"/>
      <c r="F8" s="616"/>
      <c r="G8" s="616"/>
      <c r="H8" s="616"/>
      <c r="I8" s="616"/>
      <c r="J8" s="616"/>
      <c r="K8" s="616"/>
      <c r="L8" s="616"/>
      <c r="M8" s="617"/>
      <c r="N8" s="61"/>
      <c r="P8" s="24" t="s">
        <v>20</v>
      </c>
      <c r="Q8" s="676">
        <v>0.41666666666666669</v>
      </c>
      <c r="R8" s="606"/>
      <c r="T8" s="554"/>
      <c r="U8" s="709"/>
      <c r="V8" s="768"/>
      <c r="W8" s="769"/>
      <c r="AB8" s="51"/>
      <c r="AC8" s="51"/>
      <c r="AD8" s="51"/>
      <c r="AE8" s="51"/>
    </row>
    <row r="9" spans="1:32" s="537" customFormat="1" ht="39.950000000000003" customHeight="1" x14ac:dyDescent="0.2">
      <c r="A9" s="68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6"/>
      <c r="E9" s="561"/>
      <c r="F9" s="68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5"/>
      <c r="P9" s="26" t="s">
        <v>21</v>
      </c>
      <c r="Q9" s="665"/>
      <c r="R9" s="666"/>
      <c r="T9" s="554"/>
      <c r="U9" s="709"/>
      <c r="V9" s="770"/>
      <c r="W9" s="771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8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6"/>
      <c r="E10" s="561"/>
      <c r="F10" s="68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0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19"/>
      <c r="R10" s="720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68"/>
      <c r="R11" s="669"/>
      <c r="U11" s="24" t="s">
        <v>27</v>
      </c>
      <c r="V11" s="805" t="s">
        <v>28</v>
      </c>
      <c r="W11" s="666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3" t="s">
        <v>29</v>
      </c>
      <c r="B12" s="643"/>
      <c r="C12" s="643"/>
      <c r="D12" s="643"/>
      <c r="E12" s="643"/>
      <c r="F12" s="643"/>
      <c r="G12" s="643"/>
      <c r="H12" s="643"/>
      <c r="I12" s="643"/>
      <c r="J12" s="643"/>
      <c r="K12" s="643"/>
      <c r="L12" s="643"/>
      <c r="M12" s="644"/>
      <c r="N12" s="62"/>
      <c r="P12" s="24" t="s">
        <v>30</v>
      </c>
      <c r="Q12" s="676"/>
      <c r="R12" s="606"/>
      <c r="S12" s="23"/>
      <c r="U12" s="24"/>
      <c r="V12" s="574"/>
      <c r="W12" s="554"/>
      <c r="AB12" s="51"/>
      <c r="AC12" s="51"/>
      <c r="AD12" s="51"/>
      <c r="AE12" s="51"/>
    </row>
    <row r="13" spans="1:32" s="537" customFormat="1" ht="23.25" customHeight="1" x14ac:dyDescent="0.2">
      <c r="A13" s="703" t="s">
        <v>31</v>
      </c>
      <c r="B13" s="643"/>
      <c r="C13" s="643"/>
      <c r="D13" s="643"/>
      <c r="E13" s="643"/>
      <c r="F13" s="643"/>
      <c r="G13" s="643"/>
      <c r="H13" s="643"/>
      <c r="I13" s="643"/>
      <c r="J13" s="643"/>
      <c r="K13" s="643"/>
      <c r="L13" s="643"/>
      <c r="M13" s="644"/>
      <c r="N13" s="62"/>
      <c r="O13" s="26"/>
      <c r="P13" s="26" t="s">
        <v>32</v>
      </c>
      <c r="Q13" s="805"/>
      <c r="R13" s="66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3" t="s">
        <v>33</v>
      </c>
      <c r="B14" s="643"/>
      <c r="C14" s="643"/>
      <c r="D14" s="643"/>
      <c r="E14" s="643"/>
      <c r="F14" s="643"/>
      <c r="G14" s="643"/>
      <c r="H14" s="643"/>
      <c r="I14" s="643"/>
      <c r="J14" s="643"/>
      <c r="K14" s="643"/>
      <c r="L14" s="643"/>
      <c r="M14" s="64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5" t="s">
        <v>34</v>
      </c>
      <c r="B15" s="643"/>
      <c r="C15" s="643"/>
      <c r="D15" s="643"/>
      <c r="E15" s="643"/>
      <c r="F15" s="643"/>
      <c r="G15" s="643"/>
      <c r="H15" s="643"/>
      <c r="I15" s="643"/>
      <c r="J15" s="643"/>
      <c r="K15" s="643"/>
      <c r="L15" s="643"/>
      <c r="M15" s="644"/>
      <c r="N15" s="63"/>
      <c r="P15" s="696" t="s">
        <v>35</v>
      </c>
      <c r="Q15" s="574"/>
      <c r="R15" s="574"/>
      <c r="S15" s="574"/>
      <c r="T15" s="57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7"/>
      <c r="Q16" s="697"/>
      <c r="R16" s="697"/>
      <c r="S16" s="697"/>
      <c r="T16" s="69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4" t="s">
        <v>36</v>
      </c>
      <c r="B17" s="584" t="s">
        <v>37</v>
      </c>
      <c r="C17" s="683" t="s">
        <v>38</v>
      </c>
      <c r="D17" s="584" t="s">
        <v>39</v>
      </c>
      <c r="E17" s="652"/>
      <c r="F17" s="584" t="s">
        <v>40</v>
      </c>
      <c r="G17" s="584" t="s">
        <v>41</v>
      </c>
      <c r="H17" s="584" t="s">
        <v>42</v>
      </c>
      <c r="I17" s="584" t="s">
        <v>43</v>
      </c>
      <c r="J17" s="584" t="s">
        <v>44</v>
      </c>
      <c r="K17" s="584" t="s">
        <v>45</v>
      </c>
      <c r="L17" s="584" t="s">
        <v>46</v>
      </c>
      <c r="M17" s="584" t="s">
        <v>47</v>
      </c>
      <c r="N17" s="584" t="s">
        <v>48</v>
      </c>
      <c r="O17" s="584" t="s">
        <v>49</v>
      </c>
      <c r="P17" s="584" t="s">
        <v>50</v>
      </c>
      <c r="Q17" s="651"/>
      <c r="R17" s="651"/>
      <c r="S17" s="651"/>
      <c r="T17" s="652"/>
      <c r="U17" s="865" t="s">
        <v>51</v>
      </c>
      <c r="V17" s="644"/>
      <c r="W17" s="584" t="s">
        <v>52</v>
      </c>
      <c r="X17" s="584" t="s">
        <v>53</v>
      </c>
      <c r="Y17" s="863" t="s">
        <v>54</v>
      </c>
      <c r="Z17" s="779" t="s">
        <v>55</v>
      </c>
      <c r="AA17" s="758" t="s">
        <v>56</v>
      </c>
      <c r="AB17" s="758" t="s">
        <v>57</v>
      </c>
      <c r="AC17" s="758" t="s">
        <v>58</v>
      </c>
      <c r="AD17" s="758" t="s">
        <v>59</v>
      </c>
      <c r="AE17" s="832"/>
      <c r="AF17" s="833"/>
      <c r="AG17" s="66"/>
      <c r="BD17" s="65" t="s">
        <v>60</v>
      </c>
    </row>
    <row r="18" spans="1:68" ht="14.25" customHeight="1" x14ac:dyDescent="0.2">
      <c r="A18" s="585"/>
      <c r="B18" s="585"/>
      <c r="C18" s="585"/>
      <c r="D18" s="653"/>
      <c r="E18" s="655"/>
      <c r="F18" s="585"/>
      <c r="G18" s="585"/>
      <c r="H18" s="585"/>
      <c r="I18" s="585"/>
      <c r="J18" s="585"/>
      <c r="K18" s="585"/>
      <c r="L18" s="585"/>
      <c r="M18" s="585"/>
      <c r="N18" s="585"/>
      <c r="O18" s="585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5"/>
      <c r="X18" s="585"/>
      <c r="Y18" s="864"/>
      <c r="Z18" s="780"/>
      <c r="AA18" s="759"/>
      <c r="AB18" s="759"/>
      <c r="AC18" s="759"/>
      <c r="AD18" s="834"/>
      <c r="AE18" s="835"/>
      <c r="AF18" s="836"/>
      <c r="AG18" s="66"/>
      <c r="BD18" s="65"/>
    </row>
    <row r="19" spans="1:68" ht="27.75" customHeight="1" x14ac:dyDescent="0.2">
      <c r="A19" s="566" t="s">
        <v>63</v>
      </c>
      <c r="B19" s="567"/>
      <c r="C19" s="567"/>
      <c r="D19" s="567"/>
      <c r="E19" s="567"/>
      <c r="F19" s="567"/>
      <c r="G19" s="567"/>
      <c r="H19" s="567"/>
      <c r="I19" s="567"/>
      <c r="J19" s="567"/>
      <c r="K19" s="567"/>
      <c r="L19" s="567"/>
      <c r="M19" s="567"/>
      <c r="N19" s="567"/>
      <c r="O19" s="567"/>
      <c r="P19" s="567"/>
      <c r="Q19" s="567"/>
      <c r="R19" s="567"/>
      <c r="S19" s="567"/>
      <c r="T19" s="567"/>
      <c r="U19" s="567"/>
      <c r="V19" s="567"/>
      <c r="W19" s="567"/>
      <c r="X19" s="567"/>
      <c r="Y19" s="567"/>
      <c r="Z19" s="567"/>
      <c r="AA19" s="48"/>
      <c r="AB19" s="48"/>
      <c r="AC19" s="48"/>
    </row>
    <row r="20" spans="1:68" ht="16.5" customHeight="1" x14ac:dyDescent="0.25">
      <c r="A20" s="559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customHeight="1" x14ac:dyDescent="0.25">
      <c r="A21" s="558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customHeight="1" x14ac:dyDescent="0.25">
      <c r="A25" s="558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0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customHeight="1" x14ac:dyDescent="0.25">
      <c r="A33" s="558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customHeight="1" x14ac:dyDescent="0.2">
      <c r="A37" s="566" t="s">
        <v>99</v>
      </c>
      <c r="B37" s="567"/>
      <c r="C37" s="567"/>
      <c r="D37" s="567"/>
      <c r="E37" s="567"/>
      <c r="F37" s="567"/>
      <c r="G37" s="567"/>
      <c r="H37" s="567"/>
      <c r="I37" s="567"/>
      <c r="J37" s="567"/>
      <c r="K37" s="567"/>
      <c r="L37" s="567"/>
      <c r="M37" s="567"/>
      <c r="N37" s="567"/>
      <c r="O37" s="567"/>
      <c r="P37" s="567"/>
      <c r="Q37" s="567"/>
      <c r="R37" s="567"/>
      <c r="S37" s="567"/>
      <c r="T37" s="567"/>
      <c r="U37" s="567"/>
      <c r="V37" s="567"/>
      <c r="W37" s="567"/>
      <c r="X37" s="567"/>
      <c r="Y37" s="567"/>
      <c r="Z37" s="567"/>
      <c r="AA37" s="48"/>
      <c r="AB37" s="48"/>
      <c r="AC37" s="48"/>
    </row>
    <row r="38" spans="1:68" ht="16.5" customHeight="1" x14ac:dyDescent="0.25">
      <c r="A38" s="559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customHeight="1" x14ac:dyDescent="0.25">
      <c r="A39" s="558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11.234999999999999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206</v>
      </c>
      <c r="Y40" s="544">
        <f>IFERROR(IF(X40="",0,CEILING((X40/$H40),1)*$H40),"")</f>
        <v>216</v>
      </c>
      <c r="Z40" s="36">
        <f>IFERROR(IF(Y40=0,"",ROUNDUP(Y40/H40,0)*0.01898),"")</f>
        <v>0.37959999999999999</v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214.29722222222219</v>
      </c>
      <c r="BN40" s="64">
        <f>IFERROR(Y40*I40/H40,"0")</f>
        <v>224.69999999999996</v>
      </c>
      <c r="BO40" s="64">
        <f>IFERROR(1/J40*(X40/H40),"0")</f>
        <v>0.29803240740740738</v>
      </c>
      <c r="BP40" s="64">
        <f>IFERROR(1/J40*(Y40/H40),"0")</f>
        <v>0.3125</v>
      </c>
    </row>
    <row r="41" spans="1:68" ht="27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4.21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1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242</v>
      </c>
      <c r="Y41" s="544">
        <f>IFERROR(IF(X41="",0,CEILING((X41/$H41),1)*$H41),"")</f>
        <v>244</v>
      </c>
      <c r="Z41" s="36">
        <f>IFERROR(IF(Y41=0,"",ROUNDUP(Y41/H41,0)*0.00902),"")</f>
        <v>0.55022000000000004</v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254.70499999999998</v>
      </c>
      <c r="BN41" s="64">
        <f>IFERROR(Y41*I41/H41,"0")</f>
        <v>256.81</v>
      </c>
      <c r="BO41" s="64">
        <f>IFERROR(1/J41*(X41/H41),"0")</f>
        <v>0.45833333333333337</v>
      </c>
      <c r="BP41" s="64">
        <f>IFERROR(1/J41*(Y41/H41),"0")</f>
        <v>0.46212121212121215</v>
      </c>
    </row>
    <row r="42" spans="1:68" ht="27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3.91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5">
        <f>IFERROR(X40/H40,"0")+IFERROR(X41/H41,"0")+IFERROR(X42/H42,"0")</f>
        <v>79.574074074074076</v>
      </c>
      <c r="Y43" s="545">
        <f>IFERROR(Y40/H40,"0")+IFERROR(Y41/H41,"0")+IFERROR(Y42/H42,"0")</f>
        <v>81</v>
      </c>
      <c r="Z43" s="545">
        <f>IFERROR(IF(Z40="",0,Z40),"0")+IFERROR(IF(Z41="",0,Z41),"0")+IFERROR(IF(Z42="",0,Z42),"0")</f>
        <v>0.92982000000000009</v>
      </c>
      <c r="AA43" s="546"/>
      <c r="AB43" s="546"/>
      <c r="AC43" s="546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5">
        <f>IFERROR(SUM(X40:X42),"0")</f>
        <v>448</v>
      </c>
      <c r="Y44" s="545">
        <f>IFERROR(SUM(Y40:Y42),"0")</f>
        <v>460</v>
      </c>
      <c r="Z44" s="37"/>
      <c r="AA44" s="546"/>
      <c r="AB44" s="546"/>
      <c r="AC44" s="546"/>
    </row>
    <row r="45" spans="1:68" ht="14.25" customHeight="1" x14ac:dyDescent="0.25">
      <c r="A45" s="558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9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customHeight="1" x14ac:dyDescent="0.25">
      <c r="A49" s="559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customHeight="1" x14ac:dyDescent="0.25">
      <c r="A50" s="558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11.635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11.234999999999999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386</v>
      </c>
      <c r="Y52" s="544">
        <f t="shared" si="0"/>
        <v>388.8</v>
      </c>
      <c r="Z52" s="36">
        <f>IFERROR(IF(Y52=0,"",ROUNDUP(Y52/H52,0)*0.01898),"")</f>
        <v>0.68328</v>
      </c>
      <c r="AA52" s="56"/>
      <c r="AB52" s="57"/>
      <c r="AC52" s="93" t="s">
        <v>123</v>
      </c>
      <c r="AG52" s="64"/>
      <c r="AJ52" s="68" t="s">
        <v>90</v>
      </c>
      <c r="AK52" s="68">
        <v>10.8</v>
      </c>
      <c r="BB52" s="94" t="s">
        <v>1</v>
      </c>
      <c r="BM52" s="64">
        <f t="shared" si="1"/>
        <v>401.54722222222222</v>
      </c>
      <c r="BN52" s="64">
        <f t="shared" si="2"/>
        <v>404.45999999999992</v>
      </c>
      <c r="BO52" s="64">
        <f t="shared" si="3"/>
        <v>0.55844907407407407</v>
      </c>
      <c r="BP52" s="64">
        <f t="shared" si="4"/>
        <v>0.5625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5.01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4.21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7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4.71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8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362</v>
      </c>
      <c r="Y56" s="544">
        <f t="shared" si="0"/>
        <v>364.5</v>
      </c>
      <c r="Z56" s="36">
        <f>IFERROR(IF(Y56=0,"",ROUNDUP(Y56/H56,0)*0.00902),"")</f>
        <v>0.73062000000000005</v>
      </c>
      <c r="AA56" s="56"/>
      <c r="AB56" s="57"/>
      <c r="AC56" s="101" t="s">
        <v>135</v>
      </c>
      <c r="AG56" s="64"/>
      <c r="AJ56" s="68" t="s">
        <v>90</v>
      </c>
      <c r="AK56" s="68">
        <v>4.5</v>
      </c>
      <c r="BB56" s="102" t="s">
        <v>1</v>
      </c>
      <c r="BM56" s="64">
        <f t="shared" si="1"/>
        <v>378.89333333333332</v>
      </c>
      <c r="BN56" s="64">
        <f t="shared" si="2"/>
        <v>381.51</v>
      </c>
      <c r="BO56" s="64">
        <f t="shared" si="3"/>
        <v>0.60942760942760943</v>
      </c>
      <c r="BP56" s="64">
        <f t="shared" si="4"/>
        <v>0.61363636363636365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5">
        <f>IFERROR(X51/H51,"0")+IFERROR(X52/H52,"0")+IFERROR(X53/H53,"0")+IFERROR(X54/H54,"0")+IFERROR(X55/H55,"0")+IFERROR(X56/H56,"0")</f>
        <v>116.18518518518519</v>
      </c>
      <c r="Y57" s="545">
        <f>IFERROR(Y51/H51,"0")+IFERROR(Y52/H52,"0")+IFERROR(Y53/H53,"0")+IFERROR(Y54/H54,"0")+IFERROR(Y55/H55,"0")+IFERROR(Y56/H56,"0")</f>
        <v>117</v>
      </c>
      <c r="Z57" s="545">
        <f>IFERROR(IF(Z51="",0,Z51),"0")+IFERROR(IF(Z52="",0,Z52),"0")+IFERROR(IF(Z53="",0,Z53),"0")+IFERROR(IF(Z54="",0,Z54),"0")+IFERROR(IF(Z55="",0,Z55),"0")+IFERROR(IF(Z56="",0,Z56),"0")</f>
        <v>1.4138999999999999</v>
      </c>
      <c r="AA57" s="546"/>
      <c r="AB57" s="546"/>
      <c r="AC57" s="546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5">
        <f>IFERROR(SUM(X51:X56),"0")</f>
        <v>748</v>
      </c>
      <c r="Y58" s="545">
        <f>IFERROR(SUM(Y51:Y56),"0")</f>
        <v>753.3</v>
      </c>
      <c r="Z58" s="37"/>
      <c r="AA58" s="546"/>
      <c r="AB58" s="546"/>
      <c r="AC58" s="546"/>
    </row>
    <row r="59" spans="1:68" ht="14.25" customHeight="1" x14ac:dyDescent="0.25">
      <c r="A59" s="558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11.234999999999999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5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300</v>
      </c>
      <c r="Y60" s="544">
        <f>IFERROR(IF(X60="",0,CEILING((X60/$H60),1)*$H60),"")</f>
        <v>302.40000000000003</v>
      </c>
      <c r="Z60" s="36">
        <f>IFERROR(IF(Y60=0,"",ROUNDUP(Y60/H60,0)*0.01898),"")</f>
        <v>0.53144000000000002</v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312.08333333333331</v>
      </c>
      <c r="BN60" s="64">
        <f>IFERROR(Y60*I60/H60,"0")</f>
        <v>314.58000000000004</v>
      </c>
      <c r="BO60" s="64">
        <f>IFERROR(1/J60*(X60/H60),"0")</f>
        <v>0.43402777777777773</v>
      </c>
      <c r="BP60" s="64">
        <f>IFERROR(1/J60*(Y60/H60),"0")</f>
        <v>0.4375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2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209</v>
      </c>
      <c r="Y62" s="544">
        <f>IFERROR(IF(X62="",0,CEILING((X62/$H62),1)*$H62),"")</f>
        <v>210.60000000000002</v>
      </c>
      <c r="Z62" s="36">
        <f>IFERROR(IF(Y62=0,"",ROUNDUP(Y62/H62,0)*0.00651),"")</f>
        <v>0.50778000000000001</v>
      </c>
      <c r="AA62" s="56"/>
      <c r="AB62" s="57"/>
      <c r="AC62" s="107" t="s">
        <v>139</v>
      </c>
      <c r="AG62" s="64"/>
      <c r="AJ62" s="68" t="s">
        <v>90</v>
      </c>
      <c r="AK62" s="68">
        <v>2.7</v>
      </c>
      <c r="BB62" s="108" t="s">
        <v>1</v>
      </c>
      <c r="BM62" s="64">
        <f>IFERROR(X62*I62/H62,"0")</f>
        <v>222.93333333333331</v>
      </c>
      <c r="BN62" s="64">
        <f>IFERROR(Y62*I62/H62,"0")</f>
        <v>224.64</v>
      </c>
      <c r="BO62" s="64">
        <f>IFERROR(1/J62*(X62/H62),"0")</f>
        <v>0.42531542531542532</v>
      </c>
      <c r="BP62" s="64">
        <f>IFERROR(1/J62*(Y62/H62),"0")</f>
        <v>0.4285714285714286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5">
        <f>IFERROR(X60/H60,"0")+IFERROR(X61/H61,"0")+IFERROR(X62/H62,"0")</f>
        <v>105.18518518518518</v>
      </c>
      <c r="Y63" s="545">
        <f>IFERROR(Y60/H60,"0")+IFERROR(Y61/H61,"0")+IFERROR(Y62/H62,"0")</f>
        <v>106</v>
      </c>
      <c r="Z63" s="545">
        <f>IFERROR(IF(Z60="",0,Z60),"0")+IFERROR(IF(Z61="",0,Z61),"0")+IFERROR(IF(Z62="",0,Z62),"0")</f>
        <v>1.03922</v>
      </c>
      <c r="AA63" s="546"/>
      <c r="AB63" s="546"/>
      <c r="AC63" s="546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5">
        <f>IFERROR(SUM(X60:X62),"0")</f>
        <v>509</v>
      </c>
      <c r="Y64" s="545">
        <f>IFERROR(SUM(Y60:Y62),"0")</f>
        <v>513</v>
      </c>
      <c r="Z64" s="37"/>
      <c r="AA64" s="546"/>
      <c r="AB64" s="546"/>
      <c r="AC64" s="546"/>
    </row>
    <row r="65" spans="1:68" ht="14.25" customHeight="1" x14ac:dyDescent="0.25">
      <c r="A65" s="558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8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9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customHeight="1" x14ac:dyDescent="0.25">
      <c r="A71" s="558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16.5" customHeight="1" x14ac:dyDescent="0.25">
      <c r="A72" s="54" t="s">
        <v>153</v>
      </c>
      <c r="B72" s="54" t="s">
        <v>154</v>
      </c>
      <c r="C72" s="31">
        <v>4301051838</v>
      </c>
      <c r="D72" s="547">
        <v>4680115881891</v>
      </c>
      <c r="E72" s="548"/>
      <c r="F72" s="542">
        <v>1.4</v>
      </c>
      <c r="G72" s="32">
        <v>6</v>
      </c>
      <c r="H72" s="542">
        <v>8.4</v>
      </c>
      <c r="I72" s="542">
        <v>8.9190000000000005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40</v>
      </c>
      <c r="P72" s="845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4301051846</v>
      </c>
      <c r="D73" s="547">
        <v>4680115885769</v>
      </c>
      <c r="E73" s="548"/>
      <c r="F73" s="542">
        <v>1.4</v>
      </c>
      <c r="G73" s="32">
        <v>6</v>
      </c>
      <c r="H73" s="542">
        <v>8.4</v>
      </c>
      <c r="I73" s="542">
        <v>8.8350000000000009</v>
      </c>
      <c r="J73" s="32">
        <v>64</v>
      </c>
      <c r="K73" s="32" t="s">
        <v>104</v>
      </c>
      <c r="L73" s="32"/>
      <c r="M73" s="33" t="s">
        <v>77</v>
      </c>
      <c r="N73" s="33"/>
      <c r="O73" s="32">
        <v>45</v>
      </c>
      <c r="P73" s="54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158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customHeight="1" x14ac:dyDescent="0.25">
      <c r="A74" s="54" t="s">
        <v>159</v>
      </c>
      <c r="B74" s="54" t="s">
        <v>160</v>
      </c>
      <c r="C74" s="31">
        <v>4301051837</v>
      </c>
      <c r="D74" s="547">
        <v>4680115884311</v>
      </c>
      <c r="E74" s="548"/>
      <c r="F74" s="542">
        <v>0.3</v>
      </c>
      <c r="G74" s="32">
        <v>6</v>
      </c>
      <c r="H74" s="542">
        <v>1.8</v>
      </c>
      <c r="I74" s="542">
        <v>2.0459999999999998</v>
      </c>
      <c r="J74" s="32">
        <v>182</v>
      </c>
      <c r="K74" s="32" t="s">
        <v>76</v>
      </c>
      <c r="L74" s="32" t="s">
        <v>88</v>
      </c>
      <c r="M74" s="33" t="s">
        <v>77</v>
      </c>
      <c r="N74" s="33"/>
      <c r="O74" s="32">
        <v>40</v>
      </c>
      <c r="P74" s="70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 t="s">
        <v>90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161</v>
      </c>
      <c r="B75" s="54" t="s">
        <v>162</v>
      </c>
      <c r="C75" s="31">
        <v>4301051844</v>
      </c>
      <c r="D75" s="547">
        <v>4680115885929</v>
      </c>
      <c r="E75" s="548"/>
      <c r="F75" s="542">
        <v>0.42</v>
      </c>
      <c r="G75" s="32">
        <v>6</v>
      </c>
      <c r="H75" s="542">
        <v>2.52</v>
      </c>
      <c r="I75" s="542">
        <v>2.7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45</v>
      </c>
      <c r="P75" s="84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customHeight="1" x14ac:dyDescent="0.25">
      <c r="A76" s="54" t="s">
        <v>163</v>
      </c>
      <c r="B76" s="54" t="s">
        <v>164</v>
      </c>
      <c r="C76" s="31">
        <v>4301051929</v>
      </c>
      <c r="D76" s="547">
        <v>4680115884403</v>
      </c>
      <c r="E76" s="548"/>
      <c r="F76" s="542">
        <v>0.3</v>
      </c>
      <c r="G76" s="32">
        <v>6</v>
      </c>
      <c r="H76" s="542">
        <v>1.8</v>
      </c>
      <c r="I76" s="542">
        <v>1.98</v>
      </c>
      <c r="J76" s="32">
        <v>182</v>
      </c>
      <c r="K76" s="32" t="s">
        <v>76</v>
      </c>
      <c r="L76" s="32" t="s">
        <v>88</v>
      </c>
      <c r="M76" s="33" t="s">
        <v>77</v>
      </c>
      <c r="N76" s="33"/>
      <c r="O76" s="32">
        <v>40</v>
      </c>
      <c r="P76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0"/>
      <c r="R76" s="550"/>
      <c r="S76" s="550"/>
      <c r="T76" s="551"/>
      <c r="U76" s="34"/>
      <c r="V76" s="34"/>
      <c r="W76" s="35" t="s">
        <v>69</v>
      </c>
      <c r="X76" s="543">
        <v>0</v>
      </c>
      <c r="Y76" s="544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165</v>
      </c>
      <c r="AG76" s="64"/>
      <c r="AJ76" s="68" t="s">
        <v>90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x14ac:dyDescent="0.2">
      <c r="A77" s="553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2" t="s">
        <v>71</v>
      </c>
      <c r="Q77" s="563"/>
      <c r="R77" s="563"/>
      <c r="S77" s="563"/>
      <c r="T77" s="563"/>
      <c r="U77" s="563"/>
      <c r="V77" s="564"/>
      <c r="W77" s="37" t="s">
        <v>72</v>
      </c>
      <c r="X77" s="545">
        <f>IFERROR(X72/H72,"0")+IFERROR(X73/H73,"0")+IFERROR(X74/H74,"0")+IFERROR(X75/H75,"0")+IFERROR(X76/H76,"0")</f>
        <v>0</v>
      </c>
      <c r="Y77" s="545">
        <f>IFERROR(Y72/H72,"0")+IFERROR(Y73/H73,"0")+IFERROR(Y74/H74,"0")+IFERROR(Y75/H75,"0")+IFERROR(Y76/H76,"0")</f>
        <v>0</v>
      </c>
      <c r="Z77" s="545">
        <f>IFERROR(IF(Z72="",0,Z72),"0")+IFERROR(IF(Z73="",0,Z73),"0")+IFERROR(IF(Z74="",0,Z74),"0")+IFERROR(IF(Z75="",0,Z75),"0")+IFERROR(IF(Z76="",0,Z76),"0")</f>
        <v>0</v>
      </c>
      <c r="AA77" s="546"/>
      <c r="AB77" s="546"/>
      <c r="AC77" s="546"/>
    </row>
    <row r="78" spans="1:68" x14ac:dyDescent="0.2">
      <c r="A78" s="554"/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5"/>
      <c r="P78" s="562" t="s">
        <v>71</v>
      </c>
      <c r="Q78" s="563"/>
      <c r="R78" s="563"/>
      <c r="S78" s="563"/>
      <c r="T78" s="563"/>
      <c r="U78" s="563"/>
      <c r="V78" s="564"/>
      <c r="W78" s="37" t="s">
        <v>69</v>
      </c>
      <c r="X78" s="545">
        <f>IFERROR(SUM(X72:X76),"0")</f>
        <v>0</v>
      </c>
      <c r="Y78" s="545">
        <f>IFERROR(SUM(Y72:Y76),"0")</f>
        <v>0</v>
      </c>
      <c r="Z78" s="37"/>
      <c r="AA78" s="546"/>
      <c r="AB78" s="546"/>
      <c r="AC78" s="546"/>
    </row>
    <row r="79" spans="1:68" ht="14.25" customHeight="1" x14ac:dyDescent="0.25">
      <c r="A79" s="558" t="s">
        <v>166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539"/>
      <c r="AB79" s="539"/>
      <c r="AC79" s="539"/>
    </row>
    <row r="80" spans="1:68" ht="27" customHeight="1" x14ac:dyDescent="0.25">
      <c r="A80" s="54" t="s">
        <v>167</v>
      </c>
      <c r="B80" s="54" t="s">
        <v>168</v>
      </c>
      <c r="C80" s="31">
        <v>4301060455</v>
      </c>
      <c r="D80" s="547">
        <v>4680115881532</v>
      </c>
      <c r="E80" s="548"/>
      <c r="F80" s="542">
        <v>1.3</v>
      </c>
      <c r="G80" s="32">
        <v>6</v>
      </c>
      <c r="H80" s="542">
        <v>7.8</v>
      </c>
      <c r="I80" s="542">
        <v>8.2349999999999994</v>
      </c>
      <c r="J80" s="32">
        <v>64</v>
      </c>
      <c r="K80" s="32" t="s">
        <v>104</v>
      </c>
      <c r="L80" s="32" t="s">
        <v>105</v>
      </c>
      <c r="M80" s="33" t="s">
        <v>84</v>
      </c>
      <c r="N80" s="33"/>
      <c r="O80" s="32">
        <v>30</v>
      </c>
      <c r="P80" s="7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169</v>
      </c>
      <c r="AG80" s="64"/>
      <c r="AJ80" s="68" t="s">
        <v>90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customHeight="1" x14ac:dyDescent="0.25">
      <c r="A81" s="54" t="s">
        <v>170</v>
      </c>
      <c r="B81" s="54" t="s">
        <v>171</v>
      </c>
      <c r="C81" s="31">
        <v>4301060351</v>
      </c>
      <c r="D81" s="547">
        <v>4680115881464</v>
      </c>
      <c r="E81" s="548"/>
      <c r="F81" s="542">
        <v>0.4</v>
      </c>
      <c r="G81" s="32">
        <v>6</v>
      </c>
      <c r="H81" s="542">
        <v>2.4</v>
      </c>
      <c r="I81" s="542">
        <v>2.61</v>
      </c>
      <c r="J81" s="32">
        <v>132</v>
      </c>
      <c r="K81" s="32" t="s">
        <v>110</v>
      </c>
      <c r="L81" s="32" t="s">
        <v>111</v>
      </c>
      <c r="M81" s="33" t="s">
        <v>77</v>
      </c>
      <c r="N81" s="33"/>
      <c r="O81" s="32">
        <v>30</v>
      </c>
      <c r="P81" s="58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0"/>
      <c r="R81" s="550"/>
      <c r="S81" s="550"/>
      <c r="T81" s="551"/>
      <c r="U81" s="34"/>
      <c r="V81" s="34"/>
      <c r="W81" s="35" t="s">
        <v>69</v>
      </c>
      <c r="X81" s="543">
        <v>0</v>
      </c>
      <c r="Y81" s="544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172</v>
      </c>
      <c r="AG81" s="64"/>
      <c r="AJ81" s="68" t="s">
        <v>90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553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2" t="s">
        <v>71</v>
      </c>
      <c r="Q82" s="563"/>
      <c r="R82" s="563"/>
      <c r="S82" s="563"/>
      <c r="T82" s="563"/>
      <c r="U82" s="563"/>
      <c r="V82" s="564"/>
      <c r="W82" s="37" t="s">
        <v>72</v>
      </c>
      <c r="X82" s="545">
        <f>IFERROR(X80/H80,"0")+IFERROR(X81/H81,"0")</f>
        <v>0</v>
      </c>
      <c r="Y82" s="545">
        <f>IFERROR(Y80/H80,"0")+IFERROR(Y81/H81,"0")</f>
        <v>0</v>
      </c>
      <c r="Z82" s="545">
        <f>IFERROR(IF(Z80="",0,Z80),"0")+IFERROR(IF(Z81="",0,Z81),"0")</f>
        <v>0</v>
      </c>
      <c r="AA82" s="546"/>
      <c r="AB82" s="546"/>
      <c r="AC82" s="546"/>
    </row>
    <row r="83" spans="1:68" x14ac:dyDescent="0.2">
      <c r="A83" s="554"/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5"/>
      <c r="P83" s="562" t="s">
        <v>71</v>
      </c>
      <c r="Q83" s="563"/>
      <c r="R83" s="563"/>
      <c r="S83" s="563"/>
      <c r="T83" s="563"/>
      <c r="U83" s="563"/>
      <c r="V83" s="564"/>
      <c r="W83" s="37" t="s">
        <v>69</v>
      </c>
      <c r="X83" s="545">
        <f>IFERROR(SUM(X80:X81),"0")</f>
        <v>0</v>
      </c>
      <c r="Y83" s="545">
        <f>IFERROR(SUM(Y80:Y81),"0")</f>
        <v>0</v>
      </c>
      <c r="Z83" s="37"/>
      <c r="AA83" s="546"/>
      <c r="AB83" s="546"/>
      <c r="AC83" s="546"/>
    </row>
    <row r="84" spans="1:68" ht="16.5" customHeight="1" x14ac:dyDescent="0.25">
      <c r="A84" s="559" t="s">
        <v>173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8"/>
      <c r="AB84" s="538"/>
      <c r="AC84" s="538"/>
    </row>
    <row r="85" spans="1:68" ht="14.25" customHeight="1" x14ac:dyDescent="0.25">
      <c r="A85" s="558" t="s">
        <v>101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539"/>
      <c r="AB85" s="539"/>
      <c r="AC85" s="539"/>
    </row>
    <row r="86" spans="1:68" ht="27" customHeight="1" x14ac:dyDescent="0.25">
      <c r="A86" s="54" t="s">
        <v>174</v>
      </c>
      <c r="B86" s="54" t="s">
        <v>175</v>
      </c>
      <c r="C86" s="31">
        <v>4301011468</v>
      </c>
      <c r="D86" s="547">
        <v>4680115881327</v>
      </c>
      <c r="E86" s="548"/>
      <c r="F86" s="542">
        <v>1.35</v>
      </c>
      <c r="G86" s="32">
        <v>8</v>
      </c>
      <c r="H86" s="542">
        <v>10.8</v>
      </c>
      <c r="I86" s="542">
        <v>11.234999999999999</v>
      </c>
      <c r="J86" s="32">
        <v>64</v>
      </c>
      <c r="K86" s="32" t="s">
        <v>104</v>
      </c>
      <c r="L86" s="32" t="s">
        <v>105</v>
      </c>
      <c r="M86" s="33" t="s">
        <v>84</v>
      </c>
      <c r="N86" s="33"/>
      <c r="O86" s="32">
        <v>50</v>
      </c>
      <c r="P86" s="5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IFERROR(IF(Y86=0,"",ROUNDUP(Y86/H86,0)*0.01898),"")</f>
        <v/>
      </c>
      <c r="AA86" s="56"/>
      <c r="AB86" s="57"/>
      <c r="AC86" s="129" t="s">
        <v>176</v>
      </c>
      <c r="AG86" s="64"/>
      <c r="AJ86" s="68" t="s">
        <v>90</v>
      </c>
      <c r="AK86" s="68">
        <v>86.4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47">
        <v>4680115881518</v>
      </c>
      <c r="E87" s="548"/>
      <c r="F87" s="542">
        <v>0.4</v>
      </c>
      <c r="G87" s="32">
        <v>10</v>
      </c>
      <c r="H87" s="542">
        <v>4</v>
      </c>
      <c r="I87" s="542">
        <v>4.21</v>
      </c>
      <c r="J87" s="32">
        <v>132</v>
      </c>
      <c r="K87" s="32" t="s">
        <v>110</v>
      </c>
      <c r="L87" s="32"/>
      <c r="M87" s="33" t="s">
        <v>77</v>
      </c>
      <c r="N87" s="33"/>
      <c r="O87" s="32">
        <v>50</v>
      </c>
      <c r="P87" s="72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176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47">
        <v>4680115881303</v>
      </c>
      <c r="E88" s="548"/>
      <c r="F88" s="542">
        <v>0.45</v>
      </c>
      <c r="G88" s="32">
        <v>10</v>
      </c>
      <c r="H88" s="542">
        <v>4.5</v>
      </c>
      <c r="I88" s="542">
        <v>4.71</v>
      </c>
      <c r="J88" s="32">
        <v>132</v>
      </c>
      <c r="K88" s="32" t="s">
        <v>110</v>
      </c>
      <c r="L88" s="32" t="s">
        <v>111</v>
      </c>
      <c r="M88" s="33" t="s">
        <v>84</v>
      </c>
      <c r="N88" s="33"/>
      <c r="O88" s="32">
        <v>50</v>
      </c>
      <c r="P88" s="72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0"/>
      <c r="R88" s="550"/>
      <c r="S88" s="550"/>
      <c r="T88" s="551"/>
      <c r="U88" s="34"/>
      <c r="V88" s="34"/>
      <c r="W88" s="35" t="s">
        <v>69</v>
      </c>
      <c r="X88" s="543">
        <v>367</v>
      </c>
      <c r="Y88" s="544">
        <f>IFERROR(IF(X88="",0,CEILING((X88/$H88),1)*$H88),"")</f>
        <v>369</v>
      </c>
      <c r="Z88" s="36">
        <f>IFERROR(IF(Y88=0,"",ROUNDUP(Y88/H88,0)*0.00902),"")</f>
        <v>0.73964000000000008</v>
      </c>
      <c r="AA88" s="56"/>
      <c r="AB88" s="57"/>
      <c r="AC88" s="133" t="s">
        <v>176</v>
      </c>
      <c r="AG88" s="64"/>
      <c r="AJ88" s="68" t="s">
        <v>90</v>
      </c>
      <c r="AK88" s="68">
        <v>54</v>
      </c>
      <c r="BB88" s="134" t="s">
        <v>1</v>
      </c>
      <c r="BM88" s="64">
        <f>IFERROR(X88*I88/H88,"0")</f>
        <v>384.12666666666667</v>
      </c>
      <c r="BN88" s="64">
        <f>IFERROR(Y88*I88/H88,"0")</f>
        <v>386.22</v>
      </c>
      <c r="BO88" s="64">
        <f>IFERROR(1/J88*(X88/H88),"0")</f>
        <v>0.61784511784511786</v>
      </c>
      <c r="BP88" s="64">
        <f>IFERROR(1/J88*(Y88/H88),"0")</f>
        <v>0.62121212121212122</v>
      </c>
    </row>
    <row r="89" spans="1:68" x14ac:dyDescent="0.2">
      <c r="A89" s="553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2" t="s">
        <v>71</v>
      </c>
      <c r="Q89" s="563"/>
      <c r="R89" s="563"/>
      <c r="S89" s="563"/>
      <c r="T89" s="563"/>
      <c r="U89" s="563"/>
      <c r="V89" s="564"/>
      <c r="W89" s="37" t="s">
        <v>72</v>
      </c>
      <c r="X89" s="545">
        <f>IFERROR(X86/H86,"0")+IFERROR(X87/H87,"0")+IFERROR(X88/H88,"0")</f>
        <v>81.555555555555557</v>
      </c>
      <c r="Y89" s="545">
        <f>IFERROR(Y86/H86,"0")+IFERROR(Y87/H87,"0")+IFERROR(Y88/H88,"0")</f>
        <v>82</v>
      </c>
      <c r="Z89" s="545">
        <f>IFERROR(IF(Z86="",0,Z86),"0")+IFERROR(IF(Z87="",0,Z87),"0")+IFERROR(IF(Z88="",0,Z88),"0")</f>
        <v>0.73964000000000008</v>
      </c>
      <c r="AA89" s="546"/>
      <c r="AB89" s="546"/>
      <c r="AC89" s="546"/>
    </row>
    <row r="90" spans="1:68" x14ac:dyDescent="0.2">
      <c r="A90" s="554"/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5"/>
      <c r="P90" s="562" t="s">
        <v>71</v>
      </c>
      <c r="Q90" s="563"/>
      <c r="R90" s="563"/>
      <c r="S90" s="563"/>
      <c r="T90" s="563"/>
      <c r="U90" s="563"/>
      <c r="V90" s="564"/>
      <c r="W90" s="37" t="s">
        <v>69</v>
      </c>
      <c r="X90" s="545">
        <f>IFERROR(SUM(X86:X88),"0")</f>
        <v>367</v>
      </c>
      <c r="Y90" s="545">
        <f>IFERROR(SUM(Y86:Y88),"0")</f>
        <v>369</v>
      </c>
      <c r="Z90" s="37"/>
      <c r="AA90" s="546"/>
      <c r="AB90" s="546"/>
      <c r="AC90" s="546"/>
    </row>
    <row r="91" spans="1:68" ht="14.25" customHeight="1" x14ac:dyDescent="0.25">
      <c r="A91" s="558" t="s">
        <v>73</v>
      </c>
      <c r="B91" s="554"/>
      <c r="C91" s="554"/>
      <c r="D91" s="554"/>
      <c r="E91" s="554"/>
      <c r="F91" s="554"/>
      <c r="G91" s="554"/>
      <c r="H91" s="554"/>
      <c r="I91" s="554"/>
      <c r="J91" s="554"/>
      <c r="K91" s="554"/>
      <c r="L91" s="554"/>
      <c r="M91" s="554"/>
      <c r="N91" s="554"/>
      <c r="O91" s="554"/>
      <c r="P91" s="554"/>
      <c r="Q91" s="554"/>
      <c r="R91" s="554"/>
      <c r="S91" s="554"/>
      <c r="T91" s="554"/>
      <c r="U91" s="554"/>
      <c r="V91" s="554"/>
      <c r="W91" s="554"/>
      <c r="X91" s="554"/>
      <c r="Y91" s="554"/>
      <c r="Z91" s="554"/>
      <c r="AA91" s="539"/>
      <c r="AB91" s="539"/>
      <c r="AC91" s="539"/>
    </row>
    <row r="92" spans="1:68" ht="16.5" customHeight="1" x14ac:dyDescent="0.25">
      <c r="A92" s="54" t="s">
        <v>181</v>
      </c>
      <c r="B92" s="54" t="s">
        <v>182</v>
      </c>
      <c r="C92" s="31">
        <v>4301051712</v>
      </c>
      <c r="D92" s="547">
        <v>4607091386967</v>
      </c>
      <c r="E92" s="548"/>
      <c r="F92" s="542">
        <v>1.35</v>
      </c>
      <c r="G92" s="32">
        <v>6</v>
      </c>
      <c r="H92" s="542">
        <v>8.1</v>
      </c>
      <c r="I92" s="542">
        <v>8.6189999999999998</v>
      </c>
      <c r="J92" s="32">
        <v>64</v>
      </c>
      <c r="K92" s="32" t="s">
        <v>104</v>
      </c>
      <c r="L92" s="32" t="s">
        <v>105</v>
      </c>
      <c r="M92" s="33" t="s">
        <v>84</v>
      </c>
      <c r="N92" s="33"/>
      <c r="O92" s="32">
        <v>45</v>
      </c>
      <c r="P92" s="60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183</v>
      </c>
      <c r="AG92" s="64"/>
      <c r="AJ92" s="68" t="s">
        <v>90</v>
      </c>
      <c r="AK92" s="68">
        <v>64.8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47">
        <v>4680115884953</v>
      </c>
      <c r="E93" s="548"/>
      <c r="F93" s="542">
        <v>0.37</v>
      </c>
      <c r="G93" s="32">
        <v>6</v>
      </c>
      <c r="H93" s="542">
        <v>2.2200000000000002</v>
      </c>
      <c r="I93" s="542">
        <v>2.472</v>
      </c>
      <c r="J93" s="32">
        <v>182</v>
      </c>
      <c r="K93" s="32" t="s">
        <v>76</v>
      </c>
      <c r="L93" s="32"/>
      <c r="M93" s="33" t="s">
        <v>77</v>
      </c>
      <c r="N93" s="33"/>
      <c r="O93" s="32">
        <v>45</v>
      </c>
      <c r="P93" s="79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47">
        <v>4607091385731</v>
      </c>
      <c r="E94" s="548"/>
      <c r="F94" s="542">
        <v>0.45</v>
      </c>
      <c r="G94" s="32">
        <v>6</v>
      </c>
      <c r="H94" s="542">
        <v>2.7</v>
      </c>
      <c r="I94" s="542">
        <v>2.952</v>
      </c>
      <c r="J94" s="32">
        <v>182</v>
      </c>
      <c r="K94" s="32" t="s">
        <v>76</v>
      </c>
      <c r="L94" s="32"/>
      <c r="M94" s="33" t="s">
        <v>84</v>
      </c>
      <c r="N94" s="33"/>
      <c r="O94" s="32">
        <v>45</v>
      </c>
      <c r="P94" s="61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0"/>
      <c r="R94" s="550"/>
      <c r="S94" s="550"/>
      <c r="T94" s="551"/>
      <c r="U94" s="34"/>
      <c r="V94" s="34"/>
      <c r="W94" s="35" t="s">
        <v>69</v>
      </c>
      <c r="X94" s="543">
        <v>110</v>
      </c>
      <c r="Y94" s="544">
        <f>IFERROR(IF(X94="",0,CEILING((X94/$H94),1)*$H94),"")</f>
        <v>110.7</v>
      </c>
      <c r="Z94" s="36">
        <f>IFERROR(IF(Y94=0,"",ROUNDUP(Y94/H94,0)*0.00651),"")</f>
        <v>0.26690999999999998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120.26666666666665</v>
      </c>
      <c r="BN94" s="64">
        <f>IFERROR(Y94*I94/H94,"0")</f>
        <v>121.032</v>
      </c>
      <c r="BO94" s="64">
        <f>IFERROR(1/J94*(X94/H94),"0")</f>
        <v>0.22385022385022388</v>
      </c>
      <c r="BP94" s="64">
        <f>IFERROR(1/J94*(Y94/H94),"0")</f>
        <v>0.22527472527472528</v>
      </c>
    </row>
    <row r="95" spans="1:68" ht="16.5" customHeight="1" x14ac:dyDescent="0.25">
      <c r="A95" s="54" t="s">
        <v>189</v>
      </c>
      <c r="B95" s="54" t="s">
        <v>190</v>
      </c>
      <c r="C95" s="31">
        <v>4301051438</v>
      </c>
      <c r="D95" s="547">
        <v>4680115880894</v>
      </c>
      <c r="E95" s="548"/>
      <c r="F95" s="542">
        <v>0.33</v>
      </c>
      <c r="G95" s="32">
        <v>6</v>
      </c>
      <c r="H95" s="542">
        <v>1.98</v>
      </c>
      <c r="I95" s="542">
        <v>2.238</v>
      </c>
      <c r="J95" s="32">
        <v>182</v>
      </c>
      <c r="K95" s="32" t="s">
        <v>76</v>
      </c>
      <c r="L95" s="32" t="s">
        <v>88</v>
      </c>
      <c r="M95" s="33" t="s">
        <v>77</v>
      </c>
      <c r="N95" s="33"/>
      <c r="O95" s="32">
        <v>45</v>
      </c>
      <c r="P95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0"/>
      <c r="R95" s="550"/>
      <c r="S95" s="550"/>
      <c r="T95" s="551"/>
      <c r="U95" s="34"/>
      <c r="V95" s="34"/>
      <c r="W95" s="35" t="s">
        <v>69</v>
      </c>
      <c r="X95" s="543">
        <v>37</v>
      </c>
      <c r="Y95" s="544">
        <f>IFERROR(IF(X95="",0,CEILING((X95/$H95),1)*$H95),"")</f>
        <v>37.619999999999997</v>
      </c>
      <c r="Z95" s="36">
        <f>IFERROR(IF(Y95=0,"",ROUNDUP(Y95/H95,0)*0.00651),"")</f>
        <v>0.12369000000000001</v>
      </c>
      <c r="AA95" s="56"/>
      <c r="AB95" s="57"/>
      <c r="AC95" s="141" t="s">
        <v>191</v>
      </c>
      <c r="AG95" s="64"/>
      <c r="AJ95" s="68" t="s">
        <v>90</v>
      </c>
      <c r="AK95" s="68">
        <v>27.72</v>
      </c>
      <c r="BB95" s="142" t="s">
        <v>1</v>
      </c>
      <c r="BM95" s="64">
        <f>IFERROR(X95*I95/H95,"0")</f>
        <v>41.82121212121212</v>
      </c>
      <c r="BN95" s="64">
        <f>IFERROR(Y95*I95/H95,"0")</f>
        <v>42.521999999999998</v>
      </c>
      <c r="BO95" s="64">
        <f>IFERROR(1/J95*(X95/H95),"0")</f>
        <v>0.10267510267510269</v>
      </c>
      <c r="BP95" s="64">
        <f>IFERROR(1/J95*(Y95/H95),"0")</f>
        <v>0.1043956043956044</v>
      </c>
    </row>
    <row r="96" spans="1:68" x14ac:dyDescent="0.2">
      <c r="A96" s="553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2" t="s">
        <v>71</v>
      </c>
      <c r="Q96" s="563"/>
      <c r="R96" s="563"/>
      <c r="S96" s="563"/>
      <c r="T96" s="563"/>
      <c r="U96" s="563"/>
      <c r="V96" s="564"/>
      <c r="W96" s="37" t="s">
        <v>72</v>
      </c>
      <c r="X96" s="545">
        <f>IFERROR(X92/H92,"0")+IFERROR(X93/H93,"0")+IFERROR(X94/H94,"0")+IFERROR(X95/H95,"0")</f>
        <v>59.427609427609426</v>
      </c>
      <c r="Y96" s="545">
        <f>IFERROR(Y92/H92,"0")+IFERROR(Y93/H93,"0")+IFERROR(Y94/H94,"0")+IFERROR(Y95/H95,"0")</f>
        <v>60</v>
      </c>
      <c r="Z96" s="545">
        <f>IFERROR(IF(Z92="",0,Z92),"0")+IFERROR(IF(Z93="",0,Z93),"0")+IFERROR(IF(Z94="",0,Z94),"0")+IFERROR(IF(Z95="",0,Z95),"0")</f>
        <v>0.3906</v>
      </c>
      <c r="AA96" s="546"/>
      <c r="AB96" s="546"/>
      <c r="AC96" s="546"/>
    </row>
    <row r="97" spans="1:68" x14ac:dyDescent="0.2">
      <c r="A97" s="554"/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5"/>
      <c r="P97" s="562" t="s">
        <v>71</v>
      </c>
      <c r="Q97" s="563"/>
      <c r="R97" s="563"/>
      <c r="S97" s="563"/>
      <c r="T97" s="563"/>
      <c r="U97" s="563"/>
      <c r="V97" s="564"/>
      <c r="W97" s="37" t="s">
        <v>69</v>
      </c>
      <c r="X97" s="545">
        <f>IFERROR(SUM(X92:X95),"0")</f>
        <v>147</v>
      </c>
      <c r="Y97" s="545">
        <f>IFERROR(SUM(Y92:Y95),"0")</f>
        <v>148.32</v>
      </c>
      <c r="Z97" s="37"/>
      <c r="AA97" s="546"/>
      <c r="AB97" s="546"/>
      <c r="AC97" s="546"/>
    </row>
    <row r="98" spans="1:68" ht="16.5" customHeight="1" x14ac:dyDescent="0.25">
      <c r="A98" s="559" t="s">
        <v>192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8"/>
      <c r="AB98" s="538"/>
      <c r="AC98" s="538"/>
    </row>
    <row r="99" spans="1:68" ht="14.25" customHeight="1" x14ac:dyDescent="0.25">
      <c r="A99" s="558" t="s">
        <v>101</v>
      </c>
      <c r="B99" s="554"/>
      <c r="C99" s="554"/>
      <c r="D99" s="554"/>
      <c r="E99" s="554"/>
      <c r="F99" s="554"/>
      <c r="G99" s="554"/>
      <c r="H99" s="554"/>
      <c r="I99" s="554"/>
      <c r="J99" s="554"/>
      <c r="K99" s="554"/>
      <c r="L99" s="554"/>
      <c r="M99" s="554"/>
      <c r="N99" s="554"/>
      <c r="O99" s="554"/>
      <c r="P99" s="554"/>
      <c r="Q99" s="554"/>
      <c r="R99" s="554"/>
      <c r="S99" s="554"/>
      <c r="T99" s="554"/>
      <c r="U99" s="554"/>
      <c r="V99" s="554"/>
      <c r="W99" s="554"/>
      <c r="X99" s="554"/>
      <c r="Y99" s="554"/>
      <c r="Z99" s="554"/>
      <c r="AA99" s="539"/>
      <c r="AB99" s="539"/>
      <c r="AC99" s="539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47">
        <v>4680115882133</v>
      </c>
      <c r="E100" s="548"/>
      <c r="F100" s="542">
        <v>1.35</v>
      </c>
      <c r="G100" s="32">
        <v>8</v>
      </c>
      <c r="H100" s="542">
        <v>10.8</v>
      </c>
      <c r="I100" s="542">
        <v>11.234999999999999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46</v>
      </c>
      <c r="Y100" s="54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90</v>
      </c>
      <c r="AK100" s="68">
        <v>86.4</v>
      </c>
      <c r="BB100" s="144" t="s">
        <v>1</v>
      </c>
      <c r="BM100" s="64">
        <f>IFERROR(X100*I100/H100,"0")</f>
        <v>47.852777777777767</v>
      </c>
      <c r="BN100" s="64">
        <f>IFERROR(Y100*I100/H100,"0")</f>
        <v>56.17499999999999</v>
      </c>
      <c r="BO100" s="64">
        <f>IFERROR(1/J100*(X100/H100),"0")</f>
        <v>6.6550925925925916E-2</v>
      </c>
      <c r="BP100" s="64">
        <f>IFERROR(1/J100*(Y100/H100),"0")</f>
        <v>7.8125E-2</v>
      </c>
    </row>
    <row r="101" spans="1:68" ht="37.5" customHeight="1" x14ac:dyDescent="0.25">
      <c r="A101" s="54" t="s">
        <v>196</v>
      </c>
      <c r="B101" s="54" t="s">
        <v>197</v>
      </c>
      <c r="C101" s="31">
        <v>4301011417</v>
      </c>
      <c r="D101" s="547">
        <v>4680115880269</v>
      </c>
      <c r="E101" s="548"/>
      <c r="F101" s="542">
        <v>0.375</v>
      </c>
      <c r="G101" s="32">
        <v>10</v>
      </c>
      <c r="H101" s="542">
        <v>3.75</v>
      </c>
      <c r="I101" s="542">
        <v>3.96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146</v>
      </c>
      <c r="Y101" s="544">
        <f>IFERROR(IF(X101="",0,CEILING((X101/$H101),1)*$H101),"")</f>
        <v>146.25</v>
      </c>
      <c r="Z101" s="36">
        <f>IFERROR(IF(Y101=0,"",ROUNDUP(Y101/H101,0)*0.00902),"")</f>
        <v>0.35177999999999998</v>
      </c>
      <c r="AA101" s="56"/>
      <c r="AB101" s="57"/>
      <c r="AC101" s="145" t="s">
        <v>195</v>
      </c>
      <c r="AG101" s="64"/>
      <c r="AJ101" s="68" t="s">
        <v>90</v>
      </c>
      <c r="AK101" s="68">
        <v>45</v>
      </c>
      <c r="BB101" s="146" t="s">
        <v>1</v>
      </c>
      <c r="BM101" s="64">
        <f>IFERROR(X101*I101/H101,"0")</f>
        <v>154.17599999999999</v>
      </c>
      <c r="BN101" s="64">
        <f>IFERROR(Y101*I101/H101,"0")</f>
        <v>154.44</v>
      </c>
      <c r="BO101" s="64">
        <f>IFERROR(1/J101*(X101/H101),"0")</f>
        <v>0.29494949494949491</v>
      </c>
      <c r="BP101" s="64">
        <f>IFERROR(1/J101*(Y101/H101),"0")</f>
        <v>0.29545454545454547</v>
      </c>
    </row>
    <row r="102" spans="1:68" ht="37.5" customHeight="1" x14ac:dyDescent="0.25">
      <c r="A102" s="54" t="s">
        <v>198</v>
      </c>
      <c r="B102" s="54" t="s">
        <v>199</v>
      </c>
      <c r="C102" s="31">
        <v>4301011415</v>
      </c>
      <c r="D102" s="547">
        <v>4680115880429</v>
      </c>
      <c r="E102" s="548"/>
      <c r="F102" s="542">
        <v>0.45</v>
      </c>
      <c r="G102" s="32">
        <v>10</v>
      </c>
      <c r="H102" s="542">
        <v>4.5</v>
      </c>
      <c r="I102" s="542">
        <v>4.71</v>
      </c>
      <c r="J102" s="32">
        <v>132</v>
      </c>
      <c r="K102" s="32" t="s">
        <v>110</v>
      </c>
      <c r="L102" s="32" t="s">
        <v>111</v>
      </c>
      <c r="M102" s="33" t="s">
        <v>77</v>
      </c>
      <c r="N102" s="33"/>
      <c r="O102" s="32">
        <v>50</v>
      </c>
      <c r="P102" s="818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98</v>
      </c>
      <c r="Y102" s="544">
        <f>IFERROR(IF(X102="",0,CEILING((X102/$H102),1)*$H102),"")</f>
        <v>99</v>
      </c>
      <c r="Z102" s="36">
        <f>IFERROR(IF(Y102=0,"",ROUNDUP(Y102/H102,0)*0.00902),"")</f>
        <v>0.19844000000000001</v>
      </c>
      <c r="AA102" s="56"/>
      <c r="AB102" s="57"/>
      <c r="AC102" s="147" t="s">
        <v>195</v>
      </c>
      <c r="AG102" s="64"/>
      <c r="AJ102" s="68" t="s">
        <v>90</v>
      </c>
      <c r="AK102" s="68">
        <v>54</v>
      </c>
      <c r="BB102" s="148" t="s">
        <v>1</v>
      </c>
      <c r="BM102" s="64">
        <f>IFERROR(X102*I102/H102,"0")</f>
        <v>102.57333333333332</v>
      </c>
      <c r="BN102" s="64">
        <f>IFERROR(Y102*I102/H102,"0")</f>
        <v>103.62</v>
      </c>
      <c r="BO102" s="64">
        <f>IFERROR(1/J102*(X102/H102),"0")</f>
        <v>0.16498316498316498</v>
      </c>
      <c r="BP102" s="64">
        <f>IFERROR(1/J102*(Y102/H102),"0")</f>
        <v>0.16666666666666669</v>
      </c>
    </row>
    <row r="103" spans="1:68" ht="37.5" customHeight="1" x14ac:dyDescent="0.25">
      <c r="A103" s="54" t="s">
        <v>200</v>
      </c>
      <c r="B103" s="54" t="s">
        <v>201</v>
      </c>
      <c r="C103" s="31">
        <v>4301011462</v>
      </c>
      <c r="D103" s="547">
        <v>4680115881457</v>
      </c>
      <c r="E103" s="548"/>
      <c r="F103" s="542">
        <v>0.75</v>
      </c>
      <c r="G103" s="32">
        <v>6</v>
      </c>
      <c r="H103" s="542">
        <v>4.5</v>
      </c>
      <c r="I103" s="542">
        <v>4.71</v>
      </c>
      <c r="J103" s="32">
        <v>132</v>
      </c>
      <c r="K103" s="32" t="s">
        <v>110</v>
      </c>
      <c r="L103" s="32"/>
      <c r="M103" s="33" t="s">
        <v>77</v>
      </c>
      <c r="N103" s="33"/>
      <c r="O103" s="32">
        <v>50</v>
      </c>
      <c r="P103" s="63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0"/>
      <c r="R103" s="550"/>
      <c r="S103" s="550"/>
      <c r="T103" s="551"/>
      <c r="U103" s="34"/>
      <c r="V103" s="34"/>
      <c r="W103" s="35" t="s">
        <v>69</v>
      </c>
      <c r="X103" s="543">
        <v>0</v>
      </c>
      <c r="Y103" s="54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195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53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2" t="s">
        <v>71</v>
      </c>
      <c r="Q104" s="563"/>
      <c r="R104" s="563"/>
      <c r="S104" s="563"/>
      <c r="T104" s="563"/>
      <c r="U104" s="563"/>
      <c r="V104" s="564"/>
      <c r="W104" s="37" t="s">
        <v>72</v>
      </c>
      <c r="X104" s="545">
        <f>IFERROR(X100/H100,"0")+IFERROR(X101/H101,"0")+IFERROR(X102/H102,"0")+IFERROR(X103/H103,"0")</f>
        <v>64.970370370370375</v>
      </c>
      <c r="Y104" s="545">
        <f>IFERROR(Y100/H100,"0")+IFERROR(Y101/H101,"0")+IFERROR(Y102/H102,"0")+IFERROR(Y103/H103,"0")</f>
        <v>66</v>
      </c>
      <c r="Z104" s="545">
        <f>IFERROR(IF(Z100="",0,Z100),"0")+IFERROR(IF(Z101="",0,Z101),"0")+IFERROR(IF(Z102="",0,Z102),"0")+IFERROR(IF(Z103="",0,Z103),"0")</f>
        <v>0.64511999999999992</v>
      </c>
      <c r="AA104" s="546"/>
      <c r="AB104" s="546"/>
      <c r="AC104" s="546"/>
    </row>
    <row r="105" spans="1:68" x14ac:dyDescent="0.2">
      <c r="A105" s="554"/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5"/>
      <c r="P105" s="562" t="s">
        <v>71</v>
      </c>
      <c r="Q105" s="563"/>
      <c r="R105" s="563"/>
      <c r="S105" s="563"/>
      <c r="T105" s="563"/>
      <c r="U105" s="563"/>
      <c r="V105" s="564"/>
      <c r="W105" s="37" t="s">
        <v>69</v>
      </c>
      <c r="X105" s="545">
        <f>IFERROR(SUM(X100:X103),"0")</f>
        <v>290</v>
      </c>
      <c r="Y105" s="545">
        <f>IFERROR(SUM(Y100:Y103),"0")</f>
        <v>299.25</v>
      </c>
      <c r="Z105" s="37"/>
      <c r="AA105" s="546"/>
      <c r="AB105" s="546"/>
      <c r="AC105" s="546"/>
    </row>
    <row r="106" spans="1:68" ht="14.25" customHeight="1" x14ac:dyDescent="0.25">
      <c r="A106" s="558" t="s">
        <v>136</v>
      </c>
      <c r="B106" s="554"/>
      <c r="C106" s="554"/>
      <c r="D106" s="554"/>
      <c r="E106" s="554"/>
      <c r="F106" s="554"/>
      <c r="G106" s="554"/>
      <c r="H106" s="554"/>
      <c r="I106" s="554"/>
      <c r="J106" s="554"/>
      <c r="K106" s="554"/>
      <c r="L106" s="554"/>
      <c r="M106" s="554"/>
      <c r="N106" s="554"/>
      <c r="O106" s="554"/>
      <c r="P106" s="554"/>
      <c r="Q106" s="554"/>
      <c r="R106" s="554"/>
      <c r="S106" s="554"/>
      <c r="T106" s="554"/>
      <c r="U106" s="554"/>
      <c r="V106" s="554"/>
      <c r="W106" s="554"/>
      <c r="X106" s="554"/>
      <c r="Y106" s="554"/>
      <c r="Z106" s="554"/>
      <c r="AA106" s="539"/>
      <c r="AB106" s="539"/>
      <c r="AC106" s="539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47">
        <v>4680115881488</v>
      </c>
      <c r="E107" s="548"/>
      <c r="F107" s="542">
        <v>1.35</v>
      </c>
      <c r="G107" s="32">
        <v>8</v>
      </c>
      <c r="H107" s="542">
        <v>10.8</v>
      </c>
      <c r="I107" s="542">
        <v>11.234999999999999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205</v>
      </c>
      <c r="B108" s="54" t="s">
        <v>206</v>
      </c>
      <c r="C108" s="31">
        <v>4301020346</v>
      </c>
      <c r="D108" s="547">
        <v>4680115882775</v>
      </c>
      <c r="E108" s="548"/>
      <c r="F108" s="542">
        <v>0.3</v>
      </c>
      <c r="G108" s="32">
        <v>8</v>
      </c>
      <c r="H108" s="542">
        <v>2.4</v>
      </c>
      <c r="I108" s="542">
        <v>2.5</v>
      </c>
      <c r="J108" s="32">
        <v>234</v>
      </c>
      <c r="K108" s="32" t="s">
        <v>67</v>
      </c>
      <c r="L108" s="32"/>
      <c r="M108" s="33" t="s">
        <v>106</v>
      </c>
      <c r="N108" s="33"/>
      <c r="O108" s="32">
        <v>55</v>
      </c>
      <c r="P108" s="76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20</v>
      </c>
      <c r="Y108" s="544">
        <f>IFERROR(IF(X108="",0,CEILING((X108/$H108),1)*$H108),"")</f>
        <v>21.599999999999998</v>
      </c>
      <c r="Z108" s="36">
        <f>IFERROR(IF(Y108=0,"",ROUNDUP(Y108/H108,0)*0.00502),"")</f>
        <v>4.5179999999999998E-2</v>
      </c>
      <c r="AA108" s="56"/>
      <c r="AB108" s="57"/>
      <c r="AC108" s="153" t="s">
        <v>204</v>
      </c>
      <c r="AG108" s="64"/>
      <c r="AJ108" s="68"/>
      <c r="AK108" s="68">
        <v>0</v>
      </c>
      <c r="BB108" s="154" t="s">
        <v>1</v>
      </c>
      <c r="BM108" s="64">
        <f>IFERROR(X108*I108/H108,"0")</f>
        <v>20.833333333333336</v>
      </c>
      <c r="BN108" s="64">
        <f>IFERROR(Y108*I108/H108,"0")</f>
        <v>22.499999999999996</v>
      </c>
      <c r="BO108" s="64">
        <f>IFERROR(1/J108*(X108/H108),"0")</f>
        <v>3.561253561253562E-2</v>
      </c>
      <c r="BP108" s="64">
        <f>IFERROR(1/J108*(Y108/H108),"0")</f>
        <v>3.8461538461538464E-2</v>
      </c>
    </row>
    <row r="109" spans="1:68" ht="16.5" customHeight="1" x14ac:dyDescent="0.25">
      <c r="A109" s="54" t="s">
        <v>207</v>
      </c>
      <c r="B109" s="54" t="s">
        <v>208</v>
      </c>
      <c r="C109" s="31">
        <v>4301020344</v>
      </c>
      <c r="D109" s="547">
        <v>4680115880658</v>
      </c>
      <c r="E109" s="548"/>
      <c r="F109" s="542">
        <v>0.4</v>
      </c>
      <c r="G109" s="32">
        <v>6</v>
      </c>
      <c r="H109" s="542">
        <v>2.4</v>
      </c>
      <c r="I109" s="542">
        <v>2.58</v>
      </c>
      <c r="J109" s="32">
        <v>182</v>
      </c>
      <c r="K109" s="32" t="s">
        <v>76</v>
      </c>
      <c r="L109" s="32"/>
      <c r="M109" s="33" t="s">
        <v>106</v>
      </c>
      <c r="N109" s="33"/>
      <c r="O109" s="32">
        <v>55</v>
      </c>
      <c r="P109" s="77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0"/>
      <c r="R109" s="550"/>
      <c r="S109" s="550"/>
      <c r="T109" s="551"/>
      <c r="U109" s="34"/>
      <c r="V109" s="34"/>
      <c r="W109" s="35" t="s">
        <v>69</v>
      </c>
      <c r="X109" s="543">
        <v>0</v>
      </c>
      <c r="Y109" s="544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53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2" t="s">
        <v>71</v>
      </c>
      <c r="Q110" s="563"/>
      <c r="R110" s="563"/>
      <c r="S110" s="563"/>
      <c r="T110" s="563"/>
      <c r="U110" s="563"/>
      <c r="V110" s="564"/>
      <c r="W110" s="37" t="s">
        <v>72</v>
      </c>
      <c r="X110" s="545">
        <f>IFERROR(X107/H107,"0")+IFERROR(X108/H108,"0")+IFERROR(X109/H109,"0")</f>
        <v>8.3333333333333339</v>
      </c>
      <c r="Y110" s="545">
        <f>IFERROR(Y107/H107,"0")+IFERROR(Y108/H108,"0")+IFERROR(Y109/H109,"0")</f>
        <v>9</v>
      </c>
      <c r="Z110" s="545">
        <f>IFERROR(IF(Z107="",0,Z107),"0")+IFERROR(IF(Z108="",0,Z108),"0")+IFERROR(IF(Z109="",0,Z109),"0")</f>
        <v>4.5179999999999998E-2</v>
      </c>
      <c r="AA110" s="546"/>
      <c r="AB110" s="546"/>
      <c r="AC110" s="546"/>
    </row>
    <row r="111" spans="1:68" x14ac:dyDescent="0.2">
      <c r="A111" s="554"/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5"/>
      <c r="P111" s="562" t="s">
        <v>71</v>
      </c>
      <c r="Q111" s="563"/>
      <c r="R111" s="563"/>
      <c r="S111" s="563"/>
      <c r="T111" s="563"/>
      <c r="U111" s="563"/>
      <c r="V111" s="564"/>
      <c r="W111" s="37" t="s">
        <v>69</v>
      </c>
      <c r="X111" s="545">
        <f>IFERROR(SUM(X107:X109),"0")</f>
        <v>20</v>
      </c>
      <c r="Y111" s="545">
        <f>IFERROR(SUM(Y107:Y109),"0")</f>
        <v>21.599999999999998</v>
      </c>
      <c r="Z111" s="37"/>
      <c r="AA111" s="546"/>
      <c r="AB111" s="546"/>
      <c r="AC111" s="546"/>
    </row>
    <row r="112" spans="1:68" ht="14.25" customHeight="1" x14ac:dyDescent="0.25">
      <c r="A112" s="558" t="s">
        <v>73</v>
      </c>
      <c r="B112" s="554"/>
      <c r="C112" s="554"/>
      <c r="D112" s="554"/>
      <c r="E112" s="554"/>
      <c r="F112" s="554"/>
      <c r="G112" s="554"/>
      <c r="H112" s="554"/>
      <c r="I112" s="554"/>
      <c r="J112" s="554"/>
      <c r="K112" s="554"/>
      <c r="L112" s="554"/>
      <c r="M112" s="554"/>
      <c r="N112" s="554"/>
      <c r="O112" s="554"/>
      <c r="P112" s="554"/>
      <c r="Q112" s="554"/>
      <c r="R112" s="554"/>
      <c r="S112" s="554"/>
      <c r="T112" s="554"/>
      <c r="U112" s="554"/>
      <c r="V112" s="554"/>
      <c r="W112" s="554"/>
      <c r="X112" s="554"/>
      <c r="Y112" s="554"/>
      <c r="Z112" s="554"/>
      <c r="AA112" s="539"/>
      <c r="AB112" s="539"/>
      <c r="AC112" s="539"/>
    </row>
    <row r="113" spans="1:68" ht="16.5" customHeight="1" x14ac:dyDescent="0.25">
      <c r="A113" s="54" t="s">
        <v>209</v>
      </c>
      <c r="B113" s="54" t="s">
        <v>210</v>
      </c>
      <c r="C113" s="31">
        <v>4301051724</v>
      </c>
      <c r="D113" s="547">
        <v>4607091385168</v>
      </c>
      <c r="E113" s="548"/>
      <c r="F113" s="542">
        <v>1.35</v>
      </c>
      <c r="G113" s="32">
        <v>6</v>
      </c>
      <c r="H113" s="542">
        <v>8.1</v>
      </c>
      <c r="I113" s="542">
        <v>8.6129999999999995</v>
      </c>
      <c r="J113" s="32">
        <v>64</v>
      </c>
      <c r="K113" s="32" t="s">
        <v>104</v>
      </c>
      <c r="L113" s="32" t="s">
        <v>105</v>
      </c>
      <c r="M113" s="33" t="s">
        <v>84</v>
      </c>
      <c r="N113" s="33"/>
      <c r="O113" s="32">
        <v>45</v>
      </c>
      <c r="P113" s="65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120</v>
      </c>
      <c r="Y113" s="544">
        <f>IFERROR(IF(X113="",0,CEILING((X113/$H113),1)*$H113),"")</f>
        <v>121.5</v>
      </c>
      <c r="Z113" s="36">
        <f>IFERROR(IF(Y113=0,"",ROUNDUP(Y113/H113,0)*0.01898),"")</f>
        <v>0.28470000000000001</v>
      </c>
      <c r="AA113" s="56"/>
      <c r="AB113" s="57"/>
      <c r="AC113" s="157" t="s">
        <v>211</v>
      </c>
      <c r="AG113" s="64"/>
      <c r="AJ113" s="68" t="s">
        <v>90</v>
      </c>
      <c r="AK113" s="68">
        <v>64.8</v>
      </c>
      <c r="BB113" s="158" t="s">
        <v>1</v>
      </c>
      <c r="BM113" s="64">
        <f>IFERROR(X113*I113/H113,"0")</f>
        <v>127.6</v>
      </c>
      <c r="BN113" s="64">
        <f>IFERROR(Y113*I113/H113,"0")</f>
        <v>129.19499999999999</v>
      </c>
      <c r="BO113" s="64">
        <f>IFERROR(1/J113*(X113/H113),"0")</f>
        <v>0.23148148148148148</v>
      </c>
      <c r="BP113" s="64">
        <f>IFERROR(1/J113*(Y113/H113),"0")</f>
        <v>0.234375</v>
      </c>
    </row>
    <row r="114" spans="1:68" ht="27" customHeight="1" x14ac:dyDescent="0.25">
      <c r="A114" s="54" t="s">
        <v>212</v>
      </c>
      <c r="B114" s="54" t="s">
        <v>213</v>
      </c>
      <c r="C114" s="31">
        <v>4301051730</v>
      </c>
      <c r="D114" s="547">
        <v>4607091383256</v>
      </c>
      <c r="E114" s="548"/>
      <c r="F114" s="542">
        <v>0.33</v>
      </c>
      <c r="G114" s="32">
        <v>6</v>
      </c>
      <c r="H114" s="542">
        <v>1.98</v>
      </c>
      <c r="I114" s="542">
        <v>2.226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09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107</v>
      </c>
      <c r="Y114" s="544">
        <f>IFERROR(IF(X114="",0,CEILING((X114/$H114),1)*$H114),"")</f>
        <v>108.9</v>
      </c>
      <c r="Z114" s="36">
        <f>IFERROR(IF(Y114=0,"",ROUNDUP(Y114/H114,0)*0.00651),"")</f>
        <v>0.35805000000000003</v>
      </c>
      <c r="AA114" s="56"/>
      <c r="AB114" s="57"/>
      <c r="AC114" s="159" t="s">
        <v>211</v>
      </c>
      <c r="AG114" s="64"/>
      <c r="AJ114" s="68" t="s">
        <v>90</v>
      </c>
      <c r="AK114" s="68">
        <v>27.72</v>
      </c>
      <c r="BB114" s="160" t="s">
        <v>1</v>
      </c>
      <c r="BM114" s="64">
        <f>IFERROR(X114*I114/H114,"0")</f>
        <v>120.29393939393938</v>
      </c>
      <c r="BN114" s="64">
        <f>IFERROR(Y114*I114/H114,"0")</f>
        <v>122.43</v>
      </c>
      <c r="BO114" s="64">
        <f>IFERROR(1/J114*(X114/H114),"0")</f>
        <v>0.29692529692529696</v>
      </c>
      <c r="BP114" s="64">
        <f>IFERROR(1/J114*(Y114/H114),"0")</f>
        <v>0.30219780219780223</v>
      </c>
    </row>
    <row r="115" spans="1:68" ht="27" customHeight="1" x14ac:dyDescent="0.25">
      <c r="A115" s="54" t="s">
        <v>214</v>
      </c>
      <c r="B115" s="54" t="s">
        <v>215</v>
      </c>
      <c r="C115" s="31">
        <v>4301051721</v>
      </c>
      <c r="D115" s="547">
        <v>4607091385748</v>
      </c>
      <c r="E115" s="548"/>
      <c r="F115" s="542">
        <v>0.45</v>
      </c>
      <c r="G115" s="32">
        <v>6</v>
      </c>
      <c r="H115" s="542">
        <v>2.7</v>
      </c>
      <c r="I115" s="542">
        <v>2.952</v>
      </c>
      <c r="J115" s="32">
        <v>182</v>
      </c>
      <c r="K115" s="32" t="s">
        <v>76</v>
      </c>
      <c r="L115" s="32" t="s">
        <v>88</v>
      </c>
      <c r="M115" s="33" t="s">
        <v>84</v>
      </c>
      <c r="N115" s="33"/>
      <c r="O115" s="32">
        <v>45</v>
      </c>
      <c r="P115" s="73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59</v>
      </c>
      <c r="Y115" s="544">
        <f>IFERROR(IF(X115="",0,CEILING((X115/$H115),1)*$H115),"")</f>
        <v>59.400000000000006</v>
      </c>
      <c r="Z115" s="36">
        <f>IFERROR(IF(Y115=0,"",ROUNDUP(Y115/H115,0)*0.00651),"")</f>
        <v>0.14322000000000001</v>
      </c>
      <c r="AA115" s="56"/>
      <c r="AB115" s="57"/>
      <c r="AC115" s="161" t="s">
        <v>211</v>
      </c>
      <c r="AG115" s="64"/>
      <c r="AJ115" s="68" t="s">
        <v>90</v>
      </c>
      <c r="AK115" s="68">
        <v>37.799999999999997</v>
      </c>
      <c r="BB115" s="162" t="s">
        <v>1</v>
      </c>
      <c r="BM115" s="64">
        <f>IFERROR(X115*I115/H115,"0")</f>
        <v>64.506666666666661</v>
      </c>
      <c r="BN115" s="64">
        <f>IFERROR(Y115*I115/H115,"0")</f>
        <v>64.944000000000003</v>
      </c>
      <c r="BO115" s="64">
        <f>IFERROR(1/J115*(X115/H115),"0")</f>
        <v>0.12006512006512007</v>
      </c>
      <c r="BP115" s="64">
        <f>IFERROR(1/J115*(Y115/H115),"0")</f>
        <v>0.12087912087912089</v>
      </c>
    </row>
    <row r="116" spans="1:68" ht="16.5" customHeight="1" x14ac:dyDescent="0.25">
      <c r="A116" s="54" t="s">
        <v>216</v>
      </c>
      <c r="B116" s="54" t="s">
        <v>217</v>
      </c>
      <c r="C116" s="31">
        <v>4301051740</v>
      </c>
      <c r="D116" s="547">
        <v>4680115884533</v>
      </c>
      <c r="E116" s="548"/>
      <c r="F116" s="542">
        <v>0.3</v>
      </c>
      <c r="G116" s="32">
        <v>6</v>
      </c>
      <c r="H116" s="542">
        <v>1.8</v>
      </c>
      <c r="I116" s="542">
        <v>1.98</v>
      </c>
      <c r="J116" s="32">
        <v>182</v>
      </c>
      <c r="K116" s="32" t="s">
        <v>76</v>
      </c>
      <c r="L116" s="32" t="s">
        <v>88</v>
      </c>
      <c r="M116" s="33" t="s">
        <v>77</v>
      </c>
      <c r="N116" s="33"/>
      <c r="O116" s="32">
        <v>45</v>
      </c>
      <c r="P116" s="63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0"/>
      <c r="R116" s="550"/>
      <c r="S116" s="550"/>
      <c r="T116" s="551"/>
      <c r="U116" s="34"/>
      <c r="V116" s="34"/>
      <c r="W116" s="35" t="s">
        <v>69</v>
      </c>
      <c r="X116" s="543">
        <v>0</v>
      </c>
      <c r="Y116" s="54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90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53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2" t="s">
        <v>71</v>
      </c>
      <c r="Q117" s="563"/>
      <c r="R117" s="563"/>
      <c r="S117" s="563"/>
      <c r="T117" s="563"/>
      <c r="U117" s="563"/>
      <c r="V117" s="564"/>
      <c r="W117" s="37" t="s">
        <v>72</v>
      </c>
      <c r="X117" s="545">
        <f>IFERROR(X113/H113,"0")+IFERROR(X114/H114,"0")+IFERROR(X115/H115,"0")+IFERROR(X116/H116,"0")</f>
        <v>90.707070707070699</v>
      </c>
      <c r="Y117" s="545">
        <f>IFERROR(Y113/H113,"0")+IFERROR(Y114/H114,"0")+IFERROR(Y115/H115,"0")+IFERROR(Y116/H116,"0")</f>
        <v>92</v>
      </c>
      <c r="Z117" s="545">
        <f>IFERROR(IF(Z113="",0,Z113),"0")+IFERROR(IF(Z114="",0,Z114),"0")+IFERROR(IF(Z115="",0,Z115),"0")+IFERROR(IF(Z116="",0,Z116),"0")</f>
        <v>0.78597000000000006</v>
      </c>
      <c r="AA117" s="546"/>
      <c r="AB117" s="546"/>
      <c r="AC117" s="546"/>
    </row>
    <row r="118" spans="1:68" x14ac:dyDescent="0.2">
      <c r="A118" s="554"/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5"/>
      <c r="P118" s="562" t="s">
        <v>71</v>
      </c>
      <c r="Q118" s="563"/>
      <c r="R118" s="563"/>
      <c r="S118" s="563"/>
      <c r="T118" s="563"/>
      <c r="U118" s="563"/>
      <c r="V118" s="564"/>
      <c r="W118" s="37" t="s">
        <v>69</v>
      </c>
      <c r="X118" s="545">
        <f>IFERROR(SUM(X113:X116),"0")</f>
        <v>286</v>
      </c>
      <c r="Y118" s="545">
        <f>IFERROR(SUM(Y113:Y116),"0")</f>
        <v>289.8</v>
      </c>
      <c r="Z118" s="37"/>
      <c r="AA118" s="546"/>
      <c r="AB118" s="546"/>
      <c r="AC118" s="546"/>
    </row>
    <row r="119" spans="1:68" ht="14.25" customHeight="1" x14ac:dyDescent="0.25">
      <c r="A119" s="558" t="s">
        <v>166</v>
      </c>
      <c r="B119" s="554"/>
      <c r="C119" s="554"/>
      <c r="D119" s="554"/>
      <c r="E119" s="554"/>
      <c r="F119" s="554"/>
      <c r="G119" s="554"/>
      <c r="H119" s="554"/>
      <c r="I119" s="554"/>
      <c r="J119" s="554"/>
      <c r="K119" s="554"/>
      <c r="L119" s="554"/>
      <c r="M119" s="554"/>
      <c r="N119" s="554"/>
      <c r="O119" s="554"/>
      <c r="P119" s="554"/>
      <c r="Q119" s="554"/>
      <c r="R119" s="554"/>
      <c r="S119" s="554"/>
      <c r="T119" s="554"/>
      <c r="U119" s="554"/>
      <c r="V119" s="554"/>
      <c r="W119" s="554"/>
      <c r="X119" s="554"/>
      <c r="Y119" s="554"/>
      <c r="Z119" s="554"/>
      <c r="AA119" s="539"/>
      <c r="AB119" s="539"/>
      <c r="AC119" s="539"/>
    </row>
    <row r="120" spans="1:68" ht="16.5" customHeight="1" x14ac:dyDescent="0.25">
      <c r="A120" s="54" t="s">
        <v>219</v>
      </c>
      <c r="B120" s="54" t="s">
        <v>220</v>
      </c>
      <c r="C120" s="31">
        <v>4301060317</v>
      </c>
      <c r="D120" s="547">
        <v>4680115880238</v>
      </c>
      <c r="E120" s="548"/>
      <c r="F120" s="542">
        <v>0.33</v>
      </c>
      <c r="G120" s="32">
        <v>6</v>
      </c>
      <c r="H120" s="542">
        <v>1.98</v>
      </c>
      <c r="I120" s="542">
        <v>2.238</v>
      </c>
      <c r="J120" s="32">
        <v>182</v>
      </c>
      <c r="K120" s="32" t="s">
        <v>76</v>
      </c>
      <c r="L120" s="32" t="s">
        <v>88</v>
      </c>
      <c r="M120" s="33" t="s">
        <v>77</v>
      </c>
      <c r="N120" s="33"/>
      <c r="O120" s="32">
        <v>40</v>
      </c>
      <c r="P120" s="6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0"/>
      <c r="R120" s="550"/>
      <c r="S120" s="550"/>
      <c r="T120" s="551"/>
      <c r="U120" s="34"/>
      <c r="V120" s="34"/>
      <c r="W120" s="35" t="s">
        <v>69</v>
      </c>
      <c r="X120" s="543">
        <v>0</v>
      </c>
      <c r="Y120" s="54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221</v>
      </c>
      <c r="AG120" s="64"/>
      <c r="AJ120" s="68" t="s">
        <v>90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x14ac:dyDescent="0.2">
      <c r="A121" s="553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2" t="s">
        <v>71</v>
      </c>
      <c r="Q121" s="563"/>
      <c r="R121" s="563"/>
      <c r="S121" s="563"/>
      <c r="T121" s="563"/>
      <c r="U121" s="563"/>
      <c r="V121" s="564"/>
      <c r="W121" s="37" t="s">
        <v>72</v>
      </c>
      <c r="X121" s="545">
        <f>IFERROR(X120/H120,"0")</f>
        <v>0</v>
      </c>
      <c r="Y121" s="545">
        <f>IFERROR(Y120/H120,"0")</f>
        <v>0</v>
      </c>
      <c r="Z121" s="545">
        <f>IFERROR(IF(Z120="",0,Z120),"0")</f>
        <v>0</v>
      </c>
      <c r="AA121" s="546"/>
      <c r="AB121" s="546"/>
      <c r="AC121" s="546"/>
    </row>
    <row r="122" spans="1:68" x14ac:dyDescent="0.2">
      <c r="A122" s="554"/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5"/>
      <c r="P122" s="562" t="s">
        <v>71</v>
      </c>
      <c r="Q122" s="563"/>
      <c r="R122" s="563"/>
      <c r="S122" s="563"/>
      <c r="T122" s="563"/>
      <c r="U122" s="563"/>
      <c r="V122" s="564"/>
      <c r="W122" s="37" t="s">
        <v>69</v>
      </c>
      <c r="X122" s="545">
        <f>IFERROR(SUM(X120:X120),"0")</f>
        <v>0</v>
      </c>
      <c r="Y122" s="545">
        <f>IFERROR(SUM(Y120:Y120),"0")</f>
        <v>0</v>
      </c>
      <c r="Z122" s="37"/>
      <c r="AA122" s="546"/>
      <c r="AB122" s="546"/>
      <c r="AC122" s="546"/>
    </row>
    <row r="123" spans="1:68" ht="16.5" customHeight="1" x14ac:dyDescent="0.25">
      <c r="A123" s="559" t="s">
        <v>222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8"/>
      <c r="AB123" s="538"/>
      <c r="AC123" s="538"/>
    </row>
    <row r="124" spans="1:68" ht="14.25" customHeight="1" x14ac:dyDescent="0.25">
      <c r="A124" s="558" t="s">
        <v>101</v>
      </c>
      <c r="B124" s="554"/>
      <c r="C124" s="554"/>
      <c r="D124" s="554"/>
      <c r="E124" s="554"/>
      <c r="F124" s="554"/>
      <c r="G124" s="554"/>
      <c r="H124" s="554"/>
      <c r="I124" s="554"/>
      <c r="J124" s="554"/>
      <c r="K124" s="554"/>
      <c r="L124" s="554"/>
      <c r="M124" s="554"/>
      <c r="N124" s="554"/>
      <c r="O124" s="554"/>
      <c r="P124" s="554"/>
      <c r="Q124" s="554"/>
      <c r="R124" s="554"/>
      <c r="S124" s="554"/>
      <c r="T124" s="554"/>
      <c r="U124" s="554"/>
      <c r="V124" s="554"/>
      <c r="W124" s="554"/>
      <c r="X124" s="554"/>
      <c r="Y124" s="554"/>
      <c r="Z124" s="554"/>
      <c r="AA124" s="539"/>
      <c r="AB124" s="539"/>
      <c r="AC124" s="539"/>
    </row>
    <row r="125" spans="1:68" ht="27" customHeight="1" x14ac:dyDescent="0.25">
      <c r="A125" s="54" t="s">
        <v>223</v>
      </c>
      <c r="B125" s="54" t="s">
        <v>224</v>
      </c>
      <c r="C125" s="31">
        <v>4301011562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52</v>
      </c>
      <c r="Y125" s="544">
        <f>IFERROR(IF(X125="",0,CEILING((X125/$H125),1)*$H125),"")</f>
        <v>54.400000000000006</v>
      </c>
      <c r="Z125" s="36">
        <f>IFERROR(IF(Y125=0,"",ROUNDUP(Y125/H125,0)*0.00651),"")</f>
        <v>0.11067</v>
      </c>
      <c r="AA125" s="56"/>
      <c r="AB125" s="57"/>
      <c r="AC125" s="167" t="s">
        <v>225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54.924999999999997</v>
      </c>
      <c r="BN125" s="64">
        <f>IFERROR(Y125*I125/H125,"0")</f>
        <v>57.46</v>
      </c>
      <c r="BO125" s="64">
        <f>IFERROR(1/J125*(X125/H125),"0")</f>
        <v>8.9285714285714288E-2</v>
      </c>
      <c r="BP125" s="64">
        <f>IFERROR(1/J125*(Y125/H125),"0")</f>
        <v>9.3406593406593408E-2</v>
      </c>
    </row>
    <row r="126" spans="1:68" ht="27" customHeight="1" x14ac:dyDescent="0.25">
      <c r="A126" s="54" t="s">
        <v>223</v>
      </c>
      <c r="B126" s="54" t="s">
        <v>226</v>
      </c>
      <c r="C126" s="31">
        <v>4301011564</v>
      </c>
      <c r="D126" s="547">
        <v>4680115882577</v>
      </c>
      <c r="E126" s="548"/>
      <c r="F126" s="542">
        <v>0.4</v>
      </c>
      <c r="G126" s="32">
        <v>8</v>
      </c>
      <c r="H126" s="542">
        <v>3.2</v>
      </c>
      <c r="I126" s="542">
        <v>3.38</v>
      </c>
      <c r="J126" s="32">
        <v>182</v>
      </c>
      <c r="K126" s="32" t="s">
        <v>76</v>
      </c>
      <c r="L126" s="32" t="s">
        <v>88</v>
      </c>
      <c r="M126" s="33" t="s">
        <v>96</v>
      </c>
      <c r="N126" s="33"/>
      <c r="O126" s="32">
        <v>90</v>
      </c>
      <c r="P126" s="86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0"/>
      <c r="R126" s="550"/>
      <c r="S126" s="550"/>
      <c r="T126" s="551"/>
      <c r="U126" s="34"/>
      <c r="V126" s="34"/>
      <c r="W126" s="35" t="s">
        <v>69</v>
      </c>
      <c r="X126" s="543">
        <v>0</v>
      </c>
      <c r="Y126" s="544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225</v>
      </c>
      <c r="AG126" s="64"/>
      <c r="AJ126" s="68" t="s">
        <v>90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53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2" t="s">
        <v>71</v>
      </c>
      <c r="Q127" s="563"/>
      <c r="R127" s="563"/>
      <c r="S127" s="563"/>
      <c r="T127" s="563"/>
      <c r="U127" s="563"/>
      <c r="V127" s="564"/>
      <c r="W127" s="37" t="s">
        <v>72</v>
      </c>
      <c r="X127" s="545">
        <f>IFERROR(X125/H125,"0")+IFERROR(X126/H126,"0")</f>
        <v>16.25</v>
      </c>
      <c r="Y127" s="545">
        <f>IFERROR(Y125/H125,"0")+IFERROR(Y126/H126,"0")</f>
        <v>17</v>
      </c>
      <c r="Z127" s="545">
        <f>IFERROR(IF(Z125="",0,Z125),"0")+IFERROR(IF(Z126="",0,Z126),"0")</f>
        <v>0.11067</v>
      </c>
      <c r="AA127" s="546"/>
      <c r="AB127" s="546"/>
      <c r="AC127" s="546"/>
    </row>
    <row r="128" spans="1:68" x14ac:dyDescent="0.2">
      <c r="A128" s="554"/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5"/>
      <c r="P128" s="562" t="s">
        <v>71</v>
      </c>
      <c r="Q128" s="563"/>
      <c r="R128" s="563"/>
      <c r="S128" s="563"/>
      <c r="T128" s="563"/>
      <c r="U128" s="563"/>
      <c r="V128" s="564"/>
      <c r="W128" s="37" t="s">
        <v>69</v>
      </c>
      <c r="X128" s="545">
        <f>IFERROR(SUM(X125:X126),"0")</f>
        <v>52</v>
      </c>
      <c r="Y128" s="545">
        <f>IFERROR(SUM(Y125:Y126),"0")</f>
        <v>54.400000000000006</v>
      </c>
      <c r="Z128" s="37"/>
      <c r="AA128" s="546"/>
      <c r="AB128" s="546"/>
      <c r="AC128" s="546"/>
    </row>
    <row r="129" spans="1:68" ht="14.25" customHeight="1" x14ac:dyDescent="0.25">
      <c r="A129" s="558" t="s">
        <v>64</v>
      </c>
      <c r="B129" s="554"/>
      <c r="C129" s="554"/>
      <c r="D129" s="554"/>
      <c r="E129" s="554"/>
      <c r="F129" s="554"/>
      <c r="G129" s="554"/>
      <c r="H129" s="554"/>
      <c r="I129" s="554"/>
      <c r="J129" s="554"/>
      <c r="K129" s="554"/>
      <c r="L129" s="554"/>
      <c r="M129" s="554"/>
      <c r="N129" s="554"/>
      <c r="O129" s="554"/>
      <c r="P129" s="554"/>
      <c r="Q129" s="554"/>
      <c r="R129" s="554"/>
      <c r="S129" s="554"/>
      <c r="T129" s="554"/>
      <c r="U129" s="554"/>
      <c r="V129" s="554"/>
      <c r="W129" s="554"/>
      <c r="X129" s="554"/>
      <c r="Y129" s="554"/>
      <c r="Z129" s="554"/>
      <c r="AA129" s="539"/>
      <c r="AB129" s="539"/>
      <c r="AC129" s="539"/>
    </row>
    <row r="130" spans="1:68" ht="27" customHeight="1" x14ac:dyDescent="0.25">
      <c r="A130" s="54" t="s">
        <v>227</v>
      </c>
      <c r="B130" s="54" t="s">
        <v>228</v>
      </c>
      <c r="C130" s="31">
        <v>4301031235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229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227</v>
      </c>
      <c r="B131" s="54" t="s">
        <v>230</v>
      </c>
      <c r="C131" s="31">
        <v>4301031234</v>
      </c>
      <c r="D131" s="547">
        <v>4680115883444</v>
      </c>
      <c r="E131" s="548"/>
      <c r="F131" s="542">
        <v>0.35</v>
      </c>
      <c r="G131" s="32">
        <v>8</v>
      </c>
      <c r="H131" s="542">
        <v>2.8</v>
      </c>
      <c r="I131" s="542">
        <v>3.0680000000000001</v>
      </c>
      <c r="J131" s="32">
        <v>182</v>
      </c>
      <c r="K131" s="32" t="s">
        <v>76</v>
      </c>
      <c r="L131" s="32" t="s">
        <v>88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0"/>
      <c r="R131" s="550"/>
      <c r="S131" s="550"/>
      <c r="T131" s="551"/>
      <c r="U131" s="34"/>
      <c r="V131" s="34"/>
      <c r="W131" s="35" t="s">
        <v>69</v>
      </c>
      <c r="X131" s="543">
        <v>49</v>
      </c>
      <c r="Y131" s="544">
        <f>IFERROR(IF(X131="",0,CEILING((X131/$H131),1)*$H131),"")</f>
        <v>50.4</v>
      </c>
      <c r="Z131" s="36">
        <f>IFERROR(IF(Y131=0,"",ROUNDUP(Y131/H131,0)*0.00651),"")</f>
        <v>0.11718000000000001</v>
      </c>
      <c r="AA131" s="56"/>
      <c r="AB131" s="57"/>
      <c r="AC131" s="173" t="s">
        <v>229</v>
      </c>
      <c r="AG131" s="64"/>
      <c r="AJ131" s="68" t="s">
        <v>90</v>
      </c>
      <c r="AK131" s="68">
        <v>39.200000000000003</v>
      </c>
      <c r="BB131" s="174" t="s">
        <v>1</v>
      </c>
      <c r="BM131" s="64">
        <f>IFERROR(X131*I131/H131,"0")</f>
        <v>53.69</v>
      </c>
      <c r="BN131" s="64">
        <f>IFERROR(Y131*I131/H131,"0")</f>
        <v>55.223999999999997</v>
      </c>
      <c r="BO131" s="64">
        <f>IFERROR(1/J131*(X131/H131),"0")</f>
        <v>9.6153846153846159E-2</v>
      </c>
      <c r="BP131" s="64">
        <f>IFERROR(1/J131*(Y131/H131),"0")</f>
        <v>9.8901098901098911E-2</v>
      </c>
    </row>
    <row r="132" spans="1:68" x14ac:dyDescent="0.2">
      <c r="A132" s="553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2" t="s">
        <v>71</v>
      </c>
      <c r="Q132" s="563"/>
      <c r="R132" s="563"/>
      <c r="S132" s="563"/>
      <c r="T132" s="563"/>
      <c r="U132" s="563"/>
      <c r="V132" s="564"/>
      <c r="W132" s="37" t="s">
        <v>72</v>
      </c>
      <c r="X132" s="545">
        <f>IFERROR(X130/H130,"0")+IFERROR(X131/H131,"0")</f>
        <v>17.5</v>
      </c>
      <c r="Y132" s="545">
        <f>IFERROR(Y130/H130,"0")+IFERROR(Y131/H131,"0")</f>
        <v>18</v>
      </c>
      <c r="Z132" s="545">
        <f>IFERROR(IF(Z130="",0,Z130),"0")+IFERROR(IF(Z131="",0,Z131),"0")</f>
        <v>0.11718000000000001</v>
      </c>
      <c r="AA132" s="546"/>
      <c r="AB132" s="546"/>
      <c r="AC132" s="546"/>
    </row>
    <row r="133" spans="1:68" x14ac:dyDescent="0.2">
      <c r="A133" s="554"/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5"/>
      <c r="P133" s="562" t="s">
        <v>71</v>
      </c>
      <c r="Q133" s="563"/>
      <c r="R133" s="563"/>
      <c r="S133" s="563"/>
      <c r="T133" s="563"/>
      <c r="U133" s="563"/>
      <c r="V133" s="564"/>
      <c r="W133" s="37" t="s">
        <v>69</v>
      </c>
      <c r="X133" s="545">
        <f>IFERROR(SUM(X130:X131),"0")</f>
        <v>49</v>
      </c>
      <c r="Y133" s="545">
        <f>IFERROR(SUM(Y130:Y131),"0")</f>
        <v>50.4</v>
      </c>
      <c r="Z133" s="37"/>
      <c r="AA133" s="546"/>
      <c r="AB133" s="546"/>
      <c r="AC133" s="546"/>
    </row>
    <row r="134" spans="1:68" ht="14.25" customHeight="1" x14ac:dyDescent="0.25">
      <c r="A134" s="558" t="s">
        <v>73</v>
      </c>
      <c r="B134" s="554"/>
      <c r="C134" s="554"/>
      <c r="D134" s="554"/>
      <c r="E134" s="554"/>
      <c r="F134" s="554"/>
      <c r="G134" s="554"/>
      <c r="H134" s="554"/>
      <c r="I134" s="554"/>
      <c r="J134" s="554"/>
      <c r="K134" s="554"/>
      <c r="L134" s="554"/>
      <c r="M134" s="554"/>
      <c r="N134" s="554"/>
      <c r="O134" s="554"/>
      <c r="P134" s="554"/>
      <c r="Q134" s="554"/>
      <c r="R134" s="554"/>
      <c r="S134" s="554"/>
      <c r="T134" s="554"/>
      <c r="U134" s="554"/>
      <c r="V134" s="554"/>
      <c r="W134" s="554"/>
      <c r="X134" s="554"/>
      <c r="Y134" s="554"/>
      <c r="Z134" s="554"/>
      <c r="AA134" s="539"/>
      <c r="AB134" s="539"/>
      <c r="AC134" s="539"/>
    </row>
    <row r="135" spans="1:68" ht="16.5" customHeight="1" x14ac:dyDescent="0.25">
      <c r="A135" s="54" t="s">
        <v>231</v>
      </c>
      <c r="B135" s="54" t="s">
        <v>232</v>
      </c>
      <c r="C135" s="31">
        <v>4301051477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225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231</v>
      </c>
      <c r="B136" s="54" t="s">
        <v>233</v>
      </c>
      <c r="C136" s="31">
        <v>4301051476</v>
      </c>
      <c r="D136" s="547">
        <v>4680115882584</v>
      </c>
      <c r="E136" s="548"/>
      <c r="F136" s="542">
        <v>0.33</v>
      </c>
      <c r="G136" s="32">
        <v>8</v>
      </c>
      <c r="H136" s="542">
        <v>2.64</v>
      </c>
      <c r="I136" s="542">
        <v>2.9079999999999999</v>
      </c>
      <c r="J136" s="32">
        <v>182</v>
      </c>
      <c r="K136" s="32" t="s">
        <v>76</v>
      </c>
      <c r="L136" s="32" t="s">
        <v>88</v>
      </c>
      <c r="M136" s="33" t="s">
        <v>96</v>
      </c>
      <c r="N136" s="33"/>
      <c r="O136" s="32">
        <v>60</v>
      </c>
      <c r="P136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0"/>
      <c r="R136" s="550"/>
      <c r="S136" s="550"/>
      <c r="T136" s="551"/>
      <c r="U136" s="34"/>
      <c r="V136" s="34"/>
      <c r="W136" s="35" t="s">
        <v>69</v>
      </c>
      <c r="X136" s="543">
        <v>17</v>
      </c>
      <c r="Y136" s="544">
        <f>IFERROR(IF(X136="",0,CEILING((X136/$H136),1)*$H136),"")</f>
        <v>18.48</v>
      </c>
      <c r="Z136" s="36">
        <f>IFERROR(IF(Y136=0,"",ROUNDUP(Y136/H136,0)*0.00651),"")</f>
        <v>4.5569999999999999E-2</v>
      </c>
      <c r="AA136" s="56"/>
      <c r="AB136" s="57"/>
      <c r="AC136" s="177" t="s">
        <v>225</v>
      </c>
      <c r="AG136" s="64"/>
      <c r="AJ136" s="68" t="s">
        <v>90</v>
      </c>
      <c r="AK136" s="68">
        <v>36.96</v>
      </c>
      <c r="BB136" s="178" t="s">
        <v>1</v>
      </c>
      <c r="BM136" s="64">
        <f>IFERROR(X136*I136/H136,"0")</f>
        <v>18.725757575757576</v>
      </c>
      <c r="BN136" s="64">
        <f>IFERROR(Y136*I136/H136,"0")</f>
        <v>20.355999999999998</v>
      </c>
      <c r="BO136" s="64">
        <f>IFERROR(1/J136*(X136/H136),"0")</f>
        <v>3.5381285381285384E-2</v>
      </c>
      <c r="BP136" s="64">
        <f>IFERROR(1/J136*(Y136/H136),"0")</f>
        <v>3.8461538461538464E-2</v>
      </c>
    </row>
    <row r="137" spans="1:68" x14ac:dyDescent="0.2">
      <c r="A137" s="553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2" t="s">
        <v>71</v>
      </c>
      <c r="Q137" s="563"/>
      <c r="R137" s="563"/>
      <c r="S137" s="563"/>
      <c r="T137" s="563"/>
      <c r="U137" s="563"/>
      <c r="V137" s="564"/>
      <c r="W137" s="37" t="s">
        <v>72</v>
      </c>
      <c r="X137" s="545">
        <f>IFERROR(X135/H135,"0")+IFERROR(X136/H136,"0")</f>
        <v>6.4393939393939394</v>
      </c>
      <c r="Y137" s="545">
        <f>IFERROR(Y135/H135,"0")+IFERROR(Y136/H136,"0")</f>
        <v>7</v>
      </c>
      <c r="Z137" s="545">
        <f>IFERROR(IF(Z135="",0,Z135),"0")+IFERROR(IF(Z136="",0,Z136),"0")</f>
        <v>4.5569999999999999E-2</v>
      </c>
      <c r="AA137" s="546"/>
      <c r="AB137" s="546"/>
      <c r="AC137" s="546"/>
    </row>
    <row r="138" spans="1:68" x14ac:dyDescent="0.2">
      <c r="A138" s="554"/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5"/>
      <c r="P138" s="562" t="s">
        <v>71</v>
      </c>
      <c r="Q138" s="563"/>
      <c r="R138" s="563"/>
      <c r="S138" s="563"/>
      <c r="T138" s="563"/>
      <c r="U138" s="563"/>
      <c r="V138" s="564"/>
      <c r="W138" s="37" t="s">
        <v>69</v>
      </c>
      <c r="X138" s="545">
        <f>IFERROR(SUM(X135:X136),"0")</f>
        <v>17</v>
      </c>
      <c r="Y138" s="545">
        <f>IFERROR(SUM(Y135:Y136),"0")</f>
        <v>18.48</v>
      </c>
      <c r="Z138" s="37"/>
      <c r="AA138" s="546"/>
      <c r="AB138" s="546"/>
      <c r="AC138" s="546"/>
    </row>
    <row r="139" spans="1:68" ht="16.5" customHeight="1" x14ac:dyDescent="0.25">
      <c r="A139" s="559" t="s">
        <v>99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8"/>
      <c r="AB139" s="538"/>
      <c r="AC139" s="538"/>
    </row>
    <row r="140" spans="1:68" ht="14.25" customHeight="1" x14ac:dyDescent="0.25">
      <c r="A140" s="558" t="s">
        <v>101</v>
      </c>
      <c r="B140" s="554"/>
      <c r="C140" s="554"/>
      <c r="D140" s="554"/>
      <c r="E140" s="554"/>
      <c r="F140" s="554"/>
      <c r="G140" s="554"/>
      <c r="H140" s="554"/>
      <c r="I140" s="554"/>
      <c r="J140" s="554"/>
      <c r="K140" s="554"/>
      <c r="L140" s="554"/>
      <c r="M140" s="554"/>
      <c r="N140" s="554"/>
      <c r="O140" s="554"/>
      <c r="P140" s="554"/>
      <c r="Q140" s="554"/>
      <c r="R140" s="554"/>
      <c r="S140" s="554"/>
      <c r="T140" s="554"/>
      <c r="U140" s="554"/>
      <c r="V140" s="554"/>
      <c r="W140" s="554"/>
      <c r="X140" s="554"/>
      <c r="Y140" s="554"/>
      <c r="Z140" s="554"/>
      <c r="AA140" s="539"/>
      <c r="AB140" s="539"/>
      <c r="AC140" s="539"/>
    </row>
    <row r="141" spans="1:68" ht="27" customHeight="1" x14ac:dyDescent="0.25">
      <c r="A141" s="54" t="s">
        <v>234</v>
      </c>
      <c r="B141" s="54" t="s">
        <v>235</v>
      </c>
      <c r="C141" s="31">
        <v>4301012244</v>
      </c>
      <c r="D141" s="547">
        <v>4680115887374</v>
      </c>
      <c r="E141" s="548"/>
      <c r="F141" s="542">
        <v>1.6</v>
      </c>
      <c r="G141" s="32">
        <v>8</v>
      </c>
      <c r="H141" s="542">
        <v>12.8</v>
      </c>
      <c r="I141" s="542">
        <v>13.234999999999999</v>
      </c>
      <c r="J141" s="32">
        <v>64</v>
      </c>
      <c r="K141" s="32" t="s">
        <v>104</v>
      </c>
      <c r="L141" s="32"/>
      <c r="M141" s="33" t="s">
        <v>106</v>
      </c>
      <c r="N141" s="33"/>
      <c r="O141" s="32">
        <v>55</v>
      </c>
      <c r="P141" s="74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 t="s">
        <v>236</v>
      </c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238</v>
      </c>
      <c r="B142" s="54" t="s">
        <v>239</v>
      </c>
      <c r="C142" s="31">
        <v>4301011705</v>
      </c>
      <c r="D142" s="547">
        <v>4607091384604</v>
      </c>
      <c r="E142" s="548"/>
      <c r="F142" s="542">
        <v>0.4</v>
      </c>
      <c r="G142" s="32">
        <v>10</v>
      </c>
      <c r="H142" s="542">
        <v>4</v>
      </c>
      <c r="I142" s="542">
        <v>4.21</v>
      </c>
      <c r="J142" s="32">
        <v>132</v>
      </c>
      <c r="K142" s="32" t="s">
        <v>110</v>
      </c>
      <c r="L142" s="32" t="s">
        <v>111</v>
      </c>
      <c r="M142" s="33" t="s">
        <v>106</v>
      </c>
      <c r="N142" s="33"/>
      <c r="O142" s="32">
        <v>50</v>
      </c>
      <c r="P142" s="67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173</v>
      </c>
      <c r="Y142" s="544">
        <f>IFERROR(IF(X142="",0,CEILING((X142/$H142),1)*$H142),"")</f>
        <v>176</v>
      </c>
      <c r="Z142" s="36">
        <f>IFERROR(IF(Y142=0,"",ROUNDUP(Y142/H142,0)*0.00902),"")</f>
        <v>0.39688000000000001</v>
      </c>
      <c r="AA142" s="56"/>
      <c r="AB142" s="57"/>
      <c r="AC142" s="181" t="s">
        <v>240</v>
      </c>
      <c r="AG142" s="64"/>
      <c r="AJ142" s="68" t="s">
        <v>90</v>
      </c>
      <c r="AK142" s="68">
        <v>48</v>
      </c>
      <c r="BB142" s="182" t="s">
        <v>1</v>
      </c>
      <c r="BM142" s="64">
        <f>IFERROR(X142*I142/H142,"0")</f>
        <v>182.08250000000001</v>
      </c>
      <c r="BN142" s="64">
        <f>IFERROR(Y142*I142/H142,"0")</f>
        <v>185.24</v>
      </c>
      <c r="BO142" s="64">
        <f>IFERROR(1/J142*(X142/H142),"0")</f>
        <v>0.32765151515151514</v>
      </c>
      <c r="BP142" s="64">
        <f>IFERROR(1/J142*(Y142/H142),"0")</f>
        <v>0.33333333333333337</v>
      </c>
    </row>
    <row r="143" spans="1:68" ht="16.5" customHeight="1" x14ac:dyDescent="0.25">
      <c r="A143" s="54" t="s">
        <v>241</v>
      </c>
      <c r="B143" s="54" t="s">
        <v>242</v>
      </c>
      <c r="C143" s="31">
        <v>4301012179</v>
      </c>
      <c r="D143" s="547">
        <v>4680115886810</v>
      </c>
      <c r="E143" s="548"/>
      <c r="F143" s="542">
        <v>0.3</v>
      </c>
      <c r="G143" s="32">
        <v>10</v>
      </c>
      <c r="H143" s="542">
        <v>3</v>
      </c>
      <c r="I143" s="542">
        <v>3.18</v>
      </c>
      <c r="J143" s="32">
        <v>182</v>
      </c>
      <c r="K143" s="32" t="s">
        <v>76</v>
      </c>
      <c r="L143" s="32"/>
      <c r="M143" s="33" t="s">
        <v>106</v>
      </c>
      <c r="N143" s="33"/>
      <c r="O143" s="32">
        <v>55</v>
      </c>
      <c r="P143" s="743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3" s="550"/>
      <c r="R143" s="550"/>
      <c r="S143" s="550"/>
      <c r="T143" s="551"/>
      <c r="U143" s="34"/>
      <c r="V143" s="34"/>
      <c r="W143" s="35" t="s">
        <v>69</v>
      </c>
      <c r="X143" s="543">
        <v>0</v>
      </c>
      <c r="Y143" s="54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53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2" t="s">
        <v>71</v>
      </c>
      <c r="Q144" s="563"/>
      <c r="R144" s="563"/>
      <c r="S144" s="563"/>
      <c r="T144" s="563"/>
      <c r="U144" s="563"/>
      <c r="V144" s="564"/>
      <c r="W144" s="37" t="s">
        <v>72</v>
      </c>
      <c r="X144" s="545">
        <f>IFERROR(X141/H141,"0")+IFERROR(X142/H142,"0")+IFERROR(X143/H143,"0")</f>
        <v>43.25</v>
      </c>
      <c r="Y144" s="545">
        <f>IFERROR(Y141/H141,"0")+IFERROR(Y142/H142,"0")+IFERROR(Y143/H143,"0")</f>
        <v>44</v>
      </c>
      <c r="Z144" s="545">
        <f>IFERROR(IF(Z141="",0,Z141),"0")+IFERROR(IF(Z142="",0,Z142),"0")+IFERROR(IF(Z143="",0,Z143),"0")</f>
        <v>0.39688000000000001</v>
      </c>
      <c r="AA144" s="546"/>
      <c r="AB144" s="546"/>
      <c r="AC144" s="546"/>
    </row>
    <row r="145" spans="1:68" x14ac:dyDescent="0.2">
      <c r="A145" s="554"/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5"/>
      <c r="P145" s="562" t="s">
        <v>71</v>
      </c>
      <c r="Q145" s="563"/>
      <c r="R145" s="563"/>
      <c r="S145" s="563"/>
      <c r="T145" s="563"/>
      <c r="U145" s="563"/>
      <c r="V145" s="564"/>
      <c r="W145" s="37" t="s">
        <v>69</v>
      </c>
      <c r="X145" s="545">
        <f>IFERROR(SUM(X141:X143),"0")</f>
        <v>173</v>
      </c>
      <c r="Y145" s="545">
        <f>IFERROR(SUM(Y141:Y143),"0")</f>
        <v>176</v>
      </c>
      <c r="Z145" s="37"/>
      <c r="AA145" s="546"/>
      <c r="AB145" s="546"/>
      <c r="AC145" s="546"/>
    </row>
    <row r="146" spans="1:68" ht="14.25" customHeight="1" x14ac:dyDescent="0.25">
      <c r="A146" s="558" t="s">
        <v>64</v>
      </c>
      <c r="B146" s="554"/>
      <c r="C146" s="554"/>
      <c r="D146" s="554"/>
      <c r="E146" s="554"/>
      <c r="F146" s="554"/>
      <c r="G146" s="554"/>
      <c r="H146" s="554"/>
      <c r="I146" s="554"/>
      <c r="J146" s="554"/>
      <c r="K146" s="554"/>
      <c r="L146" s="554"/>
      <c r="M146" s="554"/>
      <c r="N146" s="554"/>
      <c r="O146" s="554"/>
      <c r="P146" s="554"/>
      <c r="Q146" s="554"/>
      <c r="R146" s="554"/>
      <c r="S146" s="554"/>
      <c r="T146" s="554"/>
      <c r="U146" s="554"/>
      <c r="V146" s="554"/>
      <c r="W146" s="554"/>
      <c r="X146" s="554"/>
      <c r="Y146" s="554"/>
      <c r="Z146" s="554"/>
      <c r="AA146" s="539"/>
      <c r="AB146" s="539"/>
      <c r="AC146" s="539"/>
    </row>
    <row r="147" spans="1:68" ht="16.5" customHeight="1" x14ac:dyDescent="0.25">
      <c r="A147" s="54" t="s">
        <v>244</v>
      </c>
      <c r="B147" s="54" t="s">
        <v>245</v>
      </c>
      <c r="C147" s="31">
        <v>4301030895</v>
      </c>
      <c r="D147" s="547">
        <v>4607091387667</v>
      </c>
      <c r="E147" s="548"/>
      <c r="F147" s="542">
        <v>0.9</v>
      </c>
      <c r="G147" s="32">
        <v>10</v>
      </c>
      <c r="H147" s="542">
        <v>9</v>
      </c>
      <c r="I147" s="542">
        <v>9.5850000000000009</v>
      </c>
      <c r="J147" s="32">
        <v>64</v>
      </c>
      <c r="K147" s="32" t="s">
        <v>104</v>
      </c>
      <c r="L147" s="32" t="s">
        <v>105</v>
      </c>
      <c r="M147" s="33" t="s">
        <v>106</v>
      </c>
      <c r="N147" s="33"/>
      <c r="O147" s="32">
        <v>40</v>
      </c>
      <c r="P147" s="60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20</v>
      </c>
      <c r="Y147" s="544">
        <f>IFERROR(IF(X147="",0,CEILING((X147/$H147),1)*$H147),"")</f>
        <v>27</v>
      </c>
      <c r="Z147" s="36">
        <f>IFERROR(IF(Y147=0,"",ROUNDUP(Y147/H147,0)*0.01898),"")</f>
        <v>5.6940000000000004E-2</v>
      </c>
      <c r="AA147" s="56"/>
      <c r="AB147" s="57"/>
      <c r="AC147" s="185" t="s">
        <v>246</v>
      </c>
      <c r="AG147" s="64"/>
      <c r="AJ147" s="68" t="s">
        <v>90</v>
      </c>
      <c r="AK147" s="68">
        <v>72</v>
      </c>
      <c r="BB147" s="186" t="s">
        <v>1</v>
      </c>
      <c r="BM147" s="64">
        <f>IFERROR(X147*I147/H147,"0")</f>
        <v>21.3</v>
      </c>
      <c r="BN147" s="64">
        <f>IFERROR(Y147*I147/H147,"0")</f>
        <v>28.755000000000003</v>
      </c>
      <c r="BO147" s="64">
        <f>IFERROR(1/J147*(X147/H147),"0")</f>
        <v>3.4722222222222224E-2</v>
      </c>
      <c r="BP147" s="64">
        <f>IFERROR(1/J147*(Y147/H147),"0")</f>
        <v>4.6875E-2</v>
      </c>
    </row>
    <row r="148" spans="1:68" ht="16.5" customHeight="1" x14ac:dyDescent="0.25">
      <c r="A148" s="54" t="s">
        <v>247</v>
      </c>
      <c r="B148" s="54" t="s">
        <v>248</v>
      </c>
      <c r="C148" s="31">
        <v>4301030961</v>
      </c>
      <c r="D148" s="547">
        <v>4607091387636</v>
      </c>
      <c r="E148" s="548"/>
      <c r="F148" s="542">
        <v>0.7</v>
      </c>
      <c r="G148" s="32">
        <v>6</v>
      </c>
      <c r="H148" s="542">
        <v>4.2</v>
      </c>
      <c r="I148" s="542">
        <v>4.47</v>
      </c>
      <c r="J148" s="32">
        <v>182</v>
      </c>
      <c r="K148" s="32" t="s">
        <v>76</v>
      </c>
      <c r="L148" s="32"/>
      <c r="M148" s="33" t="s">
        <v>68</v>
      </c>
      <c r="N148" s="33"/>
      <c r="O148" s="32">
        <v>40</v>
      </c>
      <c r="P148" s="63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250</v>
      </c>
      <c r="B149" s="54" t="s">
        <v>251</v>
      </c>
      <c r="C149" s="31">
        <v>4301030963</v>
      </c>
      <c r="D149" s="547">
        <v>4607091382426</v>
      </c>
      <c r="E149" s="548"/>
      <c r="F149" s="542">
        <v>0.9</v>
      </c>
      <c r="G149" s="32">
        <v>10</v>
      </c>
      <c r="H149" s="542">
        <v>9</v>
      </c>
      <c r="I149" s="542">
        <v>9.5850000000000009</v>
      </c>
      <c r="J149" s="32">
        <v>64</v>
      </c>
      <c r="K149" s="32" t="s">
        <v>104</v>
      </c>
      <c r="L149" s="32" t="s">
        <v>105</v>
      </c>
      <c r="M149" s="33" t="s">
        <v>68</v>
      </c>
      <c r="N149" s="33"/>
      <c r="O149" s="32">
        <v>40</v>
      </c>
      <c r="P149" s="86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9" s="550"/>
      <c r="R149" s="550"/>
      <c r="S149" s="550"/>
      <c r="T149" s="551"/>
      <c r="U149" s="34"/>
      <c r="V149" s="34"/>
      <c r="W149" s="35" t="s">
        <v>69</v>
      </c>
      <c r="X149" s="543">
        <v>0</v>
      </c>
      <c r="Y149" s="544">
        <f>IFERROR(IF(X149="",0,CEILING((X149/$H149),1)*$H149),"")</f>
        <v>0</v>
      </c>
      <c r="Z149" s="36" t="str">
        <f>IFERROR(IF(Y149=0,"",ROUNDUP(Y149/H149,0)*0.01898),"")</f>
        <v/>
      </c>
      <c r="AA149" s="56"/>
      <c r="AB149" s="57"/>
      <c r="AC149" s="189" t="s">
        <v>252</v>
      </c>
      <c r="AG149" s="64"/>
      <c r="AJ149" s="68" t="s">
        <v>90</v>
      </c>
      <c r="AK149" s="68">
        <v>72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553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2" t="s">
        <v>71</v>
      </c>
      <c r="Q150" s="563"/>
      <c r="R150" s="563"/>
      <c r="S150" s="563"/>
      <c r="T150" s="563"/>
      <c r="U150" s="563"/>
      <c r="V150" s="564"/>
      <c r="W150" s="37" t="s">
        <v>72</v>
      </c>
      <c r="X150" s="545">
        <f>IFERROR(X147/H147,"0")+IFERROR(X148/H148,"0")+IFERROR(X149/H149,"0")</f>
        <v>2.2222222222222223</v>
      </c>
      <c r="Y150" s="545">
        <f>IFERROR(Y147/H147,"0")+IFERROR(Y148/H148,"0")+IFERROR(Y149/H149,"0")</f>
        <v>3</v>
      </c>
      <c r="Z150" s="545">
        <f>IFERROR(IF(Z147="",0,Z147),"0")+IFERROR(IF(Z148="",0,Z148),"0")+IFERROR(IF(Z149="",0,Z149),"0")</f>
        <v>5.6940000000000004E-2</v>
      </c>
      <c r="AA150" s="546"/>
      <c r="AB150" s="546"/>
      <c r="AC150" s="546"/>
    </row>
    <row r="151" spans="1:68" x14ac:dyDescent="0.2">
      <c r="A151" s="554"/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5"/>
      <c r="P151" s="562" t="s">
        <v>71</v>
      </c>
      <c r="Q151" s="563"/>
      <c r="R151" s="563"/>
      <c r="S151" s="563"/>
      <c r="T151" s="563"/>
      <c r="U151" s="563"/>
      <c r="V151" s="564"/>
      <c r="W151" s="37" t="s">
        <v>69</v>
      </c>
      <c r="X151" s="545">
        <f>IFERROR(SUM(X147:X149),"0")</f>
        <v>20</v>
      </c>
      <c r="Y151" s="545">
        <f>IFERROR(SUM(Y147:Y149),"0")</f>
        <v>27</v>
      </c>
      <c r="Z151" s="37"/>
      <c r="AA151" s="546"/>
      <c r="AB151" s="546"/>
      <c r="AC151" s="546"/>
    </row>
    <row r="152" spans="1:68" ht="14.25" customHeight="1" x14ac:dyDescent="0.25">
      <c r="A152" s="558" t="s">
        <v>73</v>
      </c>
      <c r="B152" s="554"/>
      <c r="C152" s="554"/>
      <c r="D152" s="554"/>
      <c r="E152" s="554"/>
      <c r="F152" s="554"/>
      <c r="G152" s="554"/>
      <c r="H152" s="554"/>
      <c r="I152" s="554"/>
      <c r="J152" s="554"/>
      <c r="K152" s="554"/>
      <c r="L152" s="554"/>
      <c r="M152" s="554"/>
      <c r="N152" s="554"/>
      <c r="O152" s="554"/>
      <c r="P152" s="554"/>
      <c r="Q152" s="554"/>
      <c r="R152" s="554"/>
      <c r="S152" s="554"/>
      <c r="T152" s="554"/>
      <c r="U152" s="554"/>
      <c r="V152" s="554"/>
      <c r="W152" s="554"/>
      <c r="X152" s="554"/>
      <c r="Y152" s="554"/>
      <c r="Z152" s="554"/>
      <c r="AA152" s="539"/>
      <c r="AB152" s="539"/>
      <c r="AC152" s="539"/>
    </row>
    <row r="153" spans="1:68" ht="27" customHeight="1" x14ac:dyDescent="0.25">
      <c r="A153" s="54" t="s">
        <v>253</v>
      </c>
      <c r="B153" s="54" t="s">
        <v>254</v>
      </c>
      <c r="C153" s="31">
        <v>4301052064</v>
      </c>
      <c r="D153" s="547">
        <v>4680115887459</v>
      </c>
      <c r="E153" s="548"/>
      <c r="F153" s="542">
        <v>0.3</v>
      </c>
      <c r="G153" s="32">
        <v>6</v>
      </c>
      <c r="H153" s="542">
        <v>1.8</v>
      </c>
      <c r="I153" s="542">
        <v>2.0579999999999998</v>
      </c>
      <c r="J153" s="32">
        <v>182</v>
      </c>
      <c r="K153" s="32" t="s">
        <v>76</v>
      </c>
      <c r="L153" s="32"/>
      <c r="M153" s="33" t="s">
        <v>77</v>
      </c>
      <c r="N153" s="33"/>
      <c r="O153" s="32">
        <v>45</v>
      </c>
      <c r="P153" s="732" t="s">
        <v>255</v>
      </c>
      <c r="Q153" s="550"/>
      <c r="R153" s="550"/>
      <c r="S153" s="550"/>
      <c r="T153" s="551"/>
      <c r="U153" s="34"/>
      <c r="V153" s="34"/>
      <c r="W153" s="35" t="s">
        <v>69</v>
      </c>
      <c r="X153" s="543">
        <v>0</v>
      </c>
      <c r="Y153" s="544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 t="s">
        <v>236</v>
      </c>
      <c r="AC153" s="191" t="s">
        <v>256</v>
      </c>
      <c r="AG153" s="64"/>
      <c r="AJ153" s="68"/>
      <c r="AK153" s="68">
        <v>0</v>
      </c>
      <c r="BB153" s="192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553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2" t="s">
        <v>71</v>
      </c>
      <c r="Q154" s="563"/>
      <c r="R154" s="563"/>
      <c r="S154" s="563"/>
      <c r="T154" s="563"/>
      <c r="U154" s="563"/>
      <c r="V154" s="564"/>
      <c r="W154" s="37" t="s">
        <v>72</v>
      </c>
      <c r="X154" s="545">
        <f>IFERROR(X153/H153,"0")</f>
        <v>0</v>
      </c>
      <c r="Y154" s="545">
        <f>IFERROR(Y153/H153,"0")</f>
        <v>0</v>
      </c>
      <c r="Z154" s="545">
        <f>IFERROR(IF(Z153="",0,Z153),"0")</f>
        <v>0</v>
      </c>
      <c r="AA154" s="546"/>
      <c r="AB154" s="546"/>
      <c r="AC154" s="546"/>
    </row>
    <row r="155" spans="1:68" x14ac:dyDescent="0.2">
      <c r="A155" s="554"/>
      <c r="B155" s="554"/>
      <c r="C155" s="554"/>
      <c r="D155" s="554"/>
      <c r="E155" s="554"/>
      <c r="F155" s="554"/>
      <c r="G155" s="554"/>
      <c r="H155" s="554"/>
      <c r="I155" s="554"/>
      <c r="J155" s="554"/>
      <c r="K155" s="554"/>
      <c r="L155" s="554"/>
      <c r="M155" s="554"/>
      <c r="N155" s="554"/>
      <c r="O155" s="555"/>
      <c r="P155" s="562" t="s">
        <v>71</v>
      </c>
      <c r="Q155" s="563"/>
      <c r="R155" s="563"/>
      <c r="S155" s="563"/>
      <c r="T155" s="563"/>
      <c r="U155" s="563"/>
      <c r="V155" s="564"/>
      <c r="W155" s="37" t="s">
        <v>69</v>
      </c>
      <c r="X155" s="545">
        <f>IFERROR(SUM(X153:X153),"0")</f>
        <v>0</v>
      </c>
      <c r="Y155" s="545">
        <f>IFERROR(SUM(Y153:Y153),"0")</f>
        <v>0</v>
      </c>
      <c r="Z155" s="37"/>
      <c r="AA155" s="546"/>
      <c r="AB155" s="546"/>
      <c r="AC155" s="546"/>
    </row>
    <row r="156" spans="1:68" ht="27.75" customHeight="1" x14ac:dyDescent="0.2">
      <c r="A156" s="566" t="s">
        <v>257</v>
      </c>
      <c r="B156" s="567"/>
      <c r="C156" s="567"/>
      <c r="D156" s="567"/>
      <c r="E156" s="567"/>
      <c r="F156" s="567"/>
      <c r="G156" s="567"/>
      <c r="H156" s="567"/>
      <c r="I156" s="567"/>
      <c r="J156" s="567"/>
      <c r="K156" s="567"/>
      <c r="L156" s="567"/>
      <c r="M156" s="567"/>
      <c r="N156" s="567"/>
      <c r="O156" s="567"/>
      <c r="P156" s="567"/>
      <c r="Q156" s="567"/>
      <c r="R156" s="567"/>
      <c r="S156" s="567"/>
      <c r="T156" s="567"/>
      <c r="U156" s="567"/>
      <c r="V156" s="567"/>
      <c r="W156" s="567"/>
      <c r="X156" s="567"/>
      <c r="Y156" s="567"/>
      <c r="Z156" s="567"/>
      <c r="AA156" s="48"/>
      <c r="AB156" s="48"/>
      <c r="AC156" s="48"/>
    </row>
    <row r="157" spans="1:68" ht="16.5" customHeight="1" x14ac:dyDescent="0.25">
      <c r="A157" s="559" t="s">
        <v>258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8"/>
      <c r="AB157" s="538"/>
      <c r="AC157" s="538"/>
    </row>
    <row r="158" spans="1:68" ht="14.25" customHeight="1" x14ac:dyDescent="0.25">
      <c r="A158" s="558" t="s">
        <v>136</v>
      </c>
      <c r="B158" s="554"/>
      <c r="C158" s="554"/>
      <c r="D158" s="554"/>
      <c r="E158" s="554"/>
      <c r="F158" s="554"/>
      <c r="G158" s="554"/>
      <c r="H158" s="554"/>
      <c r="I158" s="554"/>
      <c r="J158" s="554"/>
      <c r="K158" s="554"/>
      <c r="L158" s="554"/>
      <c r="M158" s="554"/>
      <c r="N158" s="554"/>
      <c r="O158" s="554"/>
      <c r="P158" s="554"/>
      <c r="Q158" s="554"/>
      <c r="R158" s="554"/>
      <c r="S158" s="554"/>
      <c r="T158" s="554"/>
      <c r="U158" s="554"/>
      <c r="V158" s="554"/>
      <c r="W158" s="554"/>
      <c r="X158" s="554"/>
      <c r="Y158" s="554"/>
      <c r="Z158" s="554"/>
      <c r="AA158" s="539"/>
      <c r="AB158" s="539"/>
      <c r="AC158" s="539"/>
    </row>
    <row r="159" spans="1:68" ht="27" customHeight="1" x14ac:dyDescent="0.25">
      <c r="A159" s="54" t="s">
        <v>259</v>
      </c>
      <c r="B159" s="54" t="s">
        <v>260</v>
      </c>
      <c r="C159" s="31">
        <v>4301020323</v>
      </c>
      <c r="D159" s="547">
        <v>4680115886223</v>
      </c>
      <c r="E159" s="548"/>
      <c r="F159" s="542">
        <v>0.33</v>
      </c>
      <c r="G159" s="32">
        <v>6</v>
      </c>
      <c r="H159" s="542">
        <v>1.98</v>
      </c>
      <c r="I159" s="542">
        <v>2.08</v>
      </c>
      <c r="J159" s="32">
        <v>234</v>
      </c>
      <c r="K159" s="32" t="s">
        <v>67</v>
      </c>
      <c r="L159" s="32"/>
      <c r="M159" s="33" t="s">
        <v>68</v>
      </c>
      <c r="N159" s="33"/>
      <c r="O159" s="32">
        <v>40</v>
      </c>
      <c r="P159" s="75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9" s="550"/>
      <c r="R159" s="550"/>
      <c r="S159" s="550"/>
      <c r="T159" s="551"/>
      <c r="U159" s="34"/>
      <c r="V159" s="34"/>
      <c r="W159" s="35" t="s">
        <v>69</v>
      </c>
      <c r="X159" s="543">
        <v>0</v>
      </c>
      <c r="Y159" s="544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193" t="s">
        <v>261</v>
      </c>
      <c r="AG159" s="64"/>
      <c r="AJ159" s="68"/>
      <c r="AK159" s="68">
        <v>0</v>
      </c>
      <c r="BB159" s="194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x14ac:dyDescent="0.2">
      <c r="A160" s="553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2" t="s">
        <v>71</v>
      </c>
      <c r="Q160" s="563"/>
      <c r="R160" s="563"/>
      <c r="S160" s="563"/>
      <c r="T160" s="563"/>
      <c r="U160" s="563"/>
      <c r="V160" s="564"/>
      <c r="W160" s="37" t="s">
        <v>72</v>
      </c>
      <c r="X160" s="545">
        <f>IFERROR(X159/H159,"0")</f>
        <v>0</v>
      </c>
      <c r="Y160" s="545">
        <f>IFERROR(Y159/H159,"0")</f>
        <v>0</v>
      </c>
      <c r="Z160" s="545">
        <f>IFERROR(IF(Z159="",0,Z159),"0")</f>
        <v>0</v>
      </c>
      <c r="AA160" s="546"/>
      <c r="AB160" s="546"/>
      <c r="AC160" s="546"/>
    </row>
    <row r="161" spans="1:68" x14ac:dyDescent="0.2">
      <c r="A161" s="554"/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5"/>
      <c r="P161" s="562" t="s">
        <v>71</v>
      </c>
      <c r="Q161" s="563"/>
      <c r="R161" s="563"/>
      <c r="S161" s="563"/>
      <c r="T161" s="563"/>
      <c r="U161" s="563"/>
      <c r="V161" s="564"/>
      <c r="W161" s="37" t="s">
        <v>69</v>
      </c>
      <c r="X161" s="545">
        <f>IFERROR(SUM(X159:X159),"0")</f>
        <v>0</v>
      </c>
      <c r="Y161" s="545">
        <f>IFERROR(SUM(Y159:Y159),"0")</f>
        <v>0</v>
      </c>
      <c r="Z161" s="37"/>
      <c r="AA161" s="546"/>
      <c r="AB161" s="546"/>
      <c r="AC161" s="546"/>
    </row>
    <row r="162" spans="1:68" ht="14.25" customHeight="1" x14ac:dyDescent="0.25">
      <c r="A162" s="558" t="s">
        <v>64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539"/>
      <c r="AB162" s="539"/>
      <c r="AC162" s="539"/>
    </row>
    <row r="163" spans="1:68" ht="27" customHeight="1" x14ac:dyDescent="0.25">
      <c r="A163" s="54" t="s">
        <v>262</v>
      </c>
      <c r="B163" s="54" t="s">
        <v>263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4.47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0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ref="Y163:Y171" si="5">IFERROR(IF(X163="",0,CEILING((X163/$H163),1)*$H163),"")</f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 t="s">
        <v>90</v>
      </c>
      <c r="AK163" s="68">
        <v>50.4</v>
      </c>
      <c r="BB163" s="196" t="s">
        <v>1</v>
      </c>
      <c r="BM163" s="64">
        <f t="shared" ref="BM163:BM171" si="6">IFERROR(X163*I163/H163,"0")</f>
        <v>0</v>
      </c>
      <c r="BN163" s="64">
        <f t="shared" ref="BN163:BN171" si="7">IFERROR(Y163*I163/H163,"0")</f>
        <v>0</v>
      </c>
      <c r="BO163" s="64">
        <f t="shared" ref="BO163:BO171" si="8">IFERROR(1/J163*(X163/H163),"0")</f>
        <v>0</v>
      </c>
      <c r="BP163" s="64">
        <f t="shared" ref="BP163:BP171" si="9">IFERROR(1/J163*(Y163/H163),"0")</f>
        <v>0</v>
      </c>
    </row>
    <row r="164" spans="1:68" ht="27" customHeight="1" x14ac:dyDescent="0.25">
      <c r="A164" s="54" t="s">
        <v>265</v>
      </c>
      <c r="B164" s="54" t="s">
        <v>266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4.47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4.41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7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200</v>
      </c>
      <c r="Y165" s="544">
        <f t="shared" si="5"/>
        <v>201.60000000000002</v>
      </c>
      <c r="Z165" s="36">
        <f>IFERROR(IF(Y165=0,"",ROUNDUP(Y165/H165,0)*0.00902),"")</f>
        <v>0.43296000000000001</v>
      </c>
      <c r="AA165" s="56"/>
      <c r="AB165" s="57"/>
      <c r="AC165" s="199" t="s">
        <v>270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210</v>
      </c>
      <c r="BN165" s="64">
        <f t="shared" si="7"/>
        <v>211.68000000000004</v>
      </c>
      <c r="BO165" s="64">
        <f t="shared" si="8"/>
        <v>0.36075036075036077</v>
      </c>
      <c r="BP165" s="64">
        <f t="shared" si="9"/>
        <v>0.36363636363636365</v>
      </c>
    </row>
    <row r="166" spans="1:68" ht="27" customHeight="1" x14ac:dyDescent="0.25">
      <c r="A166" s="54" t="s">
        <v>271</v>
      </c>
      <c r="B166" s="54" t="s">
        <v>272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273</v>
      </c>
      <c r="M166" s="33" t="s">
        <v>68</v>
      </c>
      <c r="N166" s="33"/>
      <c r="O166" s="32">
        <v>40</v>
      </c>
      <c r="P166" s="6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94</v>
      </c>
      <c r="Y166" s="544">
        <f t="shared" si="5"/>
        <v>94.5</v>
      </c>
      <c r="Z166" s="36">
        <f>IFERROR(IF(Y166=0,"",ROUNDUP(Y166/H166,0)*0.00502),"")</f>
        <v>0.22590000000000002</v>
      </c>
      <c r="AA166" s="56"/>
      <c r="AB166" s="57"/>
      <c r="AC166" s="201" t="s">
        <v>264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99.819047619047623</v>
      </c>
      <c r="BN166" s="64">
        <f t="shared" si="7"/>
        <v>100.35</v>
      </c>
      <c r="BO166" s="64">
        <f t="shared" si="8"/>
        <v>0.19129019129019129</v>
      </c>
      <c r="BP166" s="64">
        <f t="shared" si="9"/>
        <v>0.19230769230769232</v>
      </c>
    </row>
    <row r="167" spans="1:68" ht="27" customHeight="1" x14ac:dyDescent="0.25">
      <c r="A167" s="54" t="s">
        <v>274</v>
      </c>
      <c r="B167" s="54" t="s">
        <v>275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273</v>
      </c>
      <c r="M167" s="33" t="s">
        <v>68</v>
      </c>
      <c r="N167" s="33"/>
      <c r="O167" s="32">
        <v>40</v>
      </c>
      <c r="P167" s="67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70</v>
      </c>
      <c r="Y167" s="544">
        <f t="shared" si="5"/>
        <v>71.400000000000006</v>
      </c>
      <c r="Z167" s="36">
        <f>IFERROR(IF(Y167=0,"",ROUNDUP(Y167/H167,0)*0.00502),"")</f>
        <v>0.17068</v>
      </c>
      <c r="AA167" s="56"/>
      <c r="AB167" s="57"/>
      <c r="AC167" s="203" t="s">
        <v>267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74.333333333333329</v>
      </c>
      <c r="BN167" s="64">
        <f t="shared" si="7"/>
        <v>75.820000000000007</v>
      </c>
      <c r="BO167" s="64">
        <f t="shared" si="8"/>
        <v>0.14245014245014245</v>
      </c>
      <c r="BP167" s="64">
        <f t="shared" si="9"/>
        <v>0.14529914529914531</v>
      </c>
    </row>
    <row r="168" spans="1:68" ht="27" customHeight="1" x14ac:dyDescent="0.25">
      <c r="A168" s="54" t="s">
        <v>276</v>
      </c>
      <c r="B168" s="54" t="s">
        <v>277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customHeight="1" x14ac:dyDescent="0.25">
      <c r="A169" s="54" t="s">
        <v>279</v>
      </c>
      <c r="B169" s="54" t="s">
        <v>280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273</v>
      </c>
      <c r="M169" s="33" t="s">
        <v>68</v>
      </c>
      <c r="N169" s="33"/>
      <c r="O169" s="32">
        <v>40</v>
      </c>
      <c r="P169" s="67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228</v>
      </c>
      <c r="Y169" s="544">
        <f t="shared" si="5"/>
        <v>228.9</v>
      </c>
      <c r="Z169" s="36">
        <f>IFERROR(IF(Y169=0,"",ROUNDUP(Y169/H169,0)*0.00502),"")</f>
        <v>0.54718</v>
      </c>
      <c r="AA169" s="56"/>
      <c r="AB169" s="57"/>
      <c r="AC169" s="207" t="s">
        <v>270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238.85714285714286</v>
      </c>
      <c r="BN169" s="64">
        <f t="shared" si="7"/>
        <v>239.8</v>
      </c>
      <c r="BO169" s="64">
        <f t="shared" si="8"/>
        <v>0.463980463980464</v>
      </c>
      <c r="BP169" s="64">
        <f t="shared" si="9"/>
        <v>0.46581196581196588</v>
      </c>
    </row>
    <row r="170" spans="1:68" ht="27" customHeight="1" x14ac:dyDescent="0.25">
      <c r="A170" s="54" t="s">
        <v>281</v>
      </c>
      <c r="B170" s="54" t="s">
        <v>282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270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283</v>
      </c>
      <c r="B171" s="54" t="s">
        <v>284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2" t="s">
        <v>71</v>
      </c>
      <c r="Q172" s="563"/>
      <c r="R172" s="563"/>
      <c r="S172" s="563"/>
      <c r="T172" s="563"/>
      <c r="U172" s="563"/>
      <c r="V172" s="564"/>
      <c r="W172" s="37" t="s">
        <v>72</v>
      </c>
      <c r="X172" s="545">
        <f>IFERROR(X163/H163,"0")+IFERROR(X164/H164,"0")+IFERROR(X165/H165,"0")+IFERROR(X166/H166,"0")+IFERROR(X167/H167,"0")+IFERROR(X168/H168,"0")+IFERROR(X169/H169,"0")+IFERROR(X170/H170,"0")+IFERROR(X171/H171,"0")</f>
        <v>234.28571428571428</v>
      </c>
      <c r="Y172" s="545">
        <f>IFERROR(Y163/H163,"0")+IFERROR(Y164/H164,"0")+IFERROR(Y165/H165,"0")+IFERROR(Y166/H166,"0")+IFERROR(Y167/H167,"0")+IFERROR(Y168/H168,"0")+IFERROR(Y169/H169,"0")+IFERROR(Y170/H170,"0")+IFERROR(Y171/H171,"0")</f>
        <v>236</v>
      </c>
      <c r="Z172" s="545">
        <f>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1.3767199999999999</v>
      </c>
      <c r="AA172" s="546"/>
      <c r="AB172" s="546"/>
      <c r="AC172" s="546"/>
    </row>
    <row r="173" spans="1:68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2" t="s">
        <v>71</v>
      </c>
      <c r="Q173" s="563"/>
      <c r="R173" s="563"/>
      <c r="S173" s="563"/>
      <c r="T173" s="563"/>
      <c r="U173" s="563"/>
      <c r="V173" s="564"/>
      <c r="W173" s="37" t="s">
        <v>69</v>
      </c>
      <c r="X173" s="545">
        <f>IFERROR(SUM(X163:X171),"0")</f>
        <v>592</v>
      </c>
      <c r="Y173" s="545">
        <f>IFERROR(SUM(Y163:Y171),"0")</f>
        <v>596.4</v>
      </c>
      <c r="Z173" s="37"/>
      <c r="AA173" s="546"/>
      <c r="AB173" s="546"/>
      <c r="AC173" s="546"/>
    </row>
    <row r="174" spans="1:68" ht="14.25" customHeight="1" x14ac:dyDescent="0.25">
      <c r="A174" s="558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8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2</v>
      </c>
      <c r="Y176" s="544">
        <f>IFERROR(IF(X176="",0,CEILING((X176/$H176),1)*$H176),"")</f>
        <v>2.52</v>
      </c>
      <c r="Z176" s="36">
        <f>IFERROR(IF(Y176=0,"",ROUNDUP(Y176/H176,0)*0.0059),"")</f>
        <v>1.18E-2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2.3015873015873014</v>
      </c>
      <c r="BN176" s="64">
        <f>IFERROR(Y176*I176/H176,"0")</f>
        <v>2.9</v>
      </c>
      <c r="BO176" s="64">
        <f>IFERROR(1/J176*(X176/H176),"0")</f>
        <v>7.3486184597295699E-3</v>
      </c>
      <c r="BP176" s="64">
        <f>IFERROR(1/J176*(Y176/H176),"0")</f>
        <v>9.2592592592592587E-3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9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3</v>
      </c>
      <c r="Y177" s="544">
        <f>IFERROR(IF(X177="",0,CEILING((X177/$H177),1)*$H177),"")</f>
        <v>3.7800000000000002</v>
      </c>
      <c r="Z177" s="36">
        <f>IFERROR(IF(Y177=0,"",ROUNDUP(Y177/H177,0)*0.0059),"")</f>
        <v>1.77E-2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3.4523809523809521</v>
      </c>
      <c r="BN177" s="64">
        <f>IFERROR(Y177*I177/H177,"0")</f>
        <v>4.3499999999999996</v>
      </c>
      <c r="BO177" s="64">
        <f>IFERROR(1/J177*(X177/H177),"0")</f>
        <v>1.1022927689594356E-2</v>
      </c>
      <c r="BP177" s="64">
        <f>IFERROR(1/J177*(Y177/H177),"0")</f>
        <v>1.3888888888888888E-2</v>
      </c>
    </row>
    <row r="178" spans="1:68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2" t="s">
        <v>71</v>
      </c>
      <c r="Q178" s="563"/>
      <c r="R178" s="563"/>
      <c r="S178" s="563"/>
      <c r="T178" s="563"/>
      <c r="U178" s="563"/>
      <c r="V178" s="564"/>
      <c r="W178" s="37" t="s">
        <v>72</v>
      </c>
      <c r="X178" s="545">
        <f>IFERROR(X175/H175,"0")+IFERROR(X176/H176,"0")+IFERROR(X177/H177,"0")</f>
        <v>3.9682539682539684</v>
      </c>
      <c r="Y178" s="545">
        <f>IFERROR(Y175/H175,"0")+IFERROR(Y176/H176,"0")+IFERROR(Y177/H177,"0")</f>
        <v>5</v>
      </c>
      <c r="Z178" s="545">
        <f>IFERROR(IF(Z175="",0,Z175),"0")+IFERROR(IF(Z176="",0,Z176),"0")+IFERROR(IF(Z177="",0,Z177),"0")</f>
        <v>2.9499999999999998E-2</v>
      </c>
      <c r="AA178" s="546"/>
      <c r="AB178" s="546"/>
      <c r="AC178" s="546"/>
    </row>
    <row r="179" spans="1:68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2" t="s">
        <v>71</v>
      </c>
      <c r="Q179" s="563"/>
      <c r="R179" s="563"/>
      <c r="S179" s="563"/>
      <c r="T179" s="563"/>
      <c r="U179" s="563"/>
      <c r="V179" s="564"/>
      <c r="W179" s="37" t="s">
        <v>69</v>
      </c>
      <c r="X179" s="545">
        <f>IFERROR(SUM(X175:X177),"0")</f>
        <v>5</v>
      </c>
      <c r="Y179" s="545">
        <f>IFERROR(SUM(Y175:Y177),"0")</f>
        <v>6.3000000000000007</v>
      </c>
      <c r="Z179" s="37"/>
      <c r="AA179" s="546"/>
      <c r="AB179" s="546"/>
      <c r="AC179" s="546"/>
    </row>
    <row r="180" spans="1:68" ht="14.25" customHeight="1" x14ac:dyDescent="0.25">
      <c r="A180" s="558" t="s">
        <v>296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customHeight="1" x14ac:dyDescent="0.25">
      <c r="A181" s="54" t="s">
        <v>297</v>
      </c>
      <c r="B181" s="54" t="s">
        <v>298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4</v>
      </c>
      <c r="Y181" s="544">
        <f>IFERROR(IF(X181="",0,CEILING((X181/$H181),1)*$H181),"")</f>
        <v>5.04</v>
      </c>
      <c r="Z181" s="36">
        <f>IFERROR(IF(Y181=0,"",ROUNDUP(Y181/H181,0)*0.0059),"")</f>
        <v>2.3599999999999999E-2</v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4.6031746031746028</v>
      </c>
      <c r="BN181" s="64">
        <f>IFERROR(Y181*I181/H181,"0")</f>
        <v>5.8</v>
      </c>
      <c r="BO181" s="64">
        <f>IFERROR(1/J181*(X181/H181),"0")</f>
        <v>1.469723691945914E-2</v>
      </c>
      <c r="BP181" s="64">
        <f>IFERROR(1/J181*(Y181/H181),"0")</f>
        <v>1.8518518518518517E-2</v>
      </c>
    </row>
    <row r="182" spans="1:68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2" t="s">
        <v>71</v>
      </c>
      <c r="Q182" s="563"/>
      <c r="R182" s="563"/>
      <c r="S182" s="563"/>
      <c r="T182" s="563"/>
      <c r="U182" s="563"/>
      <c r="V182" s="564"/>
      <c r="W182" s="37" t="s">
        <v>72</v>
      </c>
      <c r="X182" s="545">
        <f>IFERROR(X181/H181,"0")</f>
        <v>3.1746031746031744</v>
      </c>
      <c r="Y182" s="545">
        <f>IFERROR(Y181/H181,"0")</f>
        <v>4</v>
      </c>
      <c r="Z182" s="545">
        <f>IFERROR(IF(Z181="",0,Z181),"0")</f>
        <v>2.3599999999999999E-2</v>
      </c>
      <c r="AA182" s="546"/>
      <c r="AB182" s="546"/>
      <c r="AC182" s="546"/>
    </row>
    <row r="183" spans="1:68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2" t="s">
        <v>71</v>
      </c>
      <c r="Q183" s="563"/>
      <c r="R183" s="563"/>
      <c r="S183" s="563"/>
      <c r="T183" s="563"/>
      <c r="U183" s="563"/>
      <c r="V183" s="564"/>
      <c r="W183" s="37" t="s">
        <v>69</v>
      </c>
      <c r="X183" s="545">
        <f>IFERROR(SUM(X181:X181),"0")</f>
        <v>4</v>
      </c>
      <c r="Y183" s="545">
        <f>IFERROR(SUM(Y181:Y181),"0")</f>
        <v>5.04</v>
      </c>
      <c r="Z183" s="37"/>
      <c r="AA183" s="546"/>
      <c r="AB183" s="546"/>
      <c r="AC183" s="546"/>
    </row>
    <row r="184" spans="1:68" ht="16.5" customHeight="1" x14ac:dyDescent="0.25">
      <c r="A184" s="559" t="s">
        <v>299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customHeight="1" x14ac:dyDescent="0.25">
      <c r="A185" s="558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customHeight="1" x14ac:dyDescent="0.25">
      <c r="A186" s="54" t="s">
        <v>300</v>
      </c>
      <c r="B186" s="54" t="s">
        <v>301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11.234999999999999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customHeight="1" x14ac:dyDescent="0.25">
      <c r="A187" s="54" t="s">
        <v>303</v>
      </c>
      <c r="B187" s="54" t="s">
        <v>304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6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2" t="s">
        <v>71</v>
      </c>
      <c r="Q188" s="563"/>
      <c r="R188" s="563"/>
      <c r="S188" s="563"/>
      <c r="T188" s="563"/>
      <c r="U188" s="563"/>
      <c r="V188" s="564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2" t="s">
        <v>71</v>
      </c>
      <c r="Q189" s="563"/>
      <c r="R189" s="563"/>
      <c r="S189" s="563"/>
      <c r="T189" s="563"/>
      <c r="U189" s="563"/>
      <c r="V189" s="564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customHeight="1" x14ac:dyDescent="0.25">
      <c r="A190" s="558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customHeight="1" x14ac:dyDescent="0.25">
      <c r="A191" s="54" t="s">
        <v>305</v>
      </c>
      <c r="B191" s="54" t="s">
        <v>306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11.234999999999999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308</v>
      </c>
      <c r="B192" s="54" t="s">
        <v>309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2" t="s">
        <v>71</v>
      </c>
      <c r="Q193" s="563"/>
      <c r="R193" s="563"/>
      <c r="S193" s="563"/>
      <c r="T193" s="563"/>
      <c r="U193" s="563"/>
      <c r="V193" s="564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2" t="s">
        <v>71</v>
      </c>
      <c r="Q194" s="563"/>
      <c r="R194" s="563"/>
      <c r="S194" s="563"/>
      <c r="T194" s="563"/>
      <c r="U194" s="563"/>
      <c r="V194" s="564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customHeight="1" x14ac:dyDescent="0.25">
      <c r="A195" s="558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customHeight="1" x14ac:dyDescent="0.25">
      <c r="A196" s="54" t="s">
        <v>310</v>
      </c>
      <c r="B196" s="54" t="s">
        <v>311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5.61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5.61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5.61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95</v>
      </c>
      <c r="Y198" s="544">
        <f t="shared" si="10"/>
        <v>97.2</v>
      </c>
      <c r="Z198" s="36">
        <f>IFERROR(IF(Y198=0,"",ROUNDUP(Y198/H198,0)*0.00902),"")</f>
        <v>0.16236</v>
      </c>
      <c r="AA198" s="56"/>
      <c r="AB198" s="57"/>
      <c r="AC198" s="233" t="s">
        <v>318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98.694444444444443</v>
      </c>
      <c r="BN198" s="64">
        <f t="shared" si="12"/>
        <v>100.98</v>
      </c>
      <c r="BO198" s="64">
        <f t="shared" si="13"/>
        <v>0.13327721661054995</v>
      </c>
      <c r="BP198" s="64">
        <f t="shared" si="14"/>
        <v>0.13636363636363635</v>
      </c>
    </row>
    <row r="199" spans="1:68" ht="27" customHeight="1" x14ac:dyDescent="0.25">
      <c r="A199" s="54" t="s">
        <v>319</v>
      </c>
      <c r="B199" s="54" t="s">
        <v>320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5.61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273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36</v>
      </c>
      <c r="Y200" s="544">
        <f t="shared" si="10"/>
        <v>36</v>
      </c>
      <c r="Z200" s="36">
        <f>IFERROR(IF(Y200=0,"",ROUNDUP(Y200/H200,0)*0.00502),"")</f>
        <v>0.1004</v>
      </c>
      <c r="AA200" s="56"/>
      <c r="AB200" s="57"/>
      <c r="AC200" s="237" t="s">
        <v>312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38.6</v>
      </c>
      <c r="BN200" s="64">
        <f t="shared" si="12"/>
        <v>38.6</v>
      </c>
      <c r="BO200" s="64">
        <f t="shared" si="13"/>
        <v>8.5470085470085472E-2</v>
      </c>
      <c r="BP200" s="64">
        <f t="shared" si="14"/>
        <v>8.5470085470085472E-2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273</v>
      </c>
      <c r="M201" s="33" t="s">
        <v>68</v>
      </c>
      <c r="N201" s="33"/>
      <c r="O201" s="32">
        <v>40</v>
      </c>
      <c r="P201" s="8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14</v>
      </c>
      <c r="Y201" s="544">
        <f t="shared" si="10"/>
        <v>14.4</v>
      </c>
      <c r="Z201" s="36">
        <f>IFERROR(IF(Y201=0,"",ROUNDUP(Y201/H201,0)*0.00502),"")</f>
        <v>4.0160000000000001E-2</v>
      </c>
      <c r="AA201" s="56"/>
      <c r="AB201" s="57"/>
      <c r="AC201" s="239" t="s">
        <v>315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14.777777777777777</v>
      </c>
      <c r="BN201" s="64">
        <f t="shared" si="12"/>
        <v>15.2</v>
      </c>
      <c r="BO201" s="64">
        <f t="shared" si="13"/>
        <v>3.3238366571699908E-2</v>
      </c>
      <c r="BP201" s="64">
        <f t="shared" si="14"/>
        <v>3.4188034188034191E-2</v>
      </c>
    </row>
    <row r="202" spans="1:68" ht="27" customHeight="1" x14ac:dyDescent="0.25">
      <c r="A202" s="54" t="s">
        <v>326</v>
      </c>
      <c r="B202" s="54" t="s">
        <v>327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customHeight="1" x14ac:dyDescent="0.25">
      <c r="A203" s="54" t="s">
        <v>328</v>
      </c>
      <c r="B203" s="54" t="s">
        <v>329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273</v>
      </c>
      <c r="M203" s="33" t="s">
        <v>68</v>
      </c>
      <c r="N203" s="33"/>
      <c r="O203" s="32">
        <v>40</v>
      </c>
      <c r="P203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42</v>
      </c>
      <c r="Y203" s="544">
        <f t="shared" si="10"/>
        <v>43.2</v>
      </c>
      <c r="Z203" s="36">
        <f>IFERROR(IF(Y203=0,"",ROUNDUP(Y203/H203,0)*0.00502),"")</f>
        <v>0.12048</v>
      </c>
      <c r="AA203" s="56"/>
      <c r="AB203" s="57"/>
      <c r="AC203" s="243" t="s">
        <v>321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44.333333333333329</v>
      </c>
      <c r="BN203" s="64">
        <f t="shared" si="12"/>
        <v>45.6</v>
      </c>
      <c r="BO203" s="64">
        <f t="shared" si="13"/>
        <v>9.9715099715099717E-2</v>
      </c>
      <c r="BP203" s="64">
        <f t="shared" si="14"/>
        <v>0.10256410256410257</v>
      </c>
    </row>
    <row r="204" spans="1:68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2" t="s">
        <v>71</v>
      </c>
      <c r="Q204" s="563"/>
      <c r="R204" s="563"/>
      <c r="S204" s="563"/>
      <c r="T204" s="563"/>
      <c r="U204" s="563"/>
      <c r="V204" s="564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68.703703703703709</v>
      </c>
      <c r="Y204" s="545">
        <f>IFERROR(Y196/H196,"0")+IFERROR(Y197/H197,"0")+IFERROR(Y198/H198,"0")+IFERROR(Y199/H199,"0")+IFERROR(Y200/H200,"0")+IFERROR(Y201/H201,"0")+IFERROR(Y202/H202,"0")+IFERROR(Y203/H203,"0")</f>
        <v>70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0.4234</v>
      </c>
      <c r="AA204" s="546"/>
      <c r="AB204" s="546"/>
      <c r="AC204" s="546"/>
    </row>
    <row r="205" spans="1:68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2" t="s">
        <v>71</v>
      </c>
      <c r="Q205" s="563"/>
      <c r="R205" s="563"/>
      <c r="S205" s="563"/>
      <c r="T205" s="563"/>
      <c r="U205" s="563"/>
      <c r="V205" s="564"/>
      <c r="W205" s="37" t="s">
        <v>69</v>
      </c>
      <c r="X205" s="545">
        <f>IFERROR(SUM(X196:X203),"0")</f>
        <v>187</v>
      </c>
      <c r="Y205" s="545">
        <f>IFERROR(SUM(Y196:Y203),"0")</f>
        <v>190.8</v>
      </c>
      <c r="Z205" s="37"/>
      <c r="AA205" s="546"/>
      <c r="AB205" s="546"/>
      <c r="AC205" s="546"/>
    </row>
    <row r="206" spans="1:68" ht="14.25" customHeight="1" x14ac:dyDescent="0.25">
      <c r="A206" s="558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customHeight="1" x14ac:dyDescent="0.25">
      <c r="A207" s="54" t="s">
        <v>330</v>
      </c>
      <c r="B207" s="54" t="s">
        <v>331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8.6189999999999998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8.6010000000000009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9.2189999999999994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339</v>
      </c>
      <c r="B210" s="54" t="s">
        <v>340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99</v>
      </c>
      <c r="Y210" s="544">
        <f t="shared" si="15"/>
        <v>100.8</v>
      </c>
      <c r="Z210" s="36">
        <f t="shared" ref="Z210:Z215" si="20">IFERROR(IF(Y210=0,"",ROUNDUP(Y210/H210,0)*0.00651),"")</f>
        <v>0.27342</v>
      </c>
      <c r="AA210" s="56"/>
      <c r="AB210" s="57"/>
      <c r="AC210" s="251" t="s">
        <v>332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110.1375</v>
      </c>
      <c r="BN210" s="64">
        <f t="shared" si="17"/>
        <v>112.13999999999999</v>
      </c>
      <c r="BO210" s="64">
        <f t="shared" si="18"/>
        <v>0.22664835164835168</v>
      </c>
      <c r="BP210" s="64">
        <f t="shared" si="19"/>
        <v>0.23076923076923078</v>
      </c>
    </row>
    <row r="211" spans="1:68" ht="27" customHeight="1" x14ac:dyDescent="0.25">
      <c r="A211" s="54" t="s">
        <v>341</v>
      </c>
      <c r="B211" s="54" t="s">
        <v>342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2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343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344</v>
      </c>
      <c r="B212" s="54" t="s">
        <v>345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232</v>
      </c>
      <c r="Y212" s="544">
        <f t="shared" si="15"/>
        <v>232.79999999999998</v>
      </c>
      <c r="Z212" s="36">
        <f t="shared" si="20"/>
        <v>0.63146999999999998</v>
      </c>
      <c r="AA212" s="56"/>
      <c r="AB212" s="57"/>
      <c r="AC212" s="255" t="s">
        <v>338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256.36</v>
      </c>
      <c r="BN212" s="64">
        <f t="shared" si="17"/>
        <v>257.24399999999997</v>
      </c>
      <c r="BO212" s="64">
        <f t="shared" si="18"/>
        <v>0.53113553113553125</v>
      </c>
      <c r="BP212" s="64">
        <f t="shared" si="19"/>
        <v>0.53296703296703296</v>
      </c>
    </row>
    <row r="213" spans="1:68" ht="27" customHeight="1" x14ac:dyDescent="0.25">
      <c r="A213" s="54" t="s">
        <v>346</v>
      </c>
      <c r="B213" s="54" t="s">
        <v>347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206</v>
      </c>
      <c r="Y213" s="544">
        <f t="shared" si="15"/>
        <v>206.4</v>
      </c>
      <c r="Z213" s="36">
        <f t="shared" si="20"/>
        <v>0.55986000000000002</v>
      </c>
      <c r="AA213" s="56"/>
      <c r="AB213" s="57"/>
      <c r="AC213" s="257" t="s">
        <v>338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227.63000000000002</v>
      </c>
      <c r="BN213" s="64">
        <f t="shared" si="17"/>
        <v>228.07200000000006</v>
      </c>
      <c r="BO213" s="64">
        <f t="shared" si="18"/>
        <v>0.47161172161172171</v>
      </c>
      <c r="BP213" s="64">
        <f t="shared" si="19"/>
        <v>0.47252747252747257</v>
      </c>
    </row>
    <row r="214" spans="1:68" ht="27" customHeight="1" x14ac:dyDescent="0.25">
      <c r="A214" s="54" t="s">
        <v>348</v>
      </c>
      <c r="B214" s="54" t="s">
        <v>349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1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350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351</v>
      </c>
      <c r="B215" s="54" t="s">
        <v>352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66</v>
      </c>
      <c r="Y215" s="544">
        <f t="shared" si="15"/>
        <v>67.2</v>
      </c>
      <c r="Z215" s="36">
        <f t="shared" si="20"/>
        <v>0.18228</v>
      </c>
      <c r="AA215" s="56"/>
      <c r="AB215" s="57"/>
      <c r="AC215" s="261" t="s">
        <v>335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73.094999999999999</v>
      </c>
      <c r="BN215" s="64">
        <f t="shared" si="17"/>
        <v>74.424000000000007</v>
      </c>
      <c r="BO215" s="64">
        <f t="shared" si="18"/>
        <v>0.15109890109890112</v>
      </c>
      <c r="BP215" s="64">
        <f t="shared" si="19"/>
        <v>0.15384615384615388</v>
      </c>
    </row>
    <row r="216" spans="1:68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2" t="s">
        <v>71</v>
      </c>
      <c r="Q216" s="563"/>
      <c r="R216" s="563"/>
      <c r="S216" s="563"/>
      <c r="T216" s="563"/>
      <c r="U216" s="563"/>
      <c r="V216" s="564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251.25000000000003</v>
      </c>
      <c r="Y216" s="545">
        <f>IFERROR(Y207/H207,"0")+IFERROR(Y208/H208,"0")+IFERROR(Y209/H209,"0")+IFERROR(Y210/H210,"0")+IFERROR(Y211/H211,"0")+IFERROR(Y212/H212,"0")+IFERROR(Y213/H213,"0")+IFERROR(Y214/H214,"0")+IFERROR(Y215/H215,"0")</f>
        <v>253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1.64703</v>
      </c>
      <c r="AA216" s="546"/>
      <c r="AB216" s="546"/>
      <c r="AC216" s="546"/>
    </row>
    <row r="217" spans="1:68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2" t="s">
        <v>71</v>
      </c>
      <c r="Q217" s="563"/>
      <c r="R217" s="563"/>
      <c r="S217" s="563"/>
      <c r="T217" s="563"/>
      <c r="U217" s="563"/>
      <c r="V217" s="564"/>
      <c r="W217" s="37" t="s">
        <v>69</v>
      </c>
      <c r="X217" s="545">
        <f>IFERROR(SUM(X207:X215),"0")</f>
        <v>603</v>
      </c>
      <c r="Y217" s="545">
        <f>IFERROR(SUM(Y207:Y215),"0")</f>
        <v>607.20000000000005</v>
      </c>
      <c r="Z217" s="37"/>
      <c r="AA217" s="546"/>
      <c r="AB217" s="546"/>
      <c r="AC217" s="546"/>
    </row>
    <row r="218" spans="1:68" ht="14.25" customHeight="1" x14ac:dyDescent="0.25">
      <c r="A218" s="558" t="s">
        <v>166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customHeight="1" x14ac:dyDescent="0.25">
      <c r="A219" s="54" t="s">
        <v>353</v>
      </c>
      <c r="B219" s="54" t="s">
        <v>354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69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355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356</v>
      </c>
      <c r="B220" s="54" t="s">
        <v>357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3</v>
      </c>
      <c r="Y220" s="544">
        <f>IFERROR(IF(X220="",0,CEILING((X220/$H220),1)*$H220),"")</f>
        <v>4.8</v>
      </c>
      <c r="Z220" s="36">
        <f>IFERROR(IF(Y220=0,"",ROUNDUP(Y220/H220,0)*0.00651),"")</f>
        <v>1.302E-2</v>
      </c>
      <c r="AA220" s="56"/>
      <c r="AB220" s="57"/>
      <c r="AC220" s="265" t="s">
        <v>358</v>
      </c>
      <c r="AG220" s="64"/>
      <c r="AJ220" s="68"/>
      <c r="AK220" s="68">
        <v>0</v>
      </c>
      <c r="BB220" s="266" t="s">
        <v>1</v>
      </c>
      <c r="BM220" s="64">
        <f>IFERROR(X220*I220/H220,"0")</f>
        <v>3.3150000000000004</v>
      </c>
      <c r="BN220" s="64">
        <f>IFERROR(Y220*I220/H220,"0")</f>
        <v>5.3040000000000003</v>
      </c>
      <c r="BO220" s="64">
        <f>IFERROR(1/J220*(X220/H220),"0")</f>
        <v>6.8681318681318689E-3</v>
      </c>
      <c r="BP220" s="64">
        <f>IFERROR(1/J220*(Y220/H220),"0")</f>
        <v>1.098901098901099E-2</v>
      </c>
    </row>
    <row r="221" spans="1:68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2" t="s">
        <v>71</v>
      </c>
      <c r="Q221" s="563"/>
      <c r="R221" s="563"/>
      <c r="S221" s="563"/>
      <c r="T221" s="563"/>
      <c r="U221" s="563"/>
      <c r="V221" s="564"/>
      <c r="W221" s="37" t="s">
        <v>72</v>
      </c>
      <c r="X221" s="545">
        <f>IFERROR(X219/H219,"0")+IFERROR(X220/H220,"0")</f>
        <v>1.25</v>
      </c>
      <c r="Y221" s="545">
        <f>IFERROR(Y219/H219,"0")+IFERROR(Y220/H220,"0")</f>
        <v>2</v>
      </c>
      <c r="Z221" s="545">
        <f>IFERROR(IF(Z219="",0,Z219),"0")+IFERROR(IF(Z220="",0,Z220),"0")</f>
        <v>1.302E-2</v>
      </c>
      <c r="AA221" s="546"/>
      <c r="AB221" s="546"/>
      <c r="AC221" s="546"/>
    </row>
    <row r="222" spans="1:68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2" t="s">
        <v>71</v>
      </c>
      <c r="Q222" s="563"/>
      <c r="R222" s="563"/>
      <c r="S222" s="563"/>
      <c r="T222" s="563"/>
      <c r="U222" s="563"/>
      <c r="V222" s="564"/>
      <c r="W222" s="37" t="s">
        <v>69</v>
      </c>
      <c r="X222" s="545">
        <f>IFERROR(SUM(X219:X220),"0")</f>
        <v>3</v>
      </c>
      <c r="Y222" s="545">
        <f>IFERROR(SUM(Y219:Y220),"0")</f>
        <v>4.8</v>
      </c>
      <c r="Z222" s="37"/>
      <c r="AA222" s="546"/>
      <c r="AB222" s="546"/>
      <c r="AC222" s="546"/>
    </row>
    <row r="223" spans="1:68" ht="16.5" customHeight="1" x14ac:dyDescent="0.25">
      <c r="A223" s="559" t="s">
        <v>359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customHeight="1" x14ac:dyDescent="0.25">
      <c r="A224" s="558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customHeight="1" x14ac:dyDescent="0.25">
      <c r="A225" s="54" t="s">
        <v>360</v>
      </c>
      <c r="B225" s="54" t="s">
        <v>361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12.035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362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customHeight="1" x14ac:dyDescent="0.25">
      <c r="A226" s="54" t="s">
        <v>363</v>
      </c>
      <c r="B226" s="54" t="s">
        <v>364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12.035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365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366</v>
      </c>
      <c r="B227" s="54" t="s">
        <v>367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12.035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369</v>
      </c>
      <c r="B228" s="54" t="s">
        <v>370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4.21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362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369</v>
      </c>
      <c r="B229" s="54" t="s">
        <v>371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4.21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372</v>
      </c>
      <c r="B230" s="54" t="s">
        <v>373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4.21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3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374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375</v>
      </c>
      <c r="B231" s="54" t="s">
        <v>376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3.91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365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377</v>
      </c>
      <c r="B232" s="54" t="s">
        <v>378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7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365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379</v>
      </c>
      <c r="B233" s="54" t="s">
        <v>380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4.21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368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379</v>
      </c>
      <c r="B234" s="54" t="s">
        <v>381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4.21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2" t="s">
        <v>71</v>
      </c>
      <c r="Q235" s="563"/>
      <c r="R235" s="563"/>
      <c r="S235" s="563"/>
      <c r="T235" s="563"/>
      <c r="U235" s="563"/>
      <c r="V235" s="564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2" t="s">
        <v>71</v>
      </c>
      <c r="Q236" s="563"/>
      <c r="R236" s="563"/>
      <c r="S236" s="563"/>
      <c r="T236" s="563"/>
      <c r="U236" s="563"/>
      <c r="V236" s="564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customHeight="1" x14ac:dyDescent="0.25">
      <c r="A237" s="558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customHeight="1" x14ac:dyDescent="0.25">
      <c r="A238" s="54" t="s">
        <v>382</v>
      </c>
      <c r="B238" s="54" t="s">
        <v>383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384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2" t="s">
        <v>71</v>
      </c>
      <c r="Q239" s="563"/>
      <c r="R239" s="563"/>
      <c r="S239" s="563"/>
      <c r="T239" s="563"/>
      <c r="U239" s="563"/>
      <c r="V239" s="564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2" t="s">
        <v>71</v>
      </c>
      <c r="Q240" s="563"/>
      <c r="R240" s="563"/>
      <c r="S240" s="563"/>
      <c r="T240" s="563"/>
      <c r="U240" s="563"/>
      <c r="V240" s="564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customHeight="1" x14ac:dyDescent="0.25">
      <c r="A241" s="558" t="s">
        <v>385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customHeight="1" x14ac:dyDescent="0.25">
      <c r="A242" s="54" t="s">
        <v>386</v>
      </c>
      <c r="B242" s="54" t="s">
        <v>387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2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388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2" t="s">
        <v>71</v>
      </c>
      <c r="Q243" s="563"/>
      <c r="R243" s="563"/>
      <c r="S243" s="563"/>
      <c r="T243" s="563"/>
      <c r="U243" s="563"/>
      <c r="V243" s="564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2" t="s">
        <v>71</v>
      </c>
      <c r="Q244" s="563"/>
      <c r="R244" s="563"/>
      <c r="S244" s="563"/>
      <c r="T244" s="563"/>
      <c r="U244" s="563"/>
      <c r="V244" s="564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customHeight="1" x14ac:dyDescent="0.25">
      <c r="A245" s="558" t="s">
        <v>389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customHeight="1" x14ac:dyDescent="0.25">
      <c r="A246" s="54" t="s">
        <v>390</v>
      </c>
      <c r="B246" s="54" t="s">
        <v>391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1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392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393</v>
      </c>
      <c r="B247" s="54" t="s">
        <v>394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392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395</v>
      </c>
      <c r="B248" s="54" t="s">
        <v>396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392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397</v>
      </c>
      <c r="B249" s="54" t="s">
        <v>398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4</v>
      </c>
      <c r="Y249" s="544">
        <f>IFERROR(IF(X249="",0,CEILING((X249/$H249),1)*$H249),"")</f>
        <v>4.95</v>
      </c>
      <c r="Z249" s="36">
        <f>IFERROR(IF(Y249=0,"",ROUNDUP(Y249/H249,0)*0.0059),"")</f>
        <v>2.9499999999999998E-2</v>
      </c>
      <c r="AA249" s="56"/>
      <c r="AB249" s="57"/>
      <c r="AC249" s="297" t="s">
        <v>392</v>
      </c>
      <c r="AG249" s="64"/>
      <c r="AJ249" s="68"/>
      <c r="AK249" s="68">
        <v>0</v>
      </c>
      <c r="BB249" s="298" t="s">
        <v>1</v>
      </c>
      <c r="BM249" s="64">
        <f>IFERROR(X249*I249/H249,"0")</f>
        <v>4.7676767676767673</v>
      </c>
      <c r="BN249" s="64">
        <f>IFERROR(Y249*I249/H249,"0")</f>
        <v>5.9</v>
      </c>
      <c r="BO249" s="64">
        <f>IFERROR(1/J249*(X249/H249),"0")</f>
        <v>1.8705574261129818E-2</v>
      </c>
      <c r="BP249" s="64">
        <f>IFERROR(1/J249*(Y249/H249),"0")</f>
        <v>2.3148148148148147E-2</v>
      </c>
    </row>
    <row r="250" spans="1:68" ht="27" customHeight="1" x14ac:dyDescent="0.25">
      <c r="A250" s="54" t="s">
        <v>399</v>
      </c>
      <c r="B250" s="54" t="s">
        <v>400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56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392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2" t="s">
        <v>71</v>
      </c>
      <c r="Q251" s="563"/>
      <c r="R251" s="563"/>
      <c r="S251" s="563"/>
      <c r="T251" s="563"/>
      <c r="U251" s="563"/>
      <c r="V251" s="564"/>
      <c r="W251" s="37" t="s">
        <v>72</v>
      </c>
      <c r="X251" s="545">
        <f>IFERROR(X246/H246,"0")+IFERROR(X247/H247,"0")+IFERROR(X248/H248,"0")+IFERROR(X249/H249,"0")+IFERROR(X250/H250,"0")</f>
        <v>4.0404040404040407</v>
      </c>
      <c r="Y251" s="545">
        <f>IFERROR(Y246/H246,"0")+IFERROR(Y247/H247,"0")+IFERROR(Y248/H248,"0")+IFERROR(Y249/H249,"0")+IFERROR(Y250/H250,"0")</f>
        <v>5</v>
      </c>
      <c r="Z251" s="545">
        <f>IFERROR(IF(Z246="",0,Z246),"0")+IFERROR(IF(Z247="",0,Z247),"0")+IFERROR(IF(Z248="",0,Z248),"0")+IFERROR(IF(Z249="",0,Z249),"0")+IFERROR(IF(Z250="",0,Z250),"0")</f>
        <v>2.9499999999999998E-2</v>
      </c>
      <c r="AA251" s="546"/>
      <c r="AB251" s="546"/>
      <c r="AC251" s="546"/>
    </row>
    <row r="252" spans="1:68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2" t="s">
        <v>71</v>
      </c>
      <c r="Q252" s="563"/>
      <c r="R252" s="563"/>
      <c r="S252" s="563"/>
      <c r="T252" s="563"/>
      <c r="U252" s="563"/>
      <c r="V252" s="564"/>
      <c r="W252" s="37" t="s">
        <v>69</v>
      </c>
      <c r="X252" s="545">
        <f>IFERROR(SUM(X246:X250),"0")</f>
        <v>4</v>
      </c>
      <c r="Y252" s="545">
        <f>IFERROR(SUM(Y246:Y250),"0")</f>
        <v>4.95</v>
      </c>
      <c r="Z252" s="37"/>
      <c r="AA252" s="546"/>
      <c r="AB252" s="546"/>
      <c r="AC252" s="546"/>
    </row>
    <row r="253" spans="1:68" ht="16.5" customHeight="1" x14ac:dyDescent="0.25">
      <c r="A253" s="559" t="s">
        <v>401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customHeight="1" x14ac:dyDescent="0.25">
      <c r="A254" s="558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customHeight="1" x14ac:dyDescent="0.25">
      <c r="A255" s="54" t="s">
        <v>402</v>
      </c>
      <c r="B255" s="54" t="s">
        <v>403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11.234999999999999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404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customHeight="1" x14ac:dyDescent="0.25">
      <c r="A256" s="54" t="s">
        <v>405</v>
      </c>
      <c r="B256" s="54" t="s">
        <v>406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11.234999999999999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407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408</v>
      </c>
      <c r="B257" s="54" t="s">
        <v>409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11.234999999999999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410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411</v>
      </c>
      <c r="B258" s="54" t="s">
        <v>412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4.21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413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customHeight="1" x14ac:dyDescent="0.25">
      <c r="A259" s="54" t="s">
        <v>414</v>
      </c>
      <c r="B259" s="54" t="s">
        <v>415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4.21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416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2" t="s">
        <v>71</v>
      </c>
      <c r="Q260" s="563"/>
      <c r="R260" s="563"/>
      <c r="S260" s="563"/>
      <c r="T260" s="563"/>
      <c r="U260" s="563"/>
      <c r="V260" s="564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2" t="s">
        <v>71</v>
      </c>
      <c r="Q261" s="563"/>
      <c r="R261" s="563"/>
      <c r="S261" s="563"/>
      <c r="T261" s="563"/>
      <c r="U261" s="563"/>
      <c r="V261" s="564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customHeight="1" x14ac:dyDescent="0.25">
      <c r="A262" s="559" t="s">
        <v>417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customHeight="1" x14ac:dyDescent="0.25">
      <c r="A263" s="558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customHeight="1" x14ac:dyDescent="0.25">
      <c r="A264" s="54" t="s">
        <v>418</v>
      </c>
      <c r="B264" s="54" t="s">
        <v>419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11.331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9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420</v>
      </c>
      <c r="B265" s="54" t="s">
        <v>421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11.234999999999999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3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422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423</v>
      </c>
      <c r="B266" s="54" t="s">
        <v>424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11.234999999999999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0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425</v>
      </c>
      <c r="B267" s="54" t="s">
        <v>426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9.4350000000000005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1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427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2" t="s">
        <v>71</v>
      </c>
      <c r="Q268" s="563"/>
      <c r="R268" s="563"/>
      <c r="S268" s="563"/>
      <c r="T268" s="563"/>
      <c r="U268" s="563"/>
      <c r="V268" s="564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2" t="s">
        <v>71</v>
      </c>
      <c r="Q269" s="563"/>
      <c r="R269" s="563"/>
      <c r="S269" s="563"/>
      <c r="T269" s="563"/>
      <c r="U269" s="563"/>
      <c r="V269" s="564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customHeight="1" x14ac:dyDescent="0.25">
      <c r="A270" s="559" t="s">
        <v>428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customHeight="1" x14ac:dyDescent="0.25">
      <c r="A271" s="558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customHeight="1" x14ac:dyDescent="0.25">
      <c r="A272" s="54" t="s">
        <v>429</v>
      </c>
      <c r="B272" s="54" t="s">
        <v>430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6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431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432</v>
      </c>
      <c r="B273" s="54" t="s">
        <v>433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434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435</v>
      </c>
      <c r="B274" s="54" t="s">
        <v>436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25</v>
      </c>
      <c r="Y274" s="544">
        <f>IFERROR(IF(X274="",0,CEILING((X274/$H274),1)*$H274),"")</f>
        <v>26.4</v>
      </c>
      <c r="Z274" s="36">
        <f>IFERROR(IF(Y274=0,"",ROUNDUP(Y274/H274,0)*0.00651),"")</f>
        <v>7.1610000000000007E-2</v>
      </c>
      <c r="AA274" s="56"/>
      <c r="AB274" s="57"/>
      <c r="AC274" s="323" t="s">
        <v>431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26.875</v>
      </c>
      <c r="BN274" s="64">
        <f>IFERROR(Y274*I274/H274,"0")</f>
        <v>28.38</v>
      </c>
      <c r="BO274" s="64">
        <f>IFERROR(1/J274*(X274/H274),"0")</f>
        <v>5.7234432234432246E-2</v>
      </c>
      <c r="BP274" s="64">
        <f>IFERROR(1/J274*(Y274/H274),"0")</f>
        <v>6.0439560439560447E-2</v>
      </c>
    </row>
    <row r="275" spans="1:68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2" t="s">
        <v>71</v>
      </c>
      <c r="Q275" s="563"/>
      <c r="R275" s="563"/>
      <c r="S275" s="563"/>
      <c r="T275" s="563"/>
      <c r="U275" s="563"/>
      <c r="V275" s="564"/>
      <c r="W275" s="37" t="s">
        <v>72</v>
      </c>
      <c r="X275" s="545">
        <f>IFERROR(X272/H272,"0")+IFERROR(X273/H273,"0")+IFERROR(X274/H274,"0")</f>
        <v>10.416666666666668</v>
      </c>
      <c r="Y275" s="545">
        <f>IFERROR(Y272/H272,"0")+IFERROR(Y273/H273,"0")+IFERROR(Y274/H274,"0")</f>
        <v>11</v>
      </c>
      <c r="Z275" s="545">
        <f>IFERROR(IF(Z272="",0,Z272),"0")+IFERROR(IF(Z273="",0,Z273),"0")+IFERROR(IF(Z274="",0,Z274),"0")</f>
        <v>7.1610000000000007E-2</v>
      </c>
      <c r="AA275" s="546"/>
      <c r="AB275" s="546"/>
      <c r="AC275" s="546"/>
    </row>
    <row r="276" spans="1:68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2" t="s">
        <v>71</v>
      </c>
      <c r="Q276" s="563"/>
      <c r="R276" s="563"/>
      <c r="S276" s="563"/>
      <c r="T276" s="563"/>
      <c r="U276" s="563"/>
      <c r="V276" s="564"/>
      <c r="W276" s="37" t="s">
        <v>69</v>
      </c>
      <c r="X276" s="545">
        <f>IFERROR(SUM(X272:X274),"0")</f>
        <v>25</v>
      </c>
      <c r="Y276" s="545">
        <f>IFERROR(SUM(Y272:Y274),"0")</f>
        <v>26.4</v>
      </c>
      <c r="Z276" s="37"/>
      <c r="AA276" s="546"/>
      <c r="AB276" s="546"/>
      <c r="AC276" s="546"/>
    </row>
    <row r="277" spans="1:68" ht="16.5" customHeight="1" x14ac:dyDescent="0.25">
      <c r="A277" s="559" t="s">
        <v>437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customHeight="1" x14ac:dyDescent="0.25">
      <c r="A278" s="558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customHeight="1" x14ac:dyDescent="0.25">
      <c r="A279" s="54" t="s">
        <v>438</v>
      </c>
      <c r="B279" s="54" t="s">
        <v>439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6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440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441</v>
      </c>
      <c r="B280" s="54" t="s">
        <v>442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75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443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2" t="s">
        <v>71</v>
      </c>
      <c r="Q281" s="563"/>
      <c r="R281" s="563"/>
      <c r="S281" s="563"/>
      <c r="T281" s="563"/>
      <c r="U281" s="563"/>
      <c r="V281" s="564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2" t="s">
        <v>71</v>
      </c>
      <c r="Q282" s="563"/>
      <c r="R282" s="563"/>
      <c r="S282" s="563"/>
      <c r="T282" s="563"/>
      <c r="U282" s="563"/>
      <c r="V282" s="564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customHeight="1" x14ac:dyDescent="0.25">
      <c r="A283" s="558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37.5" customHeight="1" x14ac:dyDescent="0.25">
      <c r="A284" s="54" t="s">
        <v>444</v>
      </c>
      <c r="B284" s="54" t="s">
        <v>445</v>
      </c>
      <c r="C284" s="31">
        <v>4301051782</v>
      </c>
      <c r="D284" s="547">
        <v>4680115884618</v>
      </c>
      <c r="E284" s="548"/>
      <c r="F284" s="542">
        <v>0.6</v>
      </c>
      <c r="G284" s="32">
        <v>6</v>
      </c>
      <c r="H284" s="542">
        <v>3.6</v>
      </c>
      <c r="I284" s="542">
        <v>3.81</v>
      </c>
      <c r="J284" s="32">
        <v>132</v>
      </c>
      <c r="K284" s="32" t="s">
        <v>110</v>
      </c>
      <c r="L284" s="32" t="s">
        <v>111</v>
      </c>
      <c r="M284" s="33" t="s">
        <v>77</v>
      </c>
      <c r="N284" s="33"/>
      <c r="O284" s="32">
        <v>45</v>
      </c>
      <c r="P284" s="6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 t="s">
        <v>90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3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5">
        <f>IFERROR(X284/H284,"0")</f>
        <v>0</v>
      </c>
      <c r="Y285" s="545">
        <f>IFERROR(Y284/H284,"0")</f>
        <v>0</v>
      </c>
      <c r="Z285" s="545">
        <f>IFERROR(IF(Z284="",0,Z284),"0")</f>
        <v>0</v>
      </c>
      <c r="AA285" s="546"/>
      <c r="AB285" s="546"/>
      <c r="AC285" s="546"/>
    </row>
    <row r="286" spans="1:68" x14ac:dyDescent="0.2">
      <c r="A286" s="554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5">
        <f>IFERROR(SUM(X284:X284),"0")</f>
        <v>0</v>
      </c>
      <c r="Y286" s="545">
        <f>IFERROR(SUM(Y284:Y284),"0")</f>
        <v>0</v>
      </c>
      <c r="Z286" s="37"/>
      <c r="AA286" s="546"/>
      <c r="AB286" s="546"/>
      <c r="AC286" s="546"/>
    </row>
    <row r="287" spans="1:68" ht="16.5" customHeight="1" x14ac:dyDescent="0.25">
      <c r="A287" s="559" t="s">
        <v>447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8"/>
      <c r="AB287" s="538"/>
      <c r="AC287" s="538"/>
    </row>
    <row r="288" spans="1:68" ht="14.25" customHeight="1" x14ac:dyDescent="0.25">
      <c r="A288" s="558" t="s">
        <v>101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9"/>
      <c r="AB288" s="539"/>
      <c r="AC288" s="539"/>
    </row>
    <row r="289" spans="1:68" ht="27" customHeight="1" x14ac:dyDescent="0.25">
      <c r="A289" s="54" t="s">
        <v>448</v>
      </c>
      <c r="B289" s="54" t="s">
        <v>449</v>
      </c>
      <c r="C289" s="31">
        <v>4301012126</v>
      </c>
      <c r="D289" s="547">
        <v>4607091386004</v>
      </c>
      <c r="E289" s="548"/>
      <c r="F289" s="542">
        <v>1.35</v>
      </c>
      <c r="G289" s="32">
        <v>8</v>
      </c>
      <c r="H289" s="542">
        <v>10.8</v>
      </c>
      <c r="I289" s="542">
        <v>11.234999999999999</v>
      </c>
      <c r="J289" s="32">
        <v>64</v>
      </c>
      <c r="K289" s="32" t="s">
        <v>104</v>
      </c>
      <c r="L289" s="32"/>
      <c r="M289" s="33" t="s">
        <v>106</v>
      </c>
      <c r="N289" s="33"/>
      <c r="O289" s="32">
        <v>55</v>
      </c>
      <c r="P289" s="6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9" s="550"/>
      <c r="R289" s="550"/>
      <c r="S289" s="550"/>
      <c r="T289" s="551"/>
      <c r="U289" s="34"/>
      <c r="V289" s="34"/>
      <c r="W289" s="35" t="s">
        <v>69</v>
      </c>
      <c r="X289" s="543">
        <v>0</v>
      </c>
      <c r="Y289" s="544">
        <f t="shared" ref="Y289:Y294" si="26"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 t="shared" ref="BM289:BM294" si="27">IFERROR(X289*I289/H289,"0")</f>
        <v>0</v>
      </c>
      <c r="BN289" s="64">
        <f t="shared" ref="BN289:BN294" si="28">IFERROR(Y289*I289/H289,"0")</f>
        <v>0</v>
      </c>
      <c r="BO289" s="64">
        <f t="shared" ref="BO289:BO294" si="29">IFERROR(1/J289*(X289/H289),"0")</f>
        <v>0</v>
      </c>
      <c r="BP289" s="64">
        <f t="shared" ref="BP289:BP294" si="30">IFERROR(1/J289*(Y289/H289),"0")</f>
        <v>0</v>
      </c>
    </row>
    <row r="290" spans="1:68" ht="27" customHeight="1" x14ac:dyDescent="0.25">
      <c r="A290" s="54" t="s">
        <v>451</v>
      </c>
      <c r="B290" s="54" t="s">
        <v>452</v>
      </c>
      <c r="C290" s="31">
        <v>4301012024</v>
      </c>
      <c r="D290" s="547">
        <v>4680115885615</v>
      </c>
      <c r="E290" s="548"/>
      <c r="F290" s="542">
        <v>1.35</v>
      </c>
      <c r="G290" s="32">
        <v>8</v>
      </c>
      <c r="H290" s="542">
        <v>10.8</v>
      </c>
      <c r="I290" s="542">
        <v>11.234999999999999</v>
      </c>
      <c r="J290" s="32">
        <v>64</v>
      </c>
      <c r="K290" s="32" t="s">
        <v>104</v>
      </c>
      <c r="L290" s="32" t="s">
        <v>105</v>
      </c>
      <c r="M290" s="33" t="s">
        <v>77</v>
      </c>
      <c r="N290" s="33"/>
      <c r="O290" s="32">
        <v>55</v>
      </c>
      <c r="P290" s="58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 t="s">
        <v>90</v>
      </c>
      <c r="AK290" s="68">
        <v>86.4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37.5" customHeight="1" x14ac:dyDescent="0.25">
      <c r="A291" s="54" t="s">
        <v>454</v>
      </c>
      <c r="B291" s="54" t="s">
        <v>455</v>
      </c>
      <c r="C291" s="31">
        <v>4301011858</v>
      </c>
      <c r="D291" s="547">
        <v>4680115885646</v>
      </c>
      <c r="E291" s="548"/>
      <c r="F291" s="542">
        <v>1.35</v>
      </c>
      <c r="G291" s="32">
        <v>8</v>
      </c>
      <c r="H291" s="542">
        <v>10.8</v>
      </c>
      <c r="I291" s="542">
        <v>11.234999999999999</v>
      </c>
      <c r="J291" s="32">
        <v>64</v>
      </c>
      <c r="K291" s="32" t="s">
        <v>104</v>
      </c>
      <c r="L291" s="32" t="s">
        <v>105</v>
      </c>
      <c r="M291" s="33" t="s">
        <v>106</v>
      </c>
      <c r="N291" s="33"/>
      <c r="O291" s="32">
        <v>55</v>
      </c>
      <c r="P291" s="84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82</v>
      </c>
      <c r="Y291" s="544">
        <f t="shared" si="26"/>
        <v>86.4</v>
      </c>
      <c r="Z291" s="36">
        <f>IFERROR(IF(Y291=0,"",ROUNDUP(Y291/H291,0)*0.01898),"")</f>
        <v>0.15184</v>
      </c>
      <c r="AA291" s="56"/>
      <c r="AB291" s="57"/>
      <c r="AC291" s="335" t="s">
        <v>456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85.302777777777777</v>
      </c>
      <c r="BN291" s="64">
        <f t="shared" si="28"/>
        <v>89.88</v>
      </c>
      <c r="BO291" s="64">
        <f t="shared" si="29"/>
        <v>0.11863425925925924</v>
      </c>
      <c r="BP291" s="64">
        <f t="shared" si="30"/>
        <v>0.125</v>
      </c>
    </row>
    <row r="292" spans="1:68" ht="27" customHeight="1" x14ac:dyDescent="0.25">
      <c r="A292" s="54" t="s">
        <v>457</v>
      </c>
      <c r="B292" s="54" t="s">
        <v>458</v>
      </c>
      <c r="C292" s="31">
        <v>4301012016</v>
      </c>
      <c r="D292" s="547">
        <v>4680115885554</v>
      </c>
      <c r="E292" s="548"/>
      <c r="F292" s="542">
        <v>1.35</v>
      </c>
      <c r="G292" s="32">
        <v>8</v>
      </c>
      <c r="H292" s="542">
        <v>10.8</v>
      </c>
      <c r="I292" s="542">
        <v>11.234999999999999</v>
      </c>
      <c r="J292" s="32">
        <v>64</v>
      </c>
      <c r="K292" s="32" t="s">
        <v>104</v>
      </c>
      <c r="L292" s="32"/>
      <c r="M292" s="33" t="s">
        <v>77</v>
      </c>
      <c r="N292" s="33"/>
      <c r="O292" s="32">
        <v>55</v>
      </c>
      <c r="P292" s="85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486</v>
      </c>
      <c r="Y292" s="544">
        <f t="shared" si="26"/>
        <v>486.00000000000006</v>
      </c>
      <c r="Z292" s="36">
        <f>IFERROR(IF(Y292=0,"",ROUNDUP(Y292/H292,0)*0.01898),"")</f>
        <v>0.85409999999999997</v>
      </c>
      <c r="AA292" s="56"/>
      <c r="AB292" s="57"/>
      <c r="AC292" s="337" t="s">
        <v>459</v>
      </c>
      <c r="AG292" s="64"/>
      <c r="AJ292" s="68" t="s">
        <v>90</v>
      </c>
      <c r="AK292" s="68">
        <v>10.8</v>
      </c>
      <c r="BB292" s="338" t="s">
        <v>1</v>
      </c>
      <c r="BM292" s="64">
        <f t="shared" si="27"/>
        <v>505.57499999999999</v>
      </c>
      <c r="BN292" s="64">
        <f t="shared" si="28"/>
        <v>505.57499999999999</v>
      </c>
      <c r="BO292" s="64">
        <f t="shared" si="29"/>
        <v>0.703125</v>
      </c>
      <c r="BP292" s="64">
        <f t="shared" si="30"/>
        <v>0.703125</v>
      </c>
    </row>
    <row r="293" spans="1:68" ht="27" customHeight="1" x14ac:dyDescent="0.25">
      <c r="A293" s="54" t="s">
        <v>460</v>
      </c>
      <c r="B293" s="54" t="s">
        <v>461</v>
      </c>
      <c r="C293" s="31">
        <v>4301011857</v>
      </c>
      <c r="D293" s="547">
        <v>4680115885622</v>
      </c>
      <c r="E293" s="548"/>
      <c r="F293" s="542">
        <v>0.4</v>
      </c>
      <c r="G293" s="32">
        <v>10</v>
      </c>
      <c r="H293" s="542">
        <v>4</v>
      </c>
      <c r="I293" s="542">
        <v>4.21</v>
      </c>
      <c r="J293" s="32">
        <v>132</v>
      </c>
      <c r="K293" s="32" t="s">
        <v>110</v>
      </c>
      <c r="L293" s="32" t="s">
        <v>111</v>
      </c>
      <c r="M293" s="33" t="s">
        <v>106</v>
      </c>
      <c r="N293" s="33"/>
      <c r="O293" s="32">
        <v>55</v>
      </c>
      <c r="P293" s="85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41</v>
      </c>
      <c r="Y293" s="544">
        <f t="shared" si="26"/>
        <v>44</v>
      </c>
      <c r="Z293" s="36">
        <f>IFERROR(IF(Y293=0,"",ROUNDUP(Y293/H293,0)*0.00902),"")</f>
        <v>9.9220000000000003E-2</v>
      </c>
      <c r="AA293" s="56"/>
      <c r="AB293" s="57"/>
      <c r="AC293" s="339" t="s">
        <v>453</v>
      </c>
      <c r="AG293" s="64"/>
      <c r="AJ293" s="68" t="s">
        <v>90</v>
      </c>
      <c r="AK293" s="68">
        <v>48</v>
      </c>
      <c r="BB293" s="340" t="s">
        <v>1</v>
      </c>
      <c r="BM293" s="64">
        <f t="shared" si="27"/>
        <v>43.152499999999996</v>
      </c>
      <c r="BN293" s="64">
        <f t="shared" si="28"/>
        <v>46.31</v>
      </c>
      <c r="BO293" s="64">
        <f t="shared" si="29"/>
        <v>7.7651515151515152E-2</v>
      </c>
      <c r="BP293" s="64">
        <f t="shared" si="30"/>
        <v>8.3333333333333343E-2</v>
      </c>
    </row>
    <row r="294" spans="1:68" ht="27" customHeight="1" x14ac:dyDescent="0.25">
      <c r="A294" s="54" t="s">
        <v>462</v>
      </c>
      <c r="B294" s="54" t="s">
        <v>463</v>
      </c>
      <c r="C294" s="31">
        <v>4301011859</v>
      </c>
      <c r="D294" s="547">
        <v>4680115885608</v>
      </c>
      <c r="E294" s="548"/>
      <c r="F294" s="542">
        <v>0.4</v>
      </c>
      <c r="G294" s="32">
        <v>10</v>
      </c>
      <c r="H294" s="542">
        <v>4</v>
      </c>
      <c r="I294" s="542">
        <v>4.21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33</v>
      </c>
      <c r="Y294" s="544">
        <f t="shared" si="26"/>
        <v>36</v>
      </c>
      <c r="Z294" s="36">
        <f>IFERROR(IF(Y294=0,"",ROUNDUP(Y294/H294,0)*0.00902),"")</f>
        <v>8.1180000000000002E-2</v>
      </c>
      <c r="AA294" s="56"/>
      <c r="AB294" s="57"/>
      <c r="AC294" s="341" t="s">
        <v>464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34.732500000000002</v>
      </c>
      <c r="BN294" s="64">
        <f t="shared" si="28"/>
        <v>37.89</v>
      </c>
      <c r="BO294" s="64">
        <f t="shared" si="29"/>
        <v>6.25E-2</v>
      </c>
      <c r="BP294" s="64">
        <f t="shared" si="30"/>
        <v>6.8181818181818177E-2</v>
      </c>
    </row>
    <row r="295" spans="1:68" x14ac:dyDescent="0.2">
      <c r="A295" s="553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62" t="s">
        <v>71</v>
      </c>
      <c r="Q295" s="563"/>
      <c r="R295" s="563"/>
      <c r="S295" s="563"/>
      <c r="T295" s="563"/>
      <c r="U295" s="563"/>
      <c r="V295" s="564"/>
      <c r="W295" s="37" t="s">
        <v>72</v>
      </c>
      <c r="X295" s="545">
        <f>IFERROR(X289/H289,"0")+IFERROR(X290/H290,"0")+IFERROR(X291/H291,"0")+IFERROR(X292/H292,"0")+IFERROR(X293/H293,"0")+IFERROR(X294/H294,"0")</f>
        <v>71.092592592592595</v>
      </c>
      <c r="Y295" s="545">
        <f>IFERROR(Y289/H289,"0")+IFERROR(Y290/H290,"0")+IFERROR(Y291/H291,"0")+IFERROR(Y292/H292,"0")+IFERROR(Y293/H293,"0")+IFERROR(Y294/H294,"0")</f>
        <v>73</v>
      </c>
      <c r="Z295" s="545">
        <f>IFERROR(IF(Z289="",0,Z289),"0")+IFERROR(IF(Z290="",0,Z290),"0")+IFERROR(IF(Z291="",0,Z291),"0")+IFERROR(IF(Z292="",0,Z292),"0")+IFERROR(IF(Z293="",0,Z293),"0")+IFERROR(IF(Z294="",0,Z294),"0")</f>
        <v>1.1863400000000002</v>
      </c>
      <c r="AA295" s="546"/>
      <c r="AB295" s="546"/>
      <c r="AC295" s="546"/>
    </row>
    <row r="296" spans="1:68" x14ac:dyDescent="0.2">
      <c r="A296" s="554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2" t="s">
        <v>71</v>
      </c>
      <c r="Q296" s="563"/>
      <c r="R296" s="563"/>
      <c r="S296" s="563"/>
      <c r="T296" s="563"/>
      <c r="U296" s="563"/>
      <c r="V296" s="564"/>
      <c r="W296" s="37" t="s">
        <v>69</v>
      </c>
      <c r="X296" s="545">
        <f>IFERROR(SUM(X289:X294),"0")</f>
        <v>642</v>
      </c>
      <c r="Y296" s="545">
        <f>IFERROR(SUM(Y289:Y294),"0")</f>
        <v>652.40000000000009</v>
      </c>
      <c r="Z296" s="37"/>
      <c r="AA296" s="546"/>
      <c r="AB296" s="546"/>
      <c r="AC296" s="546"/>
    </row>
    <row r="297" spans="1:68" ht="14.25" customHeight="1" x14ac:dyDescent="0.25">
      <c r="A297" s="558" t="s">
        <v>64</v>
      </c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4"/>
      <c r="P297" s="554"/>
      <c r="Q297" s="554"/>
      <c r="R297" s="554"/>
      <c r="S297" s="554"/>
      <c r="T297" s="554"/>
      <c r="U297" s="554"/>
      <c r="V297" s="554"/>
      <c r="W297" s="554"/>
      <c r="X297" s="554"/>
      <c r="Y297" s="554"/>
      <c r="Z297" s="554"/>
      <c r="AA297" s="539"/>
      <c r="AB297" s="539"/>
      <c r="AC297" s="539"/>
    </row>
    <row r="298" spans="1:68" ht="27" customHeight="1" x14ac:dyDescent="0.25">
      <c r="A298" s="54" t="s">
        <v>465</v>
      </c>
      <c r="B298" s="54" t="s">
        <v>466</v>
      </c>
      <c r="C298" s="31">
        <v>4301030878</v>
      </c>
      <c r="D298" s="547">
        <v>4607091387193</v>
      </c>
      <c r="E298" s="548"/>
      <c r="F298" s="542">
        <v>0.7</v>
      </c>
      <c r="G298" s="32">
        <v>6</v>
      </c>
      <c r="H298" s="542">
        <v>4.2</v>
      </c>
      <c r="I298" s="542">
        <v>4.47</v>
      </c>
      <c r="J298" s="32">
        <v>132</v>
      </c>
      <c r="K298" s="32" t="s">
        <v>110</v>
      </c>
      <c r="L298" s="32" t="s">
        <v>111</v>
      </c>
      <c r="M298" s="33" t="s">
        <v>68</v>
      </c>
      <c r="N298" s="33"/>
      <c r="O298" s="32">
        <v>35</v>
      </c>
      <c r="P298" s="82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8" s="550"/>
      <c r="R298" s="550"/>
      <c r="S298" s="550"/>
      <c r="T298" s="551"/>
      <c r="U298" s="34"/>
      <c r="V298" s="34"/>
      <c r="W298" s="35" t="s">
        <v>69</v>
      </c>
      <c r="X298" s="543">
        <v>213</v>
      </c>
      <c r="Y298" s="544">
        <f t="shared" ref="Y298:Y304" si="31">IFERROR(IF(X298="",0,CEILING((X298/$H298),1)*$H298),"")</f>
        <v>214.20000000000002</v>
      </c>
      <c r="Z298" s="36">
        <f>IFERROR(IF(Y298=0,"",ROUNDUP(Y298/H298,0)*0.00902),"")</f>
        <v>0.46001999999999998</v>
      </c>
      <c r="AA298" s="56"/>
      <c r="AB298" s="57"/>
      <c r="AC298" s="343" t="s">
        <v>467</v>
      </c>
      <c r="AG298" s="64"/>
      <c r="AJ298" s="68" t="s">
        <v>90</v>
      </c>
      <c r="AK298" s="68">
        <v>50.4</v>
      </c>
      <c r="BB298" s="344" t="s">
        <v>1</v>
      </c>
      <c r="BM298" s="64">
        <f t="shared" ref="BM298:BM304" si="32">IFERROR(X298*I298/H298,"0")</f>
        <v>226.69285714285712</v>
      </c>
      <c r="BN298" s="64">
        <f t="shared" ref="BN298:BN304" si="33">IFERROR(Y298*I298/H298,"0")</f>
        <v>227.97</v>
      </c>
      <c r="BO298" s="64">
        <f t="shared" ref="BO298:BO304" si="34">IFERROR(1/J298*(X298/H298),"0")</f>
        <v>0.38419913419913421</v>
      </c>
      <c r="BP298" s="64">
        <f t="shared" ref="BP298:BP304" si="35">IFERROR(1/J298*(Y298/H298),"0")</f>
        <v>0.38636363636363635</v>
      </c>
    </row>
    <row r="299" spans="1:68" ht="27" customHeight="1" x14ac:dyDescent="0.25">
      <c r="A299" s="54" t="s">
        <v>468</v>
      </c>
      <c r="B299" s="54" t="s">
        <v>469</v>
      </c>
      <c r="C299" s="31">
        <v>4301031153</v>
      </c>
      <c r="D299" s="547">
        <v>4607091387230</v>
      </c>
      <c r="E299" s="548"/>
      <c r="F299" s="542">
        <v>0.7</v>
      </c>
      <c r="G299" s="32">
        <v>6</v>
      </c>
      <c r="H299" s="542">
        <v>4.2</v>
      </c>
      <c r="I299" s="542">
        <v>4.47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40</v>
      </c>
      <c r="P299" s="74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700</v>
      </c>
      <c r="Y299" s="544">
        <f t="shared" si="31"/>
        <v>701.4</v>
      </c>
      <c r="Z299" s="36">
        <f>IFERROR(IF(Y299=0,"",ROUNDUP(Y299/H299,0)*0.00902),"")</f>
        <v>1.50634</v>
      </c>
      <c r="AA299" s="56"/>
      <c r="AB299" s="57"/>
      <c r="AC299" s="345" t="s">
        <v>470</v>
      </c>
      <c r="AG299" s="64"/>
      <c r="AJ299" s="68" t="s">
        <v>90</v>
      </c>
      <c r="AK299" s="68">
        <v>50.4</v>
      </c>
      <c r="BB299" s="346" t="s">
        <v>1</v>
      </c>
      <c r="BM299" s="64">
        <f t="shared" si="32"/>
        <v>745</v>
      </c>
      <c r="BN299" s="64">
        <f t="shared" si="33"/>
        <v>746.4899999999999</v>
      </c>
      <c r="BO299" s="64">
        <f t="shared" si="34"/>
        <v>1.2626262626262625</v>
      </c>
      <c r="BP299" s="64">
        <f t="shared" si="35"/>
        <v>1.2651515151515151</v>
      </c>
    </row>
    <row r="300" spans="1:68" ht="27" customHeight="1" x14ac:dyDescent="0.25">
      <c r="A300" s="54" t="s">
        <v>471</v>
      </c>
      <c r="B300" s="54" t="s">
        <v>472</v>
      </c>
      <c r="C300" s="31">
        <v>4301031154</v>
      </c>
      <c r="D300" s="547">
        <v>4607091387292</v>
      </c>
      <c r="E300" s="548"/>
      <c r="F300" s="542">
        <v>0.73</v>
      </c>
      <c r="G300" s="32">
        <v>6</v>
      </c>
      <c r="H300" s="542">
        <v>4.38</v>
      </c>
      <c r="I300" s="542">
        <v>4.6500000000000004</v>
      </c>
      <c r="J300" s="32">
        <v>132</v>
      </c>
      <c r="K300" s="32" t="s">
        <v>110</v>
      </c>
      <c r="L300" s="32"/>
      <c r="M300" s="33" t="s">
        <v>68</v>
      </c>
      <c r="N300" s="33"/>
      <c r="O300" s="32">
        <v>45</v>
      </c>
      <c r="P300" s="68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473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customHeight="1" x14ac:dyDescent="0.25">
      <c r="A301" s="54" t="s">
        <v>474</v>
      </c>
      <c r="B301" s="54" t="s">
        <v>475</v>
      </c>
      <c r="C301" s="31">
        <v>4301031152</v>
      </c>
      <c r="D301" s="547">
        <v>4607091387285</v>
      </c>
      <c r="E301" s="548"/>
      <c r="F301" s="542">
        <v>0.35</v>
      </c>
      <c r="G301" s="32">
        <v>6</v>
      </c>
      <c r="H301" s="542">
        <v>2.1</v>
      </c>
      <c r="I301" s="542">
        <v>2.23</v>
      </c>
      <c r="J301" s="32">
        <v>234</v>
      </c>
      <c r="K301" s="32" t="s">
        <v>67</v>
      </c>
      <c r="L301" s="32" t="s">
        <v>273</v>
      </c>
      <c r="M301" s="33" t="s">
        <v>68</v>
      </c>
      <c r="N301" s="33"/>
      <c r="O301" s="32">
        <v>40</v>
      </c>
      <c r="P301" s="81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5</v>
      </c>
      <c r="Y301" s="544">
        <f t="shared" si="31"/>
        <v>6.3000000000000007</v>
      </c>
      <c r="Z301" s="36">
        <f>IFERROR(IF(Y301=0,"",ROUNDUP(Y301/H301,0)*0.00502),"")</f>
        <v>1.506E-2</v>
      </c>
      <c r="AA301" s="56"/>
      <c r="AB301" s="57"/>
      <c r="AC301" s="349" t="s">
        <v>470</v>
      </c>
      <c r="AG301" s="64"/>
      <c r="AJ301" s="68" t="s">
        <v>90</v>
      </c>
      <c r="AK301" s="68">
        <v>37.799999999999997</v>
      </c>
      <c r="BB301" s="350" t="s">
        <v>1</v>
      </c>
      <c r="BM301" s="64">
        <f t="shared" si="32"/>
        <v>5.3095238095238093</v>
      </c>
      <c r="BN301" s="64">
        <f t="shared" si="33"/>
        <v>6.69</v>
      </c>
      <c r="BO301" s="64">
        <f t="shared" si="34"/>
        <v>1.0175010175010176E-2</v>
      </c>
      <c r="BP301" s="64">
        <f t="shared" si="35"/>
        <v>1.2820512820512822E-2</v>
      </c>
    </row>
    <row r="302" spans="1:68" ht="27" customHeight="1" x14ac:dyDescent="0.25">
      <c r="A302" s="54" t="s">
        <v>476</v>
      </c>
      <c r="B302" s="54" t="s">
        <v>477</v>
      </c>
      <c r="C302" s="31">
        <v>4301031305</v>
      </c>
      <c r="D302" s="547">
        <v>4607091389845</v>
      </c>
      <c r="E302" s="548"/>
      <c r="F302" s="542">
        <v>0.35</v>
      </c>
      <c r="G302" s="32">
        <v>6</v>
      </c>
      <c r="H302" s="542">
        <v>2.1</v>
      </c>
      <c r="I302" s="542">
        <v>2.2000000000000002</v>
      </c>
      <c r="J302" s="32">
        <v>234</v>
      </c>
      <c r="K302" s="32" t="s">
        <v>67</v>
      </c>
      <c r="L302" s="32" t="s">
        <v>273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33</v>
      </c>
      <c r="Y302" s="544">
        <f t="shared" si="31"/>
        <v>33.6</v>
      </c>
      <c r="Z302" s="36">
        <f>IFERROR(IF(Y302=0,"",ROUNDUP(Y302/H302,0)*0.00502),"")</f>
        <v>8.0320000000000003E-2</v>
      </c>
      <c r="AA302" s="56"/>
      <c r="AB302" s="57"/>
      <c r="AC302" s="351" t="s">
        <v>478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34.571428571428577</v>
      </c>
      <c r="BN302" s="64">
        <f t="shared" si="33"/>
        <v>35.200000000000003</v>
      </c>
      <c r="BO302" s="64">
        <f t="shared" si="34"/>
        <v>6.7155067155067152E-2</v>
      </c>
      <c r="BP302" s="64">
        <f t="shared" si="35"/>
        <v>6.8376068376068383E-2</v>
      </c>
    </row>
    <row r="303" spans="1:68" ht="27" customHeight="1" x14ac:dyDescent="0.25">
      <c r="A303" s="54" t="s">
        <v>479</v>
      </c>
      <c r="B303" s="54" t="s">
        <v>480</v>
      </c>
      <c r="C303" s="31">
        <v>4301031306</v>
      </c>
      <c r="D303" s="547">
        <v>4680115882881</v>
      </c>
      <c r="E303" s="548"/>
      <c r="F303" s="542">
        <v>0.28000000000000003</v>
      </c>
      <c r="G303" s="32">
        <v>6</v>
      </c>
      <c r="H303" s="542">
        <v>1.68</v>
      </c>
      <c r="I303" s="542">
        <v>1.81</v>
      </c>
      <c r="J303" s="32">
        <v>234</v>
      </c>
      <c r="K303" s="32" t="s">
        <v>67</v>
      </c>
      <c r="L303" s="32"/>
      <c r="M303" s="33" t="s">
        <v>68</v>
      </c>
      <c r="N303" s="33"/>
      <c r="O303" s="32">
        <v>40</v>
      </c>
      <c r="P303" s="694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478</v>
      </c>
      <c r="AG303" s="64"/>
      <c r="AJ303" s="68"/>
      <c r="AK303" s="68">
        <v>0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7">
        <v>4607091383836</v>
      </c>
      <c r="E304" s="548"/>
      <c r="F304" s="542">
        <v>0.3</v>
      </c>
      <c r="G304" s="32">
        <v>6</v>
      </c>
      <c r="H304" s="542">
        <v>1.8</v>
      </c>
      <c r="I304" s="542">
        <v>2.028</v>
      </c>
      <c r="J304" s="32">
        <v>182</v>
      </c>
      <c r="K304" s="32" t="s">
        <v>76</v>
      </c>
      <c r="L304" s="32" t="s">
        <v>88</v>
      </c>
      <c r="M304" s="33" t="s">
        <v>68</v>
      </c>
      <c r="N304" s="33"/>
      <c r="O304" s="32">
        <v>40</v>
      </c>
      <c r="P304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83</v>
      </c>
      <c r="Y304" s="544">
        <f t="shared" si="31"/>
        <v>84.600000000000009</v>
      </c>
      <c r="Z304" s="36">
        <f>IFERROR(IF(Y304=0,"",ROUNDUP(Y304/H304,0)*0.00651),"")</f>
        <v>0.30597000000000002</v>
      </c>
      <c r="AA304" s="56"/>
      <c r="AB304" s="57"/>
      <c r="AC304" s="355" t="s">
        <v>483</v>
      </c>
      <c r="AG304" s="64"/>
      <c r="AJ304" s="68" t="s">
        <v>90</v>
      </c>
      <c r="AK304" s="68">
        <v>25.2</v>
      </c>
      <c r="BB304" s="356" t="s">
        <v>1</v>
      </c>
      <c r="BM304" s="64">
        <f t="shared" si="32"/>
        <v>93.513333333333335</v>
      </c>
      <c r="BN304" s="64">
        <f t="shared" si="33"/>
        <v>95.316000000000003</v>
      </c>
      <c r="BO304" s="64">
        <f t="shared" si="34"/>
        <v>0.25335775335775335</v>
      </c>
      <c r="BP304" s="64">
        <f t="shared" si="35"/>
        <v>0.25824175824175832</v>
      </c>
    </row>
    <row r="305" spans="1:68" x14ac:dyDescent="0.2">
      <c r="A305" s="553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62" t="s">
        <v>71</v>
      </c>
      <c r="Q305" s="563"/>
      <c r="R305" s="563"/>
      <c r="S305" s="563"/>
      <c r="T305" s="563"/>
      <c r="U305" s="563"/>
      <c r="V305" s="564"/>
      <c r="W305" s="37" t="s">
        <v>72</v>
      </c>
      <c r="X305" s="545">
        <f>IFERROR(X298/H298,"0")+IFERROR(X299/H299,"0")+IFERROR(X300/H300,"0")+IFERROR(X301/H301,"0")+IFERROR(X302/H302,"0")+IFERROR(X303/H303,"0")+IFERROR(X304/H304,"0")</f>
        <v>281.58730158730157</v>
      </c>
      <c r="Y305" s="545">
        <f>IFERROR(Y298/H298,"0")+IFERROR(Y299/H299,"0")+IFERROR(Y300/H300,"0")+IFERROR(Y301/H301,"0")+IFERROR(Y302/H302,"0")+IFERROR(Y303/H303,"0")+IFERROR(Y304/H304,"0")</f>
        <v>284</v>
      </c>
      <c r="Z305" s="545">
        <f>IFERROR(IF(Z298="",0,Z298),"0")+IFERROR(IF(Z299="",0,Z299),"0")+IFERROR(IF(Z300="",0,Z300),"0")+IFERROR(IF(Z301="",0,Z301),"0")+IFERROR(IF(Z302="",0,Z302),"0")+IFERROR(IF(Z303="",0,Z303),"0")+IFERROR(IF(Z304="",0,Z304),"0")</f>
        <v>2.3677099999999998</v>
      </c>
      <c r="AA305" s="546"/>
      <c r="AB305" s="546"/>
      <c r="AC305" s="546"/>
    </row>
    <row r="306" spans="1:68" x14ac:dyDescent="0.2">
      <c r="A306" s="554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2" t="s">
        <v>71</v>
      </c>
      <c r="Q306" s="563"/>
      <c r="R306" s="563"/>
      <c r="S306" s="563"/>
      <c r="T306" s="563"/>
      <c r="U306" s="563"/>
      <c r="V306" s="564"/>
      <c r="W306" s="37" t="s">
        <v>69</v>
      </c>
      <c r="X306" s="545">
        <f>IFERROR(SUM(X298:X304),"0")</f>
        <v>1034</v>
      </c>
      <c r="Y306" s="545">
        <f>IFERROR(SUM(Y298:Y304),"0")</f>
        <v>1040.0999999999999</v>
      </c>
      <c r="Z306" s="37"/>
      <c r="AA306" s="546"/>
      <c r="AB306" s="546"/>
      <c r="AC306" s="546"/>
    </row>
    <row r="307" spans="1:68" ht="14.25" customHeight="1" x14ac:dyDescent="0.25">
      <c r="A307" s="558" t="s">
        <v>73</v>
      </c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4"/>
      <c r="P307" s="554"/>
      <c r="Q307" s="554"/>
      <c r="R307" s="554"/>
      <c r="S307" s="554"/>
      <c r="T307" s="554"/>
      <c r="U307" s="554"/>
      <c r="V307" s="554"/>
      <c r="W307" s="554"/>
      <c r="X307" s="554"/>
      <c r="Y307" s="554"/>
      <c r="Z307" s="554"/>
      <c r="AA307" s="539"/>
      <c r="AB307" s="539"/>
      <c r="AC307" s="539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7">
        <v>4607091387766</v>
      </c>
      <c r="E308" s="548"/>
      <c r="F308" s="542">
        <v>1.3</v>
      </c>
      <c r="G308" s="32">
        <v>6</v>
      </c>
      <c r="H308" s="542">
        <v>7.8</v>
      </c>
      <c r="I308" s="542">
        <v>8.3130000000000006</v>
      </c>
      <c r="J308" s="32">
        <v>64</v>
      </c>
      <c r="K308" s="32" t="s">
        <v>104</v>
      </c>
      <c r="L308" s="32" t="s">
        <v>105</v>
      </c>
      <c r="M308" s="33" t="s">
        <v>77</v>
      </c>
      <c r="N308" s="33"/>
      <c r="O308" s="32">
        <v>40</v>
      </c>
      <c r="P308" s="70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0"/>
      <c r="R308" s="550"/>
      <c r="S308" s="550"/>
      <c r="T308" s="551"/>
      <c r="U308" s="34"/>
      <c r="V308" s="34"/>
      <c r="W308" s="35" t="s">
        <v>69</v>
      </c>
      <c r="X308" s="543">
        <v>500</v>
      </c>
      <c r="Y308" s="544">
        <f>IFERROR(IF(X308="",0,CEILING((X308/$H308),1)*$H308),"")</f>
        <v>507</v>
      </c>
      <c r="Z308" s="36">
        <f>IFERROR(IF(Y308=0,"",ROUNDUP(Y308/H308,0)*0.01898),"")</f>
        <v>1.2337</v>
      </c>
      <c r="AA308" s="56"/>
      <c r="AB308" s="57"/>
      <c r="AC308" s="357" t="s">
        <v>486</v>
      </c>
      <c r="AG308" s="64"/>
      <c r="AJ308" s="68" t="s">
        <v>90</v>
      </c>
      <c r="AK308" s="68">
        <v>62.4</v>
      </c>
      <c r="BB308" s="358" t="s">
        <v>1</v>
      </c>
      <c r="BM308" s="64">
        <f>IFERROR(X308*I308/H308,"0")</f>
        <v>532.88461538461536</v>
      </c>
      <c r="BN308" s="64">
        <f>IFERROR(Y308*I308/H308,"0")</f>
        <v>540.34500000000014</v>
      </c>
      <c r="BO308" s="64">
        <f>IFERROR(1/J308*(X308/H308),"0")</f>
        <v>1.0016025641025641</v>
      </c>
      <c r="BP308" s="64">
        <f>IFERROR(1/J308*(Y308/H308),"0")</f>
        <v>1.015625</v>
      </c>
    </row>
    <row r="309" spans="1:68" ht="27" customHeight="1" x14ac:dyDescent="0.25">
      <c r="A309" s="54" t="s">
        <v>487</v>
      </c>
      <c r="B309" s="54" t="s">
        <v>488</v>
      </c>
      <c r="C309" s="31">
        <v>4301051818</v>
      </c>
      <c r="D309" s="547">
        <v>4607091387957</v>
      </c>
      <c r="E309" s="548"/>
      <c r="F309" s="542">
        <v>1.3</v>
      </c>
      <c r="G309" s="32">
        <v>6</v>
      </c>
      <c r="H309" s="542">
        <v>7.8</v>
      </c>
      <c r="I309" s="542">
        <v>8.3190000000000008</v>
      </c>
      <c r="J309" s="32">
        <v>64</v>
      </c>
      <c r="K309" s="32" t="s">
        <v>104</v>
      </c>
      <c r="L309" s="32"/>
      <c r="M309" s="33" t="s">
        <v>77</v>
      </c>
      <c r="N309" s="33"/>
      <c r="O309" s="32">
        <v>40</v>
      </c>
      <c r="P309" s="7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4301051819</v>
      </c>
      <c r="D310" s="547">
        <v>4607091387964</v>
      </c>
      <c r="E310" s="548"/>
      <c r="F310" s="542">
        <v>1.35</v>
      </c>
      <c r="G310" s="32">
        <v>6</v>
      </c>
      <c r="H310" s="542">
        <v>8.1</v>
      </c>
      <c r="I310" s="542">
        <v>8.6010000000000009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7">
        <v>4680115884588</v>
      </c>
      <c r="E311" s="548"/>
      <c r="F311" s="542">
        <v>0.5</v>
      </c>
      <c r="G311" s="32">
        <v>6</v>
      </c>
      <c r="H311" s="542">
        <v>3</v>
      </c>
      <c r="I311" s="542">
        <v>3.246</v>
      </c>
      <c r="J311" s="32">
        <v>182</v>
      </c>
      <c r="K311" s="32" t="s">
        <v>76</v>
      </c>
      <c r="L311" s="32" t="s">
        <v>88</v>
      </c>
      <c r="M311" s="33" t="s">
        <v>77</v>
      </c>
      <c r="N311" s="33"/>
      <c r="O311" s="32">
        <v>40</v>
      </c>
      <c r="P311" s="71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121</v>
      </c>
      <c r="Y311" s="544">
        <f>IFERROR(IF(X311="",0,CEILING((X311/$H311),1)*$H311),"")</f>
        <v>123</v>
      </c>
      <c r="Z311" s="36">
        <f>IFERROR(IF(Y311=0,"",ROUNDUP(Y311/H311,0)*0.00651),"")</f>
        <v>0.26690999999999998</v>
      </c>
      <c r="AA311" s="56"/>
      <c r="AB311" s="57"/>
      <c r="AC311" s="363" t="s">
        <v>495</v>
      </c>
      <c r="AG311" s="64"/>
      <c r="AJ311" s="68" t="s">
        <v>90</v>
      </c>
      <c r="AK311" s="68">
        <v>42</v>
      </c>
      <c r="BB311" s="364" t="s">
        <v>1</v>
      </c>
      <c r="BM311" s="64">
        <f>IFERROR(X311*I311/H311,"0")</f>
        <v>130.922</v>
      </c>
      <c r="BN311" s="64">
        <f>IFERROR(Y311*I311/H311,"0")</f>
        <v>133.08599999999998</v>
      </c>
      <c r="BO311" s="64">
        <f>IFERROR(1/J311*(X311/H311),"0")</f>
        <v>0.22161172161172163</v>
      </c>
      <c r="BP311" s="64">
        <f>IFERROR(1/J311*(Y311/H311),"0")</f>
        <v>0.22527472527472528</v>
      </c>
    </row>
    <row r="312" spans="1:68" ht="27" customHeight="1" x14ac:dyDescent="0.25">
      <c r="A312" s="54" t="s">
        <v>496</v>
      </c>
      <c r="B312" s="54" t="s">
        <v>497</v>
      </c>
      <c r="C312" s="31">
        <v>4301051578</v>
      </c>
      <c r="D312" s="547">
        <v>4607091387513</v>
      </c>
      <c r="E312" s="548"/>
      <c r="F312" s="542">
        <v>0.45</v>
      </c>
      <c r="G312" s="32">
        <v>6</v>
      </c>
      <c r="H312" s="542">
        <v>2.7</v>
      </c>
      <c r="I312" s="542">
        <v>2.9580000000000002</v>
      </c>
      <c r="J312" s="32">
        <v>182</v>
      </c>
      <c r="K312" s="32" t="s">
        <v>76</v>
      </c>
      <c r="L312" s="32"/>
      <c r="M312" s="33" t="s">
        <v>84</v>
      </c>
      <c r="N312" s="33"/>
      <c r="O312" s="32">
        <v>40</v>
      </c>
      <c r="P312" s="667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498</v>
      </c>
      <c r="AG312" s="64"/>
      <c r="AJ312" s="68"/>
      <c r="AK312" s="68">
        <v>0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2" t="s">
        <v>71</v>
      </c>
      <c r="Q313" s="563"/>
      <c r="R313" s="563"/>
      <c r="S313" s="563"/>
      <c r="T313" s="563"/>
      <c r="U313" s="563"/>
      <c r="V313" s="564"/>
      <c r="W313" s="37" t="s">
        <v>72</v>
      </c>
      <c r="X313" s="545">
        <f>IFERROR(X308/H308,"0")+IFERROR(X309/H309,"0")+IFERROR(X310/H310,"0")+IFERROR(X311/H311,"0")+IFERROR(X312/H312,"0")</f>
        <v>104.43589743589743</v>
      </c>
      <c r="Y313" s="545">
        <f>IFERROR(Y308/H308,"0")+IFERROR(Y309/H309,"0")+IFERROR(Y310/H310,"0")+IFERROR(Y311/H311,"0")+IFERROR(Y312/H312,"0")</f>
        <v>106</v>
      </c>
      <c r="Z313" s="545">
        <f>IFERROR(IF(Z308="",0,Z308),"0")+IFERROR(IF(Z309="",0,Z309),"0")+IFERROR(IF(Z310="",0,Z310),"0")+IFERROR(IF(Z311="",0,Z311),"0")+IFERROR(IF(Z312="",0,Z312),"0")</f>
        <v>1.50061</v>
      </c>
      <c r="AA313" s="546"/>
      <c r="AB313" s="546"/>
      <c r="AC313" s="546"/>
    </row>
    <row r="314" spans="1:68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2" t="s">
        <v>71</v>
      </c>
      <c r="Q314" s="563"/>
      <c r="R314" s="563"/>
      <c r="S314" s="563"/>
      <c r="T314" s="563"/>
      <c r="U314" s="563"/>
      <c r="V314" s="564"/>
      <c r="W314" s="37" t="s">
        <v>69</v>
      </c>
      <c r="X314" s="545">
        <f>IFERROR(SUM(X308:X312),"0")</f>
        <v>621</v>
      </c>
      <c r="Y314" s="545">
        <f>IFERROR(SUM(Y308:Y312),"0")</f>
        <v>630</v>
      </c>
      <c r="Z314" s="37"/>
      <c r="AA314" s="546"/>
      <c r="AB314" s="546"/>
      <c r="AC314" s="546"/>
    </row>
    <row r="315" spans="1:68" ht="14.25" customHeight="1" x14ac:dyDescent="0.25">
      <c r="A315" s="558" t="s">
        <v>166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customHeight="1" x14ac:dyDescent="0.25">
      <c r="A316" s="54" t="s">
        <v>499</v>
      </c>
      <c r="B316" s="54" t="s">
        <v>500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8.9190000000000005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130</v>
      </c>
      <c r="Y316" s="544">
        <f>IFERROR(IF(X316="",0,CEILING((X316/$H316),1)*$H316),"")</f>
        <v>134.4</v>
      </c>
      <c r="Z316" s="36">
        <f>IFERROR(IF(Y316=0,"",ROUNDUP(Y316/H316,0)*0.01898),"")</f>
        <v>0.30368000000000001</v>
      </c>
      <c r="AA316" s="56"/>
      <c r="AB316" s="57"/>
      <c r="AC316" s="367" t="s">
        <v>501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138.03214285714284</v>
      </c>
      <c r="BN316" s="64">
        <f>IFERROR(Y316*I316/H316,"0")</f>
        <v>142.70400000000001</v>
      </c>
      <c r="BO316" s="64">
        <f>IFERROR(1/J316*(X316/H316),"0")</f>
        <v>0.24181547619047619</v>
      </c>
      <c r="BP316" s="64">
        <f>IFERROR(1/J316*(Y316/H316),"0")</f>
        <v>0.25</v>
      </c>
    </row>
    <row r="317" spans="1:68" ht="27" customHeight="1" x14ac:dyDescent="0.25">
      <c r="A317" s="54" t="s">
        <v>502</v>
      </c>
      <c r="B317" s="54" t="s">
        <v>503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8.3190000000000008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4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80</v>
      </c>
      <c r="Y317" s="544">
        <f>IFERROR(IF(X317="",0,CEILING((X317/$H317),1)*$H317),"")</f>
        <v>85.8</v>
      </c>
      <c r="Z317" s="36">
        <f>IFERROR(IF(Y317=0,"",ROUNDUP(Y317/H317,0)*0.01898),"")</f>
        <v>0.20877999999999999</v>
      </c>
      <c r="AA317" s="56"/>
      <c r="AB317" s="57"/>
      <c r="AC317" s="369" t="s">
        <v>504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85.32307692307694</v>
      </c>
      <c r="BN317" s="64">
        <f>IFERROR(Y317*I317/H317,"0")</f>
        <v>91.509000000000015</v>
      </c>
      <c r="BO317" s="64">
        <f>IFERROR(1/J317*(X317/H317),"0")</f>
        <v>0.16025641025641027</v>
      </c>
      <c r="BP317" s="64">
        <f>IFERROR(1/J317*(Y317/H317),"0")</f>
        <v>0.171875</v>
      </c>
    </row>
    <row r="318" spans="1:68" ht="16.5" customHeight="1" x14ac:dyDescent="0.25">
      <c r="A318" s="54" t="s">
        <v>505</v>
      </c>
      <c r="B318" s="54" t="s">
        <v>506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8.9190000000000005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116</v>
      </c>
      <c r="Y318" s="544">
        <f>IFERROR(IF(X318="",0,CEILING((X318/$H318),1)*$H318),"")</f>
        <v>117.60000000000001</v>
      </c>
      <c r="Z318" s="36">
        <f>IFERROR(IF(Y318=0,"",ROUNDUP(Y318/H318,0)*0.01898),"")</f>
        <v>0.26572000000000001</v>
      </c>
      <c r="AA318" s="56"/>
      <c r="AB318" s="57"/>
      <c r="AC318" s="371" t="s">
        <v>507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123.16714285714286</v>
      </c>
      <c r="BN318" s="64">
        <f>IFERROR(Y318*I318/H318,"0")</f>
        <v>124.86600000000001</v>
      </c>
      <c r="BO318" s="64">
        <f>IFERROR(1/J318*(X318/H318),"0")</f>
        <v>0.21577380952380951</v>
      </c>
      <c r="BP318" s="64">
        <f>IFERROR(1/J318*(Y318/H318),"0")</f>
        <v>0.21875</v>
      </c>
    </row>
    <row r="319" spans="1:68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2" t="s">
        <v>71</v>
      </c>
      <c r="Q319" s="563"/>
      <c r="R319" s="563"/>
      <c r="S319" s="563"/>
      <c r="T319" s="563"/>
      <c r="U319" s="563"/>
      <c r="V319" s="564"/>
      <c r="W319" s="37" t="s">
        <v>72</v>
      </c>
      <c r="X319" s="545">
        <f>IFERROR(X316/H316,"0")+IFERROR(X317/H317,"0")+IFERROR(X318/H318,"0")</f>
        <v>39.54212454212454</v>
      </c>
      <c r="Y319" s="545">
        <f>IFERROR(Y316/H316,"0")+IFERROR(Y317/H317,"0")+IFERROR(Y318/H318,"0")</f>
        <v>41</v>
      </c>
      <c r="Z319" s="545">
        <f>IFERROR(IF(Z316="",0,Z316),"0")+IFERROR(IF(Z317="",0,Z317),"0")+IFERROR(IF(Z318="",0,Z318),"0")</f>
        <v>0.77818000000000009</v>
      </c>
      <c r="AA319" s="546"/>
      <c r="AB319" s="546"/>
      <c r="AC319" s="546"/>
    </row>
    <row r="320" spans="1:68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2" t="s">
        <v>71</v>
      </c>
      <c r="Q320" s="563"/>
      <c r="R320" s="563"/>
      <c r="S320" s="563"/>
      <c r="T320" s="563"/>
      <c r="U320" s="563"/>
      <c r="V320" s="564"/>
      <c r="W320" s="37" t="s">
        <v>69</v>
      </c>
      <c r="X320" s="545">
        <f>IFERROR(SUM(X316:X318),"0")</f>
        <v>326</v>
      </c>
      <c r="Y320" s="545">
        <f>IFERROR(SUM(Y316:Y318),"0")</f>
        <v>337.8</v>
      </c>
      <c r="Z320" s="37"/>
      <c r="AA320" s="546"/>
      <c r="AB320" s="546"/>
      <c r="AC320" s="546"/>
    </row>
    <row r="321" spans="1:68" ht="14.25" customHeight="1" x14ac:dyDescent="0.25">
      <c r="A321" s="558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customHeight="1" x14ac:dyDescent="0.25">
      <c r="A322" s="54" t="s">
        <v>508</v>
      </c>
      <c r="B322" s="54" t="s">
        <v>509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3.33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510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511</v>
      </c>
      <c r="B323" s="54" t="s">
        <v>512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3.29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04" t="s">
        <v>513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510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514</v>
      </c>
      <c r="B324" s="54" t="s">
        <v>515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3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516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customHeight="1" x14ac:dyDescent="0.25">
      <c r="A325" s="54" t="s">
        <v>517</v>
      </c>
      <c r="B325" s="54" t="s">
        <v>518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510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2" t="s">
        <v>71</v>
      </c>
      <c r="Q326" s="563"/>
      <c r="R326" s="563"/>
      <c r="S326" s="563"/>
      <c r="T326" s="563"/>
      <c r="U326" s="563"/>
      <c r="V326" s="564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2" t="s">
        <v>71</v>
      </c>
      <c r="Q327" s="563"/>
      <c r="R327" s="563"/>
      <c r="S327" s="563"/>
      <c r="T327" s="563"/>
      <c r="U327" s="563"/>
      <c r="V327" s="564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customHeight="1" x14ac:dyDescent="0.25">
      <c r="A328" s="558" t="s">
        <v>519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customHeight="1" x14ac:dyDescent="0.25">
      <c r="A329" s="54" t="s">
        <v>520</v>
      </c>
      <c r="B329" s="54" t="s">
        <v>521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522</v>
      </c>
      <c r="N329" s="33"/>
      <c r="O329" s="32">
        <v>730</v>
      </c>
      <c r="P329" s="61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523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524</v>
      </c>
      <c r="B330" s="54" t="s">
        <v>525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522</v>
      </c>
      <c r="N330" s="33"/>
      <c r="O330" s="32">
        <v>730</v>
      </c>
      <c r="P330" s="7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523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526</v>
      </c>
      <c r="B331" s="54" t="s">
        <v>527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522</v>
      </c>
      <c r="N331" s="33"/>
      <c r="O331" s="32">
        <v>730</v>
      </c>
      <c r="P331" s="62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523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2" t="s">
        <v>71</v>
      </c>
      <c r="Q332" s="563"/>
      <c r="R332" s="563"/>
      <c r="S332" s="563"/>
      <c r="T332" s="563"/>
      <c r="U332" s="563"/>
      <c r="V332" s="564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2" t="s">
        <v>71</v>
      </c>
      <c r="Q333" s="563"/>
      <c r="R333" s="563"/>
      <c r="S333" s="563"/>
      <c r="T333" s="563"/>
      <c r="U333" s="563"/>
      <c r="V333" s="564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customHeight="1" x14ac:dyDescent="0.25">
      <c r="A334" s="559" t="s">
        <v>528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customHeight="1" x14ac:dyDescent="0.25">
      <c r="A335" s="558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customHeight="1" x14ac:dyDescent="0.25">
      <c r="A336" s="54" t="s">
        <v>529</v>
      </c>
      <c r="B336" s="54" t="s">
        <v>530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8.6189999999999998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531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532</v>
      </c>
      <c r="B337" s="54" t="s">
        <v>533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290</v>
      </c>
      <c r="Y337" s="544">
        <f>IFERROR(IF(X337="",0,CEILING((X337/$H337),1)*$H337),"")</f>
        <v>291.90000000000003</v>
      </c>
      <c r="Z337" s="36">
        <f>IFERROR(IF(Y337=0,"",ROUNDUP(Y337/H337,0)*0.00651),"")</f>
        <v>0.90488999999999997</v>
      </c>
      <c r="AA337" s="56"/>
      <c r="AB337" s="57"/>
      <c r="AC337" s="389" t="s">
        <v>534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324.79999999999995</v>
      </c>
      <c r="BN337" s="64">
        <f>IFERROR(Y337*I337/H337,"0")</f>
        <v>326.928</v>
      </c>
      <c r="BO337" s="64">
        <f>IFERROR(1/J337*(X337/H337),"0")</f>
        <v>0.75876504447933024</v>
      </c>
      <c r="BP337" s="64">
        <f>IFERROR(1/J337*(Y337/H337),"0")</f>
        <v>0.7637362637362638</v>
      </c>
    </row>
    <row r="338" spans="1:68" ht="27" customHeight="1" x14ac:dyDescent="0.25">
      <c r="A338" s="54" t="s">
        <v>535</v>
      </c>
      <c r="B338" s="54" t="s">
        <v>536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101</v>
      </c>
      <c r="Y338" s="544">
        <f>IFERROR(IF(X338="",0,CEILING((X338/$H338),1)*$H338),"")</f>
        <v>102.9</v>
      </c>
      <c r="Z338" s="36">
        <f>IFERROR(IF(Y338=0,"",ROUNDUP(Y338/H338,0)*0.00651),"")</f>
        <v>0.31899</v>
      </c>
      <c r="AA338" s="56"/>
      <c r="AB338" s="57"/>
      <c r="AC338" s="391" t="s">
        <v>537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112.54285714285713</v>
      </c>
      <c r="BN338" s="64">
        <f>IFERROR(Y338*I338/H338,"0")</f>
        <v>114.66</v>
      </c>
      <c r="BO338" s="64">
        <f>IFERROR(1/J338*(X338/H338),"0")</f>
        <v>0.26425954997383572</v>
      </c>
      <c r="BP338" s="64">
        <f>IFERROR(1/J338*(Y338/H338),"0")</f>
        <v>0.26923076923076927</v>
      </c>
    </row>
    <row r="339" spans="1:68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2" t="s">
        <v>71</v>
      </c>
      <c r="Q339" s="563"/>
      <c r="R339" s="563"/>
      <c r="S339" s="563"/>
      <c r="T339" s="563"/>
      <c r="U339" s="563"/>
      <c r="V339" s="564"/>
      <c r="W339" s="37" t="s">
        <v>72</v>
      </c>
      <c r="X339" s="545">
        <f>IFERROR(X336/H336,"0")+IFERROR(X337/H337,"0")+IFERROR(X338/H338,"0")</f>
        <v>186.1904761904762</v>
      </c>
      <c r="Y339" s="545">
        <f>IFERROR(Y336/H336,"0")+IFERROR(Y337/H337,"0")+IFERROR(Y338/H338,"0")</f>
        <v>188</v>
      </c>
      <c r="Z339" s="545">
        <f>IFERROR(IF(Z336="",0,Z336),"0")+IFERROR(IF(Z337="",0,Z337),"0")+IFERROR(IF(Z338="",0,Z338),"0")</f>
        <v>1.2238799999999999</v>
      </c>
      <c r="AA339" s="546"/>
      <c r="AB339" s="546"/>
      <c r="AC339" s="546"/>
    </row>
    <row r="340" spans="1:68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2" t="s">
        <v>71</v>
      </c>
      <c r="Q340" s="563"/>
      <c r="R340" s="563"/>
      <c r="S340" s="563"/>
      <c r="T340" s="563"/>
      <c r="U340" s="563"/>
      <c r="V340" s="564"/>
      <c r="W340" s="37" t="s">
        <v>69</v>
      </c>
      <c r="X340" s="545">
        <f>IFERROR(SUM(X336:X338),"0")</f>
        <v>391</v>
      </c>
      <c r="Y340" s="545">
        <f>IFERROR(SUM(Y336:Y338),"0")</f>
        <v>394.80000000000007</v>
      </c>
      <c r="Z340" s="37"/>
      <c r="AA340" s="546"/>
      <c r="AB340" s="546"/>
      <c r="AC340" s="546"/>
    </row>
    <row r="341" spans="1:68" ht="27.75" customHeight="1" x14ac:dyDescent="0.2">
      <c r="A341" s="566" t="s">
        <v>538</v>
      </c>
      <c r="B341" s="567"/>
      <c r="C341" s="567"/>
      <c r="D341" s="567"/>
      <c r="E341" s="567"/>
      <c r="F341" s="567"/>
      <c r="G341" s="567"/>
      <c r="H341" s="567"/>
      <c r="I341" s="567"/>
      <c r="J341" s="567"/>
      <c r="K341" s="567"/>
      <c r="L341" s="567"/>
      <c r="M341" s="567"/>
      <c r="N341" s="567"/>
      <c r="O341" s="567"/>
      <c r="P341" s="567"/>
      <c r="Q341" s="567"/>
      <c r="R341" s="567"/>
      <c r="S341" s="567"/>
      <c r="T341" s="567"/>
      <c r="U341" s="567"/>
      <c r="V341" s="567"/>
      <c r="W341" s="567"/>
      <c r="X341" s="567"/>
      <c r="Y341" s="567"/>
      <c r="Z341" s="567"/>
      <c r="AA341" s="48"/>
      <c r="AB341" s="48"/>
      <c r="AC341" s="48"/>
    </row>
    <row r="342" spans="1:68" ht="16.5" customHeight="1" x14ac:dyDescent="0.25">
      <c r="A342" s="559" t="s">
        <v>539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customHeight="1" x14ac:dyDescent="0.25">
      <c r="A343" s="558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customHeight="1" x14ac:dyDescent="0.25">
      <c r="A344" s="54" t="s">
        <v>540</v>
      </c>
      <c r="B344" s="54" t="s">
        <v>541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15.48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8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98</v>
      </c>
      <c r="Y344" s="544">
        <f t="shared" ref="Y344:Y350" si="36">IFERROR(IF(X344="",0,CEILING((X344/$H344),1)*$H344),"")</f>
        <v>105</v>
      </c>
      <c r="Z344" s="36">
        <f>IFERROR(IF(Y344=0,"",ROUNDUP(Y344/H344,0)*0.02175),"")</f>
        <v>0.15225</v>
      </c>
      <c r="AA344" s="56"/>
      <c r="AB344" s="57"/>
      <c r="AC344" s="393" t="s">
        <v>542</v>
      </c>
      <c r="AG344" s="64"/>
      <c r="AJ344" s="68" t="s">
        <v>90</v>
      </c>
      <c r="AK344" s="68">
        <v>15</v>
      </c>
      <c r="BB344" s="394" t="s">
        <v>1</v>
      </c>
      <c r="BM344" s="64">
        <f t="shared" ref="BM344:BM350" si="37">IFERROR(X344*I344/H344,"0")</f>
        <v>101.136</v>
      </c>
      <c r="BN344" s="64">
        <f t="shared" ref="BN344:BN350" si="38">IFERROR(Y344*I344/H344,"0")</f>
        <v>108.36</v>
      </c>
      <c r="BO344" s="64">
        <f t="shared" ref="BO344:BO350" si="39">IFERROR(1/J344*(X344/H344),"0")</f>
        <v>0.1361111111111111</v>
      </c>
      <c r="BP344" s="64">
        <f t="shared" ref="BP344:BP350" si="40">IFERROR(1/J344*(Y344/H344),"0")</f>
        <v>0.14583333333333331</v>
      </c>
    </row>
    <row r="345" spans="1:68" ht="27" customHeight="1" x14ac:dyDescent="0.25">
      <c r="A345" s="54" t="s">
        <v>543</v>
      </c>
      <c r="B345" s="54" t="s">
        <v>544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15.48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0</v>
      </c>
      <c r="Y345" s="544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545</v>
      </c>
      <c r="AG345" s="64"/>
      <c r="AJ345" s="68" t="s">
        <v>90</v>
      </c>
      <c r="AK345" s="68">
        <v>15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546</v>
      </c>
      <c r="B346" s="54" t="s">
        <v>547</v>
      </c>
      <c r="C346" s="31">
        <v>4301011832</v>
      </c>
      <c r="D346" s="547">
        <v>4607091383997</v>
      </c>
      <c r="E346" s="548"/>
      <c r="F346" s="542">
        <v>2.5</v>
      </c>
      <c r="G346" s="32">
        <v>6</v>
      </c>
      <c r="H346" s="542">
        <v>15</v>
      </c>
      <c r="I346" s="542">
        <v>15.48</v>
      </c>
      <c r="J346" s="32">
        <v>48</v>
      </c>
      <c r="K346" s="32" t="s">
        <v>104</v>
      </c>
      <c r="L346" s="32" t="s">
        <v>105</v>
      </c>
      <c r="M346" s="33" t="s">
        <v>84</v>
      </c>
      <c r="N346" s="33"/>
      <c r="O346" s="32">
        <v>60</v>
      </c>
      <c r="P346" s="80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194</v>
      </c>
      <c r="Y346" s="544">
        <f t="shared" si="36"/>
        <v>195</v>
      </c>
      <c r="Z346" s="36">
        <f>IFERROR(IF(Y346=0,"",ROUNDUP(Y346/H346,0)*0.02175),"")</f>
        <v>0.28275</v>
      </c>
      <c r="AA346" s="56"/>
      <c r="AB346" s="57"/>
      <c r="AC346" s="397" t="s">
        <v>548</v>
      </c>
      <c r="AG346" s="64"/>
      <c r="AJ346" s="68" t="s">
        <v>90</v>
      </c>
      <c r="AK346" s="68">
        <v>120</v>
      </c>
      <c r="BB346" s="398" t="s">
        <v>1</v>
      </c>
      <c r="BM346" s="64">
        <f t="shared" si="37"/>
        <v>200.208</v>
      </c>
      <c r="BN346" s="64">
        <f t="shared" si="38"/>
        <v>201.23999999999998</v>
      </c>
      <c r="BO346" s="64">
        <f t="shared" si="39"/>
        <v>0.26944444444444443</v>
      </c>
      <c r="BP346" s="64">
        <f t="shared" si="40"/>
        <v>0.27083333333333331</v>
      </c>
    </row>
    <row r="347" spans="1:68" ht="37.5" customHeight="1" x14ac:dyDescent="0.25">
      <c r="A347" s="54" t="s">
        <v>549</v>
      </c>
      <c r="B347" s="54" t="s">
        <v>550</v>
      </c>
      <c r="C347" s="31">
        <v>4301011867</v>
      </c>
      <c r="D347" s="547">
        <v>4680115884830</v>
      </c>
      <c r="E347" s="548"/>
      <c r="F347" s="542">
        <v>2.5</v>
      </c>
      <c r="G347" s="32">
        <v>6</v>
      </c>
      <c r="H347" s="542">
        <v>15</v>
      </c>
      <c r="I347" s="542">
        <v>15.48</v>
      </c>
      <c r="J347" s="32">
        <v>48</v>
      </c>
      <c r="K347" s="32" t="s">
        <v>104</v>
      </c>
      <c r="L347" s="32"/>
      <c r="M347" s="33" t="s">
        <v>68</v>
      </c>
      <c r="N347" s="33"/>
      <c r="O347" s="32">
        <v>60</v>
      </c>
      <c r="P347" s="82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300</v>
      </c>
      <c r="Y347" s="544">
        <f t="shared" si="36"/>
        <v>300</v>
      </c>
      <c r="Z347" s="36">
        <f>IFERROR(IF(Y347=0,"",ROUNDUP(Y347/H347,0)*0.02175),"")</f>
        <v>0.43499999999999994</v>
      </c>
      <c r="AA347" s="56"/>
      <c r="AB347" s="57"/>
      <c r="AC347" s="399" t="s">
        <v>551</v>
      </c>
      <c r="AG347" s="64"/>
      <c r="AJ347" s="68" t="s">
        <v>90</v>
      </c>
      <c r="AK347" s="68">
        <v>15</v>
      </c>
      <c r="BB347" s="400" t="s">
        <v>1</v>
      </c>
      <c r="BM347" s="64">
        <f t="shared" si="37"/>
        <v>309.60000000000002</v>
      </c>
      <c r="BN347" s="64">
        <f t="shared" si="38"/>
        <v>309.60000000000002</v>
      </c>
      <c r="BO347" s="64">
        <f t="shared" si="39"/>
        <v>0.41666666666666663</v>
      </c>
      <c r="BP347" s="64">
        <f t="shared" si="40"/>
        <v>0.41666666666666663</v>
      </c>
    </row>
    <row r="348" spans="1:68" ht="27" customHeight="1" x14ac:dyDescent="0.25">
      <c r="A348" s="54" t="s">
        <v>552</v>
      </c>
      <c r="B348" s="54" t="s">
        <v>553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4.21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0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554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customHeight="1" x14ac:dyDescent="0.25">
      <c r="A349" s="54" t="s">
        <v>555</v>
      </c>
      <c r="B349" s="54" t="s">
        <v>556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5.21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3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35</v>
      </c>
      <c r="Y349" s="544">
        <f t="shared" si="36"/>
        <v>35</v>
      </c>
      <c r="Z349" s="36">
        <f>IFERROR(IF(Y349=0,"",ROUNDUP(Y349/H349,0)*0.00902),"")</f>
        <v>6.3140000000000002E-2</v>
      </c>
      <c r="AA349" s="56"/>
      <c r="AB349" s="57"/>
      <c r="AC349" s="403" t="s">
        <v>545</v>
      </c>
      <c r="AG349" s="64"/>
      <c r="AJ349" s="68"/>
      <c r="AK349" s="68">
        <v>0</v>
      </c>
      <c r="BB349" s="404" t="s">
        <v>1</v>
      </c>
      <c r="BM349" s="64">
        <f t="shared" si="37"/>
        <v>36.47</v>
      </c>
      <c r="BN349" s="64">
        <f t="shared" si="38"/>
        <v>36.47</v>
      </c>
      <c r="BO349" s="64">
        <f t="shared" si="39"/>
        <v>5.3030303030303032E-2</v>
      </c>
      <c r="BP349" s="64">
        <f t="shared" si="40"/>
        <v>5.3030303030303032E-2</v>
      </c>
    </row>
    <row r="350" spans="1:68" ht="37.5" customHeight="1" x14ac:dyDescent="0.25">
      <c r="A350" s="54" t="s">
        <v>557</v>
      </c>
      <c r="B350" s="54" t="s">
        <v>558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5.21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53</v>
      </c>
      <c r="Y350" s="544">
        <f t="shared" si="36"/>
        <v>55</v>
      </c>
      <c r="Z350" s="36">
        <f>IFERROR(IF(Y350=0,"",ROUNDUP(Y350/H350,0)*0.00902),"")</f>
        <v>9.9220000000000003E-2</v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55.225999999999999</v>
      </c>
      <c r="BN350" s="64">
        <f t="shared" si="38"/>
        <v>57.31</v>
      </c>
      <c r="BO350" s="64">
        <f t="shared" si="39"/>
        <v>8.0303030303030307E-2</v>
      </c>
      <c r="BP350" s="64">
        <f t="shared" si="40"/>
        <v>8.3333333333333343E-2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2" t="s">
        <v>71</v>
      </c>
      <c r="Q351" s="563"/>
      <c r="R351" s="563"/>
      <c r="S351" s="563"/>
      <c r="T351" s="563"/>
      <c r="U351" s="563"/>
      <c r="V351" s="564"/>
      <c r="W351" s="37" t="s">
        <v>72</v>
      </c>
      <c r="X351" s="545">
        <f>IFERROR(X344/H344,"0")+IFERROR(X345/H345,"0")+IFERROR(X346/H346,"0")+IFERROR(X347/H347,"0")+IFERROR(X348/H348,"0")+IFERROR(X349/H349,"0")+IFERROR(X350/H350,"0")</f>
        <v>57.06666666666667</v>
      </c>
      <c r="Y351" s="545">
        <f>IFERROR(Y344/H344,"0")+IFERROR(Y345/H345,"0")+IFERROR(Y346/H346,"0")+IFERROR(Y347/H347,"0")+IFERROR(Y348/H348,"0")+IFERROR(Y349/H349,"0")+IFERROR(Y350/H350,"0")</f>
        <v>58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1.0323599999999999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2" t="s">
        <v>71</v>
      </c>
      <c r="Q352" s="563"/>
      <c r="R352" s="563"/>
      <c r="S352" s="563"/>
      <c r="T352" s="563"/>
      <c r="U352" s="563"/>
      <c r="V352" s="564"/>
      <c r="W352" s="37" t="s">
        <v>69</v>
      </c>
      <c r="X352" s="545">
        <f>IFERROR(SUM(X344:X350),"0")</f>
        <v>680</v>
      </c>
      <c r="Y352" s="545">
        <f>IFERROR(SUM(Y344:Y350),"0")</f>
        <v>690</v>
      </c>
      <c r="Z352" s="37"/>
      <c r="AA352" s="546"/>
      <c r="AB352" s="546"/>
      <c r="AC352" s="546"/>
    </row>
    <row r="353" spans="1:68" ht="14.25" customHeight="1" x14ac:dyDescent="0.25">
      <c r="A353" s="558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559</v>
      </c>
      <c r="B354" s="54" t="s">
        <v>560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15.48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20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300</v>
      </c>
      <c r="Y354" s="544">
        <f>IFERROR(IF(X354="",0,CEILING((X354/$H354),1)*$H354),"")</f>
        <v>300</v>
      </c>
      <c r="Z354" s="36">
        <f>IFERROR(IF(Y354=0,"",ROUNDUP(Y354/H354,0)*0.02175),"")</f>
        <v>0.43499999999999994</v>
      </c>
      <c r="AA354" s="56"/>
      <c r="AB354" s="57"/>
      <c r="AC354" s="407" t="s">
        <v>561</v>
      </c>
      <c r="AG354" s="64"/>
      <c r="AJ354" s="68" t="s">
        <v>90</v>
      </c>
      <c r="AK354" s="68">
        <v>15</v>
      </c>
      <c r="BB354" s="408" t="s">
        <v>1</v>
      </c>
      <c r="BM354" s="64">
        <f>IFERROR(X354*I354/H354,"0")</f>
        <v>309.60000000000002</v>
      </c>
      <c r="BN354" s="64">
        <f>IFERROR(Y354*I354/H354,"0")</f>
        <v>309.60000000000002</v>
      </c>
      <c r="BO354" s="64">
        <f>IFERROR(1/J354*(X354/H354),"0")</f>
        <v>0.41666666666666663</v>
      </c>
      <c r="BP354" s="64">
        <f>IFERROR(1/J354*(Y354/H354),"0")</f>
        <v>0.41666666666666663</v>
      </c>
    </row>
    <row r="355" spans="1:68" ht="16.5" customHeight="1" x14ac:dyDescent="0.25">
      <c r="A355" s="54" t="s">
        <v>562</v>
      </c>
      <c r="B355" s="54" t="s">
        <v>563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4.21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32</v>
      </c>
      <c r="Y355" s="544">
        <f>IFERROR(IF(X355="",0,CEILING((X355/$H355),1)*$H355),"")</f>
        <v>32</v>
      </c>
      <c r="Z355" s="36">
        <f>IFERROR(IF(Y355=0,"",ROUNDUP(Y355/H355,0)*0.00902),"")</f>
        <v>7.2160000000000002E-2</v>
      </c>
      <c r="AA355" s="56"/>
      <c r="AB355" s="57"/>
      <c r="AC355" s="409" t="s">
        <v>561</v>
      </c>
      <c r="AG355" s="64"/>
      <c r="AJ355" s="68"/>
      <c r="AK355" s="68">
        <v>0</v>
      </c>
      <c r="BB355" s="410" t="s">
        <v>1</v>
      </c>
      <c r="BM355" s="64">
        <f>IFERROR(X355*I355/H355,"0")</f>
        <v>33.68</v>
      </c>
      <c r="BN355" s="64">
        <f>IFERROR(Y355*I355/H355,"0")</f>
        <v>33.68</v>
      </c>
      <c r="BO355" s="64">
        <f>IFERROR(1/J355*(X355/H355),"0")</f>
        <v>6.0606060606060608E-2</v>
      </c>
      <c r="BP355" s="64">
        <f>IFERROR(1/J355*(Y355/H355),"0")</f>
        <v>6.0606060606060608E-2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2" t="s">
        <v>71</v>
      </c>
      <c r="Q356" s="563"/>
      <c r="R356" s="563"/>
      <c r="S356" s="563"/>
      <c r="T356" s="563"/>
      <c r="U356" s="563"/>
      <c r="V356" s="564"/>
      <c r="W356" s="37" t="s">
        <v>72</v>
      </c>
      <c r="X356" s="545">
        <f>IFERROR(X354/H354,"0")+IFERROR(X355/H355,"0")</f>
        <v>28</v>
      </c>
      <c r="Y356" s="545">
        <f>IFERROR(Y354/H354,"0")+IFERROR(Y355/H355,"0")</f>
        <v>28</v>
      </c>
      <c r="Z356" s="545">
        <f>IFERROR(IF(Z354="",0,Z354),"0")+IFERROR(IF(Z355="",0,Z355),"0")</f>
        <v>0.50715999999999994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2" t="s">
        <v>71</v>
      </c>
      <c r="Q357" s="563"/>
      <c r="R357" s="563"/>
      <c r="S357" s="563"/>
      <c r="T357" s="563"/>
      <c r="U357" s="563"/>
      <c r="V357" s="564"/>
      <c r="W357" s="37" t="s">
        <v>69</v>
      </c>
      <c r="X357" s="545">
        <f>IFERROR(SUM(X354:X355),"0")</f>
        <v>332</v>
      </c>
      <c r="Y357" s="545">
        <f>IFERROR(SUM(Y354:Y355),"0")</f>
        <v>332</v>
      </c>
      <c r="Z357" s="37"/>
      <c r="AA357" s="546"/>
      <c r="AB357" s="546"/>
      <c r="AC357" s="546"/>
    </row>
    <row r="358" spans="1:68" ht="14.25" customHeight="1" x14ac:dyDescent="0.25">
      <c r="A358" s="558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customHeight="1" x14ac:dyDescent="0.25">
      <c r="A359" s="54" t="s">
        <v>564</v>
      </c>
      <c r="B359" s="54" t="s">
        <v>565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9.5250000000000004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8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customHeight="1" x14ac:dyDescent="0.25">
      <c r="A360" s="54" t="s">
        <v>567</v>
      </c>
      <c r="B360" s="54" t="s">
        <v>568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9.5190000000000001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569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2" t="s">
        <v>71</v>
      </c>
      <c r="Q361" s="563"/>
      <c r="R361" s="563"/>
      <c r="S361" s="563"/>
      <c r="T361" s="563"/>
      <c r="U361" s="563"/>
      <c r="V361" s="564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2" t="s">
        <v>71</v>
      </c>
      <c r="Q362" s="563"/>
      <c r="R362" s="563"/>
      <c r="S362" s="563"/>
      <c r="T362" s="563"/>
      <c r="U362" s="563"/>
      <c r="V362" s="564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customHeight="1" x14ac:dyDescent="0.25">
      <c r="A363" s="558" t="s">
        <v>166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customHeight="1" x14ac:dyDescent="0.25">
      <c r="A364" s="54" t="s">
        <v>570</v>
      </c>
      <c r="B364" s="54" t="s">
        <v>571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9.5190000000000001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3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572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2" t="s">
        <v>71</v>
      </c>
      <c r="Q365" s="563"/>
      <c r="R365" s="563"/>
      <c r="S365" s="563"/>
      <c r="T365" s="563"/>
      <c r="U365" s="563"/>
      <c r="V365" s="564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2" t="s">
        <v>71</v>
      </c>
      <c r="Q366" s="563"/>
      <c r="R366" s="563"/>
      <c r="S366" s="563"/>
      <c r="T366" s="563"/>
      <c r="U366" s="563"/>
      <c r="V366" s="564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customHeight="1" x14ac:dyDescent="0.25">
      <c r="A367" s="559" t="s">
        <v>573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customHeight="1" x14ac:dyDescent="0.25">
      <c r="A368" s="558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customHeight="1" x14ac:dyDescent="0.25">
      <c r="A369" s="54" t="s">
        <v>574</v>
      </c>
      <c r="B369" s="54" t="s">
        <v>575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12.435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2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576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customHeight="1" x14ac:dyDescent="0.25">
      <c r="A370" s="54" t="s">
        <v>577</v>
      </c>
      <c r="B370" s="54" t="s">
        <v>578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4.21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576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2" t="s">
        <v>71</v>
      </c>
      <c r="Q371" s="563"/>
      <c r="R371" s="563"/>
      <c r="S371" s="563"/>
      <c r="T371" s="563"/>
      <c r="U371" s="563"/>
      <c r="V371" s="564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2" t="s">
        <v>71</v>
      </c>
      <c r="Q372" s="563"/>
      <c r="R372" s="563"/>
      <c r="S372" s="563"/>
      <c r="T372" s="563"/>
      <c r="U372" s="563"/>
      <c r="V372" s="564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customHeight="1" x14ac:dyDescent="0.25">
      <c r="A373" s="558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customHeight="1" x14ac:dyDescent="0.25">
      <c r="A374" s="54" t="s">
        <v>579</v>
      </c>
      <c r="B374" s="54" t="s">
        <v>580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4.6500000000000004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581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customHeight="1" x14ac:dyDescent="0.25">
      <c r="A375" s="54" t="s">
        <v>579</v>
      </c>
      <c r="B375" s="54" t="s">
        <v>582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4.47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3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583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2" t="s">
        <v>71</v>
      </c>
      <c r="Q376" s="563"/>
      <c r="R376" s="563"/>
      <c r="S376" s="563"/>
      <c r="T376" s="563"/>
      <c r="U376" s="563"/>
      <c r="V376" s="564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2" t="s">
        <v>71</v>
      </c>
      <c r="Q377" s="563"/>
      <c r="R377" s="563"/>
      <c r="S377" s="563"/>
      <c r="T377" s="563"/>
      <c r="U377" s="563"/>
      <c r="V377" s="564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customHeight="1" x14ac:dyDescent="0.25">
      <c r="A378" s="558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customHeight="1" x14ac:dyDescent="0.25">
      <c r="A379" s="54" t="s">
        <v>584</v>
      </c>
      <c r="B379" s="54" t="s">
        <v>585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9.5190000000000001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78</v>
      </c>
      <c r="Y379" s="544">
        <f>IFERROR(IF(X379="",0,CEILING((X379/$H379),1)*$H379),"")</f>
        <v>81</v>
      </c>
      <c r="Z379" s="36">
        <f>IFERROR(IF(Y379=0,"",ROUNDUP(Y379/H379,0)*0.01898),"")</f>
        <v>0.17082</v>
      </c>
      <c r="AA379" s="56"/>
      <c r="AB379" s="57"/>
      <c r="AC379" s="425" t="s">
        <v>586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82.49799999999999</v>
      </c>
      <c r="BN379" s="64">
        <f>IFERROR(Y379*I379/H379,"0")</f>
        <v>85.670999999999992</v>
      </c>
      <c r="BO379" s="64">
        <f>IFERROR(1/J379*(X379/H379),"0")</f>
        <v>0.13541666666666666</v>
      </c>
      <c r="BP379" s="64">
        <f>IFERROR(1/J379*(Y379/H379),"0")</f>
        <v>0.140625</v>
      </c>
    </row>
    <row r="380" spans="1:68" ht="27" customHeight="1" x14ac:dyDescent="0.25">
      <c r="A380" s="54" t="s">
        <v>587</v>
      </c>
      <c r="B380" s="54" t="s">
        <v>588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91</v>
      </c>
      <c r="Y380" s="544">
        <f>IFERROR(IF(X380="",0,CEILING((X380/$H380),1)*$H380),"")</f>
        <v>91.2</v>
      </c>
      <c r="Z380" s="36">
        <f>IFERROR(IF(Y380=0,"",ROUNDUP(Y380/H380,0)*0.00651),"")</f>
        <v>0.24738000000000002</v>
      </c>
      <c r="AA380" s="56"/>
      <c r="AB380" s="57"/>
      <c r="AC380" s="427" t="s">
        <v>586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101.01</v>
      </c>
      <c r="BN380" s="64">
        <f>IFERROR(Y380*I380/H380,"0")</f>
        <v>101.23200000000001</v>
      </c>
      <c r="BO380" s="64">
        <f>IFERROR(1/J380*(X380/H380),"0")</f>
        <v>0.20833333333333337</v>
      </c>
      <c r="BP380" s="64">
        <f>IFERROR(1/J380*(Y380/H380),"0")</f>
        <v>0.2087912087912088</v>
      </c>
    </row>
    <row r="381" spans="1:68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2" t="s">
        <v>71</v>
      </c>
      <c r="Q381" s="563"/>
      <c r="R381" s="563"/>
      <c r="S381" s="563"/>
      <c r="T381" s="563"/>
      <c r="U381" s="563"/>
      <c r="V381" s="564"/>
      <c r="W381" s="37" t="s">
        <v>72</v>
      </c>
      <c r="X381" s="545">
        <f>IFERROR(X379/H379,"0")+IFERROR(X380/H380,"0")</f>
        <v>46.583333333333336</v>
      </c>
      <c r="Y381" s="545">
        <f>IFERROR(Y379/H379,"0")+IFERROR(Y380/H380,"0")</f>
        <v>47</v>
      </c>
      <c r="Z381" s="545">
        <f>IFERROR(IF(Z379="",0,Z379),"0")+IFERROR(IF(Z380="",0,Z380),"0")</f>
        <v>0.41820000000000002</v>
      </c>
      <c r="AA381" s="546"/>
      <c r="AB381" s="546"/>
      <c r="AC381" s="546"/>
    </row>
    <row r="382" spans="1:68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2" t="s">
        <v>71</v>
      </c>
      <c r="Q382" s="563"/>
      <c r="R382" s="563"/>
      <c r="S382" s="563"/>
      <c r="T382" s="563"/>
      <c r="U382" s="563"/>
      <c r="V382" s="564"/>
      <c r="W382" s="37" t="s">
        <v>69</v>
      </c>
      <c r="X382" s="545">
        <f>IFERROR(SUM(X379:X380),"0")</f>
        <v>169</v>
      </c>
      <c r="Y382" s="545">
        <f>IFERROR(SUM(Y379:Y380),"0")</f>
        <v>172.2</v>
      </c>
      <c r="Z382" s="37"/>
      <c r="AA382" s="546"/>
      <c r="AB382" s="546"/>
      <c r="AC382" s="546"/>
    </row>
    <row r="383" spans="1:68" ht="27.75" customHeight="1" x14ac:dyDescent="0.2">
      <c r="A383" s="566" t="s">
        <v>589</v>
      </c>
      <c r="B383" s="567"/>
      <c r="C383" s="567"/>
      <c r="D383" s="567"/>
      <c r="E383" s="567"/>
      <c r="F383" s="567"/>
      <c r="G383" s="567"/>
      <c r="H383" s="567"/>
      <c r="I383" s="567"/>
      <c r="J383" s="567"/>
      <c r="K383" s="567"/>
      <c r="L383" s="567"/>
      <c r="M383" s="567"/>
      <c r="N383" s="567"/>
      <c r="O383" s="567"/>
      <c r="P383" s="567"/>
      <c r="Q383" s="567"/>
      <c r="R383" s="567"/>
      <c r="S383" s="567"/>
      <c r="T383" s="567"/>
      <c r="U383" s="567"/>
      <c r="V383" s="567"/>
      <c r="W383" s="567"/>
      <c r="X383" s="567"/>
      <c r="Y383" s="567"/>
      <c r="Z383" s="567"/>
      <c r="AA383" s="48"/>
      <c r="AB383" s="48"/>
      <c r="AC383" s="48"/>
    </row>
    <row r="384" spans="1:68" ht="16.5" customHeight="1" x14ac:dyDescent="0.25">
      <c r="A384" s="559" t="s">
        <v>590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customHeight="1" x14ac:dyDescent="0.25">
      <c r="A385" s="558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customHeight="1" x14ac:dyDescent="0.25">
      <c r="A386" s="54" t="s">
        <v>591</v>
      </c>
      <c r="B386" s="54" t="s">
        <v>592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5.61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593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customHeight="1" x14ac:dyDescent="0.25">
      <c r="A387" s="54" t="s">
        <v>594</v>
      </c>
      <c r="B387" s="54" t="s">
        <v>595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5.61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596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customHeight="1" x14ac:dyDescent="0.25">
      <c r="A388" s="54" t="s">
        <v>597</v>
      </c>
      <c r="B388" s="54" t="s">
        <v>598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5.61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5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599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customHeight="1" x14ac:dyDescent="0.25">
      <c r="A389" s="54" t="s">
        <v>600</v>
      </c>
      <c r="B389" s="54" t="s">
        <v>601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593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customHeight="1" x14ac:dyDescent="0.25">
      <c r="A390" s="54" t="s">
        <v>602</v>
      </c>
      <c r="B390" s="54" t="s">
        <v>603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2</v>
      </c>
      <c r="Y390" s="544">
        <f t="shared" si="41"/>
        <v>2.1</v>
      </c>
      <c r="Z390" s="36">
        <f t="shared" si="46"/>
        <v>5.0200000000000002E-3</v>
      </c>
      <c r="AA390" s="56"/>
      <c r="AB390" s="57"/>
      <c r="AC390" s="437" t="s">
        <v>593</v>
      </c>
      <c r="AG390" s="64"/>
      <c r="AJ390" s="68"/>
      <c r="AK390" s="68">
        <v>0</v>
      </c>
      <c r="BB390" s="438" t="s">
        <v>1</v>
      </c>
      <c r="BM390" s="64">
        <f t="shared" si="42"/>
        <v>2.1238095238095238</v>
      </c>
      <c r="BN390" s="64">
        <f t="shared" si="43"/>
        <v>2.23</v>
      </c>
      <c r="BO390" s="64">
        <f t="shared" si="44"/>
        <v>4.0700040700040706E-3</v>
      </c>
      <c r="BP390" s="64">
        <f t="shared" si="45"/>
        <v>4.2735042735042739E-3</v>
      </c>
    </row>
    <row r="391" spans="1:68" ht="37.5" customHeight="1" x14ac:dyDescent="0.25">
      <c r="A391" s="54" t="s">
        <v>604</v>
      </c>
      <c r="B391" s="54" t="s">
        <v>605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606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customHeight="1" x14ac:dyDescent="0.25">
      <c r="A392" s="54" t="s">
        <v>607</v>
      </c>
      <c r="B392" s="54" t="s">
        <v>608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609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customHeight="1" x14ac:dyDescent="0.25">
      <c r="A393" s="54" t="s">
        <v>610</v>
      </c>
      <c r="B393" s="54" t="s">
        <v>611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612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customHeight="1" x14ac:dyDescent="0.25">
      <c r="A394" s="54" t="s">
        <v>613</v>
      </c>
      <c r="B394" s="54" t="s">
        <v>614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0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609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2" t="s">
        <v>71</v>
      </c>
      <c r="Q395" s="563"/>
      <c r="R395" s="563"/>
      <c r="S395" s="563"/>
      <c r="T395" s="563"/>
      <c r="U395" s="563"/>
      <c r="V395" s="564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0.95238095238095233</v>
      </c>
      <c r="Y395" s="545">
        <f>IFERROR(Y386/H386,"0")+IFERROR(Y387/H387,"0")+IFERROR(Y388/H388,"0")+IFERROR(Y389/H389,"0")+IFERROR(Y390/H390,"0")+IFERROR(Y391/H391,"0")+IFERROR(Y392/H392,"0")+IFERROR(Y393/H393,"0")+IFERROR(Y394/H394,"0")</f>
        <v>1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5.0200000000000002E-3</v>
      </c>
      <c r="AA395" s="546"/>
      <c r="AB395" s="546"/>
      <c r="AC395" s="546"/>
    </row>
    <row r="396" spans="1:68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2" t="s">
        <v>71</v>
      </c>
      <c r="Q396" s="563"/>
      <c r="R396" s="563"/>
      <c r="S396" s="563"/>
      <c r="T396" s="563"/>
      <c r="U396" s="563"/>
      <c r="V396" s="564"/>
      <c r="W396" s="37" t="s">
        <v>69</v>
      </c>
      <c r="X396" s="545">
        <f>IFERROR(SUM(X386:X394),"0")</f>
        <v>2</v>
      </c>
      <c r="Y396" s="545">
        <f>IFERROR(SUM(Y386:Y394),"0")</f>
        <v>2.1</v>
      </c>
      <c r="Z396" s="37"/>
      <c r="AA396" s="546"/>
      <c r="AB396" s="546"/>
      <c r="AC396" s="546"/>
    </row>
    <row r="397" spans="1:68" ht="14.25" customHeight="1" x14ac:dyDescent="0.25">
      <c r="A397" s="558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customHeight="1" x14ac:dyDescent="0.25">
      <c r="A398" s="54" t="s">
        <v>615</v>
      </c>
      <c r="B398" s="54" t="s">
        <v>616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2.6459999999999999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617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618</v>
      </c>
      <c r="B399" s="54" t="s">
        <v>619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620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2" t="s">
        <v>71</v>
      </c>
      <c r="Q400" s="563"/>
      <c r="R400" s="563"/>
      <c r="S400" s="563"/>
      <c r="T400" s="563"/>
      <c r="U400" s="563"/>
      <c r="V400" s="564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2" t="s">
        <v>71</v>
      </c>
      <c r="Q401" s="563"/>
      <c r="R401" s="563"/>
      <c r="S401" s="563"/>
      <c r="T401" s="563"/>
      <c r="U401" s="563"/>
      <c r="V401" s="564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customHeight="1" x14ac:dyDescent="0.25">
      <c r="A402" s="559" t="s">
        <v>621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customHeight="1" x14ac:dyDescent="0.25">
      <c r="A403" s="558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customHeight="1" x14ac:dyDescent="0.25">
      <c r="A404" s="54" t="s">
        <v>622</v>
      </c>
      <c r="B404" s="54" t="s">
        <v>623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624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2" t="s">
        <v>71</v>
      </c>
      <c r="Q405" s="563"/>
      <c r="R405" s="563"/>
      <c r="S405" s="563"/>
      <c r="T405" s="563"/>
      <c r="U405" s="563"/>
      <c r="V405" s="564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2" t="s">
        <v>71</v>
      </c>
      <c r="Q406" s="563"/>
      <c r="R406" s="563"/>
      <c r="S406" s="563"/>
      <c r="T406" s="563"/>
      <c r="U406" s="563"/>
      <c r="V406" s="564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customHeight="1" x14ac:dyDescent="0.25">
      <c r="A407" s="558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customHeight="1" x14ac:dyDescent="0.25">
      <c r="A408" s="54" t="s">
        <v>625</v>
      </c>
      <c r="B408" s="54" t="s">
        <v>626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5.61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4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627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628</v>
      </c>
      <c r="B409" s="54" t="s">
        <v>629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630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631</v>
      </c>
      <c r="B410" s="54" t="s">
        <v>632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633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customHeight="1" x14ac:dyDescent="0.25">
      <c r="A411" s="54" t="s">
        <v>634</v>
      </c>
      <c r="B411" s="54" t="s">
        <v>635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7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633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2" t="s">
        <v>71</v>
      </c>
      <c r="Q412" s="563"/>
      <c r="R412" s="563"/>
      <c r="S412" s="563"/>
      <c r="T412" s="563"/>
      <c r="U412" s="563"/>
      <c r="V412" s="564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2" t="s">
        <v>71</v>
      </c>
      <c r="Q413" s="563"/>
      <c r="R413" s="563"/>
      <c r="S413" s="563"/>
      <c r="T413" s="563"/>
      <c r="U413" s="563"/>
      <c r="V413" s="564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customHeight="1" x14ac:dyDescent="0.25">
      <c r="A414" s="559" t="s">
        <v>636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customHeight="1" x14ac:dyDescent="0.25">
      <c r="A415" s="558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customHeight="1" x14ac:dyDescent="0.25">
      <c r="A416" s="54" t="s">
        <v>637</v>
      </c>
      <c r="B416" s="54" t="s">
        <v>638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7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639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2" t="s">
        <v>71</v>
      </c>
      <c r="Q417" s="563"/>
      <c r="R417" s="563"/>
      <c r="S417" s="563"/>
      <c r="T417" s="563"/>
      <c r="U417" s="563"/>
      <c r="V417" s="564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2" t="s">
        <v>71</v>
      </c>
      <c r="Q418" s="563"/>
      <c r="R418" s="563"/>
      <c r="S418" s="563"/>
      <c r="T418" s="563"/>
      <c r="U418" s="563"/>
      <c r="V418" s="564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customHeight="1" x14ac:dyDescent="0.2">
      <c r="A419" s="566" t="s">
        <v>640</v>
      </c>
      <c r="B419" s="567"/>
      <c r="C419" s="567"/>
      <c r="D419" s="567"/>
      <c r="E419" s="567"/>
      <c r="F419" s="567"/>
      <c r="G419" s="567"/>
      <c r="H419" s="567"/>
      <c r="I419" s="567"/>
      <c r="J419" s="567"/>
      <c r="K419" s="567"/>
      <c r="L419" s="567"/>
      <c r="M419" s="567"/>
      <c r="N419" s="567"/>
      <c r="O419" s="567"/>
      <c r="P419" s="567"/>
      <c r="Q419" s="567"/>
      <c r="R419" s="567"/>
      <c r="S419" s="567"/>
      <c r="T419" s="567"/>
      <c r="U419" s="567"/>
      <c r="V419" s="567"/>
      <c r="W419" s="567"/>
      <c r="X419" s="567"/>
      <c r="Y419" s="567"/>
      <c r="Z419" s="567"/>
      <c r="AA419" s="48"/>
      <c r="AB419" s="48"/>
      <c r="AC419" s="48"/>
    </row>
    <row r="420" spans="1:68" ht="16.5" customHeight="1" x14ac:dyDescent="0.25">
      <c r="A420" s="559" t="s">
        <v>640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customHeight="1" x14ac:dyDescent="0.25">
      <c r="A421" s="558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customHeight="1" x14ac:dyDescent="0.25">
      <c r="A422" s="54" t="s">
        <v>641</v>
      </c>
      <c r="B422" s="54" t="s">
        <v>642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5.64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9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5</v>
      </c>
      <c r="Y422" s="544">
        <f t="shared" ref="Y422:Y432" si="47">IFERROR(IF(X422="",0,CEILING((X422/$H422),1)*$H422),"")</f>
        <v>5.28</v>
      </c>
      <c r="Z422" s="36">
        <f t="shared" ref="Z422:Z427" si="48">IFERROR(IF(Y422=0,"",ROUNDUP(Y422/H422,0)*0.01196),"")</f>
        <v>1.196E-2</v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5.3409090909090908</v>
      </c>
      <c r="BN422" s="64">
        <f t="shared" ref="BN422:BN432" si="50">IFERROR(Y422*I422/H422,"0")</f>
        <v>5.64</v>
      </c>
      <c r="BO422" s="64">
        <f t="shared" ref="BO422:BO432" si="51">IFERROR(1/J422*(X422/H422),"0")</f>
        <v>9.1054778554778559E-3</v>
      </c>
      <c r="BP422" s="64">
        <f t="shared" ref="BP422:BP432" si="52">IFERROR(1/J422*(Y422/H422),"0")</f>
        <v>9.6153846153846159E-3</v>
      </c>
    </row>
    <row r="423" spans="1:68" ht="27" customHeight="1" x14ac:dyDescent="0.25">
      <c r="A423" s="54" t="s">
        <v>643</v>
      </c>
      <c r="B423" s="54" t="s">
        <v>644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5.64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customHeight="1" x14ac:dyDescent="0.25">
      <c r="A424" s="54" t="s">
        <v>646</v>
      </c>
      <c r="B424" s="54" t="s">
        <v>647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5.64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648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customHeight="1" x14ac:dyDescent="0.25">
      <c r="A425" s="54" t="s">
        <v>649</v>
      </c>
      <c r="B425" s="54" t="s">
        <v>650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5.64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651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customHeight="1" x14ac:dyDescent="0.25">
      <c r="A426" s="54" t="s">
        <v>652</v>
      </c>
      <c r="B426" s="54" t="s">
        <v>653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5.64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654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customHeight="1" x14ac:dyDescent="0.25">
      <c r="A427" s="54" t="s">
        <v>655</v>
      </c>
      <c r="B427" s="54" t="s">
        <v>656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5.64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44</v>
      </c>
      <c r="Y427" s="544">
        <f t="shared" si="47"/>
        <v>47.52</v>
      </c>
      <c r="Z427" s="36">
        <f t="shared" si="48"/>
        <v>0.10764</v>
      </c>
      <c r="AA427" s="56"/>
      <c r="AB427" s="57"/>
      <c r="AC427" s="473" t="s">
        <v>657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47</v>
      </c>
      <c r="BN427" s="64">
        <f t="shared" si="50"/>
        <v>50.760000000000005</v>
      </c>
      <c r="BO427" s="64">
        <f t="shared" si="51"/>
        <v>8.0128205128205121E-2</v>
      </c>
      <c r="BP427" s="64">
        <f t="shared" si="52"/>
        <v>8.6538461538461536E-2</v>
      </c>
    </row>
    <row r="428" spans="1:68" ht="27" customHeight="1" x14ac:dyDescent="0.25">
      <c r="A428" s="54" t="s">
        <v>658</v>
      </c>
      <c r="B428" s="54" t="s">
        <v>659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customHeight="1" x14ac:dyDescent="0.25">
      <c r="A429" s="54" t="s">
        <v>660</v>
      </c>
      <c r="B429" s="54" t="s">
        <v>661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6.93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19</v>
      </c>
      <c r="Y429" s="544">
        <f t="shared" si="47"/>
        <v>19.2</v>
      </c>
      <c r="Z429" s="36">
        <f>IFERROR(IF(Y429=0,"",ROUNDUP(Y429/H429,0)*0.00902),"")</f>
        <v>3.6080000000000001E-2</v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27.431249999999999</v>
      </c>
      <c r="BN429" s="64">
        <f t="shared" si="50"/>
        <v>27.72</v>
      </c>
      <c r="BO429" s="64">
        <f t="shared" si="51"/>
        <v>2.998737373737374E-2</v>
      </c>
      <c r="BP429" s="64">
        <f t="shared" si="52"/>
        <v>3.0303030303030304E-2</v>
      </c>
    </row>
    <row r="430" spans="1:68" ht="27" customHeight="1" x14ac:dyDescent="0.25">
      <c r="A430" s="54" t="s">
        <v>662</v>
      </c>
      <c r="B430" s="54" t="s">
        <v>663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645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664</v>
      </c>
      <c r="B431" s="54" t="s">
        <v>665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8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666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667</v>
      </c>
      <c r="B432" s="54" t="s">
        <v>668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6.93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657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2" t="s">
        <v>71</v>
      </c>
      <c r="Q433" s="563"/>
      <c r="R433" s="563"/>
      <c r="S433" s="563"/>
      <c r="T433" s="563"/>
      <c r="U433" s="563"/>
      <c r="V433" s="564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13.238636363636363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14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0.15567999999999999</v>
      </c>
      <c r="AA433" s="546"/>
      <c r="AB433" s="546"/>
      <c r="AC433" s="546"/>
    </row>
    <row r="434" spans="1:68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2" t="s">
        <v>71</v>
      </c>
      <c r="Q434" s="563"/>
      <c r="R434" s="563"/>
      <c r="S434" s="563"/>
      <c r="T434" s="563"/>
      <c r="U434" s="563"/>
      <c r="V434" s="564"/>
      <c r="W434" s="37" t="s">
        <v>69</v>
      </c>
      <c r="X434" s="545">
        <f>IFERROR(SUM(X422:X432),"0")</f>
        <v>68</v>
      </c>
      <c r="Y434" s="545">
        <f>IFERROR(SUM(Y422:Y432),"0")</f>
        <v>72</v>
      </c>
      <c r="Z434" s="37"/>
      <c r="AA434" s="546"/>
      <c r="AB434" s="546"/>
      <c r="AC434" s="546"/>
    </row>
    <row r="435" spans="1:68" ht="14.25" customHeight="1" x14ac:dyDescent="0.25">
      <c r="A435" s="558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customHeight="1" x14ac:dyDescent="0.25">
      <c r="A436" s="54" t="s">
        <v>669</v>
      </c>
      <c r="B436" s="54" t="s">
        <v>670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5.64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5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48</v>
      </c>
      <c r="Y436" s="544">
        <f>IFERROR(IF(X436="",0,CEILING((X436/$H436),1)*$H436),"")</f>
        <v>52.800000000000004</v>
      </c>
      <c r="Z436" s="36">
        <f>IFERROR(IF(Y436=0,"",ROUNDUP(Y436/H436,0)*0.01196),"")</f>
        <v>0.1196</v>
      </c>
      <c r="AA436" s="56"/>
      <c r="AB436" s="57"/>
      <c r="AC436" s="485" t="s">
        <v>671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51.272727272727266</v>
      </c>
      <c r="BN436" s="64">
        <f>IFERROR(Y436*I436/H436,"0")</f>
        <v>56.400000000000006</v>
      </c>
      <c r="BO436" s="64">
        <f>IFERROR(1/J436*(X436/H436),"0")</f>
        <v>8.7412587412587409E-2</v>
      </c>
      <c r="BP436" s="64">
        <f>IFERROR(1/J436*(Y436/H436),"0")</f>
        <v>9.6153846153846159E-2</v>
      </c>
    </row>
    <row r="437" spans="1:68" ht="16.5" customHeight="1" x14ac:dyDescent="0.25">
      <c r="A437" s="54" t="s">
        <v>672</v>
      </c>
      <c r="B437" s="54" t="s">
        <v>673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671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customHeight="1" x14ac:dyDescent="0.25">
      <c r="A438" s="54" t="s">
        <v>674</v>
      </c>
      <c r="B438" s="54" t="s">
        <v>675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6.93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671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2" t="s">
        <v>71</v>
      </c>
      <c r="Q439" s="563"/>
      <c r="R439" s="563"/>
      <c r="S439" s="563"/>
      <c r="T439" s="563"/>
      <c r="U439" s="563"/>
      <c r="V439" s="564"/>
      <c r="W439" s="37" t="s">
        <v>72</v>
      </c>
      <c r="X439" s="545">
        <f>IFERROR(X436/H436,"0")+IFERROR(X437/H437,"0")+IFERROR(X438/H438,"0")</f>
        <v>9.0909090909090899</v>
      </c>
      <c r="Y439" s="545">
        <f>IFERROR(Y436/H436,"0")+IFERROR(Y437/H437,"0")+IFERROR(Y438/H438,"0")</f>
        <v>10</v>
      </c>
      <c r="Z439" s="545">
        <f>IFERROR(IF(Z436="",0,Z436),"0")+IFERROR(IF(Z437="",0,Z437),"0")+IFERROR(IF(Z438="",0,Z438),"0")</f>
        <v>0.1196</v>
      </c>
      <c r="AA439" s="546"/>
      <c r="AB439" s="546"/>
      <c r="AC439" s="546"/>
    </row>
    <row r="440" spans="1:68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2" t="s">
        <v>71</v>
      </c>
      <c r="Q440" s="563"/>
      <c r="R440" s="563"/>
      <c r="S440" s="563"/>
      <c r="T440" s="563"/>
      <c r="U440" s="563"/>
      <c r="V440" s="564"/>
      <c r="W440" s="37" t="s">
        <v>69</v>
      </c>
      <c r="X440" s="545">
        <f>IFERROR(SUM(X436:X438),"0")</f>
        <v>48</v>
      </c>
      <c r="Y440" s="545">
        <f>IFERROR(SUM(Y436:Y438),"0")</f>
        <v>52.800000000000004</v>
      </c>
      <c r="Z440" s="37"/>
      <c r="AA440" s="546"/>
      <c r="AB440" s="546"/>
      <c r="AC440" s="546"/>
    </row>
    <row r="441" spans="1:68" ht="14.25" customHeight="1" x14ac:dyDescent="0.25">
      <c r="A441" s="558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customHeight="1" x14ac:dyDescent="0.25">
      <c r="A442" s="54" t="s">
        <v>676</v>
      </c>
      <c r="B442" s="54" t="s">
        <v>677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5.64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12</v>
      </c>
      <c r="Y442" s="544">
        <f t="shared" ref="Y442:Y447" si="53">IFERROR(IF(X442="",0,CEILING((X442/$H442),1)*$H442),"")</f>
        <v>15.84</v>
      </c>
      <c r="Z442" s="36">
        <f>IFERROR(IF(Y442=0,"",ROUNDUP(Y442/H442,0)*0.01196),"")</f>
        <v>3.5880000000000002E-2</v>
      </c>
      <c r="AA442" s="56"/>
      <c r="AB442" s="57"/>
      <c r="AC442" s="491" t="s">
        <v>678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12.818181818181817</v>
      </c>
      <c r="BN442" s="64">
        <f t="shared" ref="BN442:BN447" si="55">IFERROR(Y442*I442/H442,"0")</f>
        <v>16.919999999999998</v>
      </c>
      <c r="BO442" s="64">
        <f t="shared" ref="BO442:BO447" si="56">IFERROR(1/J442*(X442/H442),"0")</f>
        <v>2.1853146853146852E-2</v>
      </c>
      <c r="BP442" s="64">
        <f t="shared" ref="BP442:BP447" si="57">IFERROR(1/J442*(Y442/H442),"0")</f>
        <v>2.8846153846153848E-2</v>
      </c>
    </row>
    <row r="443" spans="1:68" ht="27" customHeight="1" x14ac:dyDescent="0.25">
      <c r="A443" s="54" t="s">
        <v>679</v>
      </c>
      <c r="B443" s="54" t="s">
        <v>680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5.64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20</v>
      </c>
      <c r="Y443" s="544">
        <f t="shared" si="53"/>
        <v>21.12</v>
      </c>
      <c r="Z443" s="36">
        <f>IFERROR(IF(Y443=0,"",ROUNDUP(Y443/H443,0)*0.01196),"")</f>
        <v>4.7840000000000001E-2</v>
      </c>
      <c r="AA443" s="56"/>
      <c r="AB443" s="57"/>
      <c r="AC443" s="493" t="s">
        <v>681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21.363636363636363</v>
      </c>
      <c r="BN443" s="64">
        <f t="shared" si="55"/>
        <v>22.56</v>
      </c>
      <c r="BO443" s="64">
        <f t="shared" si="56"/>
        <v>3.6421911421911424E-2</v>
      </c>
      <c r="BP443" s="64">
        <f t="shared" si="57"/>
        <v>3.8461538461538464E-2</v>
      </c>
    </row>
    <row r="444" spans="1:68" ht="27" customHeight="1" x14ac:dyDescent="0.25">
      <c r="A444" s="54" t="s">
        <v>682</v>
      </c>
      <c r="B444" s="54" t="s">
        <v>683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5.64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89</v>
      </c>
      <c r="Y444" s="544">
        <f t="shared" si="53"/>
        <v>89.76</v>
      </c>
      <c r="Z444" s="36">
        <f>IFERROR(IF(Y444=0,"",ROUNDUP(Y444/H444,0)*0.01196),"")</f>
        <v>0.20332</v>
      </c>
      <c r="AA444" s="56"/>
      <c r="AB444" s="57"/>
      <c r="AC444" s="495" t="s">
        <v>684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95.068181818181813</v>
      </c>
      <c r="BN444" s="64">
        <f t="shared" si="55"/>
        <v>95.88</v>
      </c>
      <c r="BO444" s="64">
        <f t="shared" si="56"/>
        <v>0.16207750582750582</v>
      </c>
      <c r="BP444" s="64">
        <f t="shared" si="57"/>
        <v>0.16346153846153846</v>
      </c>
    </row>
    <row r="445" spans="1:68" ht="27" customHeight="1" x14ac:dyDescent="0.25">
      <c r="A445" s="54" t="s">
        <v>685</v>
      </c>
      <c r="B445" s="54" t="s">
        <v>686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6.93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8</v>
      </c>
      <c r="Y445" s="544">
        <f t="shared" si="53"/>
        <v>9.6</v>
      </c>
      <c r="Z445" s="36">
        <f>IFERROR(IF(Y445=0,"",ROUNDUP(Y445/H445,0)*0.00902),"")</f>
        <v>1.804E-2</v>
      </c>
      <c r="AA445" s="56"/>
      <c r="AB445" s="57"/>
      <c r="AC445" s="497" t="s">
        <v>678</v>
      </c>
      <c r="AG445" s="64"/>
      <c r="AJ445" s="68"/>
      <c r="AK445" s="68">
        <v>0</v>
      </c>
      <c r="BB445" s="498" t="s">
        <v>1</v>
      </c>
      <c r="BM445" s="64">
        <f t="shared" si="54"/>
        <v>11.55</v>
      </c>
      <c r="BN445" s="64">
        <f t="shared" si="55"/>
        <v>13.86</v>
      </c>
      <c r="BO445" s="64">
        <f t="shared" si="56"/>
        <v>1.2626262626262628E-2</v>
      </c>
      <c r="BP445" s="64">
        <f t="shared" si="57"/>
        <v>1.5151515151515152E-2</v>
      </c>
    </row>
    <row r="446" spans="1:68" ht="27" customHeight="1" x14ac:dyDescent="0.25">
      <c r="A446" s="54" t="s">
        <v>687</v>
      </c>
      <c r="B446" s="54" t="s">
        <v>688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6.69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3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681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customHeight="1" x14ac:dyDescent="0.25">
      <c r="A447" s="54" t="s">
        <v>689</v>
      </c>
      <c r="B447" s="54" t="s">
        <v>690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6.69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684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2" t="s">
        <v>71</v>
      </c>
      <c r="Q448" s="563"/>
      <c r="R448" s="563"/>
      <c r="S448" s="563"/>
      <c r="T448" s="563"/>
      <c r="U448" s="563"/>
      <c r="V448" s="564"/>
      <c r="W448" s="37" t="s">
        <v>72</v>
      </c>
      <c r="X448" s="545">
        <f>IFERROR(X442/H442,"0")+IFERROR(X443/H443,"0")+IFERROR(X444/H444,"0")+IFERROR(X445/H445,"0")+IFERROR(X446/H446,"0")+IFERROR(X447/H447,"0")</f>
        <v>24.583333333333332</v>
      </c>
      <c r="Y448" s="545">
        <f>IFERROR(Y442/H442,"0")+IFERROR(Y443/H443,"0")+IFERROR(Y444/H444,"0")+IFERROR(Y445/H445,"0")+IFERROR(Y446/H446,"0")+IFERROR(Y447/H447,"0")</f>
        <v>26</v>
      </c>
      <c r="Z448" s="545">
        <f>IFERROR(IF(Z442="",0,Z442),"0")+IFERROR(IF(Z443="",0,Z443),"0")+IFERROR(IF(Z444="",0,Z444),"0")+IFERROR(IF(Z445="",0,Z445),"0")+IFERROR(IF(Z446="",0,Z446),"0")+IFERROR(IF(Z447="",0,Z447),"0")</f>
        <v>0.30508000000000002</v>
      </c>
      <c r="AA448" s="546"/>
      <c r="AB448" s="546"/>
      <c r="AC448" s="546"/>
    </row>
    <row r="449" spans="1:68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2" t="s">
        <v>71</v>
      </c>
      <c r="Q449" s="563"/>
      <c r="R449" s="563"/>
      <c r="S449" s="563"/>
      <c r="T449" s="563"/>
      <c r="U449" s="563"/>
      <c r="V449" s="564"/>
      <c r="W449" s="37" t="s">
        <v>69</v>
      </c>
      <c r="X449" s="545">
        <f>IFERROR(SUM(X442:X447),"0")</f>
        <v>129</v>
      </c>
      <c r="Y449" s="545">
        <f>IFERROR(SUM(Y442:Y447),"0")</f>
        <v>136.32</v>
      </c>
      <c r="Z449" s="37"/>
      <c r="AA449" s="546"/>
      <c r="AB449" s="546"/>
      <c r="AC449" s="546"/>
    </row>
    <row r="450" spans="1:68" ht="14.25" customHeight="1" x14ac:dyDescent="0.25">
      <c r="A450" s="558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customHeight="1" x14ac:dyDescent="0.25">
      <c r="A451" s="54" t="s">
        <v>691</v>
      </c>
      <c r="B451" s="54" t="s">
        <v>692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8.3010000000000002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693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customHeight="1" x14ac:dyDescent="0.25">
      <c r="A452" s="54" t="s">
        <v>694</v>
      </c>
      <c r="B452" s="54" t="s">
        <v>695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8.3010000000000002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83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696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customHeight="1" x14ac:dyDescent="0.25">
      <c r="A453" s="54" t="s">
        <v>697</v>
      </c>
      <c r="B453" s="54" t="s">
        <v>698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699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2" t="s">
        <v>71</v>
      </c>
      <c r="Q454" s="563"/>
      <c r="R454" s="563"/>
      <c r="S454" s="563"/>
      <c r="T454" s="563"/>
      <c r="U454" s="563"/>
      <c r="V454" s="564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2" t="s">
        <v>71</v>
      </c>
      <c r="Q455" s="563"/>
      <c r="R455" s="563"/>
      <c r="S455" s="563"/>
      <c r="T455" s="563"/>
      <c r="U455" s="563"/>
      <c r="V455" s="564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customHeight="1" x14ac:dyDescent="0.2">
      <c r="A456" s="566" t="s">
        <v>700</v>
      </c>
      <c r="B456" s="567"/>
      <c r="C456" s="567"/>
      <c r="D456" s="567"/>
      <c r="E456" s="567"/>
      <c r="F456" s="567"/>
      <c r="G456" s="567"/>
      <c r="H456" s="567"/>
      <c r="I456" s="567"/>
      <c r="J456" s="567"/>
      <c r="K456" s="567"/>
      <c r="L456" s="567"/>
      <c r="M456" s="567"/>
      <c r="N456" s="567"/>
      <c r="O456" s="567"/>
      <c r="P456" s="567"/>
      <c r="Q456" s="567"/>
      <c r="R456" s="567"/>
      <c r="S456" s="567"/>
      <c r="T456" s="567"/>
      <c r="U456" s="567"/>
      <c r="V456" s="567"/>
      <c r="W456" s="567"/>
      <c r="X456" s="567"/>
      <c r="Y456" s="567"/>
      <c r="Z456" s="567"/>
      <c r="AA456" s="48"/>
      <c r="AB456" s="48"/>
      <c r="AC456" s="48"/>
    </row>
    <row r="457" spans="1:68" ht="16.5" customHeight="1" x14ac:dyDescent="0.25">
      <c r="A457" s="559" t="s">
        <v>700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customHeight="1" x14ac:dyDescent="0.25">
      <c r="A458" s="558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customHeight="1" x14ac:dyDescent="0.25">
      <c r="A459" s="54" t="s">
        <v>701</v>
      </c>
      <c r="B459" s="54" t="s">
        <v>702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11.234999999999999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5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703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704</v>
      </c>
      <c r="B460" s="54" t="s">
        <v>705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12.435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707</v>
      </c>
      <c r="B461" s="54" t="s">
        <v>708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12.435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709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710</v>
      </c>
      <c r="B462" s="54" t="s">
        <v>711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4.21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703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2" t="s">
        <v>71</v>
      </c>
      <c r="Q463" s="563"/>
      <c r="R463" s="563"/>
      <c r="S463" s="563"/>
      <c r="T463" s="563"/>
      <c r="U463" s="563"/>
      <c r="V463" s="564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2" t="s">
        <v>71</v>
      </c>
      <c r="Q464" s="563"/>
      <c r="R464" s="563"/>
      <c r="S464" s="563"/>
      <c r="T464" s="563"/>
      <c r="U464" s="563"/>
      <c r="V464" s="564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customHeight="1" x14ac:dyDescent="0.25">
      <c r="A465" s="558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customHeight="1" x14ac:dyDescent="0.25">
      <c r="A466" s="54" t="s">
        <v>712</v>
      </c>
      <c r="B466" s="54" t="s">
        <v>713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12.435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714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715</v>
      </c>
      <c r="B467" s="54" t="s">
        <v>716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11.234999999999999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7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717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718</v>
      </c>
      <c r="B468" s="54" t="s">
        <v>719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4.21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720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2" t="s">
        <v>71</v>
      </c>
      <c r="Q469" s="563"/>
      <c r="R469" s="563"/>
      <c r="S469" s="563"/>
      <c r="T469" s="563"/>
      <c r="U469" s="563"/>
      <c r="V469" s="564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2" t="s">
        <v>71</v>
      </c>
      <c r="Q470" s="563"/>
      <c r="R470" s="563"/>
      <c r="S470" s="563"/>
      <c r="T470" s="563"/>
      <c r="U470" s="563"/>
      <c r="V470" s="564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customHeight="1" x14ac:dyDescent="0.25">
      <c r="A471" s="558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customHeight="1" x14ac:dyDescent="0.25">
      <c r="A472" s="54" t="s">
        <v>721</v>
      </c>
      <c r="B472" s="54" t="s">
        <v>722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4.47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2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723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724</v>
      </c>
      <c r="B473" s="54" t="s">
        <v>725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4.47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1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40</v>
      </c>
      <c r="Y473" s="544">
        <f>IFERROR(IF(X473="",0,CEILING((X473/$H473),1)*$H473),"")</f>
        <v>42</v>
      </c>
      <c r="Z473" s="36">
        <f>IFERROR(IF(Y473=0,"",ROUNDUP(Y473/H473,0)*0.00902),"")</f>
        <v>9.0200000000000002E-2</v>
      </c>
      <c r="AA473" s="56"/>
      <c r="AB473" s="57"/>
      <c r="AC473" s="525" t="s">
        <v>726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42.571428571428562</v>
      </c>
      <c r="BN473" s="64">
        <f>IFERROR(Y473*I473/H473,"0")</f>
        <v>44.699999999999996</v>
      </c>
      <c r="BO473" s="64">
        <f>IFERROR(1/J473*(X473/H473),"0")</f>
        <v>7.2150072150072145E-2</v>
      </c>
      <c r="BP473" s="64">
        <f>IFERROR(1/J473*(Y473/H473),"0")</f>
        <v>7.575757575757576E-2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2" t="s">
        <v>71</v>
      </c>
      <c r="Q474" s="563"/>
      <c r="R474" s="563"/>
      <c r="S474" s="563"/>
      <c r="T474" s="563"/>
      <c r="U474" s="563"/>
      <c r="V474" s="564"/>
      <c r="W474" s="37" t="s">
        <v>72</v>
      </c>
      <c r="X474" s="545">
        <f>IFERROR(X472/H472,"0")+IFERROR(X473/H473,"0")</f>
        <v>9.5238095238095237</v>
      </c>
      <c r="Y474" s="545">
        <f>IFERROR(Y472/H472,"0")+IFERROR(Y473/H473,"0")</f>
        <v>10</v>
      </c>
      <c r="Z474" s="545">
        <f>IFERROR(IF(Z472="",0,Z472),"0")+IFERROR(IF(Z473="",0,Z473),"0")</f>
        <v>9.0200000000000002E-2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2" t="s">
        <v>71</v>
      </c>
      <c r="Q475" s="563"/>
      <c r="R475" s="563"/>
      <c r="S475" s="563"/>
      <c r="T475" s="563"/>
      <c r="U475" s="563"/>
      <c r="V475" s="564"/>
      <c r="W475" s="37" t="s">
        <v>69</v>
      </c>
      <c r="X475" s="545">
        <f>IFERROR(SUM(X472:X473),"0")</f>
        <v>40</v>
      </c>
      <c r="Y475" s="545">
        <f>IFERROR(SUM(Y472:Y473),"0")</f>
        <v>42</v>
      </c>
      <c r="Z475" s="37"/>
      <c r="AA475" s="546"/>
      <c r="AB475" s="546"/>
      <c r="AC475" s="546"/>
    </row>
    <row r="476" spans="1:68" ht="14.25" customHeight="1" x14ac:dyDescent="0.25">
      <c r="A476" s="558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customHeight="1" x14ac:dyDescent="0.25">
      <c r="A477" s="54" t="s">
        <v>727</v>
      </c>
      <c r="B477" s="54" t="s">
        <v>728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9.5190000000000001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729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2" t="s">
        <v>71</v>
      </c>
      <c r="Q478" s="563"/>
      <c r="R478" s="563"/>
      <c r="S478" s="563"/>
      <c r="T478" s="563"/>
      <c r="U478" s="563"/>
      <c r="V478" s="564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2" t="s">
        <v>71</v>
      </c>
      <c r="Q479" s="563"/>
      <c r="R479" s="563"/>
      <c r="S479" s="563"/>
      <c r="T479" s="563"/>
      <c r="U479" s="563"/>
      <c r="V479" s="564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customHeight="1" x14ac:dyDescent="0.25">
      <c r="A480" s="558" t="s">
        <v>166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customHeight="1" x14ac:dyDescent="0.25">
      <c r="A481" s="54" t="s">
        <v>730</v>
      </c>
      <c r="B481" s="54" t="s">
        <v>731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9.4350000000000005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732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customHeight="1" x14ac:dyDescent="0.25">
      <c r="A482" s="54" t="s">
        <v>733</v>
      </c>
      <c r="B482" s="54" t="s">
        <v>734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9.4350000000000005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735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2" t="s">
        <v>71</v>
      </c>
      <c r="Q483" s="563"/>
      <c r="R483" s="563"/>
      <c r="S483" s="563"/>
      <c r="T483" s="563"/>
      <c r="U483" s="563"/>
      <c r="V483" s="564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2" t="s">
        <v>71</v>
      </c>
      <c r="Q484" s="563"/>
      <c r="R484" s="563"/>
      <c r="S484" s="563"/>
      <c r="T484" s="563"/>
      <c r="U484" s="563"/>
      <c r="V484" s="564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customHeight="1" x14ac:dyDescent="0.25">
      <c r="A485" s="559" t="s">
        <v>736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customHeight="1" x14ac:dyDescent="0.25">
      <c r="A486" s="558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customHeight="1" x14ac:dyDescent="0.25">
      <c r="A487" s="54" t="s">
        <v>737</v>
      </c>
      <c r="B487" s="54" t="s">
        <v>738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12.435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739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2" t="s">
        <v>71</v>
      </c>
      <c r="Q488" s="563"/>
      <c r="R488" s="563"/>
      <c r="S488" s="563"/>
      <c r="T488" s="563"/>
      <c r="U488" s="563"/>
      <c r="V488" s="564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2" t="s">
        <v>71</v>
      </c>
      <c r="Q489" s="563"/>
      <c r="R489" s="563"/>
      <c r="S489" s="563"/>
      <c r="T489" s="563"/>
      <c r="U489" s="563"/>
      <c r="V489" s="564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1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09"/>
      <c r="P490" s="642" t="s">
        <v>740</v>
      </c>
      <c r="Q490" s="643"/>
      <c r="R490" s="643"/>
      <c r="S490" s="643"/>
      <c r="T490" s="643"/>
      <c r="U490" s="643"/>
      <c r="V490" s="644"/>
      <c r="W490" s="37" t="s">
        <v>69</v>
      </c>
      <c r="X490" s="545">
        <f>IFERROR(X24+X32+X36+X44+X48+X58+X64+X70+X78+X83+X90+X97+X105+X111+X118+X122+X128+X133+X138+X145+X151+X155+X161+X173+X179+X183+X189+X194+X205+X217+X222+X236+X240+X244+X252+X261+X269+X276+X282+X286+X296+X306+X314+X320+X327+X333+X340+X352+X357+X362+X366+X372+X377+X382+X396+X401+X406+X413+X418+X434+X440+X449+X455+X464+X470+X475+X479+X484+X489,"0")</f>
        <v>9031</v>
      </c>
      <c r="Y490" s="545">
        <f>IFERROR(Y24+Y32+Y36+Y44+Y48+Y58+Y64+Y70+Y78+Y83+Y90+Y97+Y105+Y111+Y118+Y122+Y128+Y133+Y138+Y145+Y151+Y155+Y161+Y173+Y179+Y183+Y189+Y194+Y205+Y217+Y222+Y236+Y240+Y244+Y252+Y261+Y269+Y276+Y282+Y286+Y296+Y306+Y314+Y320+Y327+Y333+Y340+Y352+Y357+Y362+Y366+Y372+Y377+Y382+Y396+Y401+Y406+Y413+Y418+Y434+Y440+Y449+Y455+Y464+Y470+Y475+Y479+Y484+Y489,"0")</f>
        <v>9176.9600000000009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09"/>
      <c r="P491" s="642" t="s">
        <v>741</v>
      </c>
      <c r="Q491" s="643"/>
      <c r="R491" s="643"/>
      <c r="S491" s="643"/>
      <c r="T491" s="643"/>
      <c r="U491" s="643"/>
      <c r="V491" s="644"/>
      <c r="W491" s="37" t="s">
        <v>69</v>
      </c>
      <c r="X491" s="545">
        <f>IFERROR(SUM(BM22:BM487),"0")</f>
        <v>9598.6755772283286</v>
      </c>
      <c r="Y491" s="545">
        <f>IFERROR(SUM(BN22:BN487),"0")</f>
        <v>9754.6090000000004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09"/>
      <c r="P492" s="642" t="s">
        <v>742</v>
      </c>
      <c r="Q492" s="643"/>
      <c r="R492" s="643"/>
      <c r="S492" s="643"/>
      <c r="T492" s="643"/>
      <c r="U492" s="643"/>
      <c r="V492" s="644"/>
      <c r="W492" s="37" t="s">
        <v>743</v>
      </c>
      <c r="X492" s="38">
        <f>ROUNDUP(SUM(BO22:BO487),0)</f>
        <v>17</v>
      </c>
      <c r="Y492" s="38">
        <f>ROUNDUP(SUM(BP22:BP487),0)</f>
        <v>17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09"/>
      <c r="P493" s="642" t="s">
        <v>744</v>
      </c>
      <c r="Q493" s="643"/>
      <c r="R493" s="643"/>
      <c r="S493" s="643"/>
      <c r="T493" s="643"/>
      <c r="U493" s="643"/>
      <c r="V493" s="644"/>
      <c r="W493" s="37" t="s">
        <v>69</v>
      </c>
      <c r="X493" s="545">
        <f>GrossWeightTotal+PalletQtyTotal*25</f>
        <v>10023.675577228329</v>
      </c>
      <c r="Y493" s="545">
        <f>GrossWeightTotalR+PalletQtyTotalR*25</f>
        <v>10179.609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09"/>
      <c r="P494" s="642" t="s">
        <v>745</v>
      </c>
      <c r="Q494" s="643"/>
      <c r="R494" s="643"/>
      <c r="S494" s="643"/>
      <c r="T494" s="643"/>
      <c r="U494" s="643"/>
      <c r="V494" s="644"/>
      <c r="W494" s="37" t="s">
        <v>743</v>
      </c>
      <c r="X494" s="545">
        <f>IFERROR(X23+X31+X35+X43+X47+X57+X63+X69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2140.5768074518073</v>
      </c>
      <c r="Y494" s="545">
        <f>IFERROR(Y23+Y31+Y35+Y43+Y47+Y57+Y63+Y69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2174</v>
      </c>
      <c r="Z494" s="37"/>
      <c r="AA494" s="546"/>
      <c r="AB494" s="546"/>
      <c r="AC494" s="546"/>
    </row>
    <row r="495" spans="1:68" ht="14.25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09"/>
      <c r="P495" s="642" t="s">
        <v>746</v>
      </c>
      <c r="Q495" s="643"/>
      <c r="R495" s="643"/>
      <c r="S495" s="643"/>
      <c r="T495" s="643"/>
      <c r="U495" s="643"/>
      <c r="V495" s="644"/>
      <c r="W495" s="39" t="s">
        <v>747</v>
      </c>
      <c r="X495" s="37"/>
      <c r="Y495" s="37"/>
      <c r="Z495" s="37">
        <f>IFERROR(Z23+Z31+Z35+Z43+Z47+Z57+Z63+Z69+Z77+Z82+Z89+Z96+Z104+Z110+Z117+Z121+Z127+Z132+Z137+Z144+Z150+Z154+Z160+Z172+Z178+Z182+Z188+Z193+Z204+Z216+Z221+Z235+Z239+Z243+Z251+Z260+Z268+Z275+Z281+Z285+Z295+Z305+Z313+Z319+Z326+Z332+Z339+Z351+Z356+Z361+Z365+Z371+Z376+Z381+Z395+Z400+Z405+Z412+Z417+Z433+Z439+Z448+Z454+Z463+Z469+Z474+Z478+Z483+Z488,"0")</f>
        <v>20.021089999999997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748</v>
      </c>
      <c r="B497" s="540" t="s">
        <v>63</v>
      </c>
      <c r="C497" s="595" t="s">
        <v>99</v>
      </c>
      <c r="D497" s="598"/>
      <c r="E497" s="598"/>
      <c r="F497" s="598"/>
      <c r="G497" s="598"/>
      <c r="H497" s="599"/>
      <c r="I497" s="595" t="s">
        <v>257</v>
      </c>
      <c r="J497" s="598"/>
      <c r="K497" s="598"/>
      <c r="L497" s="598"/>
      <c r="M497" s="598"/>
      <c r="N497" s="598"/>
      <c r="O497" s="598"/>
      <c r="P497" s="598"/>
      <c r="Q497" s="598"/>
      <c r="R497" s="599"/>
      <c r="S497" s="595" t="s">
        <v>538</v>
      </c>
      <c r="T497" s="599"/>
      <c r="U497" s="595" t="s">
        <v>589</v>
      </c>
      <c r="V497" s="598"/>
      <c r="W497" s="599"/>
      <c r="X497" s="540" t="s">
        <v>640</v>
      </c>
      <c r="Y497" s="595" t="s">
        <v>700</v>
      </c>
      <c r="Z497" s="599"/>
      <c r="AB497" s="52"/>
      <c r="AC497" s="52"/>
      <c r="AF497" s="541"/>
    </row>
    <row r="498" spans="1:32" ht="14.25" customHeight="1" thickTop="1" x14ac:dyDescent="0.2">
      <c r="A498" s="611" t="s">
        <v>749</v>
      </c>
      <c r="B498" s="595" t="s">
        <v>63</v>
      </c>
      <c r="C498" s="595" t="s">
        <v>100</v>
      </c>
      <c r="D498" s="595" t="s">
        <v>117</v>
      </c>
      <c r="E498" s="595" t="s">
        <v>173</v>
      </c>
      <c r="F498" s="595" t="s">
        <v>192</v>
      </c>
      <c r="G498" s="595" t="s">
        <v>222</v>
      </c>
      <c r="H498" s="595" t="s">
        <v>99</v>
      </c>
      <c r="I498" s="595" t="s">
        <v>258</v>
      </c>
      <c r="J498" s="595" t="s">
        <v>299</v>
      </c>
      <c r="K498" s="595" t="s">
        <v>359</v>
      </c>
      <c r="L498" s="595" t="s">
        <v>401</v>
      </c>
      <c r="M498" s="595" t="s">
        <v>417</v>
      </c>
      <c r="N498" s="541"/>
      <c r="O498" s="595" t="s">
        <v>428</v>
      </c>
      <c r="P498" s="595" t="s">
        <v>437</v>
      </c>
      <c r="Q498" s="595" t="s">
        <v>447</v>
      </c>
      <c r="R498" s="595" t="s">
        <v>528</v>
      </c>
      <c r="S498" s="595" t="s">
        <v>539</v>
      </c>
      <c r="T498" s="595" t="s">
        <v>573</v>
      </c>
      <c r="U498" s="595" t="s">
        <v>590</v>
      </c>
      <c r="V498" s="595" t="s">
        <v>621</v>
      </c>
      <c r="W498" s="595" t="s">
        <v>636</v>
      </c>
      <c r="X498" s="595" t="s">
        <v>640</v>
      </c>
      <c r="Y498" s="595" t="s">
        <v>700</v>
      </c>
      <c r="Z498" s="595" t="s">
        <v>736</v>
      </c>
      <c r="AB498" s="52"/>
      <c r="AC498" s="52"/>
      <c r="AF498" s="541"/>
    </row>
    <row r="499" spans="1:32" ht="13.5" customHeight="1" thickBot="1" x14ac:dyDescent="0.25">
      <c r="A499" s="612"/>
      <c r="B499" s="596"/>
      <c r="C499" s="596"/>
      <c r="D499" s="596"/>
      <c r="E499" s="596"/>
      <c r="F499" s="596"/>
      <c r="G499" s="596"/>
      <c r="H499" s="596"/>
      <c r="I499" s="596"/>
      <c r="J499" s="596"/>
      <c r="K499" s="596"/>
      <c r="L499" s="596"/>
      <c r="M499" s="596"/>
      <c r="N499" s="541"/>
      <c r="O499" s="596"/>
      <c r="P499" s="596"/>
      <c r="Q499" s="596"/>
      <c r="R499" s="596"/>
      <c r="S499" s="596"/>
      <c r="T499" s="596"/>
      <c r="U499" s="596"/>
      <c r="V499" s="596"/>
      <c r="W499" s="596"/>
      <c r="X499" s="596"/>
      <c r="Y499" s="596"/>
      <c r="Z499" s="596"/>
      <c r="AB499" s="52"/>
      <c r="AC499" s="52"/>
      <c r="AF499" s="541"/>
    </row>
    <row r="500" spans="1:32" ht="18" customHeight="1" thickTop="1" thickBot="1" x14ac:dyDescent="0.25">
      <c r="A500" s="40" t="s">
        <v>750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460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76*1,"0")+IFERROR(Y80*1,"0")+IFERROR(Y81*1,"0")</f>
        <v>1266.3000000000002</v>
      </c>
      <c r="E500" s="46">
        <f>IFERROR(Y86*1,"0")+IFERROR(Y87*1,"0")+IFERROR(Y88*1,"0")+IFERROR(Y92*1,"0")+IFERROR(Y93*1,"0")+IFERROR(Y94*1,"0")+IFERROR(Y95*1,"0")</f>
        <v>517.31999999999994</v>
      </c>
      <c r="F500" s="46">
        <f>IFERROR(Y100*1,"0")+IFERROR(Y101*1,"0")+IFERROR(Y102*1,"0")+IFERROR(Y103*1,"0")+IFERROR(Y107*1,"0")+IFERROR(Y108*1,"0")+IFERROR(Y109*1,"0")+IFERROR(Y113*1,"0")+IFERROR(Y114*1,"0")+IFERROR(Y115*1,"0")+IFERROR(Y116*1,"0")+IFERROR(Y120*1,"0")</f>
        <v>610.65</v>
      </c>
      <c r="G500" s="46">
        <f>IFERROR(Y125*1,"0")+IFERROR(Y126*1,"0")+IFERROR(Y130*1,"0")+IFERROR(Y131*1,"0")+IFERROR(Y135*1,"0")+IFERROR(Y136*1,"0")</f>
        <v>123.28000000000002</v>
      </c>
      <c r="H500" s="46">
        <f>IFERROR(Y141*1,"0")+IFERROR(Y142*1,"0")+IFERROR(Y143*1,"0")+IFERROR(Y147*1,"0")+IFERROR(Y148*1,"0")+IFERROR(Y149*1,"0")+IFERROR(Y153*1,"0")</f>
        <v>203</v>
      </c>
      <c r="I500" s="46">
        <f>IFERROR(Y159*1,"0")+IFERROR(Y163*1,"0")+IFERROR(Y164*1,"0")+IFERROR(Y165*1,"0")+IFERROR(Y166*1,"0")+IFERROR(Y167*1,"0")+IFERROR(Y168*1,"0")+IFERROR(Y169*1,"0")+IFERROR(Y170*1,"0")+IFERROR(Y171*1,"0")+IFERROR(Y175*1,"0")+IFERROR(Y176*1,"0")+IFERROR(Y177*1,"0")+IFERROR(Y181*1,"0")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607.7399999999999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802.8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4.95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26.4</v>
      </c>
      <c r="P500" s="46">
        <f>IFERROR(Y279*1,"0")+IFERROR(Y280*1,"0")+IFERROR(Y284*1,"0")</f>
        <v>0</v>
      </c>
      <c r="Q500" s="46">
        <f>IFERROR(Y289*1,"0")+IFERROR(Y290*1,"0")+IFERROR(Y291*1,"0")+IFERROR(Y292*1,"0")+IFERROR(Y293*1,"0")+IFERROR(Y294*1,"0")+IFERROR(Y298*1,"0")+IFERROR(Y299*1,"0")+IFERROR(Y300*1,"0")+IFERROR(Y301*1,"0")+IFERROR(Y302*1,"0")+IFERROR(Y303*1,"0")+IFERROR(Y304*1,"0")+IFERROR(Y308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2660.3</v>
      </c>
      <c r="R500" s="46">
        <f>IFERROR(Y336*1,"0")+IFERROR(Y337*1,"0")+IFERROR(Y338*1,"0")</f>
        <v>394.80000000000007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1022</v>
      </c>
      <c r="T500" s="46">
        <f>IFERROR(Y369*1,"0")+IFERROR(Y370*1,"0")+IFERROR(Y374*1,"0")+IFERROR(Y375*1,"0")+IFERROR(Y379*1,"0")+IFERROR(Y380*1,"0")</f>
        <v>172.2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2.1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261.12000000000006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42</v>
      </c>
      <c r="Z500" s="46">
        <f>IFERROR(Y487*1,"0")</f>
        <v>0</v>
      </c>
      <c r="AB500" s="52"/>
      <c r="AC500" s="52"/>
      <c r="AF500" s="541"/>
    </row>
  </sheetData>
  <sheetProtection algorithmName="SHA-512" hashValue="4efQlcu9ET08ur9i+bDHog3waEsrvZbLNN6te4paXSV0K/HuWkwVDF5kw1GQg5AERwQHnL9uAYwGtXQUUtLDEg==" saltValue="TJqi8uokMy2z8VoYIS5d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8:C8"/>
    <mergeCell ref="P360:T360"/>
    <mergeCell ref="P138:V138"/>
    <mergeCell ref="A137:O138"/>
    <mergeCell ref="A268:O269"/>
    <mergeCell ref="A10:C10"/>
    <mergeCell ref="P126:T126"/>
    <mergeCell ref="P361:V361"/>
    <mergeCell ref="P69:V69"/>
    <mergeCell ref="A21:Z21"/>
    <mergeCell ref="A129:Z129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D250:E250"/>
    <mergeCell ref="A188:O189"/>
    <mergeCell ref="X17:X18"/>
    <mergeCell ref="P216:V216"/>
    <mergeCell ref="V12:W12"/>
    <mergeCell ref="D191:E191"/>
    <mergeCell ref="P122:V122"/>
    <mergeCell ref="A245:Z245"/>
    <mergeCell ref="P43:V43"/>
    <mergeCell ref="A39:Z39"/>
    <mergeCell ref="P285:V285"/>
    <mergeCell ref="P60:T60"/>
    <mergeCell ref="D291:E291"/>
    <mergeCell ref="D266:E266"/>
    <mergeCell ref="P149:T149"/>
    <mergeCell ref="D95:E95"/>
    <mergeCell ref="Y17:Y18"/>
    <mergeCell ref="A260:O261"/>
    <mergeCell ref="U17:V17"/>
    <mergeCell ref="Q5:R5"/>
    <mergeCell ref="N17:N18"/>
    <mergeCell ref="P370:T370"/>
    <mergeCell ref="D242:E242"/>
    <mergeCell ref="A315:Z315"/>
    <mergeCell ref="P199:T199"/>
    <mergeCell ref="D120:E120"/>
    <mergeCell ref="F17:F18"/>
    <mergeCell ref="D107:E107"/>
    <mergeCell ref="P291:T291"/>
    <mergeCell ref="D163:E163"/>
    <mergeCell ref="D234:E234"/>
    <mergeCell ref="P136:T136"/>
    <mergeCell ref="P305:V305"/>
    <mergeCell ref="P228:T228"/>
    <mergeCell ref="D171:E171"/>
    <mergeCell ref="P355:T355"/>
    <mergeCell ref="D336:E336"/>
    <mergeCell ref="P293:T293"/>
    <mergeCell ref="Q6:R6"/>
    <mergeCell ref="P200:T200"/>
    <mergeCell ref="A251:O252"/>
    <mergeCell ref="P292:T292"/>
    <mergeCell ref="D102:E102"/>
    <mergeCell ref="P495:V495"/>
    <mergeCell ref="P351:V351"/>
    <mergeCell ref="P239:V239"/>
    <mergeCell ref="M498:M499"/>
    <mergeCell ref="O498:O499"/>
    <mergeCell ref="D249:E249"/>
    <mergeCell ref="A476:Z476"/>
    <mergeCell ref="D170:E170"/>
    <mergeCell ref="D468:E468"/>
    <mergeCell ref="P436:T436"/>
    <mergeCell ref="D196:E196"/>
    <mergeCell ref="P294:T294"/>
    <mergeCell ref="U497:W497"/>
    <mergeCell ref="P381:V381"/>
    <mergeCell ref="A206:Z206"/>
    <mergeCell ref="A262:Z262"/>
    <mergeCell ref="P447:T447"/>
    <mergeCell ref="P410:T410"/>
    <mergeCell ref="P372:V372"/>
    <mergeCell ref="D331:E331"/>
    <mergeCell ref="D355:E355"/>
    <mergeCell ref="D293:E293"/>
    <mergeCell ref="A415:Z415"/>
    <mergeCell ref="L498:L499"/>
    <mergeCell ref="P181:T181"/>
    <mergeCell ref="D29:E29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P132:V132"/>
    <mergeCell ref="P72:T72"/>
    <mergeCell ref="A31:O32"/>
    <mergeCell ref="A33:Z33"/>
    <mergeCell ref="P145:V145"/>
    <mergeCell ref="P23:V23"/>
    <mergeCell ref="D54:E54"/>
    <mergeCell ref="P160:V160"/>
    <mergeCell ref="P444:T444"/>
    <mergeCell ref="D408:E408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D76:E76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A326:O327"/>
    <mergeCell ref="D165:E165"/>
    <mergeCell ref="P75:T75"/>
    <mergeCell ref="P406:V406"/>
    <mergeCell ref="A106:Z106"/>
    <mergeCell ref="P62:T62"/>
    <mergeCell ref="P2:W3"/>
    <mergeCell ref="P298:T298"/>
    <mergeCell ref="D437:E437"/>
    <mergeCell ref="P369:T369"/>
    <mergeCell ref="P198:T198"/>
    <mergeCell ref="P347:T347"/>
    <mergeCell ref="A57:O58"/>
    <mergeCell ref="P54:T54"/>
    <mergeCell ref="A371:O372"/>
    <mergeCell ref="D228:E228"/>
    <mergeCell ref="D404:E404"/>
    <mergeCell ref="A23:O24"/>
    <mergeCell ref="D10:E10"/>
    <mergeCell ref="P135:T135"/>
    <mergeCell ref="P191:T191"/>
    <mergeCell ref="A121:O122"/>
    <mergeCell ref="D34:E34"/>
    <mergeCell ref="F10:G10"/>
    <mergeCell ref="P349:T349"/>
    <mergeCell ref="P78:V78"/>
    <mergeCell ref="F5:G5"/>
    <mergeCell ref="V11:W11"/>
    <mergeCell ref="P492:V492"/>
    <mergeCell ref="P286:V286"/>
    <mergeCell ref="P479:V479"/>
    <mergeCell ref="A339:O340"/>
    <mergeCell ref="M17:M18"/>
    <mergeCell ref="O17:O18"/>
    <mergeCell ref="C498:C499"/>
    <mergeCell ref="P336:T336"/>
    <mergeCell ref="E498:E499"/>
    <mergeCell ref="P494:V494"/>
    <mergeCell ref="P430:T430"/>
    <mergeCell ref="A297:Z297"/>
    <mergeCell ref="P102:T102"/>
    <mergeCell ref="P189:V189"/>
    <mergeCell ref="A185:Z185"/>
    <mergeCell ref="P196:T196"/>
    <mergeCell ref="D177:E177"/>
    <mergeCell ref="A313:O314"/>
    <mergeCell ref="P354:T354"/>
    <mergeCell ref="P352:V352"/>
    <mergeCell ref="P281:V281"/>
    <mergeCell ref="D226:E226"/>
    <mergeCell ref="D164:E164"/>
    <mergeCell ref="D462:E462"/>
    <mergeCell ref="X498:X499"/>
    <mergeCell ref="P474:V474"/>
    <mergeCell ref="Q13:R13"/>
    <mergeCell ref="P401:V401"/>
    <mergeCell ref="P268:V268"/>
    <mergeCell ref="P339:V339"/>
    <mergeCell ref="D318:E318"/>
    <mergeCell ref="D389:E389"/>
    <mergeCell ref="P201:T201"/>
    <mergeCell ref="P97:V97"/>
    <mergeCell ref="P47:V47"/>
    <mergeCell ref="P176:T176"/>
    <mergeCell ref="P247:T247"/>
    <mergeCell ref="P114:T114"/>
    <mergeCell ref="P41:T41"/>
    <mergeCell ref="A328:Z328"/>
    <mergeCell ref="A157:Z157"/>
    <mergeCell ref="A35:O36"/>
    <mergeCell ref="D149:E149"/>
    <mergeCell ref="D22:E22"/>
    <mergeCell ref="D447:E447"/>
    <mergeCell ref="A127:O128"/>
    <mergeCell ref="P301:T301"/>
    <mergeCell ref="P34:T34"/>
    <mergeCell ref="A9:C9"/>
    <mergeCell ref="P125:T125"/>
    <mergeCell ref="D202:E202"/>
    <mergeCell ref="A478:O479"/>
    <mergeCell ref="P348:T348"/>
    <mergeCell ref="D294:E294"/>
    <mergeCell ref="P323:T323"/>
    <mergeCell ref="A414:Z414"/>
    <mergeCell ref="D231:E231"/>
    <mergeCell ref="A91:Z91"/>
    <mergeCell ref="P70:V70"/>
    <mergeCell ref="A156:Z156"/>
    <mergeCell ref="P32:V32"/>
    <mergeCell ref="A400:O401"/>
    <mergeCell ref="D257:E257"/>
    <mergeCell ref="P214:T214"/>
    <mergeCell ref="D213:E213"/>
    <mergeCell ref="D86:E86"/>
    <mergeCell ref="A457:Z457"/>
    <mergeCell ref="A110:O111"/>
    <mergeCell ref="P107:T107"/>
    <mergeCell ref="P101:T101"/>
    <mergeCell ref="P63:V63"/>
    <mergeCell ref="D386:E386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A150:O151"/>
    <mergeCell ref="D299:E299"/>
    <mergeCell ref="D370:E370"/>
    <mergeCell ref="P405:V405"/>
    <mergeCell ref="P399:T399"/>
    <mergeCell ref="P413:V413"/>
    <mergeCell ref="D159:E159"/>
    <mergeCell ref="A403:Z403"/>
    <mergeCell ref="P382:V382"/>
    <mergeCell ref="P357:V357"/>
    <mergeCell ref="D459:E459"/>
    <mergeCell ref="A271:Z271"/>
    <mergeCell ref="P240:V240"/>
    <mergeCell ref="Y498:Y499"/>
    <mergeCell ref="A412:O413"/>
    <mergeCell ref="D225:E225"/>
    <mergeCell ref="P498:P499"/>
    <mergeCell ref="AB17:AB18"/>
    <mergeCell ref="I497:R497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6:M6"/>
    <mergeCell ref="P175:T175"/>
    <mergeCell ref="A85:Z85"/>
    <mergeCell ref="A278:Z278"/>
    <mergeCell ref="P460:T460"/>
    <mergeCell ref="D143:E143"/>
    <mergeCell ref="P398:T398"/>
    <mergeCell ref="P487:T487"/>
    <mergeCell ref="A235:O236"/>
    <mergeCell ref="A288:Z288"/>
    <mergeCell ref="D153:E153"/>
    <mergeCell ref="P318:T318"/>
    <mergeCell ref="P256:T256"/>
    <mergeCell ref="V6:W9"/>
    <mergeCell ref="D199:E199"/>
    <mergeCell ref="D364:E364"/>
    <mergeCell ref="P109:T109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227:T227"/>
    <mergeCell ref="AA17:AA18"/>
    <mergeCell ref="H10:M10"/>
    <mergeCell ref="AC17:AC18"/>
    <mergeCell ref="P279:T279"/>
    <mergeCell ref="A420:Z420"/>
    <mergeCell ref="P472:T472"/>
    <mergeCell ref="D393:E393"/>
    <mergeCell ref="A224:Z224"/>
    <mergeCell ref="P108:T108"/>
    <mergeCell ref="A104:O105"/>
    <mergeCell ref="A435:Z435"/>
    <mergeCell ref="P177:T177"/>
    <mergeCell ref="P93:T93"/>
    <mergeCell ref="P57:V57"/>
    <mergeCell ref="G17:G18"/>
    <mergeCell ref="P121:V121"/>
    <mergeCell ref="D80:E80"/>
    <mergeCell ref="P130:T130"/>
    <mergeCell ref="D136:E136"/>
    <mergeCell ref="P46:T46"/>
    <mergeCell ref="P409:T409"/>
    <mergeCell ref="D461:E461"/>
    <mergeCell ref="P61:T61"/>
    <mergeCell ref="D200:E200"/>
    <mergeCell ref="H17:H18"/>
    <mergeCell ref="A146:Z146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D298:E298"/>
    <mergeCell ref="D181:E181"/>
    <mergeCell ref="A221:O222"/>
    <mergeCell ref="A158:Z158"/>
    <mergeCell ref="D273:E273"/>
    <mergeCell ref="P252:V252"/>
    <mergeCell ref="P105:V105"/>
    <mergeCell ref="P366:V366"/>
    <mergeCell ref="A144:O145"/>
    <mergeCell ref="P212:T212"/>
    <mergeCell ref="P359:T359"/>
    <mergeCell ref="A178:O179"/>
    <mergeCell ref="D203:E203"/>
    <mergeCell ref="P232:T232"/>
    <mergeCell ref="P330:T330"/>
    <mergeCell ref="P159:T159"/>
    <mergeCell ref="D438:E438"/>
    <mergeCell ref="D267:E267"/>
    <mergeCell ref="D425:E425"/>
    <mergeCell ref="D359:E359"/>
    <mergeCell ref="A486:Z486"/>
    <mergeCell ref="P483:V483"/>
    <mergeCell ref="D436:E436"/>
    <mergeCell ref="A305:O306"/>
    <mergeCell ref="P346:T346"/>
    <mergeCell ref="D292:E292"/>
    <mergeCell ref="A243:O244"/>
    <mergeCell ref="D227:E227"/>
    <mergeCell ref="A463:O464"/>
    <mergeCell ref="D215:E215"/>
    <mergeCell ref="P194:V194"/>
    <mergeCell ref="P317:T317"/>
    <mergeCell ref="D323:E323"/>
    <mergeCell ref="D394:E394"/>
    <mergeCell ref="D279:E279"/>
    <mergeCell ref="A254:Z254"/>
    <mergeCell ref="J9:M9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176:E176"/>
    <mergeCell ref="A154:O155"/>
    <mergeCell ref="P155:V155"/>
    <mergeCell ref="D114:E114"/>
    <mergeCell ref="P143:T143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P380:T380"/>
    <mergeCell ref="P58:V58"/>
    <mergeCell ref="A13:M13"/>
    <mergeCell ref="A119:Z119"/>
    <mergeCell ref="D87:E87"/>
    <mergeCell ref="P244:V244"/>
    <mergeCell ref="A367:Z367"/>
    <mergeCell ref="P115:T115"/>
    <mergeCell ref="D61:E61"/>
    <mergeCell ref="A15:M15"/>
    <mergeCell ref="P238:T238"/>
    <mergeCell ref="D346:E346"/>
    <mergeCell ref="P229:T229"/>
    <mergeCell ref="A419:Z419"/>
    <mergeCell ref="D477:E477"/>
    <mergeCell ref="P375:T375"/>
    <mergeCell ref="D125:E125"/>
    <mergeCell ref="P446:T446"/>
    <mergeCell ref="P207:T207"/>
    <mergeCell ref="P299:T299"/>
    <mergeCell ref="P172:V172"/>
    <mergeCell ref="P150:V150"/>
    <mergeCell ref="T6:U9"/>
    <mergeCell ref="P319:V319"/>
    <mergeCell ref="Q10:R10"/>
    <mergeCell ref="D41:E41"/>
    <mergeCell ref="A490:O495"/>
    <mergeCell ref="A37:Z37"/>
    <mergeCell ref="P320:V320"/>
    <mergeCell ref="P314:V314"/>
    <mergeCell ref="P387:T387"/>
    <mergeCell ref="A139:Z139"/>
    <mergeCell ref="D422:E422"/>
    <mergeCell ref="D74:E74"/>
    <mergeCell ref="P151:V151"/>
    <mergeCell ref="D130:E130"/>
    <mergeCell ref="P451:T451"/>
    <mergeCell ref="P449:V449"/>
    <mergeCell ref="D201:E201"/>
    <mergeCell ref="A204:O205"/>
    <mergeCell ref="P87:T87"/>
    <mergeCell ref="D68:E68"/>
    <mergeCell ref="D424:E424"/>
    <mergeCell ref="P322:T322"/>
    <mergeCell ref="A285:O286"/>
    <mergeCell ref="P211:T211"/>
    <mergeCell ref="T5:U5"/>
    <mergeCell ref="P76:T76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A295:O296"/>
    <mergeCell ref="D338:E338"/>
    <mergeCell ref="D233:E233"/>
    <mergeCell ref="D409:E409"/>
    <mergeCell ref="Q8:R8"/>
    <mergeCell ref="P311:T311"/>
    <mergeCell ref="P438:T438"/>
    <mergeCell ref="D444:E444"/>
    <mergeCell ref="P267:T267"/>
    <mergeCell ref="D248:E248"/>
    <mergeCell ref="D219:E219"/>
    <mergeCell ref="P425:T425"/>
    <mergeCell ref="P83:V83"/>
    <mergeCell ref="A82:O83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A160:O161"/>
    <mergeCell ref="A353:Z353"/>
    <mergeCell ref="P163:T163"/>
    <mergeCell ref="D109:E109"/>
    <mergeCell ref="A480:Z480"/>
    <mergeCell ref="D467:E467"/>
    <mergeCell ref="P424:T424"/>
    <mergeCell ref="D345:E345"/>
    <mergeCell ref="A79:Z79"/>
    <mergeCell ref="D399:E399"/>
    <mergeCell ref="A439:O440"/>
    <mergeCell ref="P309:T309"/>
    <mergeCell ref="P88:T88"/>
    <mergeCell ref="P51:T51"/>
    <mergeCell ref="P15:T16"/>
    <mergeCell ref="A132:O133"/>
    <mergeCell ref="D116:E116"/>
    <mergeCell ref="A275:O276"/>
    <mergeCell ref="P219:T219"/>
    <mergeCell ref="A335:Z335"/>
    <mergeCell ref="P272:T272"/>
    <mergeCell ref="D460:E460"/>
    <mergeCell ref="P210:T210"/>
    <mergeCell ref="P439:V439"/>
    <mergeCell ref="D398:E398"/>
    <mergeCell ref="A69:O70"/>
    <mergeCell ref="P433:V433"/>
    <mergeCell ref="P308:T308"/>
    <mergeCell ref="D416:E416"/>
    <mergeCell ref="P427:T427"/>
    <mergeCell ref="D264:E264"/>
    <mergeCell ref="D93:E93"/>
    <mergeCell ref="D391:E391"/>
    <mergeCell ref="D220:E220"/>
    <mergeCell ref="A195:Z195"/>
    <mergeCell ref="P434:V434"/>
    <mergeCell ref="A433:O434"/>
    <mergeCell ref="A253:Z253"/>
    <mergeCell ref="A483:O484"/>
    <mergeCell ref="D169:E169"/>
    <mergeCell ref="P204:V204"/>
    <mergeCell ref="P82:V82"/>
    <mergeCell ref="A134:Z134"/>
    <mergeCell ref="P440:V440"/>
    <mergeCell ref="P303:T303"/>
    <mergeCell ref="D108:E108"/>
    <mergeCell ref="D330:E330"/>
    <mergeCell ref="A421:Z421"/>
    <mergeCell ref="A98:Z98"/>
    <mergeCell ref="P306:V306"/>
    <mergeCell ref="D350:E350"/>
    <mergeCell ref="P110:V110"/>
    <mergeCell ref="A162:Z162"/>
    <mergeCell ref="D325:E325"/>
    <mergeCell ref="P208:T208"/>
    <mergeCell ref="P484:V484"/>
    <mergeCell ref="P324:T324"/>
    <mergeCell ref="P153:T153"/>
    <mergeCell ref="P221:V221"/>
    <mergeCell ref="P326:V326"/>
    <mergeCell ref="P393:T393"/>
    <mergeCell ref="D374:E374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A488:O489"/>
    <mergeCell ref="D230:E230"/>
    <mergeCell ref="D168:E168"/>
    <mergeCell ref="D466:E466"/>
    <mergeCell ref="P66:T66"/>
    <mergeCell ref="A6:C6"/>
    <mergeCell ref="D309:E309"/>
    <mergeCell ref="D113:E113"/>
    <mergeCell ref="P416:T416"/>
    <mergeCell ref="P167:T167"/>
    <mergeCell ref="P142:T142"/>
    <mergeCell ref="D148:E148"/>
    <mergeCell ref="D88:E88"/>
    <mergeCell ref="D26:E26"/>
    <mergeCell ref="D324:E324"/>
    <mergeCell ref="D311:E311"/>
    <mergeCell ref="D115:E115"/>
    <mergeCell ref="P55:T55"/>
    <mergeCell ref="P280:T280"/>
    <mergeCell ref="Q12:R12"/>
    <mergeCell ref="P169:T169"/>
    <mergeCell ref="P411:T411"/>
    <mergeCell ref="D388:E388"/>
    <mergeCell ref="P183:V183"/>
    <mergeCell ref="P246:T246"/>
    <mergeCell ref="A43:O44"/>
    <mergeCell ref="P133:V133"/>
    <mergeCell ref="D390:E390"/>
    <mergeCell ref="A123:Z123"/>
    <mergeCell ref="Q9:R9"/>
    <mergeCell ref="P312:T312"/>
    <mergeCell ref="D451:E451"/>
    <mergeCell ref="D255:E255"/>
    <mergeCell ref="P36:V36"/>
    <mergeCell ref="P478:V478"/>
    <mergeCell ref="D322:E322"/>
    <mergeCell ref="Q11:R11"/>
    <mergeCell ref="K498:K499"/>
    <mergeCell ref="D453:E453"/>
    <mergeCell ref="P417:V417"/>
    <mergeCell ref="P467:T467"/>
    <mergeCell ref="P442:T442"/>
    <mergeCell ref="P489:V489"/>
    <mergeCell ref="P491:V491"/>
    <mergeCell ref="P127:V127"/>
    <mergeCell ref="D9:E9"/>
    <mergeCell ref="P197:T197"/>
    <mergeCell ref="F9:G9"/>
    <mergeCell ref="P53:T53"/>
    <mergeCell ref="D167:E167"/>
    <mergeCell ref="P422:T422"/>
    <mergeCell ref="P289:T289"/>
    <mergeCell ref="D232:E232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P428:T428"/>
    <mergeCell ref="D100:E100"/>
    <mergeCell ref="P284:T284"/>
    <mergeCell ref="P113:T113"/>
    <mergeCell ref="A471:Z471"/>
    <mergeCell ref="P250:T250"/>
    <mergeCell ref="D329:E329"/>
    <mergeCell ref="A402:Z402"/>
    <mergeCell ref="D229:E229"/>
    <mergeCell ref="P131:T131"/>
    <mergeCell ref="P187:T187"/>
    <mergeCell ref="D375:E375"/>
    <mergeCell ref="P429:T429"/>
    <mergeCell ref="P258:T258"/>
    <mergeCell ref="D369:E369"/>
    <mergeCell ref="D1:F1"/>
    <mergeCell ref="P466:T466"/>
    <mergeCell ref="A71:Z71"/>
    <mergeCell ref="P488:V488"/>
    <mergeCell ref="A307:Z307"/>
    <mergeCell ref="P282:V282"/>
    <mergeCell ref="P111:V111"/>
    <mergeCell ref="J17:J18"/>
    <mergeCell ref="L17:L18"/>
    <mergeCell ref="P17:T18"/>
    <mergeCell ref="P423:T423"/>
    <mergeCell ref="A182:O183"/>
    <mergeCell ref="P52:T52"/>
    <mergeCell ref="A117:O118"/>
    <mergeCell ref="P350:T350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295:V295"/>
    <mergeCell ref="U498:U499"/>
    <mergeCell ref="P475:V475"/>
    <mergeCell ref="W498:W499"/>
    <mergeCell ref="P269:V269"/>
    <mergeCell ref="A45:Z45"/>
    <mergeCell ref="A458:Z458"/>
    <mergeCell ref="A343:Z343"/>
    <mergeCell ref="A287:Z287"/>
    <mergeCell ref="P35:V35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08:E308"/>
    <mergeCell ref="D380:E380"/>
    <mergeCell ref="P337:T337"/>
    <mergeCell ref="D209:E209"/>
    <mergeCell ref="P188:V188"/>
    <mergeCell ref="P166:T166"/>
    <mergeCell ref="D445:E445"/>
    <mergeCell ref="P396:V396"/>
    <mergeCell ref="A395:O396"/>
    <mergeCell ref="P259:T259"/>
    <mergeCell ref="P148:T148"/>
    <mergeCell ref="A47:O48"/>
    <mergeCell ref="A96:O97"/>
    <mergeCell ref="P482:T482"/>
    <mergeCell ref="D354:E354"/>
    <mergeCell ref="A332:O333"/>
    <mergeCell ref="D274:E274"/>
    <mergeCell ref="D301:E301"/>
    <mergeCell ref="D147:E147"/>
    <mergeCell ref="P116:T116"/>
    <mergeCell ref="P103:T103"/>
    <mergeCell ref="P230:T230"/>
    <mergeCell ref="A469:O470"/>
    <mergeCell ref="D211:E211"/>
    <mergeCell ref="P168:T168"/>
    <mergeCell ref="P178:V178"/>
    <mergeCell ref="P276:V276"/>
    <mergeCell ref="P463:V463"/>
    <mergeCell ref="A263:Z263"/>
    <mergeCell ref="P264:T264"/>
    <mergeCell ref="P68:T68"/>
    <mergeCell ref="H1:Q1"/>
    <mergeCell ref="A448:O449"/>
    <mergeCell ref="A99:Z99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P340:V340"/>
    <mergeCell ref="P242:T242"/>
    <mergeCell ref="A239:O240"/>
    <mergeCell ref="D92:E92"/>
    <mergeCell ref="D55:E55"/>
    <mergeCell ref="D30:E30"/>
    <mergeCell ref="D67:E67"/>
    <mergeCell ref="A140:Z140"/>
    <mergeCell ref="D5:E5"/>
    <mergeCell ref="D303:E303"/>
    <mergeCell ref="P42:T42"/>
    <mergeCell ref="D7:M7"/>
    <mergeCell ref="A373:Z373"/>
    <mergeCell ref="A405:O406"/>
    <mergeCell ref="P327:V327"/>
    <mergeCell ref="A152:Z152"/>
    <mergeCell ref="P92:T92"/>
    <mergeCell ref="A450:Z450"/>
    <mergeCell ref="P394:T394"/>
    <mergeCell ref="D442:E442"/>
    <mergeCell ref="D302:E302"/>
    <mergeCell ref="D429:E429"/>
    <mergeCell ref="P29:T29"/>
    <mergeCell ref="P100:T100"/>
    <mergeCell ref="P265:T265"/>
    <mergeCell ref="P94:T94"/>
    <mergeCell ref="D379:E379"/>
    <mergeCell ref="D208:E208"/>
    <mergeCell ref="D81:E81"/>
    <mergeCell ref="D8:M8"/>
    <mergeCell ref="D300:E300"/>
    <mergeCell ref="P329:T329"/>
    <mergeCell ref="P251:V251"/>
    <mergeCell ref="P118:V118"/>
    <mergeCell ref="A241:Z241"/>
    <mergeCell ref="A50:Z50"/>
    <mergeCell ref="P96:V96"/>
    <mergeCell ref="W17:W18"/>
    <mergeCell ref="P261:V261"/>
    <mergeCell ref="P90:V90"/>
    <mergeCell ref="P332:V332"/>
    <mergeCell ref="P217:V217"/>
    <mergeCell ref="A384:Z384"/>
    <mergeCell ref="P161:V161"/>
    <mergeCell ref="A376:O377"/>
    <mergeCell ref="P234:T234"/>
    <mergeCell ref="P154:V154"/>
    <mergeCell ref="A321:Z321"/>
    <mergeCell ref="D142:E142"/>
    <mergeCell ref="P266:T266"/>
    <mergeCell ref="P95:T95"/>
    <mergeCell ref="P331:T331"/>
    <mergeCell ref="P182:V182"/>
    <mergeCell ref="D290:E290"/>
    <mergeCell ref="D94:E94"/>
    <mergeCell ref="A356:O357"/>
    <mergeCell ref="D52:E52"/>
    <mergeCell ref="D27:E27"/>
    <mergeCell ref="P26:T26"/>
    <mergeCell ref="P316:T316"/>
    <mergeCell ref="D66:E66"/>
    <mergeCell ref="D126:E126"/>
    <mergeCell ref="T498:T499"/>
    <mergeCell ref="P443:T443"/>
    <mergeCell ref="D197:E197"/>
    <mergeCell ref="D53:E53"/>
    <mergeCell ref="A84:Z84"/>
    <mergeCell ref="D411:E411"/>
    <mergeCell ref="D289:E28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A498:A499"/>
    <mergeCell ref="P473:T473"/>
    <mergeCell ref="S497:T497"/>
    <mergeCell ref="V498:V499"/>
    <mergeCell ref="P453:T453"/>
    <mergeCell ref="A474:O475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D73:E73"/>
    <mergeCell ref="P77:V77"/>
    <mergeCell ref="P30:T30"/>
    <mergeCell ref="P179:V179"/>
    <mergeCell ref="P290:T290"/>
    <mergeCell ref="P377:V377"/>
    <mergeCell ref="A63:O64"/>
    <mergeCell ref="B17:B18"/>
    <mergeCell ref="A77:O78"/>
    <mergeCell ref="D131:E131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391:T391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P249:T249"/>
    <mergeCell ref="P81:T81"/>
    <mergeCell ref="P56:T56"/>
    <mergeCell ref="V10:W10"/>
    <mergeCell ref="P379:T379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D410:E410"/>
    <mergeCell ref="A441:Z441"/>
    <mergeCell ref="A270:Z270"/>
    <mergeCell ref="A368:Z368"/>
    <mergeCell ref="D426:E426"/>
    <mergeCell ref="P464:V464"/>
    <mergeCell ref="P452:T452"/>
    <mergeCell ref="P448:V448"/>
    <mergeCell ref="P404:T404"/>
    <mergeCell ref="D360:E360"/>
    <mergeCell ref="A124:Z124"/>
    <mergeCell ref="D431:E431"/>
    <mergeCell ref="P170:T170"/>
    <mergeCell ref="P468:T46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:X52 X55:X56 X60 X62 X74 X76 X80:X81 X86 X88 X92 X95 X100:X102 X113:X116 X120 X125:X126 X130:X131 X136 X142 X147 X149 X163 X165:X167 X169 X187 X196:X201 X203 X209:X215 X219 X228 X233 X255 X257 X259 X274 X284 X290:X294 X298:X299 X301:X302 X304 X308 X311 X316:X318 X325 X336:X338 X344:X347 X350 X354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751</v>
      </c>
      <c r="H1" s="52"/>
    </row>
    <row r="3" spans="2:8" x14ac:dyDescent="0.2">
      <c r="B3" s="47" t="s">
        <v>752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753</v>
      </c>
      <c r="D6" s="47" t="s">
        <v>754</v>
      </c>
      <c r="E6" s="47"/>
    </row>
    <row r="8" spans="2:8" x14ac:dyDescent="0.2">
      <c r="B8" s="47" t="s">
        <v>19</v>
      </c>
      <c r="C8" s="47" t="s">
        <v>753</v>
      </c>
      <c r="D8" s="47"/>
      <c r="E8" s="47"/>
    </row>
    <row r="10" spans="2:8" x14ac:dyDescent="0.2">
      <c r="B10" s="47" t="s">
        <v>755</v>
      </c>
      <c r="C10" s="47"/>
      <c r="D10" s="47"/>
      <c r="E10" s="47"/>
    </row>
    <row r="11" spans="2:8" x14ac:dyDescent="0.2">
      <c r="B11" s="47" t="s">
        <v>756</v>
      </c>
      <c r="C11" s="47"/>
      <c r="D11" s="47"/>
      <c r="E11" s="47"/>
    </row>
    <row r="12" spans="2:8" x14ac:dyDescent="0.2">
      <c r="B12" s="47" t="s">
        <v>757</v>
      </c>
      <c r="C12" s="47"/>
      <c r="D12" s="47"/>
      <c r="E12" s="47"/>
    </row>
    <row r="13" spans="2:8" x14ac:dyDescent="0.2">
      <c r="B13" s="47" t="s">
        <v>758</v>
      </c>
      <c r="C13" s="47"/>
      <c r="D13" s="47"/>
      <c r="E13" s="47"/>
    </row>
    <row r="14" spans="2:8" x14ac:dyDescent="0.2">
      <c r="B14" s="47" t="s">
        <v>759</v>
      </c>
      <c r="C14" s="47"/>
      <c r="D14" s="47"/>
      <c r="E14" s="47"/>
    </row>
    <row r="15" spans="2:8" x14ac:dyDescent="0.2">
      <c r="B15" s="47" t="s">
        <v>760</v>
      </c>
      <c r="C15" s="47"/>
      <c r="D15" s="47"/>
      <c r="E15" s="47"/>
    </row>
    <row r="16" spans="2:8" x14ac:dyDescent="0.2">
      <c r="B16" s="47" t="s">
        <v>761</v>
      </c>
      <c r="C16" s="47"/>
      <c r="D16" s="47"/>
      <c r="E16" s="47"/>
    </row>
    <row r="17" spans="2:5" x14ac:dyDescent="0.2">
      <c r="B17" s="47" t="s">
        <v>762</v>
      </c>
      <c r="C17" s="47"/>
      <c r="D17" s="47"/>
      <c r="E17" s="47"/>
    </row>
    <row r="18" spans="2:5" x14ac:dyDescent="0.2">
      <c r="B18" s="47" t="s">
        <v>763</v>
      </c>
      <c r="C18" s="47"/>
      <c r="D18" s="47"/>
      <c r="E18" s="47"/>
    </row>
    <row r="19" spans="2:5" x14ac:dyDescent="0.2">
      <c r="B19" s="47" t="s">
        <v>764</v>
      </c>
      <c r="C19" s="47"/>
      <c r="D19" s="47"/>
      <c r="E19" s="47"/>
    </row>
    <row r="20" spans="2:5" x14ac:dyDescent="0.2">
      <c r="B20" s="47" t="s">
        <v>765</v>
      </c>
      <c r="C20" s="47"/>
      <c r="D20" s="47"/>
      <c r="E20" s="47"/>
    </row>
  </sheetData>
  <sheetProtection algorithmName="SHA-512" hashValue="NAIXsgQB2/GNNbKRXJpQr6+vkWn9vZKzd+8R5zPbMIB/OlNKwKlhKXWiieuhf2FB6PGEGxNzKvsvEJEDSHwARA==" saltValue="NEjtz6VHokuOeXTVtmzD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2025-11-04T10:50:52Z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