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073A8732-B546-4771-B3A6-A8221F65177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Y400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Y381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Q500" i="1" s="1"/>
  <c r="P289" i="1"/>
  <c r="X286" i="1"/>
  <c r="Y285" i="1"/>
  <c r="X285" i="1"/>
  <c r="BP284" i="1"/>
  <c r="BO284" i="1"/>
  <c r="BN284" i="1"/>
  <c r="BM284" i="1"/>
  <c r="Z284" i="1"/>
  <c r="Z285" i="1" s="1"/>
  <c r="Y284" i="1"/>
  <c r="Y286" i="1" s="1"/>
  <c r="P284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Y221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X161" i="1"/>
  <c r="Y160" i="1"/>
  <c r="X160" i="1"/>
  <c r="BP159" i="1"/>
  <c r="BO159" i="1"/>
  <c r="BN159" i="1"/>
  <c r="BM159" i="1"/>
  <c r="Z159" i="1"/>
  <c r="Z160" i="1" s="1"/>
  <c r="Y159" i="1"/>
  <c r="P159" i="1"/>
  <c r="X155" i="1"/>
  <c r="Y154" i="1"/>
  <c r="X154" i="1"/>
  <c r="BP153" i="1"/>
  <c r="BO153" i="1"/>
  <c r="BN153" i="1"/>
  <c r="BM153" i="1"/>
  <c r="Z153" i="1"/>
  <c r="Z154" i="1" s="1"/>
  <c r="Y153" i="1"/>
  <c r="Y155" i="1" s="1"/>
  <c r="X151" i="1"/>
  <c r="X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BO141" i="1"/>
  <c r="BM141" i="1"/>
  <c r="Y141" i="1"/>
  <c r="P141" i="1"/>
  <c r="X138" i="1"/>
  <c r="X137" i="1"/>
  <c r="BO136" i="1"/>
  <c r="BM136" i="1"/>
  <c r="Y136" i="1"/>
  <c r="P136" i="1"/>
  <c r="BP135" i="1"/>
  <c r="BO135" i="1"/>
  <c r="BN135" i="1"/>
  <c r="BM135" i="1"/>
  <c r="Z135" i="1"/>
  <c r="Y135" i="1"/>
  <c r="P135" i="1"/>
  <c r="X133" i="1"/>
  <c r="Y132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90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137" i="1" l="1"/>
  <c r="Z127" i="1"/>
  <c r="Y31" i="1"/>
  <c r="Y43" i="1"/>
  <c r="Y494" i="1" s="1"/>
  <c r="Y58" i="1"/>
  <c r="Y64" i="1"/>
  <c r="BP73" i="1"/>
  <c r="BN73" i="1"/>
  <c r="Z73" i="1"/>
  <c r="Z77" i="1" s="1"/>
  <c r="Y77" i="1"/>
  <c r="BP81" i="1"/>
  <c r="BN81" i="1"/>
  <c r="Z81" i="1"/>
  <c r="Z82" i="1" s="1"/>
  <c r="Y83" i="1"/>
  <c r="E500" i="1"/>
  <c r="Y89" i="1"/>
  <c r="BP86" i="1"/>
  <c r="BN86" i="1"/>
  <c r="Z86" i="1"/>
  <c r="BP94" i="1"/>
  <c r="BN94" i="1"/>
  <c r="Z94" i="1"/>
  <c r="BP103" i="1"/>
  <c r="BN103" i="1"/>
  <c r="Z103" i="1"/>
  <c r="Y105" i="1"/>
  <c r="Y110" i="1"/>
  <c r="BP107" i="1"/>
  <c r="BN107" i="1"/>
  <c r="Z107" i="1"/>
  <c r="BP115" i="1"/>
  <c r="BN115" i="1"/>
  <c r="Z115" i="1"/>
  <c r="BP136" i="1"/>
  <c r="BN136" i="1"/>
  <c r="Z136" i="1"/>
  <c r="Y138" i="1"/>
  <c r="H500" i="1"/>
  <c r="Y144" i="1"/>
  <c r="BP141" i="1"/>
  <c r="BN141" i="1"/>
  <c r="Z141" i="1"/>
  <c r="BP149" i="1"/>
  <c r="BN149" i="1"/>
  <c r="Z149" i="1"/>
  <c r="Y151" i="1"/>
  <c r="BP164" i="1"/>
  <c r="BN164" i="1"/>
  <c r="Z164" i="1"/>
  <c r="BP168" i="1"/>
  <c r="BN168" i="1"/>
  <c r="Z168" i="1"/>
  <c r="Z172" i="1" s="1"/>
  <c r="Y172" i="1"/>
  <c r="Z178" i="1"/>
  <c r="BP176" i="1"/>
  <c r="BN176" i="1"/>
  <c r="Z176" i="1"/>
  <c r="BP197" i="1"/>
  <c r="BN197" i="1"/>
  <c r="Z197" i="1"/>
  <c r="Z204" i="1" s="1"/>
  <c r="BP201" i="1"/>
  <c r="BN201" i="1"/>
  <c r="Z201" i="1"/>
  <c r="BP209" i="1"/>
  <c r="BN209" i="1"/>
  <c r="Z209" i="1"/>
  <c r="BP213" i="1"/>
  <c r="BN213" i="1"/>
  <c r="Z213" i="1"/>
  <c r="BP227" i="1"/>
  <c r="BN227" i="1"/>
  <c r="Z227" i="1"/>
  <c r="BP231" i="1"/>
  <c r="BN231" i="1"/>
  <c r="Z231" i="1"/>
  <c r="Y235" i="1"/>
  <c r="BP247" i="1"/>
  <c r="BN247" i="1"/>
  <c r="Z247" i="1"/>
  <c r="Z251" i="1" s="1"/>
  <c r="Y251" i="1"/>
  <c r="Z260" i="1"/>
  <c r="BP256" i="1"/>
  <c r="BN256" i="1"/>
  <c r="Z256" i="1"/>
  <c r="L500" i="1"/>
  <c r="Y260" i="1"/>
  <c r="BP265" i="1"/>
  <c r="BN265" i="1"/>
  <c r="Z265" i="1"/>
  <c r="Y269" i="1"/>
  <c r="BP274" i="1"/>
  <c r="BN274" i="1"/>
  <c r="Z274" i="1"/>
  <c r="Y276" i="1"/>
  <c r="P500" i="1"/>
  <c r="Y282" i="1"/>
  <c r="BP279" i="1"/>
  <c r="BN279" i="1"/>
  <c r="Z279" i="1"/>
  <c r="Z281" i="1" s="1"/>
  <c r="Y281" i="1"/>
  <c r="Z371" i="1"/>
  <c r="D500" i="1"/>
  <c r="H9" i="1"/>
  <c r="B500" i="1"/>
  <c r="X491" i="1"/>
  <c r="X493" i="1" s="1"/>
  <c r="X492" i="1"/>
  <c r="X494" i="1"/>
  <c r="Y24" i="1"/>
  <c r="Z27" i="1"/>
  <c r="Z31" i="1" s="1"/>
  <c r="BN27" i="1"/>
  <c r="Z29" i="1"/>
  <c r="BN29" i="1"/>
  <c r="C500" i="1"/>
  <c r="Z41" i="1"/>
  <c r="Z43" i="1" s="1"/>
  <c r="BN41" i="1"/>
  <c r="Y491" i="1" s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2" i="1" s="1"/>
  <c r="Z62" i="1"/>
  <c r="BN62" i="1"/>
  <c r="Z66" i="1"/>
  <c r="BN66" i="1"/>
  <c r="BP66" i="1"/>
  <c r="Z68" i="1"/>
  <c r="BN68" i="1"/>
  <c r="Y69" i="1"/>
  <c r="Y78" i="1"/>
  <c r="BP75" i="1"/>
  <c r="BN75" i="1"/>
  <c r="Z75" i="1"/>
  <c r="Y82" i="1"/>
  <c r="BP88" i="1"/>
  <c r="BN88" i="1"/>
  <c r="Z88" i="1"/>
  <c r="Y90" i="1"/>
  <c r="Y97" i="1"/>
  <c r="BP92" i="1"/>
  <c r="BN92" i="1"/>
  <c r="Z92" i="1"/>
  <c r="Z96" i="1" s="1"/>
  <c r="Y96" i="1"/>
  <c r="BP101" i="1"/>
  <c r="BN101" i="1"/>
  <c r="Z101" i="1"/>
  <c r="BP109" i="1"/>
  <c r="BN109" i="1"/>
  <c r="Z109" i="1"/>
  <c r="Y111" i="1"/>
  <c r="Y118" i="1"/>
  <c r="BP113" i="1"/>
  <c r="BN113" i="1"/>
  <c r="Z113" i="1"/>
  <c r="Y117" i="1"/>
  <c r="BP126" i="1"/>
  <c r="BN126" i="1"/>
  <c r="Z126" i="1"/>
  <c r="Y128" i="1"/>
  <c r="Y133" i="1"/>
  <c r="BP130" i="1"/>
  <c r="BN130" i="1"/>
  <c r="Z130" i="1"/>
  <c r="Z132" i="1" s="1"/>
  <c r="Y137" i="1"/>
  <c r="BP143" i="1"/>
  <c r="BN143" i="1"/>
  <c r="Z143" i="1"/>
  <c r="Y145" i="1"/>
  <c r="Y150" i="1"/>
  <c r="BP147" i="1"/>
  <c r="BN147" i="1"/>
  <c r="Z147" i="1"/>
  <c r="Y173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11" i="1"/>
  <c r="BN211" i="1"/>
  <c r="Z211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BP312" i="1"/>
  <c r="BN312" i="1"/>
  <c r="Z312" i="1"/>
  <c r="Y314" i="1"/>
  <c r="Y319" i="1"/>
  <c r="BP316" i="1"/>
  <c r="BN316" i="1"/>
  <c r="Z316" i="1"/>
  <c r="Y320" i="1"/>
  <c r="BP323" i="1"/>
  <c r="BN323" i="1"/>
  <c r="Z323" i="1"/>
  <c r="BP331" i="1"/>
  <c r="BN331" i="1"/>
  <c r="Z331" i="1"/>
  <c r="Y333" i="1"/>
  <c r="R500" i="1"/>
  <c r="Y339" i="1"/>
  <c r="BP336" i="1"/>
  <c r="BN336" i="1"/>
  <c r="Z336" i="1"/>
  <c r="Y340" i="1"/>
  <c r="BP346" i="1"/>
  <c r="BN346" i="1"/>
  <c r="Z346" i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Z463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F500" i="1"/>
  <c r="Y104" i="1"/>
  <c r="G500" i="1"/>
  <c r="Y127" i="1"/>
  <c r="I500" i="1"/>
  <c r="Y161" i="1"/>
  <c r="J500" i="1"/>
  <c r="Y188" i="1"/>
  <c r="BP214" i="1"/>
  <c r="BN214" i="1"/>
  <c r="BP220" i="1"/>
  <c r="BN220" i="1"/>
  <c r="Z220" i="1"/>
  <c r="Z221" i="1" s="1"/>
  <c r="Y222" i="1"/>
  <c r="K500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Y261" i="1"/>
  <c r="BP258" i="1"/>
  <c r="BN258" i="1"/>
  <c r="Z258" i="1"/>
  <c r="BP267" i="1"/>
  <c r="BN267" i="1"/>
  <c r="Z267" i="1"/>
  <c r="Z268" i="1" s="1"/>
  <c r="O500" i="1"/>
  <c r="Y275" i="1"/>
  <c r="BP272" i="1"/>
  <c r="BN272" i="1"/>
  <c r="Z272" i="1"/>
  <c r="Z275" i="1" s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Z305" i="1" s="1"/>
  <c r="BP302" i="1"/>
  <c r="BN302" i="1"/>
  <c r="Z302" i="1"/>
  <c r="BP310" i="1"/>
  <c r="BN310" i="1"/>
  <c r="Z310" i="1"/>
  <c r="BP318" i="1"/>
  <c r="BN318" i="1"/>
  <c r="Z318" i="1"/>
  <c r="Y326" i="1"/>
  <c r="BP322" i="1"/>
  <c r="BN322" i="1"/>
  <c r="Z322" i="1"/>
  <c r="BP325" i="1"/>
  <c r="BN325" i="1"/>
  <c r="Z325" i="1"/>
  <c r="Y327" i="1"/>
  <c r="Y332" i="1"/>
  <c r="BP329" i="1"/>
  <c r="BN329" i="1"/>
  <c r="Z329" i="1"/>
  <c r="BP338" i="1"/>
  <c r="BN338" i="1"/>
  <c r="Z338" i="1"/>
  <c r="S500" i="1"/>
  <c r="Y351" i="1"/>
  <c r="BP344" i="1"/>
  <c r="BN344" i="1"/>
  <c r="Z344" i="1"/>
  <c r="BP348" i="1"/>
  <c r="BN348" i="1"/>
  <c r="Z348" i="1"/>
  <c r="BP370" i="1"/>
  <c r="BN370" i="1"/>
  <c r="Z370" i="1"/>
  <c r="Y372" i="1"/>
  <c r="Y377" i="1"/>
  <c r="BP374" i="1"/>
  <c r="BN374" i="1"/>
  <c r="Z374" i="1"/>
  <c r="Z376" i="1" s="1"/>
  <c r="Y376" i="1"/>
  <c r="M500" i="1"/>
  <c r="Y268" i="1"/>
  <c r="Y295" i="1"/>
  <c r="Y362" i="1"/>
  <c r="BP359" i="1"/>
  <c r="BN359" i="1"/>
  <c r="Z359" i="1"/>
  <c r="Z361" i="1" s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Z412" i="1" s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Z448" i="1" s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Z454" i="1"/>
  <c r="BP452" i="1"/>
  <c r="BN452" i="1"/>
  <c r="Z452" i="1"/>
  <c r="Y463" i="1"/>
  <c r="BP462" i="1"/>
  <c r="BN462" i="1"/>
  <c r="Z462" i="1"/>
  <c r="Y469" i="1"/>
  <c r="BP466" i="1"/>
  <c r="BN466" i="1"/>
  <c r="Z466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Y493" i="1" l="1"/>
  <c r="Z433" i="1"/>
  <c r="Z339" i="1"/>
  <c r="Z89" i="1"/>
  <c r="Z469" i="1"/>
  <c r="Z395" i="1"/>
  <c r="Z351" i="1"/>
  <c r="Z332" i="1"/>
  <c r="Z326" i="1"/>
  <c r="Z235" i="1"/>
  <c r="Z319" i="1"/>
  <c r="Z313" i="1"/>
  <c r="Z216" i="1"/>
  <c r="Z150" i="1"/>
  <c r="Z117" i="1"/>
  <c r="Z104" i="1"/>
  <c r="Z69" i="1"/>
  <c r="Z495" i="1" s="1"/>
  <c r="Y490" i="1"/>
  <c r="Z144" i="1"/>
  <c r="Z110" i="1"/>
</calcChain>
</file>

<file path=xl/sharedStrings.xml><?xml version="1.0" encoding="utf-8"?>
<sst xmlns="http://schemas.openxmlformats.org/spreadsheetml/2006/main" count="2355" uniqueCount="766">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</sst>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83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3" t="s">
        <v>0</v>
      </c>
      <c r="E1" s="574"/>
      <c r="F1" s="574"/>
      <c r="G1" s="12" t="s">
        <v>1</v>
      </c>
      <c r="H1" s="623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0" t="s">
        <v>8</v>
      </c>
      <c r="B5" s="643"/>
      <c r="C5" s="644"/>
      <c r="D5" s="627"/>
      <c r="E5" s="628"/>
      <c r="F5" s="837" t="s">
        <v>9</v>
      </c>
      <c r="G5" s="644"/>
      <c r="H5" s="627"/>
      <c r="I5" s="781"/>
      <c r="J5" s="781"/>
      <c r="K5" s="781"/>
      <c r="L5" s="781"/>
      <c r="M5" s="628"/>
      <c r="N5" s="58"/>
      <c r="P5" s="24" t="s">
        <v>10</v>
      </c>
      <c r="Q5" s="846">
        <v>45967</v>
      </c>
      <c r="R5" s="669"/>
      <c r="T5" s="708" t="s">
        <v>11</v>
      </c>
      <c r="U5" s="709"/>
      <c r="V5" s="711" t="s">
        <v>12</v>
      </c>
      <c r="W5" s="669"/>
      <c r="AB5" s="51"/>
      <c r="AC5" s="51"/>
      <c r="AD5" s="51"/>
      <c r="AE5" s="51"/>
    </row>
    <row r="6" spans="1:32" s="537" customFormat="1" ht="24" customHeight="1" x14ac:dyDescent="0.2">
      <c r="A6" s="670" t="s">
        <v>13</v>
      </c>
      <c r="B6" s="643"/>
      <c r="C6" s="644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69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Четверг</v>
      </c>
      <c r="R6" s="548"/>
      <c r="T6" s="718" t="s">
        <v>16</v>
      </c>
      <c r="U6" s="709"/>
      <c r="V6" s="767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4" t="str">
        <f>IFERROR(VLOOKUP(DeliveryAddress,Table,3,0),1)</f>
        <v>1</v>
      </c>
      <c r="E7" s="605"/>
      <c r="F7" s="605"/>
      <c r="G7" s="605"/>
      <c r="H7" s="605"/>
      <c r="I7" s="605"/>
      <c r="J7" s="605"/>
      <c r="K7" s="605"/>
      <c r="L7" s="605"/>
      <c r="M7" s="606"/>
      <c r="N7" s="60"/>
      <c r="P7" s="24"/>
      <c r="Q7" s="42"/>
      <c r="R7" s="42"/>
      <c r="T7" s="554"/>
      <c r="U7" s="709"/>
      <c r="V7" s="768"/>
      <c r="W7" s="769"/>
      <c r="AB7" s="51"/>
      <c r="AC7" s="51"/>
      <c r="AD7" s="51"/>
      <c r="AE7" s="51"/>
    </row>
    <row r="8" spans="1:32" s="537" customFormat="1" ht="25.5" customHeight="1" x14ac:dyDescent="0.2">
      <c r="A8" s="866" t="s">
        <v>18</v>
      </c>
      <c r="B8" s="563"/>
      <c r="C8" s="564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76">
        <v>0.41666666666666669</v>
      </c>
      <c r="R8" s="606"/>
      <c r="T8" s="554"/>
      <c r="U8" s="709"/>
      <c r="V8" s="768"/>
      <c r="W8" s="769"/>
      <c r="AB8" s="51"/>
      <c r="AC8" s="51"/>
      <c r="AD8" s="51"/>
      <c r="AE8" s="51"/>
    </row>
    <row r="9" spans="1:32" s="537" customFormat="1" ht="39.950000000000003" customHeight="1" x14ac:dyDescent="0.2">
      <c r="A9" s="6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6"/>
      <c r="E9" s="561"/>
      <c r="F9" s="6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5"/>
      <c r="P9" s="26" t="s">
        <v>21</v>
      </c>
      <c r="Q9" s="665"/>
      <c r="R9" s="666"/>
      <c r="T9" s="554"/>
      <c r="U9" s="709"/>
      <c r="V9" s="770"/>
      <c r="W9" s="771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6"/>
      <c r="E10" s="561"/>
      <c r="F10" s="6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60" t="str">
        <f>IFERROR(VLOOKUP($D$10,Proxy,2,FALSE),"")</f>
        <v/>
      </c>
      <c r="I10" s="554"/>
      <c r="J10" s="554"/>
      <c r="K10" s="554"/>
      <c r="L10" s="554"/>
      <c r="M10" s="554"/>
      <c r="N10" s="536"/>
      <c r="P10" s="26" t="s">
        <v>22</v>
      </c>
      <c r="Q10" s="719"/>
      <c r="R10" s="720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8"/>
      <c r="R11" s="669"/>
      <c r="U11" s="24" t="s">
        <v>27</v>
      </c>
      <c r="V11" s="805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3" t="s">
        <v>29</v>
      </c>
      <c r="B12" s="643"/>
      <c r="C12" s="643"/>
      <c r="D12" s="643"/>
      <c r="E12" s="643"/>
      <c r="F12" s="643"/>
      <c r="G12" s="643"/>
      <c r="H12" s="643"/>
      <c r="I12" s="643"/>
      <c r="J12" s="643"/>
      <c r="K12" s="643"/>
      <c r="L12" s="643"/>
      <c r="M12" s="644"/>
      <c r="N12" s="62"/>
      <c r="P12" s="24" t="s">
        <v>30</v>
      </c>
      <c r="Q12" s="676"/>
      <c r="R12" s="606"/>
      <c r="S12" s="23"/>
      <c r="U12" s="24"/>
      <c r="V12" s="574"/>
      <c r="W12" s="554"/>
      <c r="AB12" s="51"/>
      <c r="AC12" s="51"/>
      <c r="AD12" s="51"/>
      <c r="AE12" s="51"/>
    </row>
    <row r="13" spans="1:32" s="537" customFormat="1" ht="23.25" customHeight="1" x14ac:dyDescent="0.2">
      <c r="A13" s="703" t="s">
        <v>31</v>
      </c>
      <c r="B13" s="643"/>
      <c r="C13" s="643"/>
      <c r="D13" s="643"/>
      <c r="E13" s="643"/>
      <c r="F13" s="643"/>
      <c r="G13" s="643"/>
      <c r="H13" s="643"/>
      <c r="I13" s="643"/>
      <c r="J13" s="643"/>
      <c r="K13" s="643"/>
      <c r="L13" s="643"/>
      <c r="M13" s="644"/>
      <c r="N13" s="62"/>
      <c r="O13" s="26"/>
      <c r="P13" s="26" t="s">
        <v>32</v>
      </c>
      <c r="Q13" s="805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3" t="s">
        <v>33</v>
      </c>
      <c r="B14" s="643"/>
      <c r="C14" s="643"/>
      <c r="D14" s="643"/>
      <c r="E14" s="643"/>
      <c r="F14" s="643"/>
      <c r="G14" s="643"/>
      <c r="H14" s="643"/>
      <c r="I14" s="643"/>
      <c r="J14" s="643"/>
      <c r="K14" s="643"/>
      <c r="L14" s="643"/>
      <c r="M14" s="64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5" t="s">
        <v>34</v>
      </c>
      <c r="B15" s="643"/>
      <c r="C15" s="643"/>
      <c r="D15" s="643"/>
      <c r="E15" s="643"/>
      <c r="F15" s="643"/>
      <c r="G15" s="643"/>
      <c r="H15" s="643"/>
      <c r="I15" s="643"/>
      <c r="J15" s="643"/>
      <c r="K15" s="643"/>
      <c r="L15" s="643"/>
      <c r="M15" s="644"/>
      <c r="N15" s="63"/>
      <c r="P15" s="696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7"/>
      <c r="Q16" s="697"/>
      <c r="R16" s="697"/>
      <c r="S16" s="697"/>
      <c r="T16" s="6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4" t="s">
        <v>36</v>
      </c>
      <c r="B17" s="584" t="s">
        <v>37</v>
      </c>
      <c r="C17" s="683" t="s">
        <v>38</v>
      </c>
      <c r="D17" s="584" t="s">
        <v>39</v>
      </c>
      <c r="E17" s="652"/>
      <c r="F17" s="584" t="s">
        <v>40</v>
      </c>
      <c r="G17" s="584" t="s">
        <v>41</v>
      </c>
      <c r="H17" s="584" t="s">
        <v>42</v>
      </c>
      <c r="I17" s="584" t="s">
        <v>43</v>
      </c>
      <c r="J17" s="584" t="s">
        <v>44</v>
      </c>
      <c r="K17" s="584" t="s">
        <v>45</v>
      </c>
      <c r="L17" s="584" t="s">
        <v>46</v>
      </c>
      <c r="M17" s="584" t="s">
        <v>47</v>
      </c>
      <c r="N17" s="584" t="s">
        <v>48</v>
      </c>
      <c r="O17" s="584" t="s">
        <v>49</v>
      </c>
      <c r="P17" s="584" t="s">
        <v>50</v>
      </c>
      <c r="Q17" s="651"/>
      <c r="R17" s="651"/>
      <c r="S17" s="651"/>
      <c r="T17" s="652"/>
      <c r="U17" s="865" t="s">
        <v>51</v>
      </c>
      <c r="V17" s="644"/>
      <c r="W17" s="584" t="s">
        <v>52</v>
      </c>
      <c r="X17" s="584" t="s">
        <v>53</v>
      </c>
      <c r="Y17" s="863" t="s">
        <v>54</v>
      </c>
      <c r="Z17" s="779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85"/>
      <c r="B18" s="585"/>
      <c r="C18" s="585"/>
      <c r="D18" s="653"/>
      <c r="E18" s="655"/>
      <c r="F18" s="585"/>
      <c r="G18" s="585"/>
      <c r="H18" s="585"/>
      <c r="I18" s="585"/>
      <c r="J18" s="585"/>
      <c r="K18" s="585"/>
      <c r="L18" s="585"/>
      <c r="M18" s="585"/>
      <c r="N18" s="585"/>
      <c r="O18" s="585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5"/>
      <c r="X18" s="585"/>
      <c r="Y18" s="864"/>
      <c r="Z18" s="780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566" t="s">
        <v>63</v>
      </c>
      <c r="B19" s="567"/>
      <c r="C19" s="567"/>
      <c r="D19" s="567"/>
      <c r="E19" s="567"/>
      <c r="F19" s="567"/>
      <c r="G19" s="567"/>
      <c r="H19" s="567"/>
      <c r="I19" s="567"/>
      <c r="J19" s="567"/>
      <c r="K19" s="567"/>
      <c r="L19" s="567"/>
      <c r="M19" s="567"/>
      <c r="N19" s="567"/>
      <c r="O19" s="567"/>
      <c r="P19" s="567"/>
      <c r="Q19" s="567"/>
      <c r="R19" s="567"/>
      <c r="S19" s="567"/>
      <c r="T19" s="567"/>
      <c r="U19" s="567"/>
      <c r="V19" s="567"/>
      <c r="W19" s="567"/>
      <c r="X19" s="567"/>
      <c r="Y19" s="567"/>
      <c r="Z19" s="567"/>
      <c r="AA19" s="48"/>
      <c r="AB19" s="48"/>
      <c r="AC19" s="48"/>
    </row>
    <row r="20" spans="1:68" ht="16.5" customHeight="1" x14ac:dyDescent="0.25">
      <c r="A20" s="559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8"/>
      <c r="AB20" s="538"/>
      <c r="AC20" s="538"/>
    </row>
    <row r="21" spans="1:68" ht="14.25" customHeight="1" x14ac:dyDescent="0.25">
      <c r="A21" s="558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58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58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6" t="s">
        <v>99</v>
      </c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48"/>
      <c r="AB37" s="48"/>
      <c r="AC37" s="48"/>
    </row>
    <row r="38" spans="1:68" ht="16.5" customHeight="1" x14ac:dyDescent="0.25">
      <c r="A38" s="559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8"/>
      <c r="AB38" s="538"/>
      <c r="AC38" s="538"/>
    </row>
    <row r="39" spans="1:68" ht="14.25" customHeight="1" x14ac:dyDescent="0.25">
      <c r="A39" s="558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11.234999999999999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180</v>
      </c>
      <c r="Y40" s="544">
        <f>IFERROR(IF(X40="",0,CEILING((X40/$H40),1)*$H40),"")</f>
        <v>183.60000000000002</v>
      </c>
      <c r="Z40" s="36">
        <f>IFERROR(IF(Y40=0,"",ROUNDUP(Y40/H40,0)*0.01898),"")</f>
        <v>0.32266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187.24999999999997</v>
      </c>
      <c r="BN40" s="64">
        <f>IFERROR(Y40*I40/H40,"0")</f>
        <v>190.995</v>
      </c>
      <c r="BO40" s="64">
        <f>IFERROR(1/J40*(X40/H40),"0")</f>
        <v>0.26041666666666663</v>
      </c>
      <c r="BP40" s="64">
        <f>IFERROR(1/J40*(Y40/H40),"0")</f>
        <v>0.265625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4.21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3.91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5">
        <f>IFERROR(X40/H40,"0")+IFERROR(X41/H41,"0")+IFERROR(X42/H42,"0")</f>
        <v>16.666666666666664</v>
      </c>
      <c r="Y43" s="545">
        <f>IFERROR(Y40/H40,"0")+IFERROR(Y41/H41,"0")+IFERROR(Y42/H42,"0")</f>
        <v>17</v>
      </c>
      <c r="Z43" s="545">
        <f>IFERROR(IF(Z40="",0,Z40),"0")+IFERROR(IF(Z41="",0,Z41),"0")+IFERROR(IF(Z42="",0,Z42),"0")</f>
        <v>0.32266</v>
      </c>
      <c r="AA43" s="546"/>
      <c r="AB43" s="546"/>
      <c r="AC43" s="546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5">
        <f>IFERROR(SUM(X40:X42),"0")</f>
        <v>180</v>
      </c>
      <c r="Y44" s="545">
        <f>IFERROR(SUM(Y40:Y42),"0")</f>
        <v>183.60000000000002</v>
      </c>
      <c r="Z44" s="37"/>
      <c r="AA44" s="546"/>
      <c r="AB44" s="546"/>
      <c r="AC44" s="546"/>
    </row>
    <row r="45" spans="1:68" ht="14.25" customHeight="1" x14ac:dyDescent="0.25">
      <c r="A45" s="558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8"/>
      <c r="AB49" s="538"/>
      <c r="AC49" s="538"/>
    </row>
    <row r="50" spans="1:68" ht="14.25" customHeight="1" x14ac:dyDescent="0.25">
      <c r="A50" s="558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11.635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11.234999999999999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20</v>
      </c>
      <c r="Y52" s="544">
        <f t="shared" si="0"/>
        <v>21.6</v>
      </c>
      <c r="Z52" s="36">
        <f>IFERROR(IF(Y52=0,"",ROUNDUP(Y52/H52,0)*0.01898),"")</f>
        <v>3.7960000000000001E-2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20.805555555555554</v>
      </c>
      <c r="BN52" s="64">
        <f t="shared" si="2"/>
        <v>22.47</v>
      </c>
      <c r="BO52" s="64">
        <f t="shared" si="3"/>
        <v>2.8935185185185182E-2</v>
      </c>
      <c r="BP52" s="64">
        <f t="shared" si="4"/>
        <v>3.125E-2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5.01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4.21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4.71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5">
        <f>IFERROR(X51/H51,"0")+IFERROR(X52/H52,"0")+IFERROR(X53/H53,"0")+IFERROR(X54/H54,"0")+IFERROR(X55/H55,"0")+IFERROR(X56/H56,"0")</f>
        <v>1.8518518518518516</v>
      </c>
      <c r="Y57" s="545">
        <f>IFERROR(Y51/H51,"0")+IFERROR(Y52/H52,"0")+IFERROR(Y53/H53,"0")+IFERROR(Y54/H54,"0")+IFERROR(Y55/H55,"0")+IFERROR(Y56/H56,"0")</f>
        <v>2</v>
      </c>
      <c r="Z57" s="545">
        <f>IFERROR(IF(Z51="",0,Z51),"0")+IFERROR(IF(Z52="",0,Z52),"0")+IFERROR(IF(Z53="",0,Z53),"0")+IFERROR(IF(Z54="",0,Z54),"0")+IFERROR(IF(Z55="",0,Z55),"0")+IFERROR(IF(Z56="",0,Z56),"0")</f>
        <v>3.7960000000000001E-2</v>
      </c>
      <c r="AA57" s="546"/>
      <c r="AB57" s="546"/>
      <c r="AC57" s="546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5">
        <f>IFERROR(SUM(X51:X56),"0")</f>
        <v>20</v>
      </c>
      <c r="Y58" s="545">
        <f>IFERROR(SUM(Y51:Y56),"0")</f>
        <v>21.6</v>
      </c>
      <c r="Z58" s="37"/>
      <c r="AA58" s="546"/>
      <c r="AB58" s="546"/>
      <c r="AC58" s="546"/>
    </row>
    <row r="59" spans="1:68" ht="14.25" customHeight="1" x14ac:dyDescent="0.25">
      <c r="A59" s="558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11.234999999999999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200</v>
      </c>
      <c r="Y60" s="544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208.05555555555554</v>
      </c>
      <c r="BN60" s="64">
        <f>IFERROR(Y60*I60/H60,"0")</f>
        <v>213.46499999999997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5">
        <f>IFERROR(X60/H60,"0")+IFERROR(X61/H61,"0")+IFERROR(X62/H62,"0")</f>
        <v>18.518518518518519</v>
      </c>
      <c r="Y63" s="545">
        <f>IFERROR(Y60/H60,"0")+IFERROR(Y61/H61,"0")+IFERROR(Y62/H62,"0")</f>
        <v>19</v>
      </c>
      <c r="Z63" s="545">
        <f>IFERROR(IF(Z60="",0,Z60),"0")+IFERROR(IF(Z61="",0,Z61),"0")+IFERROR(IF(Z62="",0,Z62),"0")</f>
        <v>0.36062</v>
      </c>
      <c r="AA63" s="546"/>
      <c r="AB63" s="546"/>
      <c r="AC63" s="546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5">
        <f>IFERROR(SUM(X60:X62),"0")</f>
        <v>200</v>
      </c>
      <c r="Y64" s="545">
        <f>IFERROR(SUM(Y60:Y62),"0")</f>
        <v>205.20000000000002</v>
      </c>
      <c r="Z64" s="37"/>
      <c r="AA64" s="546"/>
      <c r="AB64" s="546"/>
      <c r="AC64" s="546"/>
    </row>
    <row r="65" spans="1:68" ht="14.25" customHeight="1" x14ac:dyDescent="0.25">
      <c r="A65" s="558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58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9"/>
      <c r="AB71" s="539"/>
      <c r="AC71" s="539"/>
    </row>
    <row r="72" spans="1:68" ht="16.5" customHeight="1" x14ac:dyDescent="0.25">
      <c r="A72" s="54" t="s">
        <v>153</v>
      </c>
      <c r="B72" s="54" t="s">
        <v>154</v>
      </c>
      <c r="C72" s="31">
        <v>4301051838</v>
      </c>
      <c r="D72" s="547">
        <v>4680115881891</v>
      </c>
      <c r="E72" s="548"/>
      <c r="F72" s="542">
        <v>1.4</v>
      </c>
      <c r="G72" s="32">
        <v>6</v>
      </c>
      <c r="H72" s="542">
        <v>8.4</v>
      </c>
      <c r="I72" s="542">
        <v>8.9190000000000005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40</v>
      </c>
      <c r="P72" s="84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47">
        <v>4680115885769</v>
      </c>
      <c r="E73" s="548"/>
      <c r="F73" s="542">
        <v>1.4</v>
      </c>
      <c r="G73" s="32">
        <v>6</v>
      </c>
      <c r="H73" s="542">
        <v>8.4</v>
      </c>
      <c r="I73" s="542">
        <v>8.8350000000000009</v>
      </c>
      <c r="J73" s="32">
        <v>64</v>
      </c>
      <c r="K73" s="32" t="s">
        <v>104</v>
      </c>
      <c r="L73" s="32"/>
      <c r="M73" s="33" t="s">
        <v>77</v>
      </c>
      <c r="N73" s="33"/>
      <c r="O73" s="32">
        <v>45</v>
      </c>
      <c r="P73" s="5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47">
        <v>4680115884311</v>
      </c>
      <c r="E74" s="548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76</v>
      </c>
      <c r="L74" s="32" t="s">
        <v>88</v>
      </c>
      <c r="M74" s="33" t="s">
        <v>77</v>
      </c>
      <c r="N74" s="33"/>
      <c r="O74" s="32">
        <v>40</v>
      </c>
      <c r="P74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 t="s">
        <v>90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7">
        <v>4680115885929</v>
      </c>
      <c r="E75" s="548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7">
        <v>4680115884403</v>
      </c>
      <c r="E76" s="548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76</v>
      </c>
      <c r="L76" s="32" t="s">
        <v>88</v>
      </c>
      <c r="M76" s="33" t="s">
        <v>77</v>
      </c>
      <c r="N76" s="33"/>
      <c r="O76" s="32">
        <v>40</v>
      </c>
      <c r="P76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 t="s">
        <v>90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2" t="s">
        <v>71</v>
      </c>
      <c r="Q77" s="563"/>
      <c r="R77" s="563"/>
      <c r="S77" s="563"/>
      <c r="T77" s="563"/>
      <c r="U77" s="563"/>
      <c r="V77" s="564"/>
      <c r="W77" s="37" t="s">
        <v>72</v>
      </c>
      <c r="X77" s="545">
        <f>IFERROR(X72/H72,"0")+IFERROR(X73/H73,"0")+IFERROR(X74/H74,"0")+IFERROR(X75/H75,"0")+IFERROR(X76/H76,"0")</f>
        <v>0</v>
      </c>
      <c r="Y77" s="545">
        <f>IFERROR(Y72/H72,"0")+IFERROR(Y73/H73,"0")+IFERROR(Y74/H74,"0")+IFERROR(Y75/H75,"0")+IFERROR(Y76/H76,"0")</f>
        <v>0</v>
      </c>
      <c r="Z77" s="545">
        <f>IFERROR(IF(Z72="",0,Z72),"0")+IFERROR(IF(Z73="",0,Z73),"0")+IFERROR(IF(Z74="",0,Z74),"0")+IFERROR(IF(Z75="",0,Z75),"0")+IFERROR(IF(Z76="",0,Z76),"0")</f>
        <v>0</v>
      </c>
      <c r="AA77" s="546"/>
      <c r="AB77" s="546"/>
      <c r="AC77" s="546"/>
    </row>
    <row r="78" spans="1:68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2" t="s">
        <v>71</v>
      </c>
      <c r="Q78" s="563"/>
      <c r="R78" s="563"/>
      <c r="S78" s="563"/>
      <c r="T78" s="563"/>
      <c r="U78" s="563"/>
      <c r="V78" s="564"/>
      <c r="W78" s="37" t="s">
        <v>69</v>
      </c>
      <c r="X78" s="545">
        <f>IFERROR(SUM(X72:X76),"0")</f>
        <v>0</v>
      </c>
      <c r="Y78" s="545">
        <f>IFERROR(SUM(Y72:Y76),"0")</f>
        <v>0</v>
      </c>
      <c r="Z78" s="37"/>
      <c r="AA78" s="546"/>
      <c r="AB78" s="546"/>
      <c r="AC78" s="546"/>
    </row>
    <row r="79" spans="1:68" ht="14.25" customHeight="1" x14ac:dyDescent="0.25">
      <c r="A79" s="558" t="s">
        <v>166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9"/>
      <c r="AB79" s="539"/>
      <c r="AC79" s="539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7">
        <v>4680115881532</v>
      </c>
      <c r="E80" s="548"/>
      <c r="F80" s="542">
        <v>1.3</v>
      </c>
      <c r="G80" s="32">
        <v>6</v>
      </c>
      <c r="H80" s="542">
        <v>7.8</v>
      </c>
      <c r="I80" s="542">
        <v>8.2349999999999994</v>
      </c>
      <c r="J80" s="32">
        <v>64</v>
      </c>
      <c r="K80" s="32" t="s">
        <v>104</v>
      </c>
      <c r="L80" s="32" t="s">
        <v>105</v>
      </c>
      <c r="M80" s="33" t="s">
        <v>84</v>
      </c>
      <c r="N80" s="33"/>
      <c r="O80" s="32">
        <v>30</v>
      </c>
      <c r="P80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90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7">
        <v>4680115881464</v>
      </c>
      <c r="E81" s="548"/>
      <c r="F81" s="542">
        <v>0.4</v>
      </c>
      <c r="G81" s="32">
        <v>6</v>
      </c>
      <c r="H81" s="542">
        <v>2.4</v>
      </c>
      <c r="I81" s="542">
        <v>2.61</v>
      </c>
      <c r="J81" s="32">
        <v>132</v>
      </c>
      <c r="K81" s="32" t="s">
        <v>110</v>
      </c>
      <c r="L81" s="32" t="s">
        <v>111</v>
      </c>
      <c r="M81" s="33" t="s">
        <v>77</v>
      </c>
      <c r="N81" s="33"/>
      <c r="O81" s="32">
        <v>30</v>
      </c>
      <c r="P81" s="58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 t="s">
        <v>90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2" t="s">
        <v>71</v>
      </c>
      <c r="Q82" s="563"/>
      <c r="R82" s="563"/>
      <c r="S82" s="563"/>
      <c r="T82" s="563"/>
      <c r="U82" s="563"/>
      <c r="V82" s="564"/>
      <c r="W82" s="37" t="s">
        <v>72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2" t="s">
        <v>71</v>
      </c>
      <c r="Q83" s="563"/>
      <c r="R83" s="563"/>
      <c r="S83" s="563"/>
      <c r="T83" s="563"/>
      <c r="U83" s="563"/>
      <c r="V83" s="564"/>
      <c r="W83" s="37" t="s">
        <v>69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customHeight="1" x14ac:dyDescent="0.25">
      <c r="A84" s="559" t="s">
        <v>173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8"/>
      <c r="AB84" s="538"/>
      <c r="AC84" s="538"/>
    </row>
    <row r="85" spans="1:68" ht="14.25" customHeight="1" x14ac:dyDescent="0.25">
      <c r="A85" s="558" t="s">
        <v>101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9"/>
      <c r="AB85" s="539"/>
      <c r="AC85" s="539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7">
        <v>4680115881327</v>
      </c>
      <c r="E86" s="548"/>
      <c r="F86" s="542">
        <v>1.35</v>
      </c>
      <c r="G86" s="32">
        <v>8</v>
      </c>
      <c r="H86" s="542">
        <v>10.8</v>
      </c>
      <c r="I86" s="542">
        <v>11.234999999999999</v>
      </c>
      <c r="J86" s="32">
        <v>64</v>
      </c>
      <c r="K86" s="32" t="s">
        <v>104</v>
      </c>
      <c r="L86" s="32" t="s">
        <v>105</v>
      </c>
      <c r="M86" s="33" t="s">
        <v>84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90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47">
        <v>4680115881518</v>
      </c>
      <c r="E87" s="548"/>
      <c r="F87" s="542">
        <v>0.4</v>
      </c>
      <c r="G87" s="32">
        <v>10</v>
      </c>
      <c r="H87" s="542">
        <v>4</v>
      </c>
      <c r="I87" s="542">
        <v>4.21</v>
      </c>
      <c r="J87" s="32">
        <v>132</v>
      </c>
      <c r="K87" s="32" t="s">
        <v>110</v>
      </c>
      <c r="L87" s="32"/>
      <c r="M87" s="33" t="s">
        <v>77</v>
      </c>
      <c r="N87" s="33"/>
      <c r="O87" s="32">
        <v>50</v>
      </c>
      <c r="P87" s="72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176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47">
        <v>4680115881303</v>
      </c>
      <c r="E88" s="548"/>
      <c r="F88" s="542">
        <v>0.45</v>
      </c>
      <c r="G88" s="32">
        <v>10</v>
      </c>
      <c r="H88" s="542">
        <v>4.5</v>
      </c>
      <c r="I88" s="542">
        <v>4.71</v>
      </c>
      <c r="J88" s="32">
        <v>132</v>
      </c>
      <c r="K88" s="32" t="s">
        <v>110</v>
      </c>
      <c r="L88" s="32" t="s">
        <v>111</v>
      </c>
      <c r="M88" s="33" t="s">
        <v>84</v>
      </c>
      <c r="N88" s="33"/>
      <c r="O88" s="32">
        <v>50</v>
      </c>
      <c r="P88" s="72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0"/>
      <c r="R88" s="550"/>
      <c r="S88" s="550"/>
      <c r="T88" s="551"/>
      <c r="U88" s="34"/>
      <c r="V88" s="34"/>
      <c r="W88" s="35" t="s">
        <v>69</v>
      </c>
      <c r="X88" s="543">
        <v>0</v>
      </c>
      <c r="Y88" s="5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90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2" t="s">
        <v>71</v>
      </c>
      <c r="Q89" s="563"/>
      <c r="R89" s="563"/>
      <c r="S89" s="563"/>
      <c r="T89" s="563"/>
      <c r="U89" s="563"/>
      <c r="V89" s="564"/>
      <c r="W89" s="37" t="s">
        <v>72</v>
      </c>
      <c r="X89" s="545">
        <f>IFERROR(X86/H86,"0")+IFERROR(X87/H87,"0")+IFERROR(X88/H88,"0")</f>
        <v>0</v>
      </c>
      <c r="Y89" s="545">
        <f>IFERROR(Y86/H86,"0")+IFERROR(Y87/H87,"0")+IFERROR(Y88/H88,"0")</f>
        <v>0</v>
      </c>
      <c r="Z89" s="545">
        <f>IFERROR(IF(Z86="",0,Z86),"0")+IFERROR(IF(Z87="",0,Z87),"0")+IFERROR(IF(Z88="",0,Z88),"0")</f>
        <v>0</v>
      </c>
      <c r="AA89" s="546"/>
      <c r="AB89" s="546"/>
      <c r="AC89" s="546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2" t="s">
        <v>71</v>
      </c>
      <c r="Q90" s="563"/>
      <c r="R90" s="563"/>
      <c r="S90" s="563"/>
      <c r="T90" s="563"/>
      <c r="U90" s="563"/>
      <c r="V90" s="564"/>
      <c r="W90" s="37" t="s">
        <v>69</v>
      </c>
      <c r="X90" s="545">
        <f>IFERROR(SUM(X86:X88),"0")</f>
        <v>0</v>
      </c>
      <c r="Y90" s="545">
        <f>IFERROR(SUM(Y86:Y88),"0")</f>
        <v>0</v>
      </c>
      <c r="Z90" s="37"/>
      <c r="AA90" s="546"/>
      <c r="AB90" s="546"/>
      <c r="AC90" s="546"/>
    </row>
    <row r="91" spans="1:68" ht="14.25" customHeight="1" x14ac:dyDescent="0.25">
      <c r="A91" s="558" t="s">
        <v>73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9"/>
      <c r="AB91" s="539"/>
      <c r="AC91" s="539"/>
    </row>
    <row r="92" spans="1:68" ht="16.5" customHeight="1" x14ac:dyDescent="0.25">
      <c r="A92" s="54" t="s">
        <v>181</v>
      </c>
      <c r="B92" s="54" t="s">
        <v>182</v>
      </c>
      <c r="C92" s="31">
        <v>4301051712</v>
      </c>
      <c r="D92" s="547">
        <v>4607091386967</v>
      </c>
      <c r="E92" s="548"/>
      <c r="F92" s="542">
        <v>1.35</v>
      </c>
      <c r="G92" s="32">
        <v>6</v>
      </c>
      <c r="H92" s="542">
        <v>8.1</v>
      </c>
      <c r="I92" s="542">
        <v>8.6189999999999998</v>
      </c>
      <c r="J92" s="32">
        <v>64</v>
      </c>
      <c r="K92" s="32" t="s">
        <v>104</v>
      </c>
      <c r="L92" s="32" t="s">
        <v>105</v>
      </c>
      <c r="M92" s="33" t="s">
        <v>84</v>
      </c>
      <c r="N92" s="33"/>
      <c r="O92" s="32">
        <v>45</v>
      </c>
      <c r="P92" s="60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40</v>
      </c>
      <c r="Y92" s="544">
        <f>IFERROR(IF(X92="",0,CEILING((X92/$H92),1)*$H92),"")</f>
        <v>40.5</v>
      </c>
      <c r="Z92" s="36">
        <f>IFERROR(IF(Y92=0,"",ROUNDUP(Y92/H92,0)*0.01898),"")</f>
        <v>9.4899999999999998E-2</v>
      </c>
      <c r="AA92" s="56"/>
      <c r="AB92" s="57"/>
      <c r="AC92" s="135" t="s">
        <v>183</v>
      </c>
      <c r="AG92" s="64"/>
      <c r="AJ92" s="68" t="s">
        <v>90</v>
      </c>
      <c r="AK92" s="68">
        <v>64.8</v>
      </c>
      <c r="BB92" s="136" t="s">
        <v>1</v>
      </c>
      <c r="BM92" s="64">
        <f>IFERROR(X92*I92/H92,"0")</f>
        <v>42.562962962962963</v>
      </c>
      <c r="BN92" s="64">
        <f>IFERROR(Y92*I92/H92,"0")</f>
        <v>43.095000000000006</v>
      </c>
      <c r="BO92" s="64">
        <f>IFERROR(1/J92*(X92/H92),"0")</f>
        <v>7.7160493827160503E-2</v>
      </c>
      <c r="BP92" s="64">
        <f>IFERROR(1/J92*(Y92/H92),"0")</f>
        <v>7.8125E-2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47">
        <v>4680115884953</v>
      </c>
      <c r="E93" s="548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9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47">
        <v>4607091385731</v>
      </c>
      <c r="E94" s="548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47">
        <v>4680115880894</v>
      </c>
      <c r="E95" s="548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76</v>
      </c>
      <c r="L95" s="32" t="s">
        <v>88</v>
      </c>
      <c r="M95" s="33" t="s">
        <v>77</v>
      </c>
      <c r="N95" s="33"/>
      <c r="O95" s="32">
        <v>45</v>
      </c>
      <c r="P95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0"/>
      <c r="R95" s="550"/>
      <c r="S95" s="550"/>
      <c r="T95" s="551"/>
      <c r="U95" s="34"/>
      <c r="V95" s="34"/>
      <c r="W95" s="35" t="s">
        <v>69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2" t="s">
        <v>71</v>
      </c>
      <c r="Q96" s="563"/>
      <c r="R96" s="563"/>
      <c r="S96" s="563"/>
      <c r="T96" s="563"/>
      <c r="U96" s="563"/>
      <c r="V96" s="564"/>
      <c r="W96" s="37" t="s">
        <v>72</v>
      </c>
      <c r="X96" s="545">
        <f>IFERROR(X92/H92,"0")+IFERROR(X93/H93,"0")+IFERROR(X94/H94,"0")+IFERROR(X95/H95,"0")</f>
        <v>4.9382716049382722</v>
      </c>
      <c r="Y96" s="545">
        <f>IFERROR(Y92/H92,"0")+IFERROR(Y93/H93,"0")+IFERROR(Y94/H94,"0")+IFERROR(Y95/H95,"0")</f>
        <v>5</v>
      </c>
      <c r="Z96" s="545">
        <f>IFERROR(IF(Z92="",0,Z92),"0")+IFERROR(IF(Z93="",0,Z93),"0")+IFERROR(IF(Z94="",0,Z94),"0")+IFERROR(IF(Z95="",0,Z95),"0")</f>
        <v>9.4899999999999998E-2</v>
      </c>
      <c r="AA96" s="546"/>
      <c r="AB96" s="546"/>
      <c r="AC96" s="546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2" t="s">
        <v>71</v>
      </c>
      <c r="Q97" s="563"/>
      <c r="R97" s="563"/>
      <c r="S97" s="563"/>
      <c r="T97" s="563"/>
      <c r="U97" s="563"/>
      <c r="V97" s="564"/>
      <c r="W97" s="37" t="s">
        <v>69</v>
      </c>
      <c r="X97" s="545">
        <f>IFERROR(SUM(X92:X95),"0")</f>
        <v>40</v>
      </c>
      <c r="Y97" s="545">
        <f>IFERROR(SUM(Y92:Y95),"0")</f>
        <v>40.5</v>
      </c>
      <c r="Z97" s="37"/>
      <c r="AA97" s="546"/>
      <c r="AB97" s="546"/>
      <c r="AC97" s="546"/>
    </row>
    <row r="98" spans="1:68" ht="16.5" customHeight="1" x14ac:dyDescent="0.25">
      <c r="A98" s="559" t="s">
        <v>192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8"/>
      <c r="AB98" s="538"/>
      <c r="AC98" s="538"/>
    </row>
    <row r="99" spans="1:68" ht="14.25" customHeight="1" x14ac:dyDescent="0.25">
      <c r="A99" s="558" t="s">
        <v>101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9"/>
      <c r="AB99" s="539"/>
      <c r="AC99" s="53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47">
        <v>4680115882133</v>
      </c>
      <c r="E100" s="548"/>
      <c r="F100" s="542">
        <v>1.35</v>
      </c>
      <c r="G100" s="32">
        <v>8</v>
      </c>
      <c r="H100" s="542">
        <v>10.8</v>
      </c>
      <c r="I100" s="542">
        <v>11.234999999999999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90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47">
        <v>4680115880269</v>
      </c>
      <c r="E101" s="548"/>
      <c r="F101" s="542">
        <v>0.375</v>
      </c>
      <c r="G101" s="32">
        <v>10</v>
      </c>
      <c r="H101" s="542">
        <v>3.75</v>
      </c>
      <c r="I101" s="542">
        <v>3.96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90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47">
        <v>4680115880429</v>
      </c>
      <c r="E102" s="548"/>
      <c r="F102" s="542">
        <v>0.45</v>
      </c>
      <c r="G102" s="32">
        <v>10</v>
      </c>
      <c r="H102" s="542">
        <v>4.5</v>
      </c>
      <c r="I102" s="542">
        <v>4.71</v>
      </c>
      <c r="J102" s="32">
        <v>132</v>
      </c>
      <c r="K102" s="32" t="s">
        <v>110</v>
      </c>
      <c r="L102" s="32" t="s">
        <v>111</v>
      </c>
      <c r="M102" s="33" t="s">
        <v>77</v>
      </c>
      <c r="N102" s="33"/>
      <c r="O102" s="32">
        <v>50</v>
      </c>
      <c r="P102" s="81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90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47">
        <v>4680115881457</v>
      </c>
      <c r="E103" s="548"/>
      <c r="F103" s="542">
        <v>0.75</v>
      </c>
      <c r="G103" s="32">
        <v>6</v>
      </c>
      <c r="H103" s="542">
        <v>4.5</v>
      </c>
      <c r="I103" s="542">
        <v>4.71</v>
      </c>
      <c r="J103" s="32">
        <v>132</v>
      </c>
      <c r="K103" s="32" t="s">
        <v>110</v>
      </c>
      <c r="L103" s="32"/>
      <c r="M103" s="33" t="s">
        <v>77</v>
      </c>
      <c r="N103" s="33"/>
      <c r="O103" s="32">
        <v>50</v>
      </c>
      <c r="P103" s="63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2" t="s">
        <v>71</v>
      </c>
      <c r="Q104" s="563"/>
      <c r="R104" s="563"/>
      <c r="S104" s="563"/>
      <c r="T104" s="563"/>
      <c r="U104" s="563"/>
      <c r="V104" s="564"/>
      <c r="W104" s="37" t="s">
        <v>72</v>
      </c>
      <c r="X104" s="545">
        <f>IFERROR(X100/H100,"0")+IFERROR(X101/H101,"0")+IFERROR(X102/H102,"0")+IFERROR(X103/H103,"0")</f>
        <v>0</v>
      </c>
      <c r="Y104" s="545">
        <f>IFERROR(Y100/H100,"0")+IFERROR(Y101/H101,"0")+IFERROR(Y102/H102,"0")+IFERROR(Y103/H103,"0")</f>
        <v>0</v>
      </c>
      <c r="Z104" s="545">
        <f>IFERROR(IF(Z100="",0,Z100),"0")+IFERROR(IF(Z101="",0,Z101),"0")+IFERROR(IF(Z102="",0,Z102),"0")+IFERROR(IF(Z103="",0,Z103),"0")</f>
        <v>0</v>
      </c>
      <c r="AA104" s="546"/>
      <c r="AB104" s="546"/>
      <c r="AC104" s="546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2" t="s">
        <v>71</v>
      </c>
      <c r="Q105" s="563"/>
      <c r="R105" s="563"/>
      <c r="S105" s="563"/>
      <c r="T105" s="563"/>
      <c r="U105" s="563"/>
      <c r="V105" s="564"/>
      <c r="W105" s="37" t="s">
        <v>69</v>
      </c>
      <c r="X105" s="545">
        <f>IFERROR(SUM(X100:X103),"0")</f>
        <v>0</v>
      </c>
      <c r="Y105" s="545">
        <f>IFERROR(SUM(Y100:Y103),"0")</f>
        <v>0</v>
      </c>
      <c r="Z105" s="37"/>
      <c r="AA105" s="546"/>
      <c r="AB105" s="546"/>
      <c r="AC105" s="546"/>
    </row>
    <row r="106" spans="1:68" ht="14.25" customHeight="1" x14ac:dyDescent="0.25">
      <c r="A106" s="558" t="s">
        <v>136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9"/>
      <c r="AB106" s="539"/>
      <c r="AC106" s="539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47">
        <v>4680115881488</v>
      </c>
      <c r="E107" s="548"/>
      <c r="F107" s="542">
        <v>1.35</v>
      </c>
      <c r="G107" s="32">
        <v>8</v>
      </c>
      <c r="H107" s="542">
        <v>10.8</v>
      </c>
      <c r="I107" s="542">
        <v>11.234999999999999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67</v>
      </c>
      <c r="L108" s="32"/>
      <c r="M108" s="33" t="s">
        <v>106</v>
      </c>
      <c r="N108" s="33"/>
      <c r="O108" s="32">
        <v>55</v>
      </c>
      <c r="P108" s="76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207</v>
      </c>
      <c r="B109" s="54" t="s">
        <v>208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76</v>
      </c>
      <c r="L109" s="32"/>
      <c r="M109" s="33" t="s">
        <v>106</v>
      </c>
      <c r="N109" s="33"/>
      <c r="O109" s="32">
        <v>55</v>
      </c>
      <c r="P109" s="7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2" t="s">
        <v>71</v>
      </c>
      <c r="Q110" s="563"/>
      <c r="R110" s="563"/>
      <c r="S110" s="563"/>
      <c r="T110" s="563"/>
      <c r="U110" s="563"/>
      <c r="V110" s="564"/>
      <c r="W110" s="37" t="s">
        <v>72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2" t="s">
        <v>71</v>
      </c>
      <c r="Q111" s="563"/>
      <c r="R111" s="563"/>
      <c r="S111" s="563"/>
      <c r="T111" s="563"/>
      <c r="U111" s="563"/>
      <c r="V111" s="564"/>
      <c r="W111" s="37" t="s">
        <v>69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customHeight="1" x14ac:dyDescent="0.25">
      <c r="A112" s="558" t="s">
        <v>73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9"/>
      <c r="AB112" s="539"/>
      <c r="AC112" s="539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8.6129999999999995</v>
      </c>
      <c r="J113" s="32">
        <v>64</v>
      </c>
      <c r="K113" s="32" t="s">
        <v>104</v>
      </c>
      <c r="L113" s="32" t="s">
        <v>105</v>
      </c>
      <c r="M113" s="33" t="s">
        <v>84</v>
      </c>
      <c r="N113" s="33"/>
      <c r="O113" s="32">
        <v>45</v>
      </c>
      <c r="P113" s="6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130</v>
      </c>
      <c r="Y113" s="544">
        <f>IFERROR(IF(X113="",0,CEILING((X113/$H113),1)*$H113),"")</f>
        <v>137.69999999999999</v>
      </c>
      <c r="Z113" s="36">
        <f>IFERROR(IF(Y113=0,"",ROUNDUP(Y113/H113,0)*0.01898),"")</f>
        <v>0.32266</v>
      </c>
      <c r="AA113" s="56"/>
      <c r="AB113" s="57"/>
      <c r="AC113" s="157" t="s">
        <v>211</v>
      </c>
      <c r="AG113" s="64"/>
      <c r="AJ113" s="68" t="s">
        <v>90</v>
      </c>
      <c r="AK113" s="68">
        <v>64.8</v>
      </c>
      <c r="BB113" s="158" t="s">
        <v>1</v>
      </c>
      <c r="BM113" s="64">
        <f>IFERROR(X113*I113/H113,"0")</f>
        <v>138.23333333333335</v>
      </c>
      <c r="BN113" s="64">
        <f>IFERROR(Y113*I113/H113,"0")</f>
        <v>146.42099999999996</v>
      </c>
      <c r="BO113" s="64">
        <f>IFERROR(1/J113*(X113/H113),"0")</f>
        <v>0.25077160493827161</v>
      </c>
      <c r="BP113" s="64">
        <f>IFERROR(1/J113*(Y113/H113),"0")</f>
        <v>0.265625</v>
      </c>
    </row>
    <row r="114" spans="1:68" ht="27" customHeight="1" x14ac:dyDescent="0.25">
      <c r="A114" s="54" t="s">
        <v>212</v>
      </c>
      <c r="B114" s="54" t="s">
        <v>213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 t="s">
        <v>90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76</v>
      </c>
      <c r="L115" s="32" t="s">
        <v>88</v>
      </c>
      <c r="M115" s="33" t="s">
        <v>84</v>
      </c>
      <c r="N115" s="33"/>
      <c r="O115" s="32">
        <v>45</v>
      </c>
      <c r="P115" s="73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211</v>
      </c>
      <c r="AG115" s="64"/>
      <c r="AJ115" s="68" t="s">
        <v>90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216</v>
      </c>
      <c r="B116" s="54" t="s">
        <v>217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76</v>
      </c>
      <c r="L116" s="32" t="s">
        <v>88</v>
      </c>
      <c r="M116" s="33" t="s">
        <v>77</v>
      </c>
      <c r="N116" s="33"/>
      <c r="O116" s="32">
        <v>45</v>
      </c>
      <c r="P116" s="63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90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2" t="s">
        <v>71</v>
      </c>
      <c r="Q117" s="563"/>
      <c r="R117" s="563"/>
      <c r="S117" s="563"/>
      <c r="T117" s="563"/>
      <c r="U117" s="563"/>
      <c r="V117" s="564"/>
      <c r="W117" s="37" t="s">
        <v>72</v>
      </c>
      <c r="X117" s="545">
        <f>IFERROR(X113/H113,"0")+IFERROR(X114/H114,"0")+IFERROR(X115/H115,"0")+IFERROR(X116/H116,"0")</f>
        <v>16.049382716049383</v>
      </c>
      <c r="Y117" s="545">
        <f>IFERROR(Y113/H113,"0")+IFERROR(Y114/H114,"0")+IFERROR(Y115/H115,"0")+IFERROR(Y116/H116,"0")</f>
        <v>17</v>
      </c>
      <c r="Z117" s="545">
        <f>IFERROR(IF(Z113="",0,Z113),"0")+IFERROR(IF(Z114="",0,Z114),"0")+IFERROR(IF(Z115="",0,Z115),"0")+IFERROR(IF(Z116="",0,Z116),"0")</f>
        <v>0.32266</v>
      </c>
      <c r="AA117" s="546"/>
      <c r="AB117" s="546"/>
      <c r="AC117" s="546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2" t="s">
        <v>71</v>
      </c>
      <c r="Q118" s="563"/>
      <c r="R118" s="563"/>
      <c r="S118" s="563"/>
      <c r="T118" s="563"/>
      <c r="U118" s="563"/>
      <c r="V118" s="564"/>
      <c r="W118" s="37" t="s">
        <v>69</v>
      </c>
      <c r="X118" s="545">
        <f>IFERROR(SUM(X113:X116),"0")</f>
        <v>130</v>
      </c>
      <c r="Y118" s="545">
        <f>IFERROR(SUM(Y113:Y116),"0")</f>
        <v>137.69999999999999</v>
      </c>
      <c r="Z118" s="37"/>
      <c r="AA118" s="546"/>
      <c r="AB118" s="546"/>
      <c r="AC118" s="546"/>
    </row>
    <row r="119" spans="1:68" ht="14.25" customHeight="1" x14ac:dyDescent="0.25">
      <c r="A119" s="558" t="s">
        <v>166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9"/>
      <c r="AB119" s="539"/>
      <c r="AC119" s="539"/>
    </row>
    <row r="120" spans="1:68" ht="16.5" customHeight="1" x14ac:dyDescent="0.25">
      <c r="A120" s="54" t="s">
        <v>219</v>
      </c>
      <c r="B120" s="54" t="s">
        <v>220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76</v>
      </c>
      <c r="L120" s="32" t="s">
        <v>88</v>
      </c>
      <c r="M120" s="33" t="s">
        <v>77</v>
      </c>
      <c r="N120" s="33"/>
      <c r="O120" s="32">
        <v>40</v>
      </c>
      <c r="P120" s="6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0"/>
      <c r="R120" s="550"/>
      <c r="S120" s="550"/>
      <c r="T120" s="551"/>
      <c r="U120" s="34"/>
      <c r="V120" s="34"/>
      <c r="W120" s="35" t="s">
        <v>69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 t="s">
        <v>90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2" t="s">
        <v>71</v>
      </c>
      <c r="Q121" s="563"/>
      <c r="R121" s="563"/>
      <c r="S121" s="563"/>
      <c r="T121" s="563"/>
      <c r="U121" s="563"/>
      <c r="V121" s="564"/>
      <c r="W121" s="37" t="s">
        <v>72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2" t="s">
        <v>71</v>
      </c>
      <c r="Q122" s="563"/>
      <c r="R122" s="563"/>
      <c r="S122" s="563"/>
      <c r="T122" s="563"/>
      <c r="U122" s="563"/>
      <c r="V122" s="564"/>
      <c r="W122" s="37" t="s">
        <v>69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customHeight="1" x14ac:dyDescent="0.25">
      <c r="A123" s="559" t="s">
        <v>222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8"/>
      <c r="AB123" s="538"/>
      <c r="AC123" s="538"/>
    </row>
    <row r="124" spans="1:68" ht="14.25" customHeight="1" x14ac:dyDescent="0.25">
      <c r="A124" s="558" t="s">
        <v>101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9"/>
      <c r="AB124" s="539"/>
      <c r="AC124" s="539"/>
    </row>
    <row r="125" spans="1:68" ht="27" customHeight="1" x14ac:dyDescent="0.25">
      <c r="A125" s="54" t="s">
        <v>223</v>
      </c>
      <c r="B125" s="54" t="s">
        <v>224</v>
      </c>
      <c r="C125" s="31">
        <v>4301011562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223</v>
      </c>
      <c r="B126" s="54" t="s">
        <v>226</v>
      </c>
      <c r="C126" s="31">
        <v>4301011564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76</v>
      </c>
      <c r="L126" s="32" t="s">
        <v>88</v>
      </c>
      <c r="M126" s="33" t="s">
        <v>96</v>
      </c>
      <c r="N126" s="33"/>
      <c r="O126" s="32">
        <v>90</v>
      </c>
      <c r="P126" s="86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90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2" t="s">
        <v>71</v>
      </c>
      <c r="Q127" s="563"/>
      <c r="R127" s="563"/>
      <c r="S127" s="563"/>
      <c r="T127" s="563"/>
      <c r="U127" s="563"/>
      <c r="V127" s="564"/>
      <c r="W127" s="37" t="s">
        <v>72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2" t="s">
        <v>71</v>
      </c>
      <c r="Q128" s="563"/>
      <c r="R128" s="563"/>
      <c r="S128" s="563"/>
      <c r="T128" s="563"/>
      <c r="U128" s="563"/>
      <c r="V128" s="564"/>
      <c r="W128" s="37" t="s">
        <v>69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customHeight="1" x14ac:dyDescent="0.25">
      <c r="A129" s="558" t="s">
        <v>64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9"/>
      <c r="AB129" s="539"/>
      <c r="AC129" s="539"/>
    </row>
    <row r="130" spans="1:68" ht="27" customHeight="1" x14ac:dyDescent="0.25">
      <c r="A130" s="54" t="s">
        <v>227</v>
      </c>
      <c r="B130" s="54" t="s">
        <v>228</v>
      </c>
      <c r="C130" s="31">
        <v>4301031235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227</v>
      </c>
      <c r="B131" s="54" t="s">
        <v>230</v>
      </c>
      <c r="C131" s="31">
        <v>4301031234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76</v>
      </c>
      <c r="L131" s="32" t="s">
        <v>88</v>
      </c>
      <c r="M131" s="33" t="s">
        <v>96</v>
      </c>
      <c r="N131" s="33"/>
      <c r="O131" s="32">
        <v>90</v>
      </c>
      <c r="P131" s="6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90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2" t="s">
        <v>71</v>
      </c>
      <c r="Q132" s="563"/>
      <c r="R132" s="563"/>
      <c r="S132" s="563"/>
      <c r="T132" s="563"/>
      <c r="U132" s="563"/>
      <c r="V132" s="564"/>
      <c r="W132" s="37" t="s">
        <v>72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2" t="s">
        <v>71</v>
      </c>
      <c r="Q133" s="563"/>
      <c r="R133" s="563"/>
      <c r="S133" s="563"/>
      <c r="T133" s="563"/>
      <c r="U133" s="563"/>
      <c r="V133" s="564"/>
      <c r="W133" s="37" t="s">
        <v>69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customHeight="1" x14ac:dyDescent="0.25">
      <c r="A134" s="558" t="s">
        <v>73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9"/>
      <c r="AB134" s="539"/>
      <c r="AC134" s="539"/>
    </row>
    <row r="135" spans="1:68" ht="16.5" customHeight="1" x14ac:dyDescent="0.25">
      <c r="A135" s="54" t="s">
        <v>231</v>
      </c>
      <c r="B135" s="54" t="s">
        <v>232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82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231</v>
      </c>
      <c r="B136" s="54" t="s">
        <v>233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76</v>
      </c>
      <c r="L136" s="32" t="s">
        <v>88</v>
      </c>
      <c r="M136" s="33" t="s">
        <v>96</v>
      </c>
      <c r="N136" s="33"/>
      <c r="O136" s="32">
        <v>60</v>
      </c>
      <c r="P136" s="8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0"/>
      <c r="R136" s="550"/>
      <c r="S136" s="550"/>
      <c r="T136" s="551"/>
      <c r="U136" s="34"/>
      <c r="V136" s="34"/>
      <c r="W136" s="35" t="s">
        <v>69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 t="s">
        <v>90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2" t="s">
        <v>71</v>
      </c>
      <c r="Q137" s="563"/>
      <c r="R137" s="563"/>
      <c r="S137" s="563"/>
      <c r="T137" s="563"/>
      <c r="U137" s="563"/>
      <c r="V137" s="564"/>
      <c r="W137" s="37" t="s">
        <v>72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2" t="s">
        <v>71</v>
      </c>
      <c r="Q138" s="563"/>
      <c r="R138" s="563"/>
      <c r="S138" s="563"/>
      <c r="T138" s="563"/>
      <c r="U138" s="563"/>
      <c r="V138" s="564"/>
      <c r="W138" s="37" t="s">
        <v>69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customHeight="1" x14ac:dyDescent="0.25">
      <c r="A139" s="559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8"/>
      <c r="AB139" s="538"/>
      <c r="AC139" s="538"/>
    </row>
    <row r="140" spans="1:68" ht="14.25" customHeight="1" x14ac:dyDescent="0.25">
      <c r="A140" s="558" t="s">
        <v>101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9"/>
      <c r="AB140" s="539"/>
      <c r="AC140" s="539"/>
    </row>
    <row r="141" spans="1:68" ht="27" customHeight="1" x14ac:dyDescent="0.25">
      <c r="A141" s="54" t="s">
        <v>234</v>
      </c>
      <c r="B141" s="54" t="s">
        <v>235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13.234999999999999</v>
      </c>
      <c r="J141" s="32">
        <v>64</v>
      </c>
      <c r="K141" s="32" t="s">
        <v>104</v>
      </c>
      <c r="L141" s="32"/>
      <c r="M141" s="33" t="s">
        <v>106</v>
      </c>
      <c r="N141" s="33"/>
      <c r="O141" s="32">
        <v>55</v>
      </c>
      <c r="P141" s="74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238</v>
      </c>
      <c r="B142" s="54" t="s">
        <v>239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4.21</v>
      </c>
      <c r="J142" s="32">
        <v>132</v>
      </c>
      <c r="K142" s="32" t="s">
        <v>110</v>
      </c>
      <c r="L142" s="32" t="s">
        <v>111</v>
      </c>
      <c r="M142" s="33" t="s">
        <v>106</v>
      </c>
      <c r="N142" s="33"/>
      <c r="O142" s="32">
        <v>50</v>
      </c>
      <c r="P142" s="6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 t="s">
        <v>90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241</v>
      </c>
      <c r="B143" s="54" t="s">
        <v>242</v>
      </c>
      <c r="C143" s="31">
        <v>4301012179</v>
      </c>
      <c r="D143" s="547">
        <v>4680115886810</v>
      </c>
      <c r="E143" s="548"/>
      <c r="F143" s="542">
        <v>0.3</v>
      </c>
      <c r="G143" s="32">
        <v>10</v>
      </c>
      <c r="H143" s="542">
        <v>3</v>
      </c>
      <c r="I143" s="542">
        <v>3.18</v>
      </c>
      <c r="J143" s="32">
        <v>182</v>
      </c>
      <c r="K143" s="32" t="s">
        <v>76</v>
      </c>
      <c r="L143" s="32"/>
      <c r="M143" s="33" t="s">
        <v>106</v>
      </c>
      <c r="N143" s="33"/>
      <c r="O143" s="32">
        <v>55</v>
      </c>
      <c r="P143" s="74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3">
        <v>0</v>
      </c>
      <c r="Y143" s="5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2" t="s">
        <v>71</v>
      </c>
      <c r="Q144" s="563"/>
      <c r="R144" s="563"/>
      <c r="S144" s="563"/>
      <c r="T144" s="563"/>
      <c r="U144" s="563"/>
      <c r="V144" s="564"/>
      <c r="W144" s="37" t="s">
        <v>72</v>
      </c>
      <c r="X144" s="545">
        <f>IFERROR(X141/H141,"0")+IFERROR(X142/H142,"0")+IFERROR(X143/H143,"0")</f>
        <v>0</v>
      </c>
      <c r="Y144" s="545">
        <f>IFERROR(Y141/H141,"0")+IFERROR(Y142/H142,"0")+IFERROR(Y143/H143,"0")</f>
        <v>0</v>
      </c>
      <c r="Z144" s="545">
        <f>IFERROR(IF(Z141="",0,Z141),"0")+IFERROR(IF(Z142="",0,Z142),"0")+IFERROR(IF(Z143="",0,Z143),"0")</f>
        <v>0</v>
      </c>
      <c r="AA144" s="546"/>
      <c r="AB144" s="546"/>
      <c r="AC144" s="546"/>
    </row>
    <row r="145" spans="1:68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2" t="s">
        <v>71</v>
      </c>
      <c r="Q145" s="563"/>
      <c r="R145" s="563"/>
      <c r="S145" s="563"/>
      <c r="T145" s="563"/>
      <c r="U145" s="563"/>
      <c r="V145" s="564"/>
      <c r="W145" s="37" t="s">
        <v>69</v>
      </c>
      <c r="X145" s="545">
        <f>IFERROR(SUM(X141:X143),"0")</f>
        <v>0</v>
      </c>
      <c r="Y145" s="545">
        <f>IFERROR(SUM(Y141:Y143),"0")</f>
        <v>0</v>
      </c>
      <c r="Z145" s="37"/>
      <c r="AA145" s="546"/>
      <c r="AB145" s="546"/>
      <c r="AC145" s="546"/>
    </row>
    <row r="146" spans="1:68" ht="14.25" customHeight="1" x14ac:dyDescent="0.25">
      <c r="A146" s="558" t="s">
        <v>64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9"/>
      <c r="AB146" s="539"/>
      <c r="AC146" s="539"/>
    </row>
    <row r="147" spans="1:68" ht="16.5" customHeight="1" x14ac:dyDescent="0.25">
      <c r="A147" s="54" t="s">
        <v>244</v>
      </c>
      <c r="B147" s="54" t="s">
        <v>245</v>
      </c>
      <c r="C147" s="31">
        <v>4301030895</v>
      </c>
      <c r="D147" s="547">
        <v>4607091387667</v>
      </c>
      <c r="E147" s="548"/>
      <c r="F147" s="542">
        <v>0.9</v>
      </c>
      <c r="G147" s="32">
        <v>10</v>
      </c>
      <c r="H147" s="542">
        <v>9</v>
      </c>
      <c r="I147" s="542">
        <v>9.5850000000000009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247</v>
      </c>
      <c r="B148" s="54" t="s">
        <v>248</v>
      </c>
      <c r="C148" s="31">
        <v>4301030961</v>
      </c>
      <c r="D148" s="547">
        <v>4607091387636</v>
      </c>
      <c r="E148" s="548"/>
      <c r="F148" s="542">
        <v>0.7</v>
      </c>
      <c r="G148" s="32">
        <v>6</v>
      </c>
      <c r="H148" s="542">
        <v>4.2</v>
      </c>
      <c r="I148" s="542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63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250</v>
      </c>
      <c r="B149" s="54" t="s">
        <v>251</v>
      </c>
      <c r="C149" s="31">
        <v>4301030963</v>
      </c>
      <c r="D149" s="547">
        <v>4607091382426</v>
      </c>
      <c r="E149" s="548"/>
      <c r="F149" s="542">
        <v>0.9</v>
      </c>
      <c r="G149" s="32">
        <v>10</v>
      </c>
      <c r="H149" s="542">
        <v>9</v>
      </c>
      <c r="I149" s="542">
        <v>9.5850000000000009</v>
      </c>
      <c r="J149" s="32">
        <v>64</v>
      </c>
      <c r="K149" s="32" t="s">
        <v>104</v>
      </c>
      <c r="L149" s="32" t="s">
        <v>105</v>
      </c>
      <c r="M149" s="33" t="s">
        <v>68</v>
      </c>
      <c r="N149" s="33"/>
      <c r="O149" s="32">
        <v>40</v>
      </c>
      <c r="P149" s="86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3">
        <v>0</v>
      </c>
      <c r="Y149" s="544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 t="s">
        <v>90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2" t="s">
        <v>71</v>
      </c>
      <c r="Q150" s="563"/>
      <c r="R150" s="563"/>
      <c r="S150" s="563"/>
      <c r="T150" s="563"/>
      <c r="U150" s="563"/>
      <c r="V150" s="564"/>
      <c r="W150" s="37" t="s">
        <v>72</v>
      </c>
      <c r="X150" s="545">
        <f>IFERROR(X147/H147,"0")+IFERROR(X148/H148,"0")+IFERROR(X149/H149,"0")</f>
        <v>0</v>
      </c>
      <c r="Y150" s="545">
        <f>IFERROR(Y147/H147,"0")+IFERROR(Y148/H148,"0")+IFERROR(Y149/H149,"0")</f>
        <v>0</v>
      </c>
      <c r="Z150" s="545">
        <f>IFERROR(IF(Z147="",0,Z147),"0")+IFERROR(IF(Z148="",0,Z148),"0")+IFERROR(IF(Z149="",0,Z149),"0")</f>
        <v>0</v>
      </c>
      <c r="AA150" s="546"/>
      <c r="AB150" s="546"/>
      <c r="AC150" s="546"/>
    </row>
    <row r="151" spans="1:68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2" t="s">
        <v>71</v>
      </c>
      <c r="Q151" s="563"/>
      <c r="R151" s="563"/>
      <c r="S151" s="563"/>
      <c r="T151" s="563"/>
      <c r="U151" s="563"/>
      <c r="V151" s="564"/>
      <c r="W151" s="37" t="s">
        <v>69</v>
      </c>
      <c r="X151" s="545">
        <f>IFERROR(SUM(X147:X149),"0")</f>
        <v>0</v>
      </c>
      <c r="Y151" s="545">
        <f>IFERROR(SUM(Y147:Y149),"0")</f>
        <v>0</v>
      </c>
      <c r="Z151" s="37"/>
      <c r="AA151" s="546"/>
      <c r="AB151" s="546"/>
      <c r="AC151" s="546"/>
    </row>
    <row r="152" spans="1:68" ht="14.25" customHeight="1" x14ac:dyDescent="0.25">
      <c r="A152" s="558" t="s">
        <v>73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9"/>
      <c r="AB152" s="539"/>
      <c r="AC152" s="539"/>
    </row>
    <row r="153" spans="1:68" ht="27" customHeight="1" x14ac:dyDescent="0.25">
      <c r="A153" s="54" t="s">
        <v>253</v>
      </c>
      <c r="B153" s="54" t="s">
        <v>254</v>
      </c>
      <c r="C153" s="31">
        <v>4301052064</v>
      </c>
      <c r="D153" s="547">
        <v>4680115887459</v>
      </c>
      <c r="E153" s="548"/>
      <c r="F153" s="542">
        <v>0.3</v>
      </c>
      <c r="G153" s="32">
        <v>6</v>
      </c>
      <c r="H153" s="542">
        <v>1.8</v>
      </c>
      <c r="I153" s="542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32" t="s">
        <v>255</v>
      </c>
      <c r="Q153" s="550"/>
      <c r="R153" s="550"/>
      <c r="S153" s="550"/>
      <c r="T153" s="551"/>
      <c r="U153" s="34"/>
      <c r="V153" s="34"/>
      <c r="W153" s="35" t="s">
        <v>69</v>
      </c>
      <c r="X153" s="543">
        <v>0</v>
      </c>
      <c r="Y153" s="54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2" t="s">
        <v>71</v>
      </c>
      <c r="Q154" s="563"/>
      <c r="R154" s="563"/>
      <c r="S154" s="563"/>
      <c r="T154" s="563"/>
      <c r="U154" s="563"/>
      <c r="V154" s="564"/>
      <c r="W154" s="37" t="s">
        <v>72</v>
      </c>
      <c r="X154" s="545">
        <f>IFERROR(X153/H153,"0")</f>
        <v>0</v>
      </c>
      <c r="Y154" s="545">
        <f>IFERROR(Y153/H153,"0")</f>
        <v>0</v>
      </c>
      <c r="Z154" s="545">
        <f>IFERROR(IF(Z153="",0,Z153),"0")</f>
        <v>0</v>
      </c>
      <c r="AA154" s="546"/>
      <c r="AB154" s="546"/>
      <c r="AC154" s="546"/>
    </row>
    <row r="155" spans="1:68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2" t="s">
        <v>71</v>
      </c>
      <c r="Q155" s="563"/>
      <c r="R155" s="563"/>
      <c r="S155" s="563"/>
      <c r="T155" s="563"/>
      <c r="U155" s="563"/>
      <c r="V155" s="564"/>
      <c r="W155" s="37" t="s">
        <v>69</v>
      </c>
      <c r="X155" s="545">
        <f>IFERROR(SUM(X153:X153),"0")</f>
        <v>0</v>
      </c>
      <c r="Y155" s="545">
        <f>IFERROR(SUM(Y153:Y153),"0")</f>
        <v>0</v>
      </c>
      <c r="Z155" s="37"/>
      <c r="AA155" s="546"/>
      <c r="AB155" s="546"/>
      <c r="AC155" s="546"/>
    </row>
    <row r="156" spans="1:68" ht="27.75" customHeight="1" x14ac:dyDescent="0.2">
      <c r="A156" s="566" t="s">
        <v>257</v>
      </c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  <c r="AA156" s="48"/>
      <c r="AB156" s="48"/>
      <c r="AC156" s="48"/>
    </row>
    <row r="157" spans="1:68" ht="16.5" customHeight="1" x14ac:dyDescent="0.25">
      <c r="A157" s="559" t="s">
        <v>258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8"/>
      <c r="AB157" s="538"/>
      <c r="AC157" s="538"/>
    </row>
    <row r="158" spans="1:68" ht="14.25" customHeight="1" x14ac:dyDescent="0.25">
      <c r="A158" s="558" t="s">
        <v>136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9"/>
      <c r="AB158" s="539"/>
      <c r="AC158" s="539"/>
    </row>
    <row r="159" spans="1:68" ht="27" customHeight="1" x14ac:dyDescent="0.25">
      <c r="A159" s="54" t="s">
        <v>259</v>
      </c>
      <c r="B159" s="54" t="s">
        <v>260</v>
      </c>
      <c r="C159" s="31">
        <v>4301020323</v>
      </c>
      <c r="D159" s="547">
        <v>4680115886223</v>
      </c>
      <c r="E159" s="548"/>
      <c r="F159" s="542">
        <v>0.33</v>
      </c>
      <c r="G159" s="32">
        <v>6</v>
      </c>
      <c r="H159" s="542">
        <v>1.98</v>
      </c>
      <c r="I159" s="542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0"/>
      <c r="R159" s="550"/>
      <c r="S159" s="550"/>
      <c r="T159" s="551"/>
      <c r="U159" s="34"/>
      <c r="V159" s="34"/>
      <c r="W159" s="35" t="s">
        <v>69</v>
      </c>
      <c r="X159" s="543">
        <v>0</v>
      </c>
      <c r="Y159" s="544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2" t="s">
        <v>71</v>
      </c>
      <c r="Q160" s="563"/>
      <c r="R160" s="563"/>
      <c r="S160" s="563"/>
      <c r="T160" s="563"/>
      <c r="U160" s="563"/>
      <c r="V160" s="564"/>
      <c r="W160" s="37" t="s">
        <v>72</v>
      </c>
      <c r="X160" s="545">
        <f>IFERROR(X159/H159,"0")</f>
        <v>0</v>
      </c>
      <c r="Y160" s="545">
        <f>IFERROR(Y159/H159,"0")</f>
        <v>0</v>
      </c>
      <c r="Z160" s="545">
        <f>IFERROR(IF(Z159="",0,Z159),"0")</f>
        <v>0</v>
      </c>
      <c r="AA160" s="546"/>
      <c r="AB160" s="546"/>
      <c r="AC160" s="546"/>
    </row>
    <row r="161" spans="1:68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2" t="s">
        <v>71</v>
      </c>
      <c r="Q161" s="563"/>
      <c r="R161" s="563"/>
      <c r="S161" s="563"/>
      <c r="T161" s="563"/>
      <c r="U161" s="563"/>
      <c r="V161" s="564"/>
      <c r="W161" s="37" t="s">
        <v>69</v>
      </c>
      <c r="X161" s="545">
        <f>IFERROR(SUM(X159:X159),"0")</f>
        <v>0</v>
      </c>
      <c r="Y161" s="545">
        <f>IFERROR(SUM(Y159:Y159),"0")</f>
        <v>0</v>
      </c>
      <c r="Z161" s="37"/>
      <c r="AA161" s="546"/>
      <c r="AB161" s="546"/>
      <c r="AC161" s="546"/>
    </row>
    <row r="162" spans="1:68" ht="14.25" customHeight="1" x14ac:dyDescent="0.25">
      <c r="A162" s="558" t="s">
        <v>64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9"/>
      <c r="AB162" s="539"/>
      <c r="AC162" s="539"/>
    </row>
    <row r="163" spans="1:68" ht="27" customHeight="1" x14ac:dyDescent="0.25">
      <c r="A163" s="54" t="s">
        <v>262</v>
      </c>
      <c r="B163" s="54" t="s">
        <v>263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ref="Y163:Y171" si="5"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ref="BM163:BM171" si="6">IFERROR(X163*I163/H163,"0")</f>
        <v>0</v>
      </c>
      <c r="BN163" s="64">
        <f t="shared" ref="BN163:BN171" si="7">IFERROR(Y163*I163/H163,"0")</f>
        <v>0</v>
      </c>
      <c r="BO163" s="64">
        <f t="shared" ref="BO163:BO171" si="8">IFERROR(1/J163*(X163/H163),"0")</f>
        <v>0</v>
      </c>
      <c r="BP163" s="64">
        <f t="shared" ref="BP163:BP171" si="9">IFERROR(1/J163*(Y163/H163),"0")</f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4.47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4.41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7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273</v>
      </c>
      <c r="M167" s="33" t="s">
        <v>68</v>
      </c>
      <c r="N167" s="33"/>
      <c r="O167" s="32">
        <v>40</v>
      </c>
      <c r="P167" s="67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7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5">
        <f>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5">
        <f>IFERROR(SUM(X163:X171),"0")</f>
        <v>0</v>
      </c>
      <c r="Y173" s="545">
        <f>IFERROR(SUM(Y163:Y171),"0")</f>
        <v>0</v>
      </c>
      <c r="Z173" s="37"/>
      <c r="AA173" s="546"/>
      <c r="AB173" s="546"/>
      <c r="AC173" s="546"/>
    </row>
    <row r="174" spans="1:68" ht="14.25" customHeight="1" x14ac:dyDescent="0.25">
      <c r="A174" s="558" t="s">
        <v>93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9"/>
      <c r="AB174" s="539"/>
      <c r="AC174" s="539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58" t="s">
        <v>296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9"/>
      <c r="AB180" s="539"/>
      <c r="AC180" s="539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59" t="s">
        <v>299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8"/>
      <c r="AB184" s="538"/>
      <c r="AC184" s="538"/>
    </row>
    <row r="185" spans="1:68" ht="14.25" customHeight="1" x14ac:dyDescent="0.25">
      <c r="A185" s="558" t="s">
        <v>101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9"/>
      <c r="AB185" s="539"/>
      <c r="AC185" s="539"/>
    </row>
    <row r="186" spans="1:68" ht="16.5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11.234999999999999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58" t="s">
        <v>136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9"/>
      <c r="AB190" s="539"/>
      <c r="AC190" s="539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11.234999999999999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58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5.61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5.61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5.61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5.61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customHeight="1" x14ac:dyDescent="0.25">
      <c r="A206" s="558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9"/>
      <c r="AB206" s="539"/>
      <c r="AC206" s="539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8.6189999999999998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8.6010000000000009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9.2189999999999994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346</v>
      </c>
      <c r="B213" s="54" t="s">
        <v>347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350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customHeight="1" x14ac:dyDescent="0.25">
      <c r="A218" s="558" t="s">
        <v>166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9"/>
      <c r="AB218" s="539"/>
      <c r="AC218" s="539"/>
    </row>
    <row r="219" spans="1:68" ht="27" customHeight="1" x14ac:dyDescent="0.25">
      <c r="A219" s="54" t="s">
        <v>353</v>
      </c>
      <c r="B219" s="54" t="s">
        <v>354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356</v>
      </c>
      <c r="B220" s="54" t="s">
        <v>357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59" t="s">
        <v>359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8"/>
      <c r="AB223" s="538"/>
      <c r="AC223" s="538"/>
    </row>
    <row r="224" spans="1:68" ht="14.25" customHeight="1" x14ac:dyDescent="0.25">
      <c r="A224" s="558" t="s">
        <v>101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9"/>
      <c r="AB224" s="539"/>
      <c r="AC224" s="539"/>
    </row>
    <row r="225" spans="1:68" ht="27" customHeight="1" x14ac:dyDescent="0.25">
      <c r="A225" s="54" t="s">
        <v>360</v>
      </c>
      <c r="B225" s="54" t="s">
        <v>361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12.035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12.035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12.035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369</v>
      </c>
      <c r="B228" s="54" t="s">
        <v>370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4.21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371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4.21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4.21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3.91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379</v>
      </c>
      <c r="B233" s="54" t="s">
        <v>380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4.21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379</v>
      </c>
      <c r="B234" s="54" t="s">
        <v>381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4.21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58" t="s">
        <v>136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9"/>
      <c r="AB237" s="539"/>
      <c r="AC237" s="539"/>
    </row>
    <row r="238" spans="1:68" ht="27" customHeight="1" x14ac:dyDescent="0.25">
      <c r="A238" s="54" t="s">
        <v>382</v>
      </c>
      <c r="B238" s="54" t="s">
        <v>383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58" t="s">
        <v>385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9"/>
      <c r="AB241" s="539"/>
      <c r="AC241" s="539"/>
    </row>
    <row r="242" spans="1:68" ht="27" customHeight="1" x14ac:dyDescent="0.25">
      <c r="A242" s="54" t="s">
        <v>386</v>
      </c>
      <c r="B242" s="54" t="s">
        <v>387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58" t="s">
        <v>389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9"/>
      <c r="AB245" s="539"/>
      <c r="AC245" s="539"/>
    </row>
    <row r="246" spans="1:68" ht="27" customHeight="1" x14ac:dyDescent="0.25">
      <c r="A246" s="54" t="s">
        <v>390</v>
      </c>
      <c r="B246" s="54" t="s">
        <v>391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399</v>
      </c>
      <c r="B250" s="54" t="s">
        <v>400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59" t="s">
        <v>401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8"/>
      <c r="AB253" s="538"/>
      <c r="AC253" s="538"/>
    </row>
    <row r="254" spans="1:68" ht="14.25" customHeight="1" x14ac:dyDescent="0.25">
      <c r="A254" s="558" t="s">
        <v>101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9"/>
      <c r="AB254" s="539"/>
      <c r="AC254" s="539"/>
    </row>
    <row r="255" spans="1:68" ht="27" customHeight="1" x14ac:dyDescent="0.25">
      <c r="A255" s="54" t="s">
        <v>402</v>
      </c>
      <c r="B255" s="54" t="s">
        <v>403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11.234999999999999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405</v>
      </c>
      <c r="B256" s="54" t="s">
        <v>406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11.234999999999999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11.234999999999999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411</v>
      </c>
      <c r="B258" s="54" t="s">
        <v>412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4.21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414</v>
      </c>
      <c r="B259" s="54" t="s">
        <v>415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4.21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59" t="s">
        <v>417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8"/>
      <c r="AB262" s="538"/>
      <c r="AC262" s="538"/>
    </row>
    <row r="263" spans="1:68" ht="14.25" customHeight="1" x14ac:dyDescent="0.25">
      <c r="A263" s="558" t="s">
        <v>101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9"/>
      <c r="AB263" s="539"/>
      <c r="AC263" s="539"/>
    </row>
    <row r="264" spans="1:68" ht="27" customHeight="1" x14ac:dyDescent="0.25">
      <c r="A264" s="54" t="s">
        <v>418</v>
      </c>
      <c r="B264" s="54" t="s">
        <v>419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11.331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9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11.234999999999999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423</v>
      </c>
      <c r="B266" s="54" t="s">
        <v>424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11.234999999999999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425</v>
      </c>
      <c r="B267" s="54" t="s">
        <v>426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9.4350000000000005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9" t="s">
        <v>428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8"/>
      <c r="AB270" s="538"/>
      <c r="AC270" s="538"/>
    </row>
    <row r="271" spans="1:68" ht="14.25" customHeight="1" x14ac:dyDescent="0.25">
      <c r="A271" s="558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9"/>
      <c r="AB271" s="539"/>
      <c r="AC271" s="539"/>
    </row>
    <row r="272" spans="1:68" ht="27" customHeight="1" x14ac:dyDescent="0.25">
      <c r="A272" s="54" t="s">
        <v>429</v>
      </c>
      <c r="B272" s="54" t="s">
        <v>430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435</v>
      </c>
      <c r="B274" s="54" t="s">
        <v>436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customHeight="1" x14ac:dyDescent="0.25">
      <c r="A277" s="559" t="s">
        <v>437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8"/>
      <c r="AB277" s="538"/>
      <c r="AC277" s="538"/>
    </row>
    <row r="278" spans="1:68" ht="14.25" customHeight="1" x14ac:dyDescent="0.25">
      <c r="A278" s="558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9"/>
      <c r="AB278" s="539"/>
      <c r="AC278" s="539"/>
    </row>
    <row r="279" spans="1:68" ht="27" customHeight="1" x14ac:dyDescent="0.25">
      <c r="A279" s="54" t="s">
        <v>438</v>
      </c>
      <c r="B279" s="54" t="s">
        <v>439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441</v>
      </c>
      <c r="B280" s="54" t="s">
        <v>442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7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58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9"/>
      <c r="AB283" s="539"/>
      <c r="AC283" s="539"/>
    </row>
    <row r="284" spans="1:68" ht="37.5" customHeight="1" x14ac:dyDescent="0.25">
      <c r="A284" s="54" t="s">
        <v>444</v>
      </c>
      <c r="B284" s="54" t="s">
        <v>445</v>
      </c>
      <c r="C284" s="31">
        <v>4301051782</v>
      </c>
      <c r="D284" s="547">
        <v>4680115884618</v>
      </c>
      <c r="E284" s="548"/>
      <c r="F284" s="542">
        <v>0.6</v>
      </c>
      <c r="G284" s="32">
        <v>6</v>
      </c>
      <c r="H284" s="542">
        <v>3.6</v>
      </c>
      <c r="I284" s="542">
        <v>3.81</v>
      </c>
      <c r="J284" s="32">
        <v>132</v>
      </c>
      <c r="K284" s="32" t="s">
        <v>110</v>
      </c>
      <c r="L284" s="32" t="s">
        <v>111</v>
      </c>
      <c r="M284" s="33" t="s">
        <v>77</v>
      </c>
      <c r="N284" s="33"/>
      <c r="O284" s="32">
        <v>45</v>
      </c>
      <c r="P284" s="6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 t="s">
        <v>90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5">
        <f>IFERROR(X284/H284,"0")</f>
        <v>0</v>
      </c>
      <c r="Y285" s="545">
        <f>IFERROR(Y284/H284,"0")</f>
        <v>0</v>
      </c>
      <c r="Z285" s="545">
        <f>IFERROR(IF(Z284="",0,Z284),"0")</f>
        <v>0</v>
      </c>
      <c r="AA285" s="546"/>
      <c r="AB285" s="546"/>
      <c r="AC285" s="546"/>
    </row>
    <row r="286" spans="1:68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5">
        <f>IFERROR(SUM(X284:X284),"0")</f>
        <v>0</v>
      </c>
      <c r="Y286" s="545">
        <f>IFERROR(SUM(Y284:Y284),"0")</f>
        <v>0</v>
      </c>
      <c r="Z286" s="37"/>
      <c r="AA286" s="546"/>
      <c r="AB286" s="546"/>
      <c r="AC286" s="546"/>
    </row>
    <row r="287" spans="1:68" ht="16.5" customHeight="1" x14ac:dyDescent="0.25">
      <c r="A287" s="559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8"/>
      <c r="AB287" s="538"/>
      <c r="AC287" s="538"/>
    </row>
    <row r="288" spans="1:68" ht="14.25" customHeight="1" x14ac:dyDescent="0.25">
      <c r="A288" s="558" t="s">
        <v>101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9"/>
      <c r="AB288" s="539"/>
      <c r="AC288" s="539"/>
    </row>
    <row r="289" spans="1:68" ht="27" customHeight="1" x14ac:dyDescent="0.25">
      <c r="A289" s="54" t="s">
        <v>448</v>
      </c>
      <c r="B289" s="54" t="s">
        <v>449</v>
      </c>
      <c r="C289" s="31">
        <v>4301012126</v>
      </c>
      <c r="D289" s="547">
        <v>4607091386004</v>
      </c>
      <c r="E289" s="548"/>
      <c r="F289" s="542">
        <v>1.35</v>
      </c>
      <c r="G289" s="32">
        <v>8</v>
      </c>
      <c r="H289" s="542">
        <v>10.8</v>
      </c>
      <c r="I289" s="542">
        <v>11.234999999999999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451</v>
      </c>
      <c r="B290" s="54" t="s">
        <v>452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11.234999999999999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454</v>
      </c>
      <c r="B291" s="54" t="s">
        <v>455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11.234999999999999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11.234999999999999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30</v>
      </c>
      <c r="Y292" s="544">
        <f t="shared" si="26"/>
        <v>32.400000000000006</v>
      </c>
      <c r="Z292" s="36">
        <f>IFERROR(IF(Y292=0,"",ROUNDUP(Y292/H292,0)*0.01898),"")</f>
        <v>5.6940000000000004E-2</v>
      </c>
      <c r="AA292" s="56"/>
      <c r="AB292" s="57"/>
      <c r="AC292" s="337" t="s">
        <v>459</v>
      </c>
      <c r="AG292" s="64"/>
      <c r="AJ292" s="68" t="s">
        <v>90</v>
      </c>
      <c r="AK292" s="68">
        <v>10.8</v>
      </c>
      <c r="BB292" s="338" t="s">
        <v>1</v>
      </c>
      <c r="BM292" s="64">
        <f t="shared" si="27"/>
        <v>31.208333333333329</v>
      </c>
      <c r="BN292" s="64">
        <f t="shared" si="28"/>
        <v>33.705000000000005</v>
      </c>
      <c r="BO292" s="64">
        <f t="shared" si="29"/>
        <v>4.3402777777777776E-2</v>
      </c>
      <c r="BP292" s="64">
        <f t="shared" si="30"/>
        <v>4.6875000000000007E-2</v>
      </c>
    </row>
    <row r="293" spans="1:68" ht="27" customHeight="1" x14ac:dyDescent="0.25">
      <c r="A293" s="54" t="s">
        <v>460</v>
      </c>
      <c r="B293" s="54" t="s">
        <v>461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4.21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5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453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462</v>
      </c>
      <c r="B294" s="54" t="s">
        <v>463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4.21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464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3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5">
        <f>IFERROR(X289/H289,"0")+IFERROR(X290/H290,"0")+IFERROR(X291/H291,"0")+IFERROR(X292/H292,"0")+IFERROR(X293/H293,"0")+IFERROR(X294/H294,"0")</f>
        <v>2.7777777777777777</v>
      </c>
      <c r="Y295" s="545">
        <f>IFERROR(Y289/H289,"0")+IFERROR(Y290/H290,"0")+IFERROR(Y291/H291,"0")+IFERROR(Y292/H292,"0")+IFERROR(Y293/H293,"0")+IFERROR(Y294/H294,"0")</f>
        <v>3.0000000000000004</v>
      </c>
      <c r="Z295" s="545">
        <f>IFERROR(IF(Z289="",0,Z289),"0")+IFERROR(IF(Z290="",0,Z290),"0")+IFERROR(IF(Z291="",0,Z291),"0")+IFERROR(IF(Z292="",0,Z292),"0")+IFERROR(IF(Z293="",0,Z293),"0")+IFERROR(IF(Z294="",0,Z294),"0")</f>
        <v>5.6940000000000004E-2</v>
      </c>
      <c r="AA295" s="546"/>
      <c r="AB295" s="546"/>
      <c r="AC295" s="546"/>
    </row>
    <row r="296" spans="1:68" x14ac:dyDescent="0.2">
      <c r="A296" s="554"/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5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5">
        <f>IFERROR(SUM(X289:X294),"0")</f>
        <v>30</v>
      </c>
      <c r="Y296" s="545">
        <f>IFERROR(SUM(Y289:Y294),"0")</f>
        <v>32.400000000000006</v>
      </c>
      <c r="Z296" s="37"/>
      <c r="AA296" s="546"/>
      <c r="AB296" s="546"/>
      <c r="AC296" s="546"/>
    </row>
    <row r="297" spans="1:68" ht="14.25" customHeight="1" x14ac:dyDescent="0.25">
      <c r="A297" s="558" t="s">
        <v>64</v>
      </c>
      <c r="B297" s="554"/>
      <c r="C297" s="554"/>
      <c r="D297" s="554"/>
      <c r="E297" s="554"/>
      <c r="F297" s="554"/>
      <c r="G297" s="554"/>
      <c r="H297" s="554"/>
      <c r="I297" s="554"/>
      <c r="J297" s="554"/>
      <c r="K297" s="554"/>
      <c r="L297" s="554"/>
      <c r="M297" s="554"/>
      <c r="N297" s="554"/>
      <c r="O297" s="554"/>
      <c r="P297" s="554"/>
      <c r="Q297" s="554"/>
      <c r="R297" s="554"/>
      <c r="S297" s="554"/>
      <c r="T297" s="554"/>
      <c r="U297" s="554"/>
      <c r="V297" s="554"/>
      <c r="W297" s="554"/>
      <c r="X297" s="554"/>
      <c r="Y297" s="554"/>
      <c r="Z297" s="554"/>
      <c r="AA297" s="539"/>
      <c r="AB297" s="539"/>
      <c r="AC297" s="539"/>
    </row>
    <row r="298" spans="1:68" ht="27" customHeight="1" x14ac:dyDescent="0.25">
      <c r="A298" s="54" t="s">
        <v>465</v>
      </c>
      <c r="B298" s="54" t="s">
        <v>466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4.47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69</v>
      </c>
      <c r="X298" s="543">
        <v>150</v>
      </c>
      <c r="Y298" s="544">
        <f t="shared" ref="Y298:Y304" si="31">IFERROR(IF(X298="",0,CEILING((X298/$H298),1)*$H298),"")</f>
        <v>151.20000000000002</v>
      </c>
      <c r="Z298" s="36">
        <f>IFERROR(IF(Y298=0,"",ROUNDUP(Y298/H298,0)*0.00902),"")</f>
        <v>0.32472000000000001</v>
      </c>
      <c r="AA298" s="56"/>
      <c r="AB298" s="57"/>
      <c r="AC298" s="343" t="s">
        <v>467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159.64285714285714</v>
      </c>
      <c r="BN298" s="64">
        <f t="shared" ref="BN298:BN304" si="33">IFERROR(Y298*I298/H298,"0")</f>
        <v>160.91999999999999</v>
      </c>
      <c r="BO298" s="64">
        <f t="shared" ref="BO298:BO304" si="34">IFERROR(1/J298*(X298/H298),"0")</f>
        <v>0.27056277056277056</v>
      </c>
      <c r="BP298" s="64">
        <f t="shared" ref="BP298:BP304" si="35">IFERROR(1/J298*(Y298/H298),"0")</f>
        <v>0.27272727272727271</v>
      </c>
    </row>
    <row r="299" spans="1:68" ht="27" customHeight="1" x14ac:dyDescent="0.25">
      <c r="A299" s="54" t="s">
        <v>468</v>
      </c>
      <c r="B299" s="54" t="s">
        <v>469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4.47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140</v>
      </c>
      <c r="Y299" s="544">
        <f t="shared" si="31"/>
        <v>142.80000000000001</v>
      </c>
      <c r="Z299" s="36">
        <f>IFERROR(IF(Y299=0,"",ROUNDUP(Y299/H299,0)*0.00902),"")</f>
        <v>0.30668000000000001</v>
      </c>
      <c r="AA299" s="56"/>
      <c r="AB299" s="57"/>
      <c r="AC299" s="345" t="s">
        <v>470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148.99999999999997</v>
      </c>
      <c r="BN299" s="64">
        <f t="shared" si="33"/>
        <v>151.97999999999999</v>
      </c>
      <c r="BO299" s="64">
        <f t="shared" si="34"/>
        <v>0.25252525252525249</v>
      </c>
      <c r="BP299" s="64">
        <f t="shared" si="35"/>
        <v>0.25757575757575757</v>
      </c>
    </row>
    <row r="300" spans="1:68" ht="27" customHeight="1" x14ac:dyDescent="0.25">
      <c r="A300" s="54" t="s">
        <v>471</v>
      </c>
      <c r="B300" s="54" t="s">
        <v>472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4.6500000000000004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8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470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478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4301031306</v>
      </c>
      <c r="D303" s="547">
        <v>4680115882881</v>
      </c>
      <c r="E303" s="548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9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478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7">
        <v>4607091383836</v>
      </c>
      <c r="E304" s="548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3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5">
        <f>IFERROR(X298/H298,"0")+IFERROR(X299/H299,"0")+IFERROR(X300/H300,"0")+IFERROR(X301/H301,"0")+IFERROR(X302/H302,"0")+IFERROR(X303/H303,"0")+IFERROR(X304/H304,"0")</f>
        <v>69.047619047619037</v>
      </c>
      <c r="Y305" s="545">
        <f>IFERROR(Y298/H298,"0")+IFERROR(Y299/H299,"0")+IFERROR(Y300/H300,"0")+IFERROR(Y301/H301,"0")+IFERROR(Y302/H302,"0")+IFERROR(Y303/H303,"0")+IFERROR(Y304/H304,"0")</f>
        <v>70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0.63139999999999996</v>
      </c>
      <c r="AA305" s="546"/>
      <c r="AB305" s="546"/>
      <c r="AC305" s="546"/>
    </row>
    <row r="306" spans="1:68" x14ac:dyDescent="0.2">
      <c r="A306" s="554"/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5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5">
        <f>IFERROR(SUM(X298:X304),"0")</f>
        <v>290</v>
      </c>
      <c r="Y306" s="545">
        <f>IFERROR(SUM(Y298:Y304),"0")</f>
        <v>294</v>
      </c>
      <c r="Z306" s="37"/>
      <c r="AA306" s="546"/>
      <c r="AB306" s="546"/>
      <c r="AC306" s="546"/>
    </row>
    <row r="307" spans="1:68" ht="14.25" customHeight="1" x14ac:dyDescent="0.25">
      <c r="A307" s="558" t="s">
        <v>73</v>
      </c>
      <c r="B307" s="554"/>
      <c r="C307" s="554"/>
      <c r="D307" s="554"/>
      <c r="E307" s="554"/>
      <c r="F307" s="554"/>
      <c r="G307" s="554"/>
      <c r="H307" s="554"/>
      <c r="I307" s="554"/>
      <c r="J307" s="554"/>
      <c r="K307" s="554"/>
      <c r="L307" s="554"/>
      <c r="M307" s="554"/>
      <c r="N307" s="554"/>
      <c r="O307" s="554"/>
      <c r="P307" s="554"/>
      <c r="Q307" s="554"/>
      <c r="R307" s="554"/>
      <c r="S307" s="554"/>
      <c r="T307" s="554"/>
      <c r="U307" s="554"/>
      <c r="V307" s="554"/>
      <c r="W307" s="554"/>
      <c r="X307" s="554"/>
      <c r="Y307" s="554"/>
      <c r="Z307" s="554"/>
      <c r="AA307" s="539"/>
      <c r="AB307" s="539"/>
      <c r="AC307" s="539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7">
        <v>4607091387766</v>
      </c>
      <c r="E308" s="548"/>
      <c r="F308" s="542">
        <v>1.3</v>
      </c>
      <c r="G308" s="32">
        <v>6</v>
      </c>
      <c r="H308" s="542">
        <v>7.8</v>
      </c>
      <c r="I308" s="542">
        <v>8.3130000000000006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70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0"/>
      <c r="R308" s="550"/>
      <c r="S308" s="550"/>
      <c r="T308" s="551"/>
      <c r="U308" s="34"/>
      <c r="V308" s="34"/>
      <c r="W308" s="35" t="s">
        <v>69</v>
      </c>
      <c r="X308" s="543">
        <v>900</v>
      </c>
      <c r="Y308" s="544">
        <f>IFERROR(IF(X308="",0,CEILING((X308/$H308),1)*$H308),"")</f>
        <v>904.8</v>
      </c>
      <c r="Z308" s="36">
        <f>IFERROR(IF(Y308=0,"",ROUNDUP(Y308/H308,0)*0.01898),"")</f>
        <v>2.2016800000000001</v>
      </c>
      <c r="AA308" s="56"/>
      <c r="AB308" s="57"/>
      <c r="AC308" s="357" t="s">
        <v>486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959.19230769230785</v>
      </c>
      <c r="BN308" s="64">
        <f>IFERROR(Y308*I308/H308,"0")</f>
        <v>964.30799999999999</v>
      </c>
      <c r="BO308" s="64">
        <f>IFERROR(1/J308*(X308/H308),"0")</f>
        <v>1.8028846153846154</v>
      </c>
      <c r="BP308" s="64">
        <f>IFERROR(1/J308*(Y308/H308),"0")</f>
        <v>1.8125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47">
        <v>4607091387957</v>
      </c>
      <c r="E309" s="548"/>
      <c r="F309" s="542">
        <v>1.3</v>
      </c>
      <c r="G309" s="32">
        <v>6</v>
      </c>
      <c r="H309" s="542">
        <v>7.8</v>
      </c>
      <c r="I309" s="542">
        <v>8.3190000000000008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47">
        <v>4607091387964</v>
      </c>
      <c r="E310" s="548"/>
      <c r="F310" s="542">
        <v>1.35</v>
      </c>
      <c r="G310" s="32">
        <v>6</v>
      </c>
      <c r="H310" s="542">
        <v>8.1</v>
      </c>
      <c r="I310" s="542">
        <v>8.6010000000000009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7">
        <v>4680115884588</v>
      </c>
      <c r="E311" s="548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496</v>
      </c>
      <c r="B312" s="54" t="s">
        <v>497</v>
      </c>
      <c r="C312" s="31">
        <v>4301051578</v>
      </c>
      <c r="D312" s="547">
        <v>4607091387513</v>
      </c>
      <c r="E312" s="548"/>
      <c r="F312" s="542">
        <v>0.45</v>
      </c>
      <c r="G312" s="32">
        <v>6</v>
      </c>
      <c r="H312" s="542">
        <v>2.7</v>
      </c>
      <c r="I312" s="542">
        <v>2.9580000000000002</v>
      </c>
      <c r="J312" s="32">
        <v>182</v>
      </c>
      <c r="K312" s="32" t="s">
        <v>76</v>
      </c>
      <c r="L312" s="32"/>
      <c r="M312" s="33" t="s">
        <v>84</v>
      </c>
      <c r="N312" s="33"/>
      <c r="O312" s="32">
        <v>40</v>
      </c>
      <c r="P312" s="66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498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3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2" t="s">
        <v>71</v>
      </c>
      <c r="Q313" s="563"/>
      <c r="R313" s="563"/>
      <c r="S313" s="563"/>
      <c r="T313" s="563"/>
      <c r="U313" s="563"/>
      <c r="V313" s="564"/>
      <c r="W313" s="37" t="s">
        <v>72</v>
      </c>
      <c r="X313" s="545">
        <f>IFERROR(X308/H308,"0")+IFERROR(X309/H309,"0")+IFERROR(X310/H310,"0")+IFERROR(X311/H311,"0")+IFERROR(X312/H312,"0")</f>
        <v>115.38461538461539</v>
      </c>
      <c r="Y313" s="545">
        <f>IFERROR(Y308/H308,"0")+IFERROR(Y309/H309,"0")+IFERROR(Y310/H310,"0")+IFERROR(Y311/H311,"0")+IFERROR(Y312/H312,"0")</f>
        <v>116</v>
      </c>
      <c r="Z313" s="545">
        <f>IFERROR(IF(Z308="",0,Z308),"0")+IFERROR(IF(Z309="",0,Z309),"0")+IFERROR(IF(Z310="",0,Z310),"0")+IFERROR(IF(Z311="",0,Z311),"0")+IFERROR(IF(Z312="",0,Z312),"0")</f>
        <v>2.2016800000000001</v>
      </c>
      <c r="AA313" s="546"/>
      <c r="AB313" s="546"/>
      <c r="AC313" s="546"/>
    </row>
    <row r="314" spans="1:68" x14ac:dyDescent="0.2">
      <c r="A314" s="554"/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5"/>
      <c r="P314" s="562" t="s">
        <v>71</v>
      </c>
      <c r="Q314" s="563"/>
      <c r="R314" s="563"/>
      <c r="S314" s="563"/>
      <c r="T314" s="563"/>
      <c r="U314" s="563"/>
      <c r="V314" s="564"/>
      <c r="W314" s="37" t="s">
        <v>69</v>
      </c>
      <c r="X314" s="545">
        <f>IFERROR(SUM(X308:X312),"0")</f>
        <v>900</v>
      </c>
      <c r="Y314" s="545">
        <f>IFERROR(SUM(Y308:Y312),"0")</f>
        <v>904.8</v>
      </c>
      <c r="Z314" s="37"/>
      <c r="AA314" s="546"/>
      <c r="AB314" s="546"/>
      <c r="AC314" s="546"/>
    </row>
    <row r="315" spans="1:68" ht="14.25" customHeight="1" x14ac:dyDescent="0.25">
      <c r="A315" s="558" t="s">
        <v>166</v>
      </c>
      <c r="B315" s="554"/>
      <c r="C315" s="554"/>
      <c r="D315" s="554"/>
      <c r="E315" s="554"/>
      <c r="F315" s="554"/>
      <c r="G315" s="554"/>
      <c r="H315" s="554"/>
      <c r="I315" s="554"/>
      <c r="J315" s="554"/>
      <c r="K315" s="554"/>
      <c r="L315" s="554"/>
      <c r="M315" s="554"/>
      <c r="N315" s="554"/>
      <c r="O315" s="554"/>
      <c r="P315" s="554"/>
      <c r="Q315" s="554"/>
      <c r="R315" s="554"/>
      <c r="S315" s="554"/>
      <c r="T315" s="554"/>
      <c r="U315" s="554"/>
      <c r="V315" s="554"/>
      <c r="W315" s="554"/>
      <c r="X315" s="554"/>
      <c r="Y315" s="554"/>
      <c r="Z315" s="554"/>
      <c r="AA315" s="539"/>
      <c r="AB315" s="539"/>
      <c r="AC315" s="539"/>
    </row>
    <row r="316" spans="1:68" ht="27" customHeight="1" x14ac:dyDescent="0.25">
      <c r="A316" s="54" t="s">
        <v>499</v>
      </c>
      <c r="B316" s="54" t="s">
        <v>500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8.9190000000000005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502</v>
      </c>
      <c r="B317" s="54" t="s">
        <v>503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8.3190000000000008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16.5" customHeight="1" x14ac:dyDescent="0.25">
      <c r="A318" s="54" t="s">
        <v>505</v>
      </c>
      <c r="B318" s="54" t="s">
        <v>506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8.9190000000000005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507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53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2" t="s">
        <v>71</v>
      </c>
      <c r="Q319" s="563"/>
      <c r="R319" s="563"/>
      <c r="S319" s="563"/>
      <c r="T319" s="563"/>
      <c r="U319" s="563"/>
      <c r="V319" s="564"/>
      <c r="W319" s="37" t="s">
        <v>72</v>
      </c>
      <c r="X319" s="545">
        <f>IFERROR(X316/H316,"0")+IFERROR(X317/H317,"0")+IFERROR(X318/H318,"0")</f>
        <v>0</v>
      </c>
      <c r="Y319" s="545">
        <f>IFERROR(Y316/H316,"0")+IFERROR(Y317/H317,"0")+IFERROR(Y318/H318,"0")</f>
        <v>0</v>
      </c>
      <c r="Z319" s="545">
        <f>IFERROR(IF(Z316="",0,Z316),"0")+IFERROR(IF(Z317="",0,Z317),"0")+IFERROR(IF(Z318="",0,Z318),"0")</f>
        <v>0</v>
      </c>
      <c r="AA319" s="546"/>
      <c r="AB319" s="546"/>
      <c r="AC319" s="546"/>
    </row>
    <row r="320" spans="1:68" x14ac:dyDescent="0.2">
      <c r="A320" s="554"/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5"/>
      <c r="P320" s="562" t="s">
        <v>71</v>
      </c>
      <c r="Q320" s="563"/>
      <c r="R320" s="563"/>
      <c r="S320" s="563"/>
      <c r="T320" s="563"/>
      <c r="U320" s="563"/>
      <c r="V320" s="564"/>
      <c r="W320" s="37" t="s">
        <v>69</v>
      </c>
      <c r="X320" s="545">
        <f>IFERROR(SUM(X316:X318),"0")</f>
        <v>0</v>
      </c>
      <c r="Y320" s="545">
        <f>IFERROR(SUM(Y316:Y318),"0")</f>
        <v>0</v>
      </c>
      <c r="Z320" s="37"/>
      <c r="AA320" s="546"/>
      <c r="AB320" s="546"/>
      <c r="AC320" s="546"/>
    </row>
    <row r="321" spans="1:68" ht="14.25" customHeight="1" x14ac:dyDescent="0.25">
      <c r="A321" s="558" t="s">
        <v>93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539"/>
      <c r="AB321" s="539"/>
      <c r="AC321" s="539"/>
    </row>
    <row r="322" spans="1:68" ht="27" customHeight="1" x14ac:dyDescent="0.25">
      <c r="A322" s="54" t="s">
        <v>508</v>
      </c>
      <c r="B322" s="54" t="s">
        <v>509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3.33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12</v>
      </c>
      <c r="Y322" s="544">
        <f>IFERROR(IF(X322="",0,CEILING((X322/$H322),1)*$H322),"")</f>
        <v>12.16</v>
      </c>
      <c r="Z322" s="36">
        <f>IFERROR(IF(Y322=0,"",ROUNDUP(Y322/H322,0)*0.00902),"")</f>
        <v>3.6080000000000001E-2</v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13.144736842105264</v>
      </c>
      <c r="BN322" s="64">
        <f>IFERROR(Y322*I322/H322,"0")</f>
        <v>13.32</v>
      </c>
      <c r="BO322" s="64">
        <f>IFERROR(1/J322*(X322/H322),"0")</f>
        <v>2.9904306220095694E-2</v>
      </c>
      <c r="BP322" s="64">
        <f>IFERROR(1/J322*(Y322/H322),"0")</f>
        <v>3.0303030303030304E-2</v>
      </c>
    </row>
    <row r="323" spans="1:68" ht="27" customHeight="1" x14ac:dyDescent="0.25">
      <c r="A323" s="54" t="s">
        <v>511</v>
      </c>
      <c r="B323" s="54" t="s">
        <v>512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3.29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4" t="s">
        <v>513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12</v>
      </c>
      <c r="Y323" s="544">
        <f>IFERROR(IF(X323="",0,CEILING((X323/$H323),1)*$H323),"")</f>
        <v>12.16</v>
      </c>
      <c r="Z323" s="36">
        <f>IFERROR(IF(Y323=0,"",ROUNDUP(Y323/H323,0)*0.00902),"")</f>
        <v>3.6080000000000001E-2</v>
      </c>
      <c r="AA323" s="56"/>
      <c r="AB323" s="57"/>
      <c r="AC323" s="375" t="s">
        <v>510</v>
      </c>
      <c r="AG323" s="64"/>
      <c r="AJ323" s="68"/>
      <c r="AK323" s="68">
        <v>0</v>
      </c>
      <c r="BB323" s="376" t="s">
        <v>1</v>
      </c>
      <c r="BM323" s="64">
        <f>IFERROR(X323*I323/H323,"0")</f>
        <v>12.986842105263159</v>
      </c>
      <c r="BN323" s="64">
        <f>IFERROR(Y323*I323/H323,"0")</f>
        <v>13.16</v>
      </c>
      <c r="BO323" s="64">
        <f>IFERROR(1/J323*(X323/H323),"0")</f>
        <v>2.9904306220095694E-2</v>
      </c>
      <c r="BP323" s="64">
        <f>IFERROR(1/J323*(Y323/H323),"0")</f>
        <v>3.0303030303030304E-2</v>
      </c>
    </row>
    <row r="324" spans="1:68" ht="27" customHeight="1" x14ac:dyDescent="0.25">
      <c r="A324" s="54" t="s">
        <v>514</v>
      </c>
      <c r="B324" s="54" t="s">
        <v>515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516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517</v>
      </c>
      <c r="B325" s="54" t="s">
        <v>518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510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53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2" t="s">
        <v>71</v>
      </c>
      <c r="Q326" s="563"/>
      <c r="R326" s="563"/>
      <c r="S326" s="563"/>
      <c r="T326" s="563"/>
      <c r="U326" s="563"/>
      <c r="V326" s="564"/>
      <c r="W326" s="37" t="s">
        <v>72</v>
      </c>
      <c r="X326" s="545">
        <f>IFERROR(X322/H322,"0")+IFERROR(X323/H323,"0")+IFERROR(X324/H324,"0")+IFERROR(X325/H325,"0")</f>
        <v>7.8947368421052628</v>
      </c>
      <c r="Y326" s="545">
        <f>IFERROR(Y322/H322,"0")+IFERROR(Y323/H323,"0")+IFERROR(Y324/H324,"0")+IFERROR(Y325/H325,"0")</f>
        <v>8</v>
      </c>
      <c r="Z326" s="545">
        <f>IFERROR(IF(Z322="",0,Z322),"0")+IFERROR(IF(Z323="",0,Z323),"0")+IFERROR(IF(Z324="",0,Z324),"0")+IFERROR(IF(Z325="",0,Z325),"0")</f>
        <v>7.2160000000000002E-2</v>
      </c>
      <c r="AA326" s="546"/>
      <c r="AB326" s="546"/>
      <c r="AC326" s="546"/>
    </row>
    <row r="327" spans="1:68" x14ac:dyDescent="0.2">
      <c r="A327" s="554"/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5"/>
      <c r="P327" s="562" t="s">
        <v>71</v>
      </c>
      <c r="Q327" s="563"/>
      <c r="R327" s="563"/>
      <c r="S327" s="563"/>
      <c r="T327" s="563"/>
      <c r="U327" s="563"/>
      <c r="V327" s="564"/>
      <c r="W327" s="37" t="s">
        <v>69</v>
      </c>
      <c r="X327" s="545">
        <f>IFERROR(SUM(X322:X325),"0")</f>
        <v>24</v>
      </c>
      <c r="Y327" s="545">
        <f>IFERROR(SUM(Y322:Y325),"0")</f>
        <v>24.32</v>
      </c>
      <c r="Z327" s="37"/>
      <c r="AA327" s="546"/>
      <c r="AB327" s="546"/>
      <c r="AC327" s="546"/>
    </row>
    <row r="328" spans="1:68" ht="14.25" customHeight="1" x14ac:dyDescent="0.25">
      <c r="A328" s="558" t="s">
        <v>519</v>
      </c>
      <c r="B328" s="554"/>
      <c r="C328" s="554"/>
      <c r="D328" s="554"/>
      <c r="E328" s="554"/>
      <c r="F328" s="554"/>
      <c r="G328" s="554"/>
      <c r="H328" s="554"/>
      <c r="I328" s="554"/>
      <c r="J328" s="554"/>
      <c r="K328" s="554"/>
      <c r="L328" s="554"/>
      <c r="M328" s="554"/>
      <c r="N328" s="554"/>
      <c r="O328" s="554"/>
      <c r="P328" s="554"/>
      <c r="Q328" s="554"/>
      <c r="R328" s="554"/>
      <c r="S328" s="554"/>
      <c r="T328" s="554"/>
      <c r="U328" s="554"/>
      <c r="V328" s="554"/>
      <c r="W328" s="554"/>
      <c r="X328" s="554"/>
      <c r="Y328" s="554"/>
      <c r="Z328" s="554"/>
      <c r="AA328" s="539"/>
      <c r="AB328" s="539"/>
      <c r="AC328" s="539"/>
    </row>
    <row r="329" spans="1:68" ht="16.5" customHeight="1" x14ac:dyDescent="0.25">
      <c r="A329" s="54" t="s">
        <v>520</v>
      </c>
      <c r="B329" s="54" t="s">
        <v>521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526</v>
      </c>
      <c r="B331" s="54" t="s">
        <v>527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522</v>
      </c>
      <c r="N331" s="33"/>
      <c r="O331" s="32">
        <v>730</v>
      </c>
      <c r="P331" s="6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523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53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2" t="s">
        <v>71</v>
      </c>
      <c r="Q332" s="563"/>
      <c r="R332" s="563"/>
      <c r="S332" s="563"/>
      <c r="T332" s="563"/>
      <c r="U332" s="563"/>
      <c r="V332" s="564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4"/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5"/>
      <c r="P333" s="562" t="s">
        <v>71</v>
      </c>
      <c r="Q333" s="563"/>
      <c r="R333" s="563"/>
      <c r="S333" s="563"/>
      <c r="T333" s="563"/>
      <c r="U333" s="563"/>
      <c r="V333" s="564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customHeight="1" x14ac:dyDescent="0.25">
      <c r="A334" s="559" t="s">
        <v>528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8"/>
      <c r="AB334" s="538"/>
      <c r="AC334" s="538"/>
    </row>
    <row r="335" spans="1:68" ht="14.25" customHeight="1" x14ac:dyDescent="0.25">
      <c r="A335" s="558" t="s">
        <v>73</v>
      </c>
      <c r="B335" s="554"/>
      <c r="C335" s="554"/>
      <c r="D335" s="554"/>
      <c r="E335" s="554"/>
      <c r="F335" s="554"/>
      <c r="G335" s="554"/>
      <c r="H335" s="554"/>
      <c r="I335" s="554"/>
      <c r="J335" s="554"/>
      <c r="K335" s="554"/>
      <c r="L335" s="554"/>
      <c r="M335" s="554"/>
      <c r="N335" s="554"/>
      <c r="O335" s="554"/>
      <c r="P335" s="554"/>
      <c r="Q335" s="554"/>
      <c r="R335" s="554"/>
      <c r="S335" s="554"/>
      <c r="T335" s="554"/>
      <c r="U335" s="554"/>
      <c r="V335" s="554"/>
      <c r="W335" s="554"/>
      <c r="X335" s="554"/>
      <c r="Y335" s="554"/>
      <c r="Z335" s="554"/>
      <c r="AA335" s="539"/>
      <c r="AB335" s="539"/>
      <c r="AC335" s="539"/>
    </row>
    <row r="336" spans="1:68" ht="27" customHeight="1" x14ac:dyDescent="0.25">
      <c r="A336" s="54" t="s">
        <v>529</v>
      </c>
      <c r="B336" s="54" t="s">
        <v>530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8.6189999999999998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532</v>
      </c>
      <c r="B337" s="54" t="s">
        <v>533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535</v>
      </c>
      <c r="B338" s="54" t="s">
        <v>536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537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53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2" t="s">
        <v>71</v>
      </c>
      <c r="Q339" s="563"/>
      <c r="R339" s="563"/>
      <c r="S339" s="563"/>
      <c r="T339" s="563"/>
      <c r="U339" s="563"/>
      <c r="V339" s="564"/>
      <c r="W339" s="37" t="s">
        <v>72</v>
      </c>
      <c r="X339" s="545">
        <f>IFERROR(X336/H336,"0")+IFERROR(X337/H337,"0")+IFERROR(X338/H338,"0")</f>
        <v>0</v>
      </c>
      <c r="Y339" s="545">
        <f>IFERROR(Y336/H336,"0")+IFERROR(Y337/H337,"0")+IFERROR(Y338/H338,"0")</f>
        <v>0</v>
      </c>
      <c r="Z339" s="545">
        <f>IFERROR(IF(Z336="",0,Z336),"0")+IFERROR(IF(Z337="",0,Z337),"0")+IFERROR(IF(Z338="",0,Z338),"0")</f>
        <v>0</v>
      </c>
      <c r="AA339" s="546"/>
      <c r="AB339" s="546"/>
      <c r="AC339" s="546"/>
    </row>
    <row r="340" spans="1:68" x14ac:dyDescent="0.2">
      <c r="A340" s="554"/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5"/>
      <c r="P340" s="562" t="s">
        <v>71</v>
      </c>
      <c r="Q340" s="563"/>
      <c r="R340" s="563"/>
      <c r="S340" s="563"/>
      <c r="T340" s="563"/>
      <c r="U340" s="563"/>
      <c r="V340" s="564"/>
      <c r="W340" s="37" t="s">
        <v>69</v>
      </c>
      <c r="X340" s="545">
        <f>IFERROR(SUM(X336:X338),"0")</f>
        <v>0</v>
      </c>
      <c r="Y340" s="545">
        <f>IFERROR(SUM(Y336:Y338),"0")</f>
        <v>0</v>
      </c>
      <c r="Z340" s="37"/>
      <c r="AA340" s="546"/>
      <c r="AB340" s="546"/>
      <c r="AC340" s="546"/>
    </row>
    <row r="341" spans="1:68" ht="27.75" customHeight="1" x14ac:dyDescent="0.2">
      <c r="A341" s="566" t="s">
        <v>538</v>
      </c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48"/>
      <c r="AB341" s="48"/>
      <c r="AC341" s="48"/>
    </row>
    <row r="342" spans="1:68" ht="16.5" customHeight="1" x14ac:dyDescent="0.25">
      <c r="A342" s="559" t="s">
        <v>539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8"/>
      <c r="AB342" s="538"/>
      <c r="AC342" s="538"/>
    </row>
    <row r="343" spans="1:68" ht="14.25" customHeight="1" x14ac:dyDescent="0.25">
      <c r="A343" s="558" t="s">
        <v>101</v>
      </c>
      <c r="B343" s="554"/>
      <c r="C343" s="554"/>
      <c r="D343" s="554"/>
      <c r="E343" s="554"/>
      <c r="F343" s="554"/>
      <c r="G343" s="554"/>
      <c r="H343" s="554"/>
      <c r="I343" s="554"/>
      <c r="J343" s="554"/>
      <c r="K343" s="554"/>
      <c r="L343" s="554"/>
      <c r="M343" s="554"/>
      <c r="N343" s="554"/>
      <c r="O343" s="554"/>
      <c r="P343" s="554"/>
      <c r="Q343" s="554"/>
      <c r="R343" s="554"/>
      <c r="S343" s="554"/>
      <c r="T343" s="554"/>
      <c r="U343" s="554"/>
      <c r="V343" s="554"/>
      <c r="W343" s="554"/>
      <c r="X343" s="554"/>
      <c r="Y343" s="554"/>
      <c r="Z343" s="554"/>
      <c r="AA343" s="539"/>
      <c r="AB343" s="539"/>
      <c r="AC343" s="539"/>
    </row>
    <row r="344" spans="1:68" ht="37.5" customHeight="1" x14ac:dyDescent="0.25">
      <c r="A344" s="54" t="s">
        <v>540</v>
      </c>
      <c r="B344" s="54" t="s">
        <v>541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15.48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0</v>
      </c>
      <c r="Y344" s="544">
        <f t="shared" ref="Y344:Y350" si="36">IFERROR(IF(X344="",0,CEILING((X344/$H344),1)*$H344),"")</f>
        <v>0</v>
      </c>
      <c r="Z344" s="36" t="str">
        <f>IFERROR(IF(Y344=0,"",ROUNDUP(Y344/H344,0)*0.02175),"")</f>
        <v/>
      </c>
      <c r="AA344" s="56"/>
      <c r="AB344" s="57"/>
      <c r="AC344" s="393" t="s">
        <v>542</v>
      </c>
      <c r="AG344" s="64"/>
      <c r="AJ344" s="68" t="s">
        <v>90</v>
      </c>
      <c r="AK344" s="68">
        <v>15</v>
      </c>
      <c r="BB344" s="394" t="s">
        <v>1</v>
      </c>
      <c r="BM344" s="64">
        <f t="shared" ref="BM344:BM350" si="37">IFERROR(X344*I344/H344,"0")</f>
        <v>0</v>
      </c>
      <c r="BN344" s="64">
        <f t="shared" ref="BN344:BN350" si="38">IFERROR(Y344*I344/H344,"0")</f>
        <v>0</v>
      </c>
      <c r="BO344" s="64">
        <f t="shared" ref="BO344:BO350" si="39">IFERROR(1/J344*(X344/H344),"0")</f>
        <v>0</v>
      </c>
      <c r="BP344" s="64">
        <f t="shared" ref="BP344:BP350" si="40">IFERROR(1/J344*(Y344/H344),"0")</f>
        <v>0</v>
      </c>
    </row>
    <row r="345" spans="1:68" ht="27" customHeight="1" x14ac:dyDescent="0.25">
      <c r="A345" s="54" t="s">
        <v>543</v>
      </c>
      <c r="B345" s="54" t="s">
        <v>544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15.48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30</v>
      </c>
      <c r="Y345" s="544">
        <f t="shared" si="36"/>
        <v>30</v>
      </c>
      <c r="Z345" s="36">
        <f>IFERROR(IF(Y345=0,"",ROUNDUP(Y345/H345,0)*0.02175),"")</f>
        <v>4.3499999999999997E-2</v>
      </c>
      <c r="AA345" s="56"/>
      <c r="AB345" s="57"/>
      <c r="AC345" s="395" t="s">
        <v>545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30.96</v>
      </c>
      <c r="BN345" s="64">
        <f t="shared" si="38"/>
        <v>30.96</v>
      </c>
      <c r="BO345" s="64">
        <f t="shared" si="39"/>
        <v>4.1666666666666664E-2</v>
      </c>
      <c r="BP345" s="64">
        <f t="shared" si="40"/>
        <v>4.1666666666666664E-2</v>
      </c>
    </row>
    <row r="346" spans="1:68" ht="27" customHeight="1" x14ac:dyDescent="0.25">
      <c r="A346" s="54" t="s">
        <v>546</v>
      </c>
      <c r="B346" s="54" t="s">
        <v>547</v>
      </c>
      <c r="C346" s="31">
        <v>4301011832</v>
      </c>
      <c r="D346" s="547">
        <v>4607091383997</v>
      </c>
      <c r="E346" s="548"/>
      <c r="F346" s="542">
        <v>2.5</v>
      </c>
      <c r="G346" s="32">
        <v>6</v>
      </c>
      <c r="H346" s="542">
        <v>15</v>
      </c>
      <c r="I346" s="542">
        <v>15.48</v>
      </c>
      <c r="J346" s="32">
        <v>48</v>
      </c>
      <c r="K346" s="32" t="s">
        <v>104</v>
      </c>
      <c r="L346" s="32" t="s">
        <v>105</v>
      </c>
      <c r="M346" s="33" t="s">
        <v>84</v>
      </c>
      <c r="N346" s="33"/>
      <c r="O346" s="32">
        <v>60</v>
      </c>
      <c r="P346" s="80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1000</v>
      </c>
      <c r="Y346" s="544">
        <f t="shared" si="36"/>
        <v>1005</v>
      </c>
      <c r="Z346" s="36">
        <f>IFERROR(IF(Y346=0,"",ROUNDUP(Y346/H346,0)*0.02175),"")</f>
        <v>1.4572499999999999</v>
      </c>
      <c r="AA346" s="56"/>
      <c r="AB346" s="57"/>
      <c r="AC346" s="397" t="s">
        <v>548</v>
      </c>
      <c r="AG346" s="64"/>
      <c r="AJ346" s="68" t="s">
        <v>90</v>
      </c>
      <c r="AK346" s="68">
        <v>120</v>
      </c>
      <c r="BB346" s="398" t="s">
        <v>1</v>
      </c>
      <c r="BM346" s="64">
        <f t="shared" si="37"/>
        <v>1032</v>
      </c>
      <c r="BN346" s="64">
        <f t="shared" si="38"/>
        <v>1037.1600000000001</v>
      </c>
      <c r="BO346" s="64">
        <f t="shared" si="39"/>
        <v>1.3888888888888888</v>
      </c>
      <c r="BP346" s="64">
        <f t="shared" si="40"/>
        <v>1.3958333333333333</v>
      </c>
    </row>
    <row r="347" spans="1:68" ht="37.5" customHeight="1" x14ac:dyDescent="0.25">
      <c r="A347" s="54" t="s">
        <v>549</v>
      </c>
      <c r="B347" s="54" t="s">
        <v>550</v>
      </c>
      <c r="C347" s="31">
        <v>4301011867</v>
      </c>
      <c r="D347" s="547">
        <v>4680115884830</v>
      </c>
      <c r="E347" s="548"/>
      <c r="F347" s="542">
        <v>2.5</v>
      </c>
      <c r="G347" s="32">
        <v>6</v>
      </c>
      <c r="H347" s="542">
        <v>15</v>
      </c>
      <c r="I347" s="542">
        <v>15.48</v>
      </c>
      <c r="J347" s="32">
        <v>48</v>
      </c>
      <c r="K347" s="32" t="s">
        <v>104</v>
      </c>
      <c r="L347" s="32"/>
      <c r="M347" s="33" t="s">
        <v>68</v>
      </c>
      <c r="N347" s="33"/>
      <c r="O347" s="32">
        <v>60</v>
      </c>
      <c r="P347" s="8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IFERROR(IF(Y347=0,"",ROUNDUP(Y347/H347,0)*0.02175),"")</f>
        <v/>
      </c>
      <c r="AA347" s="56"/>
      <c r="AB347" s="57"/>
      <c r="AC347" s="399" t="s">
        <v>551</v>
      </c>
      <c r="AG347" s="64"/>
      <c r="AJ347" s="68" t="s">
        <v>90</v>
      </c>
      <c r="AK347" s="68">
        <v>15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4.21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555</v>
      </c>
      <c r="B349" s="54" t="s">
        <v>556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5.21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557</v>
      </c>
      <c r="B350" s="54" t="s">
        <v>558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5.21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3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2" t="s">
        <v>71</v>
      </c>
      <c r="Q351" s="563"/>
      <c r="R351" s="563"/>
      <c r="S351" s="563"/>
      <c r="T351" s="563"/>
      <c r="U351" s="563"/>
      <c r="V351" s="564"/>
      <c r="W351" s="37" t="s">
        <v>72</v>
      </c>
      <c r="X351" s="545">
        <f>IFERROR(X344/H344,"0")+IFERROR(X345/H345,"0")+IFERROR(X346/H346,"0")+IFERROR(X347/H347,"0")+IFERROR(X348/H348,"0")+IFERROR(X349/H349,"0")+IFERROR(X350/H350,"0")</f>
        <v>68.666666666666671</v>
      </c>
      <c r="Y351" s="545">
        <f>IFERROR(Y344/H344,"0")+IFERROR(Y345/H345,"0")+IFERROR(Y346/H346,"0")+IFERROR(Y347/H347,"0")+IFERROR(Y348/H348,"0")+IFERROR(Y349/H349,"0")+IFERROR(Y350/H350,"0")</f>
        <v>69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1.50075</v>
      </c>
      <c r="AA351" s="546"/>
      <c r="AB351" s="546"/>
      <c r="AC351" s="546"/>
    </row>
    <row r="352" spans="1:68" x14ac:dyDescent="0.2">
      <c r="A352" s="554"/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5"/>
      <c r="P352" s="562" t="s">
        <v>71</v>
      </c>
      <c r="Q352" s="563"/>
      <c r="R352" s="563"/>
      <c r="S352" s="563"/>
      <c r="T352" s="563"/>
      <c r="U352" s="563"/>
      <c r="V352" s="564"/>
      <c r="W352" s="37" t="s">
        <v>69</v>
      </c>
      <c r="X352" s="545">
        <f>IFERROR(SUM(X344:X350),"0")</f>
        <v>1030</v>
      </c>
      <c r="Y352" s="545">
        <f>IFERROR(SUM(Y344:Y350),"0")</f>
        <v>1035</v>
      </c>
      <c r="Z352" s="37"/>
      <c r="AA352" s="546"/>
      <c r="AB352" s="546"/>
      <c r="AC352" s="546"/>
    </row>
    <row r="353" spans="1:68" ht="14.25" customHeight="1" x14ac:dyDescent="0.25">
      <c r="A353" s="558" t="s">
        <v>136</v>
      </c>
      <c r="B353" s="554"/>
      <c r="C353" s="554"/>
      <c r="D353" s="554"/>
      <c r="E353" s="554"/>
      <c r="F353" s="554"/>
      <c r="G353" s="554"/>
      <c r="H353" s="554"/>
      <c r="I353" s="554"/>
      <c r="J353" s="554"/>
      <c r="K353" s="554"/>
      <c r="L353" s="554"/>
      <c r="M353" s="554"/>
      <c r="N353" s="554"/>
      <c r="O353" s="554"/>
      <c r="P353" s="554"/>
      <c r="Q353" s="554"/>
      <c r="R353" s="554"/>
      <c r="S353" s="554"/>
      <c r="T353" s="554"/>
      <c r="U353" s="554"/>
      <c r="V353" s="554"/>
      <c r="W353" s="554"/>
      <c r="X353" s="554"/>
      <c r="Y353" s="554"/>
      <c r="Z353" s="554"/>
      <c r="AA353" s="539"/>
      <c r="AB353" s="539"/>
      <c r="AC353" s="539"/>
    </row>
    <row r="354" spans="1:68" ht="27" customHeight="1" x14ac:dyDescent="0.25">
      <c r="A354" s="54" t="s">
        <v>559</v>
      </c>
      <c r="B354" s="54" t="s">
        <v>560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15.48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2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400</v>
      </c>
      <c r="Y354" s="544">
        <f>IFERROR(IF(X354="",0,CEILING((X354/$H354),1)*$H354),"")</f>
        <v>405</v>
      </c>
      <c r="Z354" s="36">
        <f>IFERROR(IF(Y354=0,"",ROUNDUP(Y354/H354,0)*0.02175),"")</f>
        <v>0.58724999999999994</v>
      </c>
      <c r="AA354" s="56"/>
      <c r="AB354" s="57"/>
      <c r="AC354" s="407" t="s">
        <v>561</v>
      </c>
      <c r="AG354" s="64"/>
      <c r="AJ354" s="68" t="s">
        <v>90</v>
      </c>
      <c r="AK354" s="68">
        <v>15</v>
      </c>
      <c r="BB354" s="408" t="s">
        <v>1</v>
      </c>
      <c r="BM354" s="64">
        <f>IFERROR(X354*I354/H354,"0")</f>
        <v>412.8</v>
      </c>
      <c r="BN354" s="64">
        <f>IFERROR(Y354*I354/H354,"0")</f>
        <v>417.96000000000004</v>
      </c>
      <c r="BO354" s="64">
        <f>IFERROR(1/J354*(X354/H354),"0")</f>
        <v>0.55555555555555558</v>
      </c>
      <c r="BP354" s="64">
        <f>IFERROR(1/J354*(Y354/H354),"0")</f>
        <v>0.5625</v>
      </c>
    </row>
    <row r="355" spans="1:68" ht="16.5" customHeight="1" x14ac:dyDescent="0.25">
      <c r="A355" s="54" t="s">
        <v>562</v>
      </c>
      <c r="B355" s="54" t="s">
        <v>563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4.21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561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3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2" t="s">
        <v>71</v>
      </c>
      <c r="Q356" s="563"/>
      <c r="R356" s="563"/>
      <c r="S356" s="563"/>
      <c r="T356" s="563"/>
      <c r="U356" s="563"/>
      <c r="V356" s="564"/>
      <c r="W356" s="37" t="s">
        <v>72</v>
      </c>
      <c r="X356" s="545">
        <f>IFERROR(X354/H354,"0")+IFERROR(X355/H355,"0")</f>
        <v>26.666666666666668</v>
      </c>
      <c r="Y356" s="545">
        <f>IFERROR(Y354/H354,"0")+IFERROR(Y355/H355,"0")</f>
        <v>27</v>
      </c>
      <c r="Z356" s="545">
        <f>IFERROR(IF(Z354="",0,Z354),"0")+IFERROR(IF(Z355="",0,Z355),"0")</f>
        <v>0.58724999999999994</v>
      </c>
      <c r="AA356" s="546"/>
      <c r="AB356" s="546"/>
      <c r="AC356" s="546"/>
    </row>
    <row r="357" spans="1:68" x14ac:dyDescent="0.2">
      <c r="A357" s="554"/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5"/>
      <c r="P357" s="562" t="s">
        <v>71</v>
      </c>
      <c r="Q357" s="563"/>
      <c r="R357" s="563"/>
      <c r="S357" s="563"/>
      <c r="T357" s="563"/>
      <c r="U357" s="563"/>
      <c r="V357" s="564"/>
      <c r="W357" s="37" t="s">
        <v>69</v>
      </c>
      <c r="X357" s="545">
        <f>IFERROR(SUM(X354:X355),"0")</f>
        <v>400</v>
      </c>
      <c r="Y357" s="545">
        <f>IFERROR(SUM(Y354:Y355),"0")</f>
        <v>405</v>
      </c>
      <c r="Z357" s="37"/>
      <c r="AA357" s="546"/>
      <c r="AB357" s="546"/>
      <c r="AC357" s="546"/>
    </row>
    <row r="358" spans="1:68" ht="14.25" customHeight="1" x14ac:dyDescent="0.25">
      <c r="A358" s="558" t="s">
        <v>73</v>
      </c>
      <c r="B358" s="554"/>
      <c r="C358" s="554"/>
      <c r="D358" s="554"/>
      <c r="E358" s="554"/>
      <c r="F358" s="554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39"/>
      <c r="AB358" s="539"/>
      <c r="AC358" s="539"/>
    </row>
    <row r="359" spans="1:68" ht="27" customHeight="1" x14ac:dyDescent="0.25">
      <c r="A359" s="54" t="s">
        <v>564</v>
      </c>
      <c r="B359" s="54" t="s">
        <v>565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9.5250000000000004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8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567</v>
      </c>
      <c r="B360" s="54" t="s">
        <v>568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9.5190000000000001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569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3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2" t="s">
        <v>71</v>
      </c>
      <c r="Q361" s="563"/>
      <c r="R361" s="563"/>
      <c r="S361" s="563"/>
      <c r="T361" s="563"/>
      <c r="U361" s="563"/>
      <c r="V361" s="564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x14ac:dyDescent="0.2">
      <c r="A362" s="554"/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5"/>
      <c r="P362" s="562" t="s">
        <v>71</v>
      </c>
      <c r="Q362" s="563"/>
      <c r="R362" s="563"/>
      <c r="S362" s="563"/>
      <c r="T362" s="563"/>
      <c r="U362" s="563"/>
      <c r="V362" s="564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customHeight="1" x14ac:dyDescent="0.25">
      <c r="A363" s="558" t="s">
        <v>166</v>
      </c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39"/>
      <c r="AB363" s="539"/>
      <c r="AC363" s="539"/>
    </row>
    <row r="364" spans="1:68" ht="16.5" customHeight="1" x14ac:dyDescent="0.25">
      <c r="A364" s="54" t="s">
        <v>570</v>
      </c>
      <c r="B364" s="54" t="s">
        <v>571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9.5190000000000001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572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53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2" t="s">
        <v>71</v>
      </c>
      <c r="Q365" s="563"/>
      <c r="R365" s="563"/>
      <c r="S365" s="563"/>
      <c r="T365" s="563"/>
      <c r="U365" s="563"/>
      <c r="V365" s="564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4"/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5"/>
      <c r="P366" s="562" t="s">
        <v>71</v>
      </c>
      <c r="Q366" s="563"/>
      <c r="R366" s="563"/>
      <c r="S366" s="563"/>
      <c r="T366" s="563"/>
      <c r="U366" s="563"/>
      <c r="V366" s="564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customHeight="1" x14ac:dyDescent="0.25">
      <c r="A367" s="559" t="s">
        <v>573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8"/>
      <c r="AB367" s="538"/>
      <c r="AC367" s="538"/>
    </row>
    <row r="368" spans="1:68" ht="14.25" customHeight="1" x14ac:dyDescent="0.25">
      <c r="A368" s="558" t="s">
        <v>101</v>
      </c>
      <c r="B368" s="554"/>
      <c r="C368" s="554"/>
      <c r="D368" s="554"/>
      <c r="E368" s="554"/>
      <c r="F368" s="554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39"/>
      <c r="AB368" s="539"/>
      <c r="AC368" s="539"/>
    </row>
    <row r="369" spans="1:68" ht="37.5" customHeight="1" x14ac:dyDescent="0.25">
      <c r="A369" s="54" t="s">
        <v>574</v>
      </c>
      <c r="B369" s="54" t="s">
        <v>575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12.435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576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577</v>
      </c>
      <c r="B370" s="54" t="s">
        <v>578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4.21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576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3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2" t="s">
        <v>71</v>
      </c>
      <c r="Q371" s="563"/>
      <c r="R371" s="563"/>
      <c r="S371" s="563"/>
      <c r="T371" s="563"/>
      <c r="U371" s="563"/>
      <c r="V371" s="564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4"/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5"/>
      <c r="P372" s="562" t="s">
        <v>71</v>
      </c>
      <c r="Q372" s="563"/>
      <c r="R372" s="563"/>
      <c r="S372" s="563"/>
      <c r="T372" s="563"/>
      <c r="U372" s="563"/>
      <c r="V372" s="564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customHeight="1" x14ac:dyDescent="0.25">
      <c r="A373" s="558" t="s">
        <v>64</v>
      </c>
      <c r="B373" s="554"/>
      <c r="C373" s="554"/>
      <c r="D373" s="554"/>
      <c r="E373" s="554"/>
      <c r="F373" s="554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39"/>
      <c r="AB373" s="539"/>
      <c r="AC373" s="539"/>
    </row>
    <row r="374" spans="1:68" ht="27" customHeight="1" x14ac:dyDescent="0.25">
      <c r="A374" s="54" t="s">
        <v>579</v>
      </c>
      <c r="B374" s="54" t="s">
        <v>580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4.6500000000000004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581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579</v>
      </c>
      <c r="B375" s="54" t="s">
        <v>582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4.47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583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3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2" t="s">
        <v>71</v>
      </c>
      <c r="Q376" s="563"/>
      <c r="R376" s="563"/>
      <c r="S376" s="563"/>
      <c r="T376" s="563"/>
      <c r="U376" s="563"/>
      <c r="V376" s="564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x14ac:dyDescent="0.2">
      <c r="A377" s="554"/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5"/>
      <c r="P377" s="562" t="s">
        <v>71</v>
      </c>
      <c r="Q377" s="563"/>
      <c r="R377" s="563"/>
      <c r="S377" s="563"/>
      <c r="T377" s="563"/>
      <c r="U377" s="563"/>
      <c r="V377" s="564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customHeight="1" x14ac:dyDescent="0.25">
      <c r="A378" s="558" t="s">
        <v>73</v>
      </c>
      <c r="B378" s="554"/>
      <c r="C378" s="554"/>
      <c r="D378" s="554"/>
      <c r="E378" s="554"/>
      <c r="F378" s="554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39"/>
      <c r="AB378" s="539"/>
      <c r="AC378" s="539"/>
    </row>
    <row r="379" spans="1:68" ht="27" customHeight="1" x14ac:dyDescent="0.25">
      <c r="A379" s="54" t="s">
        <v>584</v>
      </c>
      <c r="B379" s="54" t="s">
        <v>585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9.5190000000000001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300</v>
      </c>
      <c r="Y379" s="544">
        <f>IFERROR(IF(X379="",0,CEILING((X379/$H379),1)*$H379),"")</f>
        <v>306</v>
      </c>
      <c r="Z379" s="36">
        <f>IFERROR(IF(Y379=0,"",ROUNDUP(Y379/H379,0)*0.01898),"")</f>
        <v>0.64532</v>
      </c>
      <c r="AA379" s="56"/>
      <c r="AB379" s="57"/>
      <c r="AC379" s="425" t="s">
        <v>586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317.29999999999995</v>
      </c>
      <c r="BN379" s="64">
        <f>IFERROR(Y379*I379/H379,"0")</f>
        <v>323.64599999999996</v>
      </c>
      <c r="BO379" s="64">
        <f>IFERROR(1/J379*(X379/H379),"0")</f>
        <v>0.52083333333333337</v>
      </c>
      <c r="BP379" s="64">
        <f>IFERROR(1/J379*(Y379/H379),"0")</f>
        <v>0.53125</v>
      </c>
    </row>
    <row r="380" spans="1:68" ht="27" customHeight="1" x14ac:dyDescent="0.25">
      <c r="A380" s="54" t="s">
        <v>587</v>
      </c>
      <c r="B380" s="54" t="s">
        <v>588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586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3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2" t="s">
        <v>71</v>
      </c>
      <c r="Q381" s="563"/>
      <c r="R381" s="563"/>
      <c r="S381" s="563"/>
      <c r="T381" s="563"/>
      <c r="U381" s="563"/>
      <c r="V381" s="564"/>
      <c r="W381" s="37" t="s">
        <v>72</v>
      </c>
      <c r="X381" s="545">
        <f>IFERROR(X379/H379,"0")+IFERROR(X380/H380,"0")</f>
        <v>33.333333333333336</v>
      </c>
      <c r="Y381" s="545">
        <f>IFERROR(Y379/H379,"0")+IFERROR(Y380/H380,"0")</f>
        <v>34</v>
      </c>
      <c r="Z381" s="545">
        <f>IFERROR(IF(Z379="",0,Z379),"0")+IFERROR(IF(Z380="",0,Z380),"0")</f>
        <v>0.64532</v>
      </c>
      <c r="AA381" s="546"/>
      <c r="AB381" s="546"/>
      <c r="AC381" s="546"/>
    </row>
    <row r="382" spans="1:68" x14ac:dyDescent="0.2">
      <c r="A382" s="554"/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5"/>
      <c r="P382" s="562" t="s">
        <v>71</v>
      </c>
      <c r="Q382" s="563"/>
      <c r="R382" s="563"/>
      <c r="S382" s="563"/>
      <c r="T382" s="563"/>
      <c r="U382" s="563"/>
      <c r="V382" s="564"/>
      <c r="W382" s="37" t="s">
        <v>69</v>
      </c>
      <c r="X382" s="545">
        <f>IFERROR(SUM(X379:X380),"0")</f>
        <v>300</v>
      </c>
      <c r="Y382" s="545">
        <f>IFERROR(SUM(Y379:Y380),"0")</f>
        <v>306</v>
      </c>
      <c r="Z382" s="37"/>
      <c r="AA382" s="546"/>
      <c r="AB382" s="546"/>
      <c r="AC382" s="546"/>
    </row>
    <row r="383" spans="1:68" ht="27.75" customHeight="1" x14ac:dyDescent="0.2">
      <c r="A383" s="566" t="s">
        <v>589</v>
      </c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48"/>
      <c r="AB383" s="48"/>
      <c r="AC383" s="48"/>
    </row>
    <row r="384" spans="1:68" ht="16.5" customHeight="1" x14ac:dyDescent="0.25">
      <c r="A384" s="559" t="s">
        <v>590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8"/>
      <c r="AB384" s="538"/>
      <c r="AC384" s="538"/>
    </row>
    <row r="385" spans="1:68" ht="14.25" customHeight="1" x14ac:dyDescent="0.25">
      <c r="A385" s="558" t="s">
        <v>64</v>
      </c>
      <c r="B385" s="554"/>
      <c r="C385" s="554"/>
      <c r="D385" s="554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39"/>
      <c r="AB385" s="539"/>
      <c r="AC385" s="539"/>
    </row>
    <row r="386" spans="1:68" ht="27" customHeight="1" x14ac:dyDescent="0.25">
      <c r="A386" s="54" t="s">
        <v>591</v>
      </c>
      <c r="B386" s="54" t="s">
        <v>592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5.61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30</v>
      </c>
      <c r="Y386" s="544">
        <f t="shared" ref="Y386:Y394" si="41">IFERROR(IF(X386="",0,CEILING((X386/$H386),1)*$H386),"")</f>
        <v>32.400000000000006</v>
      </c>
      <c r="Z386" s="36">
        <f>IFERROR(IF(Y386=0,"",ROUNDUP(Y386/H386,0)*0.00902),"")</f>
        <v>5.4120000000000001E-2</v>
      </c>
      <c r="AA386" s="56"/>
      <c r="AB386" s="57"/>
      <c r="AC386" s="429" t="s">
        <v>593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31.166666666666668</v>
      </c>
      <c r="BN386" s="64">
        <f t="shared" ref="BN386:BN394" si="43">IFERROR(Y386*I386/H386,"0")</f>
        <v>33.660000000000004</v>
      </c>
      <c r="BO386" s="64">
        <f t="shared" ref="BO386:BO394" si="44">IFERROR(1/J386*(X386/H386),"0")</f>
        <v>4.208754208754209E-2</v>
      </c>
      <c r="BP386" s="64">
        <f t="shared" ref="BP386:BP394" si="45">IFERROR(1/J386*(Y386/H386),"0")</f>
        <v>4.5454545454545463E-2</v>
      </c>
    </row>
    <row r="387" spans="1:68" ht="27" customHeight="1" x14ac:dyDescent="0.25">
      <c r="A387" s="54" t="s">
        <v>594</v>
      </c>
      <c r="B387" s="54" t="s">
        <v>595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5.61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8</v>
      </c>
      <c r="Y387" s="544">
        <f t="shared" si="41"/>
        <v>10.8</v>
      </c>
      <c r="Z387" s="36">
        <f>IFERROR(IF(Y387=0,"",ROUNDUP(Y387/H387,0)*0.00902),"")</f>
        <v>1.804E-2</v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8.3111111111111118</v>
      </c>
      <c r="BN387" s="64">
        <f t="shared" si="43"/>
        <v>11.22</v>
      </c>
      <c r="BO387" s="64">
        <f t="shared" si="44"/>
        <v>1.1223344556677889E-2</v>
      </c>
      <c r="BP387" s="64">
        <f t="shared" si="45"/>
        <v>1.5151515151515152E-2</v>
      </c>
    </row>
    <row r="388" spans="1:68" ht="27" customHeight="1" x14ac:dyDescent="0.25">
      <c r="A388" s="54" t="s">
        <v>597</v>
      </c>
      <c r="B388" s="54" t="s">
        <v>598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5.61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5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4</v>
      </c>
      <c r="Y388" s="544">
        <f t="shared" si="41"/>
        <v>5.4</v>
      </c>
      <c r="Z388" s="36">
        <f>IFERROR(IF(Y388=0,"",ROUNDUP(Y388/H388,0)*0.00902),"")</f>
        <v>9.0200000000000002E-3</v>
      </c>
      <c r="AA388" s="56"/>
      <c r="AB388" s="57"/>
      <c r="AC388" s="433" t="s">
        <v>599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4.1555555555555559</v>
      </c>
      <c r="BN388" s="64">
        <f t="shared" si="43"/>
        <v>5.61</v>
      </c>
      <c r="BO388" s="64">
        <f t="shared" si="44"/>
        <v>5.6116722783389446E-3</v>
      </c>
      <c r="BP388" s="64">
        <f t="shared" si="45"/>
        <v>7.575757575757576E-3</v>
      </c>
    </row>
    <row r="389" spans="1:68" ht="27" customHeight="1" x14ac:dyDescent="0.25">
      <c r="A389" s="54" t="s">
        <v>600</v>
      </c>
      <c r="B389" s="54" t="s">
        <v>601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593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602</v>
      </c>
      <c r="B390" s="54" t="s">
        <v>603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604</v>
      </c>
      <c r="B391" s="54" t="s">
        <v>605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610</v>
      </c>
      <c r="B393" s="54" t="s">
        <v>611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613</v>
      </c>
      <c r="B394" s="54" t="s">
        <v>614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0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3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2" t="s">
        <v>71</v>
      </c>
      <c r="Q395" s="563"/>
      <c r="R395" s="563"/>
      <c r="S395" s="563"/>
      <c r="T395" s="563"/>
      <c r="U395" s="563"/>
      <c r="V395" s="564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7.7777777777777768</v>
      </c>
      <c r="Y395" s="545">
        <f>IFERROR(Y386/H386,"0")+IFERROR(Y387/H387,"0")+IFERROR(Y388/H388,"0")+IFERROR(Y389/H389,"0")+IFERROR(Y390/H390,"0")+IFERROR(Y391/H391,"0")+IFERROR(Y392/H392,"0")+IFERROR(Y393/H393,"0")+IFERROR(Y394/H394,"0")</f>
        <v>9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8.1180000000000002E-2</v>
      </c>
      <c r="AA395" s="546"/>
      <c r="AB395" s="546"/>
      <c r="AC395" s="546"/>
    </row>
    <row r="396" spans="1:68" x14ac:dyDescent="0.2">
      <c r="A396" s="554"/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5"/>
      <c r="P396" s="562" t="s">
        <v>71</v>
      </c>
      <c r="Q396" s="563"/>
      <c r="R396" s="563"/>
      <c r="S396" s="563"/>
      <c r="T396" s="563"/>
      <c r="U396" s="563"/>
      <c r="V396" s="564"/>
      <c r="W396" s="37" t="s">
        <v>69</v>
      </c>
      <c r="X396" s="545">
        <f>IFERROR(SUM(X386:X394),"0")</f>
        <v>42</v>
      </c>
      <c r="Y396" s="545">
        <f>IFERROR(SUM(Y386:Y394),"0")</f>
        <v>48.6</v>
      </c>
      <c r="Z396" s="37"/>
      <c r="AA396" s="546"/>
      <c r="AB396" s="546"/>
      <c r="AC396" s="546"/>
    </row>
    <row r="397" spans="1:68" ht="14.25" customHeight="1" x14ac:dyDescent="0.25">
      <c r="A397" s="558" t="s">
        <v>73</v>
      </c>
      <c r="B397" s="554"/>
      <c r="C397" s="554"/>
      <c r="D397" s="554"/>
      <c r="E397" s="554"/>
      <c r="F397" s="554"/>
      <c r="G397" s="554"/>
      <c r="H397" s="554"/>
      <c r="I397" s="554"/>
      <c r="J397" s="554"/>
      <c r="K397" s="554"/>
      <c r="L397" s="554"/>
      <c r="M397" s="554"/>
      <c r="N397" s="554"/>
      <c r="O397" s="554"/>
      <c r="P397" s="554"/>
      <c r="Q397" s="554"/>
      <c r="R397" s="554"/>
      <c r="S397" s="554"/>
      <c r="T397" s="554"/>
      <c r="U397" s="554"/>
      <c r="V397" s="554"/>
      <c r="W397" s="554"/>
      <c r="X397" s="554"/>
      <c r="Y397" s="554"/>
      <c r="Z397" s="554"/>
      <c r="AA397" s="539"/>
      <c r="AB397" s="539"/>
      <c r="AC397" s="539"/>
    </row>
    <row r="398" spans="1:68" ht="27" customHeight="1" x14ac:dyDescent="0.25">
      <c r="A398" s="54" t="s">
        <v>615</v>
      </c>
      <c r="B398" s="54" t="s">
        <v>616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2.6459999999999999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618</v>
      </c>
      <c r="B399" s="54" t="s">
        <v>619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620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3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2" t="s">
        <v>71</v>
      </c>
      <c r="Q400" s="563"/>
      <c r="R400" s="563"/>
      <c r="S400" s="563"/>
      <c r="T400" s="563"/>
      <c r="U400" s="563"/>
      <c r="V400" s="564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4"/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5"/>
      <c r="P401" s="562" t="s">
        <v>71</v>
      </c>
      <c r="Q401" s="563"/>
      <c r="R401" s="563"/>
      <c r="S401" s="563"/>
      <c r="T401" s="563"/>
      <c r="U401" s="563"/>
      <c r="V401" s="564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9" t="s">
        <v>621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8"/>
      <c r="AB402" s="538"/>
      <c r="AC402" s="538"/>
    </row>
    <row r="403" spans="1:68" ht="14.25" customHeight="1" x14ac:dyDescent="0.25">
      <c r="A403" s="558" t="s">
        <v>136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39"/>
      <c r="AB403" s="539"/>
      <c r="AC403" s="539"/>
    </row>
    <row r="404" spans="1:68" ht="27" customHeight="1" x14ac:dyDescent="0.25">
      <c r="A404" s="54" t="s">
        <v>622</v>
      </c>
      <c r="B404" s="54" t="s">
        <v>623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624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3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2" t="s">
        <v>71</v>
      </c>
      <c r="Q405" s="563"/>
      <c r="R405" s="563"/>
      <c r="S405" s="563"/>
      <c r="T405" s="563"/>
      <c r="U405" s="563"/>
      <c r="V405" s="564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4"/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5"/>
      <c r="P406" s="562" t="s">
        <v>71</v>
      </c>
      <c r="Q406" s="563"/>
      <c r="R406" s="563"/>
      <c r="S406" s="563"/>
      <c r="T406" s="563"/>
      <c r="U406" s="563"/>
      <c r="V406" s="564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58" t="s">
        <v>64</v>
      </c>
      <c r="B407" s="554"/>
      <c r="C407" s="554"/>
      <c r="D407" s="554"/>
      <c r="E407" s="554"/>
      <c r="F407" s="554"/>
      <c r="G407" s="554"/>
      <c r="H407" s="554"/>
      <c r="I407" s="554"/>
      <c r="J407" s="554"/>
      <c r="K407" s="554"/>
      <c r="L407" s="554"/>
      <c r="M407" s="554"/>
      <c r="N407" s="554"/>
      <c r="O407" s="554"/>
      <c r="P407" s="554"/>
      <c r="Q407" s="554"/>
      <c r="R407" s="554"/>
      <c r="S407" s="554"/>
      <c r="T407" s="554"/>
      <c r="U407" s="554"/>
      <c r="V407" s="554"/>
      <c r="W407" s="554"/>
      <c r="X407" s="554"/>
      <c r="Y407" s="554"/>
      <c r="Z407" s="554"/>
      <c r="AA407" s="539"/>
      <c r="AB407" s="539"/>
      <c r="AC407" s="539"/>
    </row>
    <row r="408" spans="1:68" ht="27" customHeight="1" x14ac:dyDescent="0.25">
      <c r="A408" s="54" t="s">
        <v>625</v>
      </c>
      <c r="B408" s="54" t="s">
        <v>626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5.61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627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633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634</v>
      </c>
      <c r="B411" s="54" t="s">
        <v>635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3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2" t="s">
        <v>71</v>
      </c>
      <c r="Q412" s="563"/>
      <c r="R412" s="563"/>
      <c r="S412" s="563"/>
      <c r="T412" s="563"/>
      <c r="U412" s="563"/>
      <c r="V412" s="564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4"/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5"/>
      <c r="P413" s="562" t="s">
        <v>71</v>
      </c>
      <c r="Q413" s="563"/>
      <c r="R413" s="563"/>
      <c r="S413" s="563"/>
      <c r="T413" s="563"/>
      <c r="U413" s="563"/>
      <c r="V413" s="564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59" t="s">
        <v>636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8"/>
      <c r="AB414" s="538"/>
      <c r="AC414" s="538"/>
    </row>
    <row r="415" spans="1:68" ht="14.25" customHeight="1" x14ac:dyDescent="0.25">
      <c r="A415" s="558" t="s">
        <v>64</v>
      </c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54"/>
      <c r="P415" s="554"/>
      <c r="Q415" s="554"/>
      <c r="R415" s="554"/>
      <c r="S415" s="554"/>
      <c r="T415" s="554"/>
      <c r="U415" s="554"/>
      <c r="V415" s="554"/>
      <c r="W415" s="554"/>
      <c r="X415" s="554"/>
      <c r="Y415" s="554"/>
      <c r="Z415" s="554"/>
      <c r="AA415" s="539"/>
      <c r="AB415" s="539"/>
      <c r="AC415" s="539"/>
    </row>
    <row r="416" spans="1:68" ht="27" customHeight="1" x14ac:dyDescent="0.25">
      <c r="A416" s="54" t="s">
        <v>637</v>
      </c>
      <c r="B416" s="54" t="s">
        <v>638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639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3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2" t="s">
        <v>71</v>
      </c>
      <c r="Q417" s="563"/>
      <c r="R417" s="563"/>
      <c r="S417" s="563"/>
      <c r="T417" s="563"/>
      <c r="U417" s="563"/>
      <c r="V417" s="564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4"/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5"/>
      <c r="P418" s="562" t="s">
        <v>71</v>
      </c>
      <c r="Q418" s="563"/>
      <c r="R418" s="563"/>
      <c r="S418" s="563"/>
      <c r="T418" s="563"/>
      <c r="U418" s="563"/>
      <c r="V418" s="564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6" t="s">
        <v>640</v>
      </c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48"/>
      <c r="AB419" s="48"/>
      <c r="AC419" s="48"/>
    </row>
    <row r="420" spans="1:68" ht="16.5" customHeight="1" x14ac:dyDescent="0.25">
      <c r="A420" s="559" t="s">
        <v>640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8"/>
      <c r="AB420" s="538"/>
      <c r="AC420" s="538"/>
    </row>
    <row r="421" spans="1:68" ht="14.25" customHeight="1" x14ac:dyDescent="0.25">
      <c r="A421" s="558" t="s">
        <v>101</v>
      </c>
      <c r="B421" s="554"/>
      <c r="C421" s="554"/>
      <c r="D421" s="554"/>
      <c r="E421" s="554"/>
      <c r="F421" s="554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39"/>
      <c r="AB421" s="539"/>
      <c r="AC421" s="539"/>
    </row>
    <row r="422" spans="1:68" ht="27" customHeight="1" x14ac:dyDescent="0.25">
      <c r="A422" s="54" t="s">
        <v>641</v>
      </c>
      <c r="B422" s="54" t="s">
        <v>642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5.64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9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5.64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5.64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20</v>
      </c>
      <c r="Y424" s="544">
        <f t="shared" si="47"/>
        <v>21.12</v>
      </c>
      <c r="Z424" s="36">
        <f t="shared" si="48"/>
        <v>4.7840000000000001E-2</v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21.363636363636363</v>
      </c>
      <c r="BN424" s="64">
        <f t="shared" si="50"/>
        <v>22.56</v>
      </c>
      <c r="BO424" s="64">
        <f t="shared" si="51"/>
        <v>3.6421911421911424E-2</v>
      </c>
      <c r="BP424" s="64">
        <f t="shared" si="52"/>
        <v>3.8461538461538464E-2</v>
      </c>
    </row>
    <row r="425" spans="1:68" ht="27" customHeight="1" x14ac:dyDescent="0.25">
      <c r="A425" s="54" t="s">
        <v>649</v>
      </c>
      <c r="B425" s="54" t="s">
        <v>650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5.64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652</v>
      </c>
      <c r="B426" s="54" t="s">
        <v>653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5.64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5.64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100</v>
      </c>
      <c r="Y427" s="544">
        <f t="shared" si="47"/>
        <v>100.32000000000001</v>
      </c>
      <c r="Z427" s="36">
        <f t="shared" si="48"/>
        <v>0.22724</v>
      </c>
      <c r="AA427" s="56"/>
      <c r="AB427" s="57"/>
      <c r="AC427" s="473" t="s">
        <v>657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106.81818181818181</v>
      </c>
      <c r="BN427" s="64">
        <f t="shared" si="50"/>
        <v>107.16</v>
      </c>
      <c r="BO427" s="64">
        <f t="shared" si="51"/>
        <v>0.18210955710955709</v>
      </c>
      <c r="BP427" s="64">
        <f t="shared" si="52"/>
        <v>0.18269230769230771</v>
      </c>
    </row>
    <row r="428" spans="1:68" ht="27" customHeight="1" x14ac:dyDescent="0.25">
      <c r="A428" s="54" t="s">
        <v>658</v>
      </c>
      <c r="B428" s="54" t="s">
        <v>659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6.93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667</v>
      </c>
      <c r="B432" s="54" t="s">
        <v>668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6.93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3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2" t="s">
        <v>71</v>
      </c>
      <c r="Q433" s="563"/>
      <c r="R433" s="563"/>
      <c r="S433" s="563"/>
      <c r="T433" s="563"/>
      <c r="U433" s="563"/>
      <c r="V433" s="564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22.727272727272727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23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0.27507999999999999</v>
      </c>
      <c r="AA433" s="546"/>
      <c r="AB433" s="546"/>
      <c r="AC433" s="546"/>
    </row>
    <row r="434" spans="1:68" x14ac:dyDescent="0.2">
      <c r="A434" s="554"/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5"/>
      <c r="P434" s="562" t="s">
        <v>71</v>
      </c>
      <c r="Q434" s="563"/>
      <c r="R434" s="563"/>
      <c r="S434" s="563"/>
      <c r="T434" s="563"/>
      <c r="U434" s="563"/>
      <c r="V434" s="564"/>
      <c r="W434" s="37" t="s">
        <v>69</v>
      </c>
      <c r="X434" s="545">
        <f>IFERROR(SUM(X422:X432),"0")</f>
        <v>120</v>
      </c>
      <c r="Y434" s="545">
        <f>IFERROR(SUM(Y422:Y432),"0")</f>
        <v>121.44000000000001</v>
      </c>
      <c r="Z434" s="37"/>
      <c r="AA434" s="546"/>
      <c r="AB434" s="546"/>
      <c r="AC434" s="546"/>
    </row>
    <row r="435" spans="1:68" ht="14.25" customHeight="1" x14ac:dyDescent="0.25">
      <c r="A435" s="558" t="s">
        <v>136</v>
      </c>
      <c r="B435" s="554"/>
      <c r="C435" s="554"/>
      <c r="D435" s="554"/>
      <c r="E435" s="554"/>
      <c r="F435" s="554"/>
      <c r="G435" s="554"/>
      <c r="H435" s="554"/>
      <c r="I435" s="554"/>
      <c r="J435" s="554"/>
      <c r="K435" s="554"/>
      <c r="L435" s="554"/>
      <c r="M435" s="554"/>
      <c r="N435" s="554"/>
      <c r="O435" s="554"/>
      <c r="P435" s="554"/>
      <c r="Q435" s="554"/>
      <c r="R435" s="554"/>
      <c r="S435" s="554"/>
      <c r="T435" s="554"/>
      <c r="U435" s="554"/>
      <c r="V435" s="554"/>
      <c r="W435" s="554"/>
      <c r="X435" s="554"/>
      <c r="Y435" s="554"/>
      <c r="Z435" s="554"/>
      <c r="AA435" s="539"/>
      <c r="AB435" s="539"/>
      <c r="AC435" s="539"/>
    </row>
    <row r="436" spans="1:68" ht="16.5" customHeight="1" x14ac:dyDescent="0.25">
      <c r="A436" s="54" t="s">
        <v>669</v>
      </c>
      <c r="B436" s="54" t="s">
        <v>670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5.64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100</v>
      </c>
      <c r="Y436" s="544">
        <f>IFERROR(IF(X436="",0,CEILING((X436/$H436),1)*$H436),"")</f>
        <v>100.32000000000001</v>
      </c>
      <c r="Z436" s="36">
        <f>IFERROR(IF(Y436=0,"",ROUNDUP(Y436/H436,0)*0.01196),"")</f>
        <v>0.22724</v>
      </c>
      <c r="AA436" s="56"/>
      <c r="AB436" s="57"/>
      <c r="AC436" s="485" t="s">
        <v>671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106.81818181818181</v>
      </c>
      <c r="BN436" s="64">
        <f>IFERROR(Y436*I436/H436,"0")</f>
        <v>107.16</v>
      </c>
      <c r="BO436" s="64">
        <f>IFERROR(1/J436*(X436/H436),"0")</f>
        <v>0.18210955710955709</v>
      </c>
      <c r="BP436" s="64">
        <f>IFERROR(1/J436*(Y436/H436),"0")</f>
        <v>0.18269230769230771</v>
      </c>
    </row>
    <row r="437" spans="1:68" ht="16.5" customHeight="1" x14ac:dyDescent="0.25">
      <c r="A437" s="54" t="s">
        <v>672</v>
      </c>
      <c r="B437" s="54" t="s">
        <v>673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671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674</v>
      </c>
      <c r="B438" s="54" t="s">
        <v>675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6.93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671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3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2" t="s">
        <v>71</v>
      </c>
      <c r="Q439" s="563"/>
      <c r="R439" s="563"/>
      <c r="S439" s="563"/>
      <c r="T439" s="563"/>
      <c r="U439" s="563"/>
      <c r="V439" s="564"/>
      <c r="W439" s="37" t="s">
        <v>72</v>
      </c>
      <c r="X439" s="545">
        <f>IFERROR(X436/H436,"0")+IFERROR(X437/H437,"0")+IFERROR(X438/H438,"0")</f>
        <v>18.939393939393938</v>
      </c>
      <c r="Y439" s="545">
        <f>IFERROR(Y436/H436,"0")+IFERROR(Y437/H437,"0")+IFERROR(Y438/H438,"0")</f>
        <v>19</v>
      </c>
      <c r="Z439" s="545">
        <f>IFERROR(IF(Z436="",0,Z436),"0")+IFERROR(IF(Z437="",0,Z437),"0")+IFERROR(IF(Z438="",0,Z438),"0")</f>
        <v>0.22724</v>
      </c>
      <c r="AA439" s="546"/>
      <c r="AB439" s="546"/>
      <c r="AC439" s="546"/>
    </row>
    <row r="440" spans="1:68" x14ac:dyDescent="0.2">
      <c r="A440" s="554"/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5"/>
      <c r="P440" s="562" t="s">
        <v>71</v>
      </c>
      <c r="Q440" s="563"/>
      <c r="R440" s="563"/>
      <c r="S440" s="563"/>
      <c r="T440" s="563"/>
      <c r="U440" s="563"/>
      <c r="V440" s="564"/>
      <c r="W440" s="37" t="s">
        <v>69</v>
      </c>
      <c r="X440" s="545">
        <f>IFERROR(SUM(X436:X438),"0")</f>
        <v>100</v>
      </c>
      <c r="Y440" s="545">
        <f>IFERROR(SUM(Y436:Y438),"0")</f>
        <v>100.32000000000001</v>
      </c>
      <c r="Z440" s="37"/>
      <c r="AA440" s="546"/>
      <c r="AB440" s="546"/>
      <c r="AC440" s="546"/>
    </row>
    <row r="441" spans="1:68" ht="14.25" customHeight="1" x14ac:dyDescent="0.25">
      <c r="A441" s="558" t="s">
        <v>64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539"/>
      <c r="AB441" s="539"/>
      <c r="AC441" s="539"/>
    </row>
    <row r="442" spans="1:68" ht="27" customHeight="1" x14ac:dyDescent="0.25">
      <c r="A442" s="54" t="s">
        <v>676</v>
      </c>
      <c r="B442" s="54" t="s">
        <v>677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5.64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70</v>
      </c>
      <c r="Y442" s="544">
        <f t="shared" ref="Y442:Y447" si="53">IFERROR(IF(X442="",0,CEILING((X442/$H442),1)*$H442),"")</f>
        <v>73.92</v>
      </c>
      <c r="Z442" s="36">
        <f>IFERROR(IF(Y442=0,"",ROUNDUP(Y442/H442,0)*0.01196),"")</f>
        <v>0.16744000000000001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74.772727272727266</v>
      </c>
      <c r="BN442" s="64">
        <f t="shared" ref="BN442:BN447" si="55">IFERROR(Y442*I442/H442,"0")</f>
        <v>78.959999999999994</v>
      </c>
      <c r="BO442" s="64">
        <f t="shared" ref="BO442:BO447" si="56">IFERROR(1/J442*(X442/H442),"0")</f>
        <v>0.12747668997668998</v>
      </c>
      <c r="BP442" s="64">
        <f t="shared" ref="BP442:BP447" si="57">IFERROR(1/J442*(Y442/H442),"0")</f>
        <v>0.13461538461538464</v>
      </c>
    </row>
    <row r="443" spans="1:68" ht="27" customHeight="1" x14ac:dyDescent="0.25">
      <c r="A443" s="54" t="s">
        <v>679</v>
      </c>
      <c r="B443" s="54" t="s">
        <v>680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5.64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10</v>
      </c>
      <c r="Y443" s="544">
        <f t="shared" si="53"/>
        <v>10.56</v>
      </c>
      <c r="Z443" s="36">
        <f>IFERROR(IF(Y443=0,"",ROUNDUP(Y443/H443,0)*0.01196),"")</f>
        <v>2.392E-2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10.681818181818182</v>
      </c>
      <c r="BN443" s="64">
        <f t="shared" si="55"/>
        <v>11.28</v>
      </c>
      <c r="BO443" s="64">
        <f t="shared" si="56"/>
        <v>1.8210955710955712E-2</v>
      </c>
      <c r="BP443" s="64">
        <f t="shared" si="57"/>
        <v>1.9230769230769232E-2</v>
      </c>
    </row>
    <row r="444" spans="1:68" ht="27" customHeight="1" x14ac:dyDescent="0.25">
      <c r="A444" s="54" t="s">
        <v>682</v>
      </c>
      <c r="B444" s="54" t="s">
        <v>683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5.64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140</v>
      </c>
      <c r="Y444" s="544">
        <f t="shared" si="53"/>
        <v>142.56</v>
      </c>
      <c r="Z444" s="36">
        <f>IFERROR(IF(Y444=0,"",ROUNDUP(Y444/H444,0)*0.01196),"")</f>
        <v>0.32291999999999998</v>
      </c>
      <c r="AA444" s="56"/>
      <c r="AB444" s="57"/>
      <c r="AC444" s="495" t="s">
        <v>684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149.54545454545453</v>
      </c>
      <c r="BN444" s="64">
        <f t="shared" si="55"/>
        <v>152.27999999999997</v>
      </c>
      <c r="BO444" s="64">
        <f t="shared" si="56"/>
        <v>0.25495337995337997</v>
      </c>
      <c r="BP444" s="64">
        <f t="shared" si="57"/>
        <v>0.25961538461538464</v>
      </c>
    </row>
    <row r="445" spans="1:68" ht="27" customHeight="1" x14ac:dyDescent="0.25">
      <c r="A445" s="54" t="s">
        <v>685</v>
      </c>
      <c r="B445" s="54" t="s">
        <v>686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6.93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687</v>
      </c>
      <c r="B446" s="54" t="s">
        <v>688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6.69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689</v>
      </c>
      <c r="B447" s="54" t="s">
        <v>690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6.69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684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3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2" t="s">
        <v>71</v>
      </c>
      <c r="Q448" s="563"/>
      <c r="R448" s="563"/>
      <c r="S448" s="563"/>
      <c r="T448" s="563"/>
      <c r="U448" s="563"/>
      <c r="V448" s="564"/>
      <c r="W448" s="37" t="s">
        <v>72</v>
      </c>
      <c r="X448" s="545">
        <f>IFERROR(X442/H442,"0")+IFERROR(X443/H443,"0")+IFERROR(X444/H444,"0")+IFERROR(X445/H445,"0")+IFERROR(X446/H446,"0")+IFERROR(X447/H447,"0")</f>
        <v>41.666666666666671</v>
      </c>
      <c r="Y448" s="545">
        <f>IFERROR(Y442/H442,"0")+IFERROR(Y443/H443,"0")+IFERROR(Y444/H444,"0")+IFERROR(Y445/H445,"0")+IFERROR(Y446/H446,"0")+IFERROR(Y447/H447,"0")</f>
        <v>43</v>
      </c>
      <c r="Z448" s="545">
        <f>IFERROR(IF(Z442="",0,Z442),"0")+IFERROR(IF(Z443="",0,Z443),"0")+IFERROR(IF(Z444="",0,Z444),"0")+IFERROR(IF(Z445="",0,Z445),"0")+IFERROR(IF(Z446="",0,Z446),"0")+IFERROR(IF(Z447="",0,Z447),"0")</f>
        <v>0.51427999999999996</v>
      </c>
      <c r="AA448" s="546"/>
      <c r="AB448" s="546"/>
      <c r="AC448" s="546"/>
    </row>
    <row r="449" spans="1:68" x14ac:dyDescent="0.2">
      <c r="A449" s="554"/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5"/>
      <c r="P449" s="562" t="s">
        <v>71</v>
      </c>
      <c r="Q449" s="563"/>
      <c r="R449" s="563"/>
      <c r="S449" s="563"/>
      <c r="T449" s="563"/>
      <c r="U449" s="563"/>
      <c r="V449" s="564"/>
      <c r="W449" s="37" t="s">
        <v>69</v>
      </c>
      <c r="X449" s="545">
        <f>IFERROR(SUM(X442:X447),"0")</f>
        <v>220</v>
      </c>
      <c r="Y449" s="545">
        <f>IFERROR(SUM(Y442:Y447),"0")</f>
        <v>227.04000000000002</v>
      </c>
      <c r="Z449" s="37"/>
      <c r="AA449" s="546"/>
      <c r="AB449" s="546"/>
      <c r="AC449" s="546"/>
    </row>
    <row r="450" spans="1:68" ht="14.25" customHeight="1" x14ac:dyDescent="0.25">
      <c r="A450" s="558" t="s">
        <v>73</v>
      </c>
      <c r="B450" s="554"/>
      <c r="C450" s="554"/>
      <c r="D450" s="554"/>
      <c r="E450" s="554"/>
      <c r="F450" s="554"/>
      <c r="G450" s="554"/>
      <c r="H450" s="554"/>
      <c r="I450" s="554"/>
      <c r="J450" s="554"/>
      <c r="K450" s="554"/>
      <c r="L450" s="554"/>
      <c r="M450" s="554"/>
      <c r="N450" s="554"/>
      <c r="O450" s="554"/>
      <c r="P450" s="554"/>
      <c r="Q450" s="554"/>
      <c r="R450" s="554"/>
      <c r="S450" s="554"/>
      <c r="T450" s="554"/>
      <c r="U450" s="554"/>
      <c r="V450" s="554"/>
      <c r="W450" s="554"/>
      <c r="X450" s="554"/>
      <c r="Y450" s="554"/>
      <c r="Z450" s="554"/>
      <c r="AA450" s="539"/>
      <c r="AB450" s="539"/>
      <c r="AC450" s="539"/>
    </row>
    <row r="451" spans="1:68" ht="16.5" customHeight="1" x14ac:dyDescent="0.25">
      <c r="A451" s="54" t="s">
        <v>691</v>
      </c>
      <c r="B451" s="54" t="s">
        <v>692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8.3010000000000002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694</v>
      </c>
      <c r="B452" s="54" t="s">
        <v>695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8.3010000000000002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697</v>
      </c>
      <c r="B453" s="54" t="s">
        <v>698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699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3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2" t="s">
        <v>71</v>
      </c>
      <c r="Q454" s="563"/>
      <c r="R454" s="563"/>
      <c r="S454" s="563"/>
      <c r="T454" s="563"/>
      <c r="U454" s="563"/>
      <c r="V454" s="564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4"/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5"/>
      <c r="P455" s="562" t="s">
        <v>71</v>
      </c>
      <c r="Q455" s="563"/>
      <c r="R455" s="563"/>
      <c r="S455" s="563"/>
      <c r="T455" s="563"/>
      <c r="U455" s="563"/>
      <c r="V455" s="564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6" t="s">
        <v>700</v>
      </c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48"/>
      <c r="AB456" s="48"/>
      <c r="AC456" s="48"/>
    </row>
    <row r="457" spans="1:68" ht="16.5" customHeight="1" x14ac:dyDescent="0.25">
      <c r="A457" s="559" t="s">
        <v>700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8"/>
      <c r="AB457" s="538"/>
      <c r="AC457" s="538"/>
    </row>
    <row r="458" spans="1:68" ht="14.25" customHeight="1" x14ac:dyDescent="0.25">
      <c r="A458" s="558" t="s">
        <v>101</v>
      </c>
      <c r="B458" s="554"/>
      <c r="C458" s="554"/>
      <c r="D458" s="554"/>
      <c r="E458" s="554"/>
      <c r="F458" s="554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39"/>
      <c r="AB458" s="539"/>
      <c r="AC458" s="539"/>
    </row>
    <row r="459" spans="1:68" ht="27" customHeight="1" x14ac:dyDescent="0.25">
      <c r="A459" s="54" t="s">
        <v>701</v>
      </c>
      <c r="B459" s="54" t="s">
        <v>702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11.234999999999999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12.435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12.435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200</v>
      </c>
      <c r="Y461" s="544">
        <f>IFERROR(IF(X461="",0,CEILING((X461/$H461),1)*$H461),"")</f>
        <v>204</v>
      </c>
      <c r="Z461" s="36">
        <f>IFERROR(IF(Y461=0,"",ROUNDUP(Y461/H461,0)*0.01898),"")</f>
        <v>0.32266</v>
      </c>
      <c r="AA461" s="56"/>
      <c r="AB461" s="57"/>
      <c r="AC461" s="513" t="s">
        <v>709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207.25</v>
      </c>
      <c r="BN461" s="64">
        <f>IFERROR(Y461*I461/H461,"0")</f>
        <v>211.39500000000001</v>
      </c>
      <c r="BO461" s="64">
        <f>IFERROR(1/J461*(X461/H461),"0")</f>
        <v>0.26041666666666669</v>
      </c>
      <c r="BP461" s="64">
        <f>IFERROR(1/J461*(Y461/H461),"0")</f>
        <v>0.265625</v>
      </c>
    </row>
    <row r="462" spans="1:68" ht="27" customHeight="1" x14ac:dyDescent="0.25">
      <c r="A462" s="54" t="s">
        <v>710</v>
      </c>
      <c r="B462" s="54" t="s">
        <v>711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4.21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703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3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2" t="s">
        <v>71</v>
      </c>
      <c r="Q463" s="563"/>
      <c r="R463" s="563"/>
      <c r="S463" s="563"/>
      <c r="T463" s="563"/>
      <c r="U463" s="563"/>
      <c r="V463" s="564"/>
      <c r="W463" s="37" t="s">
        <v>72</v>
      </c>
      <c r="X463" s="545">
        <f>IFERROR(X459/H459,"0")+IFERROR(X460/H460,"0")+IFERROR(X461/H461,"0")+IFERROR(X462/H462,"0")</f>
        <v>16.666666666666668</v>
      </c>
      <c r="Y463" s="545">
        <f>IFERROR(Y459/H459,"0")+IFERROR(Y460/H460,"0")+IFERROR(Y461/H461,"0")+IFERROR(Y462/H462,"0")</f>
        <v>17</v>
      </c>
      <c r="Z463" s="545">
        <f>IFERROR(IF(Z459="",0,Z459),"0")+IFERROR(IF(Z460="",0,Z460),"0")+IFERROR(IF(Z461="",0,Z461),"0")+IFERROR(IF(Z462="",0,Z462),"0")</f>
        <v>0.32266</v>
      </c>
      <c r="AA463" s="546"/>
      <c r="AB463" s="546"/>
      <c r="AC463" s="546"/>
    </row>
    <row r="464" spans="1:68" x14ac:dyDescent="0.2">
      <c r="A464" s="554"/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5"/>
      <c r="P464" s="562" t="s">
        <v>71</v>
      </c>
      <c r="Q464" s="563"/>
      <c r="R464" s="563"/>
      <c r="S464" s="563"/>
      <c r="T464" s="563"/>
      <c r="U464" s="563"/>
      <c r="V464" s="564"/>
      <c r="W464" s="37" t="s">
        <v>69</v>
      </c>
      <c r="X464" s="545">
        <f>IFERROR(SUM(X459:X462),"0")</f>
        <v>200</v>
      </c>
      <c r="Y464" s="545">
        <f>IFERROR(SUM(Y459:Y462),"0")</f>
        <v>204</v>
      </c>
      <c r="Z464" s="37"/>
      <c r="AA464" s="546"/>
      <c r="AB464" s="546"/>
      <c r="AC464" s="546"/>
    </row>
    <row r="465" spans="1:68" ht="14.25" customHeight="1" x14ac:dyDescent="0.25">
      <c r="A465" s="558" t="s">
        <v>136</v>
      </c>
      <c r="B465" s="554"/>
      <c r="C465" s="554"/>
      <c r="D465" s="554"/>
      <c r="E465" s="554"/>
      <c r="F465" s="554"/>
      <c r="G465" s="554"/>
      <c r="H465" s="554"/>
      <c r="I465" s="554"/>
      <c r="J465" s="554"/>
      <c r="K465" s="554"/>
      <c r="L465" s="554"/>
      <c r="M465" s="554"/>
      <c r="N465" s="554"/>
      <c r="O465" s="554"/>
      <c r="P465" s="554"/>
      <c r="Q465" s="554"/>
      <c r="R465" s="554"/>
      <c r="S465" s="554"/>
      <c r="T465" s="554"/>
      <c r="U465" s="554"/>
      <c r="V465" s="554"/>
      <c r="W465" s="554"/>
      <c r="X465" s="554"/>
      <c r="Y465" s="554"/>
      <c r="Z465" s="554"/>
      <c r="AA465" s="539"/>
      <c r="AB465" s="539"/>
      <c r="AC465" s="539"/>
    </row>
    <row r="466" spans="1:68" ht="27" customHeight="1" x14ac:dyDescent="0.25">
      <c r="A466" s="54" t="s">
        <v>712</v>
      </c>
      <c r="B466" s="54" t="s">
        <v>713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12.435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11.234999999999999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7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718</v>
      </c>
      <c r="B468" s="54" t="s">
        <v>719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4.21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720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3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2" t="s">
        <v>71</v>
      </c>
      <c r="Q469" s="563"/>
      <c r="R469" s="563"/>
      <c r="S469" s="563"/>
      <c r="T469" s="563"/>
      <c r="U469" s="563"/>
      <c r="V469" s="564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4"/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5"/>
      <c r="P470" s="562" t="s">
        <v>71</v>
      </c>
      <c r="Q470" s="563"/>
      <c r="R470" s="563"/>
      <c r="S470" s="563"/>
      <c r="T470" s="563"/>
      <c r="U470" s="563"/>
      <c r="V470" s="564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8" t="s">
        <v>64</v>
      </c>
      <c r="B471" s="554"/>
      <c r="C471" s="554"/>
      <c r="D471" s="554"/>
      <c r="E471" s="554"/>
      <c r="F471" s="554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39"/>
      <c r="AB471" s="539"/>
      <c r="AC471" s="539"/>
    </row>
    <row r="472" spans="1:68" ht="27" customHeight="1" x14ac:dyDescent="0.25">
      <c r="A472" s="54" t="s">
        <v>721</v>
      </c>
      <c r="B472" s="54" t="s">
        <v>722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4.47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724</v>
      </c>
      <c r="B473" s="54" t="s">
        <v>725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4.47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1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60</v>
      </c>
      <c r="Y473" s="544">
        <f>IFERROR(IF(X473="",0,CEILING((X473/$H473),1)*$H473),"")</f>
        <v>63</v>
      </c>
      <c r="Z473" s="36">
        <f>IFERROR(IF(Y473=0,"",ROUNDUP(Y473/H473,0)*0.00902),"")</f>
        <v>0.1353</v>
      </c>
      <c r="AA473" s="56"/>
      <c r="AB473" s="57"/>
      <c r="AC473" s="525" t="s">
        <v>726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63.857142857142854</v>
      </c>
      <c r="BN473" s="64">
        <f>IFERROR(Y473*I473/H473,"0")</f>
        <v>67.049999999999983</v>
      </c>
      <c r="BO473" s="64">
        <f>IFERROR(1/J473*(X473/H473),"0")</f>
        <v>0.10822510822510822</v>
      </c>
      <c r="BP473" s="64">
        <f>IFERROR(1/J473*(Y473/H473),"0")</f>
        <v>0.11363636363636365</v>
      </c>
    </row>
    <row r="474" spans="1:68" x14ac:dyDescent="0.2">
      <c r="A474" s="553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2" t="s">
        <v>71</v>
      </c>
      <c r="Q474" s="563"/>
      <c r="R474" s="563"/>
      <c r="S474" s="563"/>
      <c r="T474" s="563"/>
      <c r="U474" s="563"/>
      <c r="V474" s="564"/>
      <c r="W474" s="37" t="s">
        <v>72</v>
      </c>
      <c r="X474" s="545">
        <f>IFERROR(X472/H472,"0")+IFERROR(X473/H473,"0")</f>
        <v>14.285714285714285</v>
      </c>
      <c r="Y474" s="545">
        <f>IFERROR(Y472/H472,"0")+IFERROR(Y473/H473,"0")</f>
        <v>15</v>
      </c>
      <c r="Z474" s="545">
        <f>IFERROR(IF(Z472="",0,Z472),"0")+IFERROR(IF(Z473="",0,Z473),"0")</f>
        <v>0.1353</v>
      </c>
      <c r="AA474" s="546"/>
      <c r="AB474" s="546"/>
      <c r="AC474" s="546"/>
    </row>
    <row r="475" spans="1:68" x14ac:dyDescent="0.2">
      <c r="A475" s="554"/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5"/>
      <c r="P475" s="562" t="s">
        <v>71</v>
      </c>
      <c r="Q475" s="563"/>
      <c r="R475" s="563"/>
      <c r="S475" s="563"/>
      <c r="T475" s="563"/>
      <c r="U475" s="563"/>
      <c r="V475" s="564"/>
      <c r="W475" s="37" t="s">
        <v>69</v>
      </c>
      <c r="X475" s="545">
        <f>IFERROR(SUM(X472:X473),"0")</f>
        <v>60</v>
      </c>
      <c r="Y475" s="545">
        <f>IFERROR(SUM(Y472:Y473),"0")</f>
        <v>63</v>
      </c>
      <c r="Z475" s="37"/>
      <c r="AA475" s="546"/>
      <c r="AB475" s="546"/>
      <c r="AC475" s="546"/>
    </row>
    <row r="476" spans="1:68" ht="14.25" customHeight="1" x14ac:dyDescent="0.25">
      <c r="A476" s="558" t="s">
        <v>73</v>
      </c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54"/>
      <c r="P476" s="554"/>
      <c r="Q476" s="554"/>
      <c r="R476" s="554"/>
      <c r="S476" s="554"/>
      <c r="T476" s="554"/>
      <c r="U476" s="554"/>
      <c r="V476" s="554"/>
      <c r="W476" s="554"/>
      <c r="X476" s="554"/>
      <c r="Y476" s="554"/>
      <c r="Z476" s="554"/>
      <c r="AA476" s="539"/>
      <c r="AB476" s="539"/>
      <c r="AC476" s="539"/>
    </row>
    <row r="477" spans="1:68" ht="27" customHeight="1" x14ac:dyDescent="0.25">
      <c r="A477" s="54" t="s">
        <v>727</v>
      </c>
      <c r="B477" s="54" t="s">
        <v>728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9.5190000000000001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16</v>
      </c>
      <c r="Y477" s="544">
        <f>IFERROR(IF(X477="",0,CEILING((X477/$H477),1)*$H477),"")</f>
        <v>18</v>
      </c>
      <c r="Z477" s="36">
        <f>IFERROR(IF(Y477=0,"",ROUNDUP(Y477/H477,0)*0.01898),"")</f>
        <v>3.7960000000000001E-2</v>
      </c>
      <c r="AA477" s="56"/>
      <c r="AB477" s="57"/>
      <c r="AC477" s="527" t="s">
        <v>729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16.922666666666668</v>
      </c>
      <c r="BN477" s="64">
        <f>IFERROR(Y477*I477/H477,"0")</f>
        <v>19.038</v>
      </c>
      <c r="BO477" s="64">
        <f>IFERROR(1/J477*(X477/H477),"0")</f>
        <v>2.7777777777777776E-2</v>
      </c>
      <c r="BP477" s="64">
        <f>IFERROR(1/J477*(Y477/H477),"0")</f>
        <v>3.125E-2</v>
      </c>
    </row>
    <row r="478" spans="1:68" x14ac:dyDescent="0.2">
      <c r="A478" s="553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2" t="s">
        <v>71</v>
      </c>
      <c r="Q478" s="563"/>
      <c r="R478" s="563"/>
      <c r="S478" s="563"/>
      <c r="T478" s="563"/>
      <c r="U478" s="563"/>
      <c r="V478" s="564"/>
      <c r="W478" s="37" t="s">
        <v>72</v>
      </c>
      <c r="X478" s="545">
        <f>IFERROR(X477/H477,"0")</f>
        <v>1.7777777777777777</v>
      </c>
      <c r="Y478" s="545">
        <f>IFERROR(Y477/H477,"0")</f>
        <v>2</v>
      </c>
      <c r="Z478" s="545">
        <f>IFERROR(IF(Z477="",0,Z477),"0")</f>
        <v>3.7960000000000001E-2</v>
      </c>
      <c r="AA478" s="546"/>
      <c r="AB478" s="546"/>
      <c r="AC478" s="546"/>
    </row>
    <row r="479" spans="1:68" x14ac:dyDescent="0.2">
      <c r="A479" s="554"/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5"/>
      <c r="P479" s="562" t="s">
        <v>71</v>
      </c>
      <c r="Q479" s="563"/>
      <c r="R479" s="563"/>
      <c r="S479" s="563"/>
      <c r="T479" s="563"/>
      <c r="U479" s="563"/>
      <c r="V479" s="564"/>
      <c r="W479" s="37" t="s">
        <v>69</v>
      </c>
      <c r="X479" s="545">
        <f>IFERROR(SUM(X477:X477),"0")</f>
        <v>16</v>
      </c>
      <c r="Y479" s="545">
        <f>IFERROR(SUM(Y477:Y477),"0")</f>
        <v>18</v>
      </c>
      <c r="Z479" s="37"/>
      <c r="AA479" s="546"/>
      <c r="AB479" s="546"/>
      <c r="AC479" s="546"/>
    </row>
    <row r="480" spans="1:68" ht="14.25" customHeight="1" x14ac:dyDescent="0.25">
      <c r="A480" s="558" t="s">
        <v>166</v>
      </c>
      <c r="B480" s="554"/>
      <c r="C480" s="554"/>
      <c r="D480" s="554"/>
      <c r="E480" s="554"/>
      <c r="F480" s="554"/>
      <c r="G480" s="554"/>
      <c r="H480" s="554"/>
      <c r="I480" s="554"/>
      <c r="J480" s="554"/>
      <c r="K480" s="554"/>
      <c r="L480" s="554"/>
      <c r="M480" s="554"/>
      <c r="N480" s="554"/>
      <c r="O480" s="554"/>
      <c r="P480" s="554"/>
      <c r="Q480" s="554"/>
      <c r="R480" s="554"/>
      <c r="S480" s="554"/>
      <c r="T480" s="554"/>
      <c r="U480" s="554"/>
      <c r="V480" s="554"/>
      <c r="W480" s="554"/>
      <c r="X480" s="554"/>
      <c r="Y480" s="554"/>
      <c r="Z480" s="554"/>
      <c r="AA480" s="539"/>
      <c r="AB480" s="539"/>
      <c r="AC480" s="539"/>
    </row>
    <row r="481" spans="1:68" ht="27" customHeight="1" x14ac:dyDescent="0.25">
      <c r="A481" s="54" t="s">
        <v>730</v>
      </c>
      <c r="B481" s="54" t="s">
        <v>731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9.4350000000000005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733</v>
      </c>
      <c r="B482" s="54" t="s">
        <v>734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9.4350000000000005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735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53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2" t="s">
        <v>71</v>
      </c>
      <c r="Q483" s="563"/>
      <c r="R483" s="563"/>
      <c r="S483" s="563"/>
      <c r="T483" s="563"/>
      <c r="U483" s="563"/>
      <c r="V483" s="564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4"/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5"/>
      <c r="P484" s="562" t="s">
        <v>71</v>
      </c>
      <c r="Q484" s="563"/>
      <c r="R484" s="563"/>
      <c r="S484" s="563"/>
      <c r="T484" s="563"/>
      <c r="U484" s="563"/>
      <c r="V484" s="564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736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8"/>
      <c r="AB485" s="538"/>
      <c r="AC485" s="538"/>
    </row>
    <row r="486" spans="1:68" ht="14.25" customHeight="1" x14ac:dyDescent="0.25">
      <c r="A486" s="558" t="s">
        <v>136</v>
      </c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54"/>
      <c r="P486" s="554"/>
      <c r="Q486" s="554"/>
      <c r="R486" s="554"/>
      <c r="S486" s="554"/>
      <c r="T486" s="554"/>
      <c r="U486" s="554"/>
      <c r="V486" s="554"/>
      <c r="W486" s="554"/>
      <c r="X486" s="554"/>
      <c r="Y486" s="554"/>
      <c r="Z486" s="554"/>
      <c r="AA486" s="539"/>
      <c r="AB486" s="539"/>
      <c r="AC486" s="539"/>
    </row>
    <row r="487" spans="1:68" ht="27" customHeight="1" x14ac:dyDescent="0.25">
      <c r="A487" s="54" t="s">
        <v>737</v>
      </c>
      <c r="B487" s="54" t="s">
        <v>738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12.435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739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2" t="s">
        <v>71</v>
      </c>
      <c r="Q488" s="563"/>
      <c r="R488" s="563"/>
      <c r="S488" s="563"/>
      <c r="T488" s="563"/>
      <c r="U488" s="563"/>
      <c r="V488" s="564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55"/>
      <c r="P489" s="562" t="s">
        <v>71</v>
      </c>
      <c r="Q489" s="563"/>
      <c r="R489" s="563"/>
      <c r="S489" s="563"/>
      <c r="T489" s="563"/>
      <c r="U489" s="563"/>
      <c r="V489" s="564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1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9"/>
      <c r="P490" s="642" t="s">
        <v>740</v>
      </c>
      <c r="Q490" s="643"/>
      <c r="R490" s="643"/>
      <c r="S490" s="643"/>
      <c r="T490" s="643"/>
      <c r="U490" s="643"/>
      <c r="V490" s="644"/>
      <c r="W490" s="37" t="s">
        <v>69</v>
      </c>
      <c r="X490" s="545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4302</v>
      </c>
      <c r="Y490" s="545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4372.5200000000004</v>
      </c>
      <c r="Z490" s="37"/>
      <c r="AA490" s="546"/>
      <c r="AB490" s="546"/>
      <c r="AC490" s="546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9"/>
      <c r="P491" s="642" t="s">
        <v>741</v>
      </c>
      <c r="Q491" s="643"/>
      <c r="R491" s="643"/>
      <c r="S491" s="643"/>
      <c r="T491" s="643"/>
      <c r="U491" s="643"/>
      <c r="V491" s="644"/>
      <c r="W491" s="37" t="s">
        <v>69</v>
      </c>
      <c r="X491" s="545">
        <f>IFERROR(SUM(BM22:BM487),"0")</f>
        <v>4516.8056273804177</v>
      </c>
      <c r="Y491" s="545">
        <f>IFERROR(SUM(BN22:BN487),"0")</f>
        <v>4590.9379999999983</v>
      </c>
      <c r="Z491" s="37"/>
      <c r="AA491" s="546"/>
      <c r="AB491" s="546"/>
      <c r="AC491" s="546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9"/>
      <c r="P492" s="642" t="s">
        <v>742</v>
      </c>
      <c r="Q492" s="643"/>
      <c r="R492" s="643"/>
      <c r="S492" s="643"/>
      <c r="T492" s="643"/>
      <c r="U492" s="643"/>
      <c r="V492" s="644"/>
      <c r="W492" s="37" t="s">
        <v>743</v>
      </c>
      <c r="X492" s="38">
        <f>ROUNDUP(SUM(BO22:BO487),0)</f>
        <v>8</v>
      </c>
      <c r="Y492" s="38">
        <f>ROUNDUP(SUM(BP22:BP487),0)</f>
        <v>8</v>
      </c>
      <c r="Z492" s="37"/>
      <c r="AA492" s="546"/>
      <c r="AB492" s="546"/>
      <c r="AC492" s="546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9"/>
      <c r="P493" s="642" t="s">
        <v>744</v>
      </c>
      <c r="Q493" s="643"/>
      <c r="R493" s="643"/>
      <c r="S493" s="643"/>
      <c r="T493" s="643"/>
      <c r="U493" s="643"/>
      <c r="V493" s="644"/>
      <c r="W493" s="37" t="s">
        <v>69</v>
      </c>
      <c r="X493" s="545">
        <f>GrossWeightTotal+PalletQtyTotal*25</f>
        <v>4716.8056273804177</v>
      </c>
      <c r="Y493" s="545">
        <f>GrossWeightTotalR+PalletQtyTotalR*25</f>
        <v>4790.9379999999983</v>
      </c>
      <c r="Z493" s="37"/>
      <c r="AA493" s="546"/>
      <c r="AB493" s="546"/>
      <c r="AC493" s="546"/>
    </row>
    <row r="494" spans="1:68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9"/>
      <c r="P494" s="642" t="s">
        <v>745</v>
      </c>
      <c r="Q494" s="643"/>
      <c r="R494" s="643"/>
      <c r="S494" s="643"/>
      <c r="T494" s="643"/>
      <c r="U494" s="643"/>
      <c r="V494" s="644"/>
      <c r="W494" s="37" t="s">
        <v>743</v>
      </c>
      <c r="X494" s="545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505.6373769180787</v>
      </c>
      <c r="Y494" s="545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515</v>
      </c>
      <c r="Z494" s="37"/>
      <c r="AA494" s="546"/>
      <c r="AB494" s="546"/>
      <c r="AC494" s="546"/>
    </row>
    <row r="495" spans="1:68" ht="14.25" customHeight="1" x14ac:dyDescent="0.2">
      <c r="A495" s="554"/>
      <c r="B495" s="554"/>
      <c r="C495" s="554"/>
      <c r="D495" s="554"/>
      <c r="E495" s="554"/>
      <c r="F495" s="554"/>
      <c r="G495" s="554"/>
      <c r="H495" s="554"/>
      <c r="I495" s="554"/>
      <c r="J495" s="554"/>
      <c r="K495" s="554"/>
      <c r="L495" s="554"/>
      <c r="M495" s="554"/>
      <c r="N495" s="554"/>
      <c r="O495" s="709"/>
      <c r="P495" s="642" t="s">
        <v>746</v>
      </c>
      <c r="Q495" s="643"/>
      <c r="R495" s="643"/>
      <c r="S495" s="643"/>
      <c r="T495" s="643"/>
      <c r="U495" s="643"/>
      <c r="V495" s="644"/>
      <c r="W495" s="39" t="s">
        <v>747</v>
      </c>
      <c r="X495" s="37"/>
      <c r="Y495" s="37"/>
      <c r="Z495" s="37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8.4280000000000008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748</v>
      </c>
      <c r="B497" s="540" t="s">
        <v>63</v>
      </c>
      <c r="C497" s="595" t="s">
        <v>99</v>
      </c>
      <c r="D497" s="598"/>
      <c r="E497" s="598"/>
      <c r="F497" s="598"/>
      <c r="G497" s="598"/>
      <c r="H497" s="599"/>
      <c r="I497" s="595" t="s">
        <v>257</v>
      </c>
      <c r="J497" s="598"/>
      <c r="K497" s="598"/>
      <c r="L497" s="598"/>
      <c r="M497" s="598"/>
      <c r="N497" s="598"/>
      <c r="O497" s="598"/>
      <c r="P497" s="598"/>
      <c r="Q497" s="598"/>
      <c r="R497" s="599"/>
      <c r="S497" s="595" t="s">
        <v>538</v>
      </c>
      <c r="T497" s="599"/>
      <c r="U497" s="595" t="s">
        <v>589</v>
      </c>
      <c r="V497" s="598"/>
      <c r="W497" s="599"/>
      <c r="X497" s="540" t="s">
        <v>640</v>
      </c>
      <c r="Y497" s="595" t="s">
        <v>700</v>
      </c>
      <c r="Z497" s="599"/>
      <c r="AB497" s="52"/>
      <c r="AC497" s="52"/>
      <c r="AF497" s="541"/>
    </row>
    <row r="498" spans="1:32" ht="14.25" customHeight="1" thickTop="1" x14ac:dyDescent="0.2">
      <c r="A498" s="611" t="s">
        <v>749</v>
      </c>
      <c r="B498" s="595" t="s">
        <v>63</v>
      </c>
      <c r="C498" s="595" t="s">
        <v>100</v>
      </c>
      <c r="D498" s="595" t="s">
        <v>117</v>
      </c>
      <c r="E498" s="595" t="s">
        <v>173</v>
      </c>
      <c r="F498" s="595" t="s">
        <v>192</v>
      </c>
      <c r="G498" s="595" t="s">
        <v>222</v>
      </c>
      <c r="H498" s="595" t="s">
        <v>99</v>
      </c>
      <c r="I498" s="595" t="s">
        <v>258</v>
      </c>
      <c r="J498" s="595" t="s">
        <v>299</v>
      </c>
      <c r="K498" s="595" t="s">
        <v>359</v>
      </c>
      <c r="L498" s="595" t="s">
        <v>401</v>
      </c>
      <c r="M498" s="595" t="s">
        <v>417</v>
      </c>
      <c r="N498" s="541"/>
      <c r="O498" s="595" t="s">
        <v>428</v>
      </c>
      <c r="P498" s="595" t="s">
        <v>437</v>
      </c>
      <c r="Q498" s="595" t="s">
        <v>447</v>
      </c>
      <c r="R498" s="595" t="s">
        <v>528</v>
      </c>
      <c r="S498" s="595" t="s">
        <v>539</v>
      </c>
      <c r="T498" s="595" t="s">
        <v>573</v>
      </c>
      <c r="U498" s="595" t="s">
        <v>590</v>
      </c>
      <c r="V498" s="595" t="s">
        <v>621</v>
      </c>
      <c r="W498" s="595" t="s">
        <v>636</v>
      </c>
      <c r="X498" s="595" t="s">
        <v>640</v>
      </c>
      <c r="Y498" s="595" t="s">
        <v>700</v>
      </c>
      <c r="Z498" s="595" t="s">
        <v>736</v>
      </c>
      <c r="AB498" s="52"/>
      <c r="AC498" s="52"/>
      <c r="AF498" s="541"/>
    </row>
    <row r="499" spans="1:32" ht="13.5" customHeight="1" thickBot="1" x14ac:dyDescent="0.25">
      <c r="A499" s="612"/>
      <c r="B499" s="596"/>
      <c r="C499" s="596"/>
      <c r="D499" s="596"/>
      <c r="E499" s="596"/>
      <c r="F499" s="596"/>
      <c r="G499" s="596"/>
      <c r="H499" s="596"/>
      <c r="I499" s="596"/>
      <c r="J499" s="596"/>
      <c r="K499" s="596"/>
      <c r="L499" s="596"/>
      <c r="M499" s="596"/>
      <c r="N499" s="541"/>
      <c r="O499" s="596"/>
      <c r="P499" s="596"/>
      <c r="Q499" s="596"/>
      <c r="R499" s="596"/>
      <c r="S499" s="596"/>
      <c r="T499" s="596"/>
      <c r="U499" s="596"/>
      <c r="V499" s="596"/>
      <c r="W499" s="596"/>
      <c r="X499" s="596"/>
      <c r="Y499" s="596"/>
      <c r="Z499" s="596"/>
      <c r="AB499" s="52"/>
      <c r="AC499" s="52"/>
      <c r="AF499" s="541"/>
    </row>
    <row r="500" spans="1:32" ht="18" customHeight="1" thickTop="1" thickBot="1" x14ac:dyDescent="0.25">
      <c r="A500" s="40" t="s">
        <v>750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183.60000000000002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226.8</v>
      </c>
      <c r="E500" s="46">
        <f>IFERROR(Y86*1,"0")+IFERROR(Y87*1,"0")+IFERROR(Y88*1,"0")+IFERROR(Y92*1,"0")+IFERROR(Y93*1,"0")+IFERROR(Y94*1,"0")+IFERROR(Y95*1,"0")</f>
        <v>40.5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137.69999999999999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IFERROR(Y141*1,"0")+IFERROR(Y142*1,"0")+IFERROR(Y143*1,"0")+IFERROR(Y147*1,"0")+IFERROR(Y148*1,"0")+IFERROR(Y149*1,"0")+IFERROR(Y153*1,"0")</f>
        <v>0</v>
      </c>
      <c r="I500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1255.5200000000002</v>
      </c>
      <c r="R500" s="46">
        <f>IFERROR(Y336*1,"0")+IFERROR(Y337*1,"0")+IFERROR(Y338*1,"0")</f>
        <v>0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1440</v>
      </c>
      <c r="T500" s="46">
        <f>IFERROR(Y369*1,"0")+IFERROR(Y370*1,"0")+IFERROR(Y374*1,"0")+IFERROR(Y375*1,"0")+IFERROR(Y379*1,"0")+IFERROR(Y380*1,"0")</f>
        <v>306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48.6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448.8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285</v>
      </c>
      <c r="Z500" s="46">
        <f>IFERROR(Y487*1,"0")</f>
        <v>0</v>
      </c>
      <c r="AB500" s="52"/>
      <c r="AC500" s="52"/>
      <c r="AF500" s="541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A8:C8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129:Z129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D250:E250"/>
    <mergeCell ref="A188:O189"/>
    <mergeCell ref="X17:X18"/>
    <mergeCell ref="P216:V216"/>
    <mergeCell ref="V12:W12"/>
    <mergeCell ref="D191:E191"/>
    <mergeCell ref="P122:V122"/>
    <mergeCell ref="A245:Z245"/>
    <mergeCell ref="P43:V43"/>
    <mergeCell ref="A39:Z39"/>
    <mergeCell ref="P285:V285"/>
    <mergeCell ref="P60:T60"/>
    <mergeCell ref="D291:E291"/>
    <mergeCell ref="D266:E266"/>
    <mergeCell ref="P149:T149"/>
    <mergeCell ref="D95:E95"/>
    <mergeCell ref="Y17:Y18"/>
    <mergeCell ref="A260:O261"/>
    <mergeCell ref="U17:V17"/>
    <mergeCell ref="Q5:R5"/>
    <mergeCell ref="N17:N18"/>
    <mergeCell ref="P370:T370"/>
    <mergeCell ref="D242:E242"/>
    <mergeCell ref="A315:Z315"/>
    <mergeCell ref="P199:T199"/>
    <mergeCell ref="D120:E120"/>
    <mergeCell ref="F17:F18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P355:T355"/>
    <mergeCell ref="D336:E336"/>
    <mergeCell ref="P293:T293"/>
    <mergeCell ref="Q6:R6"/>
    <mergeCell ref="P200:T200"/>
    <mergeCell ref="A251:O252"/>
    <mergeCell ref="P292:T292"/>
    <mergeCell ref="D102:E102"/>
    <mergeCell ref="P495:V495"/>
    <mergeCell ref="P351:V351"/>
    <mergeCell ref="P239:V239"/>
    <mergeCell ref="M498:M499"/>
    <mergeCell ref="O498:O499"/>
    <mergeCell ref="D249:E249"/>
    <mergeCell ref="A476:Z476"/>
    <mergeCell ref="D170:E170"/>
    <mergeCell ref="D468:E468"/>
    <mergeCell ref="P436:T436"/>
    <mergeCell ref="D196:E196"/>
    <mergeCell ref="P294:T294"/>
    <mergeCell ref="U497:W497"/>
    <mergeCell ref="P381:V381"/>
    <mergeCell ref="A206:Z206"/>
    <mergeCell ref="A262:Z262"/>
    <mergeCell ref="P447:T447"/>
    <mergeCell ref="P410:T410"/>
    <mergeCell ref="P372:V372"/>
    <mergeCell ref="D331:E331"/>
    <mergeCell ref="D355:E355"/>
    <mergeCell ref="D293:E293"/>
    <mergeCell ref="A415:Z415"/>
    <mergeCell ref="L498:L499"/>
    <mergeCell ref="P181:T181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P132:V132"/>
    <mergeCell ref="P72:T72"/>
    <mergeCell ref="A31:O32"/>
    <mergeCell ref="A33:Z33"/>
    <mergeCell ref="P145:V145"/>
    <mergeCell ref="P23:V23"/>
    <mergeCell ref="D54:E54"/>
    <mergeCell ref="P160:V160"/>
    <mergeCell ref="P444:T444"/>
    <mergeCell ref="D408:E408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D76:E76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A326:O327"/>
    <mergeCell ref="D165:E165"/>
    <mergeCell ref="P75:T75"/>
    <mergeCell ref="P406:V406"/>
    <mergeCell ref="A106:Z106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A371:O372"/>
    <mergeCell ref="D228:E228"/>
    <mergeCell ref="D404:E404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F5:G5"/>
    <mergeCell ref="V11:W11"/>
    <mergeCell ref="P492:V492"/>
    <mergeCell ref="P286:V286"/>
    <mergeCell ref="P479:V479"/>
    <mergeCell ref="A339:O340"/>
    <mergeCell ref="M17:M18"/>
    <mergeCell ref="O17:O18"/>
    <mergeCell ref="C498:C499"/>
    <mergeCell ref="P336:T336"/>
    <mergeCell ref="E498:E499"/>
    <mergeCell ref="P494:V494"/>
    <mergeCell ref="P430:T430"/>
    <mergeCell ref="A297:Z297"/>
    <mergeCell ref="P102:T102"/>
    <mergeCell ref="P189:V189"/>
    <mergeCell ref="A185:Z185"/>
    <mergeCell ref="P196:T196"/>
    <mergeCell ref="D177:E177"/>
    <mergeCell ref="A313:O314"/>
    <mergeCell ref="P354:T354"/>
    <mergeCell ref="P352:V352"/>
    <mergeCell ref="P281:V281"/>
    <mergeCell ref="D226:E226"/>
    <mergeCell ref="D164:E164"/>
    <mergeCell ref="D462:E462"/>
    <mergeCell ref="X498:X499"/>
    <mergeCell ref="P474:V474"/>
    <mergeCell ref="Q13:R13"/>
    <mergeCell ref="P401:V401"/>
    <mergeCell ref="P268:V268"/>
    <mergeCell ref="P339:V339"/>
    <mergeCell ref="D318:E318"/>
    <mergeCell ref="D389:E389"/>
    <mergeCell ref="P201:T201"/>
    <mergeCell ref="P97:V97"/>
    <mergeCell ref="P47:V47"/>
    <mergeCell ref="P176:T176"/>
    <mergeCell ref="P247:T247"/>
    <mergeCell ref="P114:T114"/>
    <mergeCell ref="P41:T41"/>
    <mergeCell ref="A328:Z328"/>
    <mergeCell ref="A157:Z157"/>
    <mergeCell ref="A35:O36"/>
    <mergeCell ref="D149:E149"/>
    <mergeCell ref="D22:E22"/>
    <mergeCell ref="D447:E447"/>
    <mergeCell ref="A127:O128"/>
    <mergeCell ref="P301:T301"/>
    <mergeCell ref="P34:T34"/>
    <mergeCell ref="A9:C9"/>
    <mergeCell ref="P125:T125"/>
    <mergeCell ref="D202:E202"/>
    <mergeCell ref="A478:O479"/>
    <mergeCell ref="P348:T348"/>
    <mergeCell ref="D294:E294"/>
    <mergeCell ref="P323:T323"/>
    <mergeCell ref="A414:Z414"/>
    <mergeCell ref="D231:E231"/>
    <mergeCell ref="A91:Z91"/>
    <mergeCell ref="P70:V70"/>
    <mergeCell ref="A156:Z156"/>
    <mergeCell ref="P32:V32"/>
    <mergeCell ref="A400:O401"/>
    <mergeCell ref="D257:E257"/>
    <mergeCell ref="P214:T214"/>
    <mergeCell ref="D213:E213"/>
    <mergeCell ref="D86:E86"/>
    <mergeCell ref="A457:Z457"/>
    <mergeCell ref="A110:O111"/>
    <mergeCell ref="P107:T107"/>
    <mergeCell ref="P101:T101"/>
    <mergeCell ref="P63:V63"/>
    <mergeCell ref="D386:E386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A150:O151"/>
    <mergeCell ref="D299:E299"/>
    <mergeCell ref="D370:E370"/>
    <mergeCell ref="P405:V405"/>
    <mergeCell ref="P399:T399"/>
    <mergeCell ref="P413:V413"/>
    <mergeCell ref="D159:E159"/>
    <mergeCell ref="A403:Z403"/>
    <mergeCell ref="P382:V382"/>
    <mergeCell ref="P357:V357"/>
    <mergeCell ref="D459:E459"/>
    <mergeCell ref="A271:Z271"/>
    <mergeCell ref="P240:V240"/>
    <mergeCell ref="Y498:Y499"/>
    <mergeCell ref="A412:O413"/>
    <mergeCell ref="D225:E225"/>
    <mergeCell ref="P498:P499"/>
    <mergeCell ref="AB17:AB18"/>
    <mergeCell ref="I497:R497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6:M6"/>
    <mergeCell ref="P175:T175"/>
    <mergeCell ref="A85:Z85"/>
    <mergeCell ref="A278:Z278"/>
    <mergeCell ref="P460:T460"/>
    <mergeCell ref="D143:E143"/>
    <mergeCell ref="P398:T398"/>
    <mergeCell ref="P487:T487"/>
    <mergeCell ref="A235:O236"/>
    <mergeCell ref="A288:Z288"/>
    <mergeCell ref="D153:E153"/>
    <mergeCell ref="P318:T318"/>
    <mergeCell ref="P256:T256"/>
    <mergeCell ref="V6:W9"/>
    <mergeCell ref="D199:E199"/>
    <mergeCell ref="D364:E364"/>
    <mergeCell ref="P109:T109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227:T227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104:O105"/>
    <mergeCell ref="A435:Z435"/>
    <mergeCell ref="P177:T177"/>
    <mergeCell ref="P93:T93"/>
    <mergeCell ref="P57:V57"/>
    <mergeCell ref="G17:G18"/>
    <mergeCell ref="P121:V121"/>
    <mergeCell ref="D80:E80"/>
    <mergeCell ref="P130:T130"/>
    <mergeCell ref="D136:E136"/>
    <mergeCell ref="P46:T46"/>
    <mergeCell ref="P409:T409"/>
    <mergeCell ref="D461:E461"/>
    <mergeCell ref="P61:T61"/>
    <mergeCell ref="D200:E200"/>
    <mergeCell ref="H17:H18"/>
    <mergeCell ref="A146:Z146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P212:T212"/>
    <mergeCell ref="P359:T359"/>
    <mergeCell ref="A178:O179"/>
    <mergeCell ref="D203:E203"/>
    <mergeCell ref="P232:T232"/>
    <mergeCell ref="P330:T330"/>
    <mergeCell ref="P159:T159"/>
    <mergeCell ref="D438:E438"/>
    <mergeCell ref="D267:E267"/>
    <mergeCell ref="D425:E425"/>
    <mergeCell ref="D359:E359"/>
    <mergeCell ref="A486:Z486"/>
    <mergeCell ref="P483:V483"/>
    <mergeCell ref="D436:E436"/>
    <mergeCell ref="A305:O306"/>
    <mergeCell ref="P346:T346"/>
    <mergeCell ref="D292:E292"/>
    <mergeCell ref="A243:O244"/>
    <mergeCell ref="D227:E227"/>
    <mergeCell ref="A463:O464"/>
    <mergeCell ref="D215:E215"/>
    <mergeCell ref="P194:V194"/>
    <mergeCell ref="P317:T317"/>
    <mergeCell ref="D323:E323"/>
    <mergeCell ref="D394:E394"/>
    <mergeCell ref="D279:E279"/>
    <mergeCell ref="A254:Z254"/>
    <mergeCell ref="J9:M9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176:E176"/>
    <mergeCell ref="A154:O155"/>
    <mergeCell ref="P155:V155"/>
    <mergeCell ref="D114:E114"/>
    <mergeCell ref="P143:T143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D61:E61"/>
    <mergeCell ref="A15:M15"/>
    <mergeCell ref="P238:T238"/>
    <mergeCell ref="D346:E346"/>
    <mergeCell ref="P229:T229"/>
    <mergeCell ref="A419:Z419"/>
    <mergeCell ref="D477:E477"/>
    <mergeCell ref="P375:T375"/>
    <mergeCell ref="D125:E125"/>
    <mergeCell ref="P446:T446"/>
    <mergeCell ref="P207:T207"/>
    <mergeCell ref="P299:T299"/>
    <mergeCell ref="P172:V172"/>
    <mergeCell ref="P150:V150"/>
    <mergeCell ref="T6:U9"/>
    <mergeCell ref="P319:V319"/>
    <mergeCell ref="Q10:R10"/>
    <mergeCell ref="D41:E41"/>
    <mergeCell ref="A490:O495"/>
    <mergeCell ref="A37:Z37"/>
    <mergeCell ref="P320:V320"/>
    <mergeCell ref="P314:V314"/>
    <mergeCell ref="P387:T387"/>
    <mergeCell ref="A139:Z139"/>
    <mergeCell ref="D422:E422"/>
    <mergeCell ref="D74:E74"/>
    <mergeCell ref="P151:V151"/>
    <mergeCell ref="D130:E130"/>
    <mergeCell ref="P451:T451"/>
    <mergeCell ref="P449:V449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T5:U5"/>
    <mergeCell ref="P76:T76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A295:O296"/>
    <mergeCell ref="D338:E338"/>
    <mergeCell ref="D233:E233"/>
    <mergeCell ref="D409:E409"/>
    <mergeCell ref="Q8:R8"/>
    <mergeCell ref="P311:T311"/>
    <mergeCell ref="P438:T438"/>
    <mergeCell ref="D444:E444"/>
    <mergeCell ref="P267:T267"/>
    <mergeCell ref="D248:E248"/>
    <mergeCell ref="D219:E219"/>
    <mergeCell ref="P425:T425"/>
    <mergeCell ref="P83:V83"/>
    <mergeCell ref="A82:O83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A160:O161"/>
    <mergeCell ref="A353:Z353"/>
    <mergeCell ref="P163:T163"/>
    <mergeCell ref="D109:E109"/>
    <mergeCell ref="A480:Z480"/>
    <mergeCell ref="D467:E467"/>
    <mergeCell ref="P424:T424"/>
    <mergeCell ref="D345:E345"/>
    <mergeCell ref="A79:Z79"/>
    <mergeCell ref="D399:E399"/>
    <mergeCell ref="A439:O440"/>
    <mergeCell ref="P309:T309"/>
    <mergeCell ref="P88:T88"/>
    <mergeCell ref="P51:T51"/>
    <mergeCell ref="P15:T16"/>
    <mergeCell ref="A132:O133"/>
    <mergeCell ref="D116:E116"/>
    <mergeCell ref="A275:O276"/>
    <mergeCell ref="P219:T219"/>
    <mergeCell ref="A335:Z335"/>
    <mergeCell ref="P272:T272"/>
    <mergeCell ref="D460:E460"/>
    <mergeCell ref="P210:T210"/>
    <mergeCell ref="P439:V439"/>
    <mergeCell ref="D398:E398"/>
    <mergeCell ref="A69:O70"/>
    <mergeCell ref="P433:V433"/>
    <mergeCell ref="P308:T308"/>
    <mergeCell ref="D416:E416"/>
    <mergeCell ref="P427:T427"/>
    <mergeCell ref="D264:E264"/>
    <mergeCell ref="D93:E93"/>
    <mergeCell ref="D391:E391"/>
    <mergeCell ref="D220:E220"/>
    <mergeCell ref="A195:Z195"/>
    <mergeCell ref="P434:V434"/>
    <mergeCell ref="A433:O434"/>
    <mergeCell ref="A253:Z253"/>
    <mergeCell ref="A483:O484"/>
    <mergeCell ref="D169:E169"/>
    <mergeCell ref="P204:V204"/>
    <mergeCell ref="P82:V82"/>
    <mergeCell ref="A134:Z134"/>
    <mergeCell ref="P440:V440"/>
    <mergeCell ref="P303:T303"/>
    <mergeCell ref="D108:E108"/>
    <mergeCell ref="D330:E330"/>
    <mergeCell ref="A421:Z421"/>
    <mergeCell ref="A98:Z98"/>
    <mergeCell ref="P306:V306"/>
    <mergeCell ref="D350:E350"/>
    <mergeCell ref="P110:V110"/>
    <mergeCell ref="A162:Z162"/>
    <mergeCell ref="D325:E325"/>
    <mergeCell ref="P208:T208"/>
    <mergeCell ref="P484:V484"/>
    <mergeCell ref="P324:T324"/>
    <mergeCell ref="P153:T153"/>
    <mergeCell ref="P221:V221"/>
    <mergeCell ref="P326:V326"/>
    <mergeCell ref="P393:T393"/>
    <mergeCell ref="D374:E374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A488:O489"/>
    <mergeCell ref="D230:E230"/>
    <mergeCell ref="D168:E168"/>
    <mergeCell ref="D466:E466"/>
    <mergeCell ref="P66:T66"/>
    <mergeCell ref="A6:C6"/>
    <mergeCell ref="D309:E309"/>
    <mergeCell ref="D113:E113"/>
    <mergeCell ref="P416:T416"/>
    <mergeCell ref="P167:T167"/>
    <mergeCell ref="P142:T142"/>
    <mergeCell ref="D148:E148"/>
    <mergeCell ref="D88:E88"/>
    <mergeCell ref="D26:E26"/>
    <mergeCell ref="D324:E324"/>
    <mergeCell ref="D311:E311"/>
    <mergeCell ref="D115:E115"/>
    <mergeCell ref="P55:T55"/>
    <mergeCell ref="P280:T280"/>
    <mergeCell ref="Q12:R12"/>
    <mergeCell ref="P169:T169"/>
    <mergeCell ref="P411:T411"/>
    <mergeCell ref="D388:E388"/>
    <mergeCell ref="P183:V183"/>
    <mergeCell ref="P246:T246"/>
    <mergeCell ref="A43:O44"/>
    <mergeCell ref="P133:V133"/>
    <mergeCell ref="D390:E390"/>
    <mergeCell ref="A123:Z123"/>
    <mergeCell ref="Q9:R9"/>
    <mergeCell ref="P312:T312"/>
    <mergeCell ref="D451:E451"/>
    <mergeCell ref="D255:E255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127:V127"/>
    <mergeCell ref="D9:E9"/>
    <mergeCell ref="P197:T197"/>
    <mergeCell ref="F9:G9"/>
    <mergeCell ref="P53:T53"/>
    <mergeCell ref="D167:E167"/>
    <mergeCell ref="P422:T422"/>
    <mergeCell ref="P289:T289"/>
    <mergeCell ref="D232:E232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P428:T428"/>
    <mergeCell ref="D100:E100"/>
    <mergeCell ref="P284:T284"/>
    <mergeCell ref="P113:T113"/>
    <mergeCell ref="A471:Z471"/>
    <mergeCell ref="P250:T250"/>
    <mergeCell ref="D329:E329"/>
    <mergeCell ref="A402:Z402"/>
    <mergeCell ref="D229:E229"/>
    <mergeCell ref="P131:T131"/>
    <mergeCell ref="P187:T187"/>
    <mergeCell ref="D375:E375"/>
    <mergeCell ref="P429:T429"/>
    <mergeCell ref="P258:T258"/>
    <mergeCell ref="D369:E369"/>
    <mergeCell ref="D1:F1"/>
    <mergeCell ref="P466:T466"/>
    <mergeCell ref="A71:Z71"/>
    <mergeCell ref="P488:V488"/>
    <mergeCell ref="A307:Z307"/>
    <mergeCell ref="P282:V282"/>
    <mergeCell ref="P111:V111"/>
    <mergeCell ref="J17:J18"/>
    <mergeCell ref="L17:L18"/>
    <mergeCell ref="P17:T18"/>
    <mergeCell ref="P423:T423"/>
    <mergeCell ref="A182:O183"/>
    <mergeCell ref="P52:T52"/>
    <mergeCell ref="A117:O118"/>
    <mergeCell ref="P350:T350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295:V295"/>
    <mergeCell ref="U498:U499"/>
    <mergeCell ref="P475:V475"/>
    <mergeCell ref="W498:W499"/>
    <mergeCell ref="P269:V269"/>
    <mergeCell ref="A45:Z45"/>
    <mergeCell ref="A458:Z458"/>
    <mergeCell ref="A343:Z343"/>
    <mergeCell ref="A287:Z287"/>
    <mergeCell ref="P35:V35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08:E308"/>
    <mergeCell ref="D380:E380"/>
    <mergeCell ref="P337:T337"/>
    <mergeCell ref="D209:E209"/>
    <mergeCell ref="P188:V188"/>
    <mergeCell ref="P166:T166"/>
    <mergeCell ref="D445:E445"/>
    <mergeCell ref="P396:V396"/>
    <mergeCell ref="A395:O396"/>
    <mergeCell ref="P259:T259"/>
    <mergeCell ref="P148:T148"/>
    <mergeCell ref="A47:O48"/>
    <mergeCell ref="A96:O97"/>
    <mergeCell ref="P482:T482"/>
    <mergeCell ref="D354:E354"/>
    <mergeCell ref="A332:O333"/>
    <mergeCell ref="D274:E274"/>
    <mergeCell ref="D301:E301"/>
    <mergeCell ref="D147:E147"/>
    <mergeCell ref="P116:T116"/>
    <mergeCell ref="P103:T103"/>
    <mergeCell ref="P230:T230"/>
    <mergeCell ref="A469:O470"/>
    <mergeCell ref="D211:E211"/>
    <mergeCell ref="P168:T168"/>
    <mergeCell ref="P178:V178"/>
    <mergeCell ref="P276:V276"/>
    <mergeCell ref="P463:V463"/>
    <mergeCell ref="A263:Z263"/>
    <mergeCell ref="P264:T264"/>
    <mergeCell ref="P68:T68"/>
    <mergeCell ref="H1:Q1"/>
    <mergeCell ref="A448:O449"/>
    <mergeCell ref="A99:Z99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P340:V340"/>
    <mergeCell ref="P242:T242"/>
    <mergeCell ref="A239:O240"/>
    <mergeCell ref="D92:E92"/>
    <mergeCell ref="D55:E55"/>
    <mergeCell ref="D30:E30"/>
    <mergeCell ref="D67:E67"/>
    <mergeCell ref="A140:Z140"/>
    <mergeCell ref="D5:E5"/>
    <mergeCell ref="D303:E303"/>
    <mergeCell ref="P42:T42"/>
    <mergeCell ref="D7:M7"/>
    <mergeCell ref="A373:Z373"/>
    <mergeCell ref="A405:O406"/>
    <mergeCell ref="P327:V327"/>
    <mergeCell ref="A152:Z152"/>
    <mergeCell ref="P92:T92"/>
    <mergeCell ref="A450:Z450"/>
    <mergeCell ref="P394:T394"/>
    <mergeCell ref="D442:E442"/>
    <mergeCell ref="D302:E302"/>
    <mergeCell ref="D429:E429"/>
    <mergeCell ref="P29:T29"/>
    <mergeCell ref="P100:T100"/>
    <mergeCell ref="P265:T265"/>
    <mergeCell ref="P94:T94"/>
    <mergeCell ref="D379:E379"/>
    <mergeCell ref="D208:E208"/>
    <mergeCell ref="D81:E81"/>
    <mergeCell ref="D8:M8"/>
    <mergeCell ref="D300:E300"/>
    <mergeCell ref="P329:T329"/>
    <mergeCell ref="P251:V251"/>
    <mergeCell ref="P118:V118"/>
    <mergeCell ref="A241:Z241"/>
    <mergeCell ref="A50:Z50"/>
    <mergeCell ref="P96:V96"/>
    <mergeCell ref="W17:W18"/>
    <mergeCell ref="P261:V261"/>
    <mergeCell ref="P90:V90"/>
    <mergeCell ref="P332:V332"/>
    <mergeCell ref="P217:V217"/>
    <mergeCell ref="A384:Z384"/>
    <mergeCell ref="P161:V161"/>
    <mergeCell ref="A376:O377"/>
    <mergeCell ref="P234:T234"/>
    <mergeCell ref="P154:V154"/>
    <mergeCell ref="A321:Z321"/>
    <mergeCell ref="D142:E142"/>
    <mergeCell ref="P266:T266"/>
    <mergeCell ref="P95:T95"/>
    <mergeCell ref="P331:T331"/>
    <mergeCell ref="P182:V182"/>
    <mergeCell ref="D290:E290"/>
    <mergeCell ref="D94:E94"/>
    <mergeCell ref="A356:O357"/>
    <mergeCell ref="D52:E52"/>
    <mergeCell ref="D27:E27"/>
    <mergeCell ref="P26:T26"/>
    <mergeCell ref="P316:T316"/>
    <mergeCell ref="D66:E66"/>
    <mergeCell ref="D126:E12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A498:A499"/>
    <mergeCell ref="P473:T473"/>
    <mergeCell ref="S497:T497"/>
    <mergeCell ref="V498:V499"/>
    <mergeCell ref="P453:T453"/>
    <mergeCell ref="A474:O475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D73:E73"/>
    <mergeCell ref="P77:V77"/>
    <mergeCell ref="P30:T30"/>
    <mergeCell ref="P179:V179"/>
    <mergeCell ref="P290:T290"/>
    <mergeCell ref="P377:V377"/>
    <mergeCell ref="A63:O64"/>
    <mergeCell ref="B17:B18"/>
    <mergeCell ref="A77:O78"/>
    <mergeCell ref="D131:E131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391:T391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P249:T249"/>
    <mergeCell ref="P81:T81"/>
    <mergeCell ref="P56:T56"/>
    <mergeCell ref="V10:W10"/>
    <mergeCell ref="P379:T379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D410:E410"/>
    <mergeCell ref="A441:Z441"/>
    <mergeCell ref="A270:Z270"/>
    <mergeCell ref="A368:Z368"/>
    <mergeCell ref="D426:E426"/>
    <mergeCell ref="P464:V464"/>
    <mergeCell ref="P452:T452"/>
    <mergeCell ref="P448:V448"/>
    <mergeCell ref="P404:T404"/>
    <mergeCell ref="D360:E360"/>
    <mergeCell ref="A124:Z124"/>
    <mergeCell ref="D431:E431"/>
    <mergeCell ref="P170:T170"/>
    <mergeCell ref="P468:T4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2025-11-04T07:37:35Z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