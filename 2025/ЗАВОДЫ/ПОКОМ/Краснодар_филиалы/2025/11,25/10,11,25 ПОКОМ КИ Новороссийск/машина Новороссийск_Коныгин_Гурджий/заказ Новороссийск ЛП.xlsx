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och\"/>
    </mc:Choice>
  </mc:AlternateContent>
  <xr:revisionPtr revIDLastSave="0" documentId="13_ncr:1_{BB8BC107-6450-48A2-8D09-2B29B54F601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Y274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43" i="1" l="1"/>
  <c r="Y31" i="1"/>
  <c r="Y43" i="1"/>
  <c r="Y493" i="1" s="1"/>
  <c r="Y58" i="1"/>
  <c r="Y64" i="1"/>
  <c r="Y70" i="1"/>
  <c r="Z88" i="1"/>
  <c r="BP86" i="1"/>
  <c r="BN86" i="1"/>
  <c r="Z86" i="1"/>
  <c r="BP94" i="1"/>
  <c r="BN94" i="1"/>
  <c r="Z94" i="1"/>
  <c r="Y96" i="1"/>
  <c r="F499" i="1"/>
  <c r="Y104" i="1"/>
  <c r="BP99" i="1"/>
  <c r="BN99" i="1"/>
  <c r="Z99" i="1"/>
  <c r="Z103" i="1" s="1"/>
  <c r="Y103" i="1"/>
  <c r="Z109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Z143" i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Y171" i="1"/>
  <c r="BP162" i="1"/>
  <c r="BN162" i="1"/>
  <c r="Z162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Z215" i="1" s="1"/>
  <c r="BP214" i="1"/>
  <c r="BN214" i="1"/>
  <c r="Z214" i="1"/>
  <c r="Y216" i="1"/>
  <c r="Y221" i="1"/>
  <c r="BP218" i="1"/>
  <c r="BN218" i="1"/>
  <c r="Z218" i="1"/>
  <c r="Z220" i="1" s="1"/>
  <c r="Y220" i="1"/>
  <c r="BP279" i="1"/>
  <c r="BN279" i="1"/>
  <c r="Z279" i="1"/>
  <c r="Z280" i="1" s="1"/>
  <c r="Y281" i="1"/>
  <c r="Y284" i="1"/>
  <c r="BP283" i="1"/>
  <c r="BN283" i="1"/>
  <c r="Z283" i="1"/>
  <c r="Z284" i="1" s="1"/>
  <c r="Y285" i="1"/>
  <c r="Q499" i="1"/>
  <c r="Y295" i="1"/>
  <c r="BP288" i="1"/>
  <c r="BN288" i="1"/>
  <c r="Z288" i="1"/>
  <c r="Y294" i="1"/>
  <c r="BP292" i="1"/>
  <c r="BN292" i="1"/>
  <c r="Z292" i="1"/>
  <c r="BP329" i="1"/>
  <c r="BN329" i="1"/>
  <c r="Z329" i="1"/>
  <c r="Z331" i="1" s="1"/>
  <c r="Y331" i="1"/>
  <c r="D499" i="1"/>
  <c r="H9" i="1"/>
  <c r="B499" i="1"/>
  <c r="X490" i="1"/>
  <c r="X492" i="1" s="1"/>
  <c r="X491" i="1"/>
  <c r="X493" i="1"/>
  <c r="Y24" i="1"/>
  <c r="Z27" i="1"/>
  <c r="Z31" i="1" s="1"/>
  <c r="BN27" i="1"/>
  <c r="Z29" i="1"/>
  <c r="BN29" i="1"/>
  <c r="C499" i="1"/>
  <c r="Z41" i="1"/>
  <c r="BN41" i="1"/>
  <c r="Y490" i="1" s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9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BP209" i="1"/>
  <c r="BN209" i="1"/>
  <c r="Z209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300" i="1"/>
  <c r="BN300" i="1"/>
  <c r="Z300" i="1"/>
  <c r="Y304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Z41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5" i="1"/>
  <c r="BP210" i="1"/>
  <c r="BN210" i="1"/>
  <c r="BP212" i="1"/>
  <c r="BN212" i="1"/>
  <c r="Z212" i="1"/>
  <c r="BP225" i="1"/>
  <c r="BN225" i="1"/>
  <c r="Z225" i="1"/>
  <c r="BP229" i="1"/>
  <c r="BN229" i="1"/>
  <c r="Z229" i="1"/>
  <c r="Z234" i="1" s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Z250" i="1" s="1"/>
  <c r="BP249" i="1"/>
  <c r="BN249" i="1"/>
  <c r="Z249" i="1"/>
  <c r="Y251" i="1"/>
  <c r="Y259" i="1"/>
  <c r="BP254" i="1"/>
  <c r="BN254" i="1"/>
  <c r="Z254" i="1"/>
  <c r="Z259" i="1" s="1"/>
  <c r="BP258" i="1"/>
  <c r="BN258" i="1"/>
  <c r="Z258" i="1"/>
  <c r="Y260" i="1"/>
  <c r="M499" i="1"/>
  <c r="Y268" i="1"/>
  <c r="BP263" i="1"/>
  <c r="BN263" i="1"/>
  <c r="Z263" i="1"/>
  <c r="Z267" i="1" s="1"/>
  <c r="Y267" i="1"/>
  <c r="BP272" i="1"/>
  <c r="BN272" i="1"/>
  <c r="Z272" i="1"/>
  <c r="Z274" i="1" s="1"/>
  <c r="BP290" i="1"/>
  <c r="BN290" i="1"/>
  <c r="Z290" i="1"/>
  <c r="BP298" i="1"/>
  <c r="BN298" i="1"/>
  <c r="Z298" i="1"/>
  <c r="BP302" i="1"/>
  <c r="BN302" i="1"/>
  <c r="Z302" i="1"/>
  <c r="Z304" i="1" s="1"/>
  <c r="Y313" i="1"/>
  <c r="BP310" i="1"/>
  <c r="BN310" i="1"/>
  <c r="Z310" i="1"/>
  <c r="Z312" i="1" s="1"/>
  <c r="Y319" i="1"/>
  <c r="Z325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K499" i="1"/>
  <c r="Y234" i="1"/>
  <c r="O499" i="1"/>
  <c r="Y275" i="1"/>
  <c r="P499" i="1"/>
  <c r="Y280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394" i="1"/>
  <c r="Z294" i="1"/>
  <c r="Z171" i="1"/>
  <c r="Z438" i="1"/>
  <c r="Z447" i="1"/>
  <c r="Z432" i="1"/>
  <c r="Z69" i="1"/>
  <c r="Z494" i="1" s="1"/>
  <c r="Y489" i="1"/>
  <c r="Z203" i="1"/>
  <c r="Z177" i="1"/>
</calcChain>
</file>

<file path=xl/sharedStrings.xml><?xml version="1.0" encoding="utf-8"?>
<sst xmlns="http://schemas.openxmlformats.org/spreadsheetml/2006/main" count="2346" uniqueCount="765">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</sst>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67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13" t="s">
        <v>0</v>
      </c>
      <c r="E1" s="572"/>
      <c r="F1" s="572"/>
      <c r="G1" s="12" t="s">
        <v>1</v>
      </c>
      <c r="H1" s="613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52" t="s">
        <v>8</v>
      </c>
      <c r="B5" s="631"/>
      <c r="C5" s="632"/>
      <c r="D5" s="616"/>
      <c r="E5" s="617"/>
      <c r="F5" s="824" t="s">
        <v>9</v>
      </c>
      <c r="G5" s="632"/>
      <c r="H5" s="616"/>
      <c r="I5" s="762"/>
      <c r="J5" s="762"/>
      <c r="K5" s="762"/>
      <c r="L5" s="762"/>
      <c r="M5" s="617"/>
      <c r="N5" s="58"/>
      <c r="P5" s="24" t="s">
        <v>10</v>
      </c>
      <c r="Q5" s="837">
        <v>45974</v>
      </c>
      <c r="R5" s="651"/>
      <c r="T5" s="700" t="s">
        <v>11</v>
      </c>
      <c r="U5" s="701"/>
      <c r="V5" s="702" t="s">
        <v>12</v>
      </c>
      <c r="W5" s="651"/>
      <c r="AB5" s="51"/>
      <c r="AC5" s="51"/>
      <c r="AD5" s="51"/>
      <c r="AE5" s="51"/>
    </row>
    <row r="6" spans="1:32" s="538" customFormat="1" ht="24" customHeight="1" x14ac:dyDescent="0.2">
      <c r="A6" s="652" t="s">
        <v>13</v>
      </c>
      <c r="B6" s="631"/>
      <c r="C6" s="632"/>
      <c r="D6" s="764" t="s">
        <v>14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7" t="s">
        <v>16</v>
      </c>
      <c r="U6" s="701"/>
      <c r="V6" s="749" t="s">
        <v>17</v>
      </c>
      <c r="W6" s="585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6"/>
      <c r="U7" s="701"/>
      <c r="V7" s="750"/>
      <c r="W7" s="751"/>
      <c r="AB7" s="51"/>
      <c r="AC7" s="51"/>
      <c r="AD7" s="51"/>
      <c r="AE7" s="51"/>
    </row>
    <row r="8" spans="1:32" s="538" customFormat="1" ht="25.5" customHeight="1" x14ac:dyDescent="0.2">
      <c r="A8" s="861" t="s">
        <v>18</v>
      </c>
      <c r="B8" s="563"/>
      <c r="C8" s="564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61">
        <v>0.41666666666666669</v>
      </c>
      <c r="R8" s="598"/>
      <c r="T8" s="556"/>
      <c r="U8" s="701"/>
      <c r="V8" s="750"/>
      <c r="W8" s="751"/>
      <c r="AB8" s="51"/>
      <c r="AC8" s="51"/>
      <c r="AD8" s="51"/>
      <c r="AE8" s="51"/>
    </row>
    <row r="9" spans="1:32" s="538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73"/>
      <c r="E9" s="561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9"/>
      <c r="P9" s="26" t="s">
        <v>21</v>
      </c>
      <c r="Q9" s="648"/>
      <c r="R9" s="649"/>
      <c r="T9" s="556"/>
      <c r="U9" s="701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73"/>
      <c r="E10" s="561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40" t="str">
        <f>IFERROR(VLOOKUP($D$10,Proxy,2,FALSE),"")</f>
        <v/>
      </c>
      <c r="I10" s="556"/>
      <c r="J10" s="556"/>
      <c r="K10" s="556"/>
      <c r="L10" s="556"/>
      <c r="M10" s="556"/>
      <c r="N10" s="537"/>
      <c r="P10" s="26" t="s">
        <v>22</v>
      </c>
      <c r="Q10" s="708"/>
      <c r="R10" s="709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9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4" t="s">
        <v>29</v>
      </c>
      <c r="B12" s="631"/>
      <c r="C12" s="631"/>
      <c r="D12" s="631"/>
      <c r="E12" s="631"/>
      <c r="F12" s="631"/>
      <c r="G12" s="631"/>
      <c r="H12" s="631"/>
      <c r="I12" s="631"/>
      <c r="J12" s="631"/>
      <c r="K12" s="631"/>
      <c r="L12" s="631"/>
      <c r="M12" s="632"/>
      <c r="N12" s="62"/>
      <c r="P12" s="24" t="s">
        <v>30</v>
      </c>
      <c r="Q12" s="661"/>
      <c r="R12" s="598"/>
      <c r="S12" s="23"/>
      <c r="U12" s="24"/>
      <c r="V12" s="572"/>
      <c r="W12" s="556"/>
      <c r="AB12" s="51"/>
      <c r="AC12" s="51"/>
      <c r="AD12" s="51"/>
      <c r="AE12" s="51"/>
    </row>
    <row r="13" spans="1:32" s="538" customFormat="1" ht="23.25" customHeight="1" x14ac:dyDescent="0.2">
      <c r="A13" s="694" t="s">
        <v>31</v>
      </c>
      <c r="B13" s="631"/>
      <c r="C13" s="631"/>
      <c r="D13" s="631"/>
      <c r="E13" s="631"/>
      <c r="F13" s="631"/>
      <c r="G13" s="631"/>
      <c r="H13" s="631"/>
      <c r="I13" s="631"/>
      <c r="J13" s="631"/>
      <c r="K13" s="631"/>
      <c r="L13" s="631"/>
      <c r="M13" s="632"/>
      <c r="N13" s="62"/>
      <c r="O13" s="26"/>
      <c r="P13" s="26" t="s">
        <v>32</v>
      </c>
      <c r="Q13" s="789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4" t="s">
        <v>33</v>
      </c>
      <c r="B14" s="631"/>
      <c r="C14" s="631"/>
      <c r="D14" s="631"/>
      <c r="E14" s="631"/>
      <c r="F14" s="631"/>
      <c r="G14" s="631"/>
      <c r="H14" s="631"/>
      <c r="I14" s="631"/>
      <c r="J14" s="631"/>
      <c r="K14" s="631"/>
      <c r="L14" s="631"/>
      <c r="M14" s="63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22" t="s">
        <v>34</v>
      </c>
      <c r="B15" s="631"/>
      <c r="C15" s="631"/>
      <c r="D15" s="631"/>
      <c r="E15" s="631"/>
      <c r="F15" s="631"/>
      <c r="G15" s="631"/>
      <c r="H15" s="631"/>
      <c r="I15" s="631"/>
      <c r="J15" s="631"/>
      <c r="K15" s="631"/>
      <c r="L15" s="631"/>
      <c r="M15" s="632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32"/>
      <c r="W17" s="581" t="s">
        <v>52</v>
      </c>
      <c r="X17" s="581" t="s">
        <v>53</v>
      </c>
      <c r="Y17" s="857" t="s">
        <v>54</v>
      </c>
      <c r="Z17" s="760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58"/>
      <c r="Z18" s="761"/>
      <c r="AA18" s="742"/>
      <c r="AB18" s="742"/>
      <c r="AC18" s="742"/>
      <c r="AD18" s="821"/>
      <c r="AE18" s="822"/>
      <c r="AF18" s="823"/>
      <c r="AG18" s="66"/>
      <c r="BD18" s="65"/>
    </row>
    <row r="19" spans="1:68" ht="27.75" customHeight="1" x14ac:dyDescent="0.2">
      <c r="A19" s="633" t="s">
        <v>63</v>
      </c>
      <c r="B19" s="634"/>
      <c r="C19" s="634"/>
      <c r="D19" s="634"/>
      <c r="E19" s="634"/>
      <c r="F19" s="634"/>
      <c r="G19" s="634"/>
      <c r="H19" s="634"/>
      <c r="I19" s="634"/>
      <c r="J19" s="634"/>
      <c r="K19" s="634"/>
      <c r="L19" s="634"/>
      <c r="M19" s="634"/>
      <c r="N19" s="634"/>
      <c r="O19" s="634"/>
      <c r="P19" s="634"/>
      <c r="Q19" s="634"/>
      <c r="R19" s="634"/>
      <c r="S19" s="634"/>
      <c r="T19" s="634"/>
      <c r="U19" s="634"/>
      <c r="V19" s="634"/>
      <c r="W19" s="634"/>
      <c r="X19" s="634"/>
      <c r="Y19" s="634"/>
      <c r="Z19" s="634"/>
      <c r="AA19" s="48"/>
      <c r="AB19" s="48"/>
      <c r="AC19" s="48"/>
    </row>
    <row r="20" spans="1:68" ht="16.5" customHeight="1" x14ac:dyDescent="0.25">
      <c r="A20" s="559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6"/>
      <c r="AB20" s="536"/>
      <c r="AC20" s="536"/>
    </row>
    <row r="21" spans="1:68" ht="14.25" customHeight="1" x14ac:dyDescent="0.25">
      <c r="A21" s="558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5"/>
      <c r="B23" s="556"/>
      <c r="C23" s="556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7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6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7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5"/>
      <c r="B31" s="556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7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6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7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35"/>
      <c r="AB33" s="535"/>
      <c r="AC33" s="535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5"/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7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6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7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3" t="s">
        <v>99</v>
      </c>
      <c r="B37" s="634"/>
      <c r="C37" s="634"/>
      <c r="D37" s="634"/>
      <c r="E37" s="634"/>
      <c r="F37" s="634"/>
      <c r="G37" s="634"/>
      <c r="H37" s="634"/>
      <c r="I37" s="634"/>
      <c r="J37" s="634"/>
      <c r="K37" s="634"/>
      <c r="L37" s="634"/>
      <c r="M37" s="634"/>
      <c r="N37" s="634"/>
      <c r="O37" s="634"/>
      <c r="P37" s="634"/>
      <c r="Q37" s="634"/>
      <c r="R37" s="634"/>
      <c r="S37" s="634"/>
      <c r="T37" s="634"/>
      <c r="U37" s="634"/>
      <c r="V37" s="634"/>
      <c r="W37" s="634"/>
      <c r="X37" s="634"/>
      <c r="Y37" s="634"/>
      <c r="Z37" s="634"/>
      <c r="AA37" s="48"/>
      <c r="AB37" s="48"/>
      <c r="AC37" s="48"/>
    </row>
    <row r="38" spans="1:68" ht="16.5" customHeight="1" x14ac:dyDescent="0.25">
      <c r="A38" s="559" t="s">
        <v>100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36"/>
      <c r="AB38" s="536"/>
      <c r="AC38" s="536"/>
    </row>
    <row r="39" spans="1:68" ht="14.25" customHeight="1" x14ac:dyDescent="0.25">
      <c r="A39" s="558" t="s">
        <v>101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220</v>
      </c>
      <c r="Y40" s="542">
        <f>IFERROR(IF(X40="",0,CEILING((X40/$H40),1)*$H40),"")</f>
        <v>226.8</v>
      </c>
      <c r="Z40" s="36">
        <f>IFERROR(IF(Y40=0,"",ROUNDUP(Y40/H40,0)*0.01898),"")</f>
        <v>0.39857999999999999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228.35185185185188</v>
      </c>
      <c r="BN40" s="64">
        <f>IFERROR(Y40*I40/H40,"0")</f>
        <v>235.41000000000003</v>
      </c>
      <c r="BO40" s="64">
        <f>IFERROR(1/J40*(X40/H40),"0")</f>
        <v>0.31828703703703703</v>
      </c>
      <c r="BP40" s="64">
        <f>IFERROR(1/J40*(Y40/H40),"0")</f>
        <v>0.328125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139</v>
      </c>
      <c r="Y41" s="542">
        <f>IFERROR(IF(X41="",0,CEILING((X41/$H41),1)*$H41),"")</f>
        <v>140</v>
      </c>
      <c r="Z41" s="36">
        <f>IFERROR(IF(Y41=0,"",ROUNDUP(Y41/H41,0)*0.00902),"")</f>
        <v>0.31569999999999998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145.60250000000002</v>
      </c>
      <c r="BN41" s="64">
        <f>IFERROR(Y41*I41/H41,"0")</f>
        <v>146.65</v>
      </c>
      <c r="BO41" s="64">
        <f>IFERROR(1/J41*(X41/H41),"0")</f>
        <v>0.26325757575757575</v>
      </c>
      <c r="BP41" s="64">
        <f>IFERROR(1/J41*(Y41/H41),"0")</f>
        <v>0.26515151515151514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5"/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7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55.120370370370367</v>
      </c>
      <c r="Y43" s="543">
        <f>IFERROR(Y40/H40,"0")+IFERROR(Y41/H41,"0")+IFERROR(Y42/H42,"0")</f>
        <v>56</v>
      </c>
      <c r="Z43" s="543">
        <f>IFERROR(IF(Z40="",0,Z40),"0")+IFERROR(IF(Z41="",0,Z41),"0")+IFERROR(IF(Z42="",0,Z42),"0")</f>
        <v>0.71428000000000003</v>
      </c>
      <c r="AA43" s="544"/>
      <c r="AB43" s="544"/>
      <c r="AC43" s="544"/>
    </row>
    <row r="44" spans="1:68" x14ac:dyDescent="0.2">
      <c r="A44" s="556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7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359</v>
      </c>
      <c r="Y44" s="543">
        <f>IFERROR(SUM(Y40:Y42),"0")</f>
        <v>366.8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35"/>
      <c r="AB45" s="535"/>
      <c r="AC45" s="535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5"/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7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6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7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36"/>
      <c r="AB49" s="536"/>
      <c r="AC49" s="536"/>
    </row>
    <row r="50" spans="1:68" ht="14.25" customHeight="1" x14ac:dyDescent="0.25">
      <c r="A50" s="558" t="s">
        <v>101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5"/>
      <c r="AB50" s="535"/>
      <c r="AC50" s="535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330</v>
      </c>
      <c r="Y52" s="542">
        <f t="shared" si="0"/>
        <v>334.8</v>
      </c>
      <c r="Z52" s="36">
        <f>IFERROR(IF(Y52=0,"",ROUNDUP(Y52/H52,0)*0.01898),"")</f>
        <v>0.58838000000000001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342.52777777777777</v>
      </c>
      <c r="BN52" s="64">
        <f t="shared" si="2"/>
        <v>347.51000000000005</v>
      </c>
      <c r="BO52" s="64">
        <f t="shared" si="3"/>
        <v>0.47743055555555552</v>
      </c>
      <c r="BP52" s="64">
        <f t="shared" si="4"/>
        <v>0.484375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380</v>
      </c>
      <c r="Y56" s="542">
        <f t="shared" si="0"/>
        <v>382.5</v>
      </c>
      <c r="Z56" s="36">
        <f>IFERROR(IF(Y56=0,"",ROUNDUP(Y56/H56,0)*0.00902),"")</f>
        <v>0.76670000000000005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396.04444444444448</v>
      </c>
      <c r="BN56" s="64">
        <f t="shared" si="2"/>
        <v>398.65000000000003</v>
      </c>
      <c r="BO56" s="64">
        <f t="shared" si="3"/>
        <v>0.63973063973063971</v>
      </c>
      <c r="BP56" s="64">
        <f t="shared" si="4"/>
        <v>0.64393939393939392</v>
      </c>
    </row>
    <row r="57" spans="1:68" x14ac:dyDescent="0.2">
      <c r="A57" s="555"/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57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115</v>
      </c>
      <c r="Y57" s="543">
        <f>IFERROR(Y51/H51,"0")+IFERROR(Y52/H52,"0")+IFERROR(Y53/H53,"0")+IFERROR(Y54/H54,"0")+IFERROR(Y55/H55,"0")+IFERROR(Y56/H56,"0")</f>
        <v>116</v>
      </c>
      <c r="Z57" s="543">
        <f>IFERROR(IF(Z51="",0,Z51),"0")+IFERROR(IF(Z52="",0,Z52),"0")+IFERROR(IF(Z53="",0,Z53),"0")+IFERROR(IF(Z54="",0,Z54),"0")+IFERROR(IF(Z55="",0,Z55),"0")+IFERROR(IF(Z56="",0,Z56),"0")</f>
        <v>1.3550800000000001</v>
      </c>
      <c r="AA57" s="544"/>
      <c r="AB57" s="544"/>
      <c r="AC57" s="544"/>
    </row>
    <row r="58" spans="1:68" x14ac:dyDescent="0.2">
      <c r="A58" s="556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7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710</v>
      </c>
      <c r="Y58" s="543">
        <f>IFERROR(SUM(Y51:Y56),"0")</f>
        <v>717.3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850</v>
      </c>
      <c r="Y60" s="542">
        <f>IFERROR(IF(X60="",0,CEILING((X60/$H60),1)*$H60),"")</f>
        <v>853.2</v>
      </c>
      <c r="Z60" s="36">
        <f>IFERROR(IF(Y60=0,"",ROUNDUP(Y60/H60,0)*0.01898),"")</f>
        <v>1.49942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882.26851851851848</v>
      </c>
      <c r="BN60" s="64">
        <f>IFERROR(Y60*I60/H60,"0")</f>
        <v>885.59</v>
      </c>
      <c r="BO60" s="64">
        <f>IFERROR(1/J60*(X60/H60),"0")</f>
        <v>1.2297453703703702</v>
      </c>
      <c r="BP60" s="64">
        <f>IFERROR(1/J60*(Y60/H60),"0")</f>
        <v>1.234375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5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57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78.703703703703695</v>
      </c>
      <c r="Y63" s="543">
        <f>IFERROR(Y60/H60,"0")+IFERROR(Y61/H61,"0")+IFERROR(Y62/H62,"0")</f>
        <v>79</v>
      </c>
      <c r="Z63" s="543">
        <f>IFERROR(IF(Z60="",0,Z60),"0")+IFERROR(IF(Z61="",0,Z61),"0")+IFERROR(IF(Z62="",0,Z62),"0")</f>
        <v>1.49942</v>
      </c>
      <c r="AA63" s="544"/>
      <c r="AB63" s="544"/>
      <c r="AC63" s="544"/>
    </row>
    <row r="64" spans="1:68" x14ac:dyDescent="0.2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7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850</v>
      </c>
      <c r="Y64" s="543">
        <f>IFERROR(SUM(Y60:Y62),"0")</f>
        <v>853.2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35"/>
      <c r="AB65" s="535"/>
      <c r="AC65" s="535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5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7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7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35"/>
      <c r="AB71" s="535"/>
      <c r="AC71" s="535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5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7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7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35"/>
      <c r="AB78" s="535"/>
      <c r="AC78" s="535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5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7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7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36"/>
      <c r="AB83" s="536"/>
      <c r="AC83" s="536"/>
    </row>
    <row r="84" spans="1:68" ht="14.25" customHeight="1" x14ac:dyDescent="0.25">
      <c r="A84" s="558" t="s">
        <v>101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128</v>
      </c>
      <c r="Y85" s="542">
        <f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132.85925925925926</v>
      </c>
      <c r="BN85" s="64">
        <f>IFERROR(Y85*I85/H85,"0")</f>
        <v>134.52000000000001</v>
      </c>
      <c r="BO85" s="64">
        <f>IFERROR(1/J85*(X85/H85),"0")</f>
        <v>0.18518518518518517</v>
      </c>
      <c r="BP85" s="64">
        <f>IFERROR(1/J85*(Y85/H85),"0")</f>
        <v>0.18750000000000003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135</v>
      </c>
      <c r="Y87" s="542">
        <f>IFERROR(IF(X87="",0,CEILING((X87/$H87),1)*$H87),"")</f>
        <v>135</v>
      </c>
      <c r="Z87" s="36">
        <f>IFERROR(IF(Y87=0,"",ROUNDUP(Y87/H87,0)*0.00902),"")</f>
        <v>0.27060000000000001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140.70000000000002</v>
      </c>
      <c r="BN87" s="64">
        <f>IFERROR(Y87*I87/H87,"0")</f>
        <v>140.70000000000002</v>
      </c>
      <c r="BO87" s="64">
        <f>IFERROR(1/J87*(X87/H87),"0")</f>
        <v>0.22727272727272729</v>
      </c>
      <c r="BP87" s="64">
        <f>IFERROR(1/J87*(Y87/H87),"0")</f>
        <v>0.22727272727272729</v>
      </c>
    </row>
    <row r="88" spans="1:68" x14ac:dyDescent="0.2">
      <c r="A88" s="555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7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41.851851851851848</v>
      </c>
      <c r="Y88" s="543">
        <f>IFERROR(Y85/H85,"0")+IFERROR(Y86/H86,"0")+IFERROR(Y87/H87,"0")</f>
        <v>42</v>
      </c>
      <c r="Z88" s="543">
        <f>IFERROR(IF(Z85="",0,Z85),"0")+IFERROR(IF(Z86="",0,Z86),"0")+IFERROR(IF(Z87="",0,Z87),"0")</f>
        <v>0.49836000000000003</v>
      </c>
      <c r="AA88" s="544"/>
      <c r="AB88" s="544"/>
      <c r="AC88" s="544"/>
    </row>
    <row r="89" spans="1:68" x14ac:dyDescent="0.2">
      <c r="A89" s="556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7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263</v>
      </c>
      <c r="Y89" s="543">
        <f>IFERROR(SUM(Y85:Y87),"0")</f>
        <v>264.60000000000002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3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250</v>
      </c>
      <c r="Y91" s="542">
        <f>IFERROR(IF(X91="",0,CEILING((X91/$H91),1)*$H91),"")</f>
        <v>251.1</v>
      </c>
      <c r="Z91" s="36">
        <f>IFERROR(IF(Y91=0,"",ROUNDUP(Y91/H91,0)*0.01898),"")</f>
        <v>0.58838000000000001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265.24691358024694</v>
      </c>
      <c r="BN91" s="64">
        <f>IFERROR(Y91*I91/H91,"0")</f>
        <v>266.41399999999999</v>
      </c>
      <c r="BO91" s="64">
        <f>IFERROR(1/J91*(X91/H91),"0")</f>
        <v>0.48225308641975312</v>
      </c>
      <c r="BP91" s="64">
        <f>IFERROR(1/J91*(Y91/H91),"0")</f>
        <v>0.484375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129</v>
      </c>
      <c r="Y93" s="542">
        <f>IFERROR(IF(X93="",0,CEILING((X93/$H93),1)*$H93),"")</f>
        <v>129.60000000000002</v>
      </c>
      <c r="Z93" s="36">
        <f>IFERROR(IF(Y93=0,"",ROUNDUP(Y93/H93,0)*0.00651),"")</f>
        <v>0.31247999999999998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141.04</v>
      </c>
      <c r="BN93" s="64">
        <f>IFERROR(Y93*I93/H93,"0")</f>
        <v>141.69600000000003</v>
      </c>
      <c r="BO93" s="64">
        <f>IFERROR(1/J93*(X93/H93),"0")</f>
        <v>0.26251526251526253</v>
      </c>
      <c r="BP93" s="64">
        <f>IFERROR(1/J93*(Y93/H93),"0")</f>
        <v>0.2637362637362638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102</v>
      </c>
      <c r="Y94" s="542">
        <f>IFERROR(IF(X94="",0,CEILING((X94/$H94),1)*$H94),"")</f>
        <v>102.96</v>
      </c>
      <c r="Z94" s="36">
        <f>IFERROR(IF(Y94=0,"",ROUNDUP(Y94/H94,0)*0.00651),"")</f>
        <v>0.33851999999999999</v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115.2909090909091</v>
      </c>
      <c r="BN94" s="64">
        <f>IFERROR(Y94*I94/H94,"0")</f>
        <v>116.37599999999999</v>
      </c>
      <c r="BO94" s="64">
        <f>IFERROR(1/J94*(X94/H94),"0")</f>
        <v>0.28305028305028307</v>
      </c>
      <c r="BP94" s="64">
        <f>IFERROR(1/J94*(Y94/H94),"0")</f>
        <v>0.28571428571428575</v>
      </c>
    </row>
    <row r="95" spans="1:68" x14ac:dyDescent="0.2">
      <c r="A95" s="555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7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130.15712682379348</v>
      </c>
      <c r="Y95" s="543">
        <f>IFERROR(Y91/H91,"0")+IFERROR(Y92/H92,"0")+IFERROR(Y93/H93,"0")+IFERROR(Y94/H94,"0")</f>
        <v>131</v>
      </c>
      <c r="Z95" s="543">
        <f>IFERROR(IF(Z91="",0,Z91),"0")+IFERROR(IF(Z92="",0,Z92),"0")+IFERROR(IF(Z93="",0,Z93),"0")+IFERROR(IF(Z94="",0,Z94),"0")</f>
        <v>1.2393799999999999</v>
      </c>
      <c r="AA95" s="544"/>
      <c r="AB95" s="544"/>
      <c r="AC95" s="544"/>
    </row>
    <row r="96" spans="1:68" x14ac:dyDescent="0.2">
      <c r="A96" s="556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7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481</v>
      </c>
      <c r="Y96" s="543">
        <f>IFERROR(SUM(Y91:Y94),"0")</f>
        <v>483.66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36"/>
      <c r="AB97" s="536"/>
      <c r="AC97" s="536"/>
    </row>
    <row r="98" spans="1:68" ht="14.25" customHeight="1" x14ac:dyDescent="0.25">
      <c r="A98" s="558" t="s">
        <v>101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29</v>
      </c>
      <c r="Y99" s="542">
        <f>IFERROR(IF(X99="",0,CEILING((X99/$H99),1)*$H99),"")</f>
        <v>32.400000000000006</v>
      </c>
      <c r="Z99" s="36">
        <f>IFERROR(IF(Y99=0,"",ROUNDUP(Y99/H99,0)*0.01898),"")</f>
        <v>5.6940000000000004E-2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30.100925925925928</v>
      </c>
      <c r="BN99" s="64">
        <f>IFERROR(Y99*I99/H99,"0")</f>
        <v>33.630000000000003</v>
      </c>
      <c r="BO99" s="64">
        <f>IFERROR(1/J99*(X99/H99),"0")</f>
        <v>4.1956018518518517E-2</v>
      </c>
      <c r="BP99" s="64">
        <f>IFERROR(1/J99*(Y99/H99),"0")</f>
        <v>4.6875000000000007E-2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23</v>
      </c>
      <c r="Y100" s="542">
        <f>IFERROR(IF(X100="",0,CEILING((X100/$H100),1)*$H100),"")</f>
        <v>26.25</v>
      </c>
      <c r="Z100" s="36">
        <f>IFERROR(IF(Y100=0,"",ROUNDUP(Y100/H100,0)*0.00902),"")</f>
        <v>6.3140000000000002E-2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24.165333333333333</v>
      </c>
      <c r="BN100" s="64">
        <f>IFERROR(Y100*I100/H100,"0")</f>
        <v>27.58</v>
      </c>
      <c r="BO100" s="64">
        <f>IFERROR(1/J100*(X100/H100),"0")</f>
        <v>4.6464646464646472E-2</v>
      </c>
      <c r="BP100" s="64">
        <f>IFERROR(1/J100*(Y100/H100),"0")</f>
        <v>5.3030303030303032E-2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113</v>
      </c>
      <c r="Y101" s="542">
        <f>IFERROR(IF(X101="",0,CEILING((X101/$H101),1)*$H101),"")</f>
        <v>117</v>
      </c>
      <c r="Z101" s="36">
        <f>IFERROR(IF(Y101=0,"",ROUNDUP(Y101/H101,0)*0.00902),"")</f>
        <v>0.23452000000000001</v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117.77111111111111</v>
      </c>
      <c r="BN101" s="64">
        <f>IFERROR(Y101*I101/H101,"0")</f>
        <v>121.94</v>
      </c>
      <c r="BO101" s="64">
        <f>IFERROR(1/J101*(X101/H101),"0")</f>
        <v>0.19023569023569023</v>
      </c>
      <c r="BP101" s="64">
        <f>IFERROR(1/J101*(Y101/H101),"0")</f>
        <v>0.19696969696969696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5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57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33.92962962962963</v>
      </c>
      <c r="Y103" s="543">
        <f>IFERROR(Y99/H99,"0")+IFERROR(Y100/H100,"0")+IFERROR(Y101/H101,"0")+IFERROR(Y102/H102,"0")</f>
        <v>36</v>
      </c>
      <c r="Z103" s="543">
        <f>IFERROR(IF(Z99="",0,Z99),"0")+IFERROR(IF(Z100="",0,Z100),"0")+IFERROR(IF(Z101="",0,Z101),"0")+IFERROR(IF(Z102="",0,Z102),"0")</f>
        <v>0.35460000000000003</v>
      </c>
      <c r="AA103" s="544"/>
      <c r="AB103" s="544"/>
      <c r="AC103" s="544"/>
    </row>
    <row r="104" spans="1:68" x14ac:dyDescent="0.2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7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165</v>
      </c>
      <c r="Y104" s="543">
        <f>IFERROR(SUM(Y99:Y102),"0")</f>
        <v>175.65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8</v>
      </c>
      <c r="Y107" s="542">
        <f>IFERROR(IF(X107="",0,CEILING((X107/$H107),1)*$H107),"")</f>
        <v>9.6</v>
      </c>
      <c r="Z107" s="36">
        <f>IFERROR(IF(Y107=0,"",ROUNDUP(Y107/H107,0)*0.00502),"")</f>
        <v>2.0080000000000001E-2</v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8.3333333333333339</v>
      </c>
      <c r="BN107" s="64">
        <f>IFERROR(Y107*I107/H107,"0")</f>
        <v>10</v>
      </c>
      <c r="BO107" s="64">
        <f>IFERROR(1/J107*(X107/H107),"0")</f>
        <v>1.4245014245014247E-2</v>
      </c>
      <c r="BP107" s="64">
        <f>IFERROR(1/J107*(Y107/H107),"0")</f>
        <v>1.7094017094017096E-2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5"/>
      <c r="B109" s="556"/>
      <c r="C109" s="556"/>
      <c r="D109" s="556"/>
      <c r="E109" s="556"/>
      <c r="F109" s="556"/>
      <c r="G109" s="556"/>
      <c r="H109" s="556"/>
      <c r="I109" s="556"/>
      <c r="J109" s="556"/>
      <c r="K109" s="556"/>
      <c r="L109" s="556"/>
      <c r="M109" s="556"/>
      <c r="N109" s="556"/>
      <c r="O109" s="557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3.3333333333333335</v>
      </c>
      <c r="Y109" s="543">
        <f>IFERROR(Y106/H106,"0")+IFERROR(Y107/H107,"0")+IFERROR(Y108/H108,"0")</f>
        <v>4</v>
      </c>
      <c r="Z109" s="543">
        <f>IFERROR(IF(Z106="",0,Z106),"0")+IFERROR(IF(Z107="",0,Z107),"0")+IFERROR(IF(Z108="",0,Z108),"0")</f>
        <v>2.0080000000000001E-2</v>
      </c>
      <c r="AA109" s="544"/>
      <c r="AB109" s="544"/>
      <c r="AC109" s="544"/>
    </row>
    <row r="110" spans="1:68" x14ac:dyDescent="0.2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7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8</v>
      </c>
      <c r="Y110" s="543">
        <f>IFERROR(SUM(Y106:Y108),"0")</f>
        <v>9.6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6"/>
      <c r="P111" s="556"/>
      <c r="Q111" s="556"/>
      <c r="R111" s="556"/>
      <c r="S111" s="556"/>
      <c r="T111" s="556"/>
      <c r="U111" s="556"/>
      <c r="V111" s="556"/>
      <c r="W111" s="556"/>
      <c r="X111" s="556"/>
      <c r="Y111" s="556"/>
      <c r="Z111" s="556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77</v>
      </c>
      <c r="Y112" s="542">
        <f>IFERROR(IF(X112="",0,CEILING((X112/$H112),1)*$H112),"")</f>
        <v>81</v>
      </c>
      <c r="Z112" s="36">
        <f>IFERROR(IF(Y112=0,"",ROUNDUP(Y112/H112,0)*0.01898),"")</f>
        <v>0.1898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81.639012345679006</v>
      </c>
      <c r="BN112" s="64">
        <f>IFERROR(Y112*I112/H112,"0")</f>
        <v>85.88</v>
      </c>
      <c r="BO112" s="64">
        <f>IFERROR(1/J112*(X112/H112),"0")</f>
        <v>0.14853395061728394</v>
      </c>
      <c r="BP112" s="64">
        <f>IFERROR(1/J112*(Y112/H112),"0")</f>
        <v>0.15625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140</v>
      </c>
      <c r="Y114" s="542">
        <f>IFERROR(IF(X114="",0,CEILING((X114/$H114),1)*$H114),"")</f>
        <v>140.4</v>
      </c>
      <c r="Z114" s="36">
        <f>IFERROR(IF(Y114=0,"",ROUNDUP(Y114/H114,0)*0.00651),"")</f>
        <v>0.33851999999999999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153.06666666666663</v>
      </c>
      <c r="BN114" s="64">
        <f>IFERROR(Y114*I114/H114,"0")</f>
        <v>153.50399999999999</v>
      </c>
      <c r="BO114" s="64">
        <f>IFERROR(1/J114*(X114/H114),"0")</f>
        <v>0.28490028490028491</v>
      </c>
      <c r="BP114" s="64">
        <f>IFERROR(1/J114*(Y114/H114),"0")</f>
        <v>0.28571428571428575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5"/>
      <c r="B116" s="556"/>
      <c r="C116" s="556"/>
      <c r="D116" s="556"/>
      <c r="E116" s="556"/>
      <c r="F116" s="556"/>
      <c r="G116" s="556"/>
      <c r="H116" s="556"/>
      <c r="I116" s="556"/>
      <c r="J116" s="556"/>
      <c r="K116" s="556"/>
      <c r="L116" s="556"/>
      <c r="M116" s="556"/>
      <c r="N116" s="556"/>
      <c r="O116" s="557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61.358024691358018</v>
      </c>
      <c r="Y116" s="543">
        <f>IFERROR(Y112/H112,"0")+IFERROR(Y113/H113,"0")+IFERROR(Y114/H114,"0")+IFERROR(Y115/H115,"0")</f>
        <v>62</v>
      </c>
      <c r="Z116" s="543">
        <f>IFERROR(IF(Z112="",0,Z112),"0")+IFERROR(IF(Z113="",0,Z113),"0")+IFERROR(IF(Z114="",0,Z114),"0")+IFERROR(IF(Z115="",0,Z115),"0")</f>
        <v>0.52832000000000001</v>
      </c>
      <c r="AA116" s="544"/>
      <c r="AB116" s="544"/>
      <c r="AC116" s="544"/>
    </row>
    <row r="117" spans="1:68" x14ac:dyDescent="0.2">
      <c r="A117" s="556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7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217</v>
      </c>
      <c r="Y117" s="543">
        <f>IFERROR(SUM(Y112:Y115),"0")</f>
        <v>221.4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6"/>
      <c r="P118" s="556"/>
      <c r="Q118" s="556"/>
      <c r="R118" s="556"/>
      <c r="S118" s="556"/>
      <c r="T118" s="556"/>
      <c r="U118" s="556"/>
      <c r="V118" s="556"/>
      <c r="W118" s="556"/>
      <c r="X118" s="556"/>
      <c r="Y118" s="556"/>
      <c r="Z118" s="556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5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7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7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36"/>
      <c r="AB122" s="536"/>
      <c r="AC122" s="536"/>
    </row>
    <row r="123" spans="1:68" ht="14.25" customHeight="1" x14ac:dyDescent="0.25">
      <c r="A123" s="558" t="s">
        <v>101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52</v>
      </c>
      <c r="Y124" s="542">
        <f>IFERROR(IF(X124="",0,CEILING((X124/$H124),1)*$H124),"")</f>
        <v>54.400000000000006</v>
      </c>
      <c r="Z124" s="36">
        <f>IFERROR(IF(Y124=0,"",ROUNDUP(Y124/H124,0)*0.00651),"")</f>
        <v>0.11067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54.924999999999997</v>
      </c>
      <c r="BN124" s="64">
        <f>IFERROR(Y124*I124/H124,"0")</f>
        <v>57.46</v>
      </c>
      <c r="BO124" s="64">
        <f>IFERROR(1/J124*(X124/H124),"0")</f>
        <v>8.9285714285714288E-2</v>
      </c>
      <c r="BP124" s="64">
        <f>IFERROR(1/J124*(Y124/H124),"0")</f>
        <v>9.3406593406593408E-2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5"/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7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16.25</v>
      </c>
      <c r="Y126" s="543">
        <f>IFERROR(Y124/H124,"0")+IFERROR(Y125/H125,"0")</f>
        <v>17</v>
      </c>
      <c r="Z126" s="543">
        <f>IFERROR(IF(Z124="",0,Z124),"0")+IFERROR(IF(Z125="",0,Z125),"0")</f>
        <v>0.11067</v>
      </c>
      <c r="AA126" s="544"/>
      <c r="AB126" s="544"/>
      <c r="AC126" s="544"/>
    </row>
    <row r="127" spans="1:68" x14ac:dyDescent="0.2">
      <c r="A127" s="556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7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52</v>
      </c>
      <c r="Y127" s="543">
        <f>IFERROR(SUM(Y124:Y125),"0")</f>
        <v>54.400000000000006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6"/>
      <c r="P128" s="556"/>
      <c r="Q128" s="556"/>
      <c r="R128" s="556"/>
      <c r="S128" s="556"/>
      <c r="T128" s="556"/>
      <c r="U128" s="556"/>
      <c r="V128" s="556"/>
      <c r="W128" s="556"/>
      <c r="X128" s="556"/>
      <c r="Y128" s="556"/>
      <c r="Z128" s="556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61</v>
      </c>
      <c r="Y130" s="542">
        <f>IFERROR(IF(X130="",0,CEILING((X130/$H130),1)*$H130),"")</f>
        <v>61.599999999999994</v>
      </c>
      <c r="Z130" s="36">
        <f>IFERROR(IF(Y130=0,"",ROUNDUP(Y130/H130,0)*0.00651),"")</f>
        <v>0.14322000000000001</v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66.838571428571427</v>
      </c>
      <c r="BN130" s="64">
        <f>IFERROR(Y130*I130/H130,"0")</f>
        <v>67.496000000000009</v>
      </c>
      <c r="BO130" s="64">
        <f>IFERROR(1/J130*(X130/H130),"0")</f>
        <v>0.11970172684458401</v>
      </c>
      <c r="BP130" s="64">
        <f>IFERROR(1/J130*(Y130/H130),"0")</f>
        <v>0.12087912087912089</v>
      </c>
    </row>
    <row r="131" spans="1:68" x14ac:dyDescent="0.2">
      <c r="A131" s="555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7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21.785714285714288</v>
      </c>
      <c r="Y131" s="543">
        <f>IFERROR(Y129/H129,"0")+IFERROR(Y130/H130,"0")</f>
        <v>22</v>
      </c>
      <c r="Z131" s="543">
        <f>IFERROR(IF(Z129="",0,Z129),"0")+IFERROR(IF(Z130="",0,Z130),"0")</f>
        <v>0.14322000000000001</v>
      </c>
      <c r="AA131" s="544"/>
      <c r="AB131" s="544"/>
      <c r="AC131" s="544"/>
    </row>
    <row r="132" spans="1:68" x14ac:dyDescent="0.2">
      <c r="A132" s="556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7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61</v>
      </c>
      <c r="Y132" s="543">
        <f>IFERROR(SUM(Y129:Y130),"0")</f>
        <v>61.599999999999994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6"/>
      <c r="P133" s="556"/>
      <c r="Q133" s="556"/>
      <c r="R133" s="556"/>
      <c r="S133" s="556"/>
      <c r="T133" s="556"/>
      <c r="U133" s="556"/>
      <c r="V133" s="556"/>
      <c r="W133" s="556"/>
      <c r="X133" s="556"/>
      <c r="Y133" s="556"/>
      <c r="Z133" s="556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56</v>
      </c>
      <c r="Y135" s="542">
        <f>IFERROR(IF(X135="",0,CEILING((X135/$H135),1)*$H135),"")</f>
        <v>58.080000000000005</v>
      </c>
      <c r="Z135" s="36">
        <f>IFERROR(IF(Y135=0,"",ROUNDUP(Y135/H135,0)*0.00651),"")</f>
        <v>0.14322000000000001</v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61.684848484848473</v>
      </c>
      <c r="BN135" s="64">
        <f>IFERROR(Y135*I135/H135,"0")</f>
        <v>63.976000000000006</v>
      </c>
      <c r="BO135" s="64">
        <f>IFERROR(1/J135*(X135/H135),"0")</f>
        <v>0.11655011655011656</v>
      </c>
      <c r="BP135" s="64">
        <f>IFERROR(1/J135*(Y135/H135),"0")</f>
        <v>0.12087912087912089</v>
      </c>
    </row>
    <row r="136" spans="1:68" x14ac:dyDescent="0.2">
      <c r="A136" s="555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7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21.212121212121211</v>
      </c>
      <c r="Y136" s="543">
        <f>IFERROR(Y134/H134,"0")+IFERROR(Y135/H135,"0")</f>
        <v>22</v>
      </c>
      <c r="Z136" s="543">
        <f>IFERROR(IF(Z134="",0,Z134),"0")+IFERROR(IF(Z135="",0,Z135),"0")</f>
        <v>0.14322000000000001</v>
      </c>
      <c r="AA136" s="544"/>
      <c r="AB136" s="544"/>
      <c r="AC136" s="544"/>
    </row>
    <row r="137" spans="1:68" x14ac:dyDescent="0.2">
      <c r="A137" s="556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7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56</v>
      </c>
      <c r="Y137" s="543">
        <f>IFERROR(SUM(Y134:Y135),"0")</f>
        <v>58.080000000000005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6"/>
      <c r="P138" s="556"/>
      <c r="Q138" s="556"/>
      <c r="R138" s="556"/>
      <c r="S138" s="556"/>
      <c r="T138" s="556"/>
      <c r="U138" s="556"/>
      <c r="V138" s="556"/>
      <c r="W138" s="556"/>
      <c r="X138" s="556"/>
      <c r="Y138" s="556"/>
      <c r="Z138" s="556"/>
      <c r="AA138" s="536"/>
      <c r="AB138" s="536"/>
      <c r="AC138" s="536"/>
    </row>
    <row r="139" spans="1:68" ht="14.25" customHeight="1" x14ac:dyDescent="0.25">
      <c r="A139" s="558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80</v>
      </c>
      <c r="Y141" s="542">
        <f>IFERROR(IF(X141="",0,CEILING((X141/$H141),1)*$H141),"")</f>
        <v>80</v>
      </c>
      <c r="Z141" s="36">
        <f>IFERROR(IF(Y141=0,"",ROUNDUP(Y141/H141,0)*0.00902),"")</f>
        <v>0.1804</v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83.800000000000011</v>
      </c>
      <c r="BN141" s="64">
        <f>IFERROR(Y141*I141/H141,"0")</f>
        <v>83.800000000000011</v>
      </c>
      <c r="BO141" s="64">
        <f>IFERROR(1/J141*(X141/H141),"0")</f>
        <v>0.15151515151515152</v>
      </c>
      <c r="BP141" s="64">
        <f>IFERROR(1/J141*(Y141/H141),"0")</f>
        <v>0.15151515151515152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5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5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7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20</v>
      </c>
      <c r="Y143" s="543">
        <f>IFERROR(Y140/H140,"0")+IFERROR(Y141/H141,"0")+IFERROR(Y142/H142,"0")</f>
        <v>20</v>
      </c>
      <c r="Z143" s="543">
        <f>IFERROR(IF(Z140="",0,Z140),"0")+IFERROR(IF(Z141="",0,Z141),"0")+IFERROR(IF(Z142="",0,Z142),"0")</f>
        <v>0.1804</v>
      </c>
      <c r="AA143" s="544"/>
      <c r="AB143" s="544"/>
      <c r="AC143" s="544"/>
    </row>
    <row r="144" spans="1:68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7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80</v>
      </c>
      <c r="Y144" s="543">
        <f>IFERROR(SUM(Y140:Y142),"0")</f>
        <v>80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2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2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5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7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7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5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7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7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3" t="s">
        <v>255</v>
      </c>
      <c r="B155" s="634"/>
      <c r="C155" s="634"/>
      <c r="D155" s="634"/>
      <c r="E155" s="634"/>
      <c r="F155" s="634"/>
      <c r="G155" s="634"/>
      <c r="H155" s="634"/>
      <c r="I155" s="634"/>
      <c r="J155" s="634"/>
      <c r="K155" s="634"/>
      <c r="L155" s="634"/>
      <c r="M155" s="634"/>
      <c r="N155" s="634"/>
      <c r="O155" s="634"/>
      <c r="P155" s="634"/>
      <c r="Q155" s="634"/>
      <c r="R155" s="634"/>
      <c r="S155" s="634"/>
      <c r="T155" s="634"/>
      <c r="U155" s="634"/>
      <c r="V155" s="634"/>
      <c r="W155" s="634"/>
      <c r="X155" s="634"/>
      <c r="Y155" s="634"/>
      <c r="Z155" s="634"/>
      <c r="AA155" s="48"/>
      <c r="AB155" s="48"/>
      <c r="AC155" s="48"/>
    </row>
    <row r="156" spans="1:68" ht="16.5" customHeight="1" x14ac:dyDescent="0.25">
      <c r="A156" s="559" t="s">
        <v>256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6"/>
      <c r="AB156" s="536"/>
      <c r="AC156" s="536"/>
    </row>
    <row r="157" spans="1:68" ht="14.25" customHeight="1" x14ac:dyDescent="0.25">
      <c r="A157" s="558" t="s">
        <v>136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5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7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7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8">
        <v>4680115880993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8">
        <v>4680115881761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8">
        <v>4680115881563</v>
      </c>
      <c r="E164" s="549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7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8">
        <v>4680115880986</v>
      </c>
      <c r="E165" s="549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87</v>
      </c>
      <c r="Y165" s="542">
        <f t="shared" si="5"/>
        <v>88.2</v>
      </c>
      <c r="Z165" s="36">
        <f>IFERROR(IF(Y165=0,"",ROUNDUP(Y165/H165,0)*0.00502),"")</f>
        <v>0.21084</v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92.385714285714272</v>
      </c>
      <c r="BN165" s="64">
        <f t="shared" si="7"/>
        <v>93.66</v>
      </c>
      <c r="BO165" s="64">
        <f t="shared" si="8"/>
        <v>0.17704517704517705</v>
      </c>
      <c r="BP165" s="64">
        <f t="shared" si="9"/>
        <v>0.17948717948717952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58</v>
      </c>
      <c r="Y166" s="542">
        <f t="shared" si="5"/>
        <v>58.800000000000004</v>
      </c>
      <c r="Z166" s="36">
        <f>IFERROR(IF(Y166=0,"",ROUNDUP(Y166/H166,0)*0.00502),"")</f>
        <v>0.14056000000000002</v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61.590476190476188</v>
      </c>
      <c r="BN166" s="64">
        <f t="shared" si="7"/>
        <v>62.44</v>
      </c>
      <c r="BO166" s="64">
        <f t="shared" si="8"/>
        <v>0.11803011803011804</v>
      </c>
      <c r="BP166" s="64">
        <f t="shared" si="9"/>
        <v>0.11965811965811968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59</v>
      </c>
      <c r="Y168" s="542">
        <f t="shared" si="5"/>
        <v>60.900000000000006</v>
      </c>
      <c r="Z168" s="36">
        <f>IFERROR(IF(Y168=0,"",ROUNDUP(Y168/H168,0)*0.00502),"")</f>
        <v>0.14558000000000001</v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61.80952380952381</v>
      </c>
      <c r="BN168" s="64">
        <f t="shared" si="7"/>
        <v>63.800000000000004</v>
      </c>
      <c r="BO168" s="64">
        <f t="shared" si="8"/>
        <v>0.12006512006512007</v>
      </c>
      <c r="BP168" s="64">
        <f t="shared" si="9"/>
        <v>0.12393162393162395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5"/>
      <c r="B171" s="556"/>
      <c r="C171" s="556"/>
      <c r="D171" s="556"/>
      <c r="E171" s="556"/>
      <c r="F171" s="556"/>
      <c r="G171" s="556"/>
      <c r="H171" s="556"/>
      <c r="I171" s="556"/>
      <c r="J171" s="556"/>
      <c r="K171" s="556"/>
      <c r="L171" s="556"/>
      <c r="M171" s="556"/>
      <c r="N171" s="556"/>
      <c r="O171" s="557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97.142857142857139</v>
      </c>
      <c r="Y171" s="543">
        <f>IFERROR(Y162/H162,"0")+IFERROR(Y163/H163,"0")+IFERROR(Y164/H164,"0")+IFERROR(Y165/H165,"0")+IFERROR(Y166/H166,"0")+IFERROR(Y167/H167,"0")+IFERROR(Y168/H168,"0")+IFERROR(Y169/H169,"0")+IFERROR(Y170/H170,"0")</f>
        <v>99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0.49698000000000009</v>
      </c>
      <c r="AA171" s="544"/>
      <c r="AB171" s="544"/>
      <c r="AC171" s="544"/>
    </row>
    <row r="172" spans="1:68" x14ac:dyDescent="0.2">
      <c r="A172" s="556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7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IFERROR(SUM(X162:X170),"0")</f>
        <v>204</v>
      </c>
      <c r="Y172" s="543">
        <f>IFERROR(SUM(Y162:Y170),"0")</f>
        <v>207.9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6"/>
      <c r="P173" s="556"/>
      <c r="Q173" s="556"/>
      <c r="R173" s="556"/>
      <c r="S173" s="556"/>
      <c r="T173" s="556"/>
      <c r="U173" s="556"/>
      <c r="V173" s="556"/>
      <c r="W173" s="556"/>
      <c r="X173" s="556"/>
      <c r="Y173" s="556"/>
      <c r="Z173" s="556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8</v>
      </c>
      <c r="Y174" s="542">
        <f>IFERROR(IF(X174="",0,CEILING((X174/$H174),1)*$H174),"")</f>
        <v>8.82</v>
      </c>
      <c r="Z174" s="36">
        <f>IFERROR(IF(Y174=0,"",ROUNDUP(Y174/H174,0)*0.0059),"")</f>
        <v>4.1299999999999996E-2</v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9.2063492063492056</v>
      </c>
      <c r="BN174" s="64">
        <f>IFERROR(Y174*I174/H174,"0")</f>
        <v>10.15</v>
      </c>
      <c r="BO174" s="64">
        <f>IFERROR(1/J174*(X174/H174),"0")</f>
        <v>2.9394473838918279E-2</v>
      </c>
      <c r="BP174" s="64">
        <f>IFERROR(1/J174*(Y174/H174),"0")</f>
        <v>3.2407407407407406E-2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9</v>
      </c>
      <c r="Y175" s="542">
        <f>IFERROR(IF(X175="",0,CEILING((X175/$H175),1)*$H175),"")</f>
        <v>10.08</v>
      </c>
      <c r="Z175" s="36">
        <f>IFERROR(IF(Y175=0,"",ROUNDUP(Y175/H175,0)*0.0059),"")</f>
        <v>4.7199999999999999E-2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10.357142857142856</v>
      </c>
      <c r="BN175" s="64">
        <f>IFERROR(Y175*I175/H175,"0")</f>
        <v>11.6</v>
      </c>
      <c r="BO175" s="64">
        <f>IFERROR(1/J175*(X175/H175),"0")</f>
        <v>3.3068783068783067E-2</v>
      </c>
      <c r="BP175" s="64">
        <f>IFERROR(1/J175*(Y175/H175),"0")</f>
        <v>3.7037037037037035E-2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7</v>
      </c>
      <c r="Y176" s="542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2.5720164609053495E-2</v>
      </c>
      <c r="BP176" s="64">
        <f>IFERROR(1/J176*(Y176/H176),"0")</f>
        <v>2.7777777777777776E-2</v>
      </c>
    </row>
    <row r="177" spans="1:68" x14ac:dyDescent="0.2">
      <c r="A177" s="555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57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19.047619047619047</v>
      </c>
      <c r="Y177" s="543">
        <f>IFERROR(Y174/H174,"0")+IFERROR(Y175/H175,"0")+IFERROR(Y176/H176,"0")</f>
        <v>21</v>
      </c>
      <c r="Z177" s="543">
        <f>IFERROR(IF(Z174="",0,Z174),"0")+IFERROR(IF(Z175="",0,Z175),"0")+IFERROR(IF(Z176="",0,Z176),"0")</f>
        <v>0.1239</v>
      </c>
      <c r="AA177" s="544"/>
      <c r="AB177" s="544"/>
      <c r="AC177" s="544"/>
    </row>
    <row r="178" spans="1:68" x14ac:dyDescent="0.2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7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24</v>
      </c>
      <c r="Y178" s="543">
        <f>IFERROR(SUM(Y174:Y176),"0")</f>
        <v>26.46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4</v>
      </c>
      <c r="Y180" s="542">
        <f>IFERROR(IF(X180="",0,CEILING((X180/$H180),1)*$H180),"")</f>
        <v>5.04</v>
      </c>
      <c r="Z180" s="36">
        <f>IFERROR(IF(Y180=0,"",ROUNDUP(Y180/H180,0)*0.0059),"")</f>
        <v>2.3599999999999999E-2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4.6031746031746028</v>
      </c>
      <c r="BN180" s="64">
        <f>IFERROR(Y180*I180/H180,"0")</f>
        <v>5.8</v>
      </c>
      <c r="BO180" s="64">
        <f>IFERROR(1/J180*(X180/H180),"0")</f>
        <v>1.469723691945914E-2</v>
      </c>
      <c r="BP180" s="64">
        <f>IFERROR(1/J180*(Y180/H180),"0")</f>
        <v>1.8518518518518517E-2</v>
      </c>
    </row>
    <row r="181" spans="1:68" x14ac:dyDescent="0.2">
      <c r="A181" s="555"/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7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3.1746031746031744</v>
      </c>
      <c r="Y181" s="543">
        <f>IFERROR(Y180/H180,"0")</f>
        <v>4</v>
      </c>
      <c r="Z181" s="543">
        <f>IFERROR(IF(Z180="",0,Z180),"0")</f>
        <v>2.3599999999999999E-2</v>
      </c>
      <c r="AA181" s="544"/>
      <c r="AB181" s="544"/>
      <c r="AC181" s="544"/>
    </row>
    <row r="182" spans="1:68" x14ac:dyDescent="0.2">
      <c r="A182" s="556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7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4</v>
      </c>
      <c r="Y182" s="543">
        <f>IFERROR(SUM(Y180:Y180),"0")</f>
        <v>5.04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556"/>
      <c r="V183" s="556"/>
      <c r="W183" s="556"/>
      <c r="X183" s="556"/>
      <c r="Y183" s="556"/>
      <c r="Z183" s="556"/>
      <c r="AA183" s="536"/>
      <c r="AB183" s="536"/>
      <c r="AC183" s="536"/>
    </row>
    <row r="184" spans="1:68" ht="14.25" customHeight="1" x14ac:dyDescent="0.25">
      <c r="A184" s="558" t="s">
        <v>101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5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7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7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5"/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7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6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7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6"/>
      <c r="P194" s="556"/>
      <c r="Q194" s="556"/>
      <c r="R194" s="556"/>
      <c r="S194" s="556"/>
      <c r="T194" s="556"/>
      <c r="U194" s="556"/>
      <c r="V194" s="556"/>
      <c r="W194" s="556"/>
      <c r="X194" s="556"/>
      <c r="Y194" s="556"/>
      <c r="Z194" s="556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7</v>
      </c>
      <c r="Y195" s="542">
        <f t="shared" ref="Y195:Y202" si="10">IFERROR(IF(X195="",0,CEILING((X195/$H195),1)*$H195),"")</f>
        <v>10.8</v>
      </c>
      <c r="Z195" s="36">
        <f>IFERROR(IF(Y195=0,"",ROUNDUP(Y195/H195,0)*0.00902),"")</f>
        <v>1.804E-2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7.2462962962962951</v>
      </c>
      <c r="BN195" s="64">
        <f t="shared" ref="BN195:BN202" si="12">IFERROR(Y195*I195/H195,"0")</f>
        <v>11.18</v>
      </c>
      <c r="BO195" s="64">
        <f t="shared" ref="BO195:BO202" si="13">IFERROR(1/J195*(X195/H195),"0")</f>
        <v>9.8204264870931542E-3</v>
      </c>
      <c r="BP195" s="64">
        <f t="shared" ref="BP195:BP202" si="14">IFERROR(1/J195*(Y195/H195),"0")</f>
        <v>1.5151515151515152E-2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250</v>
      </c>
      <c r="Y197" s="542">
        <f t="shared" si="10"/>
        <v>253.8</v>
      </c>
      <c r="Z197" s="36">
        <f>IFERROR(IF(Y197=0,"",ROUNDUP(Y197/H197,0)*0.00902),"")</f>
        <v>0.42393999999999998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258.7962962962963</v>
      </c>
      <c r="BN197" s="64">
        <f t="shared" si="12"/>
        <v>262.72999999999996</v>
      </c>
      <c r="BO197" s="64">
        <f t="shared" si="13"/>
        <v>0.35072951739618402</v>
      </c>
      <c r="BP197" s="64">
        <f t="shared" si="14"/>
        <v>0.35606060606060608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116</v>
      </c>
      <c r="Y199" s="542">
        <f t="shared" si="10"/>
        <v>117</v>
      </c>
      <c r="Z199" s="36">
        <f>IFERROR(IF(Y199=0,"",ROUNDUP(Y199/H199,0)*0.00502),"")</f>
        <v>0.32630000000000003</v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124.37777777777777</v>
      </c>
      <c r="BN199" s="64">
        <f t="shared" si="12"/>
        <v>125.45</v>
      </c>
      <c r="BO199" s="64">
        <f t="shared" si="13"/>
        <v>0.27540360873694208</v>
      </c>
      <c r="BP199" s="64">
        <f t="shared" si="14"/>
        <v>0.27777777777777779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56</v>
      </c>
      <c r="Y200" s="542">
        <f t="shared" si="10"/>
        <v>57.6</v>
      </c>
      <c r="Z200" s="36">
        <f>IFERROR(IF(Y200=0,"",ROUNDUP(Y200/H200,0)*0.00502),"")</f>
        <v>0.16064000000000001</v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59.111111111111107</v>
      </c>
      <c r="BN200" s="64">
        <f t="shared" si="12"/>
        <v>60.8</v>
      </c>
      <c r="BO200" s="64">
        <f t="shared" si="13"/>
        <v>0.13295346628679963</v>
      </c>
      <c r="BP200" s="64">
        <f t="shared" si="14"/>
        <v>0.13675213675213677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5"/>
      <c r="B203" s="556"/>
      <c r="C203" s="556"/>
      <c r="D203" s="556"/>
      <c r="E203" s="556"/>
      <c r="F203" s="556"/>
      <c r="G203" s="556"/>
      <c r="H203" s="556"/>
      <c r="I203" s="556"/>
      <c r="J203" s="556"/>
      <c r="K203" s="556"/>
      <c r="L203" s="556"/>
      <c r="M203" s="556"/>
      <c r="N203" s="556"/>
      <c r="O203" s="557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143.14814814814815</v>
      </c>
      <c r="Y203" s="543">
        <f>IFERROR(Y195/H195,"0")+IFERROR(Y196/H196,"0")+IFERROR(Y197/H197,"0")+IFERROR(Y198/H198,"0")+IFERROR(Y199/H199,"0")+IFERROR(Y200/H200,"0")+IFERROR(Y201/H201,"0")+IFERROR(Y202/H202,"0")</f>
        <v>146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0.92892000000000008</v>
      </c>
      <c r="AA203" s="544"/>
      <c r="AB203" s="544"/>
      <c r="AC203" s="544"/>
    </row>
    <row r="204" spans="1:68" x14ac:dyDescent="0.2">
      <c r="A204" s="556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7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429</v>
      </c>
      <c r="Y204" s="543">
        <f>IFERROR(SUM(Y195:Y202),"0")</f>
        <v>439.20000000000005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556"/>
      <c r="V205" s="556"/>
      <c r="W205" s="556"/>
      <c r="X205" s="556"/>
      <c r="Y205" s="556"/>
      <c r="Z205" s="556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134</v>
      </c>
      <c r="Y209" s="542">
        <f t="shared" si="15"/>
        <v>134.4</v>
      </c>
      <c r="Z209" s="36">
        <f t="shared" ref="Z209:Z214" si="20">IFERROR(IF(Y209=0,"",ROUNDUP(Y209/H209,0)*0.00651),"")</f>
        <v>0.36456</v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149.07499999999999</v>
      </c>
      <c r="BN209" s="64">
        <f t="shared" si="17"/>
        <v>149.52000000000001</v>
      </c>
      <c r="BO209" s="64">
        <f t="shared" si="18"/>
        <v>0.3067765567765568</v>
      </c>
      <c r="BP209" s="64">
        <f t="shared" si="19"/>
        <v>0.30769230769230776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198</v>
      </c>
      <c r="Y211" s="542">
        <f t="shared" si="15"/>
        <v>199.2</v>
      </c>
      <c r="Z211" s="36">
        <f t="shared" si="20"/>
        <v>0.54032999999999998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218.79000000000002</v>
      </c>
      <c r="BN211" s="64">
        <f t="shared" si="17"/>
        <v>220.11600000000001</v>
      </c>
      <c r="BO211" s="64">
        <f t="shared" si="18"/>
        <v>0.45329670329670335</v>
      </c>
      <c r="BP211" s="64">
        <f t="shared" si="19"/>
        <v>0.45604395604395609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161</v>
      </c>
      <c r="Y212" s="542">
        <f t="shared" si="15"/>
        <v>163.19999999999999</v>
      </c>
      <c r="Z212" s="36">
        <f t="shared" si="20"/>
        <v>0.44268000000000002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177.90500000000003</v>
      </c>
      <c r="BN212" s="64">
        <f t="shared" si="17"/>
        <v>180.33600000000001</v>
      </c>
      <c r="BO212" s="64">
        <f t="shared" si="18"/>
        <v>0.36858974358974367</v>
      </c>
      <c r="BP212" s="64">
        <f t="shared" si="19"/>
        <v>0.37362637362637363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88</v>
      </c>
      <c r="Y214" s="542">
        <f t="shared" si="15"/>
        <v>88.8</v>
      </c>
      <c r="Z214" s="36">
        <f t="shared" si="20"/>
        <v>0.24087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97.460000000000008</v>
      </c>
      <c r="BN214" s="64">
        <f t="shared" si="17"/>
        <v>98.346000000000004</v>
      </c>
      <c r="BO214" s="64">
        <f t="shared" si="18"/>
        <v>0.2014652014652015</v>
      </c>
      <c r="BP214" s="64">
        <f t="shared" si="19"/>
        <v>0.20329670329670332</v>
      </c>
    </row>
    <row r="215" spans="1:68" x14ac:dyDescent="0.2">
      <c r="A215" s="555"/>
      <c r="B215" s="556"/>
      <c r="C215" s="556"/>
      <c r="D215" s="556"/>
      <c r="E215" s="556"/>
      <c r="F215" s="556"/>
      <c r="G215" s="556"/>
      <c r="H215" s="556"/>
      <c r="I215" s="556"/>
      <c r="J215" s="556"/>
      <c r="K215" s="556"/>
      <c r="L215" s="556"/>
      <c r="M215" s="556"/>
      <c r="N215" s="556"/>
      <c r="O215" s="557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242.08333333333337</v>
      </c>
      <c r="Y215" s="543">
        <f>IFERROR(Y206/H206,"0")+IFERROR(Y207/H207,"0")+IFERROR(Y208/H208,"0")+IFERROR(Y209/H209,"0")+IFERROR(Y210/H210,"0")+IFERROR(Y211/H211,"0")+IFERROR(Y212/H212,"0")+IFERROR(Y213/H213,"0")+IFERROR(Y214/H214,"0")</f>
        <v>244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1.5884399999999999</v>
      </c>
      <c r="AA215" s="544"/>
      <c r="AB215" s="544"/>
      <c r="AC215" s="544"/>
    </row>
    <row r="216" spans="1:68" x14ac:dyDescent="0.2">
      <c r="A216" s="556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7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581</v>
      </c>
      <c r="Y216" s="543">
        <f>IFERROR(SUM(Y206:Y214),"0")</f>
        <v>585.6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6"/>
      <c r="P217" s="556"/>
      <c r="Q217" s="556"/>
      <c r="R217" s="556"/>
      <c r="S217" s="556"/>
      <c r="T217" s="556"/>
      <c r="U217" s="556"/>
      <c r="V217" s="556"/>
      <c r="W217" s="556"/>
      <c r="X217" s="556"/>
      <c r="Y217" s="556"/>
      <c r="Z217" s="556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31</v>
      </c>
      <c r="Y219" s="542">
        <f>IFERROR(IF(X219="",0,CEILING((X219/$H219),1)*$H219),"")</f>
        <v>31.2</v>
      </c>
      <c r="Z219" s="36">
        <f>IFERROR(IF(Y219=0,"",ROUNDUP(Y219/H219,0)*0.00651),"")</f>
        <v>8.4629999999999997E-2</v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34.255000000000003</v>
      </c>
      <c r="BN219" s="64">
        <f>IFERROR(Y219*I219/H219,"0")</f>
        <v>34.476000000000006</v>
      </c>
      <c r="BO219" s="64">
        <f>IFERROR(1/J219*(X219/H219),"0")</f>
        <v>7.0970695970695982E-2</v>
      </c>
      <c r="BP219" s="64">
        <f>IFERROR(1/J219*(Y219/H219),"0")</f>
        <v>7.1428571428571438E-2</v>
      </c>
    </row>
    <row r="220" spans="1:68" x14ac:dyDescent="0.2">
      <c r="A220" s="555"/>
      <c r="B220" s="556"/>
      <c r="C220" s="556"/>
      <c r="D220" s="556"/>
      <c r="E220" s="556"/>
      <c r="F220" s="556"/>
      <c r="G220" s="556"/>
      <c r="H220" s="556"/>
      <c r="I220" s="556"/>
      <c r="J220" s="556"/>
      <c r="K220" s="556"/>
      <c r="L220" s="556"/>
      <c r="M220" s="556"/>
      <c r="N220" s="556"/>
      <c r="O220" s="557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12.916666666666668</v>
      </c>
      <c r="Y220" s="543">
        <f>IFERROR(Y218/H218,"0")+IFERROR(Y219/H219,"0")</f>
        <v>13</v>
      </c>
      <c r="Z220" s="543">
        <f>IFERROR(IF(Z218="",0,Z218),"0")+IFERROR(IF(Z219="",0,Z219),"0")</f>
        <v>8.4629999999999997E-2</v>
      </c>
      <c r="AA220" s="544"/>
      <c r="AB220" s="544"/>
      <c r="AC220" s="544"/>
    </row>
    <row r="221" spans="1:68" x14ac:dyDescent="0.2">
      <c r="A221" s="556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7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31</v>
      </c>
      <c r="Y221" s="543">
        <f>IFERROR(SUM(Y218:Y219),"0")</f>
        <v>31.2</v>
      </c>
      <c r="Z221" s="37"/>
      <c r="AA221" s="544"/>
      <c r="AB221" s="544"/>
      <c r="AC221" s="544"/>
    </row>
    <row r="222" spans="1:68" ht="16.5" customHeight="1" x14ac:dyDescent="0.25">
      <c r="A222" s="559" t="s">
        <v>357</v>
      </c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6"/>
      <c r="P222" s="556"/>
      <c r="Q222" s="556"/>
      <c r="R222" s="556"/>
      <c r="S222" s="556"/>
      <c r="T222" s="556"/>
      <c r="U222" s="556"/>
      <c r="V222" s="556"/>
      <c r="W222" s="556"/>
      <c r="X222" s="556"/>
      <c r="Y222" s="556"/>
      <c r="Z222" s="556"/>
      <c r="AA222" s="536"/>
      <c r="AB222" s="536"/>
      <c r="AC222" s="536"/>
    </row>
    <row r="223" spans="1:68" ht="14.25" customHeight="1" x14ac:dyDescent="0.25">
      <c r="A223" s="558" t="s">
        <v>101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5"/>
      <c r="B234" s="556"/>
      <c r="C234" s="556"/>
      <c r="D234" s="556"/>
      <c r="E234" s="556"/>
      <c r="F234" s="556"/>
      <c r="G234" s="556"/>
      <c r="H234" s="556"/>
      <c r="I234" s="556"/>
      <c r="J234" s="556"/>
      <c r="K234" s="556"/>
      <c r="L234" s="556"/>
      <c r="M234" s="556"/>
      <c r="N234" s="556"/>
      <c r="O234" s="557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6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7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6"/>
      <c r="P236" s="556"/>
      <c r="Q236" s="556"/>
      <c r="R236" s="556"/>
      <c r="S236" s="556"/>
      <c r="T236" s="556"/>
      <c r="U236" s="556"/>
      <c r="V236" s="556"/>
      <c r="W236" s="556"/>
      <c r="X236" s="556"/>
      <c r="Y236" s="556"/>
      <c r="Z236" s="556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5"/>
      <c r="B238" s="556"/>
      <c r="C238" s="556"/>
      <c r="D238" s="556"/>
      <c r="E238" s="556"/>
      <c r="F238" s="556"/>
      <c r="G238" s="556"/>
      <c r="H238" s="556"/>
      <c r="I238" s="556"/>
      <c r="J238" s="556"/>
      <c r="K238" s="556"/>
      <c r="L238" s="556"/>
      <c r="M238" s="556"/>
      <c r="N238" s="556"/>
      <c r="O238" s="557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6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7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383</v>
      </c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6"/>
      <c r="P240" s="556"/>
      <c r="Q240" s="556"/>
      <c r="R240" s="556"/>
      <c r="S240" s="556"/>
      <c r="T240" s="556"/>
      <c r="U240" s="556"/>
      <c r="V240" s="556"/>
      <c r="W240" s="556"/>
      <c r="X240" s="556"/>
      <c r="Y240" s="556"/>
      <c r="Z240" s="556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7</v>
      </c>
      <c r="Y241" s="542">
        <f>IFERROR(IF(X241="",0,CEILING((X241/$H241),1)*$H241),"")</f>
        <v>7.2</v>
      </c>
      <c r="Z241" s="36">
        <f>IFERROR(IF(Y241=0,"",ROUNDUP(Y241/H241,0)*0.0059),"")</f>
        <v>2.3599999999999999E-2</v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7.6805555555555562</v>
      </c>
      <c r="BN241" s="64">
        <f>IFERROR(Y241*I241/H241,"0")</f>
        <v>7.9</v>
      </c>
      <c r="BO241" s="64">
        <f>IFERROR(1/J241*(X241/H241),"0")</f>
        <v>1.8004115226337446E-2</v>
      </c>
      <c r="BP241" s="64">
        <f>IFERROR(1/J241*(Y241/H241),"0")</f>
        <v>1.8518518518518517E-2</v>
      </c>
    </row>
    <row r="242" spans="1:68" x14ac:dyDescent="0.2">
      <c r="A242" s="555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7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3.8888888888888888</v>
      </c>
      <c r="Y242" s="543">
        <f>IFERROR(Y241/H241,"0")</f>
        <v>4</v>
      </c>
      <c r="Z242" s="543">
        <f>IFERROR(IF(Z241="",0,Z241),"0")</f>
        <v>2.3599999999999999E-2</v>
      </c>
      <c r="AA242" s="544"/>
      <c r="AB242" s="544"/>
      <c r="AC242" s="544"/>
    </row>
    <row r="243" spans="1:68" x14ac:dyDescent="0.2">
      <c r="A243" s="556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7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7</v>
      </c>
      <c r="Y243" s="543">
        <f>IFERROR(SUM(Y241:Y241),"0")</f>
        <v>7.2</v>
      </c>
      <c r="Z243" s="37"/>
      <c r="AA243" s="544"/>
      <c r="AB243" s="544"/>
      <c r="AC243" s="544"/>
    </row>
    <row r="244" spans="1:68" ht="14.25" customHeight="1" x14ac:dyDescent="0.25">
      <c r="A244" s="558" t="s">
        <v>387</v>
      </c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6"/>
      <c r="P244" s="556"/>
      <c r="Q244" s="556"/>
      <c r="R244" s="556"/>
      <c r="S244" s="556"/>
      <c r="T244" s="556"/>
      <c r="U244" s="556"/>
      <c r="V244" s="556"/>
      <c r="W244" s="556"/>
      <c r="X244" s="556"/>
      <c r="Y244" s="556"/>
      <c r="Z244" s="556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2</v>
      </c>
      <c r="Y247" s="542">
        <f>IFERROR(IF(X247="",0,CEILING((X247/$H247),1)*$H247),"")</f>
        <v>2.7</v>
      </c>
      <c r="Z247" s="36">
        <f>IFERROR(IF(Y247=0,"",ROUNDUP(Y247/H247,0)*0.0059),"")</f>
        <v>1.77E-2</v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2.4222222222222225</v>
      </c>
      <c r="BN247" s="64">
        <f>IFERROR(Y247*I247/H247,"0")</f>
        <v>3.2700000000000005</v>
      </c>
      <c r="BO247" s="64">
        <f>IFERROR(1/J247*(X247/H247),"0")</f>
        <v>1.0288065843621399E-2</v>
      </c>
      <c r="BP247" s="64">
        <f>IFERROR(1/J247*(Y247/H247),"0")</f>
        <v>1.3888888888888888E-2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4</v>
      </c>
      <c r="Y248" s="542">
        <f>IFERROR(IF(X248="",0,CEILING((X248/$H248),1)*$H248),"")</f>
        <v>4.95</v>
      </c>
      <c r="Z248" s="36">
        <f>IFERROR(IF(Y248=0,"",ROUNDUP(Y248/H248,0)*0.0059),"")</f>
        <v>2.9499999999999998E-2</v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4.7676767676767673</v>
      </c>
      <c r="BN248" s="64">
        <f>IFERROR(Y248*I248/H248,"0")</f>
        <v>5.9</v>
      </c>
      <c r="BO248" s="64">
        <f>IFERROR(1/J248*(X248/H248),"0")</f>
        <v>1.8705574261129818E-2</v>
      </c>
      <c r="BP248" s="64">
        <f>IFERROR(1/J248*(Y248/H248),"0")</f>
        <v>2.3148148148148147E-2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3</v>
      </c>
      <c r="Y249" s="542">
        <f>IFERROR(IF(X249="",0,CEILING((X249/$H249),1)*$H249),"")</f>
        <v>3.96</v>
      </c>
      <c r="Z249" s="36">
        <f>IFERROR(IF(Y249=0,"",ROUNDUP(Y249/H249,0)*0.0059),"")</f>
        <v>2.3599999999999999E-2</v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3.5757575757575757</v>
      </c>
      <c r="BN249" s="64">
        <f>IFERROR(Y249*I249/H249,"0")</f>
        <v>4.72</v>
      </c>
      <c r="BO249" s="64">
        <f>IFERROR(1/J249*(X249/H249),"0")</f>
        <v>1.4029180695847361E-2</v>
      </c>
      <c r="BP249" s="64">
        <f>IFERROR(1/J249*(Y249/H249),"0")</f>
        <v>1.8518518518518517E-2</v>
      </c>
    </row>
    <row r="250" spans="1:68" x14ac:dyDescent="0.2">
      <c r="A250" s="555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7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9.2929292929292941</v>
      </c>
      <c r="Y250" s="543">
        <f>IFERROR(Y245/H245,"0")+IFERROR(Y246/H246,"0")+IFERROR(Y247/H247,"0")+IFERROR(Y248/H248,"0")+IFERROR(Y249/H249,"0")</f>
        <v>12</v>
      </c>
      <c r="Z250" s="543">
        <f>IFERROR(IF(Z245="",0,Z245),"0")+IFERROR(IF(Z246="",0,Z246),"0")+IFERROR(IF(Z247="",0,Z247),"0")+IFERROR(IF(Z248="",0,Z248),"0")+IFERROR(IF(Z249="",0,Z249),"0")</f>
        <v>7.0800000000000002E-2</v>
      </c>
      <c r="AA250" s="544"/>
      <c r="AB250" s="544"/>
      <c r="AC250" s="544"/>
    </row>
    <row r="251" spans="1:68" x14ac:dyDescent="0.2">
      <c r="A251" s="556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7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9</v>
      </c>
      <c r="Y251" s="543">
        <f>IFERROR(SUM(Y245:Y249),"0")</f>
        <v>11.61</v>
      </c>
      <c r="Z251" s="37"/>
      <c r="AA251" s="544"/>
      <c r="AB251" s="544"/>
      <c r="AC251" s="544"/>
    </row>
    <row r="252" spans="1:68" ht="16.5" customHeight="1" x14ac:dyDescent="0.25">
      <c r="A252" s="559" t="s">
        <v>399</v>
      </c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6"/>
      <c r="P252" s="556"/>
      <c r="Q252" s="556"/>
      <c r="R252" s="556"/>
      <c r="S252" s="556"/>
      <c r="T252" s="556"/>
      <c r="U252" s="556"/>
      <c r="V252" s="556"/>
      <c r="W252" s="556"/>
      <c r="X252" s="556"/>
      <c r="Y252" s="556"/>
      <c r="Z252" s="556"/>
      <c r="AA252" s="536"/>
      <c r="AB252" s="536"/>
      <c r="AC252" s="536"/>
    </row>
    <row r="253" spans="1:68" ht="14.25" customHeight="1" x14ac:dyDescent="0.25">
      <c r="A253" s="558" t="s">
        <v>101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100</v>
      </c>
      <c r="Y254" s="542">
        <f>IFERROR(IF(X254="",0,CEILING((X254/$H254),1)*$H254),"")</f>
        <v>108</v>
      </c>
      <c r="Z254" s="36">
        <f>IFERROR(IF(Y254=0,"",ROUNDUP(Y254/H254,0)*0.01898),"")</f>
        <v>0.1898</v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103.79629629629629</v>
      </c>
      <c r="BN254" s="64">
        <f>IFERROR(Y254*I254/H254,"0")</f>
        <v>112.1</v>
      </c>
      <c r="BO254" s="64">
        <f>IFERROR(1/J254*(X254/H254),"0")</f>
        <v>0.14467592592592593</v>
      </c>
      <c r="BP254" s="64">
        <f>IFERROR(1/J254*(Y254/H254),"0")</f>
        <v>0.15625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2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500</v>
      </c>
      <c r="Y256" s="542">
        <f>IFERROR(IF(X256="",0,CEILING((X256/$H256),1)*$H256),"")</f>
        <v>507.6</v>
      </c>
      <c r="Z256" s="36">
        <f>IFERROR(IF(Y256=0,"",ROUNDUP(Y256/H256,0)*0.01898),"")</f>
        <v>0.89205999999999996</v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518.98148148148141</v>
      </c>
      <c r="BN256" s="64">
        <f>IFERROR(Y256*I256/H256,"0")</f>
        <v>526.87</v>
      </c>
      <c r="BO256" s="64">
        <f>IFERROR(1/J256*(X256/H256),"0")</f>
        <v>0.72337962962962954</v>
      </c>
      <c r="BP256" s="64">
        <f>IFERROR(1/J256*(Y256/H256),"0")</f>
        <v>0.734375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5"/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7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55.55555555555555</v>
      </c>
      <c r="Y259" s="543">
        <f>IFERROR(Y254/H254,"0")+IFERROR(Y255/H255,"0")+IFERROR(Y256/H256,"0")+IFERROR(Y257/H257,"0")+IFERROR(Y258/H258,"0")</f>
        <v>57</v>
      </c>
      <c r="Z259" s="543">
        <f>IFERROR(IF(Z254="",0,Z254),"0")+IFERROR(IF(Z255="",0,Z255),"0")+IFERROR(IF(Z256="",0,Z256),"0")+IFERROR(IF(Z257="",0,Z257),"0")+IFERROR(IF(Z258="",0,Z258),"0")</f>
        <v>1.08186</v>
      </c>
      <c r="AA259" s="544"/>
      <c r="AB259" s="544"/>
      <c r="AC259" s="544"/>
    </row>
    <row r="260" spans="1:68" x14ac:dyDescent="0.2">
      <c r="A260" s="556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7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600</v>
      </c>
      <c r="Y260" s="543">
        <f>IFERROR(SUM(Y254:Y258),"0")</f>
        <v>615.6</v>
      </c>
      <c r="Z260" s="37"/>
      <c r="AA260" s="544"/>
      <c r="AB260" s="544"/>
      <c r="AC260" s="544"/>
    </row>
    <row r="261" spans="1:68" ht="16.5" customHeight="1" x14ac:dyDescent="0.25">
      <c r="A261" s="559" t="s">
        <v>415</v>
      </c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6"/>
      <c r="P261" s="556"/>
      <c r="Q261" s="556"/>
      <c r="R261" s="556"/>
      <c r="S261" s="556"/>
      <c r="T261" s="556"/>
      <c r="U261" s="556"/>
      <c r="V261" s="556"/>
      <c r="W261" s="556"/>
      <c r="X261" s="556"/>
      <c r="Y261" s="556"/>
      <c r="Z261" s="556"/>
      <c r="AA261" s="536"/>
      <c r="AB261" s="536"/>
      <c r="AC261" s="536"/>
    </row>
    <row r="262" spans="1:68" ht="14.25" customHeight="1" x14ac:dyDescent="0.25">
      <c r="A262" s="558" t="s">
        <v>101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5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7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6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7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426</v>
      </c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36"/>
      <c r="AB269" s="536"/>
      <c r="AC269" s="536"/>
    </row>
    <row r="270" spans="1:68" ht="14.25" customHeight="1" x14ac:dyDescent="0.25">
      <c r="A270" s="558" t="s">
        <v>73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32</v>
      </c>
      <c r="Y272" s="542">
        <f>IFERROR(IF(X272="",0,CEILING((X272/$H272),1)*$H272),"")</f>
        <v>33.6</v>
      </c>
      <c r="Z272" s="36">
        <f>IFERROR(IF(Y272=0,"",ROUNDUP(Y272/H272,0)*0.00651),"")</f>
        <v>9.1139999999999999E-2</v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35.360000000000007</v>
      </c>
      <c r="BN272" s="64">
        <f>IFERROR(Y272*I272/H272,"0")</f>
        <v>37.128000000000007</v>
      </c>
      <c r="BO272" s="64">
        <f>IFERROR(1/J272*(X272/H272),"0")</f>
        <v>7.3260073260073263E-2</v>
      </c>
      <c r="BP272" s="64">
        <f>IFERROR(1/J272*(Y272/H272),"0")</f>
        <v>7.6923076923076941E-2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32</v>
      </c>
      <c r="Y273" s="542">
        <f>IFERROR(IF(X273="",0,CEILING((X273/$H273),1)*$H273),"")</f>
        <v>33.6</v>
      </c>
      <c r="Z273" s="36">
        <f>IFERROR(IF(Y273=0,"",ROUNDUP(Y273/H273,0)*0.00651),"")</f>
        <v>9.1139999999999999E-2</v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34.400000000000006</v>
      </c>
      <c r="BN273" s="64">
        <f>IFERROR(Y273*I273/H273,"0")</f>
        <v>36.120000000000005</v>
      </c>
      <c r="BO273" s="64">
        <f>IFERROR(1/J273*(X273/H273),"0")</f>
        <v>7.3260073260073263E-2</v>
      </c>
      <c r="BP273" s="64">
        <f>IFERROR(1/J273*(Y273/H273),"0")</f>
        <v>7.6923076923076941E-2</v>
      </c>
    </row>
    <row r="274" spans="1:68" x14ac:dyDescent="0.2">
      <c r="A274" s="555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7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26.666666666666668</v>
      </c>
      <c r="Y274" s="543">
        <f>IFERROR(Y271/H271,"0")+IFERROR(Y272/H272,"0")+IFERROR(Y273/H273,"0")</f>
        <v>28.000000000000004</v>
      </c>
      <c r="Z274" s="543">
        <f>IFERROR(IF(Z271="",0,Z271),"0")+IFERROR(IF(Z272="",0,Z272),"0")+IFERROR(IF(Z273="",0,Z273),"0")</f>
        <v>0.18228</v>
      </c>
      <c r="AA274" s="544"/>
      <c r="AB274" s="544"/>
      <c r="AC274" s="544"/>
    </row>
    <row r="275" spans="1:68" x14ac:dyDescent="0.2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7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64</v>
      </c>
      <c r="Y275" s="543">
        <f>IFERROR(SUM(Y271:Y273),"0")</f>
        <v>67.2</v>
      </c>
      <c r="Z275" s="37"/>
      <c r="AA275" s="544"/>
      <c r="AB275" s="544"/>
      <c r="AC275" s="544"/>
    </row>
    <row r="276" spans="1:68" ht="16.5" customHeight="1" x14ac:dyDescent="0.25">
      <c r="A276" s="559" t="s">
        <v>435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36"/>
      <c r="AB276" s="536"/>
      <c r="AC276" s="536"/>
    </row>
    <row r="277" spans="1:68" ht="14.25" customHeight="1" x14ac:dyDescent="0.25">
      <c r="A277" s="558" t="s">
        <v>64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5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57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7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55"/>
      <c r="B284" s="556"/>
      <c r="C284" s="556"/>
      <c r="D284" s="556"/>
      <c r="E284" s="556"/>
      <c r="F284" s="556"/>
      <c r="G284" s="556"/>
      <c r="H284" s="556"/>
      <c r="I284" s="556"/>
      <c r="J284" s="556"/>
      <c r="K284" s="556"/>
      <c r="L284" s="556"/>
      <c r="M284" s="556"/>
      <c r="N284" s="556"/>
      <c r="O284" s="557"/>
      <c r="P284" s="562" t="s">
        <v>71</v>
      </c>
      <c r="Q284" s="563"/>
      <c r="R284" s="563"/>
      <c r="S284" s="563"/>
      <c r="T284" s="563"/>
      <c r="U284" s="563"/>
      <c r="V284" s="564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x14ac:dyDescent="0.2">
      <c r="A285" s="556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57"/>
      <c r="P285" s="562" t="s">
        <v>71</v>
      </c>
      <c r="Q285" s="563"/>
      <c r="R285" s="563"/>
      <c r="S285" s="563"/>
      <c r="T285" s="563"/>
      <c r="U285" s="563"/>
      <c r="V285" s="564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customHeight="1" x14ac:dyDescent="0.25">
      <c r="A286" s="559" t="s">
        <v>445</v>
      </c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6"/>
      <c r="P286" s="556"/>
      <c r="Q286" s="556"/>
      <c r="R286" s="556"/>
      <c r="S286" s="556"/>
      <c r="T286" s="556"/>
      <c r="U286" s="556"/>
      <c r="V286" s="556"/>
      <c r="W286" s="556"/>
      <c r="X286" s="556"/>
      <c r="Y286" s="556"/>
      <c r="Z286" s="556"/>
      <c r="AA286" s="536"/>
      <c r="AB286" s="536"/>
      <c r="AC286" s="536"/>
    </row>
    <row r="287" spans="1:68" ht="14.25" customHeight="1" x14ac:dyDescent="0.25">
      <c r="A287" s="558" t="s">
        <v>101</v>
      </c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4301012126</v>
      </c>
      <c r="D288" s="548">
        <v>4607091386004</v>
      </c>
      <c r="E288" s="549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84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67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172</v>
      </c>
      <c r="Y289" s="542">
        <f t="shared" si="26"/>
        <v>172.8</v>
      </c>
      <c r="Z289" s="36">
        <f>IFERROR(IF(Y289=0,"",ROUNDUP(Y289/H289,0)*0.01898),"")</f>
        <v>0.30368000000000001</v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178.52962962962962</v>
      </c>
      <c r="BN289" s="64">
        <f t="shared" si="28"/>
        <v>179.36</v>
      </c>
      <c r="BO289" s="64">
        <f t="shared" si="29"/>
        <v>0.24884259259259259</v>
      </c>
      <c r="BP289" s="64">
        <f t="shared" si="30"/>
        <v>0.25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102</v>
      </c>
      <c r="Y290" s="542">
        <f t="shared" si="26"/>
        <v>108</v>
      </c>
      <c r="Z290" s="36">
        <f>IFERROR(IF(Y290=0,"",ROUNDUP(Y290/H290,0)*0.01898),"")</f>
        <v>0.1898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105.87222222222222</v>
      </c>
      <c r="BN290" s="64">
        <f t="shared" si="28"/>
        <v>112.1</v>
      </c>
      <c r="BO290" s="64">
        <f t="shared" si="29"/>
        <v>0.14756944444444445</v>
      </c>
      <c r="BP290" s="64">
        <f t="shared" si="30"/>
        <v>0.15625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8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183</v>
      </c>
      <c r="Y291" s="542">
        <f t="shared" si="26"/>
        <v>183.60000000000002</v>
      </c>
      <c r="Z291" s="36">
        <f>IFERROR(IF(Y291=0,"",ROUNDUP(Y291/H291,0)*0.01898),"")</f>
        <v>0.32266</v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189.94722222222222</v>
      </c>
      <c r="BN291" s="64">
        <f t="shared" si="28"/>
        <v>190.57000000000002</v>
      </c>
      <c r="BO291" s="64">
        <f t="shared" si="29"/>
        <v>0.26475694444444442</v>
      </c>
      <c r="BP291" s="64">
        <f t="shared" si="30"/>
        <v>0.265625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20</v>
      </c>
      <c r="Y292" s="542">
        <f t="shared" si="26"/>
        <v>20</v>
      </c>
      <c r="Z292" s="36">
        <f>IFERROR(IF(Y292=0,"",ROUNDUP(Y292/H292,0)*0.00902),"")</f>
        <v>4.5100000000000001E-2</v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20.950000000000003</v>
      </c>
      <c r="BN292" s="64">
        <f t="shared" si="28"/>
        <v>20.950000000000003</v>
      </c>
      <c r="BO292" s="64">
        <f t="shared" si="29"/>
        <v>3.787878787878788E-2</v>
      </c>
      <c r="BP292" s="64">
        <f t="shared" si="30"/>
        <v>3.787878787878788E-2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68</v>
      </c>
      <c r="Y293" s="542">
        <f t="shared" si="26"/>
        <v>68</v>
      </c>
      <c r="Z293" s="36">
        <f>IFERROR(IF(Y293=0,"",ROUNDUP(Y293/H293,0)*0.00902),"")</f>
        <v>0.15334</v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71.23</v>
      </c>
      <c r="BN293" s="64">
        <f t="shared" si="28"/>
        <v>71.23</v>
      </c>
      <c r="BO293" s="64">
        <f t="shared" si="29"/>
        <v>0.12878787878787878</v>
      </c>
      <c r="BP293" s="64">
        <f t="shared" si="30"/>
        <v>0.12878787878787878</v>
      </c>
    </row>
    <row r="294" spans="1:68" x14ac:dyDescent="0.2">
      <c r="A294" s="555"/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7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IFERROR(X288/H288,"0")+IFERROR(X289/H289,"0")+IFERROR(X290/H290,"0")+IFERROR(X291/H291,"0")+IFERROR(X292/H292,"0")+IFERROR(X293/H293,"0")</f>
        <v>64.31481481481481</v>
      </c>
      <c r="Y294" s="543">
        <f>IFERROR(Y288/H288,"0")+IFERROR(Y289/H289,"0")+IFERROR(Y290/H290,"0")+IFERROR(Y291/H291,"0")+IFERROR(Y292/H292,"0")+IFERROR(Y293/H293,"0")</f>
        <v>65</v>
      </c>
      <c r="Z294" s="543">
        <f>IFERROR(IF(Z288="",0,Z288),"0")+IFERROR(IF(Z289="",0,Z289),"0")+IFERROR(IF(Z290="",0,Z290),"0")+IFERROR(IF(Z291="",0,Z291),"0")+IFERROR(IF(Z292="",0,Z292),"0")+IFERROR(IF(Z293="",0,Z293),"0")</f>
        <v>1.01458</v>
      </c>
      <c r="AA294" s="544"/>
      <c r="AB294" s="544"/>
      <c r="AC294" s="544"/>
    </row>
    <row r="295" spans="1:68" x14ac:dyDescent="0.2">
      <c r="A295" s="556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7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IFERROR(SUM(X288:X293),"0")</f>
        <v>545</v>
      </c>
      <c r="Y295" s="543">
        <f>IFERROR(SUM(Y288:Y293),"0")</f>
        <v>552.40000000000009</v>
      </c>
      <c r="Z295" s="37"/>
      <c r="AA295" s="544"/>
      <c r="AB295" s="544"/>
      <c r="AC295" s="544"/>
    </row>
    <row r="296" spans="1:68" ht="14.25" customHeight="1" x14ac:dyDescent="0.25">
      <c r="A296" s="558" t="s">
        <v>64</v>
      </c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6"/>
      <c r="P296" s="556"/>
      <c r="Q296" s="556"/>
      <c r="R296" s="556"/>
      <c r="S296" s="556"/>
      <c r="T296" s="556"/>
      <c r="U296" s="556"/>
      <c r="V296" s="556"/>
      <c r="W296" s="556"/>
      <c r="X296" s="556"/>
      <c r="Y296" s="556"/>
      <c r="Z296" s="556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120</v>
      </c>
      <c r="Y297" s="542">
        <f t="shared" ref="Y297:Y303" si="31">IFERROR(IF(X297="",0,CEILING((X297/$H297),1)*$H297),"")</f>
        <v>121.80000000000001</v>
      </c>
      <c r="Z297" s="36">
        <f>IFERROR(IF(Y297=0,"",ROUNDUP(Y297/H297,0)*0.00902),"")</f>
        <v>0.26158000000000003</v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127.14285714285714</v>
      </c>
      <c r="BN297" s="64">
        <f t="shared" ref="BN297:BN303" si="33">IFERROR(Y297*I297/H297,"0")</f>
        <v>129.05000000000001</v>
      </c>
      <c r="BO297" s="64">
        <f t="shared" ref="BO297:BO303" si="34">IFERROR(1/J297*(X297/H297),"0")</f>
        <v>0.21645021645021645</v>
      </c>
      <c r="BP297" s="64">
        <f t="shared" ref="BP297:BP303" si="35">IFERROR(1/J297*(Y297/H297),"0")</f>
        <v>0.2196969696969697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700</v>
      </c>
      <c r="Y298" s="542">
        <f t="shared" si="31"/>
        <v>701.4</v>
      </c>
      <c r="Z298" s="36">
        <f>IFERROR(IF(Y298=0,"",ROUNDUP(Y298/H298,0)*0.00902),"")</f>
        <v>1.50634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741.66666666666663</v>
      </c>
      <c r="BN298" s="64">
        <f t="shared" si="33"/>
        <v>743.15</v>
      </c>
      <c r="BO298" s="64">
        <f t="shared" si="34"/>
        <v>1.2626262626262625</v>
      </c>
      <c r="BP298" s="64">
        <f t="shared" si="35"/>
        <v>1.2651515151515151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3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35</v>
      </c>
      <c r="Y300" s="542">
        <f t="shared" si="31"/>
        <v>35.700000000000003</v>
      </c>
      <c r="Z300" s="36">
        <f>IFERROR(IF(Y300=0,"",ROUNDUP(Y300/H300,0)*0.00502),"")</f>
        <v>8.5339999999999999E-2</v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37.166666666666664</v>
      </c>
      <c r="BN300" s="64">
        <f t="shared" si="33"/>
        <v>37.910000000000004</v>
      </c>
      <c r="BO300" s="64">
        <f t="shared" si="34"/>
        <v>7.1225071225071226E-2</v>
      </c>
      <c r="BP300" s="64">
        <f t="shared" si="35"/>
        <v>7.2649572649572655E-2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60</v>
      </c>
      <c r="Y301" s="542">
        <f t="shared" si="31"/>
        <v>60.900000000000006</v>
      </c>
      <c r="Z301" s="36">
        <f>IFERROR(IF(Y301=0,"",ROUNDUP(Y301/H301,0)*0.00502),"")</f>
        <v>0.14558000000000001</v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62.857142857142854</v>
      </c>
      <c r="BN301" s="64">
        <f t="shared" si="33"/>
        <v>63.800000000000004</v>
      </c>
      <c r="BO301" s="64">
        <f t="shared" si="34"/>
        <v>0.12210012210012211</v>
      </c>
      <c r="BP301" s="64">
        <f t="shared" si="35"/>
        <v>0.12393162393162395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65</v>
      </c>
      <c r="Y303" s="542">
        <f t="shared" si="31"/>
        <v>66.600000000000009</v>
      </c>
      <c r="Z303" s="36">
        <f>IFERROR(IF(Y303=0,"",ROUNDUP(Y303/H303,0)*0.00651),"")</f>
        <v>0.24087</v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73.233333333333334</v>
      </c>
      <c r="BN303" s="64">
        <f t="shared" si="33"/>
        <v>75.036000000000016</v>
      </c>
      <c r="BO303" s="64">
        <f t="shared" si="34"/>
        <v>0.1984126984126984</v>
      </c>
      <c r="BP303" s="64">
        <f t="shared" si="35"/>
        <v>0.20329670329670335</v>
      </c>
    </row>
    <row r="304" spans="1:68" x14ac:dyDescent="0.2">
      <c r="A304" s="555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57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276.58730158730157</v>
      </c>
      <c r="Y304" s="543">
        <f>IFERROR(Y297/H297,"0")+IFERROR(Y298/H298,"0")+IFERROR(Y299/H299,"0")+IFERROR(Y300/H300,"0")+IFERROR(Y301/H301,"0")+IFERROR(Y302/H302,"0")+IFERROR(Y303/H303,"0")</f>
        <v>279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2.2397100000000001</v>
      </c>
      <c r="AA304" s="544"/>
      <c r="AB304" s="544"/>
      <c r="AC304" s="544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7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980</v>
      </c>
      <c r="Y305" s="543">
        <f>IFERROR(SUM(Y297:Y303),"0")</f>
        <v>986.40000000000009</v>
      </c>
      <c r="Z305" s="37"/>
      <c r="AA305" s="544"/>
      <c r="AB305" s="544"/>
      <c r="AC305" s="544"/>
    </row>
    <row r="306" spans="1:68" ht="14.25" customHeight="1" x14ac:dyDescent="0.25">
      <c r="A306" s="558" t="s">
        <v>73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1698</v>
      </c>
      <c r="Y307" s="542">
        <f>IFERROR(IF(X307="",0,CEILING((X307/$H307),1)*$H307),"")</f>
        <v>1700.3999999999999</v>
      </c>
      <c r="Z307" s="36">
        <f>IFERROR(IF(Y307=0,"",ROUNDUP(Y307/H307,0)*0.01898),"")</f>
        <v>4.1376400000000002</v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1804.2338461538463</v>
      </c>
      <c r="BN307" s="64">
        <f>IFERROR(Y307*I307/H307,"0")</f>
        <v>1806.7839999999999</v>
      </c>
      <c r="BO307" s="64">
        <f>IFERROR(1/J307*(X307/H307),"0")</f>
        <v>3.4014423076923079</v>
      </c>
      <c r="BP307" s="64">
        <f>IFERROR(1/J307*(Y307/H307),"0")</f>
        <v>3.40625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99</v>
      </c>
      <c r="Y310" s="542">
        <f>IFERROR(IF(X310="",0,CEILING((X310/$H310),1)*$H310),"")</f>
        <v>99</v>
      </c>
      <c r="Z310" s="36">
        <f>IFERROR(IF(Y310=0,"",ROUNDUP(Y310/H310,0)*0.00651),"")</f>
        <v>0.21482999999999999</v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107.11799999999999</v>
      </c>
      <c r="BN310" s="64">
        <f>IFERROR(Y310*I310/H310,"0")</f>
        <v>107.11799999999999</v>
      </c>
      <c r="BO310" s="64">
        <f>IFERROR(1/J310*(X310/H310),"0")</f>
        <v>0.18131868131868134</v>
      </c>
      <c r="BP310" s="64">
        <f>IFERROR(1/J310*(Y310/H310),"0")</f>
        <v>0.18131868131868134</v>
      </c>
    </row>
    <row r="311" spans="1:68" ht="27" customHeight="1" x14ac:dyDescent="0.25">
      <c r="A311" s="54" t="s">
        <v>494</v>
      </c>
      <c r="B311" s="54" t="s">
        <v>495</v>
      </c>
      <c r="C311" s="31">
        <v>4301051578</v>
      </c>
      <c r="D311" s="548">
        <v>4607091387513</v>
      </c>
      <c r="E311" s="549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0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5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7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IFERROR(X307/H307,"0")+IFERROR(X308/H308,"0")+IFERROR(X309/H309,"0")+IFERROR(X310/H310,"0")+IFERROR(X311/H311,"0")</f>
        <v>250.69230769230771</v>
      </c>
      <c r="Y312" s="543">
        <f>IFERROR(Y307/H307,"0")+IFERROR(Y308/H308,"0")+IFERROR(Y309/H309,"0")+IFERROR(Y310/H310,"0")+IFERROR(Y311/H311,"0")</f>
        <v>251</v>
      </c>
      <c r="Z312" s="543">
        <f>IFERROR(IF(Z307="",0,Z307),"0")+IFERROR(IF(Z308="",0,Z308),"0")+IFERROR(IF(Z309="",0,Z309),"0")+IFERROR(IF(Z310="",0,Z310),"0")+IFERROR(IF(Z311="",0,Z311),"0")</f>
        <v>4.3524700000000003</v>
      </c>
      <c r="AA312" s="544"/>
      <c r="AB312" s="544"/>
      <c r="AC312" s="544"/>
    </row>
    <row r="313" spans="1:68" x14ac:dyDescent="0.2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7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IFERROR(SUM(X307:X311),"0")</f>
        <v>1797</v>
      </c>
      <c r="Y313" s="543">
        <f>IFERROR(SUM(Y307:Y311),"0")</f>
        <v>1799.3999999999999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35"/>
      <c r="AB314" s="535"/>
      <c r="AC314" s="535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53</v>
      </c>
      <c r="Y315" s="542">
        <f>IFERROR(IF(X315="",0,CEILING((X315/$H315),1)*$H315),"")</f>
        <v>58.800000000000004</v>
      </c>
      <c r="Z315" s="36">
        <f>IFERROR(IF(Y315=0,"",ROUNDUP(Y315/H315,0)*0.01898),"")</f>
        <v>0.13286000000000001</v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56.116904761904763</v>
      </c>
      <c r="BN315" s="64">
        <f>IFERROR(Y315*I315/H315,"0")</f>
        <v>62.258000000000003</v>
      </c>
      <c r="BO315" s="64">
        <f>IFERROR(1/J315*(X315/H315),"0")</f>
        <v>9.8586309523809521E-2</v>
      </c>
      <c r="BP315" s="64">
        <f>IFERROR(1/J315*(Y315/H315),"0")</f>
        <v>0.109375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30</v>
      </c>
      <c r="Y316" s="542">
        <f>IFERROR(IF(X316="",0,CEILING((X316/$H316),1)*$H316),"")</f>
        <v>31.2</v>
      </c>
      <c r="Z316" s="36">
        <f>IFERROR(IF(Y316=0,"",ROUNDUP(Y316/H316,0)*0.01898),"")</f>
        <v>7.5920000000000001E-2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31.900000000000002</v>
      </c>
      <c r="BN316" s="64">
        <f>IFERROR(Y316*I316/H316,"0")</f>
        <v>33.176000000000002</v>
      </c>
      <c r="BO316" s="64">
        <f>IFERROR(1/J316*(X316/H316),"0")</f>
        <v>6.0096153846153848E-2</v>
      </c>
      <c r="BP316" s="64">
        <f>IFERROR(1/J316*(Y316/H316),"0")</f>
        <v>6.25E-2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50</v>
      </c>
      <c r="Y317" s="542">
        <f>IFERROR(IF(X317="",0,CEILING((X317/$H317),1)*$H317),"")</f>
        <v>50.400000000000006</v>
      </c>
      <c r="Z317" s="36">
        <f>IFERROR(IF(Y317=0,"",ROUNDUP(Y317/H317,0)*0.01898),"")</f>
        <v>0.11388000000000001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52.94047619047619</v>
      </c>
      <c r="BN317" s="64">
        <f>IFERROR(Y317*I317/H317,"0")</f>
        <v>53.364000000000004</v>
      </c>
      <c r="BO317" s="64">
        <f>IFERROR(1/J317*(X317/H317),"0")</f>
        <v>9.3005952380952384E-2</v>
      </c>
      <c r="BP317" s="64">
        <f>IFERROR(1/J317*(Y317/H317),"0")</f>
        <v>9.375E-2</v>
      </c>
    </row>
    <row r="318" spans="1:68" x14ac:dyDescent="0.2">
      <c r="A318" s="555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7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16.108058608058606</v>
      </c>
      <c r="Y318" s="543">
        <f>IFERROR(Y315/H315,"0")+IFERROR(Y316/H316,"0")+IFERROR(Y317/H317,"0")</f>
        <v>17</v>
      </c>
      <c r="Z318" s="543">
        <f>IFERROR(IF(Z315="",0,Z315),"0")+IFERROR(IF(Z316="",0,Z316),"0")+IFERROR(IF(Z317="",0,Z317),"0")</f>
        <v>0.32266000000000006</v>
      </c>
      <c r="AA318" s="544"/>
      <c r="AB318" s="544"/>
      <c r="AC318" s="544"/>
    </row>
    <row r="319" spans="1:68" x14ac:dyDescent="0.2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7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133</v>
      </c>
      <c r="Y319" s="543">
        <f>IFERROR(SUM(Y315:Y317),"0")</f>
        <v>140.4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35"/>
      <c r="AB320" s="535"/>
      <c r="AC320" s="535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5" t="s">
        <v>511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515</v>
      </c>
      <c r="B324" s="54" t="s">
        <v>516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8</v>
      </c>
      <c r="Y324" s="542">
        <f>IFERROR(IF(X324="",0,CEILING((X324/$H324),1)*$H324),"")</f>
        <v>10.199999999999999</v>
      </c>
      <c r="Z324" s="36">
        <f>IFERROR(IF(Y324=0,"",ROUNDUP(Y324/H324,0)*0.00651),"")</f>
        <v>2.6040000000000001E-2</v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9.0352941176470587</v>
      </c>
      <c r="BN324" s="64">
        <f>IFERROR(Y324*I324/H324,"0")</f>
        <v>11.52</v>
      </c>
      <c r="BO324" s="64">
        <f>IFERROR(1/J324*(X324/H324),"0")</f>
        <v>1.7237664296487831E-2</v>
      </c>
      <c r="BP324" s="64">
        <f>IFERROR(1/J324*(Y324/H324),"0")</f>
        <v>2.197802197802198E-2</v>
      </c>
    </row>
    <row r="325" spans="1:68" x14ac:dyDescent="0.2">
      <c r="A325" s="555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7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3.1372549019607847</v>
      </c>
      <c r="Y325" s="543">
        <f>IFERROR(Y321/H321,"0")+IFERROR(Y322/H322,"0")+IFERROR(Y323/H323,"0")+IFERROR(Y324/H324,"0")</f>
        <v>4</v>
      </c>
      <c r="Z325" s="543">
        <f>IFERROR(IF(Z321="",0,Z321),"0")+IFERROR(IF(Z322="",0,Z322),"0")+IFERROR(IF(Z323="",0,Z323),"0")+IFERROR(IF(Z324="",0,Z324),"0")</f>
        <v>2.6040000000000001E-2</v>
      </c>
      <c r="AA325" s="544"/>
      <c r="AB325" s="544"/>
      <c r="AC325" s="544"/>
    </row>
    <row r="326" spans="1:68" x14ac:dyDescent="0.2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7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8</v>
      </c>
      <c r="Y326" s="543">
        <f>IFERROR(SUM(Y321:Y324),"0")</f>
        <v>10.199999999999999</v>
      </c>
      <c r="Z326" s="37"/>
      <c r="AA326" s="544"/>
      <c r="AB326" s="544"/>
      <c r="AC326" s="544"/>
    </row>
    <row r="327" spans="1:68" ht="14.25" customHeight="1" x14ac:dyDescent="0.25">
      <c r="A327" s="558" t="s">
        <v>517</v>
      </c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35"/>
      <c r="AB327" s="535"/>
      <c r="AC327" s="535"/>
    </row>
    <row r="328" spans="1:68" ht="16.5" customHeight="1" x14ac:dyDescent="0.25">
      <c r="A328" s="54" t="s">
        <v>518</v>
      </c>
      <c r="B328" s="54" t="s">
        <v>519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180</v>
      </c>
      <c r="Y328" s="542">
        <f>IFERROR(IF(X328="",0,CEILING((X328/$H328),1)*$H328),"")</f>
        <v>180</v>
      </c>
      <c r="Z328" s="36">
        <f>IFERROR(IF(Y328=0,"",ROUNDUP(Y328/H328,0)*0.00474),"")</f>
        <v>0.42660000000000003</v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201.60000000000002</v>
      </c>
      <c r="BN328" s="64">
        <f>IFERROR(Y328*I328/H328,"0")</f>
        <v>201.60000000000002</v>
      </c>
      <c r="BO328" s="64">
        <f>IFERROR(1/J328*(X328/H328),"0")</f>
        <v>0.37815126050420167</v>
      </c>
      <c r="BP328" s="64">
        <f>IFERROR(1/J328*(Y328/H328),"0")</f>
        <v>0.37815126050420167</v>
      </c>
    </row>
    <row r="329" spans="1:68" ht="27" customHeight="1" x14ac:dyDescent="0.25">
      <c r="A329" s="54" t="s">
        <v>522</v>
      </c>
      <c r="B329" s="54" t="s">
        <v>523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40</v>
      </c>
      <c r="Y329" s="542">
        <f>IFERROR(IF(X329="",0,CEILING((X329/$H329),1)*$H329),"")</f>
        <v>40</v>
      </c>
      <c r="Z329" s="36">
        <f>IFERROR(IF(Y329=0,"",ROUNDUP(Y329/H329,0)*0.00474),"")</f>
        <v>9.4800000000000009E-2</v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44.800000000000004</v>
      </c>
      <c r="BN329" s="64">
        <f>IFERROR(Y329*I329/H329,"0")</f>
        <v>44.800000000000004</v>
      </c>
      <c r="BO329" s="64">
        <f>IFERROR(1/J329*(X329/H329),"0")</f>
        <v>8.4033613445378144E-2</v>
      </c>
      <c r="BP329" s="64">
        <f>IFERROR(1/J329*(Y329/H329),"0")</f>
        <v>8.4033613445378144E-2</v>
      </c>
    </row>
    <row r="330" spans="1:68" ht="27" customHeight="1" x14ac:dyDescent="0.25">
      <c r="A330" s="54" t="s">
        <v>524</v>
      </c>
      <c r="B330" s="54" t="s">
        <v>525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180</v>
      </c>
      <c r="Y330" s="542">
        <f>IFERROR(IF(X330="",0,CEILING((X330/$H330),1)*$H330),"")</f>
        <v>180</v>
      </c>
      <c r="Z330" s="36">
        <f>IFERROR(IF(Y330=0,"",ROUNDUP(Y330/H330,0)*0.00474),"")</f>
        <v>0.42660000000000003</v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201.60000000000002</v>
      </c>
      <c r="BN330" s="64">
        <f>IFERROR(Y330*I330/H330,"0")</f>
        <v>201.60000000000002</v>
      </c>
      <c r="BO330" s="64">
        <f>IFERROR(1/J330*(X330/H330),"0")</f>
        <v>0.37815126050420167</v>
      </c>
      <c r="BP330" s="64">
        <f>IFERROR(1/J330*(Y330/H330),"0")</f>
        <v>0.37815126050420167</v>
      </c>
    </row>
    <row r="331" spans="1:68" x14ac:dyDescent="0.2">
      <c r="A331" s="555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7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200</v>
      </c>
      <c r="Y331" s="543">
        <f>IFERROR(Y328/H328,"0")+IFERROR(Y329/H329,"0")+IFERROR(Y330/H330,"0")</f>
        <v>200</v>
      </c>
      <c r="Z331" s="543">
        <f>IFERROR(IF(Z328="",0,Z328),"0")+IFERROR(IF(Z329="",0,Z329),"0")+IFERROR(IF(Z330="",0,Z330),"0")</f>
        <v>0.94800000000000018</v>
      </c>
      <c r="AA331" s="544"/>
      <c r="AB331" s="544"/>
      <c r="AC331" s="544"/>
    </row>
    <row r="332" spans="1:68" x14ac:dyDescent="0.2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7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400</v>
      </c>
      <c r="Y332" s="543">
        <f>IFERROR(SUM(Y328:Y330),"0")</f>
        <v>400</v>
      </c>
      <c r="Z332" s="37"/>
      <c r="AA332" s="544"/>
      <c r="AB332" s="544"/>
      <c r="AC332" s="544"/>
    </row>
    <row r="333" spans="1:68" ht="16.5" customHeight="1" x14ac:dyDescent="0.25">
      <c r="A333" s="559" t="s">
        <v>526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6"/>
      <c r="AB333" s="536"/>
      <c r="AC333" s="536"/>
    </row>
    <row r="334" spans="1:68" ht="14.25" customHeight="1" x14ac:dyDescent="0.25">
      <c r="A334" s="558" t="s">
        <v>73</v>
      </c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35"/>
      <c r="AB334" s="535"/>
      <c r="AC334" s="535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249</v>
      </c>
      <c r="Y336" s="542">
        <f>IFERROR(IF(X336="",0,CEILING((X336/$H336),1)*$H336),"")</f>
        <v>249.9</v>
      </c>
      <c r="Z336" s="36">
        <f>IFERROR(IF(Y336=0,"",ROUNDUP(Y336/H336,0)*0.00651),"")</f>
        <v>0.77468999999999999</v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278.87999999999994</v>
      </c>
      <c r="BN336" s="64">
        <f>IFERROR(Y336*I336/H336,"0")</f>
        <v>279.88800000000003</v>
      </c>
      <c r="BO336" s="64">
        <f>IFERROR(1/J336*(X336/H336),"0")</f>
        <v>0.65149136577708011</v>
      </c>
      <c r="BP336" s="64">
        <f>IFERROR(1/J336*(Y336/H336),"0")</f>
        <v>0.65384615384615385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109</v>
      </c>
      <c r="Y337" s="542">
        <f>IFERROR(IF(X337="",0,CEILING((X337/$H337),1)*$H337),"")</f>
        <v>109.2</v>
      </c>
      <c r="Z337" s="36">
        <f>IFERROR(IF(Y337=0,"",ROUNDUP(Y337/H337,0)*0.00651),"")</f>
        <v>0.33851999999999999</v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121.45714285714284</v>
      </c>
      <c r="BN337" s="64">
        <f>IFERROR(Y337*I337/H337,"0")</f>
        <v>121.67999999999999</v>
      </c>
      <c r="BO337" s="64">
        <f>IFERROR(1/J337*(X337/H337),"0")</f>
        <v>0.28519099947671378</v>
      </c>
      <c r="BP337" s="64">
        <f>IFERROR(1/J337*(Y337/H337),"0")</f>
        <v>0.28571428571428575</v>
      </c>
    </row>
    <row r="338" spans="1:68" x14ac:dyDescent="0.2">
      <c r="A338" s="555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7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170.47619047619048</v>
      </c>
      <c r="Y338" s="543">
        <f>IFERROR(Y335/H335,"0")+IFERROR(Y336/H336,"0")+IFERROR(Y337/H337,"0")</f>
        <v>171</v>
      </c>
      <c r="Z338" s="543">
        <f>IFERROR(IF(Z335="",0,Z335),"0")+IFERROR(IF(Z336="",0,Z336),"0")+IFERROR(IF(Z337="",0,Z337),"0")</f>
        <v>1.11321</v>
      </c>
      <c r="AA338" s="544"/>
      <c r="AB338" s="544"/>
      <c r="AC338" s="544"/>
    </row>
    <row r="339" spans="1:68" x14ac:dyDescent="0.2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7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358</v>
      </c>
      <c r="Y339" s="543">
        <f>IFERROR(SUM(Y335:Y337),"0")</f>
        <v>359.1</v>
      </c>
      <c r="Z339" s="37"/>
      <c r="AA339" s="544"/>
      <c r="AB339" s="544"/>
      <c r="AC339" s="544"/>
    </row>
    <row r="340" spans="1:68" ht="27.75" customHeight="1" x14ac:dyDescent="0.2">
      <c r="A340" s="633" t="s">
        <v>536</v>
      </c>
      <c r="B340" s="634"/>
      <c r="C340" s="634"/>
      <c r="D340" s="634"/>
      <c r="E340" s="634"/>
      <c r="F340" s="634"/>
      <c r="G340" s="634"/>
      <c r="H340" s="634"/>
      <c r="I340" s="634"/>
      <c r="J340" s="634"/>
      <c r="K340" s="634"/>
      <c r="L340" s="634"/>
      <c r="M340" s="634"/>
      <c r="N340" s="634"/>
      <c r="O340" s="634"/>
      <c r="P340" s="634"/>
      <c r="Q340" s="634"/>
      <c r="R340" s="634"/>
      <c r="S340" s="634"/>
      <c r="T340" s="634"/>
      <c r="U340" s="634"/>
      <c r="V340" s="634"/>
      <c r="W340" s="634"/>
      <c r="X340" s="634"/>
      <c r="Y340" s="634"/>
      <c r="Z340" s="634"/>
      <c r="AA340" s="48"/>
      <c r="AB340" s="48"/>
      <c r="AC340" s="48"/>
    </row>
    <row r="341" spans="1:68" ht="16.5" customHeight="1" x14ac:dyDescent="0.25">
      <c r="A341" s="559" t="s">
        <v>537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6"/>
      <c r="AB341" s="536"/>
      <c r="AC341" s="536"/>
    </row>
    <row r="342" spans="1:68" ht="14.25" customHeight="1" x14ac:dyDescent="0.25">
      <c r="A342" s="558" t="s">
        <v>101</v>
      </c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171</v>
      </c>
      <c r="Y343" s="542">
        <f t="shared" ref="Y343:Y349" si="36">IFERROR(IF(X343="",0,CEILING((X343/$H343),1)*$H343),"")</f>
        <v>180</v>
      </c>
      <c r="Z343" s="36">
        <f>IFERROR(IF(Y343=0,"",ROUNDUP(Y343/H343,0)*0.02175),"")</f>
        <v>0.26100000000000001</v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176.358</v>
      </c>
      <c r="BN343" s="64">
        <f t="shared" ref="BN343:BN349" si="38">IFERROR(Y343*I343/H343,"0")</f>
        <v>185.64</v>
      </c>
      <c r="BO343" s="64">
        <f t="shared" ref="BO343:BO349" si="39">IFERROR(1/J343*(X343/H343),"0")</f>
        <v>0.23749999999999999</v>
      </c>
      <c r="BP343" s="64">
        <f t="shared" ref="BP343:BP349" si="40">IFERROR(1/J343*(Y343/H343),"0")</f>
        <v>0.25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575</v>
      </c>
      <c r="Y344" s="542">
        <f t="shared" si="36"/>
        <v>585</v>
      </c>
      <c r="Z344" s="36">
        <f>IFERROR(IF(Y344=0,"",ROUNDUP(Y344/H344,0)*0.02175),"")</f>
        <v>0.84824999999999995</v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593.01666666666665</v>
      </c>
      <c r="BN344" s="64">
        <f t="shared" si="38"/>
        <v>603.33000000000004</v>
      </c>
      <c r="BO344" s="64">
        <f t="shared" si="39"/>
        <v>0.79861111111111116</v>
      </c>
      <c r="BP344" s="64">
        <f t="shared" si="40"/>
        <v>0.8125</v>
      </c>
    </row>
    <row r="345" spans="1:68" ht="37.5" customHeight="1" x14ac:dyDescent="0.25">
      <c r="A345" s="54" t="s">
        <v>544</v>
      </c>
      <c r="B345" s="54" t="s">
        <v>545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400</v>
      </c>
      <c r="Y345" s="542">
        <f t="shared" si="36"/>
        <v>405</v>
      </c>
      <c r="Z345" s="36">
        <f>IFERROR(IF(Y345=0,"",ROUNDUP(Y345/H345,0)*0.02175),"")</f>
        <v>0.58724999999999994</v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412.53333333333336</v>
      </c>
      <c r="BN345" s="64">
        <f t="shared" si="38"/>
        <v>417.69</v>
      </c>
      <c r="BO345" s="64">
        <f t="shared" si="39"/>
        <v>0.55555555555555558</v>
      </c>
      <c r="BP345" s="64">
        <f t="shared" si="40"/>
        <v>0.5625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3" t="s">
        <v>549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407</v>
      </c>
      <c r="Y346" s="542">
        <f t="shared" si="36"/>
        <v>420</v>
      </c>
      <c r="Z346" s="36">
        <f>IFERROR(IF(Y346=0,"",ROUNDUP(Y346/H346,0)*0.02175),"")</f>
        <v>0.60899999999999999</v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419.75266666666664</v>
      </c>
      <c r="BN346" s="64">
        <f t="shared" si="38"/>
        <v>433.16</v>
      </c>
      <c r="BO346" s="64">
        <f t="shared" si="39"/>
        <v>0.56527777777777777</v>
      </c>
      <c r="BP346" s="64">
        <f t="shared" si="40"/>
        <v>0.58333333333333326</v>
      </c>
    </row>
    <row r="347" spans="1:68" ht="27" customHeight="1" x14ac:dyDescent="0.25">
      <c r="A347" s="54" t="s">
        <v>551</v>
      </c>
      <c r="B347" s="54" t="s">
        <v>552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554</v>
      </c>
      <c r="B348" s="54" t="s">
        <v>555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25</v>
      </c>
      <c r="Y348" s="542">
        <f t="shared" si="36"/>
        <v>25</v>
      </c>
      <c r="Z348" s="36">
        <f>IFERROR(IF(Y348=0,"",ROUNDUP(Y348/H348,0)*0.00902),"")</f>
        <v>4.5100000000000001E-2</v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25.95</v>
      </c>
      <c r="BN348" s="64">
        <f t="shared" si="38"/>
        <v>25.95</v>
      </c>
      <c r="BO348" s="64">
        <f t="shared" si="39"/>
        <v>3.787878787878788E-2</v>
      </c>
      <c r="BP348" s="64">
        <f t="shared" si="40"/>
        <v>3.787878787878788E-2</v>
      </c>
    </row>
    <row r="349" spans="1:68" ht="37.5" customHeight="1" x14ac:dyDescent="0.25">
      <c r="A349" s="54" t="s">
        <v>556</v>
      </c>
      <c r="B349" s="54" t="s">
        <v>557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30</v>
      </c>
      <c r="Y349" s="542">
        <f t="shared" si="36"/>
        <v>30</v>
      </c>
      <c r="Z349" s="36">
        <f>IFERROR(IF(Y349=0,"",ROUNDUP(Y349/H349,0)*0.00902),"")</f>
        <v>5.4120000000000001E-2</v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31.140000000000004</v>
      </c>
      <c r="BN349" s="64">
        <f t="shared" si="38"/>
        <v>31.140000000000004</v>
      </c>
      <c r="BO349" s="64">
        <f t="shared" si="39"/>
        <v>4.5454545454545456E-2</v>
      </c>
      <c r="BP349" s="64">
        <f t="shared" si="40"/>
        <v>4.5454545454545456E-2</v>
      </c>
    </row>
    <row r="350" spans="1:68" x14ac:dyDescent="0.2">
      <c r="A350" s="555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7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114.53333333333333</v>
      </c>
      <c r="Y350" s="543">
        <f>IFERROR(Y343/H343,"0")+IFERROR(Y344/H344,"0")+IFERROR(Y345/H345,"0")+IFERROR(Y346/H346,"0")+IFERROR(Y347/H347,"0")+IFERROR(Y348/H348,"0")+IFERROR(Y349/H349,"0")</f>
        <v>117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2.4047200000000002</v>
      </c>
      <c r="AA350" s="544"/>
      <c r="AB350" s="544"/>
      <c r="AC350" s="544"/>
    </row>
    <row r="351" spans="1:68" x14ac:dyDescent="0.2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7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1608</v>
      </c>
      <c r="Y351" s="543">
        <f>IFERROR(SUM(Y343:Y349),"0")</f>
        <v>1645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700</v>
      </c>
      <c r="Y353" s="542">
        <f>IFERROR(IF(X353="",0,CEILING((X353/$H353),1)*$H353),"")</f>
        <v>705</v>
      </c>
      <c r="Z353" s="36">
        <f>IFERROR(IF(Y353=0,"",ROUNDUP(Y353/H353,0)*0.02175),"")</f>
        <v>1.0222499999999999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721.93333333333328</v>
      </c>
      <c r="BN353" s="64">
        <f>IFERROR(Y353*I353/H353,"0")</f>
        <v>727.09</v>
      </c>
      <c r="BO353" s="64">
        <f>IFERROR(1/J353*(X353/H353),"0")</f>
        <v>0.9722222222222221</v>
      </c>
      <c r="BP353" s="64">
        <f>IFERROR(1/J353*(Y353/H353),"0")</f>
        <v>0.97916666666666663</v>
      </c>
    </row>
    <row r="354" spans="1:68" ht="16.5" customHeight="1" x14ac:dyDescent="0.25">
      <c r="A354" s="54" t="s">
        <v>561</v>
      </c>
      <c r="B354" s="54" t="s">
        <v>562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16</v>
      </c>
      <c r="Y354" s="542">
        <f>IFERROR(IF(X354="",0,CEILING((X354/$H354),1)*$H354),"")</f>
        <v>16</v>
      </c>
      <c r="Z354" s="36">
        <f>IFERROR(IF(Y354=0,"",ROUNDUP(Y354/H354,0)*0.00902),"")</f>
        <v>3.6080000000000001E-2</v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16.760000000000002</v>
      </c>
      <c r="BN354" s="64">
        <f>IFERROR(Y354*I354/H354,"0")</f>
        <v>16.760000000000002</v>
      </c>
      <c r="BO354" s="64">
        <f>IFERROR(1/J354*(X354/H354),"0")</f>
        <v>3.0303030303030304E-2</v>
      </c>
      <c r="BP354" s="64">
        <f>IFERROR(1/J354*(Y354/H354),"0")</f>
        <v>3.0303030303030304E-2</v>
      </c>
    </row>
    <row r="355" spans="1:68" x14ac:dyDescent="0.2">
      <c r="A355" s="555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7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50.666666666666664</v>
      </c>
      <c r="Y355" s="543">
        <f>IFERROR(Y353/H353,"0")+IFERROR(Y354/H354,"0")</f>
        <v>51</v>
      </c>
      <c r="Z355" s="543">
        <f>IFERROR(IF(Z353="",0,Z353),"0")+IFERROR(IF(Z354="",0,Z354),"0")</f>
        <v>1.0583299999999998</v>
      </c>
      <c r="AA355" s="544"/>
      <c r="AB355" s="544"/>
      <c r="AC355" s="544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7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716</v>
      </c>
      <c r="Y356" s="543">
        <f>IFERROR(SUM(Y353:Y354),"0")</f>
        <v>721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35"/>
      <c r="AB357" s="535"/>
      <c r="AC357" s="535"/>
    </row>
    <row r="358" spans="1:68" ht="27" customHeight="1" x14ac:dyDescent="0.25">
      <c r="A358" s="54" t="s">
        <v>563</v>
      </c>
      <c r="B358" s="54" t="s">
        <v>564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566</v>
      </c>
      <c r="B359" s="54" t="s">
        <v>567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5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7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7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35"/>
      <c r="AB362" s="535"/>
      <c r="AC362" s="535"/>
    </row>
    <row r="363" spans="1:68" ht="16.5" customHeight="1" x14ac:dyDescent="0.25">
      <c r="A363" s="54" t="s">
        <v>569</v>
      </c>
      <c r="B363" s="54" t="s">
        <v>570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5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7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7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572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6"/>
      <c r="AB366" s="536"/>
      <c r="AC366" s="536"/>
    </row>
    <row r="367" spans="1:68" ht="14.25" customHeight="1" x14ac:dyDescent="0.25">
      <c r="A367" s="558" t="s">
        <v>101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35"/>
      <c r="AB367" s="535"/>
      <c r="AC367" s="535"/>
    </row>
    <row r="368" spans="1:68" ht="37.5" customHeight="1" x14ac:dyDescent="0.25">
      <c r="A368" s="54" t="s">
        <v>573</v>
      </c>
      <c r="B368" s="54" t="s">
        <v>574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576</v>
      </c>
      <c r="B369" s="54" t="s">
        <v>577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5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7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7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35"/>
      <c r="AB372" s="535"/>
      <c r="AC372" s="535"/>
    </row>
    <row r="373" spans="1:68" ht="27" customHeight="1" x14ac:dyDescent="0.25">
      <c r="A373" s="54" t="s">
        <v>578</v>
      </c>
      <c r="B373" s="54" t="s">
        <v>579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578</v>
      </c>
      <c r="B374" s="54" t="s">
        <v>581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5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7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7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35"/>
      <c r="AB377" s="535"/>
      <c r="AC377" s="535"/>
    </row>
    <row r="378" spans="1:68" ht="27" customHeight="1" x14ac:dyDescent="0.25">
      <c r="A378" s="54" t="s">
        <v>583</v>
      </c>
      <c r="B378" s="54" t="s">
        <v>584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44</v>
      </c>
      <c r="Y378" s="542">
        <f>IFERROR(IF(X378="",0,CEILING((X378/$H378),1)*$H378),"")</f>
        <v>45</v>
      </c>
      <c r="Z378" s="36">
        <f>IFERROR(IF(Y378=0,"",ROUNDUP(Y378/H378,0)*0.01898),"")</f>
        <v>9.4899999999999998E-2</v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46.415111111111109</v>
      </c>
      <c r="BN378" s="64">
        <f>IFERROR(Y378*I378/H378,"0")</f>
        <v>47.47</v>
      </c>
      <c r="BO378" s="64">
        <f>IFERROR(1/J378*(X378/H378),"0")</f>
        <v>7.6388888888888895E-2</v>
      </c>
      <c r="BP378" s="64">
        <f>IFERROR(1/J378*(Y378/H378),"0")</f>
        <v>7.8125E-2</v>
      </c>
    </row>
    <row r="379" spans="1:68" ht="27" customHeight="1" x14ac:dyDescent="0.25">
      <c r="A379" s="54" t="s">
        <v>586</v>
      </c>
      <c r="B379" s="54" t="s">
        <v>587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60</v>
      </c>
      <c r="Y379" s="542">
        <f>IFERROR(IF(X379="",0,CEILING((X379/$H379),1)*$H379),"")</f>
        <v>60</v>
      </c>
      <c r="Z379" s="36">
        <f>IFERROR(IF(Y379=0,"",ROUNDUP(Y379/H379,0)*0.00651),"")</f>
        <v>0.16275000000000001</v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66.600000000000009</v>
      </c>
      <c r="BN379" s="64">
        <f>IFERROR(Y379*I379/H379,"0")</f>
        <v>66.600000000000009</v>
      </c>
      <c r="BO379" s="64">
        <f>IFERROR(1/J379*(X379/H379),"0")</f>
        <v>0.13736263736263737</v>
      </c>
      <c r="BP379" s="64">
        <f>IFERROR(1/J379*(Y379/H379),"0")</f>
        <v>0.13736263736263737</v>
      </c>
    </row>
    <row r="380" spans="1:68" x14ac:dyDescent="0.2">
      <c r="A380" s="555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7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29.888888888888889</v>
      </c>
      <c r="Y380" s="543">
        <f>IFERROR(Y378/H378,"0")+IFERROR(Y379/H379,"0")</f>
        <v>30</v>
      </c>
      <c r="Z380" s="543">
        <f>IFERROR(IF(Z378="",0,Z378),"0")+IFERROR(IF(Z379="",0,Z379),"0")</f>
        <v>0.25764999999999999</v>
      </c>
      <c r="AA380" s="544"/>
      <c r="AB380" s="544"/>
      <c r="AC380" s="544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7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104</v>
      </c>
      <c r="Y381" s="543">
        <f>IFERROR(SUM(Y378:Y379),"0")</f>
        <v>105</v>
      </c>
      <c r="Z381" s="37"/>
      <c r="AA381" s="544"/>
      <c r="AB381" s="544"/>
      <c r="AC381" s="544"/>
    </row>
    <row r="382" spans="1:68" ht="27.75" customHeight="1" x14ac:dyDescent="0.2">
      <c r="A382" s="633" t="s">
        <v>588</v>
      </c>
      <c r="B382" s="634"/>
      <c r="C382" s="634"/>
      <c r="D382" s="634"/>
      <c r="E382" s="634"/>
      <c r="F382" s="634"/>
      <c r="G382" s="634"/>
      <c r="H382" s="634"/>
      <c r="I382" s="634"/>
      <c r="J382" s="634"/>
      <c r="K382" s="634"/>
      <c r="L382" s="634"/>
      <c r="M382" s="634"/>
      <c r="N382" s="634"/>
      <c r="O382" s="634"/>
      <c r="P382" s="634"/>
      <c r="Q382" s="634"/>
      <c r="R382" s="634"/>
      <c r="S382" s="634"/>
      <c r="T382" s="634"/>
      <c r="U382" s="634"/>
      <c r="V382" s="634"/>
      <c r="W382" s="634"/>
      <c r="X382" s="634"/>
      <c r="Y382" s="634"/>
      <c r="Z382" s="634"/>
      <c r="AA382" s="48"/>
      <c r="AB382" s="48"/>
      <c r="AC382" s="48"/>
    </row>
    <row r="383" spans="1:68" ht="16.5" customHeight="1" x14ac:dyDescent="0.25">
      <c r="A383" s="559" t="s">
        <v>589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6"/>
      <c r="AB383" s="536"/>
      <c r="AC383" s="536"/>
    </row>
    <row r="384" spans="1:68" ht="14.25" customHeight="1" x14ac:dyDescent="0.25">
      <c r="A384" s="558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5"/>
      <c r="AB384" s="535"/>
      <c r="AC384" s="535"/>
    </row>
    <row r="385" spans="1:68" ht="27" customHeight="1" x14ac:dyDescent="0.25">
      <c r="A385" s="54" t="s">
        <v>590</v>
      </c>
      <c r="B385" s="54" t="s">
        <v>591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601</v>
      </c>
      <c r="B389" s="54" t="s">
        <v>602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5</v>
      </c>
      <c r="Y389" s="542">
        <f t="shared" si="41"/>
        <v>6.3000000000000007</v>
      </c>
      <c r="Z389" s="36">
        <f t="shared" si="46"/>
        <v>1.506E-2</v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5.3095238095238093</v>
      </c>
      <c r="BN389" s="64">
        <f t="shared" si="43"/>
        <v>6.69</v>
      </c>
      <c r="BO389" s="64">
        <f t="shared" si="44"/>
        <v>1.0175010175010176E-2</v>
      </c>
      <c r="BP389" s="64">
        <f t="shared" si="45"/>
        <v>1.2820512820512822E-2</v>
      </c>
    </row>
    <row r="390" spans="1:68" ht="37.5" customHeight="1" x14ac:dyDescent="0.25">
      <c r="A390" s="54" t="s">
        <v>603</v>
      </c>
      <c r="B390" s="54" t="s">
        <v>604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612</v>
      </c>
      <c r="B393" s="54" t="s">
        <v>613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5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57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2.3809523809523809</v>
      </c>
      <c r="Y394" s="543">
        <f>IFERROR(Y385/H385,"0")+IFERROR(Y386/H386,"0")+IFERROR(Y387/H387,"0")+IFERROR(Y388/H388,"0")+IFERROR(Y389/H389,"0")+IFERROR(Y390/H390,"0")+IFERROR(Y391/H391,"0")+IFERROR(Y392/H392,"0")+IFERROR(Y393/H393,"0")</f>
        <v>3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1.506E-2</v>
      </c>
      <c r="AA394" s="544"/>
      <c r="AB394" s="544"/>
      <c r="AC394" s="544"/>
    </row>
    <row r="395" spans="1:68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7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5</v>
      </c>
      <c r="Y395" s="543">
        <f>IFERROR(SUM(Y385:Y393),"0")</f>
        <v>6.3000000000000007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5"/>
      <c r="AB396" s="535"/>
      <c r="AC396" s="535"/>
    </row>
    <row r="397" spans="1:68" ht="27" customHeight="1" x14ac:dyDescent="0.25">
      <c r="A397" s="54" t="s">
        <v>614</v>
      </c>
      <c r="B397" s="54" t="s">
        <v>615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617</v>
      </c>
      <c r="B398" s="54" t="s">
        <v>618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5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57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7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620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6"/>
      <c r="AB401" s="536"/>
      <c r="AC401" s="536"/>
    </row>
    <row r="402" spans="1:68" ht="14.25" customHeight="1" x14ac:dyDescent="0.25">
      <c r="A402" s="558" t="s">
        <v>136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5"/>
      <c r="AB402" s="535"/>
      <c r="AC402" s="535"/>
    </row>
    <row r="403" spans="1:68" ht="27" customHeight="1" x14ac:dyDescent="0.25">
      <c r="A403" s="54" t="s">
        <v>621</v>
      </c>
      <c r="B403" s="54" t="s">
        <v>622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5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57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7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5"/>
      <c r="AB406" s="535"/>
      <c r="AC406" s="535"/>
    </row>
    <row r="407" spans="1:68" ht="27" customHeight="1" x14ac:dyDescent="0.25">
      <c r="A407" s="54" t="s">
        <v>624</v>
      </c>
      <c r="B407" s="54" t="s">
        <v>625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633</v>
      </c>
      <c r="B410" s="54" t="s">
        <v>634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5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7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7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635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6"/>
      <c r="AB413" s="536"/>
      <c r="AC413" s="536"/>
    </row>
    <row r="414" spans="1:68" ht="14.25" customHeight="1" x14ac:dyDescent="0.25">
      <c r="A414" s="558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5"/>
      <c r="AB414" s="535"/>
      <c r="AC414" s="535"/>
    </row>
    <row r="415" spans="1:68" ht="27" customHeight="1" x14ac:dyDescent="0.25">
      <c r="A415" s="54" t="s">
        <v>636</v>
      </c>
      <c r="B415" s="54" t="s">
        <v>637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5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57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7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3" t="s">
        <v>639</v>
      </c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4"/>
      <c r="P418" s="634"/>
      <c r="Q418" s="634"/>
      <c r="R418" s="634"/>
      <c r="S418" s="634"/>
      <c r="T418" s="634"/>
      <c r="U418" s="634"/>
      <c r="V418" s="634"/>
      <c r="W418" s="634"/>
      <c r="X418" s="634"/>
      <c r="Y418" s="634"/>
      <c r="Z418" s="634"/>
      <c r="AA418" s="48"/>
      <c r="AB418" s="48"/>
      <c r="AC418" s="48"/>
    </row>
    <row r="419" spans="1:68" ht="16.5" customHeight="1" x14ac:dyDescent="0.25">
      <c r="A419" s="559" t="s">
        <v>639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6"/>
      <c r="AB419" s="536"/>
      <c r="AC419" s="536"/>
    </row>
    <row r="420" spans="1:68" ht="14.25" customHeight="1" x14ac:dyDescent="0.25">
      <c r="A420" s="558" t="s">
        <v>101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5"/>
      <c r="AB420" s="535"/>
      <c r="AC420" s="535"/>
    </row>
    <row r="421" spans="1:68" ht="27" customHeight="1" x14ac:dyDescent="0.25">
      <c r="A421" s="54" t="s">
        <v>640</v>
      </c>
      <c r="B421" s="54" t="s">
        <v>641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17</v>
      </c>
      <c r="Y421" s="542">
        <f t="shared" ref="Y421:Y431" si="47">IFERROR(IF(X421="",0,CEILING((X421/$H421),1)*$H421),"")</f>
        <v>21.12</v>
      </c>
      <c r="Z421" s="36">
        <f t="shared" ref="Z421:Z426" si="48">IFERROR(IF(Y421=0,"",ROUNDUP(Y421/H421,0)*0.01196),"")</f>
        <v>4.7840000000000001E-2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18.126893939393938</v>
      </c>
      <c r="BN421" s="64">
        <f t="shared" ref="BN421:BN431" si="50">IFERROR(Y421*I421/H421,"0")</f>
        <v>22.52</v>
      </c>
      <c r="BO421" s="64">
        <f t="shared" ref="BO421:BO431" si="51">IFERROR(1/J421*(X421/H421),"0")</f>
        <v>3.0958624708624712E-2</v>
      </c>
      <c r="BP421" s="64">
        <f t="shared" ref="BP421:BP431" si="52">IFERROR(1/J421*(Y421/H421),"0")</f>
        <v>3.8461538461538464E-2</v>
      </c>
    </row>
    <row r="422" spans="1:68" ht="27" customHeight="1" x14ac:dyDescent="0.25">
      <c r="A422" s="54" t="s">
        <v>642</v>
      </c>
      <c r="B422" s="54" t="s">
        <v>643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645</v>
      </c>
      <c r="B423" s="54" t="s">
        <v>646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6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648</v>
      </c>
      <c r="B424" s="54" t="s">
        <v>649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69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651</v>
      </c>
      <c r="B425" s="54" t="s">
        <v>652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659</v>
      </c>
      <c r="B428" s="54" t="s">
        <v>660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4</v>
      </c>
      <c r="Y428" s="542">
        <f t="shared" si="47"/>
        <v>4.8</v>
      </c>
      <c r="Z428" s="36">
        <f>IFERROR(IF(Y428=0,"",ROUNDUP(Y428/H428,0)*0.00902),"")</f>
        <v>9.0200000000000002E-3</v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5.7583333333333337</v>
      </c>
      <c r="BN428" s="64">
        <f t="shared" si="50"/>
        <v>6.91</v>
      </c>
      <c r="BO428" s="64">
        <f t="shared" si="51"/>
        <v>6.3131313131313139E-3</v>
      </c>
      <c r="BP428" s="64">
        <f t="shared" si="52"/>
        <v>7.575757575757576E-3</v>
      </c>
    </row>
    <row r="429" spans="1:68" ht="27" customHeight="1" x14ac:dyDescent="0.25">
      <c r="A429" s="54" t="s">
        <v>661</v>
      </c>
      <c r="B429" s="54" t="s">
        <v>662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666</v>
      </c>
      <c r="B431" s="54" t="s">
        <v>667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5"/>
      <c r="B432" s="556"/>
      <c r="C432" s="556"/>
      <c r="D432" s="556"/>
      <c r="E432" s="556"/>
      <c r="F432" s="556"/>
      <c r="G432" s="556"/>
      <c r="H432" s="556"/>
      <c r="I432" s="556"/>
      <c r="J432" s="556"/>
      <c r="K432" s="556"/>
      <c r="L432" s="556"/>
      <c r="M432" s="556"/>
      <c r="N432" s="556"/>
      <c r="O432" s="557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4.0530303030303028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5.6860000000000001E-2</v>
      </c>
      <c r="AA432" s="544"/>
      <c r="AB432" s="544"/>
      <c r="AC432" s="544"/>
    </row>
    <row r="433" spans="1:68" x14ac:dyDescent="0.2">
      <c r="A433" s="556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57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21</v>
      </c>
      <c r="Y433" s="543">
        <f>IFERROR(SUM(Y421:Y431),"0")</f>
        <v>25.92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6"/>
      <c r="P434" s="556"/>
      <c r="Q434" s="556"/>
      <c r="R434" s="556"/>
      <c r="S434" s="556"/>
      <c r="T434" s="556"/>
      <c r="U434" s="556"/>
      <c r="V434" s="556"/>
      <c r="W434" s="556"/>
      <c r="X434" s="556"/>
      <c r="Y434" s="556"/>
      <c r="Z434" s="556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44</v>
      </c>
      <c r="Y435" s="542">
        <f>IFERROR(IF(X435="",0,CEILING((X435/$H435),1)*$H435),"")</f>
        <v>47.52</v>
      </c>
      <c r="Z435" s="36">
        <f>IFERROR(IF(Y435=0,"",ROUNDUP(Y435/H435,0)*0.01196),"")</f>
        <v>0.10764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46.916666666666664</v>
      </c>
      <c r="BN435" s="64">
        <f>IFERROR(Y435*I435/H435,"0")</f>
        <v>50.669999999999995</v>
      </c>
      <c r="BO435" s="64">
        <f>IFERROR(1/J435*(X435/H435),"0")</f>
        <v>8.0128205128205121E-2</v>
      </c>
      <c r="BP435" s="64">
        <f>IFERROR(1/J435*(Y435/H435),"0")</f>
        <v>8.6538461538461536E-2</v>
      </c>
    </row>
    <row r="436" spans="1:68" ht="16.5" customHeight="1" x14ac:dyDescent="0.25">
      <c r="A436" s="54" t="s">
        <v>671</v>
      </c>
      <c r="B436" s="54" t="s">
        <v>672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673</v>
      </c>
      <c r="B437" s="54" t="s">
        <v>674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5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57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8.3333333333333321</v>
      </c>
      <c r="Y438" s="543">
        <f>IFERROR(Y435/H435,"0")+IFERROR(Y436/H436,"0")+IFERROR(Y437/H437,"0")</f>
        <v>9</v>
      </c>
      <c r="Z438" s="543">
        <f>IFERROR(IF(Z435="",0,Z435),"0")+IFERROR(IF(Z436="",0,Z436),"0")+IFERROR(IF(Z437="",0,Z437),"0")</f>
        <v>0.10764</v>
      </c>
      <c r="AA438" s="544"/>
      <c r="AB438" s="544"/>
      <c r="AC438" s="544"/>
    </row>
    <row r="439" spans="1:68" x14ac:dyDescent="0.2">
      <c r="A439" s="556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7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44</v>
      </c>
      <c r="Y439" s="543">
        <f>IFERROR(SUM(Y435:Y437),"0")</f>
        <v>47.52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6"/>
      <c r="P440" s="556"/>
      <c r="Q440" s="556"/>
      <c r="R440" s="556"/>
      <c r="S440" s="556"/>
      <c r="T440" s="556"/>
      <c r="U440" s="556"/>
      <c r="V440" s="556"/>
      <c r="W440" s="556"/>
      <c r="X440" s="556"/>
      <c r="Y440" s="556"/>
      <c r="Z440" s="556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7</v>
      </c>
      <c r="Y441" s="542">
        <f t="shared" ref="Y441:Y446" si="53">IFERROR(IF(X441="",0,CEILING((X441/$H441),1)*$H441),"")</f>
        <v>10.56</v>
      </c>
      <c r="Z441" s="36">
        <f>IFERROR(IF(Y441=0,"",ROUNDUP(Y441/H441,0)*0.01196),"")</f>
        <v>2.392E-2</v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7.4640151515151505</v>
      </c>
      <c r="BN441" s="64">
        <f t="shared" ref="BN441:BN446" si="55">IFERROR(Y441*I441/H441,"0")</f>
        <v>11.26</v>
      </c>
      <c r="BO441" s="64">
        <f t="shared" ref="BO441:BO446" si="56">IFERROR(1/J441*(X441/H441),"0")</f>
        <v>1.2747668997668998E-2</v>
      </c>
      <c r="BP441" s="64">
        <f t="shared" ref="BP441:BP446" si="57">IFERROR(1/J441*(Y441/H441),"0")</f>
        <v>1.9230769230769232E-2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30</v>
      </c>
      <c r="Y442" s="542">
        <f t="shared" si="53"/>
        <v>31.68</v>
      </c>
      <c r="Z442" s="36">
        <f>IFERROR(IF(Y442=0,"",ROUNDUP(Y442/H442,0)*0.01196),"")</f>
        <v>7.1760000000000004E-2</v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31.988636363636363</v>
      </c>
      <c r="BN442" s="64">
        <f t="shared" si="55"/>
        <v>33.779999999999994</v>
      </c>
      <c r="BO442" s="64">
        <f t="shared" si="56"/>
        <v>5.4632867132867136E-2</v>
      </c>
      <c r="BP442" s="64">
        <f t="shared" si="57"/>
        <v>5.7692307692307696E-2</v>
      </c>
    </row>
    <row r="443" spans="1:68" ht="27" customHeight="1" x14ac:dyDescent="0.25">
      <c r="A443" s="54" t="s">
        <v>681</v>
      </c>
      <c r="B443" s="54" t="s">
        <v>682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684</v>
      </c>
      <c r="B444" s="54" t="s">
        <v>685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686</v>
      </c>
      <c r="B445" s="54" t="s">
        <v>687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8</v>
      </c>
      <c r="Y445" s="542">
        <f t="shared" si="53"/>
        <v>9.6</v>
      </c>
      <c r="Z445" s="36">
        <f>IFERROR(IF(Y445=0,"",ROUNDUP(Y445/H445,0)*0.00902),"")</f>
        <v>1.804E-2</v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11.116666666666667</v>
      </c>
      <c r="BN445" s="64">
        <f t="shared" si="55"/>
        <v>13.34</v>
      </c>
      <c r="BO445" s="64">
        <f t="shared" si="56"/>
        <v>1.2626262626262628E-2</v>
      </c>
      <c r="BP445" s="64">
        <f t="shared" si="57"/>
        <v>1.5151515151515152E-2</v>
      </c>
    </row>
    <row r="446" spans="1:68" ht="27" customHeight="1" x14ac:dyDescent="0.25">
      <c r="A446" s="54" t="s">
        <v>688</v>
      </c>
      <c r="B446" s="54" t="s">
        <v>689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9</v>
      </c>
      <c r="Y446" s="542">
        <f t="shared" si="53"/>
        <v>9.6</v>
      </c>
      <c r="Z446" s="36">
        <f>IFERROR(IF(Y446=0,"",ROUNDUP(Y446/H446,0)*0.00902),"")</f>
        <v>1.804E-2</v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12.506250000000001</v>
      </c>
      <c r="BN446" s="64">
        <f t="shared" si="55"/>
        <v>13.34</v>
      </c>
      <c r="BO446" s="64">
        <f t="shared" si="56"/>
        <v>1.4204545454545456E-2</v>
      </c>
      <c r="BP446" s="64">
        <f t="shared" si="57"/>
        <v>1.5151515151515152E-2</v>
      </c>
    </row>
    <row r="447" spans="1:68" x14ac:dyDescent="0.2">
      <c r="A447" s="555"/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7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10.549242424242424</v>
      </c>
      <c r="Y447" s="543">
        <f>IFERROR(Y441/H441,"0")+IFERROR(Y442/H442,"0")+IFERROR(Y443/H443,"0")+IFERROR(Y444/H444,"0")+IFERROR(Y445/H445,"0")+IFERROR(Y446/H446,"0")</f>
        <v>12</v>
      </c>
      <c r="Z447" s="543">
        <f>IFERROR(IF(Z441="",0,Z441),"0")+IFERROR(IF(Z442="",0,Z442),"0")+IFERROR(IF(Z443="",0,Z443),"0")+IFERROR(IF(Z444="",0,Z444),"0")+IFERROR(IF(Z445="",0,Z445),"0")+IFERROR(IF(Z446="",0,Z446),"0")</f>
        <v>0.13175999999999999</v>
      </c>
      <c r="AA447" s="544"/>
      <c r="AB447" s="544"/>
      <c r="AC447" s="544"/>
    </row>
    <row r="448" spans="1:68" x14ac:dyDescent="0.2">
      <c r="A448" s="556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57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54</v>
      </c>
      <c r="Y448" s="543">
        <f>IFERROR(SUM(Y441:Y446),"0")</f>
        <v>61.440000000000005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6"/>
      <c r="P449" s="556"/>
      <c r="Q449" s="556"/>
      <c r="R449" s="556"/>
      <c r="S449" s="556"/>
      <c r="T449" s="556"/>
      <c r="U449" s="556"/>
      <c r="V449" s="556"/>
      <c r="W449" s="556"/>
      <c r="X449" s="556"/>
      <c r="Y449" s="556"/>
      <c r="Z449" s="556"/>
      <c r="AA449" s="535"/>
      <c r="AB449" s="535"/>
      <c r="AC449" s="535"/>
    </row>
    <row r="450" spans="1:68" ht="16.5" customHeight="1" x14ac:dyDescent="0.25">
      <c r="A450" s="54" t="s">
        <v>690</v>
      </c>
      <c r="B450" s="54" t="s">
        <v>691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693</v>
      </c>
      <c r="B451" s="54" t="s">
        <v>694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5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57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6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7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3" t="s">
        <v>699</v>
      </c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4"/>
      <c r="P455" s="634"/>
      <c r="Q455" s="634"/>
      <c r="R455" s="634"/>
      <c r="S455" s="634"/>
      <c r="T455" s="634"/>
      <c r="U455" s="634"/>
      <c r="V455" s="634"/>
      <c r="W455" s="634"/>
      <c r="X455" s="634"/>
      <c r="Y455" s="634"/>
      <c r="Z455" s="634"/>
      <c r="AA455" s="48"/>
      <c r="AB455" s="48"/>
      <c r="AC455" s="48"/>
    </row>
    <row r="456" spans="1:68" ht="16.5" customHeight="1" x14ac:dyDescent="0.25">
      <c r="A456" s="559" t="s">
        <v>699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36"/>
      <c r="AB456" s="536"/>
      <c r="AC456" s="536"/>
    </row>
    <row r="457" spans="1:68" ht="14.25" customHeight="1" x14ac:dyDescent="0.25">
      <c r="A457" s="558" t="s">
        <v>101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5"/>
      <c r="AB457" s="535"/>
      <c r="AC457" s="535"/>
    </row>
    <row r="458" spans="1:68" ht="27" customHeight="1" x14ac:dyDescent="0.25">
      <c r="A458" s="54" t="s">
        <v>700</v>
      </c>
      <c r="B458" s="54" t="s">
        <v>701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10</v>
      </c>
      <c r="Y460" s="542">
        <f>IFERROR(IF(X460="",0,CEILING((X460/$H460),1)*$H460),"")</f>
        <v>12</v>
      </c>
      <c r="Z460" s="36">
        <f>IFERROR(IF(Y460=0,"",ROUNDUP(Y460/H460,0)*0.01898),"")</f>
        <v>1.898E-2</v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10.341666666666667</v>
      </c>
      <c r="BN460" s="64">
        <f>IFERROR(Y460*I460/H460,"0")</f>
        <v>12.410000000000002</v>
      </c>
      <c r="BO460" s="64">
        <f>IFERROR(1/J460*(X460/H460),"0")</f>
        <v>1.3020833333333334E-2</v>
      </c>
      <c r="BP460" s="64">
        <f>IFERROR(1/J460*(Y460/H460),"0")</f>
        <v>1.5625E-2</v>
      </c>
    </row>
    <row r="461" spans="1:68" ht="27" customHeight="1" x14ac:dyDescent="0.25">
      <c r="A461" s="54" t="s">
        <v>709</v>
      </c>
      <c r="B461" s="54" t="s">
        <v>710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5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7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0.83333333333333337</v>
      </c>
      <c r="Y462" s="543">
        <f>IFERROR(Y458/H458,"0")+IFERROR(Y459/H459,"0")+IFERROR(Y460/H460,"0")+IFERROR(Y461/H461,"0")</f>
        <v>1</v>
      </c>
      <c r="Z462" s="543">
        <f>IFERROR(IF(Z458="",0,Z458),"0")+IFERROR(IF(Z459="",0,Z459),"0")+IFERROR(IF(Z460="",0,Z460),"0")+IFERROR(IF(Z461="",0,Z461),"0")</f>
        <v>1.898E-2</v>
      </c>
      <c r="AA462" s="544"/>
      <c r="AB462" s="544"/>
      <c r="AC462" s="544"/>
    </row>
    <row r="463" spans="1:68" x14ac:dyDescent="0.2">
      <c r="A463" s="556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7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10</v>
      </c>
      <c r="Y463" s="543">
        <f>IFERROR(SUM(Y458:Y461),"0")</f>
        <v>12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6"/>
      <c r="P464" s="556"/>
      <c r="Q464" s="556"/>
      <c r="R464" s="556"/>
      <c r="S464" s="556"/>
      <c r="T464" s="556"/>
      <c r="U464" s="556"/>
      <c r="V464" s="556"/>
      <c r="W464" s="556"/>
      <c r="X464" s="556"/>
      <c r="Y464" s="556"/>
      <c r="Z464" s="556"/>
      <c r="AA464" s="535"/>
      <c r="AB464" s="535"/>
      <c r="AC464" s="535"/>
    </row>
    <row r="465" spans="1:68" ht="27" customHeight="1" x14ac:dyDescent="0.25">
      <c r="A465" s="54" t="s">
        <v>711</v>
      </c>
      <c r="B465" s="54" t="s">
        <v>712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717</v>
      </c>
      <c r="B467" s="54" t="s">
        <v>718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5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7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6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7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6"/>
      <c r="P470" s="556"/>
      <c r="Q470" s="556"/>
      <c r="R470" s="556"/>
      <c r="S470" s="556"/>
      <c r="T470" s="556"/>
      <c r="U470" s="556"/>
      <c r="V470" s="556"/>
      <c r="W470" s="556"/>
      <c r="X470" s="556"/>
      <c r="Y470" s="556"/>
      <c r="Z470" s="556"/>
      <c r="AA470" s="535"/>
      <c r="AB470" s="535"/>
      <c r="AC470" s="535"/>
    </row>
    <row r="471" spans="1:68" ht="27" customHeight="1" x14ac:dyDescent="0.25">
      <c r="A471" s="54" t="s">
        <v>720</v>
      </c>
      <c r="B471" s="54" t="s">
        <v>721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30</v>
      </c>
      <c r="Y471" s="542">
        <f>IFERROR(IF(X471="",0,CEILING((X471/$H471),1)*$H471),"")</f>
        <v>33.6</v>
      </c>
      <c r="Z471" s="36">
        <f>IFERROR(IF(Y471=0,"",ROUNDUP(Y471/H471,0)*0.00902),"")</f>
        <v>7.2160000000000002E-2</v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31.785714285714285</v>
      </c>
      <c r="BN471" s="64">
        <f>IFERROR(Y471*I471/H471,"0")</f>
        <v>35.6</v>
      </c>
      <c r="BO471" s="64">
        <f>IFERROR(1/J471*(X471/H471),"0")</f>
        <v>5.4112554112554112E-2</v>
      </c>
      <c r="BP471" s="64">
        <f>IFERROR(1/J471*(Y471/H471),"0")</f>
        <v>6.0606060606060608E-2</v>
      </c>
    </row>
    <row r="472" spans="1:68" ht="27" customHeight="1" x14ac:dyDescent="0.25">
      <c r="A472" s="54" t="s">
        <v>723</v>
      </c>
      <c r="B472" s="54" t="s">
        <v>724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40</v>
      </c>
      <c r="Y472" s="542">
        <f>IFERROR(IF(X472="",0,CEILING((X472/$H472),1)*$H472),"")</f>
        <v>42</v>
      </c>
      <c r="Z472" s="36">
        <f>IFERROR(IF(Y472=0,"",ROUNDUP(Y472/H472,0)*0.00902),"")</f>
        <v>9.0200000000000002E-2</v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42.38095238095238</v>
      </c>
      <c r="BN472" s="64">
        <f>IFERROR(Y472*I472/H472,"0")</f>
        <v>44.5</v>
      </c>
      <c r="BO472" s="64">
        <f>IFERROR(1/J472*(X472/H472),"0")</f>
        <v>7.2150072150072145E-2</v>
      </c>
      <c r="BP472" s="64">
        <f>IFERROR(1/J472*(Y472/H472),"0")</f>
        <v>7.575757575757576E-2</v>
      </c>
    </row>
    <row r="473" spans="1:68" x14ac:dyDescent="0.2">
      <c r="A473" s="555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7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16.666666666666664</v>
      </c>
      <c r="Y473" s="543">
        <f>IFERROR(Y471/H471,"0")+IFERROR(Y472/H472,"0")</f>
        <v>18</v>
      </c>
      <c r="Z473" s="543">
        <f>IFERROR(IF(Z471="",0,Z471),"0")+IFERROR(IF(Z472="",0,Z472),"0")</f>
        <v>0.16236</v>
      </c>
      <c r="AA473" s="544"/>
      <c r="AB473" s="544"/>
      <c r="AC473" s="544"/>
    </row>
    <row r="474" spans="1:68" x14ac:dyDescent="0.2">
      <c r="A474" s="556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7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70</v>
      </c>
      <c r="Y474" s="543">
        <f>IFERROR(SUM(Y471:Y472),"0")</f>
        <v>75.599999999999994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6"/>
      <c r="P475" s="556"/>
      <c r="Q475" s="556"/>
      <c r="R475" s="556"/>
      <c r="S475" s="556"/>
      <c r="T475" s="556"/>
      <c r="U475" s="556"/>
      <c r="V475" s="556"/>
      <c r="W475" s="556"/>
      <c r="X475" s="556"/>
      <c r="Y475" s="556"/>
      <c r="Z475" s="556"/>
      <c r="AA475" s="535"/>
      <c r="AB475" s="535"/>
      <c r="AC475" s="535"/>
    </row>
    <row r="476" spans="1:68" ht="27" customHeight="1" x14ac:dyDescent="0.25">
      <c r="A476" s="54" t="s">
        <v>726</v>
      </c>
      <c r="B476" s="54" t="s">
        <v>727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5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7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7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35"/>
      <c r="AB479" s="535"/>
      <c r="AC479" s="535"/>
    </row>
    <row r="480" spans="1:68" ht="27" customHeight="1" x14ac:dyDescent="0.25">
      <c r="A480" s="54" t="s">
        <v>729</v>
      </c>
      <c r="B480" s="54" t="s">
        <v>730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732</v>
      </c>
      <c r="B481" s="54" t="s">
        <v>733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5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7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6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7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735</v>
      </c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6"/>
      <c r="P484" s="556"/>
      <c r="Q484" s="556"/>
      <c r="R484" s="556"/>
      <c r="S484" s="556"/>
      <c r="T484" s="556"/>
      <c r="U484" s="556"/>
      <c r="V484" s="556"/>
      <c r="W484" s="556"/>
      <c r="X484" s="556"/>
      <c r="Y484" s="556"/>
      <c r="Z484" s="556"/>
      <c r="AA484" s="536"/>
      <c r="AB484" s="536"/>
      <c r="AC484" s="536"/>
    </row>
    <row r="485" spans="1:68" ht="14.25" customHeight="1" x14ac:dyDescent="0.25">
      <c r="A485" s="558" t="s">
        <v>136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5"/>
      <c r="AB485" s="535"/>
      <c r="AC485" s="535"/>
    </row>
    <row r="486" spans="1:68" ht="27" customHeight="1" x14ac:dyDescent="0.25">
      <c r="A486" s="54" t="s">
        <v>736</v>
      </c>
      <c r="B486" s="54" t="s">
        <v>737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5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7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7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701"/>
      <c r="P489" s="630" t="s">
        <v>739</v>
      </c>
      <c r="Q489" s="631"/>
      <c r="R489" s="631"/>
      <c r="S489" s="631"/>
      <c r="T489" s="631"/>
      <c r="U489" s="631"/>
      <c r="V489" s="632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12108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12290.980000000001</v>
      </c>
      <c r="Z489" s="37"/>
      <c r="AA489" s="544"/>
      <c r="AB489" s="544"/>
      <c r="AC489" s="544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01"/>
      <c r="P490" s="630" t="s">
        <v>740</v>
      </c>
      <c r="Q490" s="631"/>
      <c r="R490" s="631"/>
      <c r="S490" s="631"/>
      <c r="T490" s="631"/>
      <c r="U490" s="631"/>
      <c r="V490" s="632"/>
      <c r="W490" s="37" t="s">
        <v>69</v>
      </c>
      <c r="X490" s="543">
        <f>IFERROR(SUM(BM22:BM486),"0")</f>
        <v>12810.697220237824</v>
      </c>
      <c r="Y490" s="543">
        <f>IFERROR(SUM(BN22:BN486),"0")</f>
        <v>13004.688000000004</v>
      </c>
      <c r="Z490" s="37"/>
      <c r="AA490" s="544"/>
      <c r="AB490" s="544"/>
      <c r="AC490" s="544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01"/>
      <c r="P491" s="630" t="s">
        <v>741</v>
      </c>
      <c r="Q491" s="631"/>
      <c r="R491" s="631"/>
      <c r="S491" s="631"/>
      <c r="T491" s="631"/>
      <c r="U491" s="631"/>
      <c r="V491" s="632"/>
      <c r="W491" s="37" t="s">
        <v>742</v>
      </c>
      <c r="X491" s="38">
        <f>ROUNDUP(SUM(BO22:BO486),0)</f>
        <v>22</v>
      </c>
      <c r="Y491" s="38">
        <f>ROUNDUP(SUM(BP22:BP486),0)</f>
        <v>22</v>
      </c>
      <c r="Z491" s="37"/>
      <c r="AA491" s="544"/>
      <c r="AB491" s="544"/>
      <c r="AC491" s="544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01"/>
      <c r="P492" s="630" t="s">
        <v>743</v>
      </c>
      <c r="Q492" s="631"/>
      <c r="R492" s="631"/>
      <c r="S492" s="631"/>
      <c r="T492" s="631"/>
      <c r="U492" s="631"/>
      <c r="V492" s="632"/>
      <c r="W492" s="37" t="s">
        <v>69</v>
      </c>
      <c r="X492" s="543">
        <f>GrossWeightTotal+PalletQtyTotal*25</f>
        <v>13360.697220237824</v>
      </c>
      <c r="Y492" s="543">
        <f>GrossWeightTotalR+PalletQtyTotalR*25</f>
        <v>13554.688000000004</v>
      </c>
      <c r="Z492" s="37"/>
      <c r="AA492" s="544"/>
      <c r="AB492" s="544"/>
      <c r="AC492" s="544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01"/>
      <c r="P493" s="630" t="s">
        <v>744</v>
      </c>
      <c r="Q493" s="631"/>
      <c r="R493" s="631"/>
      <c r="S493" s="631"/>
      <c r="T493" s="631"/>
      <c r="U493" s="631"/>
      <c r="V493" s="632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2430.8405192302253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2468</v>
      </c>
      <c r="Z493" s="37"/>
      <c r="AA493" s="544"/>
      <c r="AB493" s="544"/>
      <c r="AC493" s="544"/>
    </row>
    <row r="494" spans="1:68" ht="14.25" customHeight="1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01"/>
      <c r="P494" s="630" t="s">
        <v>745</v>
      </c>
      <c r="Q494" s="631"/>
      <c r="R494" s="631"/>
      <c r="S494" s="631"/>
      <c r="T494" s="631"/>
      <c r="U494" s="631"/>
      <c r="V494" s="632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25.622070000000001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91" t="s">
        <v>99</v>
      </c>
      <c r="D496" s="653"/>
      <c r="E496" s="653"/>
      <c r="F496" s="653"/>
      <c r="G496" s="653"/>
      <c r="H496" s="622"/>
      <c r="I496" s="591" t="s">
        <v>255</v>
      </c>
      <c r="J496" s="653"/>
      <c r="K496" s="653"/>
      <c r="L496" s="653"/>
      <c r="M496" s="653"/>
      <c r="N496" s="653"/>
      <c r="O496" s="653"/>
      <c r="P496" s="653"/>
      <c r="Q496" s="653"/>
      <c r="R496" s="622"/>
      <c r="S496" s="591" t="s">
        <v>536</v>
      </c>
      <c r="T496" s="622"/>
      <c r="U496" s="591" t="s">
        <v>588</v>
      </c>
      <c r="V496" s="653"/>
      <c r="W496" s="622"/>
      <c r="X496" s="533" t="s">
        <v>639</v>
      </c>
      <c r="Y496" s="591" t="s">
        <v>699</v>
      </c>
      <c r="Z496" s="622"/>
      <c r="AB496" s="52"/>
      <c r="AC496" s="52"/>
      <c r="AF496" s="534"/>
    </row>
    <row r="497" spans="1:32" ht="14.25" customHeight="1" thickTop="1" x14ac:dyDescent="0.2">
      <c r="A497" s="834" t="s">
        <v>748</v>
      </c>
      <c r="B497" s="591" t="s">
        <v>63</v>
      </c>
      <c r="C497" s="591" t="s">
        <v>100</v>
      </c>
      <c r="D497" s="591" t="s">
        <v>117</v>
      </c>
      <c r="E497" s="591" t="s">
        <v>171</v>
      </c>
      <c r="F497" s="591" t="s">
        <v>190</v>
      </c>
      <c r="G497" s="591" t="s">
        <v>220</v>
      </c>
      <c r="H497" s="591" t="s">
        <v>99</v>
      </c>
      <c r="I497" s="591" t="s">
        <v>256</v>
      </c>
      <c r="J497" s="591" t="s">
        <v>297</v>
      </c>
      <c r="K497" s="591" t="s">
        <v>357</v>
      </c>
      <c r="L497" s="591" t="s">
        <v>399</v>
      </c>
      <c r="M497" s="591" t="s">
        <v>415</v>
      </c>
      <c r="N497" s="534"/>
      <c r="O497" s="591" t="s">
        <v>426</v>
      </c>
      <c r="P497" s="591" t="s">
        <v>435</v>
      </c>
      <c r="Q497" s="591" t="s">
        <v>445</v>
      </c>
      <c r="R497" s="591" t="s">
        <v>526</v>
      </c>
      <c r="S497" s="591" t="s">
        <v>537</v>
      </c>
      <c r="T497" s="591" t="s">
        <v>572</v>
      </c>
      <c r="U497" s="591" t="s">
        <v>589</v>
      </c>
      <c r="V497" s="591" t="s">
        <v>620</v>
      </c>
      <c r="W497" s="591" t="s">
        <v>635</v>
      </c>
      <c r="X497" s="591" t="s">
        <v>639</v>
      </c>
      <c r="Y497" s="591" t="s">
        <v>699</v>
      </c>
      <c r="Z497" s="591" t="s">
        <v>735</v>
      </c>
      <c r="AB497" s="52"/>
      <c r="AC497" s="52"/>
      <c r="AF497" s="534"/>
    </row>
    <row r="498" spans="1:32" ht="13.5" customHeight="1" thickBot="1" x14ac:dyDescent="0.25">
      <c r="A498" s="835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4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366.8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1570.5</v>
      </c>
      <c r="E499" s="46">
        <f>IFERROR(Y85*1,"0")+IFERROR(Y86*1,"0")+IFERROR(Y87*1,"0")+IFERROR(Y91*1,"0")+IFERROR(Y92*1,"0")+IFERROR(Y93*1,"0")+IFERROR(Y94*1,"0")</f>
        <v>748.2600000000001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406.65</v>
      </c>
      <c r="G499" s="46">
        <f>IFERROR(Y124*1,"0")+IFERROR(Y125*1,"0")+IFERROR(Y129*1,"0")+IFERROR(Y130*1,"0")+IFERROR(Y134*1,"0")+IFERROR(Y135*1,"0")</f>
        <v>174.08</v>
      </c>
      <c r="H499" s="46">
        <f>IFERROR(Y140*1,"0")+IFERROR(Y141*1,"0")+IFERROR(Y142*1,"0")+IFERROR(Y146*1,"0")+IFERROR(Y147*1,"0")+IFERROR(Y148*1,"0")+IFERROR(Y152*1,"0")</f>
        <v>80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239.4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1056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18.810000000000002</v>
      </c>
      <c r="L499" s="46">
        <f>IFERROR(Y254*1,"0")+IFERROR(Y255*1,"0")+IFERROR(Y256*1,"0")+IFERROR(Y257*1,"0")+IFERROR(Y258*1,"0")</f>
        <v>615.6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67.2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3888.7999999999997</v>
      </c>
      <c r="R499" s="46">
        <f>IFERROR(Y335*1,"0")+IFERROR(Y336*1,"0")+IFERROR(Y337*1,"0")</f>
        <v>359.1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2366</v>
      </c>
      <c r="T499" s="46">
        <f>IFERROR(Y368*1,"0")+IFERROR(Y369*1,"0")+IFERROR(Y373*1,"0")+IFERROR(Y374*1,"0")+IFERROR(Y378*1,"0")+IFERROR(Y379*1,"0")</f>
        <v>105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6.3000000000000007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134.88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87.6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G497:G498"/>
    <mergeCell ref="Q497:Q498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A489:O4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A484:Z484"/>
    <mergeCell ref="A487:O488"/>
    <mergeCell ref="A33:Z33"/>
    <mergeCell ref="T497:T498"/>
    <mergeCell ref="D196:E196"/>
    <mergeCell ref="A269:Z269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N17:N1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A447:O448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P317:T317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P492:V492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A9:C9"/>
    <mergeCell ref="P125:T125"/>
    <mergeCell ref="P321:T321"/>
    <mergeCell ref="D202:E202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P483:V483"/>
    <mergeCell ref="D298:E298"/>
    <mergeCell ref="P91:T91"/>
    <mergeCell ref="P404:V404"/>
    <mergeCell ref="D273:E273"/>
    <mergeCell ref="P468:V468"/>
    <mergeCell ref="A464:Z464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P393:T393"/>
    <mergeCell ref="A419:Z419"/>
    <mergeCell ref="A153:O154"/>
    <mergeCell ref="A133:Z133"/>
    <mergeCell ref="D125:E125"/>
    <mergeCell ref="P446:T446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425:E425"/>
    <mergeCell ref="D359:E359"/>
    <mergeCell ref="H17:H18"/>
    <mergeCell ref="A220:O221"/>
    <mergeCell ref="P388:T388"/>
    <mergeCell ref="P451:T451"/>
    <mergeCell ref="P126:V126"/>
    <mergeCell ref="A470:Z470"/>
    <mergeCell ref="D424:E424"/>
    <mergeCell ref="P224:T224"/>
    <mergeCell ref="P322:T322"/>
    <mergeCell ref="P211:T211"/>
    <mergeCell ref="P309:T309"/>
    <mergeCell ref="P51:T51"/>
    <mergeCell ref="P324:T324"/>
    <mergeCell ref="A143:O144"/>
    <mergeCell ref="A261:Z261"/>
    <mergeCell ref="P338:V338"/>
    <mergeCell ref="P313:V313"/>
    <mergeCell ref="A138:Z138"/>
    <mergeCell ref="P58:V58"/>
    <mergeCell ref="D61:E61"/>
    <mergeCell ref="P115:T115"/>
    <mergeCell ref="D254:E254"/>
    <mergeCell ref="A367:Z367"/>
    <mergeCell ref="A183:Z183"/>
    <mergeCell ref="A88:O89"/>
    <mergeCell ref="D346:E346"/>
    <mergeCell ref="P229:T229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D328:E328"/>
    <mergeCell ref="P136:V136"/>
    <mergeCell ref="A253:Z253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D91:E91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P53:T53"/>
    <mergeCell ref="D167:E167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P490:V490"/>
    <mergeCell ref="A382:Z382"/>
    <mergeCell ref="A116:O117"/>
    <mergeCell ref="P428:T428"/>
    <mergeCell ref="D100:E100"/>
    <mergeCell ref="P113:T113"/>
    <mergeCell ref="A173:Z173"/>
    <mergeCell ref="P17:T18"/>
    <mergeCell ref="P129:T129"/>
    <mergeCell ref="A482:O483"/>
    <mergeCell ref="A416:O417"/>
    <mergeCell ref="D158:E158"/>
    <mergeCell ref="D329:E329"/>
    <mergeCell ref="D229:E229"/>
    <mergeCell ref="A402:Z402"/>
    <mergeCell ref="I17:I18"/>
    <mergeCell ref="P36:V36"/>
    <mergeCell ref="D388:E388"/>
    <mergeCell ref="P442:T442"/>
    <mergeCell ref="P467:T467"/>
    <mergeCell ref="P489:V489"/>
    <mergeCell ref="P119:T119"/>
    <mergeCell ref="A43:O44"/>
    <mergeCell ref="P246:T246"/>
    <mergeCell ref="D445:E445"/>
    <mergeCell ref="D224:E224"/>
    <mergeCell ref="P230:T230"/>
    <mergeCell ref="P168:T168"/>
    <mergeCell ref="D211:E211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D147:E147"/>
    <mergeCell ref="P188:V188"/>
    <mergeCell ref="A187:O188"/>
    <mergeCell ref="D209:E209"/>
    <mergeCell ref="H1:Q1"/>
    <mergeCell ref="P109:V109"/>
    <mergeCell ref="P280:V280"/>
    <mergeCell ref="P274:V274"/>
    <mergeCell ref="A366:Z366"/>
    <mergeCell ref="D214:E214"/>
    <mergeCell ref="A286:Z286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P148:T148"/>
    <mergeCell ref="A109:O110"/>
    <mergeCell ref="A47:O48"/>
    <mergeCell ref="D7:M7"/>
    <mergeCell ref="D129:E129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P158:T158"/>
    <mergeCell ref="P329:T329"/>
    <mergeCell ref="P251:V251"/>
    <mergeCell ref="P416:V416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P79:T79"/>
    <mergeCell ref="D60:E60"/>
    <mergeCell ref="P73:T73"/>
    <mergeCell ref="P315:T315"/>
    <mergeCell ref="P437:T437"/>
    <mergeCell ref="P231:T231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2025-11-11T10:26:32Z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