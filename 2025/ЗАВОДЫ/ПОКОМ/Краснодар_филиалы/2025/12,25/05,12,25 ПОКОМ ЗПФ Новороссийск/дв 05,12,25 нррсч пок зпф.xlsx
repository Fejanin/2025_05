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12,25 ПОКОМ ЗПФ Новороссийск\"/>
    </mc:Choice>
  </mc:AlternateContent>
  <xr:revisionPtr revIDLastSave="0" documentId="13_ncr:1_{541B93A8-61BD-4F91-9BB4-70C094D1DA5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Sheet!$A$3:$AM$67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52" i="1" l="1"/>
  <c r="AG48" i="1"/>
  <c r="X67" i="1"/>
  <c r="P67" i="1"/>
  <c r="W67" i="1" s="1"/>
  <c r="L67" i="1"/>
  <c r="X66" i="1"/>
  <c r="P66" i="1"/>
  <c r="W66" i="1" s="1"/>
  <c r="L66" i="1"/>
  <c r="X65" i="1"/>
  <c r="P65" i="1"/>
  <c r="W65" i="1" s="1"/>
  <c r="L65" i="1"/>
  <c r="X64" i="1"/>
  <c r="P64" i="1"/>
  <c r="W64" i="1" s="1"/>
  <c r="L64" i="1"/>
  <c r="X63" i="1"/>
  <c r="P63" i="1"/>
  <c r="W63" i="1" s="1"/>
  <c r="L63" i="1"/>
  <c r="X62" i="1"/>
  <c r="P62" i="1"/>
  <c r="W62" i="1" s="1"/>
  <c r="L62" i="1"/>
  <c r="X61" i="1"/>
  <c r="P61" i="1"/>
  <c r="W61" i="1" s="1"/>
  <c r="L61" i="1"/>
  <c r="X60" i="1"/>
  <c r="P60" i="1"/>
  <c r="W60" i="1" s="1"/>
  <c r="L60" i="1"/>
  <c r="X59" i="1"/>
  <c r="P59" i="1"/>
  <c r="W59" i="1" s="1"/>
  <c r="L59" i="1"/>
  <c r="X58" i="1"/>
  <c r="P58" i="1"/>
  <c r="V58" i="1" s="1"/>
  <c r="L58" i="1"/>
  <c r="X57" i="1"/>
  <c r="P57" i="1"/>
  <c r="W57" i="1" s="1"/>
  <c r="L57" i="1"/>
  <c r="X56" i="1"/>
  <c r="P56" i="1"/>
  <c r="W56" i="1" s="1"/>
  <c r="L56" i="1"/>
  <c r="X55" i="1"/>
  <c r="P55" i="1"/>
  <c r="W55" i="1" s="1"/>
  <c r="L55" i="1"/>
  <c r="X54" i="1"/>
  <c r="P54" i="1"/>
  <c r="W54" i="1" s="1"/>
  <c r="L54" i="1"/>
  <c r="X53" i="1"/>
  <c r="P53" i="1"/>
  <c r="W53" i="1" s="1"/>
  <c r="L53" i="1"/>
  <c r="X52" i="1"/>
  <c r="P52" i="1"/>
  <c r="W52" i="1" s="1"/>
  <c r="L52" i="1"/>
  <c r="X51" i="1"/>
  <c r="P51" i="1"/>
  <c r="W51" i="1" s="1"/>
  <c r="L51" i="1"/>
  <c r="X50" i="1"/>
  <c r="P50" i="1"/>
  <c r="W50" i="1" s="1"/>
  <c r="L50" i="1"/>
  <c r="X49" i="1"/>
  <c r="P49" i="1"/>
  <c r="W49" i="1" s="1"/>
  <c r="L49" i="1"/>
  <c r="X48" i="1"/>
  <c r="P48" i="1"/>
  <c r="W48" i="1" s="1"/>
  <c r="L48" i="1"/>
  <c r="X47" i="1"/>
  <c r="P47" i="1"/>
  <c r="W47" i="1" s="1"/>
  <c r="L47" i="1"/>
  <c r="X46" i="1"/>
  <c r="P46" i="1"/>
  <c r="W46" i="1" s="1"/>
  <c r="L46" i="1"/>
  <c r="X45" i="1"/>
  <c r="P45" i="1"/>
  <c r="W45" i="1" s="1"/>
  <c r="L45" i="1"/>
  <c r="X44" i="1"/>
  <c r="P44" i="1"/>
  <c r="W44" i="1" s="1"/>
  <c r="L44" i="1"/>
  <c r="X43" i="1"/>
  <c r="P43" i="1"/>
  <c r="W43" i="1" s="1"/>
  <c r="L43" i="1"/>
  <c r="X42" i="1"/>
  <c r="P42" i="1"/>
  <c r="W42" i="1" s="1"/>
  <c r="L42" i="1"/>
  <c r="X41" i="1"/>
  <c r="P41" i="1"/>
  <c r="W41" i="1" s="1"/>
  <c r="L41" i="1"/>
  <c r="X40" i="1"/>
  <c r="P40" i="1"/>
  <c r="L40" i="1"/>
  <c r="F40" i="1"/>
  <c r="X39" i="1"/>
  <c r="P39" i="1"/>
  <c r="W39" i="1" s="1"/>
  <c r="L39" i="1"/>
  <c r="X38" i="1"/>
  <c r="P38" i="1"/>
  <c r="W38" i="1" s="1"/>
  <c r="L38" i="1"/>
  <c r="X37" i="1"/>
  <c r="P37" i="1"/>
  <c r="W37" i="1" s="1"/>
  <c r="L37" i="1"/>
  <c r="X36" i="1"/>
  <c r="F36" i="1"/>
  <c r="E36" i="1"/>
  <c r="L36" i="1" s="1"/>
  <c r="X35" i="1"/>
  <c r="P35" i="1"/>
  <c r="W35" i="1" s="1"/>
  <c r="L35" i="1"/>
  <c r="X34" i="1"/>
  <c r="P34" i="1"/>
  <c r="W34" i="1" s="1"/>
  <c r="L34" i="1"/>
  <c r="X33" i="1"/>
  <c r="P33" i="1"/>
  <c r="W33" i="1" s="1"/>
  <c r="L33" i="1"/>
  <c r="X32" i="1"/>
  <c r="P32" i="1"/>
  <c r="W32" i="1" s="1"/>
  <c r="L32" i="1"/>
  <c r="X31" i="1"/>
  <c r="P31" i="1"/>
  <c r="W31" i="1" s="1"/>
  <c r="L31" i="1"/>
  <c r="X30" i="1"/>
  <c r="P30" i="1"/>
  <c r="W30" i="1" s="1"/>
  <c r="L30" i="1"/>
  <c r="X29" i="1"/>
  <c r="P29" i="1"/>
  <c r="W29" i="1" s="1"/>
  <c r="L29" i="1"/>
  <c r="X28" i="1"/>
  <c r="P28" i="1"/>
  <c r="W28" i="1" s="1"/>
  <c r="L28" i="1"/>
  <c r="X27" i="1"/>
  <c r="P27" i="1"/>
  <c r="L27" i="1"/>
  <c r="X26" i="1"/>
  <c r="P26" i="1"/>
  <c r="W26" i="1" s="1"/>
  <c r="L26" i="1"/>
  <c r="X25" i="1"/>
  <c r="P25" i="1"/>
  <c r="W25" i="1" s="1"/>
  <c r="L25" i="1"/>
  <c r="X24" i="1"/>
  <c r="P24" i="1"/>
  <c r="L24" i="1"/>
  <c r="X23" i="1"/>
  <c r="P23" i="1"/>
  <c r="Q23" i="1" s="1"/>
  <c r="L23" i="1"/>
  <c r="X22" i="1"/>
  <c r="P22" i="1"/>
  <c r="W22" i="1" s="1"/>
  <c r="L22" i="1"/>
  <c r="X21" i="1"/>
  <c r="P21" i="1"/>
  <c r="W21" i="1" s="1"/>
  <c r="L21" i="1"/>
  <c r="X20" i="1"/>
  <c r="P20" i="1"/>
  <c r="L20" i="1"/>
  <c r="X19" i="1"/>
  <c r="P19" i="1"/>
  <c r="L19" i="1"/>
  <c r="X18" i="1"/>
  <c r="P18" i="1"/>
  <c r="W18" i="1" s="1"/>
  <c r="L18" i="1"/>
  <c r="X17" i="1"/>
  <c r="P17" i="1"/>
  <c r="W17" i="1" s="1"/>
  <c r="L17" i="1"/>
  <c r="X16" i="1"/>
  <c r="P16" i="1"/>
  <c r="Q16" i="1" s="1"/>
  <c r="L16" i="1"/>
  <c r="X15" i="1"/>
  <c r="P15" i="1"/>
  <c r="Q15" i="1" s="1"/>
  <c r="L15" i="1"/>
  <c r="X14" i="1"/>
  <c r="P14" i="1"/>
  <c r="W14" i="1" s="1"/>
  <c r="L14" i="1"/>
  <c r="X13" i="1"/>
  <c r="F13" i="1"/>
  <c r="E13" i="1"/>
  <c r="L13" i="1" s="1"/>
  <c r="X12" i="1"/>
  <c r="P12" i="1"/>
  <c r="W12" i="1" s="1"/>
  <c r="L12" i="1"/>
  <c r="X11" i="1"/>
  <c r="P11" i="1"/>
  <c r="W11" i="1" s="1"/>
  <c r="L11" i="1"/>
  <c r="X10" i="1"/>
  <c r="P10" i="1"/>
  <c r="W10" i="1" s="1"/>
  <c r="L10" i="1"/>
  <c r="X9" i="1"/>
  <c r="P9" i="1"/>
  <c r="W9" i="1" s="1"/>
  <c r="L9" i="1"/>
  <c r="X8" i="1"/>
  <c r="P8" i="1"/>
  <c r="V8" i="1" s="1"/>
  <c r="L8" i="1"/>
  <c r="X7" i="1"/>
  <c r="P7" i="1"/>
  <c r="L7" i="1"/>
  <c r="X6" i="1"/>
  <c r="P6" i="1"/>
  <c r="V6" i="1" s="1"/>
  <c r="L6" i="1"/>
  <c r="AE5" i="1"/>
  <c r="AD5" i="1"/>
  <c r="AC5" i="1"/>
  <c r="AB5" i="1"/>
  <c r="AA5" i="1"/>
  <c r="Z5" i="1"/>
  <c r="Y5" i="1"/>
  <c r="U5" i="1"/>
  <c r="S5" i="1"/>
  <c r="O5" i="1"/>
  <c r="N5" i="1"/>
  <c r="M5" i="1"/>
  <c r="K5" i="1"/>
  <c r="Q49" i="1" l="1"/>
  <c r="Q18" i="1"/>
  <c r="Q62" i="1"/>
  <c r="AG62" i="1" s="1"/>
  <c r="Q39" i="1"/>
  <c r="Q38" i="1"/>
  <c r="Q55" i="1"/>
  <c r="AI55" i="1" s="1"/>
  <c r="AJ55" i="1" s="1"/>
  <c r="Q9" i="1"/>
  <c r="Q59" i="1"/>
  <c r="Q17" i="1"/>
  <c r="Q50" i="1"/>
  <c r="Q28" i="1"/>
  <c r="Q61" i="1"/>
  <c r="E5" i="1"/>
  <c r="Q66" i="1"/>
  <c r="AG66" i="1" s="1"/>
  <c r="W19" i="1"/>
  <c r="Q19" i="1"/>
  <c r="W20" i="1"/>
  <c r="Q20" i="1"/>
  <c r="W27" i="1"/>
  <c r="Q27" i="1"/>
  <c r="AG40" i="1"/>
  <c r="AI40" i="1"/>
  <c r="AM40" i="1" s="1"/>
  <c r="W7" i="1"/>
  <c r="V7" i="1"/>
  <c r="W15" i="1"/>
  <c r="W16" i="1"/>
  <c r="W23" i="1"/>
  <c r="W24" i="1"/>
  <c r="Q24" i="1"/>
  <c r="Q10" i="1"/>
  <c r="Q29" i="1"/>
  <c r="Q42" i="1"/>
  <c r="Q46" i="1"/>
  <c r="Q57" i="1"/>
  <c r="Q60" i="1"/>
  <c r="Q64" i="1"/>
  <c r="AI48" i="1"/>
  <c r="AM48" i="1" s="1"/>
  <c r="AI52" i="1"/>
  <c r="AM52" i="1" s="1"/>
  <c r="Q11" i="1"/>
  <c r="Q33" i="1"/>
  <c r="Q41" i="1"/>
  <c r="Q43" i="1"/>
  <c r="Q47" i="1"/>
  <c r="Q65" i="1"/>
  <c r="V30" i="1"/>
  <c r="V53" i="1"/>
  <c r="F5" i="1"/>
  <c r="X5" i="1"/>
  <c r="V12" i="1"/>
  <c r="L5" i="1"/>
  <c r="P13" i="1"/>
  <c r="V45" i="1"/>
  <c r="W6" i="1"/>
  <c r="W8" i="1"/>
  <c r="P36" i="1"/>
  <c r="W40" i="1"/>
  <c r="V44" i="1"/>
  <c r="W58" i="1"/>
  <c r="AJ48" i="1" l="1"/>
  <c r="R52" i="1"/>
  <c r="V52" i="1" s="1"/>
  <c r="AI66" i="1"/>
  <c r="AI62" i="1"/>
  <c r="R55" i="1"/>
  <c r="V55" i="1" s="1"/>
  <c r="AM55" i="1"/>
  <c r="AJ52" i="1"/>
  <c r="R62" i="1"/>
  <c r="V62" i="1" s="1"/>
  <c r="AG55" i="1"/>
  <c r="R48" i="1"/>
  <c r="V48" i="1" s="1"/>
  <c r="AI36" i="1"/>
  <c r="AG36" i="1"/>
  <c r="W13" i="1"/>
  <c r="AI65" i="1"/>
  <c r="AG65" i="1"/>
  <c r="AI61" i="1"/>
  <c r="AG61" i="1"/>
  <c r="AG56" i="1"/>
  <c r="AI56" i="1"/>
  <c r="AI51" i="1"/>
  <c r="AG51" i="1"/>
  <c r="AI47" i="1"/>
  <c r="AG47" i="1"/>
  <c r="AI41" i="1"/>
  <c r="AG41" i="1"/>
  <c r="AI37" i="1"/>
  <c r="AG37" i="1"/>
  <c r="AG33" i="1"/>
  <c r="AI33" i="1"/>
  <c r="AI28" i="1"/>
  <c r="AG28" i="1"/>
  <c r="AG22" i="1"/>
  <c r="AI22" i="1"/>
  <c r="AG14" i="1"/>
  <c r="AI14" i="1"/>
  <c r="AI9" i="1"/>
  <c r="AG9" i="1"/>
  <c r="AG64" i="1"/>
  <c r="AI64" i="1"/>
  <c r="AI57" i="1"/>
  <c r="AG57" i="1"/>
  <c r="AG46" i="1"/>
  <c r="AI46" i="1"/>
  <c r="AI38" i="1"/>
  <c r="AG38" i="1"/>
  <c r="AI32" i="1"/>
  <c r="AG32" i="1"/>
  <c r="AG25" i="1"/>
  <c r="AI25" i="1"/>
  <c r="AG17" i="1"/>
  <c r="AI17" i="1"/>
  <c r="AI24" i="1"/>
  <c r="AG24" i="1"/>
  <c r="AG23" i="1"/>
  <c r="AI23" i="1"/>
  <c r="AI16" i="1"/>
  <c r="AG16" i="1"/>
  <c r="AG15" i="1"/>
  <c r="AI15" i="1"/>
  <c r="AG27" i="1"/>
  <c r="AI27" i="1"/>
  <c r="AI20" i="1"/>
  <c r="AG20" i="1"/>
  <c r="AG19" i="1"/>
  <c r="AI19" i="1"/>
  <c r="AJ40" i="1"/>
  <c r="R40" i="1"/>
  <c r="V40" i="1" s="1"/>
  <c r="AG67" i="1"/>
  <c r="AI67" i="1"/>
  <c r="AG63" i="1"/>
  <c r="AI63" i="1"/>
  <c r="AG59" i="1"/>
  <c r="AI59" i="1"/>
  <c r="AI54" i="1"/>
  <c r="AG54" i="1"/>
  <c r="AG49" i="1"/>
  <c r="AI49" i="1"/>
  <c r="AG43" i="1"/>
  <c r="AI43" i="1"/>
  <c r="AG39" i="1"/>
  <c r="AI39" i="1"/>
  <c r="AI35" i="1"/>
  <c r="AG35" i="1"/>
  <c r="AI31" i="1"/>
  <c r="AG31" i="1"/>
  <c r="AG26" i="1"/>
  <c r="AI26" i="1"/>
  <c r="AG18" i="1"/>
  <c r="AI18" i="1"/>
  <c r="AG11" i="1"/>
  <c r="AI11" i="1"/>
  <c r="AG60" i="1"/>
  <c r="AI60" i="1"/>
  <c r="AG50" i="1"/>
  <c r="AI50" i="1"/>
  <c r="AG42" i="1"/>
  <c r="AI42" i="1"/>
  <c r="AI34" i="1"/>
  <c r="R34" i="1" s="1"/>
  <c r="AG34" i="1"/>
  <c r="AG29" i="1"/>
  <c r="AI29" i="1"/>
  <c r="AG21" i="1"/>
  <c r="AI21" i="1"/>
  <c r="AG10" i="1"/>
  <c r="AI10" i="1"/>
  <c r="W36" i="1"/>
  <c r="P5" i="1"/>
  <c r="AM66" i="1" l="1"/>
  <c r="R66" i="1"/>
  <c r="V66" i="1" s="1"/>
  <c r="AJ66" i="1"/>
  <c r="AM62" i="1"/>
  <c r="AJ62" i="1"/>
  <c r="AM10" i="1"/>
  <c r="R10" i="1"/>
  <c r="V10" i="1" s="1"/>
  <c r="AJ10" i="1"/>
  <c r="AM21" i="1"/>
  <c r="R21" i="1"/>
  <c r="V21" i="1" s="1"/>
  <c r="AJ21" i="1"/>
  <c r="AM29" i="1"/>
  <c r="R29" i="1"/>
  <c r="V29" i="1" s="1"/>
  <c r="AJ29" i="1"/>
  <c r="AM42" i="1"/>
  <c r="AJ42" i="1"/>
  <c r="R42" i="1"/>
  <c r="V42" i="1" s="1"/>
  <c r="AM50" i="1"/>
  <c r="R50" i="1"/>
  <c r="V50" i="1" s="1"/>
  <c r="AJ50" i="1"/>
  <c r="AM60" i="1"/>
  <c r="R60" i="1"/>
  <c r="V60" i="1" s="1"/>
  <c r="AJ60" i="1"/>
  <c r="AM11" i="1"/>
  <c r="R11" i="1"/>
  <c r="V11" i="1" s="1"/>
  <c r="AJ11" i="1"/>
  <c r="AM18" i="1"/>
  <c r="R18" i="1"/>
  <c r="V18" i="1" s="1"/>
  <c r="AJ18" i="1"/>
  <c r="AM26" i="1"/>
  <c r="R26" i="1"/>
  <c r="V26" i="1" s="1"/>
  <c r="AJ26" i="1"/>
  <c r="AM39" i="1"/>
  <c r="AJ39" i="1"/>
  <c r="R39" i="1"/>
  <c r="V39" i="1" s="1"/>
  <c r="AM43" i="1"/>
  <c r="AJ43" i="1"/>
  <c r="R43" i="1"/>
  <c r="V43" i="1" s="1"/>
  <c r="AM49" i="1"/>
  <c r="R49" i="1"/>
  <c r="V49" i="1" s="1"/>
  <c r="AJ49" i="1"/>
  <c r="AM59" i="1"/>
  <c r="R59" i="1"/>
  <c r="V59" i="1" s="1"/>
  <c r="AJ59" i="1"/>
  <c r="AM63" i="1"/>
  <c r="R63" i="1"/>
  <c r="V63" i="1" s="1"/>
  <c r="AJ63" i="1"/>
  <c r="AM67" i="1"/>
  <c r="R67" i="1"/>
  <c r="V67" i="1" s="1"/>
  <c r="AJ67" i="1"/>
  <c r="AM19" i="1"/>
  <c r="R19" i="1"/>
  <c r="V19" i="1" s="1"/>
  <c r="AJ19" i="1"/>
  <c r="AM27" i="1"/>
  <c r="R27" i="1"/>
  <c r="V27" i="1" s="1"/>
  <c r="AJ27" i="1"/>
  <c r="AJ15" i="1"/>
  <c r="R15" i="1"/>
  <c r="V15" i="1" s="1"/>
  <c r="AM15" i="1"/>
  <c r="AM23" i="1"/>
  <c r="R23" i="1"/>
  <c r="V23" i="1" s="1"/>
  <c r="AJ23" i="1"/>
  <c r="AM17" i="1"/>
  <c r="R17" i="1"/>
  <c r="V17" i="1" s="1"/>
  <c r="AJ17" i="1"/>
  <c r="AM25" i="1"/>
  <c r="R25" i="1"/>
  <c r="V25" i="1" s="1"/>
  <c r="AJ25" i="1"/>
  <c r="AM46" i="1"/>
  <c r="R46" i="1"/>
  <c r="V46" i="1" s="1"/>
  <c r="AJ46" i="1"/>
  <c r="AM64" i="1"/>
  <c r="R64" i="1"/>
  <c r="V64" i="1" s="1"/>
  <c r="AJ64" i="1"/>
  <c r="AJ14" i="1"/>
  <c r="AM14" i="1"/>
  <c r="R14" i="1"/>
  <c r="V14" i="1" s="1"/>
  <c r="AM22" i="1"/>
  <c r="R22" i="1"/>
  <c r="V22" i="1" s="1"/>
  <c r="AJ22" i="1"/>
  <c r="AM33" i="1"/>
  <c r="R33" i="1"/>
  <c r="V33" i="1" s="1"/>
  <c r="AJ33" i="1"/>
  <c r="AJ56" i="1"/>
  <c r="AM56" i="1"/>
  <c r="R56" i="1"/>
  <c r="V56" i="1" s="1"/>
  <c r="AG13" i="1"/>
  <c r="AG5" i="1" s="1"/>
  <c r="AI13" i="1"/>
  <c r="Q5" i="1"/>
  <c r="AM34" i="1"/>
  <c r="AJ34" i="1"/>
  <c r="V34" i="1"/>
  <c r="AM31" i="1"/>
  <c r="R31" i="1"/>
  <c r="V31" i="1" s="1"/>
  <c r="AJ31" i="1"/>
  <c r="AM35" i="1"/>
  <c r="R35" i="1"/>
  <c r="V35" i="1" s="1"/>
  <c r="AJ35" i="1"/>
  <c r="AJ54" i="1"/>
  <c r="AM54" i="1"/>
  <c r="R54" i="1"/>
  <c r="V54" i="1" s="1"/>
  <c r="AM20" i="1"/>
  <c r="R20" i="1"/>
  <c r="V20" i="1" s="1"/>
  <c r="AJ20" i="1"/>
  <c r="AM16" i="1"/>
  <c r="AJ16" i="1"/>
  <c r="R16" i="1"/>
  <c r="V16" i="1" s="1"/>
  <c r="AM24" i="1"/>
  <c r="R24" i="1"/>
  <c r="V24" i="1" s="1"/>
  <c r="AJ24" i="1"/>
  <c r="AM32" i="1"/>
  <c r="AJ32" i="1"/>
  <c r="R32" i="1"/>
  <c r="V32" i="1" s="1"/>
  <c r="AM38" i="1"/>
  <c r="AJ38" i="1"/>
  <c r="R38" i="1"/>
  <c r="V38" i="1" s="1"/>
  <c r="AJ57" i="1"/>
  <c r="R57" i="1"/>
  <c r="V57" i="1" s="1"/>
  <c r="AM57" i="1"/>
  <c r="AI5" i="1"/>
  <c r="AM9" i="1"/>
  <c r="R9" i="1"/>
  <c r="AJ9" i="1"/>
  <c r="AM28" i="1"/>
  <c r="R28" i="1"/>
  <c r="V28" i="1" s="1"/>
  <c r="AJ28" i="1"/>
  <c r="AM37" i="1"/>
  <c r="AJ37" i="1"/>
  <c r="R37" i="1"/>
  <c r="V37" i="1" s="1"/>
  <c r="AM41" i="1"/>
  <c r="AJ41" i="1"/>
  <c r="R41" i="1"/>
  <c r="V41" i="1" s="1"/>
  <c r="AM47" i="1"/>
  <c r="R47" i="1"/>
  <c r="V47" i="1" s="1"/>
  <c r="AJ47" i="1"/>
  <c r="AM51" i="1"/>
  <c r="R51" i="1"/>
  <c r="V51" i="1" s="1"/>
  <c r="AJ51" i="1"/>
  <c r="AM61" i="1"/>
  <c r="R61" i="1"/>
  <c r="V61" i="1" s="1"/>
  <c r="AJ61" i="1"/>
  <c r="AM65" i="1"/>
  <c r="R65" i="1"/>
  <c r="V65" i="1" s="1"/>
  <c r="AJ65" i="1"/>
  <c r="AM36" i="1"/>
  <c r="AJ36" i="1"/>
  <c r="R36" i="1"/>
  <c r="V36" i="1" s="1"/>
  <c r="V9" i="1" l="1"/>
  <c r="AJ13" i="1"/>
  <c r="AJ5" i="1" s="1"/>
  <c r="R13" i="1"/>
  <c r="V13" i="1" s="1"/>
  <c r="AM13" i="1"/>
  <c r="AM5" i="1" s="1"/>
  <c r="R5" i="1" l="1"/>
</calcChain>
</file>

<file path=xl/sharedStrings.xml><?xml version="1.0" encoding="utf-8"?>
<sst xmlns="http://schemas.openxmlformats.org/spreadsheetml/2006/main" count="264" uniqueCount="114">
  <si>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</si>
  <si>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</si>
  <si>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</si>
  <si>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</si>
  <si>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</si>
  <si>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</si>
  <si>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</si>
  <si>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</si>
  <si>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</si>
  <si>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</si>
  <si>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</si>
  <si>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</si>
  <si>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</si>
  <si>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</si>
  <si>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</si>
  <si>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</si>
  <si>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</si>
  <si>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</si>
  <si>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</si>
  <si>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</si>
  <si>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</si>
  <si>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</si>
  <si>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</si>
  <si>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</si>
  <si>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</si>
  <si>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</si>
  <si>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</si>
  <si>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</si>
  <si>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</si>
  <si>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</si>
  <si>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</si>
  <si>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</si>
  <si>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</si>
  <si>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05,12,</t>
  </si>
  <si>
    <t>28,11,</t>
  </si>
  <si>
    <t>14,11,</t>
  </si>
  <si>
    <t>07,11,</t>
  </si>
  <si>
    <t>24,10,</t>
  </si>
  <si>
    <t>17,10,</t>
  </si>
  <si>
    <t>10,10,</t>
  </si>
  <si>
    <t>03,10,</t>
  </si>
  <si>
    <t>26,09,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</si>
  <si>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</si>
  <si>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</si>
  <si>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</si>
  <si>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</si>
  <si>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мини с мясом и оливковым маслом 0,7 кг ТМ Горячая штучка  ПОКОМ</t>
  </si>
  <si>
    <t>Пельмени Бульмени мини с мясом и оливковым маслом 0,7 кг ТМ Горячая штучка  ПОКОМ</t>
  </si>
  <si>
    <t>БОНУС_Пельмени Бульмени с говядиной и свининой ТМ Горячая штучка. флоу-пак сфера 0,7 кг ПОКОМ</t>
  </si>
  <si>
    <t>Пельмени Бульмени с говядиной и свининой ТМ Горячая штучка. флоу-пак сфера 0,7 кг ПОКОМ</t>
  </si>
  <si>
    <t>Готовые бельмеши сочные с мясом ТМ Горячая штучка 0,3кг зам  ПОКОМ</t>
  </si>
  <si>
    <t>матрица</t>
  </si>
  <si>
    <t>Готовые чебупели острые с мясом 0,24кг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</si>
  <si>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</si>
  <si>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флоу-пак 0,24 кг.  ПОКОМ</t>
  </si>
  <si>
    <t>нет потребности</t>
  </si>
  <si>
    <t>Готовые чебупели сочные с мясом ТМ Горячая штучка флоу-пак 0,48 кг  ПОКОМ</t>
  </si>
  <si>
    <t>Готовые чебуреки с мясом ТМ Горячая штучка 0,09 кг флоу-пак ПОКОМ</t>
  </si>
  <si>
    <t>с 07,10,25 заказываем</t>
  </si>
  <si>
    <t>Готовые чебуреки со свининой и говядиной Гор.шт.0,36 кг зам.  ПОКОМ</t>
  </si>
  <si>
    <t>ЖАР-ладушки с мясом 0,2кг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</si>
  <si>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</si>
  <si>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0,2 кг.  ПОКОМ</t>
  </si>
  <si>
    <t>Мини-сосиски в тесте 3,7кг ВЕС заморож. ТМ Зареченские  ПОКОМ</t>
  </si>
  <si>
    <t>кг</t>
  </si>
  <si>
    <t>Мини-чебуречки с мясом ВЕС 5,5кг ТМ Зареченские  ПОКОМ</t>
  </si>
  <si>
    <t>есть ли потребность?</t>
  </si>
  <si>
    <t>Мини-шарики с курочкой и сыром ТМ Зареченские ВЕС  ПОКОМ</t>
  </si>
  <si>
    <t>Наггетсы Нагетосы Сочная курочка ТМ Горячая штучка 0,25 кг зам  ПОКОМ</t>
  </si>
  <si>
    <t>Наггетсы Хрустящие ТМ Зареченские. ВЕС ПОКОМ</t>
  </si>
  <si>
    <t>Наггетсы Хрустящие ТМ Стародворье с сочной курочкой 0,23 кг  ПОКОМ</t>
  </si>
  <si>
    <t>нужно увеличить продажи!!!</t>
  </si>
  <si>
    <t>Наггетсы из печи 0,25кг ТМ Вязанка ТС Няняггетсы Сливушки замор.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</si>
  <si>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</si>
  <si>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0,25 кг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</si>
  <si>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</si>
  <si>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ТМ Горячая штучка 0,4 кг.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</si>
  <si>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</si>
  <si>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</si>
  <si>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</si>
  <si>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нужно увеличить продажи</t>
  </si>
  <si>
    <t>Пельмени Бигбули со сливочным маслом ТМ Горячая штучка, флоу-пак сфера 0,7. ПОКОМ</t>
  </si>
  <si>
    <t>Пельмени Бульмени Нейробуст с мясом ТМ Горячая штучка ТС Бульмени ГШ сфера флоу-пак 0,6 кг.  ПОКОМ</t>
  </si>
  <si>
    <t>Пельмени Бульмени с говядиной и свининой 2,7кг Наваристые Горячая штучка ВЕС  ПОКОМ</t>
  </si>
  <si>
    <t>Пельмени Бульмени с говядиной и свининой 5кг Наваристые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</si>
  <si>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</si>
  <si>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со сливочным маслом ТМ Горячая штучка. флоу-пак сфера 0,4 кг. ПОКОМ</t>
  </si>
  <si>
    <t>Пельмени Бульмени со сливочным маслом ТМ Горячая штучка.флоу-пак сфера 0,7 кг. ПОКОМ</t>
  </si>
  <si>
    <t>Пельмени Бульмени хрустящие с мясом 0,22 кг ТМ Горячая штучка  ПОКОМ</t>
  </si>
  <si>
    <t>Пельмени Медвежьи ушки с фермерской свининой и говядиной Большие 0,4кг ТМ Стародворье  ПОКОМ</t>
  </si>
  <si>
    <t>Пельмени Медвежьи ушки с фермерской свининой и говядиной Малые 0,4кг ТМ Стародворье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</si>
  <si>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</si>
  <si>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</si>
  <si>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0,43 кг ТМ Стародворье ТС Медвежье ушко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</si>
  <si>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</si>
  <si>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</si>
  <si>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</si>
  <si>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</si>
  <si>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Супермени со сливочным маслом, Горячая штучка 0,2кг    ПОКОМ</t>
  </si>
  <si>
    <t>Пирожки с мясом 3,7кг ВЕС ТМ Зареченские  ПОКОМ</t>
  </si>
  <si>
    <t>Пирожки с мясом, картофелем и грибами 3,7кг ВЕС ТМ Зареченские  ПОКОМ</t>
  </si>
  <si>
    <t>Пирожки с яблоком и грушей ВЕС ТМ Зареченские  ПОКОМ</t>
  </si>
  <si>
    <t>Сочный мегачебурек ТМ Зареченские ВЕС ПОКОМ</t>
  </si>
  <si>
    <t>Хот-догстер ТМ Горячая штучка ТС Хот-Догстер флоу-пак 0,09 кг. ПОКОМ</t>
  </si>
  <si>
    <t>вывод</t>
  </si>
  <si>
    <t>Хотстеры ТМ Горячая штучка ТС Хотстеры 0,25 кг зам  ПОКОМ</t>
  </si>
  <si>
    <t>Хотстеры с сыром 0,25кг ТМ Горячая штучка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</si>
  <si>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</si>
  <si>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</si>
  <si>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ТМ Горячая штучка, 0,3 кг зам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</si>
  <si>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</si>
  <si>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</si>
  <si>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 ПОКОМ</t>
  </si>
  <si>
    <t>Чебуреки сочные ВЕС ТМ Зареченские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</si>
</sst>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5" fillId="7" borderId="1" xfId="1" applyNumberFormat="1" applyFont="1" applyFill="1"/>
    <xf numFmtId="164" fontId="1" fillId="8" borderId="1" xfId="1" applyNumberFormat="1" applyFill="1"/>
    <xf numFmtId="164" fontId="6" fillId="8" borderId="1" xfId="1" applyNumberFormat="1" applyFont="1" applyFill="1"/>
    <xf numFmtId="164" fontId="7" fillId="9" borderId="2" xfId="1" applyNumberFormat="1" applyFont="1" applyFill="1" applyBorder="1"/>
    <xf numFmtId="164" fontId="7" fillId="9" borderId="1" xfId="1" applyNumberFormat="1" applyFont="1" applyFill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3;&#1086;&#1074;&#1086;&#1088;&#1086;&#1089;&#1089;&#1080;&#1081;&#1089;&#1082;/&#1087;&#1088;&#1086;&#1076;&#1072;&#1078;&#1080;%20&#1053;&#1086;&#1074;&#1086;&#1088;&#1086;&#1089;&#1089;&#1080;&#1081;&#1089;&#1082;%2022,11,25-28,11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22.11.2025 - 28.11.2025</v>
          </cell>
        </row>
        <row r="3">
          <cell r="A3" t="str">
            <v>Отбор:</v>
          </cell>
          <cell r="C3" t="str">
            <v>Номенклатура В группе из списка "ПОКОМ Логистический Партн..." И
Склад / комиссионер  / подразделение В группе из списка "ЗАМОРОЗКА НОВОРОССИЙСК (с..." И
Это тара Равно "Нет"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Вес</v>
          </cell>
          <cell r="F6" t="str">
            <v>Количество</v>
          </cell>
        </row>
        <row r="7">
          <cell r="A7" t="str">
            <v>БОНУС_Готовые чебупели сочные с мясом ТМ Горячая штучка флоу-пак 0,24 кг  ПОКОМ</v>
          </cell>
          <cell r="D7">
            <v>57.84</v>
          </cell>
          <cell r="F7">
            <v>241</v>
          </cell>
        </row>
        <row r="8">
          <cell r="A8" t="str">
            <v>БОНУС_Пельмени Бульмени мини с мясом и оливковым маслом 0,7 кг ТМ Горячая штучка  ПОКОМ</v>
          </cell>
          <cell r="D8">
            <v>120.4</v>
          </cell>
          <cell r="F8">
            <v>172</v>
          </cell>
        </row>
        <row r="9">
          <cell r="A9" t="str">
            <v>Готовые бельмеши сочные с мясом ТМ Горячая штучка 0,3кг зам  ПОКОМ</v>
          </cell>
          <cell r="D9">
            <v>19.2</v>
          </cell>
          <cell r="F9">
            <v>64</v>
          </cell>
        </row>
        <row r="10">
          <cell r="A10" t="str">
            <v>Готовые чебупели острые с мясом 0,24кг ТМ Горячая штучка  ПОКОМ</v>
          </cell>
          <cell r="D10">
            <v>28.8</v>
          </cell>
          <cell r="F10">
            <v>120</v>
          </cell>
        </row>
        <row r="11">
          <cell r="A11" t="str">
            <v>Готовые чебупели с ветчиной и сыром ТМ Горячая штучка флоу-пак 0,24 кг.  ПОКОМ</v>
          </cell>
          <cell r="D11">
            <v>30.72</v>
          </cell>
          <cell r="F11">
            <v>128</v>
          </cell>
        </row>
        <row r="12">
          <cell r="A12" t="str">
            <v>Готовые чебупели сочные с мясом ТМ Горячая штучка флоу-пак 0,24 кг  ПОКОМ</v>
          </cell>
          <cell r="D12">
            <v>27.6</v>
          </cell>
          <cell r="F12">
            <v>115</v>
          </cell>
        </row>
        <row r="13">
          <cell r="A13" t="str">
            <v>Готовые чебупели сочные с мясом ТМ Горячая штучка флоу-пак 0,48 кг  ПОКОМ</v>
          </cell>
          <cell r="D13">
            <v>12.96</v>
          </cell>
          <cell r="F13">
            <v>27</v>
          </cell>
        </row>
        <row r="14">
          <cell r="A14" t="str">
            <v>Готовые чебуреки с мясом ТМ Горячая штучка 0,09 кг флоу-пак ПОКОМ</v>
          </cell>
          <cell r="D14">
            <v>23.49</v>
          </cell>
          <cell r="F14">
            <v>261</v>
          </cell>
        </row>
        <row r="15">
          <cell r="A15" t="str">
            <v>Готовые чебуреки со свининой и говядиной Гор.шт.0,36 кг зам.  ПОКОМ</v>
          </cell>
          <cell r="D15">
            <v>35.28</v>
          </cell>
          <cell r="F15">
            <v>98</v>
          </cell>
        </row>
        <row r="16">
          <cell r="A16" t="str">
            <v>ЖАР-ладушки с мясом 0,2кг ТМ Стародворье  ПОКОМ</v>
          </cell>
          <cell r="D16">
            <v>62.4</v>
          </cell>
          <cell r="F16">
            <v>312</v>
          </cell>
        </row>
        <row r="17">
          <cell r="A17" t="str">
            <v>Круггетсы с сырным соусом ТМ Горячая штучка 0,25 кг зам  ПОКОМ</v>
          </cell>
          <cell r="D17">
            <v>-1</v>
          </cell>
          <cell r="F17">
            <v>-4</v>
          </cell>
        </row>
        <row r="18">
          <cell r="A18" t="str">
            <v>Круггетсы с сырным соусом ТМ Горячая штучка ТС Круггетсы флоу-пак 0,2 кг  ПОКОМ</v>
          </cell>
          <cell r="D18">
            <v>18.399999999999999</v>
          </cell>
          <cell r="F18">
            <v>92</v>
          </cell>
        </row>
        <row r="19">
          <cell r="A19" t="str">
            <v>Круггетсы сочные ТМ Горячая штучка ТС Круггетсы флоу-пак 0,2 кг.  ПОКОМ</v>
          </cell>
          <cell r="D19">
            <v>21.8</v>
          </cell>
          <cell r="F19">
            <v>109</v>
          </cell>
        </row>
        <row r="20">
          <cell r="A20" t="str">
            <v>Мини-сосиски в тесте 3,7кг ВЕС заморож. ТМ Зареченские  ПОКОМ</v>
          </cell>
          <cell r="D20">
            <v>33.299999999999997</v>
          </cell>
          <cell r="F20">
            <v>33.299999999999997</v>
          </cell>
        </row>
        <row r="21">
          <cell r="A21" t="str">
            <v>Мини-чебуречки с мясом ВЕС 5,5кг ТМ Зареченские  ПОКОМ</v>
          </cell>
          <cell r="D21">
            <v>11</v>
          </cell>
          <cell r="F21">
            <v>11</v>
          </cell>
        </row>
        <row r="22">
          <cell r="A22" t="str">
            <v>Мини-шарики с курочкой и сыром ТМ Зареченские ВЕС  ПОКОМ</v>
          </cell>
          <cell r="D22">
            <v>21</v>
          </cell>
          <cell r="F22">
            <v>21</v>
          </cell>
        </row>
        <row r="23">
          <cell r="A23" t="str">
            <v>Наггетсы из печи 0,25кг ТМ Вязанка ТС Няняггетсы Сливушки замор.  ПОКОМ</v>
          </cell>
          <cell r="D23">
            <v>25.75</v>
          </cell>
          <cell r="F23">
            <v>103</v>
          </cell>
        </row>
        <row r="24">
          <cell r="A24" t="str">
            <v>Наггетсы Нагетосы Сочная курочка ТМ Горячая штучка 0,25 кг зам  ПОКОМ</v>
          </cell>
          <cell r="D24">
            <v>31</v>
          </cell>
          <cell r="F24">
            <v>124</v>
          </cell>
        </row>
        <row r="25">
          <cell r="A25" t="str">
            <v>Наггетсы с индейкой 0,25кг ТМ Вязанка ТС Няняггетсы Сливушки НД2 замор.  ПОКОМ</v>
          </cell>
          <cell r="D25">
            <v>17.5</v>
          </cell>
          <cell r="F25">
            <v>70</v>
          </cell>
        </row>
        <row r="26">
          <cell r="A26" t="str">
            <v>Наггетсы с куриным филе и сыром ТМ Вязанка 0,25 кг ПОКОМ</v>
          </cell>
          <cell r="D26">
            <v>18.5</v>
          </cell>
          <cell r="F26">
            <v>74</v>
          </cell>
        </row>
        <row r="27">
          <cell r="A27" t="str">
            <v>Наггетсы Хрустящие ТМ Зареченские. ВЕС ПОКОМ</v>
          </cell>
          <cell r="D27">
            <v>48</v>
          </cell>
          <cell r="F27">
            <v>48</v>
          </cell>
        </row>
        <row r="28">
          <cell r="A28" t="str">
            <v>Наггетсы Хрустящие ТМ Стародворье с сочной курочкой 0,23 кг  ПОКОМ</v>
          </cell>
          <cell r="D28">
            <v>20.239999999999998</v>
          </cell>
          <cell r="F28">
            <v>88</v>
          </cell>
        </row>
        <row r="29">
          <cell r="A29" t="str">
            <v>Пекерсы с индейкой в сливочном соусе ТМ Горячая штучка 0,25 кг зам  ПОКОМ</v>
          </cell>
          <cell r="D29">
            <v>39.5</v>
          </cell>
          <cell r="F29">
            <v>158</v>
          </cell>
        </row>
        <row r="30">
          <cell r="A30" t="str">
            <v>Пельмени Бигбули #МЕГАВКУСИЩЕ с сочной грудинкой ТМ Горячая штучка 0,7 кг. ПОКОМ</v>
          </cell>
          <cell r="D30">
            <v>11.2</v>
          </cell>
          <cell r="F30">
            <v>16</v>
          </cell>
        </row>
        <row r="31">
          <cell r="A31" t="str">
            <v>Пельмени Бигбули с мясом ТМ Горячая штучка. флоу-пак сфера 0,4 кг. ПОКОМ</v>
          </cell>
          <cell r="D31">
            <v>13.2</v>
          </cell>
          <cell r="F31">
            <v>33</v>
          </cell>
        </row>
        <row r="32">
          <cell r="A32" t="str">
            <v>Пельмени Бигбули с мясом ТМ Горячая штучка. флоу-пак сфера 0,7 кг ПОКОМ</v>
          </cell>
          <cell r="D32">
            <v>46.2</v>
          </cell>
          <cell r="F32">
            <v>66</v>
          </cell>
        </row>
        <row r="33">
          <cell r="A33" t="str">
            <v>Пельмени Бигбули со сливочным маслом ТМ Горячая штучка, флоу-пак сфера 0,7. ПОКОМ</v>
          </cell>
          <cell r="D33">
            <v>13.3</v>
          </cell>
          <cell r="F33">
            <v>19</v>
          </cell>
        </row>
        <row r="34">
          <cell r="A34" t="str">
            <v>Пельмени Бульмени мини с мясом и оливковым маслом 0,7 кг ТМ Горячая штучка  ПОКОМ</v>
          </cell>
          <cell r="D34">
            <v>14.7</v>
          </cell>
          <cell r="F34">
            <v>21</v>
          </cell>
        </row>
        <row r="35">
          <cell r="A35" t="str">
            <v>Пельмени Бульмени Нейробуст с мясом ТМ Горячая штучка ТС Бульмени ГШ сфера флоу-пак 0,6 кг.  ПОКОМ</v>
          </cell>
          <cell r="D35">
            <v>8.4</v>
          </cell>
          <cell r="F35">
            <v>14</v>
          </cell>
        </row>
        <row r="36">
          <cell r="A36" t="str">
            <v>Пельмени Бульмени с говядиной и свининой 2,7кг Наваристые Горячая штучка ВЕС  ПОКОМ</v>
          </cell>
          <cell r="D36">
            <v>18.899999999999999</v>
          </cell>
          <cell r="F36">
            <v>18.899999999999999</v>
          </cell>
        </row>
        <row r="37">
          <cell r="A37" t="str">
            <v>Пельмени Бульмени с говядиной и свининой 5кг Наваристые Горячая штучка ВЕС  ПОКОМ</v>
          </cell>
          <cell r="D37">
            <v>105</v>
          </cell>
          <cell r="F37">
            <v>105</v>
          </cell>
        </row>
        <row r="38">
          <cell r="A38" t="str">
            <v>Пельмени Бульмени с говядиной и свининой ТМ Горячая штучка. флоу-пак сфера 0,4 кг ПОКОМ</v>
          </cell>
          <cell r="D38">
            <v>54.8</v>
          </cell>
          <cell r="F38">
            <v>137</v>
          </cell>
        </row>
        <row r="39">
          <cell r="A39" t="str">
            <v>Пельмени Бульмени с говядиной и свининой ТМ Горячая штучка. флоу-пак сфера 0,7 кг ПОКОМ</v>
          </cell>
          <cell r="D39">
            <v>135.80000000000001</v>
          </cell>
          <cell r="F39">
            <v>194</v>
          </cell>
        </row>
        <row r="40">
          <cell r="A40" t="str">
            <v>Пельмени Бульмени со сливочным маслом ТМ Горячая штучка. флоу-пак сфера 0,4 кг. ПОКОМ</v>
          </cell>
          <cell r="D40">
            <v>62.8</v>
          </cell>
          <cell r="F40">
            <v>157</v>
          </cell>
        </row>
        <row r="41">
          <cell r="A41" t="str">
            <v>Пельмени Бульмени со сливочным маслом ТМ Горячая штучка.флоу-пак сфера 0,7 кг. ПОКОМ</v>
          </cell>
          <cell r="D41">
            <v>126</v>
          </cell>
          <cell r="F41">
            <v>180</v>
          </cell>
        </row>
        <row r="42">
          <cell r="A42" t="str">
            <v>Пельмени Бульмени хрустящие с мясом 0,22 кг ТМ Горячая штучка  ПОКОМ</v>
          </cell>
          <cell r="D42">
            <v>10.78</v>
          </cell>
          <cell r="F42">
            <v>49</v>
          </cell>
        </row>
        <row r="43">
          <cell r="A43" t="str">
            <v>Пельмени Мясные с говядиной ТМ Стародворье сфера флоу-пак 1 кг  ПОКОМ</v>
          </cell>
          <cell r="D43">
            <v>113</v>
          </cell>
          <cell r="F43">
            <v>113</v>
          </cell>
        </row>
        <row r="44">
          <cell r="A44" t="str">
            <v>Пельмени Отборные из свинины и говядины 0,9 кг ТМ Стародворье ТС Медвежье ушко  ПОКОМ</v>
          </cell>
          <cell r="D44">
            <v>72.900000000000006</v>
          </cell>
          <cell r="F44">
            <v>81</v>
          </cell>
        </row>
        <row r="45">
          <cell r="A45" t="str">
            <v>Пельмени Отборные с говядиной 0,43 кг ТМ Стародворье ТС Медвежье ушко</v>
          </cell>
          <cell r="D45">
            <v>7.74</v>
          </cell>
          <cell r="F45">
            <v>18</v>
          </cell>
        </row>
        <row r="46">
          <cell r="A46" t="str">
            <v>Пельмени Отборные с говядиной 0,9 кг НОВА ТМ Стародворье ТС Медвежье ушко  ПОКОМ</v>
          </cell>
          <cell r="D46">
            <v>43.2</v>
          </cell>
          <cell r="F46">
            <v>48</v>
          </cell>
        </row>
        <row r="47">
          <cell r="A47" t="str">
            <v>Пельмени Отборные с говядиной и свининой 0,43 кг ТМ Стародворье ТС Медвежье ушко</v>
          </cell>
          <cell r="D47">
            <v>14.62</v>
          </cell>
          <cell r="F47">
            <v>34</v>
          </cell>
        </row>
        <row r="48">
          <cell r="A48" t="str">
            <v>Пельмени С говядиной и свининой, ВЕС, сфера пуговки Мясная Галерея  ПОКОМ</v>
          </cell>
          <cell r="D48">
            <v>50</v>
          </cell>
          <cell r="F48">
            <v>50</v>
          </cell>
        </row>
        <row r="49">
          <cell r="A49" t="str">
            <v>Пельмени Со свининой и говядиной ТМ Особый рецепт Любимая ложка 1,0 кг  ПОКОМ</v>
          </cell>
          <cell r="D49">
            <v>106</v>
          </cell>
          <cell r="F49">
            <v>106</v>
          </cell>
        </row>
        <row r="50">
          <cell r="A50" t="str">
            <v>Пирожки с мясом 3,7кг ВЕС ТМ Зареченские  ПОКОМ</v>
          </cell>
          <cell r="D50">
            <v>11.1</v>
          </cell>
          <cell r="F50">
            <v>11.1</v>
          </cell>
        </row>
        <row r="51">
          <cell r="A51" t="str">
            <v>Пирожки с мясом, картофелем и грибами 3,7кг ВЕС ТМ Зареченские  ПОКОМ</v>
          </cell>
          <cell r="D51">
            <v>22.2</v>
          </cell>
          <cell r="F51">
            <v>22.2</v>
          </cell>
        </row>
        <row r="52">
          <cell r="A52" t="str">
            <v>Сочный мегачебурек ТМ Зареченские ВЕС ПОКОМ</v>
          </cell>
          <cell r="D52">
            <v>24.64</v>
          </cell>
          <cell r="F52">
            <v>24.64</v>
          </cell>
        </row>
        <row r="53">
          <cell r="A53" t="str">
            <v>Хот-догстер ТМ Горячая штучка ТС Хот-Догстер флоу-пак 0,09 кг. ПОКОМ</v>
          </cell>
          <cell r="D53">
            <v>4.5</v>
          </cell>
          <cell r="F53">
            <v>50</v>
          </cell>
        </row>
        <row r="54">
          <cell r="A54" t="str">
            <v>Хотстеры с сыром 0,25кг ТМ Горячая штучка  ПОКОМ</v>
          </cell>
          <cell r="D54">
            <v>34.75</v>
          </cell>
          <cell r="F54">
            <v>139</v>
          </cell>
        </row>
        <row r="55">
          <cell r="A55" t="str">
            <v>Хотстеры ТМ Горячая штучка ТС Хотстеры 0,25 кг зам  ПОКОМ</v>
          </cell>
          <cell r="D55">
            <v>49</v>
          </cell>
          <cell r="F55">
            <v>196</v>
          </cell>
        </row>
        <row r="56">
          <cell r="A56" t="str">
            <v>Хрустящие крылышки острые к пиву ТМ Горячая штучка 0,3кг зам  ПОКОМ</v>
          </cell>
          <cell r="D56">
            <v>40.5</v>
          </cell>
          <cell r="F56">
            <v>135</v>
          </cell>
        </row>
        <row r="57">
          <cell r="A57" t="str">
            <v>Хрустящие крылышки ТМ Горячая штучка 0,3 кг зам  ПОКОМ</v>
          </cell>
          <cell r="D57">
            <v>36.299999999999997</v>
          </cell>
          <cell r="F57">
            <v>121</v>
          </cell>
        </row>
        <row r="58">
          <cell r="A58" t="str">
            <v>Чебупели Курочка гриль ТМ Горячая штучка, 0,3 кг зам  ПОКОМ</v>
          </cell>
          <cell r="D58">
            <v>94.5</v>
          </cell>
          <cell r="F58">
            <v>315</v>
          </cell>
        </row>
        <row r="59">
          <cell r="A59" t="str">
            <v>Чебупицца курочка по-итальянски Горячая штучка 0,25 кг зам  ПОКОМ</v>
          </cell>
          <cell r="D59">
            <v>70</v>
          </cell>
          <cell r="F59">
            <v>280</v>
          </cell>
        </row>
        <row r="60">
          <cell r="A60" t="str">
            <v>Чебупицца Пепперони ТМ Горячая штучка ТС Чебупицца 0.25кг зам  ПОКОМ</v>
          </cell>
          <cell r="D60">
            <v>96.25</v>
          </cell>
          <cell r="F60">
            <v>385</v>
          </cell>
        </row>
        <row r="61">
          <cell r="A61" t="str">
            <v>Чебуреки Мясные вес 2,7  ПОКОМ</v>
          </cell>
          <cell r="D61">
            <v>29.7</v>
          </cell>
          <cell r="F61">
            <v>29.7</v>
          </cell>
        </row>
        <row r="62">
          <cell r="A62" t="str">
            <v>Чебуреки сочные ВЕС ТМ Зареченские  ПОКОМ</v>
          </cell>
          <cell r="D62">
            <v>25</v>
          </cell>
          <cell r="F62">
            <v>25</v>
          </cell>
        </row>
        <row r="63">
          <cell r="A63" t="str">
            <v>Итого</v>
          </cell>
          <cell r="D63">
            <v>2290.66</v>
          </cell>
          <cell r="F63">
            <v>5658.84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9" width="7" customWidth="1"/>
    <col min="20" max="20" width="15" customWidth="1"/>
    <col min="21" max="21" width="6" customWidth="1"/>
    <col min="22" max="23" width="5" customWidth="1"/>
    <col min="24" max="31" width="6" customWidth="1"/>
    <col min="32" max="32" width="36.85546875" customWidth="1"/>
    <col min="33" max="33" width="6" customWidth="1"/>
    <col min="34" max="34" width="6" style="6" customWidth="1"/>
    <col min="35" max="35" width="7" style="13" customWidth="1"/>
    <col min="36" max="36" width="6" customWidth="1"/>
    <col min="37" max="38" width="5" customWidth="1"/>
    <col min="39" max="39" width="6" style="13" customWidth="1"/>
    <col min="40" max="51" width="3" customWidth="1"/>
  </cols>
  <sheetData>
    <row r="1" spans="1:51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8"/>
      <c r="AI1" s="10"/>
      <c r="AJ1" s="5"/>
      <c r="AK1" s="5"/>
      <c r="AL1" s="5"/>
      <c r="AM1" s="10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8"/>
      <c r="AI2" s="10"/>
      <c r="AJ2" s="5"/>
      <c r="AK2" s="5"/>
      <c r="AL2" s="5"/>
      <c r="AM2" s="10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7" t="s">
        <v>18</v>
      </c>
      <c r="T3" s="7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23</v>
      </c>
      <c r="Z3" s="1" t="s">
        <v>23</v>
      </c>
      <c r="AA3" s="1" t="s">
        <v>23</v>
      </c>
      <c r="AB3" s="1" t="s">
        <v>23</v>
      </c>
      <c r="AC3" s="1" t="s">
        <v>23</v>
      </c>
      <c r="AD3" s="1" t="s">
        <v>23</v>
      </c>
      <c r="AE3" s="1" t="s">
        <v>23</v>
      </c>
      <c r="AF3" s="1" t="s">
        <v>24</v>
      </c>
      <c r="AG3" s="1" t="s">
        <v>25</v>
      </c>
      <c r="AH3" s="9" t="s">
        <v>26</v>
      </c>
      <c r="AI3" s="11" t="s">
        <v>27</v>
      </c>
      <c r="AJ3" s="1" t="s">
        <v>28</v>
      </c>
      <c r="AK3" s="1" t="s">
        <v>29</v>
      </c>
      <c r="AL3" s="1" t="s">
        <v>30</v>
      </c>
      <c r="AM3" s="11" t="s">
        <v>31</v>
      </c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32</v>
      </c>
      <c r="P4" s="5" t="s">
        <v>33</v>
      </c>
      <c r="Q4" s="5"/>
      <c r="R4" s="5"/>
      <c r="S4" s="5"/>
      <c r="T4" s="5"/>
      <c r="U4" s="5"/>
      <c r="V4" s="5"/>
      <c r="W4" s="5"/>
      <c r="X4" s="5" t="s">
        <v>34</v>
      </c>
      <c r="Y4" s="5" t="s">
        <v>35</v>
      </c>
      <c r="Z4" s="5" t="s">
        <v>36</v>
      </c>
      <c r="AA4" s="5" t="s">
        <v>37</v>
      </c>
      <c r="AB4" s="5" t="s">
        <v>38</v>
      </c>
      <c r="AC4" s="5" t="s">
        <v>39</v>
      </c>
      <c r="AD4" s="5" t="s">
        <v>40</v>
      </c>
      <c r="AE4" s="5" t="s">
        <v>41</v>
      </c>
      <c r="AF4" s="5"/>
      <c r="AG4" s="5"/>
      <c r="AH4" s="8"/>
      <c r="AI4" s="10"/>
      <c r="AJ4" s="5"/>
      <c r="AK4" s="5"/>
      <c r="AL4" s="5"/>
      <c r="AM4" s="10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 x14ac:dyDescent="0.25">
      <c r="A5" s="5"/>
      <c r="B5" s="5"/>
      <c r="C5" s="5"/>
      <c r="D5" s="5"/>
      <c r="E5" s="3">
        <f>SUM(E6:E493)</f>
        <v>5997.81</v>
      </c>
      <c r="F5" s="3">
        <f>SUM(F6:F493)</f>
        <v>21188.49</v>
      </c>
      <c r="G5" s="8"/>
      <c r="H5" s="5"/>
      <c r="I5" s="5"/>
      <c r="J5" s="5"/>
      <c r="K5" s="3">
        <f t="shared" ref="K5:S5" si="0">SUM(K6:K493)</f>
        <v>5863.4400000000005</v>
      </c>
      <c r="L5" s="3">
        <f t="shared" si="0"/>
        <v>134.37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1199.5620000000004</v>
      </c>
      <c r="Q5" s="3">
        <f t="shared" si="0"/>
        <v>8486.39</v>
      </c>
      <c r="R5" s="3">
        <f t="shared" si="0"/>
        <v>8415.3200000000015</v>
      </c>
      <c r="S5" s="3">
        <f t="shared" si="0"/>
        <v>0</v>
      </c>
      <c r="T5" s="5"/>
      <c r="U5" s="3">
        <f>SUM(U6:U493)</f>
        <v>0</v>
      </c>
      <c r="V5" s="5"/>
      <c r="W5" s="5"/>
      <c r="X5" s="3">
        <f t="shared" ref="X5:AE5" si="1">SUM(X6:X493)</f>
        <v>1132.5680000000002</v>
      </c>
      <c r="Y5" s="3">
        <f t="shared" si="1"/>
        <v>1220.3000000000004</v>
      </c>
      <c r="Z5" s="3">
        <f t="shared" si="1"/>
        <v>1266.2160000000001</v>
      </c>
      <c r="AA5" s="3">
        <f t="shared" si="1"/>
        <v>1363.816</v>
      </c>
      <c r="AB5" s="3">
        <f t="shared" si="1"/>
        <v>1447.7360000000001</v>
      </c>
      <c r="AC5" s="3">
        <f t="shared" si="1"/>
        <v>844.74000000000024</v>
      </c>
      <c r="AD5" s="3">
        <f t="shared" si="1"/>
        <v>1201.9039999999998</v>
      </c>
      <c r="AE5" s="3">
        <f t="shared" si="1"/>
        <v>1366.2119999999998</v>
      </c>
      <c r="AF5" s="5"/>
      <c r="AG5" s="3">
        <f>SUM(AG6:AG493)</f>
        <v>3085.384</v>
      </c>
      <c r="AH5" s="8"/>
      <c r="AI5" s="12">
        <f>SUM(AI6:AI493)</f>
        <v>850</v>
      </c>
      <c r="AJ5" s="3">
        <f>SUM(AJ6:AJ493)</f>
        <v>3030.1600000000003</v>
      </c>
      <c r="AK5" s="5"/>
      <c r="AL5" s="5"/>
      <c r="AM5" s="12">
        <f>SUM(AM6:AM493)</f>
        <v>10.058730158730162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 x14ac:dyDescent="0.25">
      <c r="A6" s="18" t="s">
        <v>42</v>
      </c>
      <c r="B6" s="18" t="s">
        <v>43</v>
      </c>
      <c r="C6" s="18">
        <v>186</v>
      </c>
      <c r="D6" s="18">
        <v>707</v>
      </c>
      <c r="E6" s="22">
        <v>185</v>
      </c>
      <c r="F6" s="22">
        <v>700</v>
      </c>
      <c r="G6" s="19">
        <v>0</v>
      </c>
      <c r="H6" s="18" t="e">
        <v>#N/A</v>
      </c>
      <c r="I6" s="18" t="s">
        <v>44</v>
      </c>
      <c r="J6" s="18" t="s">
        <v>45</v>
      </c>
      <c r="K6" s="18">
        <v>185</v>
      </c>
      <c r="L6" s="18">
        <f t="shared" ref="L6:L37" si="2">E6-K6</f>
        <v>0</v>
      </c>
      <c r="M6" s="18"/>
      <c r="N6" s="18"/>
      <c r="O6" s="18"/>
      <c r="P6" s="18">
        <f t="shared" ref="P6:P37" si="3">E6/5</f>
        <v>37</v>
      </c>
      <c r="Q6" s="20"/>
      <c r="R6" s="20"/>
      <c r="S6" s="20"/>
      <c r="T6" s="18"/>
      <c r="U6" s="18"/>
      <c r="V6" s="18">
        <f t="shared" ref="V6:V37" si="4">(F6+R6)/P6</f>
        <v>18.918918918918919</v>
      </c>
      <c r="W6" s="18">
        <f t="shared" ref="W6:W37" si="5">F6/P6</f>
        <v>18.918918918918919</v>
      </c>
      <c r="X6" s="18">
        <f>IFERROR(VLOOKUP(A6,[1]TDSheet!$A:$F,6,0),0)/5</f>
        <v>48.2</v>
      </c>
      <c r="Y6" s="18">
        <v>67.599999999999994</v>
      </c>
      <c r="Z6" s="18">
        <v>33.799999999999997</v>
      </c>
      <c r="AA6" s="18">
        <v>53.2</v>
      </c>
      <c r="AB6" s="18">
        <v>72.400000000000006</v>
      </c>
      <c r="AC6" s="18">
        <v>54.4</v>
      </c>
      <c r="AD6" s="18">
        <v>59.6</v>
      </c>
      <c r="AE6" s="18">
        <v>78.400000000000006</v>
      </c>
      <c r="AF6" s="18"/>
      <c r="AG6" s="18"/>
      <c r="AH6" s="19"/>
      <c r="AI6" s="21"/>
      <c r="AJ6" s="18"/>
      <c r="AK6" s="18"/>
      <c r="AL6" s="18"/>
      <c r="AM6" s="21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 x14ac:dyDescent="0.25">
      <c r="A7" s="18" t="s">
        <v>46</v>
      </c>
      <c r="B7" s="18" t="s">
        <v>43</v>
      </c>
      <c r="C7" s="18">
        <v>215</v>
      </c>
      <c r="D7" s="18"/>
      <c r="E7" s="22">
        <v>33</v>
      </c>
      <c r="F7" s="22">
        <v>182</v>
      </c>
      <c r="G7" s="19">
        <v>0</v>
      </c>
      <c r="H7" s="18" t="e">
        <v>#N/A</v>
      </c>
      <c r="I7" s="18" t="s">
        <v>44</v>
      </c>
      <c r="J7" s="18" t="s">
        <v>47</v>
      </c>
      <c r="K7" s="18">
        <v>33</v>
      </c>
      <c r="L7" s="18">
        <f t="shared" si="2"/>
        <v>0</v>
      </c>
      <c r="M7" s="18"/>
      <c r="N7" s="18"/>
      <c r="O7" s="18"/>
      <c r="P7" s="18">
        <f t="shared" si="3"/>
        <v>6.6</v>
      </c>
      <c r="Q7" s="20"/>
      <c r="R7" s="20"/>
      <c r="S7" s="20"/>
      <c r="T7" s="18"/>
      <c r="U7" s="18"/>
      <c r="V7" s="18">
        <f t="shared" si="4"/>
        <v>27.575757575757578</v>
      </c>
      <c r="W7" s="18">
        <f t="shared" si="5"/>
        <v>27.575757575757578</v>
      </c>
      <c r="X7" s="18">
        <f>IFERROR(VLOOKUP(A7,[1]TDSheet!$A:$F,6,0),0)/5</f>
        <v>34.4</v>
      </c>
      <c r="Y7" s="18">
        <v>0</v>
      </c>
      <c r="Z7" s="18">
        <v>31.6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/>
      <c r="AG7" s="18"/>
      <c r="AH7" s="19"/>
      <c r="AI7" s="21"/>
      <c r="AJ7" s="18"/>
      <c r="AK7" s="18"/>
      <c r="AL7" s="18"/>
      <c r="AM7" s="21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 x14ac:dyDescent="0.25">
      <c r="A8" s="18" t="s">
        <v>48</v>
      </c>
      <c r="B8" s="18" t="s">
        <v>43</v>
      </c>
      <c r="C8" s="18"/>
      <c r="D8" s="18">
        <v>295</v>
      </c>
      <c r="E8" s="18"/>
      <c r="F8" s="22">
        <v>295</v>
      </c>
      <c r="G8" s="19">
        <v>0</v>
      </c>
      <c r="H8" s="18" t="e">
        <v>#N/A</v>
      </c>
      <c r="I8" s="18" t="s">
        <v>44</v>
      </c>
      <c r="J8" s="18" t="s">
        <v>49</v>
      </c>
      <c r="K8" s="18"/>
      <c r="L8" s="18">
        <f t="shared" si="2"/>
        <v>0</v>
      </c>
      <c r="M8" s="18"/>
      <c r="N8" s="18"/>
      <c r="O8" s="18"/>
      <c r="P8" s="18">
        <f t="shared" si="3"/>
        <v>0</v>
      </c>
      <c r="Q8" s="20"/>
      <c r="R8" s="20"/>
      <c r="S8" s="20"/>
      <c r="T8" s="18"/>
      <c r="U8" s="18"/>
      <c r="V8" s="18" t="e">
        <f t="shared" si="4"/>
        <v>#DIV/0!</v>
      </c>
      <c r="W8" s="18" t="e">
        <f t="shared" si="5"/>
        <v>#DIV/0!</v>
      </c>
      <c r="X8" s="18">
        <f>IFERROR(VLOOKUP(A8,[1]TDSheet!$A:$F,6,0),0)/5</f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/>
      <c r="AG8" s="18"/>
      <c r="AH8" s="19"/>
      <c r="AI8" s="21"/>
      <c r="AJ8" s="18"/>
      <c r="AK8" s="18"/>
      <c r="AL8" s="18"/>
      <c r="AM8" s="21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 x14ac:dyDescent="0.25">
      <c r="A9" s="5" t="s">
        <v>50</v>
      </c>
      <c r="B9" s="5" t="s">
        <v>43</v>
      </c>
      <c r="C9" s="5">
        <v>104</v>
      </c>
      <c r="D9" s="5"/>
      <c r="E9" s="5">
        <v>77</v>
      </c>
      <c r="F9" s="5">
        <v>24</v>
      </c>
      <c r="G9" s="8">
        <v>0.3</v>
      </c>
      <c r="H9" s="5">
        <v>180</v>
      </c>
      <c r="I9" s="5" t="s">
        <v>51</v>
      </c>
      <c r="J9" s="5"/>
      <c r="K9" s="5">
        <v>77</v>
      </c>
      <c r="L9" s="5">
        <f t="shared" si="2"/>
        <v>0</v>
      </c>
      <c r="M9" s="5"/>
      <c r="N9" s="5"/>
      <c r="O9" s="5"/>
      <c r="P9" s="5">
        <f t="shared" si="3"/>
        <v>15.4</v>
      </c>
      <c r="Q9" s="4">
        <f>17*P9-F9</f>
        <v>237.8</v>
      </c>
      <c r="R9" s="4">
        <f>AH9*AI9</f>
        <v>168</v>
      </c>
      <c r="S9" s="4"/>
      <c r="T9" s="5"/>
      <c r="U9" s="5"/>
      <c r="V9" s="5">
        <f t="shared" si="4"/>
        <v>12.467532467532468</v>
      </c>
      <c r="W9" s="5">
        <f t="shared" si="5"/>
        <v>1.5584415584415585</v>
      </c>
      <c r="X9" s="5">
        <f>IFERROR(VLOOKUP(A9,[1]TDSheet!$A:$F,6,0),0)/5</f>
        <v>12.8</v>
      </c>
      <c r="Y9" s="5">
        <v>10.4</v>
      </c>
      <c r="Z9" s="5">
        <v>13.8</v>
      </c>
      <c r="AA9" s="5">
        <v>13.6</v>
      </c>
      <c r="AB9" s="5">
        <v>19.8</v>
      </c>
      <c r="AC9" s="5">
        <v>0</v>
      </c>
      <c r="AD9" s="5">
        <v>10.8</v>
      </c>
      <c r="AE9" s="5">
        <v>17</v>
      </c>
      <c r="AF9" s="5"/>
      <c r="AG9" s="5">
        <f>G9*Q9</f>
        <v>71.34</v>
      </c>
      <c r="AH9" s="8">
        <v>12</v>
      </c>
      <c r="AI9" s="10">
        <f>MROUND(Q9, AH9*AK9)/AH9</f>
        <v>14</v>
      </c>
      <c r="AJ9" s="5">
        <f>AI9*AH9*G9</f>
        <v>50.4</v>
      </c>
      <c r="AK9" s="5">
        <v>14</v>
      </c>
      <c r="AL9" s="5">
        <v>70</v>
      </c>
      <c r="AM9" s="10">
        <f>AI9/AL9</f>
        <v>0.2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 x14ac:dyDescent="0.25">
      <c r="A10" s="5" t="s">
        <v>52</v>
      </c>
      <c r="B10" s="5" t="s">
        <v>43</v>
      </c>
      <c r="C10" s="5">
        <v>300</v>
      </c>
      <c r="D10" s="5"/>
      <c r="E10" s="5">
        <v>138</v>
      </c>
      <c r="F10" s="5">
        <v>163</v>
      </c>
      <c r="G10" s="8">
        <v>0.24</v>
      </c>
      <c r="H10" s="5">
        <v>180</v>
      </c>
      <c r="I10" s="5" t="s">
        <v>51</v>
      </c>
      <c r="J10" s="5"/>
      <c r="K10" s="5">
        <v>138</v>
      </c>
      <c r="L10" s="5">
        <f t="shared" si="2"/>
        <v>0</v>
      </c>
      <c r="M10" s="5"/>
      <c r="N10" s="5"/>
      <c r="O10" s="5"/>
      <c r="P10" s="5">
        <f t="shared" si="3"/>
        <v>27.6</v>
      </c>
      <c r="Q10" s="4">
        <f t="shared" ref="Q10:Q11" si="6">20*P10-F10</f>
        <v>389</v>
      </c>
      <c r="R10" s="4">
        <f>AH10*AI10</f>
        <v>336</v>
      </c>
      <c r="S10" s="4"/>
      <c r="T10" s="5"/>
      <c r="U10" s="5"/>
      <c r="V10" s="5">
        <f t="shared" si="4"/>
        <v>18.079710144927535</v>
      </c>
      <c r="W10" s="5">
        <f t="shared" si="5"/>
        <v>5.9057971014492754</v>
      </c>
      <c r="X10" s="5">
        <f>IFERROR(VLOOKUP(A10,[1]TDSheet!$A:$F,6,0),0)/5</f>
        <v>24</v>
      </c>
      <c r="Y10" s="5">
        <v>22.4</v>
      </c>
      <c r="Z10" s="5">
        <v>23.2</v>
      </c>
      <c r="AA10" s="5">
        <v>31.8</v>
      </c>
      <c r="AB10" s="5">
        <v>26.4</v>
      </c>
      <c r="AC10" s="5">
        <v>0</v>
      </c>
      <c r="AD10" s="5">
        <v>35.200000000000003</v>
      </c>
      <c r="AE10" s="5">
        <v>26.2</v>
      </c>
      <c r="AF10" s="5"/>
      <c r="AG10" s="5">
        <f>G10*Q10</f>
        <v>93.36</v>
      </c>
      <c r="AH10" s="8">
        <v>12</v>
      </c>
      <c r="AI10" s="10">
        <f>MROUND(Q10, AH10*AK10)/AH10</f>
        <v>28</v>
      </c>
      <c r="AJ10" s="5">
        <f>AI10*AH10*G10</f>
        <v>80.64</v>
      </c>
      <c r="AK10" s="5">
        <v>14</v>
      </c>
      <c r="AL10" s="5">
        <v>70</v>
      </c>
      <c r="AM10" s="10">
        <f>AI10/AL10</f>
        <v>0.4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 x14ac:dyDescent="0.25">
      <c r="A11" s="5" t="s">
        <v>53</v>
      </c>
      <c r="B11" s="5" t="s">
        <v>43</v>
      </c>
      <c r="C11" s="5">
        <v>301</v>
      </c>
      <c r="D11" s="5">
        <v>3</v>
      </c>
      <c r="E11" s="5">
        <v>131</v>
      </c>
      <c r="F11" s="5">
        <v>168</v>
      </c>
      <c r="G11" s="8">
        <v>0.24</v>
      </c>
      <c r="H11" s="5">
        <v>180</v>
      </c>
      <c r="I11" s="5" t="s">
        <v>51</v>
      </c>
      <c r="J11" s="5"/>
      <c r="K11" s="5">
        <v>134</v>
      </c>
      <c r="L11" s="5">
        <f t="shared" si="2"/>
        <v>-3</v>
      </c>
      <c r="M11" s="5"/>
      <c r="N11" s="5"/>
      <c r="O11" s="5"/>
      <c r="P11" s="5">
        <f t="shared" si="3"/>
        <v>26.2</v>
      </c>
      <c r="Q11" s="4">
        <f t="shared" si="6"/>
        <v>356</v>
      </c>
      <c r="R11" s="4">
        <f>AH11*AI11</f>
        <v>336</v>
      </c>
      <c r="S11" s="4"/>
      <c r="T11" s="5"/>
      <c r="U11" s="5"/>
      <c r="V11" s="5">
        <f t="shared" si="4"/>
        <v>19.236641221374047</v>
      </c>
      <c r="W11" s="5">
        <f t="shared" si="5"/>
        <v>6.4122137404580153</v>
      </c>
      <c r="X11" s="5">
        <f>IFERROR(VLOOKUP(A11,[1]TDSheet!$A:$F,6,0),0)/5</f>
        <v>25.6</v>
      </c>
      <c r="Y11" s="5">
        <v>34.6</v>
      </c>
      <c r="Z11" s="5">
        <v>29</v>
      </c>
      <c r="AA11" s="5">
        <v>41</v>
      </c>
      <c r="AB11" s="5">
        <v>33.6</v>
      </c>
      <c r="AC11" s="5">
        <v>30</v>
      </c>
      <c r="AD11" s="5">
        <v>56.8</v>
      </c>
      <c r="AE11" s="5">
        <v>45.2</v>
      </c>
      <c r="AF11" s="5"/>
      <c r="AG11" s="5">
        <f>G11*Q11</f>
        <v>85.44</v>
      </c>
      <c r="AH11" s="8">
        <v>12</v>
      </c>
      <c r="AI11" s="10">
        <f>MROUND(Q11, AH11*AK11)/AH11</f>
        <v>28</v>
      </c>
      <c r="AJ11" s="5">
        <f>AI11*AH11*G11</f>
        <v>80.64</v>
      </c>
      <c r="AK11" s="5">
        <v>14</v>
      </c>
      <c r="AL11" s="5">
        <v>70</v>
      </c>
      <c r="AM11" s="10">
        <f>AI11/AL11</f>
        <v>0.4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 x14ac:dyDescent="0.25">
      <c r="A12" s="18" t="s">
        <v>54</v>
      </c>
      <c r="B12" s="18" t="s">
        <v>43</v>
      </c>
      <c r="C12" s="18"/>
      <c r="D12" s="18"/>
      <c r="E12" s="18"/>
      <c r="F12" s="18"/>
      <c r="G12" s="19">
        <v>0</v>
      </c>
      <c r="H12" s="18">
        <v>180</v>
      </c>
      <c r="I12" s="18" t="s">
        <v>51</v>
      </c>
      <c r="J12" s="18"/>
      <c r="K12" s="18"/>
      <c r="L12" s="18">
        <f t="shared" si="2"/>
        <v>0</v>
      </c>
      <c r="M12" s="18"/>
      <c r="N12" s="18"/>
      <c r="O12" s="18"/>
      <c r="P12" s="18">
        <f t="shared" si="3"/>
        <v>0</v>
      </c>
      <c r="Q12" s="20"/>
      <c r="R12" s="20"/>
      <c r="S12" s="20"/>
      <c r="T12" s="18"/>
      <c r="U12" s="18"/>
      <c r="V12" s="18" t="e">
        <f t="shared" si="4"/>
        <v>#DIV/0!</v>
      </c>
      <c r="W12" s="18" t="e">
        <f t="shared" si="5"/>
        <v>#DIV/0!</v>
      </c>
      <c r="X12" s="18">
        <f>IFERROR(VLOOKUP(A12,[1]TDSheet!$A:$F,6,0),0)/5</f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 t="s">
        <v>55</v>
      </c>
      <c r="AG12" s="18"/>
      <c r="AH12" s="19">
        <v>12</v>
      </c>
      <c r="AI12" s="21"/>
      <c r="AJ12" s="18"/>
      <c r="AK12" s="18">
        <v>14</v>
      </c>
      <c r="AL12" s="18">
        <v>70</v>
      </c>
      <c r="AM12" s="21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 x14ac:dyDescent="0.25">
      <c r="A13" s="5" t="s">
        <v>45</v>
      </c>
      <c r="B13" s="5" t="s">
        <v>43</v>
      </c>
      <c r="C13" s="5">
        <v>4850</v>
      </c>
      <c r="D13" s="5">
        <v>149</v>
      </c>
      <c r="E13" s="22">
        <f>144+E6</f>
        <v>329</v>
      </c>
      <c r="F13" s="22">
        <f>3994+F6</f>
        <v>4694</v>
      </c>
      <c r="G13" s="8">
        <v>0.24</v>
      </c>
      <c r="H13" s="5">
        <v>180</v>
      </c>
      <c r="I13" s="5" t="s">
        <v>51</v>
      </c>
      <c r="J13" s="5"/>
      <c r="K13" s="5">
        <v>145</v>
      </c>
      <c r="L13" s="5">
        <f t="shared" si="2"/>
        <v>184</v>
      </c>
      <c r="M13" s="5"/>
      <c r="N13" s="5"/>
      <c r="O13" s="5"/>
      <c r="P13" s="5">
        <f t="shared" si="3"/>
        <v>65.8</v>
      </c>
      <c r="Q13" s="4"/>
      <c r="R13" s="4">
        <f t="shared" ref="R13:R29" si="7">AH13*AI13</f>
        <v>0</v>
      </c>
      <c r="S13" s="4"/>
      <c r="T13" s="5"/>
      <c r="U13" s="5"/>
      <c r="V13" s="5">
        <f t="shared" si="4"/>
        <v>71.337386018237083</v>
      </c>
      <c r="W13" s="5">
        <f t="shared" si="5"/>
        <v>71.337386018237083</v>
      </c>
      <c r="X13" s="5">
        <f>IFERROR(VLOOKUP(A13,[1]TDSheet!$A:$F,6,0),0)/5</f>
        <v>23</v>
      </c>
      <c r="Y13" s="5">
        <v>96</v>
      </c>
      <c r="Z13" s="5">
        <v>51.8</v>
      </c>
      <c r="AA13" s="5">
        <v>93.8</v>
      </c>
      <c r="AB13" s="5">
        <v>109.2</v>
      </c>
      <c r="AC13" s="5">
        <v>72</v>
      </c>
      <c r="AD13" s="5">
        <v>100</v>
      </c>
      <c r="AE13" s="5">
        <v>108.4</v>
      </c>
      <c r="AF13" s="24" t="s">
        <v>71</v>
      </c>
      <c r="AG13" s="5">
        <f t="shared" ref="AG13:AG29" si="8">G13*Q13</f>
        <v>0</v>
      </c>
      <c r="AH13" s="8">
        <v>12</v>
      </c>
      <c r="AI13" s="10">
        <f t="shared" ref="AI13:AI29" si="9">MROUND(Q13, AH13*AK13)/AH13</f>
        <v>0</v>
      </c>
      <c r="AJ13" s="5">
        <f t="shared" ref="AJ13:AJ29" si="10">AI13*AH13*G13</f>
        <v>0</v>
      </c>
      <c r="AK13" s="5">
        <v>14</v>
      </c>
      <c r="AL13" s="5">
        <v>70</v>
      </c>
      <c r="AM13" s="10">
        <f t="shared" ref="AM13:AM29" si="11">AI13/AL13</f>
        <v>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 x14ac:dyDescent="0.25">
      <c r="A14" s="5" t="s">
        <v>56</v>
      </c>
      <c r="B14" s="5" t="s">
        <v>43</v>
      </c>
      <c r="C14" s="5">
        <v>196</v>
      </c>
      <c r="D14" s="5"/>
      <c r="E14" s="5">
        <v>29</v>
      </c>
      <c r="F14" s="5">
        <v>166</v>
      </c>
      <c r="G14" s="8">
        <v>0.48</v>
      </c>
      <c r="H14" s="5">
        <v>180</v>
      </c>
      <c r="I14" s="5" t="s">
        <v>51</v>
      </c>
      <c r="J14" s="5"/>
      <c r="K14" s="5">
        <v>29</v>
      </c>
      <c r="L14" s="5">
        <f t="shared" si="2"/>
        <v>0</v>
      </c>
      <c r="M14" s="5"/>
      <c r="N14" s="5"/>
      <c r="O14" s="5"/>
      <c r="P14" s="5">
        <f t="shared" si="3"/>
        <v>5.8</v>
      </c>
      <c r="Q14" s="4"/>
      <c r="R14" s="4">
        <f t="shared" si="7"/>
        <v>0</v>
      </c>
      <c r="S14" s="4"/>
      <c r="T14" s="5"/>
      <c r="U14" s="5"/>
      <c r="V14" s="5">
        <f t="shared" si="4"/>
        <v>28.620689655172416</v>
      </c>
      <c r="W14" s="5">
        <f t="shared" si="5"/>
        <v>28.620689655172416</v>
      </c>
      <c r="X14" s="5">
        <f>IFERROR(VLOOKUP(A14,[1]TDSheet!$A:$F,6,0),0)/5</f>
        <v>5.4</v>
      </c>
      <c r="Y14" s="5">
        <v>0.6</v>
      </c>
      <c r="Z14" s="5">
        <v>5.2</v>
      </c>
      <c r="AA14" s="5">
        <v>5.6</v>
      </c>
      <c r="AB14" s="5">
        <v>5.2</v>
      </c>
      <c r="AC14" s="5">
        <v>1.2</v>
      </c>
      <c r="AD14" s="5">
        <v>5</v>
      </c>
      <c r="AE14" s="5">
        <v>6.8</v>
      </c>
      <c r="AF14" s="23" t="s">
        <v>80</v>
      </c>
      <c r="AG14" s="5">
        <f t="shared" si="8"/>
        <v>0</v>
      </c>
      <c r="AH14" s="8">
        <v>8</v>
      </c>
      <c r="AI14" s="10">
        <f t="shared" si="9"/>
        <v>0</v>
      </c>
      <c r="AJ14" s="5">
        <f t="shared" si="10"/>
        <v>0</v>
      </c>
      <c r="AK14" s="5">
        <v>14</v>
      </c>
      <c r="AL14" s="5">
        <v>70</v>
      </c>
      <c r="AM14" s="10">
        <f t="shared" si="11"/>
        <v>0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 x14ac:dyDescent="0.25">
      <c r="A15" s="5" t="s">
        <v>57</v>
      </c>
      <c r="B15" s="5" t="s">
        <v>43</v>
      </c>
      <c r="C15" s="5">
        <v>74</v>
      </c>
      <c r="D15" s="5"/>
      <c r="E15" s="5">
        <v>75</v>
      </c>
      <c r="F15" s="5"/>
      <c r="G15" s="8">
        <v>0.09</v>
      </c>
      <c r="H15" s="5">
        <v>180</v>
      </c>
      <c r="I15" s="5" t="s">
        <v>51</v>
      </c>
      <c r="J15" s="5"/>
      <c r="K15" s="5">
        <v>95</v>
      </c>
      <c r="L15" s="5">
        <f t="shared" si="2"/>
        <v>-20</v>
      </c>
      <c r="M15" s="5"/>
      <c r="N15" s="5"/>
      <c r="O15" s="5"/>
      <c r="P15" s="5">
        <f t="shared" si="3"/>
        <v>15</v>
      </c>
      <c r="Q15" s="4">
        <f>15*P15-F15</f>
        <v>225</v>
      </c>
      <c r="R15" s="4">
        <f t="shared" si="7"/>
        <v>336</v>
      </c>
      <c r="S15" s="4"/>
      <c r="T15" s="5"/>
      <c r="U15" s="5"/>
      <c r="V15" s="5">
        <f t="shared" si="4"/>
        <v>22.4</v>
      </c>
      <c r="W15" s="5">
        <f t="shared" si="5"/>
        <v>0</v>
      </c>
      <c r="X15" s="5">
        <f>IFERROR(VLOOKUP(A15,[1]TDSheet!$A:$F,6,0),0)/5</f>
        <v>52.2</v>
      </c>
      <c r="Y15" s="5">
        <v>22.2</v>
      </c>
      <c r="Z15" s="5">
        <v>31.2</v>
      </c>
      <c r="AA15" s="5">
        <v>1.6</v>
      </c>
      <c r="AB15" s="5">
        <v>54.2</v>
      </c>
      <c r="AC15" s="5">
        <v>0</v>
      </c>
      <c r="AD15" s="5">
        <v>0</v>
      </c>
      <c r="AE15" s="5">
        <v>0</v>
      </c>
      <c r="AF15" s="5" t="s">
        <v>58</v>
      </c>
      <c r="AG15" s="5">
        <f t="shared" si="8"/>
        <v>20.25</v>
      </c>
      <c r="AH15" s="8">
        <v>24</v>
      </c>
      <c r="AI15" s="10">
        <f t="shared" si="9"/>
        <v>14</v>
      </c>
      <c r="AJ15" s="5">
        <f t="shared" si="10"/>
        <v>30.24</v>
      </c>
      <c r="AK15" s="5">
        <v>14</v>
      </c>
      <c r="AL15" s="5">
        <v>126</v>
      </c>
      <c r="AM15" s="10">
        <f t="shared" si="11"/>
        <v>0.1111111111111111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 x14ac:dyDescent="0.25">
      <c r="A16" s="5" t="s">
        <v>59</v>
      </c>
      <c r="B16" s="5" t="s">
        <v>43</v>
      </c>
      <c r="C16" s="5">
        <v>182</v>
      </c>
      <c r="D16" s="5"/>
      <c r="E16" s="5">
        <v>103</v>
      </c>
      <c r="F16" s="5">
        <v>76</v>
      </c>
      <c r="G16" s="8">
        <v>0.36</v>
      </c>
      <c r="H16" s="5">
        <v>180</v>
      </c>
      <c r="I16" s="5" t="s">
        <v>51</v>
      </c>
      <c r="J16" s="5"/>
      <c r="K16" s="5">
        <v>103</v>
      </c>
      <c r="L16" s="5">
        <f t="shared" si="2"/>
        <v>0</v>
      </c>
      <c r="M16" s="5"/>
      <c r="N16" s="5"/>
      <c r="O16" s="5"/>
      <c r="P16" s="5">
        <f t="shared" si="3"/>
        <v>20.6</v>
      </c>
      <c r="Q16" s="4">
        <f>19*P16-F16</f>
        <v>315.40000000000003</v>
      </c>
      <c r="R16" s="4">
        <f t="shared" si="7"/>
        <v>280</v>
      </c>
      <c r="S16" s="4"/>
      <c r="T16" s="5"/>
      <c r="U16" s="5"/>
      <c r="V16" s="5">
        <f t="shared" si="4"/>
        <v>17.28155339805825</v>
      </c>
      <c r="W16" s="5">
        <f t="shared" si="5"/>
        <v>3.6893203883495143</v>
      </c>
      <c r="X16" s="5">
        <f>IFERROR(VLOOKUP(A16,[1]TDSheet!$A:$F,6,0),0)/5</f>
        <v>19.600000000000001</v>
      </c>
      <c r="Y16" s="5">
        <v>13.6</v>
      </c>
      <c r="Z16" s="5">
        <v>15</v>
      </c>
      <c r="AA16" s="5">
        <v>12</v>
      </c>
      <c r="AB16" s="5">
        <v>15.8</v>
      </c>
      <c r="AC16" s="5">
        <v>21.2</v>
      </c>
      <c r="AD16" s="5">
        <v>17.2</v>
      </c>
      <c r="AE16" s="5">
        <v>19.399999999999999</v>
      </c>
      <c r="AF16" s="5"/>
      <c r="AG16" s="5">
        <f t="shared" si="8"/>
        <v>113.54400000000001</v>
      </c>
      <c r="AH16" s="8">
        <v>10</v>
      </c>
      <c r="AI16" s="10">
        <f t="shared" si="9"/>
        <v>28</v>
      </c>
      <c r="AJ16" s="5">
        <f t="shared" si="10"/>
        <v>100.8</v>
      </c>
      <c r="AK16" s="5">
        <v>14</v>
      </c>
      <c r="AL16" s="5">
        <v>70</v>
      </c>
      <c r="AM16" s="10">
        <f t="shared" si="11"/>
        <v>0.4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 x14ac:dyDescent="0.25">
      <c r="A17" s="5" t="s">
        <v>60</v>
      </c>
      <c r="B17" s="5" t="s">
        <v>43</v>
      </c>
      <c r="C17" s="5">
        <v>192</v>
      </c>
      <c r="D17" s="5"/>
      <c r="E17" s="5">
        <v>182</v>
      </c>
      <c r="F17" s="5">
        <v>9</v>
      </c>
      <c r="G17" s="8">
        <v>0.2</v>
      </c>
      <c r="H17" s="5">
        <v>181</v>
      </c>
      <c r="I17" s="5" t="s">
        <v>51</v>
      </c>
      <c r="J17" s="5"/>
      <c r="K17" s="5">
        <v>182</v>
      </c>
      <c r="L17" s="5">
        <f t="shared" si="2"/>
        <v>0</v>
      </c>
      <c r="M17" s="5"/>
      <c r="N17" s="5"/>
      <c r="O17" s="5"/>
      <c r="P17" s="5">
        <f t="shared" si="3"/>
        <v>36.4</v>
      </c>
      <c r="Q17" s="4">
        <f>15*P17-F17</f>
        <v>537</v>
      </c>
      <c r="R17" s="4">
        <f t="shared" si="7"/>
        <v>504</v>
      </c>
      <c r="S17" s="4"/>
      <c r="T17" s="5"/>
      <c r="U17" s="5"/>
      <c r="V17" s="5">
        <f t="shared" si="4"/>
        <v>14.093406593406593</v>
      </c>
      <c r="W17" s="5">
        <f t="shared" si="5"/>
        <v>0.24725274725274726</v>
      </c>
      <c r="X17" s="5">
        <f>IFERROR(VLOOKUP(A17,[1]TDSheet!$A:$F,6,0),0)/5</f>
        <v>62.4</v>
      </c>
      <c r="Y17" s="5">
        <v>34.6</v>
      </c>
      <c r="Z17" s="5">
        <v>26.2</v>
      </c>
      <c r="AA17" s="5">
        <v>18.2</v>
      </c>
      <c r="AB17" s="5">
        <v>66.8</v>
      </c>
      <c r="AC17" s="5">
        <v>0</v>
      </c>
      <c r="AD17" s="5">
        <v>0</v>
      </c>
      <c r="AE17" s="5">
        <v>10.4</v>
      </c>
      <c r="AF17" s="5"/>
      <c r="AG17" s="5">
        <f t="shared" si="8"/>
        <v>107.4</v>
      </c>
      <c r="AH17" s="8">
        <v>12</v>
      </c>
      <c r="AI17" s="10">
        <f t="shared" si="9"/>
        <v>42</v>
      </c>
      <c r="AJ17" s="5">
        <f t="shared" si="10"/>
        <v>100.80000000000001</v>
      </c>
      <c r="AK17" s="5">
        <v>14</v>
      </c>
      <c r="AL17" s="5">
        <v>70</v>
      </c>
      <c r="AM17" s="10">
        <f t="shared" si="11"/>
        <v>0.6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 x14ac:dyDescent="0.25">
      <c r="A18" s="5" t="s">
        <v>61</v>
      </c>
      <c r="B18" s="5" t="s">
        <v>43</v>
      </c>
      <c r="C18" s="5">
        <v>244</v>
      </c>
      <c r="D18" s="5">
        <v>1</v>
      </c>
      <c r="E18" s="5">
        <v>130</v>
      </c>
      <c r="F18" s="5">
        <v>112</v>
      </c>
      <c r="G18" s="8">
        <v>0.2</v>
      </c>
      <c r="H18" s="5">
        <v>180</v>
      </c>
      <c r="I18" s="5" t="s">
        <v>51</v>
      </c>
      <c r="J18" s="5"/>
      <c r="K18" s="5">
        <v>131</v>
      </c>
      <c r="L18" s="5">
        <f t="shared" si="2"/>
        <v>-1</v>
      </c>
      <c r="M18" s="5"/>
      <c r="N18" s="5"/>
      <c r="O18" s="5"/>
      <c r="P18" s="5">
        <f t="shared" si="3"/>
        <v>26</v>
      </c>
      <c r="Q18" s="4">
        <f>19*P18-F18</f>
        <v>382</v>
      </c>
      <c r="R18" s="4">
        <f t="shared" si="7"/>
        <v>336</v>
      </c>
      <c r="S18" s="4"/>
      <c r="T18" s="5"/>
      <c r="U18" s="5"/>
      <c r="V18" s="5">
        <f t="shared" si="4"/>
        <v>17.23076923076923</v>
      </c>
      <c r="W18" s="5">
        <f t="shared" si="5"/>
        <v>4.3076923076923075</v>
      </c>
      <c r="X18" s="5">
        <f>IFERROR(VLOOKUP(A18,[1]TDSheet!$A:$F,6,0),0)/5</f>
        <v>18.399999999999999</v>
      </c>
      <c r="Y18" s="5">
        <v>26</v>
      </c>
      <c r="Z18" s="5">
        <v>22.8</v>
      </c>
      <c r="AA18" s="5">
        <v>25.4</v>
      </c>
      <c r="AB18" s="5">
        <v>28.6</v>
      </c>
      <c r="AC18" s="5">
        <v>30.4</v>
      </c>
      <c r="AD18" s="5">
        <v>25.6</v>
      </c>
      <c r="AE18" s="5">
        <v>27.8</v>
      </c>
      <c r="AF18" s="5"/>
      <c r="AG18" s="5">
        <f t="shared" si="8"/>
        <v>76.400000000000006</v>
      </c>
      <c r="AH18" s="8">
        <v>12</v>
      </c>
      <c r="AI18" s="10">
        <f t="shared" si="9"/>
        <v>28</v>
      </c>
      <c r="AJ18" s="5">
        <f t="shared" si="10"/>
        <v>67.2</v>
      </c>
      <c r="AK18" s="5">
        <v>14</v>
      </c>
      <c r="AL18" s="5">
        <v>70</v>
      </c>
      <c r="AM18" s="10">
        <f t="shared" si="11"/>
        <v>0.4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 x14ac:dyDescent="0.25">
      <c r="A19" s="5" t="s">
        <v>62</v>
      </c>
      <c r="B19" s="5" t="s">
        <v>43</v>
      </c>
      <c r="C19" s="5">
        <v>371</v>
      </c>
      <c r="D19" s="5">
        <v>1</v>
      </c>
      <c r="E19" s="5">
        <v>123</v>
      </c>
      <c r="F19" s="5">
        <v>246</v>
      </c>
      <c r="G19" s="8">
        <v>0.2</v>
      </c>
      <c r="H19" s="5">
        <v>180</v>
      </c>
      <c r="I19" s="5" t="s">
        <v>51</v>
      </c>
      <c r="J19" s="5"/>
      <c r="K19" s="5">
        <v>124</v>
      </c>
      <c r="L19" s="5">
        <f t="shared" si="2"/>
        <v>-1</v>
      </c>
      <c r="M19" s="5"/>
      <c r="N19" s="5"/>
      <c r="O19" s="5"/>
      <c r="P19" s="5">
        <f t="shared" si="3"/>
        <v>24.6</v>
      </c>
      <c r="Q19" s="4">
        <f t="shared" ref="Q13:Q29" si="12">20*P19-F19</f>
        <v>246</v>
      </c>
      <c r="R19" s="4">
        <f t="shared" si="7"/>
        <v>168</v>
      </c>
      <c r="S19" s="4"/>
      <c r="T19" s="5"/>
      <c r="U19" s="5"/>
      <c r="V19" s="5">
        <f t="shared" si="4"/>
        <v>16.829268292682926</v>
      </c>
      <c r="W19" s="5">
        <f t="shared" si="5"/>
        <v>10</v>
      </c>
      <c r="X19" s="5">
        <f>IFERROR(VLOOKUP(A19,[1]TDSheet!$A:$F,6,0),0)/5</f>
        <v>21.8</v>
      </c>
      <c r="Y19" s="5">
        <v>26.4</v>
      </c>
      <c r="Z19" s="5">
        <v>18.399999999999999</v>
      </c>
      <c r="AA19" s="5">
        <v>45.6</v>
      </c>
      <c r="AB19" s="5">
        <v>38.4</v>
      </c>
      <c r="AC19" s="5">
        <v>39.6</v>
      </c>
      <c r="AD19" s="5">
        <v>32.6</v>
      </c>
      <c r="AE19" s="5">
        <v>33.4</v>
      </c>
      <c r="AF19" s="5"/>
      <c r="AG19" s="5">
        <f t="shared" si="8"/>
        <v>49.2</v>
      </c>
      <c r="AH19" s="8">
        <v>12</v>
      </c>
      <c r="AI19" s="10">
        <f t="shared" si="9"/>
        <v>14</v>
      </c>
      <c r="AJ19" s="5">
        <f t="shared" si="10"/>
        <v>33.6</v>
      </c>
      <c r="AK19" s="5">
        <v>14</v>
      </c>
      <c r="AL19" s="5">
        <v>70</v>
      </c>
      <c r="AM19" s="10">
        <f t="shared" si="11"/>
        <v>0.2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 x14ac:dyDescent="0.25">
      <c r="A20" s="5" t="s">
        <v>63</v>
      </c>
      <c r="B20" s="5" t="s">
        <v>64</v>
      </c>
      <c r="C20" s="5">
        <v>118.4</v>
      </c>
      <c r="D20" s="5"/>
      <c r="E20" s="5">
        <v>44.4</v>
      </c>
      <c r="F20" s="5">
        <v>70.3</v>
      </c>
      <c r="G20" s="8">
        <v>1</v>
      </c>
      <c r="H20" s="5">
        <v>180</v>
      </c>
      <c r="I20" s="5" t="s">
        <v>51</v>
      </c>
      <c r="J20" s="5"/>
      <c r="K20" s="5">
        <v>44.4</v>
      </c>
      <c r="L20" s="5">
        <f t="shared" si="2"/>
        <v>0</v>
      </c>
      <c r="M20" s="5"/>
      <c r="N20" s="5"/>
      <c r="O20" s="5"/>
      <c r="P20" s="5">
        <f t="shared" si="3"/>
        <v>8.879999999999999</v>
      </c>
      <c r="Q20" s="4">
        <f t="shared" si="12"/>
        <v>107.29999999999997</v>
      </c>
      <c r="R20" s="4">
        <f t="shared" si="7"/>
        <v>103.60000000000001</v>
      </c>
      <c r="S20" s="4"/>
      <c r="T20" s="5"/>
      <c r="U20" s="5"/>
      <c r="V20" s="5">
        <f t="shared" si="4"/>
        <v>19.583333333333336</v>
      </c>
      <c r="W20" s="5">
        <f t="shared" si="5"/>
        <v>7.916666666666667</v>
      </c>
      <c r="X20" s="5">
        <f>IFERROR(VLOOKUP(A20,[1]TDSheet!$A:$F,6,0),0)/5</f>
        <v>6.6599999999999993</v>
      </c>
      <c r="Y20" s="5">
        <v>8.879999999999999</v>
      </c>
      <c r="Z20" s="5">
        <v>10.36</v>
      </c>
      <c r="AA20" s="5">
        <v>8.14</v>
      </c>
      <c r="AB20" s="5">
        <v>6.6599999999999993</v>
      </c>
      <c r="AC20" s="5">
        <v>6.6599999999999993</v>
      </c>
      <c r="AD20" s="5">
        <v>8.14</v>
      </c>
      <c r="AE20" s="5">
        <v>8.879999999999999</v>
      </c>
      <c r="AF20" s="5"/>
      <c r="AG20" s="5">
        <f t="shared" si="8"/>
        <v>107.29999999999997</v>
      </c>
      <c r="AH20" s="8">
        <v>3.7</v>
      </c>
      <c r="AI20" s="10">
        <f t="shared" si="9"/>
        <v>28</v>
      </c>
      <c r="AJ20" s="5">
        <f t="shared" si="10"/>
        <v>103.60000000000001</v>
      </c>
      <c r="AK20" s="5">
        <v>14</v>
      </c>
      <c r="AL20" s="5">
        <v>126</v>
      </c>
      <c r="AM20" s="10">
        <f t="shared" si="11"/>
        <v>0.22222222222222221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 x14ac:dyDescent="0.25">
      <c r="A21" s="5" t="s">
        <v>65</v>
      </c>
      <c r="B21" s="5" t="s">
        <v>64</v>
      </c>
      <c r="C21" s="5">
        <v>5.5</v>
      </c>
      <c r="D21" s="5"/>
      <c r="E21" s="5">
        <v>5.5</v>
      </c>
      <c r="F21" s="5"/>
      <c r="G21" s="8">
        <v>1</v>
      </c>
      <c r="H21" s="5">
        <v>180</v>
      </c>
      <c r="I21" s="5" t="s">
        <v>51</v>
      </c>
      <c r="J21" s="5"/>
      <c r="K21" s="5">
        <v>5.5</v>
      </c>
      <c r="L21" s="5">
        <f t="shared" si="2"/>
        <v>0</v>
      </c>
      <c r="M21" s="5"/>
      <c r="N21" s="5"/>
      <c r="O21" s="5"/>
      <c r="P21" s="5">
        <f t="shared" si="3"/>
        <v>1.1000000000000001</v>
      </c>
      <c r="Q21" s="25">
        <v>0</v>
      </c>
      <c r="R21" s="25">
        <f t="shared" si="7"/>
        <v>0</v>
      </c>
      <c r="S21" s="4"/>
      <c r="T21" s="5"/>
      <c r="U21" s="5"/>
      <c r="V21" s="5">
        <f t="shared" si="4"/>
        <v>0</v>
      </c>
      <c r="W21" s="5">
        <f t="shared" si="5"/>
        <v>0</v>
      </c>
      <c r="X21" s="5">
        <f>IFERROR(VLOOKUP(A21,[1]TDSheet!$A:$F,6,0),0)/5</f>
        <v>2.2000000000000002</v>
      </c>
      <c r="Y21" s="5">
        <v>2.2000000000000002</v>
      </c>
      <c r="Z21" s="5">
        <v>0</v>
      </c>
      <c r="AA21" s="5">
        <v>2.2000000000000002</v>
      </c>
      <c r="AB21" s="5">
        <v>0</v>
      </c>
      <c r="AC21" s="5">
        <v>3.3</v>
      </c>
      <c r="AD21" s="5">
        <v>2.2000000000000002</v>
      </c>
      <c r="AE21" s="5">
        <v>3.3</v>
      </c>
      <c r="AF21" s="26" t="s">
        <v>66</v>
      </c>
      <c r="AG21" s="5">
        <f t="shared" si="8"/>
        <v>0</v>
      </c>
      <c r="AH21" s="8">
        <v>5.5</v>
      </c>
      <c r="AI21" s="10">
        <f t="shared" si="9"/>
        <v>0</v>
      </c>
      <c r="AJ21" s="5">
        <f t="shared" si="10"/>
        <v>0</v>
      </c>
      <c r="AK21" s="5">
        <v>12</v>
      </c>
      <c r="AL21" s="5">
        <v>84</v>
      </c>
      <c r="AM21" s="10">
        <f t="shared" si="11"/>
        <v>0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x14ac:dyDescent="0.25">
      <c r="A22" s="5" t="s">
        <v>67</v>
      </c>
      <c r="B22" s="5" t="s">
        <v>64</v>
      </c>
      <c r="C22" s="5">
        <v>240</v>
      </c>
      <c r="D22" s="5">
        <v>3</v>
      </c>
      <c r="E22" s="5">
        <v>15</v>
      </c>
      <c r="F22" s="5">
        <v>225</v>
      </c>
      <c r="G22" s="8">
        <v>1</v>
      </c>
      <c r="H22" s="5">
        <v>180</v>
      </c>
      <c r="I22" s="5" t="s">
        <v>51</v>
      </c>
      <c r="J22" s="5"/>
      <c r="K22" s="5">
        <v>18.7</v>
      </c>
      <c r="L22" s="5">
        <f t="shared" si="2"/>
        <v>-3.6999999999999993</v>
      </c>
      <c r="M22" s="5"/>
      <c r="N22" s="5"/>
      <c r="O22" s="5"/>
      <c r="P22" s="5">
        <f t="shared" si="3"/>
        <v>3</v>
      </c>
      <c r="Q22" s="4"/>
      <c r="R22" s="4">
        <f t="shared" si="7"/>
        <v>0</v>
      </c>
      <c r="S22" s="4"/>
      <c r="T22" s="5"/>
      <c r="U22" s="5"/>
      <c r="V22" s="5">
        <f t="shared" si="4"/>
        <v>75</v>
      </c>
      <c r="W22" s="5">
        <f t="shared" si="5"/>
        <v>75</v>
      </c>
      <c r="X22" s="5">
        <f>IFERROR(VLOOKUP(A22,[1]TDSheet!$A:$F,6,0),0)/5</f>
        <v>4.2</v>
      </c>
      <c r="Y22" s="5">
        <v>9.6</v>
      </c>
      <c r="Z22" s="5">
        <v>3</v>
      </c>
      <c r="AA22" s="5">
        <v>4.8</v>
      </c>
      <c r="AB22" s="5">
        <v>2.4</v>
      </c>
      <c r="AC22" s="5">
        <v>5.4359999999999999</v>
      </c>
      <c r="AD22" s="5">
        <v>5.4</v>
      </c>
      <c r="AE22" s="5">
        <v>9.6</v>
      </c>
      <c r="AF22" s="24" t="s">
        <v>71</v>
      </c>
      <c r="AG22" s="5">
        <f t="shared" si="8"/>
        <v>0</v>
      </c>
      <c r="AH22" s="8">
        <v>3</v>
      </c>
      <c r="AI22" s="10">
        <f t="shared" si="9"/>
        <v>0</v>
      </c>
      <c r="AJ22" s="5">
        <f t="shared" si="10"/>
        <v>0</v>
      </c>
      <c r="AK22" s="5">
        <v>14</v>
      </c>
      <c r="AL22" s="5">
        <v>126</v>
      </c>
      <c r="AM22" s="10">
        <f t="shared" si="11"/>
        <v>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 x14ac:dyDescent="0.25">
      <c r="A23" s="5" t="s">
        <v>68</v>
      </c>
      <c r="B23" s="5" t="s">
        <v>43</v>
      </c>
      <c r="C23" s="5">
        <v>229</v>
      </c>
      <c r="D23" s="5">
        <v>2</v>
      </c>
      <c r="E23" s="5">
        <v>149</v>
      </c>
      <c r="F23" s="5">
        <v>80</v>
      </c>
      <c r="G23" s="8">
        <v>0.25</v>
      </c>
      <c r="H23" s="5">
        <v>365</v>
      </c>
      <c r="I23" s="5" t="s">
        <v>51</v>
      </c>
      <c r="J23" s="5"/>
      <c r="K23" s="5">
        <v>151</v>
      </c>
      <c r="L23" s="5">
        <f t="shared" si="2"/>
        <v>-2</v>
      </c>
      <c r="M23" s="5"/>
      <c r="N23" s="5"/>
      <c r="O23" s="5"/>
      <c r="P23" s="5">
        <f t="shared" si="3"/>
        <v>29.8</v>
      </c>
      <c r="Q23" s="4">
        <f>18*P23-F23</f>
        <v>456.4</v>
      </c>
      <c r="R23" s="4">
        <f t="shared" si="7"/>
        <v>420</v>
      </c>
      <c r="S23" s="4"/>
      <c r="T23" s="5"/>
      <c r="U23" s="5"/>
      <c r="V23" s="5">
        <f t="shared" si="4"/>
        <v>16.778523489932887</v>
      </c>
      <c r="W23" s="5">
        <f t="shared" si="5"/>
        <v>2.6845637583892619</v>
      </c>
      <c r="X23" s="5">
        <f>IFERROR(VLOOKUP(A23,[1]TDSheet!$A:$F,6,0),0)/5</f>
        <v>24.8</v>
      </c>
      <c r="Y23" s="5">
        <v>28.6</v>
      </c>
      <c r="Z23" s="5">
        <v>32.799999999999997</v>
      </c>
      <c r="AA23" s="5">
        <v>40.6</v>
      </c>
      <c r="AB23" s="5">
        <v>42.8</v>
      </c>
      <c r="AC23" s="5">
        <v>11.6</v>
      </c>
      <c r="AD23" s="5">
        <v>43.2</v>
      </c>
      <c r="AE23" s="5">
        <v>35</v>
      </c>
      <c r="AF23" s="5"/>
      <c r="AG23" s="5">
        <f t="shared" si="8"/>
        <v>114.1</v>
      </c>
      <c r="AH23" s="8">
        <v>6</v>
      </c>
      <c r="AI23" s="10">
        <f t="shared" si="9"/>
        <v>70</v>
      </c>
      <c r="AJ23" s="5">
        <f t="shared" si="10"/>
        <v>105</v>
      </c>
      <c r="AK23" s="5">
        <v>14</v>
      </c>
      <c r="AL23" s="5">
        <v>140</v>
      </c>
      <c r="AM23" s="10">
        <f t="shared" si="11"/>
        <v>0.5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 x14ac:dyDescent="0.25">
      <c r="A24" s="5" t="s">
        <v>69</v>
      </c>
      <c r="B24" s="5" t="s">
        <v>64</v>
      </c>
      <c r="C24" s="5">
        <v>72</v>
      </c>
      <c r="D24" s="5">
        <v>6</v>
      </c>
      <c r="E24" s="5">
        <v>30</v>
      </c>
      <c r="F24" s="5">
        <v>30</v>
      </c>
      <c r="G24" s="8">
        <v>1</v>
      </c>
      <c r="H24" s="5">
        <v>180</v>
      </c>
      <c r="I24" s="5" t="s">
        <v>51</v>
      </c>
      <c r="J24" s="5"/>
      <c r="K24" s="5">
        <v>36</v>
      </c>
      <c r="L24" s="5">
        <f t="shared" si="2"/>
        <v>-6</v>
      </c>
      <c r="M24" s="5"/>
      <c r="N24" s="5"/>
      <c r="O24" s="5"/>
      <c r="P24" s="5">
        <f t="shared" si="3"/>
        <v>6</v>
      </c>
      <c r="Q24" s="4">
        <f t="shared" si="12"/>
        <v>90</v>
      </c>
      <c r="R24" s="4">
        <f t="shared" si="7"/>
        <v>72</v>
      </c>
      <c r="S24" s="4"/>
      <c r="T24" s="5"/>
      <c r="U24" s="5"/>
      <c r="V24" s="5">
        <f t="shared" si="4"/>
        <v>17</v>
      </c>
      <c r="W24" s="5">
        <f t="shared" si="5"/>
        <v>5</v>
      </c>
      <c r="X24" s="5">
        <f>IFERROR(VLOOKUP(A24,[1]TDSheet!$A:$F,6,0),0)/5</f>
        <v>9.6</v>
      </c>
      <c r="Y24" s="5">
        <v>9.6</v>
      </c>
      <c r="Z24" s="5">
        <v>13.2</v>
      </c>
      <c r="AA24" s="5">
        <v>10.8</v>
      </c>
      <c r="AB24" s="5">
        <v>8.4</v>
      </c>
      <c r="AC24" s="5">
        <v>10.8</v>
      </c>
      <c r="AD24" s="5">
        <v>7.2</v>
      </c>
      <c r="AE24" s="5">
        <v>12</v>
      </c>
      <c r="AF24" s="5"/>
      <c r="AG24" s="5">
        <f t="shared" si="8"/>
        <v>90</v>
      </c>
      <c r="AH24" s="8">
        <v>6</v>
      </c>
      <c r="AI24" s="10">
        <f t="shared" si="9"/>
        <v>12</v>
      </c>
      <c r="AJ24" s="5">
        <f t="shared" si="10"/>
        <v>72</v>
      </c>
      <c r="AK24" s="5">
        <v>12</v>
      </c>
      <c r="AL24" s="5">
        <v>84</v>
      </c>
      <c r="AM24" s="10">
        <f t="shared" si="11"/>
        <v>0.14285714285714285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 x14ac:dyDescent="0.25">
      <c r="A25" s="5" t="s">
        <v>70</v>
      </c>
      <c r="B25" s="5" t="s">
        <v>43</v>
      </c>
      <c r="C25" s="5">
        <v>304</v>
      </c>
      <c r="D25" s="5">
        <v>2</v>
      </c>
      <c r="E25" s="5">
        <v>62</v>
      </c>
      <c r="F25" s="5">
        <v>242</v>
      </c>
      <c r="G25" s="8">
        <v>0.23</v>
      </c>
      <c r="H25" s="5">
        <v>180</v>
      </c>
      <c r="I25" s="5" t="s">
        <v>51</v>
      </c>
      <c r="J25" s="5"/>
      <c r="K25" s="5">
        <v>64</v>
      </c>
      <c r="L25" s="5">
        <f t="shared" si="2"/>
        <v>-2</v>
      </c>
      <c r="M25" s="5"/>
      <c r="N25" s="5"/>
      <c r="O25" s="5"/>
      <c r="P25" s="5">
        <f t="shared" si="3"/>
        <v>12.4</v>
      </c>
      <c r="Q25" s="4"/>
      <c r="R25" s="4">
        <f t="shared" si="7"/>
        <v>0</v>
      </c>
      <c r="S25" s="4"/>
      <c r="T25" s="5"/>
      <c r="U25" s="5"/>
      <c r="V25" s="5">
        <f t="shared" si="4"/>
        <v>19.516129032258064</v>
      </c>
      <c r="W25" s="5">
        <f t="shared" si="5"/>
        <v>19.516129032258064</v>
      </c>
      <c r="X25" s="5">
        <f>IFERROR(VLOOKUP(A25,[1]TDSheet!$A:$F,6,0),0)/5</f>
        <v>17.600000000000001</v>
      </c>
      <c r="Y25" s="5">
        <v>10.199999999999999</v>
      </c>
      <c r="Z25" s="5">
        <v>11.2</v>
      </c>
      <c r="AA25" s="5">
        <v>8</v>
      </c>
      <c r="AB25" s="5">
        <v>4.2</v>
      </c>
      <c r="AC25" s="5">
        <v>0</v>
      </c>
      <c r="AD25" s="5">
        <v>9.4</v>
      </c>
      <c r="AE25" s="5">
        <v>14.6</v>
      </c>
      <c r="AF25" s="24" t="s">
        <v>71</v>
      </c>
      <c r="AG25" s="5">
        <f t="shared" si="8"/>
        <v>0</v>
      </c>
      <c r="AH25" s="8">
        <v>12</v>
      </c>
      <c r="AI25" s="10">
        <f t="shared" si="9"/>
        <v>0</v>
      </c>
      <c r="AJ25" s="5">
        <f t="shared" si="10"/>
        <v>0</v>
      </c>
      <c r="AK25" s="5">
        <v>14</v>
      </c>
      <c r="AL25" s="5">
        <v>70</v>
      </c>
      <c r="AM25" s="10">
        <f t="shared" si="11"/>
        <v>0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x14ac:dyDescent="0.25">
      <c r="A26" s="5" t="s">
        <v>72</v>
      </c>
      <c r="B26" s="5" t="s">
        <v>43</v>
      </c>
      <c r="C26" s="5">
        <v>741</v>
      </c>
      <c r="D26" s="5">
        <v>2</v>
      </c>
      <c r="E26" s="5">
        <v>147</v>
      </c>
      <c r="F26" s="5">
        <v>592</v>
      </c>
      <c r="G26" s="8">
        <v>0.25</v>
      </c>
      <c r="H26" s="5">
        <v>365</v>
      </c>
      <c r="I26" s="5" t="s">
        <v>51</v>
      </c>
      <c r="J26" s="5"/>
      <c r="K26" s="5">
        <v>149</v>
      </c>
      <c r="L26" s="5">
        <f t="shared" si="2"/>
        <v>-2</v>
      </c>
      <c r="M26" s="5"/>
      <c r="N26" s="5"/>
      <c r="O26" s="5"/>
      <c r="P26" s="5">
        <f t="shared" si="3"/>
        <v>29.4</v>
      </c>
      <c r="Q26" s="4"/>
      <c r="R26" s="4">
        <f t="shared" si="7"/>
        <v>0</v>
      </c>
      <c r="S26" s="4"/>
      <c r="T26" s="5"/>
      <c r="U26" s="5"/>
      <c r="V26" s="5">
        <f t="shared" si="4"/>
        <v>20.136054421768709</v>
      </c>
      <c r="W26" s="5">
        <f t="shared" si="5"/>
        <v>20.136054421768709</v>
      </c>
      <c r="X26" s="5">
        <f>IFERROR(VLOOKUP(A26,[1]TDSheet!$A:$F,6,0),0)/5</f>
        <v>20.6</v>
      </c>
      <c r="Y26" s="5">
        <v>44.6</v>
      </c>
      <c r="Z26" s="5">
        <v>23.2</v>
      </c>
      <c r="AA26" s="5">
        <v>29.4</v>
      </c>
      <c r="AB26" s="5">
        <v>40.4</v>
      </c>
      <c r="AC26" s="5">
        <v>38</v>
      </c>
      <c r="AD26" s="5">
        <v>30.8</v>
      </c>
      <c r="AE26" s="5">
        <v>28.8</v>
      </c>
      <c r="AF26" s="5"/>
      <c r="AG26" s="5">
        <f t="shared" si="8"/>
        <v>0</v>
      </c>
      <c r="AH26" s="8">
        <v>12</v>
      </c>
      <c r="AI26" s="10">
        <f t="shared" si="9"/>
        <v>0</v>
      </c>
      <c r="AJ26" s="5">
        <f t="shared" si="10"/>
        <v>0</v>
      </c>
      <c r="AK26" s="5">
        <v>14</v>
      </c>
      <c r="AL26" s="5">
        <v>70</v>
      </c>
      <c r="AM26" s="10">
        <f t="shared" si="11"/>
        <v>0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 x14ac:dyDescent="0.25">
      <c r="A27" s="5" t="s">
        <v>73</v>
      </c>
      <c r="B27" s="5" t="s">
        <v>43</v>
      </c>
      <c r="C27" s="5">
        <v>432</v>
      </c>
      <c r="D27" s="5">
        <v>2</v>
      </c>
      <c r="E27" s="5">
        <v>107</v>
      </c>
      <c r="F27" s="5">
        <v>325</v>
      </c>
      <c r="G27" s="8">
        <v>0.25</v>
      </c>
      <c r="H27" s="5">
        <v>365</v>
      </c>
      <c r="I27" s="5" t="s">
        <v>51</v>
      </c>
      <c r="J27" s="5"/>
      <c r="K27" s="5">
        <v>109</v>
      </c>
      <c r="L27" s="5">
        <f t="shared" si="2"/>
        <v>-2</v>
      </c>
      <c r="M27" s="5"/>
      <c r="N27" s="5"/>
      <c r="O27" s="5"/>
      <c r="P27" s="5">
        <f t="shared" si="3"/>
        <v>21.4</v>
      </c>
      <c r="Q27" s="4">
        <f t="shared" si="12"/>
        <v>103</v>
      </c>
      <c r="R27" s="4">
        <f t="shared" si="7"/>
        <v>168</v>
      </c>
      <c r="S27" s="4"/>
      <c r="T27" s="5"/>
      <c r="U27" s="5"/>
      <c r="V27" s="5">
        <f t="shared" si="4"/>
        <v>23.037383177570096</v>
      </c>
      <c r="W27" s="5">
        <f t="shared" si="5"/>
        <v>15.186915887850468</v>
      </c>
      <c r="X27" s="5">
        <f>IFERROR(VLOOKUP(A27,[1]TDSheet!$A:$F,6,0),0)/5</f>
        <v>14</v>
      </c>
      <c r="Y27" s="5">
        <v>20</v>
      </c>
      <c r="Z27" s="5">
        <v>20.8</v>
      </c>
      <c r="AA27" s="5">
        <v>20</v>
      </c>
      <c r="AB27" s="5">
        <v>20.399999999999999</v>
      </c>
      <c r="AC27" s="5">
        <v>25.6</v>
      </c>
      <c r="AD27" s="5">
        <v>23.4</v>
      </c>
      <c r="AE27" s="5">
        <v>21</v>
      </c>
      <c r="AF27" s="5"/>
      <c r="AG27" s="5">
        <f t="shared" si="8"/>
        <v>25.75</v>
      </c>
      <c r="AH27" s="8">
        <v>12</v>
      </c>
      <c r="AI27" s="10">
        <f t="shared" si="9"/>
        <v>14</v>
      </c>
      <c r="AJ27" s="5">
        <f t="shared" si="10"/>
        <v>42</v>
      </c>
      <c r="AK27" s="5">
        <v>14</v>
      </c>
      <c r="AL27" s="5">
        <v>70</v>
      </c>
      <c r="AM27" s="10">
        <f t="shared" si="11"/>
        <v>0.2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x14ac:dyDescent="0.25">
      <c r="A28" s="5" t="s">
        <v>74</v>
      </c>
      <c r="B28" s="5" t="s">
        <v>43</v>
      </c>
      <c r="C28" s="5">
        <v>432</v>
      </c>
      <c r="D28" s="5">
        <v>2</v>
      </c>
      <c r="E28" s="5">
        <v>93</v>
      </c>
      <c r="F28" s="5">
        <v>339</v>
      </c>
      <c r="G28" s="8">
        <v>0.25</v>
      </c>
      <c r="H28" s="5">
        <v>180</v>
      </c>
      <c r="I28" s="5" t="s">
        <v>51</v>
      </c>
      <c r="J28" s="5"/>
      <c r="K28" s="5">
        <v>95</v>
      </c>
      <c r="L28" s="5">
        <f t="shared" si="2"/>
        <v>-2</v>
      </c>
      <c r="M28" s="5"/>
      <c r="N28" s="5"/>
      <c r="O28" s="5"/>
      <c r="P28" s="5">
        <f t="shared" si="3"/>
        <v>18.600000000000001</v>
      </c>
      <c r="Q28" s="4">
        <f>24*P28-F28</f>
        <v>107.40000000000003</v>
      </c>
      <c r="R28" s="4">
        <f t="shared" si="7"/>
        <v>168</v>
      </c>
      <c r="S28" s="4"/>
      <c r="T28" s="5"/>
      <c r="U28" s="5"/>
      <c r="V28" s="5">
        <f t="shared" si="4"/>
        <v>27.258064516129028</v>
      </c>
      <c r="W28" s="5">
        <f t="shared" si="5"/>
        <v>18.2258064516129</v>
      </c>
      <c r="X28" s="5">
        <f>IFERROR(VLOOKUP(A28,[1]TDSheet!$A:$F,6,0),0)/5</f>
        <v>14.8</v>
      </c>
      <c r="Y28" s="5">
        <v>28.4</v>
      </c>
      <c r="Z28" s="5">
        <v>14.6</v>
      </c>
      <c r="AA28" s="5">
        <v>17.399999999999999</v>
      </c>
      <c r="AB28" s="5">
        <v>24.6</v>
      </c>
      <c r="AC28" s="5">
        <v>28.6</v>
      </c>
      <c r="AD28" s="5">
        <v>20.6</v>
      </c>
      <c r="AE28" s="5">
        <v>19</v>
      </c>
      <c r="AF28" s="5"/>
      <c r="AG28" s="5">
        <f t="shared" si="8"/>
        <v>26.850000000000009</v>
      </c>
      <c r="AH28" s="8">
        <v>12</v>
      </c>
      <c r="AI28" s="10">
        <f t="shared" si="9"/>
        <v>14</v>
      </c>
      <c r="AJ28" s="5">
        <f t="shared" si="10"/>
        <v>42</v>
      </c>
      <c r="AK28" s="5">
        <v>14</v>
      </c>
      <c r="AL28" s="5">
        <v>70</v>
      </c>
      <c r="AM28" s="10">
        <f t="shared" si="11"/>
        <v>0.2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 x14ac:dyDescent="0.25">
      <c r="A29" s="5" t="s">
        <v>75</v>
      </c>
      <c r="B29" s="5" t="s">
        <v>43</v>
      </c>
      <c r="C29" s="5">
        <v>178</v>
      </c>
      <c r="D29" s="5"/>
      <c r="E29" s="5">
        <v>82</v>
      </c>
      <c r="F29" s="5">
        <v>94</v>
      </c>
      <c r="G29" s="8">
        <v>0.25</v>
      </c>
      <c r="H29" s="5">
        <v>180</v>
      </c>
      <c r="I29" s="5" t="s">
        <v>51</v>
      </c>
      <c r="J29" s="5"/>
      <c r="K29" s="5">
        <v>82</v>
      </c>
      <c r="L29" s="5">
        <f t="shared" si="2"/>
        <v>0</v>
      </c>
      <c r="M29" s="5"/>
      <c r="N29" s="5"/>
      <c r="O29" s="5"/>
      <c r="P29" s="5">
        <f t="shared" si="3"/>
        <v>16.399999999999999</v>
      </c>
      <c r="Q29" s="4">
        <f t="shared" si="12"/>
        <v>234</v>
      </c>
      <c r="R29" s="4">
        <f t="shared" si="7"/>
        <v>168</v>
      </c>
      <c r="S29" s="4"/>
      <c r="T29" s="5"/>
      <c r="U29" s="5"/>
      <c r="V29" s="5">
        <f t="shared" si="4"/>
        <v>15.975609756097562</v>
      </c>
      <c r="W29" s="5">
        <f t="shared" si="5"/>
        <v>5.7317073170731714</v>
      </c>
      <c r="X29" s="5">
        <f>IFERROR(VLOOKUP(A29,[1]TDSheet!$A:$F,6,0),0)/5</f>
        <v>31.6</v>
      </c>
      <c r="Y29" s="5">
        <v>0.4</v>
      </c>
      <c r="Z29" s="5">
        <v>28.8</v>
      </c>
      <c r="AA29" s="5">
        <v>4.2</v>
      </c>
      <c r="AB29" s="5">
        <v>37.799999999999997</v>
      </c>
      <c r="AC29" s="5">
        <v>0</v>
      </c>
      <c r="AD29" s="5">
        <v>0</v>
      </c>
      <c r="AE29" s="5">
        <v>0</v>
      </c>
      <c r="AF29" s="5"/>
      <c r="AG29" s="5">
        <f t="shared" si="8"/>
        <v>58.5</v>
      </c>
      <c r="AH29" s="8">
        <v>12</v>
      </c>
      <c r="AI29" s="10">
        <f t="shared" si="9"/>
        <v>14</v>
      </c>
      <c r="AJ29" s="5">
        <f t="shared" si="10"/>
        <v>42</v>
      </c>
      <c r="AK29" s="5">
        <v>14</v>
      </c>
      <c r="AL29" s="5">
        <v>70</v>
      </c>
      <c r="AM29" s="10">
        <f t="shared" si="11"/>
        <v>0.2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 x14ac:dyDescent="0.25">
      <c r="A30" s="18" t="s">
        <v>76</v>
      </c>
      <c r="B30" s="18" t="s">
        <v>43</v>
      </c>
      <c r="C30" s="18"/>
      <c r="D30" s="18"/>
      <c r="E30" s="18"/>
      <c r="F30" s="18"/>
      <c r="G30" s="19">
        <v>0</v>
      </c>
      <c r="H30" s="18">
        <v>180</v>
      </c>
      <c r="I30" s="18" t="s">
        <v>51</v>
      </c>
      <c r="J30" s="18"/>
      <c r="K30" s="18"/>
      <c r="L30" s="18">
        <f t="shared" si="2"/>
        <v>0</v>
      </c>
      <c r="M30" s="18"/>
      <c r="N30" s="18"/>
      <c r="O30" s="18"/>
      <c r="P30" s="18">
        <f t="shared" si="3"/>
        <v>0</v>
      </c>
      <c r="Q30" s="20"/>
      <c r="R30" s="20"/>
      <c r="S30" s="20"/>
      <c r="T30" s="18"/>
      <c r="U30" s="18"/>
      <c r="V30" s="18" t="e">
        <f t="shared" si="4"/>
        <v>#DIV/0!</v>
      </c>
      <c r="W30" s="18" t="e">
        <f t="shared" si="5"/>
        <v>#DIV/0!</v>
      </c>
      <c r="X30" s="18">
        <f>IFERROR(VLOOKUP(A30,[1]TDSheet!$A:$F,6,0),0)/5</f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 t="s">
        <v>55</v>
      </c>
      <c r="AG30" s="18"/>
      <c r="AH30" s="19">
        <v>16</v>
      </c>
      <c r="AI30" s="21"/>
      <c r="AJ30" s="18"/>
      <c r="AK30" s="18">
        <v>12</v>
      </c>
      <c r="AL30" s="18">
        <v>84</v>
      </c>
      <c r="AM30" s="21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 x14ac:dyDescent="0.25">
      <c r="A31" s="5" t="s">
        <v>77</v>
      </c>
      <c r="B31" s="5" t="s">
        <v>43</v>
      </c>
      <c r="C31" s="5">
        <v>106</v>
      </c>
      <c r="D31" s="5"/>
      <c r="E31" s="5">
        <v>18</v>
      </c>
      <c r="F31" s="5">
        <v>88</v>
      </c>
      <c r="G31" s="8">
        <v>0.7</v>
      </c>
      <c r="H31" s="5">
        <v>180</v>
      </c>
      <c r="I31" s="5" t="s">
        <v>51</v>
      </c>
      <c r="J31" s="5"/>
      <c r="K31" s="5">
        <v>18</v>
      </c>
      <c r="L31" s="5">
        <f t="shared" si="2"/>
        <v>0</v>
      </c>
      <c r="M31" s="5"/>
      <c r="N31" s="5"/>
      <c r="O31" s="5"/>
      <c r="P31" s="5">
        <f t="shared" si="3"/>
        <v>3.6</v>
      </c>
      <c r="Q31" s="4"/>
      <c r="R31" s="4">
        <f t="shared" ref="R31:R43" si="13">AH31*AI31</f>
        <v>0</v>
      </c>
      <c r="S31" s="4"/>
      <c r="T31" s="5"/>
      <c r="U31" s="5"/>
      <c r="V31" s="5">
        <f t="shared" si="4"/>
        <v>24.444444444444443</v>
      </c>
      <c r="W31" s="5">
        <f t="shared" si="5"/>
        <v>24.444444444444443</v>
      </c>
      <c r="X31" s="5">
        <f>IFERROR(VLOOKUP(A31,[1]TDSheet!$A:$F,6,0),0)/5</f>
        <v>3.2</v>
      </c>
      <c r="Y31" s="5">
        <v>0</v>
      </c>
      <c r="Z31" s="5">
        <v>4.2</v>
      </c>
      <c r="AA31" s="5">
        <v>3.6</v>
      </c>
      <c r="AB31" s="5">
        <v>5</v>
      </c>
      <c r="AC31" s="5">
        <v>2.2000000000000002</v>
      </c>
      <c r="AD31" s="5">
        <v>3.8</v>
      </c>
      <c r="AE31" s="5">
        <v>4.8</v>
      </c>
      <c r="AF31" s="23" t="s">
        <v>80</v>
      </c>
      <c r="AG31" s="5">
        <f t="shared" ref="AG31:AG43" si="14">G31*Q31</f>
        <v>0</v>
      </c>
      <c r="AH31" s="8">
        <v>10</v>
      </c>
      <c r="AI31" s="10">
        <f t="shared" ref="AI31:AI43" si="15">MROUND(Q31, AH31*AK31)/AH31</f>
        <v>0</v>
      </c>
      <c r="AJ31" s="5">
        <f t="shared" ref="AJ31:AJ43" si="16">AI31*AH31*G31</f>
        <v>0</v>
      </c>
      <c r="AK31" s="5">
        <v>12</v>
      </c>
      <c r="AL31" s="5">
        <v>84</v>
      </c>
      <c r="AM31" s="10">
        <f t="shared" ref="AM31:AM43" si="17">AI31/AL31</f>
        <v>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 x14ac:dyDescent="0.25">
      <c r="A32" s="5" t="s">
        <v>78</v>
      </c>
      <c r="B32" s="5" t="s">
        <v>43</v>
      </c>
      <c r="C32" s="5">
        <v>159</v>
      </c>
      <c r="D32" s="5"/>
      <c r="E32" s="5">
        <v>26</v>
      </c>
      <c r="F32" s="5">
        <v>129</v>
      </c>
      <c r="G32" s="8">
        <v>0.4</v>
      </c>
      <c r="H32" s="5">
        <v>180</v>
      </c>
      <c r="I32" s="5" t="s">
        <v>51</v>
      </c>
      <c r="J32" s="5"/>
      <c r="K32" s="5">
        <v>26</v>
      </c>
      <c r="L32" s="5">
        <f t="shared" si="2"/>
        <v>0</v>
      </c>
      <c r="M32" s="5"/>
      <c r="N32" s="5"/>
      <c r="O32" s="5"/>
      <c r="P32" s="5">
        <f t="shared" si="3"/>
        <v>5.2</v>
      </c>
      <c r="Q32" s="4"/>
      <c r="R32" s="4">
        <f t="shared" si="13"/>
        <v>0</v>
      </c>
      <c r="S32" s="4"/>
      <c r="T32" s="5"/>
      <c r="U32" s="5"/>
      <c r="V32" s="5">
        <f t="shared" si="4"/>
        <v>24.807692307692307</v>
      </c>
      <c r="W32" s="5">
        <f t="shared" si="5"/>
        <v>24.807692307692307</v>
      </c>
      <c r="X32" s="5">
        <f>IFERROR(VLOOKUP(A32,[1]TDSheet!$A:$F,6,0),0)/5</f>
        <v>6.6</v>
      </c>
      <c r="Y32" s="5">
        <v>8.1999999999999993</v>
      </c>
      <c r="Z32" s="5">
        <v>7.8</v>
      </c>
      <c r="AA32" s="5">
        <v>6.4</v>
      </c>
      <c r="AB32" s="5">
        <v>6</v>
      </c>
      <c r="AC32" s="5">
        <v>0</v>
      </c>
      <c r="AD32" s="5">
        <v>10.6</v>
      </c>
      <c r="AE32" s="5">
        <v>8.8000000000000007</v>
      </c>
      <c r="AF32" s="23" t="s">
        <v>80</v>
      </c>
      <c r="AG32" s="5">
        <f t="shared" si="14"/>
        <v>0</v>
      </c>
      <c r="AH32" s="8">
        <v>16</v>
      </c>
      <c r="AI32" s="10">
        <f t="shared" si="15"/>
        <v>0</v>
      </c>
      <c r="AJ32" s="5">
        <f t="shared" si="16"/>
        <v>0</v>
      </c>
      <c r="AK32" s="5">
        <v>12</v>
      </c>
      <c r="AL32" s="5">
        <v>84</v>
      </c>
      <c r="AM32" s="10">
        <f t="shared" si="17"/>
        <v>0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 x14ac:dyDescent="0.25">
      <c r="A33" s="5" t="s">
        <v>79</v>
      </c>
      <c r="B33" s="5" t="s">
        <v>43</v>
      </c>
      <c r="C33" s="5">
        <v>118</v>
      </c>
      <c r="D33" s="5"/>
      <c r="E33" s="5">
        <v>46</v>
      </c>
      <c r="F33" s="5">
        <v>70</v>
      </c>
      <c r="G33" s="8">
        <v>0.7</v>
      </c>
      <c r="H33" s="5">
        <v>180</v>
      </c>
      <c r="I33" s="5" t="s">
        <v>51</v>
      </c>
      <c r="J33" s="5"/>
      <c r="K33" s="5">
        <v>46</v>
      </c>
      <c r="L33" s="5">
        <f t="shared" si="2"/>
        <v>0</v>
      </c>
      <c r="M33" s="5"/>
      <c r="N33" s="5"/>
      <c r="O33" s="5"/>
      <c r="P33" s="5">
        <f t="shared" si="3"/>
        <v>9.1999999999999993</v>
      </c>
      <c r="Q33" s="4">
        <f t="shared" ref="Q31:Q43" si="18">20*P33-F33</f>
        <v>114</v>
      </c>
      <c r="R33" s="4">
        <f t="shared" si="13"/>
        <v>120</v>
      </c>
      <c r="S33" s="4"/>
      <c r="T33" s="5"/>
      <c r="U33" s="5"/>
      <c r="V33" s="5">
        <f t="shared" si="4"/>
        <v>20.65217391304348</v>
      </c>
      <c r="W33" s="5">
        <f t="shared" si="5"/>
        <v>7.608695652173914</v>
      </c>
      <c r="X33" s="5">
        <f>IFERROR(VLOOKUP(A33,[1]TDSheet!$A:$F,6,0),0)/5</f>
        <v>13.2</v>
      </c>
      <c r="Y33" s="5">
        <v>8.8000000000000007</v>
      </c>
      <c r="Z33" s="5">
        <v>12.8</v>
      </c>
      <c r="AA33" s="5">
        <v>10.6</v>
      </c>
      <c r="AB33" s="5">
        <v>13.4</v>
      </c>
      <c r="AC33" s="5">
        <v>27.8</v>
      </c>
      <c r="AD33" s="5">
        <v>13</v>
      </c>
      <c r="AE33" s="5">
        <v>10.8</v>
      </c>
      <c r="AF33" s="5"/>
      <c r="AG33" s="5">
        <f t="shared" si="14"/>
        <v>79.8</v>
      </c>
      <c r="AH33" s="8">
        <v>10</v>
      </c>
      <c r="AI33" s="10">
        <f t="shared" si="15"/>
        <v>12</v>
      </c>
      <c r="AJ33" s="5">
        <f t="shared" si="16"/>
        <v>84</v>
      </c>
      <c r="AK33" s="5">
        <v>12</v>
      </c>
      <c r="AL33" s="5">
        <v>84</v>
      </c>
      <c r="AM33" s="10">
        <f t="shared" si="17"/>
        <v>0.14285714285714285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 x14ac:dyDescent="0.25">
      <c r="A34" s="5" t="s">
        <v>81</v>
      </c>
      <c r="B34" s="5" t="s">
        <v>43</v>
      </c>
      <c r="C34" s="5">
        <v>46</v>
      </c>
      <c r="D34" s="5"/>
      <c r="E34" s="5">
        <v>15</v>
      </c>
      <c r="F34" s="5">
        <v>31</v>
      </c>
      <c r="G34" s="8">
        <v>0.7</v>
      </c>
      <c r="H34" s="5">
        <v>180</v>
      </c>
      <c r="I34" s="5" t="s">
        <v>51</v>
      </c>
      <c r="J34" s="5"/>
      <c r="K34" s="5">
        <v>15</v>
      </c>
      <c r="L34" s="5">
        <f t="shared" si="2"/>
        <v>0</v>
      </c>
      <c r="M34" s="5"/>
      <c r="N34" s="5"/>
      <c r="O34" s="5"/>
      <c r="P34" s="5">
        <f t="shared" si="3"/>
        <v>3</v>
      </c>
      <c r="Q34" s="25">
        <v>0</v>
      </c>
      <c r="R34" s="25">
        <f t="shared" si="13"/>
        <v>0</v>
      </c>
      <c r="S34" s="4"/>
      <c r="T34" s="5"/>
      <c r="U34" s="5"/>
      <c r="V34" s="5">
        <f t="shared" si="4"/>
        <v>10.333333333333334</v>
      </c>
      <c r="W34" s="5">
        <f t="shared" si="5"/>
        <v>10.333333333333334</v>
      </c>
      <c r="X34" s="5">
        <f>IFERROR(VLOOKUP(A34,[1]TDSheet!$A:$F,6,0),0)/5</f>
        <v>3.8</v>
      </c>
      <c r="Y34" s="5">
        <v>4.2</v>
      </c>
      <c r="Z34" s="5">
        <v>0.4</v>
      </c>
      <c r="AA34" s="5">
        <v>0</v>
      </c>
      <c r="AB34" s="5">
        <v>6.8</v>
      </c>
      <c r="AC34" s="5">
        <v>9.4</v>
      </c>
      <c r="AD34" s="5">
        <v>2.8</v>
      </c>
      <c r="AE34" s="5">
        <v>5.2</v>
      </c>
      <c r="AF34" s="26" t="s">
        <v>66</v>
      </c>
      <c r="AG34" s="5">
        <f t="shared" si="14"/>
        <v>0</v>
      </c>
      <c r="AH34" s="8">
        <v>10</v>
      </c>
      <c r="AI34" s="10">
        <f t="shared" si="15"/>
        <v>0</v>
      </c>
      <c r="AJ34" s="5">
        <f t="shared" si="16"/>
        <v>0</v>
      </c>
      <c r="AK34" s="5">
        <v>12</v>
      </c>
      <c r="AL34" s="5">
        <v>84</v>
      </c>
      <c r="AM34" s="10">
        <f t="shared" si="17"/>
        <v>0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 x14ac:dyDescent="0.25">
      <c r="A35" s="5" t="s">
        <v>82</v>
      </c>
      <c r="B35" s="5" t="s">
        <v>43</v>
      </c>
      <c r="C35" s="5">
        <v>123</v>
      </c>
      <c r="D35" s="5"/>
      <c r="E35" s="5">
        <v>25</v>
      </c>
      <c r="F35" s="5">
        <v>98</v>
      </c>
      <c r="G35" s="8">
        <v>0.6</v>
      </c>
      <c r="H35" s="5">
        <v>180</v>
      </c>
      <c r="I35" s="5" t="s">
        <v>51</v>
      </c>
      <c r="J35" s="5"/>
      <c r="K35" s="5">
        <v>25</v>
      </c>
      <c r="L35" s="5">
        <f t="shared" si="2"/>
        <v>0</v>
      </c>
      <c r="M35" s="5"/>
      <c r="N35" s="5"/>
      <c r="O35" s="5"/>
      <c r="P35" s="5">
        <f t="shared" si="3"/>
        <v>5</v>
      </c>
      <c r="Q35" s="4"/>
      <c r="R35" s="4">
        <f t="shared" si="13"/>
        <v>0</v>
      </c>
      <c r="S35" s="4"/>
      <c r="T35" s="5"/>
      <c r="U35" s="5"/>
      <c r="V35" s="5">
        <f t="shared" si="4"/>
        <v>19.600000000000001</v>
      </c>
      <c r="W35" s="5">
        <f t="shared" si="5"/>
        <v>19.600000000000001</v>
      </c>
      <c r="X35" s="5">
        <f>IFERROR(VLOOKUP(A35,[1]TDSheet!$A:$F,6,0),0)/5</f>
        <v>2.8</v>
      </c>
      <c r="Y35" s="5">
        <v>4</v>
      </c>
      <c r="Z35" s="5">
        <v>9.6</v>
      </c>
      <c r="AA35" s="5">
        <v>13.8</v>
      </c>
      <c r="AB35" s="5">
        <v>2</v>
      </c>
      <c r="AC35" s="5">
        <v>0</v>
      </c>
      <c r="AD35" s="5">
        <v>0</v>
      </c>
      <c r="AE35" s="5">
        <v>0</v>
      </c>
      <c r="AF35" s="24" t="s">
        <v>71</v>
      </c>
      <c r="AG35" s="5">
        <f t="shared" si="14"/>
        <v>0</v>
      </c>
      <c r="AH35" s="8">
        <v>10</v>
      </c>
      <c r="AI35" s="10">
        <f t="shared" si="15"/>
        <v>0</v>
      </c>
      <c r="AJ35" s="5">
        <f t="shared" si="16"/>
        <v>0</v>
      </c>
      <c r="AK35" s="5">
        <v>12</v>
      </c>
      <c r="AL35" s="5">
        <v>84</v>
      </c>
      <c r="AM35" s="10">
        <f t="shared" si="17"/>
        <v>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x14ac:dyDescent="0.25">
      <c r="A36" s="5" t="s">
        <v>47</v>
      </c>
      <c r="B36" s="5" t="s">
        <v>43</v>
      </c>
      <c r="C36" s="5">
        <v>432</v>
      </c>
      <c r="D36" s="5"/>
      <c r="E36" s="22">
        <f>43+E7</f>
        <v>76</v>
      </c>
      <c r="F36" s="22">
        <f>387+F7</f>
        <v>569</v>
      </c>
      <c r="G36" s="8">
        <v>0.7</v>
      </c>
      <c r="H36" s="5">
        <v>180</v>
      </c>
      <c r="I36" s="5" t="s">
        <v>51</v>
      </c>
      <c r="J36" s="5"/>
      <c r="K36" s="5">
        <v>43</v>
      </c>
      <c r="L36" s="5">
        <f t="shared" si="2"/>
        <v>33</v>
      </c>
      <c r="M36" s="5"/>
      <c r="N36" s="5"/>
      <c r="O36" s="5"/>
      <c r="P36" s="5">
        <f t="shared" si="3"/>
        <v>15.2</v>
      </c>
      <c r="Q36" s="4"/>
      <c r="R36" s="4">
        <f t="shared" si="13"/>
        <v>0</v>
      </c>
      <c r="S36" s="4"/>
      <c r="T36" s="5"/>
      <c r="U36" s="5"/>
      <c r="V36" s="5">
        <f t="shared" si="4"/>
        <v>37.434210526315795</v>
      </c>
      <c r="W36" s="5">
        <f t="shared" si="5"/>
        <v>37.434210526315795</v>
      </c>
      <c r="X36" s="5">
        <f>IFERROR(VLOOKUP(A36,[1]TDSheet!$A:$F,6,0),0)/5</f>
        <v>4.2</v>
      </c>
      <c r="Y36" s="5">
        <v>0</v>
      </c>
      <c r="Z36" s="5">
        <v>40.6</v>
      </c>
      <c r="AA36" s="5">
        <v>12.2</v>
      </c>
      <c r="AB36" s="5">
        <v>9</v>
      </c>
      <c r="AC36" s="5">
        <v>12.6</v>
      </c>
      <c r="AD36" s="5">
        <v>9.8000000000000007</v>
      </c>
      <c r="AE36" s="5">
        <v>16.399999999999999</v>
      </c>
      <c r="AF36" s="24" t="s">
        <v>71</v>
      </c>
      <c r="AG36" s="5">
        <f t="shared" si="14"/>
        <v>0</v>
      </c>
      <c r="AH36" s="8">
        <v>10</v>
      </c>
      <c r="AI36" s="10">
        <f t="shared" si="15"/>
        <v>0</v>
      </c>
      <c r="AJ36" s="5">
        <f t="shared" si="16"/>
        <v>0</v>
      </c>
      <c r="AK36" s="5">
        <v>12</v>
      </c>
      <c r="AL36" s="5">
        <v>84</v>
      </c>
      <c r="AM36" s="10">
        <f t="shared" si="17"/>
        <v>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x14ac:dyDescent="0.25">
      <c r="A37" s="5" t="s">
        <v>83</v>
      </c>
      <c r="B37" s="5" t="s">
        <v>64</v>
      </c>
      <c r="C37" s="5">
        <v>75.599999999999994</v>
      </c>
      <c r="D37" s="5"/>
      <c r="E37" s="5">
        <v>13.5</v>
      </c>
      <c r="F37" s="5">
        <v>62.1</v>
      </c>
      <c r="G37" s="8">
        <v>1</v>
      </c>
      <c r="H37" s="5">
        <v>180</v>
      </c>
      <c r="I37" s="5" t="s">
        <v>51</v>
      </c>
      <c r="J37" s="5"/>
      <c r="K37" s="5">
        <v>13.5</v>
      </c>
      <c r="L37" s="5">
        <f t="shared" si="2"/>
        <v>0</v>
      </c>
      <c r="M37" s="5"/>
      <c r="N37" s="5"/>
      <c r="O37" s="5"/>
      <c r="P37" s="5">
        <f t="shared" si="3"/>
        <v>2.7</v>
      </c>
      <c r="Q37" s="4"/>
      <c r="R37" s="4">
        <f t="shared" si="13"/>
        <v>0</v>
      </c>
      <c r="S37" s="4"/>
      <c r="T37" s="5"/>
      <c r="U37" s="5"/>
      <c r="V37" s="5">
        <f t="shared" si="4"/>
        <v>23</v>
      </c>
      <c r="W37" s="5">
        <f t="shared" si="5"/>
        <v>23</v>
      </c>
      <c r="X37" s="5">
        <f>IFERROR(VLOOKUP(A37,[1]TDSheet!$A:$F,6,0),0)/5</f>
        <v>3.78</v>
      </c>
      <c r="Y37" s="5">
        <v>4.32</v>
      </c>
      <c r="Z37" s="5">
        <v>4.32</v>
      </c>
      <c r="AA37" s="5">
        <v>6.48</v>
      </c>
      <c r="AB37" s="5">
        <v>7.02</v>
      </c>
      <c r="AC37" s="5">
        <v>0</v>
      </c>
      <c r="AD37" s="5">
        <v>0</v>
      </c>
      <c r="AE37" s="5">
        <v>3.24</v>
      </c>
      <c r="AF37" s="23" t="s">
        <v>80</v>
      </c>
      <c r="AG37" s="5">
        <f t="shared" si="14"/>
        <v>0</v>
      </c>
      <c r="AH37" s="8">
        <v>2.7</v>
      </c>
      <c r="AI37" s="10">
        <f t="shared" si="15"/>
        <v>0</v>
      </c>
      <c r="AJ37" s="5">
        <f t="shared" si="16"/>
        <v>0</v>
      </c>
      <c r="AK37" s="5">
        <v>18</v>
      </c>
      <c r="AL37" s="5">
        <v>234</v>
      </c>
      <c r="AM37" s="10">
        <f t="shared" si="17"/>
        <v>0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x14ac:dyDescent="0.25">
      <c r="A38" s="5" t="s">
        <v>84</v>
      </c>
      <c r="B38" s="5" t="s">
        <v>64</v>
      </c>
      <c r="C38" s="5">
        <v>115</v>
      </c>
      <c r="D38" s="5"/>
      <c r="E38" s="5">
        <v>70</v>
      </c>
      <c r="F38" s="5">
        <v>45</v>
      </c>
      <c r="G38" s="8">
        <v>1</v>
      </c>
      <c r="H38" s="5">
        <v>180</v>
      </c>
      <c r="I38" s="5" t="s">
        <v>51</v>
      </c>
      <c r="J38" s="5"/>
      <c r="K38" s="5">
        <v>70</v>
      </c>
      <c r="L38" s="5">
        <f t="shared" ref="L38:L69" si="19">E38-K38</f>
        <v>0</v>
      </c>
      <c r="M38" s="5"/>
      <c r="N38" s="5"/>
      <c r="O38" s="5"/>
      <c r="P38" s="5">
        <f t="shared" ref="P38:P67" si="20">E38/5</f>
        <v>14</v>
      </c>
      <c r="Q38" s="4">
        <f t="shared" ref="Q38:Q39" si="21">18*P38-F38</f>
        <v>207</v>
      </c>
      <c r="R38" s="4">
        <f t="shared" si="13"/>
        <v>180</v>
      </c>
      <c r="S38" s="4"/>
      <c r="T38" s="5"/>
      <c r="U38" s="5"/>
      <c r="V38" s="5">
        <f t="shared" ref="V38:V67" si="22">(F38+R38)/P38</f>
        <v>16.071428571428573</v>
      </c>
      <c r="W38" s="5">
        <f t="shared" ref="W38:W67" si="23">F38/P38</f>
        <v>3.2142857142857144</v>
      </c>
      <c r="X38" s="5">
        <f>IFERROR(VLOOKUP(A38,[1]TDSheet!$A:$F,6,0),0)/5</f>
        <v>21</v>
      </c>
      <c r="Y38" s="5">
        <v>15</v>
      </c>
      <c r="Z38" s="5">
        <v>21</v>
      </c>
      <c r="AA38" s="5">
        <v>32</v>
      </c>
      <c r="AB38" s="5">
        <v>14</v>
      </c>
      <c r="AC38" s="5">
        <v>0</v>
      </c>
      <c r="AD38" s="5">
        <v>29</v>
      </c>
      <c r="AE38" s="5">
        <v>19</v>
      </c>
      <c r="AF38" s="5"/>
      <c r="AG38" s="5">
        <f t="shared" si="14"/>
        <v>207</v>
      </c>
      <c r="AH38" s="8">
        <v>5</v>
      </c>
      <c r="AI38" s="10">
        <f t="shared" si="15"/>
        <v>36</v>
      </c>
      <c r="AJ38" s="5">
        <f t="shared" si="16"/>
        <v>180</v>
      </c>
      <c r="AK38" s="5">
        <v>12</v>
      </c>
      <c r="AL38" s="5">
        <v>144</v>
      </c>
      <c r="AM38" s="10">
        <f t="shared" si="17"/>
        <v>0.25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 x14ac:dyDescent="0.25">
      <c r="A39" s="5" t="s">
        <v>85</v>
      </c>
      <c r="B39" s="5" t="s">
        <v>43</v>
      </c>
      <c r="C39" s="5">
        <v>340</v>
      </c>
      <c r="D39" s="5">
        <v>7</v>
      </c>
      <c r="E39" s="5">
        <v>196</v>
      </c>
      <c r="F39" s="5">
        <v>132</v>
      </c>
      <c r="G39" s="8">
        <v>0.4</v>
      </c>
      <c r="H39" s="5">
        <v>180</v>
      </c>
      <c r="I39" s="5" t="s">
        <v>51</v>
      </c>
      <c r="J39" s="5"/>
      <c r="K39" s="5">
        <v>198</v>
      </c>
      <c r="L39" s="5">
        <f t="shared" si="19"/>
        <v>-2</v>
      </c>
      <c r="M39" s="5"/>
      <c r="N39" s="5"/>
      <c r="O39" s="5"/>
      <c r="P39" s="5">
        <f t="shared" si="20"/>
        <v>39.200000000000003</v>
      </c>
      <c r="Q39" s="4">
        <f t="shared" si="21"/>
        <v>573.6</v>
      </c>
      <c r="R39" s="4">
        <f t="shared" si="13"/>
        <v>576</v>
      </c>
      <c r="S39" s="4"/>
      <c r="T39" s="5"/>
      <c r="U39" s="5"/>
      <c r="V39" s="5">
        <f t="shared" si="22"/>
        <v>18.061224489795919</v>
      </c>
      <c r="W39" s="5">
        <f t="shared" si="23"/>
        <v>3.3673469387755102</v>
      </c>
      <c r="X39" s="5">
        <f>IFERROR(VLOOKUP(A39,[1]TDSheet!$A:$F,6,0),0)/5</f>
        <v>27.4</v>
      </c>
      <c r="Y39" s="5">
        <v>36.200000000000003</v>
      </c>
      <c r="Z39" s="5">
        <v>32.200000000000003</v>
      </c>
      <c r="AA39" s="5">
        <v>38.6</v>
      </c>
      <c r="AB39" s="5">
        <v>31.6</v>
      </c>
      <c r="AC39" s="5">
        <v>-0.2</v>
      </c>
      <c r="AD39" s="5">
        <v>36.6</v>
      </c>
      <c r="AE39" s="5">
        <v>44</v>
      </c>
      <c r="AF39" s="5"/>
      <c r="AG39" s="5">
        <f t="shared" si="14"/>
        <v>229.44000000000003</v>
      </c>
      <c r="AH39" s="8">
        <v>16</v>
      </c>
      <c r="AI39" s="10">
        <f t="shared" si="15"/>
        <v>36</v>
      </c>
      <c r="AJ39" s="5">
        <f t="shared" si="16"/>
        <v>230.4</v>
      </c>
      <c r="AK39" s="5">
        <v>12</v>
      </c>
      <c r="AL39" s="5">
        <v>84</v>
      </c>
      <c r="AM39" s="10">
        <f t="shared" si="17"/>
        <v>0.42857142857142855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 x14ac:dyDescent="0.25">
      <c r="A40" s="5" t="s">
        <v>49</v>
      </c>
      <c r="B40" s="5" t="s">
        <v>43</v>
      </c>
      <c r="C40" s="5">
        <v>985</v>
      </c>
      <c r="D40" s="5">
        <v>2</v>
      </c>
      <c r="E40" s="5">
        <v>190</v>
      </c>
      <c r="F40" s="22">
        <f>496+F8</f>
        <v>791</v>
      </c>
      <c r="G40" s="8">
        <v>0.7</v>
      </c>
      <c r="H40" s="5">
        <v>180</v>
      </c>
      <c r="I40" s="5" t="s">
        <v>51</v>
      </c>
      <c r="J40" s="5"/>
      <c r="K40" s="5">
        <v>192</v>
      </c>
      <c r="L40" s="5">
        <f t="shared" si="19"/>
        <v>-2</v>
      </c>
      <c r="M40" s="5"/>
      <c r="N40" s="5"/>
      <c r="O40" s="5"/>
      <c r="P40" s="5">
        <f t="shared" si="20"/>
        <v>38</v>
      </c>
      <c r="Q40" s="4"/>
      <c r="R40" s="4">
        <f t="shared" si="13"/>
        <v>0</v>
      </c>
      <c r="S40" s="4"/>
      <c r="T40" s="5"/>
      <c r="U40" s="5"/>
      <c r="V40" s="5">
        <f t="shared" si="22"/>
        <v>20.815789473684209</v>
      </c>
      <c r="W40" s="5">
        <f t="shared" si="23"/>
        <v>20.815789473684209</v>
      </c>
      <c r="X40" s="5">
        <f>IFERROR(VLOOKUP(A40,[1]TDSheet!$A:$F,6,0),0)/5</f>
        <v>38.799999999999997</v>
      </c>
      <c r="Y40" s="5">
        <v>46.6</v>
      </c>
      <c r="Z40" s="5">
        <v>37</v>
      </c>
      <c r="AA40" s="5">
        <v>82.4</v>
      </c>
      <c r="AB40" s="5">
        <v>57.2</v>
      </c>
      <c r="AC40" s="5">
        <v>0</v>
      </c>
      <c r="AD40" s="5">
        <v>30</v>
      </c>
      <c r="AE40" s="5">
        <v>70.400000000000006</v>
      </c>
      <c r="AF40" s="23" t="s">
        <v>80</v>
      </c>
      <c r="AG40" s="5">
        <f t="shared" si="14"/>
        <v>0</v>
      </c>
      <c r="AH40" s="8">
        <v>10</v>
      </c>
      <c r="AI40" s="10">
        <f t="shared" si="15"/>
        <v>0</v>
      </c>
      <c r="AJ40" s="5">
        <f t="shared" si="16"/>
        <v>0</v>
      </c>
      <c r="AK40" s="5">
        <v>12</v>
      </c>
      <c r="AL40" s="5">
        <v>84</v>
      </c>
      <c r="AM40" s="10">
        <f t="shared" si="17"/>
        <v>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 x14ac:dyDescent="0.25">
      <c r="A41" s="5" t="s">
        <v>86</v>
      </c>
      <c r="B41" s="5" t="s">
        <v>43</v>
      </c>
      <c r="C41" s="5">
        <v>798</v>
      </c>
      <c r="D41" s="5">
        <v>4</v>
      </c>
      <c r="E41" s="5">
        <v>235</v>
      </c>
      <c r="F41" s="5">
        <v>558</v>
      </c>
      <c r="G41" s="8">
        <v>0.4</v>
      </c>
      <c r="H41" s="5">
        <v>180</v>
      </c>
      <c r="I41" s="5" t="s">
        <v>51</v>
      </c>
      <c r="J41" s="5"/>
      <c r="K41" s="5">
        <v>238</v>
      </c>
      <c r="L41" s="5">
        <f t="shared" si="19"/>
        <v>-3</v>
      </c>
      <c r="M41" s="5"/>
      <c r="N41" s="5"/>
      <c r="O41" s="5"/>
      <c r="P41" s="5">
        <f t="shared" si="20"/>
        <v>47</v>
      </c>
      <c r="Q41" s="4">
        <f t="shared" si="18"/>
        <v>382</v>
      </c>
      <c r="R41" s="4">
        <f t="shared" si="13"/>
        <v>384</v>
      </c>
      <c r="S41" s="4"/>
      <c r="T41" s="5"/>
      <c r="U41" s="5"/>
      <c r="V41" s="5">
        <f t="shared" si="22"/>
        <v>20.042553191489361</v>
      </c>
      <c r="W41" s="5">
        <f t="shared" si="23"/>
        <v>11.872340425531915</v>
      </c>
      <c r="X41" s="5">
        <f>IFERROR(VLOOKUP(A41,[1]TDSheet!$A:$F,6,0),0)/5</f>
        <v>31.4</v>
      </c>
      <c r="Y41" s="5">
        <v>44.4</v>
      </c>
      <c r="Z41" s="5">
        <v>42.4</v>
      </c>
      <c r="AA41" s="5">
        <v>34.4</v>
      </c>
      <c r="AB41" s="5">
        <v>30.2</v>
      </c>
      <c r="AC41" s="5">
        <v>43.2</v>
      </c>
      <c r="AD41" s="5">
        <v>49.4</v>
      </c>
      <c r="AE41" s="5">
        <v>43.2</v>
      </c>
      <c r="AF41" s="5"/>
      <c r="AG41" s="5">
        <f t="shared" si="14"/>
        <v>152.80000000000001</v>
      </c>
      <c r="AH41" s="8">
        <v>16</v>
      </c>
      <c r="AI41" s="10">
        <f t="shared" si="15"/>
        <v>24</v>
      </c>
      <c r="AJ41" s="5">
        <f t="shared" si="16"/>
        <v>153.60000000000002</v>
      </c>
      <c r="AK41" s="5">
        <v>12</v>
      </c>
      <c r="AL41" s="5">
        <v>84</v>
      </c>
      <c r="AM41" s="10">
        <f t="shared" si="17"/>
        <v>0.2857142857142857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 x14ac:dyDescent="0.25">
      <c r="A42" s="5" t="s">
        <v>87</v>
      </c>
      <c r="B42" s="5" t="s">
        <v>43</v>
      </c>
      <c r="C42" s="5">
        <v>778</v>
      </c>
      <c r="D42" s="5">
        <v>3</v>
      </c>
      <c r="E42" s="5">
        <v>182</v>
      </c>
      <c r="F42" s="5">
        <v>591</v>
      </c>
      <c r="G42" s="8">
        <v>0.7</v>
      </c>
      <c r="H42" s="5">
        <v>180</v>
      </c>
      <c r="I42" s="5" t="s">
        <v>51</v>
      </c>
      <c r="J42" s="5"/>
      <c r="K42" s="5">
        <v>185</v>
      </c>
      <c r="L42" s="5">
        <f t="shared" si="19"/>
        <v>-3</v>
      </c>
      <c r="M42" s="5"/>
      <c r="N42" s="5"/>
      <c r="O42" s="5"/>
      <c r="P42" s="5">
        <f t="shared" si="20"/>
        <v>36.4</v>
      </c>
      <c r="Q42" s="4">
        <f t="shared" si="18"/>
        <v>137</v>
      </c>
      <c r="R42" s="4">
        <f t="shared" si="13"/>
        <v>120</v>
      </c>
      <c r="S42" s="4"/>
      <c r="T42" s="5"/>
      <c r="U42" s="5"/>
      <c r="V42" s="5">
        <f t="shared" si="22"/>
        <v>19.532967032967033</v>
      </c>
      <c r="W42" s="5">
        <f t="shared" si="23"/>
        <v>16.236263736263737</v>
      </c>
      <c r="X42" s="5">
        <f>IFERROR(VLOOKUP(A42,[1]TDSheet!$A:$F,6,0),0)/5</f>
        <v>36</v>
      </c>
      <c r="Y42" s="5">
        <v>43.6</v>
      </c>
      <c r="Z42" s="5">
        <v>50.8</v>
      </c>
      <c r="AA42" s="5">
        <v>45.6</v>
      </c>
      <c r="AB42" s="5">
        <v>37.200000000000003</v>
      </c>
      <c r="AC42" s="5">
        <v>35.6</v>
      </c>
      <c r="AD42" s="5">
        <v>48.6</v>
      </c>
      <c r="AE42" s="5">
        <v>51</v>
      </c>
      <c r="AF42" s="5"/>
      <c r="AG42" s="5">
        <f t="shared" si="14"/>
        <v>95.899999999999991</v>
      </c>
      <c r="AH42" s="8">
        <v>10</v>
      </c>
      <c r="AI42" s="10">
        <f t="shared" si="15"/>
        <v>12</v>
      </c>
      <c r="AJ42" s="5">
        <f t="shared" si="16"/>
        <v>84</v>
      </c>
      <c r="AK42" s="5">
        <v>12</v>
      </c>
      <c r="AL42" s="5">
        <v>84</v>
      </c>
      <c r="AM42" s="10">
        <f t="shared" si="17"/>
        <v>0.14285714285714285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 x14ac:dyDescent="0.25">
      <c r="A43" s="5" t="s">
        <v>88</v>
      </c>
      <c r="B43" s="5" t="s">
        <v>43</v>
      </c>
      <c r="C43" s="5">
        <v>128</v>
      </c>
      <c r="D43" s="5">
        <v>1</v>
      </c>
      <c r="E43" s="5">
        <v>53</v>
      </c>
      <c r="F43" s="5">
        <v>72</v>
      </c>
      <c r="G43" s="8">
        <v>0.22</v>
      </c>
      <c r="H43" s="5">
        <v>180</v>
      </c>
      <c r="I43" s="5" t="s">
        <v>51</v>
      </c>
      <c r="J43" s="5"/>
      <c r="K43" s="5">
        <v>54</v>
      </c>
      <c r="L43" s="5">
        <f t="shared" si="19"/>
        <v>-1</v>
      </c>
      <c r="M43" s="5"/>
      <c r="N43" s="5"/>
      <c r="O43" s="5"/>
      <c r="P43" s="5">
        <f t="shared" si="20"/>
        <v>10.6</v>
      </c>
      <c r="Q43" s="4">
        <f t="shared" si="18"/>
        <v>140</v>
      </c>
      <c r="R43" s="4">
        <f t="shared" si="13"/>
        <v>168</v>
      </c>
      <c r="S43" s="4"/>
      <c r="T43" s="5"/>
      <c r="U43" s="5"/>
      <c r="V43" s="5">
        <f t="shared" si="22"/>
        <v>22.641509433962266</v>
      </c>
      <c r="W43" s="5">
        <f t="shared" si="23"/>
        <v>6.7924528301886795</v>
      </c>
      <c r="X43" s="5">
        <f>IFERROR(VLOOKUP(A43,[1]TDSheet!$A:$F,6,0),0)/5</f>
        <v>9.8000000000000007</v>
      </c>
      <c r="Y43" s="5">
        <v>8.1999999999999993</v>
      </c>
      <c r="Z43" s="5">
        <v>7.4</v>
      </c>
      <c r="AA43" s="5">
        <v>15</v>
      </c>
      <c r="AB43" s="5">
        <v>10.199999999999999</v>
      </c>
      <c r="AC43" s="5">
        <v>8.6</v>
      </c>
      <c r="AD43" s="5">
        <v>18.8</v>
      </c>
      <c r="AE43" s="5">
        <v>10.8</v>
      </c>
      <c r="AF43" s="5"/>
      <c r="AG43" s="5">
        <f t="shared" si="14"/>
        <v>30.8</v>
      </c>
      <c r="AH43" s="8">
        <v>12</v>
      </c>
      <c r="AI43" s="10">
        <f t="shared" si="15"/>
        <v>14</v>
      </c>
      <c r="AJ43" s="5">
        <f t="shared" si="16"/>
        <v>36.96</v>
      </c>
      <c r="AK43" s="5">
        <v>14</v>
      </c>
      <c r="AL43" s="5">
        <v>70</v>
      </c>
      <c r="AM43" s="10">
        <f t="shared" si="17"/>
        <v>0.2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 x14ac:dyDescent="0.25">
      <c r="A44" s="18" t="s">
        <v>89</v>
      </c>
      <c r="B44" s="18" t="s">
        <v>43</v>
      </c>
      <c r="C44" s="18"/>
      <c r="D44" s="18"/>
      <c r="E44" s="18"/>
      <c r="F44" s="18"/>
      <c r="G44" s="19">
        <v>0</v>
      </c>
      <c r="H44" s="18">
        <v>180</v>
      </c>
      <c r="I44" s="18" t="s">
        <v>51</v>
      </c>
      <c r="J44" s="18"/>
      <c r="K44" s="18"/>
      <c r="L44" s="18">
        <f t="shared" si="19"/>
        <v>0</v>
      </c>
      <c r="M44" s="18"/>
      <c r="N44" s="18"/>
      <c r="O44" s="18"/>
      <c r="P44" s="18">
        <f t="shared" si="20"/>
        <v>0</v>
      </c>
      <c r="Q44" s="20"/>
      <c r="R44" s="20"/>
      <c r="S44" s="20"/>
      <c r="T44" s="18"/>
      <c r="U44" s="18"/>
      <c r="V44" s="18" t="e">
        <f t="shared" si="22"/>
        <v>#DIV/0!</v>
      </c>
      <c r="W44" s="18" t="e">
        <f t="shared" si="23"/>
        <v>#DIV/0!</v>
      </c>
      <c r="X44" s="18">
        <f>IFERROR(VLOOKUP(A44,[1]TDSheet!$A:$F,6,0),0)/5</f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 t="s">
        <v>55</v>
      </c>
      <c r="AG44" s="18"/>
      <c r="AH44" s="19">
        <v>16</v>
      </c>
      <c r="AI44" s="21"/>
      <c r="AJ44" s="18"/>
      <c r="AK44" s="18">
        <v>12</v>
      </c>
      <c r="AL44" s="18">
        <v>84</v>
      </c>
      <c r="AM44" s="21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 x14ac:dyDescent="0.25">
      <c r="A45" s="18" t="s">
        <v>90</v>
      </c>
      <c r="B45" s="18" t="s">
        <v>43</v>
      </c>
      <c r="C45" s="18"/>
      <c r="D45" s="18"/>
      <c r="E45" s="18"/>
      <c r="F45" s="18"/>
      <c r="G45" s="19">
        <v>0</v>
      </c>
      <c r="H45" s="18">
        <v>180</v>
      </c>
      <c r="I45" s="18" t="s">
        <v>51</v>
      </c>
      <c r="J45" s="18"/>
      <c r="K45" s="18"/>
      <c r="L45" s="18">
        <f t="shared" si="19"/>
        <v>0</v>
      </c>
      <c r="M45" s="18"/>
      <c r="N45" s="18"/>
      <c r="O45" s="18"/>
      <c r="P45" s="18">
        <f t="shared" si="20"/>
        <v>0</v>
      </c>
      <c r="Q45" s="20"/>
      <c r="R45" s="20"/>
      <c r="S45" s="20"/>
      <c r="T45" s="18"/>
      <c r="U45" s="18"/>
      <c r="V45" s="18" t="e">
        <f t="shared" si="22"/>
        <v>#DIV/0!</v>
      </c>
      <c r="W45" s="18" t="e">
        <f t="shared" si="23"/>
        <v>#DIV/0!</v>
      </c>
      <c r="X45" s="18">
        <f>IFERROR(VLOOKUP(A45,[1]TDSheet!$A:$F,6,0),0)/5</f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 t="s">
        <v>55</v>
      </c>
      <c r="AG45" s="18"/>
      <c r="AH45" s="19">
        <v>16</v>
      </c>
      <c r="AI45" s="21"/>
      <c r="AJ45" s="18"/>
      <c r="AK45" s="18">
        <v>12</v>
      </c>
      <c r="AL45" s="18">
        <v>84</v>
      </c>
      <c r="AM45" s="21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 x14ac:dyDescent="0.25">
      <c r="A46" s="5" t="s">
        <v>91</v>
      </c>
      <c r="B46" s="5" t="s">
        <v>43</v>
      </c>
      <c r="C46" s="5">
        <v>407</v>
      </c>
      <c r="D46" s="5"/>
      <c r="E46" s="5">
        <v>93</v>
      </c>
      <c r="F46" s="5">
        <v>313</v>
      </c>
      <c r="G46" s="8">
        <v>1</v>
      </c>
      <c r="H46" s="5">
        <v>182</v>
      </c>
      <c r="I46" s="5" t="s">
        <v>51</v>
      </c>
      <c r="J46" s="5"/>
      <c r="K46" s="5">
        <v>93</v>
      </c>
      <c r="L46" s="5">
        <f t="shared" si="19"/>
        <v>0</v>
      </c>
      <c r="M46" s="5"/>
      <c r="N46" s="5"/>
      <c r="O46" s="5"/>
      <c r="P46" s="5">
        <f t="shared" si="20"/>
        <v>18.600000000000001</v>
      </c>
      <c r="Q46" s="4">
        <f t="shared" ref="Q46:Q52" si="24">20*P46-F46</f>
        <v>59</v>
      </c>
      <c r="R46" s="4">
        <f t="shared" ref="R46:R52" si="25">AH46*AI46</f>
        <v>60</v>
      </c>
      <c r="S46" s="4"/>
      <c r="T46" s="5"/>
      <c r="U46" s="5"/>
      <c r="V46" s="5">
        <f t="shared" si="22"/>
        <v>20.053763440860212</v>
      </c>
      <c r="W46" s="5">
        <f t="shared" si="23"/>
        <v>16.827956989247312</v>
      </c>
      <c r="X46" s="5">
        <f>IFERROR(VLOOKUP(A46,[1]TDSheet!$A:$F,6,0),0)/5</f>
        <v>22.6</v>
      </c>
      <c r="Y46" s="5">
        <v>16.600000000000001</v>
      </c>
      <c r="Z46" s="5">
        <v>14</v>
      </c>
      <c r="AA46" s="5">
        <v>33.799999999999997</v>
      </c>
      <c r="AB46" s="5">
        <v>24</v>
      </c>
      <c r="AC46" s="5">
        <v>0</v>
      </c>
      <c r="AD46" s="5">
        <v>0</v>
      </c>
      <c r="AE46" s="5">
        <v>0</v>
      </c>
      <c r="AF46" s="27" t="s">
        <v>80</v>
      </c>
      <c r="AG46" s="5">
        <f t="shared" ref="AG46:AG52" si="26">G46*Q46</f>
        <v>59</v>
      </c>
      <c r="AH46" s="8">
        <v>5</v>
      </c>
      <c r="AI46" s="10">
        <f t="shared" ref="AI46:AI52" si="27">MROUND(Q46, AH46*AK46)/AH46</f>
        <v>12</v>
      </c>
      <c r="AJ46" s="5">
        <f t="shared" ref="AJ46:AJ52" si="28">AI46*AH46*G46</f>
        <v>60</v>
      </c>
      <c r="AK46" s="5">
        <v>12</v>
      </c>
      <c r="AL46" s="5">
        <v>84</v>
      </c>
      <c r="AM46" s="10">
        <f t="shared" ref="AM46:AM52" si="29">AI46/AL46</f>
        <v>0.14285714285714285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 x14ac:dyDescent="0.25">
      <c r="A47" s="5" t="s">
        <v>92</v>
      </c>
      <c r="B47" s="5" t="s">
        <v>43</v>
      </c>
      <c r="C47" s="5">
        <v>207</v>
      </c>
      <c r="D47" s="5"/>
      <c r="E47" s="5">
        <v>58</v>
      </c>
      <c r="F47" s="5">
        <v>149</v>
      </c>
      <c r="G47" s="8">
        <v>0.9</v>
      </c>
      <c r="H47" s="5">
        <v>180</v>
      </c>
      <c r="I47" s="5" t="s">
        <v>51</v>
      </c>
      <c r="J47" s="5"/>
      <c r="K47" s="5">
        <v>58</v>
      </c>
      <c r="L47" s="5">
        <f t="shared" si="19"/>
        <v>0</v>
      </c>
      <c r="M47" s="5"/>
      <c r="N47" s="5"/>
      <c r="O47" s="5"/>
      <c r="P47" s="5">
        <f t="shared" si="20"/>
        <v>11.6</v>
      </c>
      <c r="Q47" s="4">
        <f t="shared" si="24"/>
        <v>83</v>
      </c>
      <c r="R47" s="4">
        <f t="shared" si="25"/>
        <v>96</v>
      </c>
      <c r="S47" s="4"/>
      <c r="T47" s="5"/>
      <c r="U47" s="5"/>
      <c r="V47" s="5">
        <f t="shared" si="22"/>
        <v>21.120689655172413</v>
      </c>
      <c r="W47" s="5">
        <f t="shared" si="23"/>
        <v>12.844827586206897</v>
      </c>
      <c r="X47" s="5">
        <f>IFERROR(VLOOKUP(A47,[1]TDSheet!$A:$F,6,0),0)/5</f>
        <v>16.2</v>
      </c>
      <c r="Y47" s="5">
        <v>12</v>
      </c>
      <c r="Z47" s="5">
        <v>20.2</v>
      </c>
      <c r="AA47" s="5">
        <v>14.6</v>
      </c>
      <c r="AB47" s="5">
        <v>9.6</v>
      </c>
      <c r="AC47" s="5">
        <v>19</v>
      </c>
      <c r="AD47" s="5">
        <v>19.2</v>
      </c>
      <c r="AE47" s="5">
        <v>24.4</v>
      </c>
      <c r="AF47" s="5"/>
      <c r="AG47" s="5">
        <f t="shared" si="26"/>
        <v>74.7</v>
      </c>
      <c r="AH47" s="8">
        <v>8</v>
      </c>
      <c r="AI47" s="10">
        <f t="shared" si="27"/>
        <v>12</v>
      </c>
      <c r="AJ47" s="5">
        <f t="shared" si="28"/>
        <v>86.4</v>
      </c>
      <c r="AK47" s="5">
        <v>12</v>
      </c>
      <c r="AL47" s="5">
        <v>84</v>
      </c>
      <c r="AM47" s="10">
        <f t="shared" si="29"/>
        <v>0.14285714285714285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 x14ac:dyDescent="0.25">
      <c r="A48" s="5" t="s">
        <v>93</v>
      </c>
      <c r="B48" s="5" t="s">
        <v>43</v>
      </c>
      <c r="C48" s="5">
        <v>177</v>
      </c>
      <c r="D48" s="5"/>
      <c r="E48" s="5">
        <v>31</v>
      </c>
      <c r="F48" s="5">
        <v>146</v>
      </c>
      <c r="G48" s="8">
        <v>0.43</v>
      </c>
      <c r="H48" s="5">
        <v>180</v>
      </c>
      <c r="I48" s="5" t="s">
        <v>51</v>
      </c>
      <c r="J48" s="5"/>
      <c r="K48" s="5">
        <v>31</v>
      </c>
      <c r="L48" s="5">
        <f t="shared" si="19"/>
        <v>0</v>
      </c>
      <c r="M48" s="5"/>
      <c r="N48" s="5"/>
      <c r="O48" s="5"/>
      <c r="P48" s="5">
        <f t="shared" si="20"/>
        <v>6.2</v>
      </c>
      <c r="Q48" s="4"/>
      <c r="R48" s="4">
        <f t="shared" si="25"/>
        <v>0</v>
      </c>
      <c r="S48" s="4"/>
      <c r="T48" s="5"/>
      <c r="U48" s="5"/>
      <c r="V48" s="5">
        <f t="shared" si="22"/>
        <v>23.548387096774192</v>
      </c>
      <c r="W48" s="5">
        <f t="shared" si="23"/>
        <v>23.548387096774192</v>
      </c>
      <c r="X48" s="5">
        <f>IFERROR(VLOOKUP(A48,[1]TDSheet!$A:$F,6,0),0)/5</f>
        <v>3.6</v>
      </c>
      <c r="Y48" s="5">
        <v>5.4</v>
      </c>
      <c r="Z48" s="5">
        <v>6</v>
      </c>
      <c r="AA48" s="5">
        <v>7.4</v>
      </c>
      <c r="AB48" s="5">
        <v>4.4000000000000004</v>
      </c>
      <c r="AC48" s="5">
        <v>0</v>
      </c>
      <c r="AD48" s="5">
        <v>0</v>
      </c>
      <c r="AE48" s="5">
        <v>0</v>
      </c>
      <c r="AF48" s="23" t="s">
        <v>80</v>
      </c>
      <c r="AG48" s="5">
        <f t="shared" si="26"/>
        <v>0</v>
      </c>
      <c r="AH48" s="8">
        <v>16</v>
      </c>
      <c r="AI48" s="10">
        <f t="shared" si="27"/>
        <v>0</v>
      </c>
      <c r="AJ48" s="5">
        <f t="shared" si="28"/>
        <v>0</v>
      </c>
      <c r="AK48" s="5">
        <v>12</v>
      </c>
      <c r="AL48" s="5">
        <v>84</v>
      </c>
      <c r="AM48" s="10">
        <f t="shared" si="29"/>
        <v>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 x14ac:dyDescent="0.25">
      <c r="A49" s="5" t="s">
        <v>94</v>
      </c>
      <c r="B49" s="5" t="s">
        <v>43</v>
      </c>
      <c r="C49" s="5">
        <v>71</v>
      </c>
      <c r="D49" s="5"/>
      <c r="E49" s="5">
        <v>41</v>
      </c>
      <c r="F49" s="5">
        <v>30</v>
      </c>
      <c r="G49" s="8">
        <v>0.9</v>
      </c>
      <c r="H49" s="5">
        <v>180</v>
      </c>
      <c r="I49" s="5" t="s">
        <v>51</v>
      </c>
      <c r="J49" s="5"/>
      <c r="K49" s="5">
        <v>41</v>
      </c>
      <c r="L49" s="5">
        <f t="shared" si="19"/>
        <v>0</v>
      </c>
      <c r="M49" s="5"/>
      <c r="N49" s="5"/>
      <c r="O49" s="5"/>
      <c r="P49" s="5">
        <f t="shared" si="20"/>
        <v>8.1999999999999993</v>
      </c>
      <c r="Q49" s="4">
        <f>19*P49-F49</f>
        <v>125.79999999999998</v>
      </c>
      <c r="R49" s="4">
        <f t="shared" si="25"/>
        <v>96</v>
      </c>
      <c r="S49" s="4"/>
      <c r="T49" s="5"/>
      <c r="U49" s="5"/>
      <c r="V49" s="5">
        <f t="shared" si="22"/>
        <v>15.365853658536587</v>
      </c>
      <c r="W49" s="5">
        <f t="shared" si="23"/>
        <v>3.6585365853658538</v>
      </c>
      <c r="X49" s="5">
        <f>IFERROR(VLOOKUP(A49,[1]TDSheet!$A:$F,6,0),0)/5</f>
        <v>9.6</v>
      </c>
      <c r="Y49" s="5">
        <v>10.8</v>
      </c>
      <c r="Z49" s="5">
        <v>9.8000000000000007</v>
      </c>
      <c r="AA49" s="5">
        <v>12.2</v>
      </c>
      <c r="AB49" s="5">
        <v>9.4</v>
      </c>
      <c r="AC49" s="5">
        <v>7</v>
      </c>
      <c r="AD49" s="5">
        <v>15</v>
      </c>
      <c r="AE49" s="5">
        <v>19.399999999999999</v>
      </c>
      <c r="AF49" s="5"/>
      <c r="AG49" s="5">
        <f t="shared" si="26"/>
        <v>113.21999999999998</v>
      </c>
      <c r="AH49" s="8">
        <v>8</v>
      </c>
      <c r="AI49" s="10">
        <f t="shared" si="27"/>
        <v>12</v>
      </c>
      <c r="AJ49" s="5">
        <f t="shared" si="28"/>
        <v>86.4</v>
      </c>
      <c r="AK49" s="5">
        <v>12</v>
      </c>
      <c r="AL49" s="5">
        <v>84</v>
      </c>
      <c r="AM49" s="10">
        <f t="shared" si="29"/>
        <v>0.14285714285714285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 x14ac:dyDescent="0.25">
      <c r="A50" s="5" t="s">
        <v>95</v>
      </c>
      <c r="B50" s="5" t="s">
        <v>43</v>
      </c>
      <c r="C50" s="5">
        <v>259</v>
      </c>
      <c r="D50" s="5">
        <v>1</v>
      </c>
      <c r="E50" s="5">
        <v>65</v>
      </c>
      <c r="F50" s="5">
        <v>194</v>
      </c>
      <c r="G50" s="8">
        <v>0.43</v>
      </c>
      <c r="H50" s="5">
        <v>180</v>
      </c>
      <c r="I50" s="5" t="s">
        <v>51</v>
      </c>
      <c r="J50" s="5"/>
      <c r="K50" s="5">
        <v>66</v>
      </c>
      <c r="L50" s="5">
        <f t="shared" si="19"/>
        <v>-1</v>
      </c>
      <c r="M50" s="5"/>
      <c r="N50" s="5"/>
      <c r="O50" s="5"/>
      <c r="P50" s="5">
        <f t="shared" si="20"/>
        <v>13</v>
      </c>
      <c r="Q50" s="4">
        <f>24*P50-F50</f>
        <v>118</v>
      </c>
      <c r="R50" s="4">
        <f t="shared" si="25"/>
        <v>192</v>
      </c>
      <c r="S50" s="4"/>
      <c r="T50" s="5"/>
      <c r="U50" s="5"/>
      <c r="V50" s="5">
        <f t="shared" si="22"/>
        <v>29.692307692307693</v>
      </c>
      <c r="W50" s="5">
        <f t="shared" si="23"/>
        <v>14.923076923076923</v>
      </c>
      <c r="X50" s="5">
        <f>IFERROR(VLOOKUP(A50,[1]TDSheet!$A:$F,6,0),0)/5</f>
        <v>6.8</v>
      </c>
      <c r="Y50" s="5">
        <v>8.4</v>
      </c>
      <c r="Z50" s="5">
        <v>11</v>
      </c>
      <c r="AA50" s="5">
        <v>9.8000000000000007</v>
      </c>
      <c r="AB50" s="5">
        <v>7.6</v>
      </c>
      <c r="AC50" s="5">
        <v>0.6</v>
      </c>
      <c r="AD50" s="5">
        <v>14.6</v>
      </c>
      <c r="AE50" s="5">
        <v>14.8</v>
      </c>
      <c r="AF50" s="27" t="s">
        <v>80</v>
      </c>
      <c r="AG50" s="5">
        <f t="shared" si="26"/>
        <v>50.74</v>
      </c>
      <c r="AH50" s="8">
        <v>16</v>
      </c>
      <c r="AI50" s="10">
        <f t="shared" si="27"/>
        <v>12</v>
      </c>
      <c r="AJ50" s="5">
        <f t="shared" si="28"/>
        <v>82.56</v>
      </c>
      <c r="AK50" s="5">
        <v>12</v>
      </c>
      <c r="AL50" s="5">
        <v>84</v>
      </c>
      <c r="AM50" s="10">
        <f t="shared" si="29"/>
        <v>0.14285714285714285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 x14ac:dyDescent="0.25">
      <c r="A51" s="5" t="s">
        <v>96</v>
      </c>
      <c r="B51" s="5" t="s">
        <v>64</v>
      </c>
      <c r="C51" s="5">
        <v>5</v>
      </c>
      <c r="D51" s="5"/>
      <c r="E51" s="5">
        <v>5</v>
      </c>
      <c r="F51" s="5"/>
      <c r="G51" s="8">
        <v>1</v>
      </c>
      <c r="H51" s="5">
        <v>180</v>
      </c>
      <c r="I51" s="5" t="s">
        <v>51</v>
      </c>
      <c r="J51" s="5"/>
      <c r="K51" s="5">
        <v>15</v>
      </c>
      <c r="L51" s="5">
        <f t="shared" si="19"/>
        <v>-10</v>
      </c>
      <c r="M51" s="5"/>
      <c r="N51" s="5"/>
      <c r="O51" s="5"/>
      <c r="P51" s="5">
        <f t="shared" si="20"/>
        <v>1</v>
      </c>
      <c r="Q51" s="4">
        <v>50</v>
      </c>
      <c r="R51" s="4">
        <f t="shared" si="25"/>
        <v>60</v>
      </c>
      <c r="S51" s="4"/>
      <c r="T51" s="5"/>
      <c r="U51" s="5"/>
      <c r="V51" s="5">
        <f t="shared" si="22"/>
        <v>60</v>
      </c>
      <c r="W51" s="5">
        <f t="shared" si="23"/>
        <v>0</v>
      </c>
      <c r="X51" s="5">
        <f>IFERROR(VLOOKUP(A51,[1]TDSheet!$A:$F,6,0),0)/5</f>
        <v>10</v>
      </c>
      <c r="Y51" s="5">
        <v>4</v>
      </c>
      <c r="Z51" s="5">
        <v>8</v>
      </c>
      <c r="AA51" s="5">
        <v>8</v>
      </c>
      <c r="AB51" s="5">
        <v>11</v>
      </c>
      <c r="AC51" s="5">
        <v>12</v>
      </c>
      <c r="AD51" s="5">
        <v>19</v>
      </c>
      <c r="AE51" s="5">
        <v>8</v>
      </c>
      <c r="AF51" s="5"/>
      <c r="AG51" s="5">
        <f t="shared" si="26"/>
        <v>50</v>
      </c>
      <c r="AH51" s="8">
        <v>5</v>
      </c>
      <c r="AI51" s="10">
        <f t="shared" si="27"/>
        <v>12</v>
      </c>
      <c r="AJ51" s="5">
        <f t="shared" si="28"/>
        <v>60</v>
      </c>
      <c r="AK51" s="5">
        <v>12</v>
      </c>
      <c r="AL51" s="5">
        <v>144</v>
      </c>
      <c r="AM51" s="10">
        <f t="shared" si="29"/>
        <v>8.3333333333333329E-2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 x14ac:dyDescent="0.25">
      <c r="A52" s="5" t="s">
        <v>97</v>
      </c>
      <c r="B52" s="5" t="s">
        <v>43</v>
      </c>
      <c r="C52" s="5">
        <v>914</v>
      </c>
      <c r="D52" s="5"/>
      <c r="E52" s="5">
        <v>113</v>
      </c>
      <c r="F52" s="5">
        <v>793</v>
      </c>
      <c r="G52" s="8">
        <v>1</v>
      </c>
      <c r="H52" s="5">
        <v>180</v>
      </c>
      <c r="I52" s="5" t="s">
        <v>51</v>
      </c>
      <c r="J52" s="5"/>
      <c r="K52" s="5">
        <v>113</v>
      </c>
      <c r="L52" s="5">
        <f t="shared" si="19"/>
        <v>0</v>
      </c>
      <c r="M52" s="5"/>
      <c r="N52" s="5"/>
      <c r="O52" s="5"/>
      <c r="P52" s="5">
        <f t="shared" si="20"/>
        <v>22.6</v>
      </c>
      <c r="Q52" s="4"/>
      <c r="R52" s="4">
        <f t="shared" si="25"/>
        <v>0</v>
      </c>
      <c r="S52" s="4"/>
      <c r="T52" s="5"/>
      <c r="U52" s="5"/>
      <c r="V52" s="5">
        <f t="shared" si="22"/>
        <v>35.088495575221238</v>
      </c>
      <c r="W52" s="5">
        <f t="shared" si="23"/>
        <v>35.088495575221238</v>
      </c>
      <c r="X52" s="5">
        <f>IFERROR(VLOOKUP(A52,[1]TDSheet!$A:$F,6,0),0)/5</f>
        <v>21.2</v>
      </c>
      <c r="Y52" s="5">
        <v>35.200000000000003</v>
      </c>
      <c r="Z52" s="5">
        <v>25.2</v>
      </c>
      <c r="AA52" s="5">
        <v>20.399999999999999</v>
      </c>
      <c r="AB52" s="5">
        <v>19.8</v>
      </c>
      <c r="AC52" s="5">
        <v>19.600000000000001</v>
      </c>
      <c r="AD52" s="5">
        <v>27</v>
      </c>
      <c r="AE52" s="5">
        <v>28.2</v>
      </c>
      <c r="AF52" s="24" t="s">
        <v>71</v>
      </c>
      <c r="AG52" s="5">
        <f t="shared" si="26"/>
        <v>0</v>
      </c>
      <c r="AH52" s="8">
        <v>5</v>
      </c>
      <c r="AI52" s="10">
        <f t="shared" si="27"/>
        <v>0</v>
      </c>
      <c r="AJ52" s="5">
        <f t="shared" si="28"/>
        <v>0</v>
      </c>
      <c r="AK52" s="5">
        <v>12</v>
      </c>
      <c r="AL52" s="5">
        <v>84</v>
      </c>
      <c r="AM52" s="10">
        <f t="shared" si="29"/>
        <v>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 x14ac:dyDescent="0.25">
      <c r="A53" s="18" t="s">
        <v>98</v>
      </c>
      <c r="B53" s="18" t="s">
        <v>43</v>
      </c>
      <c r="C53" s="18"/>
      <c r="D53" s="18"/>
      <c r="E53" s="18"/>
      <c r="F53" s="18"/>
      <c r="G53" s="19">
        <v>0</v>
      </c>
      <c r="H53" s="18">
        <v>180</v>
      </c>
      <c r="I53" s="18" t="s">
        <v>51</v>
      </c>
      <c r="J53" s="18"/>
      <c r="K53" s="18"/>
      <c r="L53" s="18">
        <f t="shared" si="19"/>
        <v>0</v>
      </c>
      <c r="M53" s="18"/>
      <c r="N53" s="18"/>
      <c r="O53" s="18"/>
      <c r="P53" s="18">
        <f t="shared" si="20"/>
        <v>0</v>
      </c>
      <c r="Q53" s="20"/>
      <c r="R53" s="20"/>
      <c r="S53" s="20"/>
      <c r="T53" s="18"/>
      <c r="U53" s="18"/>
      <c r="V53" s="18" t="e">
        <f t="shared" si="22"/>
        <v>#DIV/0!</v>
      </c>
      <c r="W53" s="18" t="e">
        <f t="shared" si="23"/>
        <v>#DIV/0!</v>
      </c>
      <c r="X53" s="18">
        <f>IFERROR(VLOOKUP(A53,[1]TDSheet!$A:$F,6,0),0)/5</f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 t="s">
        <v>55</v>
      </c>
      <c r="AG53" s="18"/>
      <c r="AH53" s="19">
        <v>8</v>
      </c>
      <c r="AI53" s="21"/>
      <c r="AJ53" s="18"/>
      <c r="AK53" s="18">
        <v>6</v>
      </c>
      <c r="AL53" s="18">
        <v>72</v>
      </c>
      <c r="AM53" s="21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 x14ac:dyDescent="0.25">
      <c r="A54" s="5" t="s">
        <v>99</v>
      </c>
      <c r="B54" s="5" t="s">
        <v>64</v>
      </c>
      <c r="C54" s="5">
        <v>218.3</v>
      </c>
      <c r="D54" s="5"/>
      <c r="E54" s="5">
        <v>22.2</v>
      </c>
      <c r="F54" s="5">
        <v>196.1</v>
      </c>
      <c r="G54" s="8">
        <v>1</v>
      </c>
      <c r="H54" s="5">
        <v>180</v>
      </c>
      <c r="I54" s="5" t="s">
        <v>51</v>
      </c>
      <c r="J54" s="5"/>
      <c r="K54" s="5">
        <v>22.2</v>
      </c>
      <c r="L54" s="5">
        <f t="shared" si="19"/>
        <v>0</v>
      </c>
      <c r="M54" s="5"/>
      <c r="N54" s="5"/>
      <c r="O54" s="5"/>
      <c r="P54" s="5">
        <f t="shared" si="20"/>
        <v>4.4399999999999995</v>
      </c>
      <c r="Q54" s="4"/>
      <c r="R54" s="4">
        <f>AH54*AI54</f>
        <v>0</v>
      </c>
      <c r="S54" s="4"/>
      <c r="T54" s="5"/>
      <c r="U54" s="5"/>
      <c r="V54" s="5">
        <f t="shared" si="22"/>
        <v>44.166666666666671</v>
      </c>
      <c r="W54" s="5">
        <f t="shared" si="23"/>
        <v>44.166666666666671</v>
      </c>
      <c r="X54" s="5">
        <f>IFERROR(VLOOKUP(A54,[1]TDSheet!$A:$F,6,0),0)/5</f>
        <v>2.2199999999999998</v>
      </c>
      <c r="Y54" s="5">
        <v>11.1</v>
      </c>
      <c r="Z54" s="5">
        <v>8.14</v>
      </c>
      <c r="AA54" s="5">
        <v>6.6599999999999993</v>
      </c>
      <c r="AB54" s="5">
        <v>7.4</v>
      </c>
      <c r="AC54" s="5">
        <v>0</v>
      </c>
      <c r="AD54" s="5">
        <v>5.18</v>
      </c>
      <c r="AE54" s="5">
        <v>9.620000000000001</v>
      </c>
      <c r="AF54" s="24" t="s">
        <v>71</v>
      </c>
      <c r="AG54" s="5">
        <f>G54*Q54</f>
        <v>0</v>
      </c>
      <c r="AH54" s="8">
        <v>3.7</v>
      </c>
      <c r="AI54" s="10">
        <f>MROUND(Q54, AH54*AK54)/AH54</f>
        <v>0</v>
      </c>
      <c r="AJ54" s="5">
        <f>AI54*AH54*G54</f>
        <v>0</v>
      </c>
      <c r="AK54" s="5">
        <v>14</v>
      </c>
      <c r="AL54" s="5">
        <v>126</v>
      </c>
      <c r="AM54" s="10">
        <f>AI54/AL54</f>
        <v>0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 x14ac:dyDescent="0.25">
      <c r="A55" s="5" t="s">
        <v>100</v>
      </c>
      <c r="B55" s="5" t="s">
        <v>64</v>
      </c>
      <c r="C55" s="5">
        <v>40.700000000000003</v>
      </c>
      <c r="D55" s="5"/>
      <c r="E55" s="5">
        <v>25.9</v>
      </c>
      <c r="F55" s="5">
        <v>14.8</v>
      </c>
      <c r="G55" s="8">
        <v>1</v>
      </c>
      <c r="H55" s="5">
        <v>180</v>
      </c>
      <c r="I55" s="5" t="s">
        <v>51</v>
      </c>
      <c r="J55" s="5"/>
      <c r="K55" s="5">
        <v>25.9</v>
      </c>
      <c r="L55" s="5">
        <f t="shared" si="19"/>
        <v>0</v>
      </c>
      <c r="M55" s="5"/>
      <c r="N55" s="5"/>
      <c r="O55" s="5"/>
      <c r="P55" s="5">
        <f t="shared" si="20"/>
        <v>5.18</v>
      </c>
      <c r="Q55" s="4">
        <f t="shared" ref="Q55" si="30">18*P55-F55</f>
        <v>78.44</v>
      </c>
      <c r="R55" s="4">
        <f>AH55*AI55</f>
        <v>103.60000000000001</v>
      </c>
      <c r="S55" s="4"/>
      <c r="T55" s="5"/>
      <c r="U55" s="5"/>
      <c r="V55" s="5">
        <f t="shared" si="22"/>
        <v>22.857142857142861</v>
      </c>
      <c r="W55" s="5">
        <f t="shared" si="23"/>
        <v>2.8571428571428577</v>
      </c>
      <c r="X55" s="5">
        <f>IFERROR(VLOOKUP(A55,[1]TDSheet!$A:$F,6,0),0)/5</f>
        <v>4.4399999999999995</v>
      </c>
      <c r="Y55" s="5">
        <v>3.7</v>
      </c>
      <c r="Z55" s="5">
        <v>1.48</v>
      </c>
      <c r="AA55" s="5">
        <v>7.4</v>
      </c>
      <c r="AB55" s="5">
        <v>5.18</v>
      </c>
      <c r="AC55" s="5">
        <v>0</v>
      </c>
      <c r="AD55" s="5">
        <v>0.74</v>
      </c>
      <c r="AE55" s="5">
        <v>3.7</v>
      </c>
      <c r="AF55" s="5"/>
      <c r="AG55" s="5">
        <f>G55*Q55</f>
        <v>78.44</v>
      </c>
      <c r="AH55" s="8">
        <v>3.7</v>
      </c>
      <c r="AI55" s="10">
        <f>MROUND(Q55, AH55*AK55)/AH55</f>
        <v>28</v>
      </c>
      <c r="AJ55" s="5">
        <f>AI55*AH55*G55</f>
        <v>103.60000000000001</v>
      </c>
      <c r="AK55" s="5">
        <v>14</v>
      </c>
      <c r="AL55" s="5">
        <v>126</v>
      </c>
      <c r="AM55" s="10">
        <f>AI55/AL55</f>
        <v>0.22222222222222221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 x14ac:dyDescent="0.25">
      <c r="A56" s="5" t="s">
        <v>101</v>
      </c>
      <c r="B56" s="5" t="s">
        <v>64</v>
      </c>
      <c r="C56" s="5">
        <v>51.8</v>
      </c>
      <c r="D56" s="5"/>
      <c r="E56" s="5">
        <v>7.4</v>
      </c>
      <c r="F56" s="5">
        <v>44.4</v>
      </c>
      <c r="G56" s="8">
        <v>1</v>
      </c>
      <c r="H56" s="5">
        <v>180</v>
      </c>
      <c r="I56" s="5" t="s">
        <v>51</v>
      </c>
      <c r="J56" s="5"/>
      <c r="K56" s="5">
        <v>7.4</v>
      </c>
      <c r="L56" s="5">
        <f t="shared" si="19"/>
        <v>0</v>
      </c>
      <c r="M56" s="5"/>
      <c r="N56" s="5"/>
      <c r="O56" s="5"/>
      <c r="P56" s="5">
        <f t="shared" si="20"/>
        <v>1.48</v>
      </c>
      <c r="Q56" s="4"/>
      <c r="R56" s="4">
        <f>AH56*AI56</f>
        <v>0</v>
      </c>
      <c r="S56" s="4"/>
      <c r="T56" s="5"/>
      <c r="U56" s="5"/>
      <c r="V56" s="5">
        <f t="shared" si="22"/>
        <v>30</v>
      </c>
      <c r="W56" s="5">
        <f t="shared" si="23"/>
        <v>30</v>
      </c>
      <c r="X56" s="5">
        <f>IFERROR(VLOOKUP(A56,[1]TDSheet!$A:$F,6,0),0)/5</f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24" t="s">
        <v>71</v>
      </c>
      <c r="AG56" s="5">
        <f>G56*Q56</f>
        <v>0</v>
      </c>
      <c r="AH56" s="8">
        <v>3.7</v>
      </c>
      <c r="AI56" s="10">
        <f>MROUND(Q56, AH56*AK56)/AH56</f>
        <v>0</v>
      </c>
      <c r="AJ56" s="5">
        <f>AI56*AH56*G56</f>
        <v>0</v>
      </c>
      <c r="AK56" s="5">
        <v>14</v>
      </c>
      <c r="AL56" s="5">
        <v>126</v>
      </c>
      <c r="AM56" s="10">
        <f>AI56/AL56</f>
        <v>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 x14ac:dyDescent="0.25">
      <c r="A57" s="5" t="s">
        <v>102</v>
      </c>
      <c r="B57" s="5" t="s">
        <v>64</v>
      </c>
      <c r="C57" s="5">
        <v>78.400000000000006</v>
      </c>
      <c r="D57" s="5"/>
      <c r="E57" s="5">
        <v>31.31</v>
      </c>
      <c r="F57" s="5">
        <v>47.09</v>
      </c>
      <c r="G57" s="8">
        <v>1</v>
      </c>
      <c r="H57" s="5">
        <v>180</v>
      </c>
      <c r="I57" s="5" t="s">
        <v>51</v>
      </c>
      <c r="J57" s="5"/>
      <c r="K57" s="5">
        <v>31.24</v>
      </c>
      <c r="L57" s="5">
        <f t="shared" si="19"/>
        <v>7.0000000000000284E-2</v>
      </c>
      <c r="M57" s="5"/>
      <c r="N57" s="5"/>
      <c r="O57" s="5"/>
      <c r="P57" s="5">
        <f t="shared" si="20"/>
        <v>6.2619999999999996</v>
      </c>
      <c r="Q57" s="4">
        <f t="shared" ref="Q54:Q57" si="31">20*P57-F57</f>
        <v>78.149999999999991</v>
      </c>
      <c r="R57" s="4">
        <f>AH57*AI57</f>
        <v>62.720000000000006</v>
      </c>
      <c r="S57" s="4"/>
      <c r="T57" s="5"/>
      <c r="U57" s="5"/>
      <c r="V57" s="5">
        <f t="shared" si="22"/>
        <v>17.535931012456086</v>
      </c>
      <c r="W57" s="5">
        <f t="shared" si="23"/>
        <v>7.5199616735867147</v>
      </c>
      <c r="X57" s="5">
        <f>IFERROR(VLOOKUP(A57,[1]TDSheet!$A:$F,6,0),0)/5</f>
        <v>4.9279999999999999</v>
      </c>
      <c r="Y57" s="5">
        <v>4.9279999999999999</v>
      </c>
      <c r="Z57" s="5">
        <v>4.9279999999999999</v>
      </c>
      <c r="AA57" s="5">
        <v>3.1360000000000001</v>
      </c>
      <c r="AB57" s="5">
        <v>3.1360000000000001</v>
      </c>
      <c r="AC57" s="5">
        <v>1.3440000000000001</v>
      </c>
      <c r="AD57" s="5">
        <v>5.8239999999999998</v>
      </c>
      <c r="AE57" s="5">
        <v>6.2720000000000002</v>
      </c>
      <c r="AF57" s="5"/>
      <c r="AG57" s="5">
        <f>G57*Q57</f>
        <v>78.149999999999991</v>
      </c>
      <c r="AH57" s="8">
        <v>2.2400000000000002</v>
      </c>
      <c r="AI57" s="10">
        <f>MROUND(Q57, AH57*AK57)/AH57</f>
        <v>28</v>
      </c>
      <c r="AJ57" s="5">
        <f>AI57*AH57*G57</f>
        <v>62.720000000000006</v>
      </c>
      <c r="AK57" s="5">
        <v>14</v>
      </c>
      <c r="AL57" s="5">
        <v>126</v>
      </c>
      <c r="AM57" s="10">
        <f>AI57/AL57</f>
        <v>0.22222222222222221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 x14ac:dyDescent="0.25">
      <c r="A58" s="14" t="s">
        <v>103</v>
      </c>
      <c r="B58" s="14" t="s">
        <v>43</v>
      </c>
      <c r="C58" s="14">
        <v>80</v>
      </c>
      <c r="D58" s="14"/>
      <c r="E58" s="14">
        <v>45</v>
      </c>
      <c r="F58" s="14">
        <v>35</v>
      </c>
      <c r="G58" s="15">
        <v>0</v>
      </c>
      <c r="H58" s="14">
        <v>180</v>
      </c>
      <c r="I58" s="14" t="s">
        <v>104</v>
      </c>
      <c r="J58" s="14"/>
      <c r="K58" s="14">
        <v>45</v>
      </c>
      <c r="L58" s="14">
        <f t="shared" si="19"/>
        <v>0</v>
      </c>
      <c r="M58" s="14"/>
      <c r="N58" s="14"/>
      <c r="O58" s="14"/>
      <c r="P58" s="14">
        <f t="shared" si="20"/>
        <v>9</v>
      </c>
      <c r="Q58" s="16"/>
      <c r="R58" s="16"/>
      <c r="S58" s="16"/>
      <c r="T58" s="14"/>
      <c r="U58" s="14"/>
      <c r="V58" s="14">
        <f t="shared" si="22"/>
        <v>3.8888888888888888</v>
      </c>
      <c r="W58" s="14">
        <f t="shared" si="23"/>
        <v>3.8888888888888888</v>
      </c>
      <c r="X58" s="14">
        <f>IFERROR(VLOOKUP(A58,[1]TDSheet!$A:$F,6,0),0)/5</f>
        <v>10</v>
      </c>
      <c r="Y58" s="14">
        <v>10.6</v>
      </c>
      <c r="Z58" s="14">
        <v>10.199999999999999</v>
      </c>
      <c r="AA58" s="14">
        <v>3.6</v>
      </c>
      <c r="AB58" s="14">
        <v>12.2</v>
      </c>
      <c r="AC58" s="14">
        <v>7.4</v>
      </c>
      <c r="AD58" s="14">
        <v>2</v>
      </c>
      <c r="AE58" s="14">
        <v>10.6</v>
      </c>
      <c r="AF58" s="14"/>
      <c r="AG58" s="14"/>
      <c r="AH58" s="15">
        <v>30</v>
      </c>
      <c r="AI58" s="17"/>
      <c r="AJ58" s="14"/>
      <c r="AK58" s="14">
        <v>14</v>
      </c>
      <c r="AL58" s="14">
        <v>126</v>
      </c>
      <c r="AM58" s="17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 x14ac:dyDescent="0.25">
      <c r="A59" s="5" t="s">
        <v>105</v>
      </c>
      <c r="B59" s="5" t="s">
        <v>43</v>
      </c>
      <c r="C59" s="5">
        <v>234</v>
      </c>
      <c r="D59" s="5">
        <v>1</v>
      </c>
      <c r="E59" s="5">
        <v>201</v>
      </c>
      <c r="F59" s="5">
        <v>28</v>
      </c>
      <c r="G59" s="8">
        <v>0.25</v>
      </c>
      <c r="H59" s="5">
        <v>180</v>
      </c>
      <c r="I59" s="5" t="s">
        <v>51</v>
      </c>
      <c r="J59" s="5"/>
      <c r="K59" s="5">
        <v>202</v>
      </c>
      <c r="L59" s="5">
        <f t="shared" si="19"/>
        <v>-1</v>
      </c>
      <c r="M59" s="5"/>
      <c r="N59" s="5"/>
      <c r="O59" s="5"/>
      <c r="P59" s="5">
        <f t="shared" si="20"/>
        <v>40.200000000000003</v>
      </c>
      <c r="Q59" s="4">
        <f>16*P59-F59</f>
        <v>615.20000000000005</v>
      </c>
      <c r="R59" s="4">
        <f t="shared" ref="R59:R67" si="32">AH59*AI59</f>
        <v>672</v>
      </c>
      <c r="S59" s="4"/>
      <c r="T59" s="5"/>
      <c r="U59" s="5"/>
      <c r="V59" s="5">
        <f t="shared" si="22"/>
        <v>17.412935323383085</v>
      </c>
      <c r="W59" s="5">
        <f t="shared" si="23"/>
        <v>0.69651741293532332</v>
      </c>
      <c r="X59" s="5">
        <f>IFERROR(VLOOKUP(A59,[1]TDSheet!$A:$F,6,0),0)/5</f>
        <v>39.200000000000003</v>
      </c>
      <c r="Y59" s="5">
        <v>39.6</v>
      </c>
      <c r="Z59" s="5">
        <v>44.6</v>
      </c>
      <c r="AA59" s="5">
        <v>54</v>
      </c>
      <c r="AB59" s="5">
        <v>49.2</v>
      </c>
      <c r="AC59" s="5">
        <v>15</v>
      </c>
      <c r="AD59" s="5">
        <v>57.2</v>
      </c>
      <c r="AE59" s="5">
        <v>53.2</v>
      </c>
      <c r="AF59" s="5"/>
      <c r="AG59" s="5">
        <f t="shared" ref="AG59:AG67" si="33">G59*Q59</f>
        <v>153.80000000000001</v>
      </c>
      <c r="AH59" s="8">
        <v>12</v>
      </c>
      <c r="AI59" s="10">
        <f t="shared" ref="AI59:AI67" si="34">MROUND(Q59, AH59*AK59)/AH59</f>
        <v>56</v>
      </c>
      <c r="AJ59" s="5">
        <f t="shared" ref="AJ59:AJ67" si="35">AI59*AH59*G59</f>
        <v>168</v>
      </c>
      <c r="AK59" s="5">
        <v>14</v>
      </c>
      <c r="AL59" s="5">
        <v>70</v>
      </c>
      <c r="AM59" s="10">
        <f t="shared" ref="AM59:AM67" si="36">AI59/AL59</f>
        <v>0.8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 x14ac:dyDescent="0.25">
      <c r="A60" s="5" t="s">
        <v>106</v>
      </c>
      <c r="B60" s="5" t="s">
        <v>43</v>
      </c>
      <c r="C60" s="5">
        <v>362</v>
      </c>
      <c r="D60" s="5">
        <v>4</v>
      </c>
      <c r="E60" s="5">
        <v>169</v>
      </c>
      <c r="F60" s="5">
        <v>193</v>
      </c>
      <c r="G60" s="8">
        <v>0.25</v>
      </c>
      <c r="H60" s="5">
        <v>180</v>
      </c>
      <c r="I60" s="5" t="s">
        <v>51</v>
      </c>
      <c r="J60" s="5"/>
      <c r="K60" s="5">
        <v>171</v>
      </c>
      <c r="L60" s="5">
        <f t="shared" si="19"/>
        <v>-2</v>
      </c>
      <c r="M60" s="5"/>
      <c r="N60" s="5"/>
      <c r="O60" s="5"/>
      <c r="P60" s="5">
        <f t="shared" si="20"/>
        <v>33.799999999999997</v>
      </c>
      <c r="Q60" s="4">
        <f t="shared" ref="Q59:Q67" si="37">20*P60-F60</f>
        <v>483</v>
      </c>
      <c r="R60" s="4">
        <f t="shared" si="32"/>
        <v>504</v>
      </c>
      <c r="S60" s="4"/>
      <c r="T60" s="5"/>
      <c r="U60" s="5"/>
      <c r="V60" s="5">
        <f t="shared" si="22"/>
        <v>20.621301775147931</v>
      </c>
      <c r="W60" s="5">
        <f t="shared" si="23"/>
        <v>5.7100591715976332</v>
      </c>
      <c r="X60" s="5">
        <f>IFERROR(VLOOKUP(A60,[1]TDSheet!$A:$F,6,0),0)/5</f>
        <v>27.8</v>
      </c>
      <c r="Y60" s="5">
        <v>25</v>
      </c>
      <c r="Z60" s="5">
        <v>23</v>
      </c>
      <c r="AA60" s="5">
        <v>29.6</v>
      </c>
      <c r="AB60" s="5">
        <v>16.399999999999999</v>
      </c>
      <c r="AC60" s="5">
        <v>0</v>
      </c>
      <c r="AD60" s="5">
        <v>0</v>
      </c>
      <c r="AE60" s="5">
        <v>16.399999999999999</v>
      </c>
      <c r="AF60" s="5"/>
      <c r="AG60" s="5">
        <f t="shared" si="33"/>
        <v>120.75</v>
      </c>
      <c r="AH60" s="8">
        <v>12</v>
      </c>
      <c r="AI60" s="10">
        <f t="shared" si="34"/>
        <v>42</v>
      </c>
      <c r="AJ60" s="5">
        <f t="shared" si="35"/>
        <v>126</v>
      </c>
      <c r="AK60" s="5">
        <v>14</v>
      </c>
      <c r="AL60" s="5">
        <v>70</v>
      </c>
      <c r="AM60" s="10">
        <f t="shared" si="36"/>
        <v>0.6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 x14ac:dyDescent="0.25">
      <c r="A61" s="5" t="s">
        <v>107</v>
      </c>
      <c r="B61" s="5" t="s">
        <v>43</v>
      </c>
      <c r="C61" s="5">
        <v>585</v>
      </c>
      <c r="D61" s="5">
        <v>4</v>
      </c>
      <c r="E61" s="5">
        <v>123</v>
      </c>
      <c r="F61" s="5">
        <v>462</v>
      </c>
      <c r="G61" s="8">
        <v>0.3</v>
      </c>
      <c r="H61" s="5">
        <v>180</v>
      </c>
      <c r="I61" s="5" t="s">
        <v>51</v>
      </c>
      <c r="J61" s="5"/>
      <c r="K61" s="5">
        <v>125</v>
      </c>
      <c r="L61" s="5">
        <f t="shared" si="19"/>
        <v>-2</v>
      </c>
      <c r="M61" s="5"/>
      <c r="N61" s="5"/>
      <c r="O61" s="5"/>
      <c r="P61" s="5">
        <f t="shared" si="20"/>
        <v>24.6</v>
      </c>
      <c r="Q61" s="4">
        <f>24*P61-F61</f>
        <v>128.40000000000009</v>
      </c>
      <c r="R61" s="4">
        <f t="shared" si="32"/>
        <v>168</v>
      </c>
      <c r="S61" s="4"/>
      <c r="T61" s="5"/>
      <c r="U61" s="5"/>
      <c r="V61" s="5">
        <f t="shared" si="22"/>
        <v>25.609756097560975</v>
      </c>
      <c r="W61" s="5">
        <f t="shared" si="23"/>
        <v>18.780487804878046</v>
      </c>
      <c r="X61" s="5">
        <f>IFERROR(VLOOKUP(A61,[1]TDSheet!$A:$F,6,0),0)/5</f>
        <v>24.2</v>
      </c>
      <c r="Y61" s="5">
        <v>29.2</v>
      </c>
      <c r="Z61" s="5">
        <v>24.2</v>
      </c>
      <c r="AA61" s="5">
        <v>23.2</v>
      </c>
      <c r="AB61" s="5">
        <v>34.200000000000003</v>
      </c>
      <c r="AC61" s="5">
        <v>39.200000000000003</v>
      </c>
      <c r="AD61" s="5">
        <v>31</v>
      </c>
      <c r="AE61" s="5">
        <v>27.6</v>
      </c>
      <c r="AF61" s="5"/>
      <c r="AG61" s="5">
        <f t="shared" si="33"/>
        <v>38.520000000000024</v>
      </c>
      <c r="AH61" s="8">
        <v>12</v>
      </c>
      <c r="AI61" s="10">
        <f t="shared" si="34"/>
        <v>14</v>
      </c>
      <c r="AJ61" s="5">
        <f t="shared" si="35"/>
        <v>50.4</v>
      </c>
      <c r="AK61" s="5">
        <v>14</v>
      </c>
      <c r="AL61" s="5">
        <v>70</v>
      </c>
      <c r="AM61" s="10">
        <f t="shared" si="36"/>
        <v>0.2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 x14ac:dyDescent="0.25">
      <c r="A62" s="5" t="s">
        <v>108</v>
      </c>
      <c r="B62" s="5" t="s">
        <v>43</v>
      </c>
      <c r="C62" s="5">
        <v>218</v>
      </c>
      <c r="D62" s="5">
        <v>5</v>
      </c>
      <c r="E62" s="5">
        <v>121</v>
      </c>
      <c r="F62" s="5">
        <v>100</v>
      </c>
      <c r="G62" s="8">
        <v>0.3</v>
      </c>
      <c r="H62" s="5">
        <v>180</v>
      </c>
      <c r="I62" s="5" t="s">
        <v>51</v>
      </c>
      <c r="J62" s="5"/>
      <c r="K62" s="5">
        <v>124</v>
      </c>
      <c r="L62" s="5">
        <f t="shared" si="19"/>
        <v>-3</v>
      </c>
      <c r="M62" s="5"/>
      <c r="N62" s="5"/>
      <c r="O62" s="5"/>
      <c r="P62" s="5">
        <f t="shared" si="20"/>
        <v>24.2</v>
      </c>
      <c r="Q62" s="4">
        <f>19*P62-F62</f>
        <v>359.8</v>
      </c>
      <c r="R62" s="4">
        <f t="shared" si="32"/>
        <v>336</v>
      </c>
      <c r="S62" s="4"/>
      <c r="T62" s="5"/>
      <c r="U62" s="5"/>
      <c r="V62" s="5">
        <f t="shared" si="22"/>
        <v>18.016528925619834</v>
      </c>
      <c r="W62" s="5">
        <f t="shared" si="23"/>
        <v>4.1322314049586781</v>
      </c>
      <c r="X62" s="5">
        <f>IFERROR(VLOOKUP(A62,[1]TDSheet!$A:$F,6,0),0)/5</f>
        <v>27</v>
      </c>
      <c r="Y62" s="5">
        <v>27.2</v>
      </c>
      <c r="Z62" s="5">
        <v>18</v>
      </c>
      <c r="AA62" s="5">
        <v>34.200000000000003</v>
      </c>
      <c r="AB62" s="5">
        <v>25.2</v>
      </c>
      <c r="AC62" s="5">
        <v>0</v>
      </c>
      <c r="AD62" s="5">
        <v>4.2</v>
      </c>
      <c r="AE62" s="5">
        <v>25.8</v>
      </c>
      <c r="AF62" s="5"/>
      <c r="AG62" s="5">
        <f t="shared" si="33"/>
        <v>107.94</v>
      </c>
      <c r="AH62" s="8">
        <v>12</v>
      </c>
      <c r="AI62" s="10">
        <f t="shared" si="34"/>
        <v>28</v>
      </c>
      <c r="AJ62" s="5">
        <f t="shared" si="35"/>
        <v>100.8</v>
      </c>
      <c r="AK62" s="5">
        <v>14</v>
      </c>
      <c r="AL62" s="5">
        <v>70</v>
      </c>
      <c r="AM62" s="10">
        <f t="shared" si="36"/>
        <v>0.4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 x14ac:dyDescent="0.25">
      <c r="A63" s="5" t="s">
        <v>109</v>
      </c>
      <c r="B63" s="5" t="s">
        <v>43</v>
      </c>
      <c r="C63" s="5">
        <v>5301</v>
      </c>
      <c r="D63" s="5"/>
      <c r="E63" s="5">
        <v>754</v>
      </c>
      <c r="F63" s="5">
        <v>4546</v>
      </c>
      <c r="G63" s="8">
        <v>0.3</v>
      </c>
      <c r="H63" s="5">
        <v>180</v>
      </c>
      <c r="I63" s="5" t="s">
        <v>51</v>
      </c>
      <c r="J63" s="5"/>
      <c r="K63" s="5">
        <v>754</v>
      </c>
      <c r="L63" s="5">
        <f t="shared" si="19"/>
        <v>0</v>
      </c>
      <c r="M63" s="5"/>
      <c r="N63" s="5"/>
      <c r="O63" s="5"/>
      <c r="P63" s="5">
        <f t="shared" si="20"/>
        <v>150.80000000000001</v>
      </c>
      <c r="Q63" s="4"/>
      <c r="R63" s="4">
        <f t="shared" si="32"/>
        <v>0</v>
      </c>
      <c r="S63" s="4"/>
      <c r="T63" s="5"/>
      <c r="U63" s="5"/>
      <c r="V63" s="5">
        <f t="shared" si="22"/>
        <v>30.145888594164454</v>
      </c>
      <c r="W63" s="5">
        <f t="shared" si="23"/>
        <v>30.145888594164454</v>
      </c>
      <c r="X63" s="5">
        <f>IFERROR(VLOOKUP(A63,[1]TDSheet!$A:$F,6,0),0)/5</f>
        <v>63</v>
      </c>
      <c r="Y63" s="5">
        <v>90</v>
      </c>
      <c r="Z63" s="5">
        <v>160.4</v>
      </c>
      <c r="AA63" s="5">
        <v>100.6</v>
      </c>
      <c r="AB63" s="5">
        <v>131.80000000000001</v>
      </c>
      <c r="AC63" s="5">
        <v>0</v>
      </c>
      <c r="AD63" s="5">
        <v>4.5999999999999996</v>
      </c>
      <c r="AE63" s="5">
        <v>109.8</v>
      </c>
      <c r="AF63" s="24" t="s">
        <v>71</v>
      </c>
      <c r="AG63" s="5">
        <f t="shared" si="33"/>
        <v>0</v>
      </c>
      <c r="AH63" s="8">
        <v>14</v>
      </c>
      <c r="AI63" s="10">
        <f t="shared" si="34"/>
        <v>0</v>
      </c>
      <c r="AJ63" s="5">
        <f t="shared" si="35"/>
        <v>0</v>
      </c>
      <c r="AK63" s="5">
        <v>14</v>
      </c>
      <c r="AL63" s="5">
        <v>70</v>
      </c>
      <c r="AM63" s="10">
        <f t="shared" si="36"/>
        <v>0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 x14ac:dyDescent="0.25">
      <c r="A64" s="5" t="s">
        <v>110</v>
      </c>
      <c r="B64" s="5" t="s">
        <v>43</v>
      </c>
      <c r="C64" s="5">
        <v>1030</v>
      </c>
      <c r="D64" s="5">
        <v>4</v>
      </c>
      <c r="E64" s="5">
        <v>337</v>
      </c>
      <c r="F64" s="5">
        <v>686</v>
      </c>
      <c r="G64" s="8">
        <v>0.25</v>
      </c>
      <c r="H64" s="5">
        <v>180</v>
      </c>
      <c r="I64" s="5" t="s">
        <v>51</v>
      </c>
      <c r="J64" s="5"/>
      <c r="K64" s="5">
        <v>341</v>
      </c>
      <c r="L64" s="5">
        <f t="shared" si="19"/>
        <v>-4</v>
      </c>
      <c r="M64" s="5"/>
      <c r="N64" s="5"/>
      <c r="O64" s="5"/>
      <c r="P64" s="5">
        <f t="shared" si="20"/>
        <v>67.400000000000006</v>
      </c>
      <c r="Q64" s="4">
        <f t="shared" si="37"/>
        <v>662</v>
      </c>
      <c r="R64" s="4">
        <f t="shared" si="32"/>
        <v>672</v>
      </c>
      <c r="S64" s="4"/>
      <c r="T64" s="5"/>
      <c r="U64" s="5"/>
      <c r="V64" s="5">
        <f t="shared" si="22"/>
        <v>20.148367952522253</v>
      </c>
      <c r="W64" s="5">
        <f t="shared" si="23"/>
        <v>10.178041543026705</v>
      </c>
      <c r="X64" s="5">
        <f>IFERROR(VLOOKUP(A64,[1]TDSheet!$A:$F,6,0),0)/5</f>
        <v>77</v>
      </c>
      <c r="Y64" s="5">
        <v>67.400000000000006</v>
      </c>
      <c r="Z64" s="5">
        <v>67.400000000000006</v>
      </c>
      <c r="AA64" s="5">
        <v>105.4</v>
      </c>
      <c r="AB64" s="5">
        <v>90.8</v>
      </c>
      <c r="AC64" s="5">
        <v>110</v>
      </c>
      <c r="AD64" s="5">
        <v>132.19999999999999</v>
      </c>
      <c r="AE64" s="5">
        <v>102.6</v>
      </c>
      <c r="AF64" s="5"/>
      <c r="AG64" s="5">
        <f t="shared" si="33"/>
        <v>165.5</v>
      </c>
      <c r="AH64" s="8">
        <v>12</v>
      </c>
      <c r="AI64" s="10">
        <f t="shared" si="34"/>
        <v>56</v>
      </c>
      <c r="AJ64" s="5">
        <f t="shared" si="35"/>
        <v>168</v>
      </c>
      <c r="AK64" s="5">
        <v>14</v>
      </c>
      <c r="AL64" s="5">
        <v>70</v>
      </c>
      <c r="AM64" s="10">
        <f t="shared" si="36"/>
        <v>0.8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 x14ac:dyDescent="0.25">
      <c r="A65" s="5" t="s">
        <v>111</v>
      </c>
      <c r="B65" s="5" t="s">
        <v>43</v>
      </c>
      <c r="C65" s="5">
        <v>1142</v>
      </c>
      <c r="D65" s="5">
        <v>4</v>
      </c>
      <c r="E65" s="5">
        <v>266</v>
      </c>
      <c r="F65" s="5">
        <v>869</v>
      </c>
      <c r="G65" s="8">
        <v>0.25</v>
      </c>
      <c r="H65" s="5">
        <v>180</v>
      </c>
      <c r="I65" s="5" t="s">
        <v>51</v>
      </c>
      <c r="J65" s="5"/>
      <c r="K65" s="5">
        <v>270</v>
      </c>
      <c r="L65" s="5">
        <f t="shared" si="19"/>
        <v>-4</v>
      </c>
      <c r="M65" s="5"/>
      <c r="N65" s="5"/>
      <c r="O65" s="5"/>
      <c r="P65" s="5">
        <f t="shared" si="20"/>
        <v>53.2</v>
      </c>
      <c r="Q65" s="4">
        <f t="shared" si="37"/>
        <v>195</v>
      </c>
      <c r="R65" s="4">
        <f t="shared" si="32"/>
        <v>168</v>
      </c>
      <c r="S65" s="4"/>
      <c r="T65" s="5"/>
      <c r="U65" s="5"/>
      <c r="V65" s="5">
        <f t="shared" si="22"/>
        <v>19.492481203007518</v>
      </c>
      <c r="W65" s="5">
        <f t="shared" si="23"/>
        <v>16.334586466165412</v>
      </c>
      <c r="X65" s="5">
        <f>IFERROR(VLOOKUP(A65,[1]TDSheet!$A:$F,6,0),0)/5</f>
        <v>56</v>
      </c>
      <c r="Y65" s="5">
        <v>59.2</v>
      </c>
      <c r="Z65" s="5">
        <v>59.8</v>
      </c>
      <c r="AA65" s="5">
        <v>85</v>
      </c>
      <c r="AB65" s="5">
        <v>78.8</v>
      </c>
      <c r="AC65" s="5">
        <v>74.2</v>
      </c>
      <c r="AD65" s="5">
        <v>103.6</v>
      </c>
      <c r="AE65" s="5">
        <v>73.2</v>
      </c>
      <c r="AF65" s="5"/>
      <c r="AG65" s="5">
        <f t="shared" si="33"/>
        <v>48.75</v>
      </c>
      <c r="AH65" s="8">
        <v>12</v>
      </c>
      <c r="AI65" s="10">
        <f t="shared" si="34"/>
        <v>14</v>
      </c>
      <c r="AJ65" s="5">
        <f t="shared" si="35"/>
        <v>42</v>
      </c>
      <c r="AK65" s="5">
        <v>14</v>
      </c>
      <c r="AL65" s="5">
        <v>70</v>
      </c>
      <c r="AM65" s="10">
        <f t="shared" si="36"/>
        <v>0.2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 x14ac:dyDescent="0.25">
      <c r="A66" s="5" t="s">
        <v>112</v>
      </c>
      <c r="B66" s="5" t="s">
        <v>64</v>
      </c>
      <c r="C66" s="5">
        <v>135</v>
      </c>
      <c r="D66" s="5"/>
      <c r="E66" s="5">
        <v>48.6</v>
      </c>
      <c r="F66" s="5">
        <v>83.7</v>
      </c>
      <c r="G66" s="8">
        <v>1</v>
      </c>
      <c r="H66" s="5">
        <v>180</v>
      </c>
      <c r="I66" s="5" t="s">
        <v>51</v>
      </c>
      <c r="J66" s="5"/>
      <c r="K66" s="5">
        <v>48.6</v>
      </c>
      <c r="L66" s="5">
        <f t="shared" si="19"/>
        <v>0</v>
      </c>
      <c r="M66" s="5"/>
      <c r="N66" s="5"/>
      <c r="O66" s="5"/>
      <c r="P66" s="5">
        <f t="shared" si="20"/>
        <v>9.7200000000000006</v>
      </c>
      <c r="Q66" s="4">
        <f t="shared" si="37"/>
        <v>110.7</v>
      </c>
      <c r="R66" s="4">
        <f t="shared" si="32"/>
        <v>113.4</v>
      </c>
      <c r="S66" s="4"/>
      <c r="T66" s="5"/>
      <c r="U66" s="5"/>
      <c r="V66" s="5">
        <f t="shared" si="22"/>
        <v>20.277777777777779</v>
      </c>
      <c r="W66" s="5">
        <f t="shared" si="23"/>
        <v>8.6111111111111107</v>
      </c>
      <c r="X66" s="5">
        <f>IFERROR(VLOOKUP(A66,[1]TDSheet!$A:$F,6,0),0)/5</f>
        <v>5.9399999999999995</v>
      </c>
      <c r="Y66" s="5">
        <v>6.5720000000000001</v>
      </c>
      <c r="Z66" s="5">
        <v>6.3879999999999999</v>
      </c>
      <c r="AA66" s="5">
        <v>5.4</v>
      </c>
      <c r="AB66" s="5">
        <v>5.94</v>
      </c>
      <c r="AC66" s="5">
        <v>5.4</v>
      </c>
      <c r="AD66" s="5">
        <v>7.02</v>
      </c>
      <c r="AE66" s="5">
        <v>10.8</v>
      </c>
      <c r="AF66" s="5"/>
      <c r="AG66" s="5">
        <f t="shared" si="33"/>
        <v>110.7</v>
      </c>
      <c r="AH66" s="8">
        <v>2.7</v>
      </c>
      <c r="AI66" s="10">
        <f t="shared" si="34"/>
        <v>42</v>
      </c>
      <c r="AJ66" s="5">
        <f t="shared" si="35"/>
        <v>113.4</v>
      </c>
      <c r="AK66" s="5">
        <v>14</v>
      </c>
      <c r="AL66" s="5">
        <v>126</v>
      </c>
      <c r="AM66" s="10">
        <f t="shared" si="36"/>
        <v>0.33333333333333331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 x14ac:dyDescent="0.25">
      <c r="A67" s="5" t="s">
        <v>113</v>
      </c>
      <c r="B67" s="5" t="s">
        <v>64</v>
      </c>
      <c r="C67" s="5">
        <v>215</v>
      </c>
      <c r="D67" s="5"/>
      <c r="E67" s="5">
        <v>25</v>
      </c>
      <c r="F67" s="5">
        <v>190</v>
      </c>
      <c r="G67" s="8">
        <v>1</v>
      </c>
      <c r="H67" s="5">
        <v>180</v>
      </c>
      <c r="I67" s="5" t="s">
        <v>51</v>
      </c>
      <c r="J67" s="5"/>
      <c r="K67" s="5">
        <v>25</v>
      </c>
      <c r="L67" s="5">
        <f t="shared" si="19"/>
        <v>0</v>
      </c>
      <c r="M67" s="5"/>
      <c r="N67" s="5"/>
      <c r="O67" s="5"/>
      <c r="P67" s="5">
        <f t="shared" si="20"/>
        <v>5</v>
      </c>
      <c r="Q67" s="4"/>
      <c r="R67" s="4">
        <f t="shared" si="32"/>
        <v>0</v>
      </c>
      <c r="S67" s="4"/>
      <c r="T67" s="5"/>
      <c r="U67" s="5"/>
      <c r="V67" s="5">
        <f t="shared" si="22"/>
        <v>38</v>
      </c>
      <c r="W67" s="5">
        <f t="shared" si="23"/>
        <v>38</v>
      </c>
      <c r="X67" s="5">
        <f>IFERROR(VLOOKUP(A67,[1]TDSheet!$A:$F,6,0),0)/5</f>
        <v>5</v>
      </c>
      <c r="Y67" s="5">
        <v>13</v>
      </c>
      <c r="Z67" s="5">
        <v>13</v>
      </c>
      <c r="AA67" s="5">
        <v>11</v>
      </c>
      <c r="AB67" s="5">
        <v>14</v>
      </c>
      <c r="AC67" s="5">
        <v>16</v>
      </c>
      <c r="AD67" s="5">
        <v>8</v>
      </c>
      <c r="AE67" s="5">
        <v>9</v>
      </c>
      <c r="AF67" s="24" t="s">
        <v>71</v>
      </c>
      <c r="AG67" s="5">
        <f t="shared" si="33"/>
        <v>0</v>
      </c>
      <c r="AH67" s="8">
        <v>5</v>
      </c>
      <c r="AI67" s="10">
        <f t="shared" si="34"/>
        <v>0</v>
      </c>
      <c r="AJ67" s="5">
        <f t="shared" si="35"/>
        <v>0</v>
      </c>
      <c r="AK67" s="5">
        <v>12</v>
      </c>
      <c r="AL67" s="5">
        <v>84</v>
      </c>
      <c r="AM67" s="10">
        <f t="shared" si="36"/>
        <v>0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 x14ac:dyDescent="0.25">
      <c r="A68" s="5"/>
      <c r="B68" s="5"/>
      <c r="C68" s="5"/>
      <c r="D68" s="5"/>
      <c r="E68" s="5"/>
      <c r="F68" s="5"/>
      <c r="G68" s="8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8"/>
      <c r="AI68" s="10"/>
      <c r="AJ68" s="5"/>
      <c r="AK68" s="5"/>
      <c r="AL68" s="5"/>
      <c r="AM68" s="10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 x14ac:dyDescent="0.25">
      <c r="A69" s="5"/>
      <c r="B69" s="5"/>
      <c r="C69" s="5"/>
      <c r="D69" s="5"/>
      <c r="E69" s="5"/>
      <c r="F69" s="5"/>
      <c r="G69" s="8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8"/>
      <c r="AI69" s="10"/>
      <c r="AJ69" s="5"/>
      <c r="AK69" s="5"/>
      <c r="AL69" s="5"/>
      <c r="AM69" s="10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 x14ac:dyDescent="0.25">
      <c r="A70" s="5"/>
      <c r="B70" s="5"/>
      <c r="C70" s="5"/>
      <c r="D70" s="5"/>
      <c r="E70" s="5"/>
      <c r="F70" s="5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8"/>
      <c r="AI70" s="10"/>
      <c r="AJ70" s="5"/>
      <c r="AK70" s="5"/>
      <c r="AL70" s="5"/>
      <c r="AM70" s="10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 x14ac:dyDescent="0.25">
      <c r="A71" s="5"/>
      <c r="B71" s="5"/>
      <c r="C71" s="5"/>
      <c r="D71" s="5"/>
      <c r="E71" s="5"/>
      <c r="F71" s="5"/>
      <c r="G71" s="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8"/>
      <c r="AI71" s="10"/>
      <c r="AJ71" s="5"/>
      <c r="AK71" s="5"/>
      <c r="AL71" s="5"/>
      <c r="AM71" s="10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 x14ac:dyDescent="0.25">
      <c r="A72" s="5"/>
      <c r="B72" s="5"/>
      <c r="C72" s="5"/>
      <c r="D72" s="5"/>
      <c r="E72" s="5"/>
      <c r="F72" s="5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8"/>
      <c r="AI72" s="10"/>
      <c r="AJ72" s="5"/>
      <c r="AK72" s="5"/>
      <c r="AL72" s="5"/>
      <c r="AM72" s="10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 x14ac:dyDescent="0.25">
      <c r="A73" s="5"/>
      <c r="B73" s="5"/>
      <c r="C73" s="5"/>
      <c r="D73" s="5"/>
      <c r="E73" s="5"/>
      <c r="F73" s="5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8"/>
      <c r="AI73" s="10"/>
      <c r="AJ73" s="5"/>
      <c r="AK73" s="5"/>
      <c r="AL73" s="5"/>
      <c r="AM73" s="10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 x14ac:dyDescent="0.25">
      <c r="A74" s="5"/>
      <c r="B74" s="5"/>
      <c r="C74" s="5"/>
      <c r="D74" s="5"/>
      <c r="E74" s="5"/>
      <c r="F74" s="5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8"/>
      <c r="AI74" s="10"/>
      <c r="AJ74" s="5"/>
      <c r="AK74" s="5"/>
      <c r="AL74" s="5"/>
      <c r="AM74" s="10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 x14ac:dyDescent="0.25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8"/>
      <c r="AI75" s="10"/>
      <c r="AJ75" s="5"/>
      <c r="AK75" s="5"/>
      <c r="AL75" s="5"/>
      <c r="AM75" s="10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8"/>
      <c r="AI76" s="10"/>
      <c r="AJ76" s="5"/>
      <c r="AK76" s="5"/>
      <c r="AL76" s="5"/>
      <c r="AM76" s="10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8"/>
      <c r="AI77" s="10"/>
      <c r="AJ77" s="5"/>
      <c r="AK77" s="5"/>
      <c r="AL77" s="5"/>
      <c r="AM77" s="10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8"/>
      <c r="AI78" s="10"/>
      <c r="AJ78" s="5"/>
      <c r="AK78" s="5"/>
      <c r="AL78" s="5"/>
      <c r="AM78" s="10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8"/>
      <c r="AI79" s="10"/>
      <c r="AJ79" s="5"/>
      <c r="AK79" s="5"/>
      <c r="AL79" s="5"/>
      <c r="AM79" s="10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8"/>
      <c r="AI80" s="10"/>
      <c r="AJ80" s="5"/>
      <c r="AK80" s="5"/>
      <c r="AL80" s="5"/>
      <c r="AM80" s="10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8"/>
      <c r="AI81" s="10"/>
      <c r="AJ81" s="5"/>
      <c r="AK81" s="5"/>
      <c r="AL81" s="5"/>
      <c r="AM81" s="10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8"/>
      <c r="AI82" s="10"/>
      <c r="AJ82" s="5"/>
      <c r="AK82" s="5"/>
      <c r="AL82" s="5"/>
      <c r="AM82" s="10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8"/>
      <c r="AI83" s="10"/>
      <c r="AJ83" s="5"/>
      <c r="AK83" s="5"/>
      <c r="AL83" s="5"/>
      <c r="AM83" s="10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8"/>
      <c r="AI84" s="10"/>
      <c r="AJ84" s="5"/>
      <c r="AK84" s="5"/>
      <c r="AL84" s="5"/>
      <c r="AM84" s="10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8"/>
      <c r="AI85" s="10"/>
      <c r="AJ85" s="5"/>
      <c r="AK85" s="5"/>
      <c r="AL85" s="5"/>
      <c r="AM85" s="10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8"/>
      <c r="AI86" s="10"/>
      <c r="AJ86" s="5"/>
      <c r="AK86" s="5"/>
      <c r="AL86" s="5"/>
      <c r="AM86" s="10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8"/>
      <c r="AI87" s="10"/>
      <c r="AJ87" s="5"/>
      <c r="AK87" s="5"/>
      <c r="AL87" s="5"/>
      <c r="AM87" s="10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8"/>
      <c r="AI88" s="10"/>
      <c r="AJ88" s="5"/>
      <c r="AK88" s="5"/>
      <c r="AL88" s="5"/>
      <c r="AM88" s="10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8"/>
      <c r="AI89" s="10"/>
      <c r="AJ89" s="5"/>
      <c r="AK89" s="5"/>
      <c r="AL89" s="5"/>
      <c r="AM89" s="10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8"/>
      <c r="AI90" s="10"/>
      <c r="AJ90" s="5"/>
      <c r="AK90" s="5"/>
      <c r="AL90" s="5"/>
      <c r="AM90" s="10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8"/>
      <c r="AI91" s="10"/>
      <c r="AJ91" s="5"/>
      <c r="AK91" s="5"/>
      <c r="AL91" s="5"/>
      <c r="AM91" s="10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8"/>
      <c r="AI92" s="10"/>
      <c r="AJ92" s="5"/>
      <c r="AK92" s="5"/>
      <c r="AL92" s="5"/>
      <c r="AM92" s="10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8"/>
      <c r="AI93" s="10"/>
      <c r="AJ93" s="5"/>
      <c r="AK93" s="5"/>
      <c r="AL93" s="5"/>
      <c r="AM93" s="10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8"/>
      <c r="AI94" s="10"/>
      <c r="AJ94" s="5"/>
      <c r="AK94" s="5"/>
      <c r="AL94" s="5"/>
      <c r="AM94" s="10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8"/>
      <c r="AI95" s="10"/>
      <c r="AJ95" s="5"/>
      <c r="AK95" s="5"/>
      <c r="AL95" s="5"/>
      <c r="AM95" s="10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8"/>
      <c r="AI96" s="10"/>
      <c r="AJ96" s="5"/>
      <c r="AK96" s="5"/>
      <c r="AL96" s="5"/>
      <c r="AM96" s="10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8"/>
      <c r="AI97" s="10"/>
      <c r="AJ97" s="5"/>
      <c r="AK97" s="5"/>
      <c r="AL97" s="5"/>
      <c r="AM97" s="10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  <row r="98" spans="1:51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8"/>
      <c r="AI98" s="10"/>
      <c r="AJ98" s="5"/>
      <c r="AK98" s="5"/>
      <c r="AL98" s="5"/>
      <c r="AM98" s="10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</row>
    <row r="99" spans="1:51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8"/>
      <c r="AI99" s="10"/>
      <c r="AJ99" s="5"/>
      <c r="AK99" s="5"/>
      <c r="AL99" s="5"/>
      <c r="AM99" s="10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</row>
    <row r="100" spans="1:51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8"/>
      <c r="AI100" s="10"/>
      <c r="AJ100" s="5"/>
      <c r="AK100" s="5"/>
      <c r="AL100" s="5"/>
      <c r="AM100" s="10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</row>
    <row r="101" spans="1:51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8"/>
      <c r="AI101" s="10"/>
      <c r="AJ101" s="5"/>
      <c r="AK101" s="5"/>
      <c r="AL101" s="5"/>
      <c r="AM101" s="10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</row>
    <row r="102" spans="1:51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8"/>
      <c r="AI102" s="10"/>
      <c r="AJ102" s="5"/>
      <c r="AK102" s="5"/>
      <c r="AL102" s="5"/>
      <c r="AM102" s="10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</row>
    <row r="103" spans="1:51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8"/>
      <c r="AI103" s="10"/>
      <c r="AJ103" s="5"/>
      <c r="AK103" s="5"/>
      <c r="AL103" s="5"/>
      <c r="AM103" s="10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</row>
    <row r="104" spans="1:51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8"/>
      <c r="AI104" s="10"/>
      <c r="AJ104" s="5"/>
      <c r="AK104" s="5"/>
      <c r="AL104" s="5"/>
      <c r="AM104" s="10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</row>
    <row r="105" spans="1:51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8"/>
      <c r="AI105" s="10"/>
      <c r="AJ105" s="5"/>
      <c r="AK105" s="5"/>
      <c r="AL105" s="5"/>
      <c r="AM105" s="10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</row>
    <row r="106" spans="1:51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8"/>
      <c r="AI106" s="10"/>
      <c r="AJ106" s="5"/>
      <c r="AK106" s="5"/>
      <c r="AL106" s="5"/>
      <c r="AM106" s="10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7" spans="1:51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8"/>
      <c r="AI107" s="10"/>
      <c r="AJ107" s="5"/>
      <c r="AK107" s="5"/>
      <c r="AL107" s="5"/>
      <c r="AM107" s="10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</row>
    <row r="108" spans="1:51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8"/>
      <c r="AI108" s="10"/>
      <c r="AJ108" s="5"/>
      <c r="AK108" s="5"/>
      <c r="AL108" s="5"/>
      <c r="AM108" s="10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</row>
    <row r="109" spans="1:51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8"/>
      <c r="AI109" s="10"/>
      <c r="AJ109" s="5"/>
      <c r="AK109" s="5"/>
      <c r="AL109" s="5"/>
      <c r="AM109" s="10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</row>
    <row r="110" spans="1:51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8"/>
      <c r="AI110" s="10"/>
      <c r="AJ110" s="5"/>
      <c r="AK110" s="5"/>
      <c r="AL110" s="5"/>
      <c r="AM110" s="10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</row>
    <row r="111" spans="1:51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8"/>
      <c r="AI111" s="10"/>
      <c r="AJ111" s="5"/>
      <c r="AK111" s="5"/>
      <c r="AL111" s="5"/>
      <c r="AM111" s="10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</row>
    <row r="112" spans="1:51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8"/>
      <c r="AI112" s="10"/>
      <c r="AJ112" s="5"/>
      <c r="AK112" s="5"/>
      <c r="AL112" s="5"/>
      <c r="AM112" s="10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</row>
    <row r="113" spans="1:51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8"/>
      <c r="AI113" s="10"/>
      <c r="AJ113" s="5"/>
      <c r="AK113" s="5"/>
      <c r="AL113" s="5"/>
      <c r="AM113" s="10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</row>
    <row r="114" spans="1:51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8"/>
      <c r="AI114" s="10"/>
      <c r="AJ114" s="5"/>
      <c r="AK114" s="5"/>
      <c r="AL114" s="5"/>
      <c r="AM114" s="10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</row>
    <row r="115" spans="1:51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8"/>
      <c r="AI115" s="10"/>
      <c r="AJ115" s="5"/>
      <c r="AK115" s="5"/>
      <c r="AL115" s="5"/>
      <c r="AM115" s="10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</row>
    <row r="116" spans="1:51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8"/>
      <c r="AI116" s="10"/>
      <c r="AJ116" s="5"/>
      <c r="AK116" s="5"/>
      <c r="AL116" s="5"/>
      <c r="AM116" s="10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</row>
    <row r="117" spans="1:51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8"/>
      <c r="AI117" s="10"/>
      <c r="AJ117" s="5"/>
      <c r="AK117" s="5"/>
      <c r="AL117" s="5"/>
      <c r="AM117" s="10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</row>
    <row r="118" spans="1:51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8"/>
      <c r="AI118" s="10"/>
      <c r="AJ118" s="5"/>
      <c r="AK118" s="5"/>
      <c r="AL118" s="5"/>
      <c r="AM118" s="10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</row>
    <row r="119" spans="1:51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8"/>
      <c r="AI119" s="10"/>
      <c r="AJ119" s="5"/>
      <c r="AK119" s="5"/>
      <c r="AL119" s="5"/>
      <c r="AM119" s="10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</row>
    <row r="120" spans="1:51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8"/>
      <c r="AI120" s="10"/>
      <c r="AJ120" s="5"/>
      <c r="AK120" s="5"/>
      <c r="AL120" s="5"/>
      <c r="AM120" s="10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</row>
    <row r="121" spans="1:51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8"/>
      <c r="AI121" s="10"/>
      <c r="AJ121" s="5"/>
      <c r="AK121" s="5"/>
      <c r="AL121" s="5"/>
      <c r="AM121" s="10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</row>
    <row r="122" spans="1:51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8"/>
      <c r="AI122" s="10"/>
      <c r="AJ122" s="5"/>
      <c r="AK122" s="5"/>
      <c r="AL122" s="5"/>
      <c r="AM122" s="10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</row>
    <row r="123" spans="1:51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8"/>
      <c r="AI123" s="10"/>
      <c r="AJ123" s="5"/>
      <c r="AK123" s="5"/>
      <c r="AL123" s="5"/>
      <c r="AM123" s="10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</row>
    <row r="124" spans="1:51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8"/>
      <c r="AI124" s="10"/>
      <c r="AJ124" s="5"/>
      <c r="AK124" s="5"/>
      <c r="AL124" s="5"/>
      <c r="AM124" s="10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</row>
    <row r="125" spans="1:51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8"/>
      <c r="AI125" s="10"/>
      <c r="AJ125" s="5"/>
      <c r="AK125" s="5"/>
      <c r="AL125" s="5"/>
      <c r="AM125" s="10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</row>
    <row r="126" spans="1:51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8"/>
      <c r="AI126" s="10"/>
      <c r="AJ126" s="5"/>
      <c r="AK126" s="5"/>
      <c r="AL126" s="5"/>
      <c r="AM126" s="10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</row>
    <row r="127" spans="1:51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8"/>
      <c r="AI127" s="10"/>
      <c r="AJ127" s="5"/>
      <c r="AK127" s="5"/>
      <c r="AL127" s="5"/>
      <c r="AM127" s="10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</row>
    <row r="128" spans="1:51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8"/>
      <c r="AI128" s="10"/>
      <c r="AJ128" s="5"/>
      <c r="AK128" s="5"/>
      <c r="AL128" s="5"/>
      <c r="AM128" s="10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</row>
    <row r="129" spans="1:51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8"/>
      <c r="AI129" s="10"/>
      <c r="AJ129" s="5"/>
      <c r="AK129" s="5"/>
      <c r="AL129" s="5"/>
      <c r="AM129" s="10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</row>
    <row r="130" spans="1:51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8"/>
      <c r="AI130" s="10"/>
      <c r="AJ130" s="5"/>
      <c r="AK130" s="5"/>
      <c r="AL130" s="5"/>
      <c r="AM130" s="10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</row>
    <row r="131" spans="1:51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8"/>
      <c r="AI131" s="10"/>
      <c r="AJ131" s="5"/>
      <c r="AK131" s="5"/>
      <c r="AL131" s="5"/>
      <c r="AM131" s="10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</row>
    <row r="132" spans="1:51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8"/>
      <c r="AI132" s="10"/>
      <c r="AJ132" s="5"/>
      <c r="AK132" s="5"/>
      <c r="AL132" s="5"/>
      <c r="AM132" s="10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</row>
    <row r="133" spans="1:51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8"/>
      <c r="AI133" s="10"/>
      <c r="AJ133" s="5"/>
      <c r="AK133" s="5"/>
      <c r="AL133" s="5"/>
      <c r="AM133" s="10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</row>
    <row r="134" spans="1:51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8"/>
      <c r="AI134" s="10"/>
      <c r="AJ134" s="5"/>
      <c r="AK134" s="5"/>
      <c r="AL134" s="5"/>
      <c r="AM134" s="10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</row>
    <row r="135" spans="1:51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8"/>
      <c r="AI135" s="10"/>
      <c r="AJ135" s="5"/>
      <c r="AK135" s="5"/>
      <c r="AL135" s="5"/>
      <c r="AM135" s="10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</row>
    <row r="136" spans="1:51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8"/>
      <c r="AI136" s="10"/>
      <c r="AJ136" s="5"/>
      <c r="AK136" s="5"/>
      <c r="AL136" s="5"/>
      <c r="AM136" s="10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</row>
    <row r="137" spans="1:51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8"/>
      <c r="AI137" s="10"/>
      <c r="AJ137" s="5"/>
      <c r="AK137" s="5"/>
      <c r="AL137" s="5"/>
      <c r="AM137" s="10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</row>
    <row r="138" spans="1:51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8"/>
      <c r="AI138" s="10"/>
      <c r="AJ138" s="5"/>
      <c r="AK138" s="5"/>
      <c r="AL138" s="5"/>
      <c r="AM138" s="10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</row>
    <row r="139" spans="1:51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8"/>
      <c r="AI139" s="10"/>
      <c r="AJ139" s="5"/>
      <c r="AK139" s="5"/>
      <c r="AL139" s="5"/>
      <c r="AM139" s="10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</row>
    <row r="140" spans="1:51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8"/>
      <c r="AI140" s="10"/>
      <c r="AJ140" s="5"/>
      <c r="AK140" s="5"/>
      <c r="AL140" s="5"/>
      <c r="AM140" s="10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</row>
    <row r="141" spans="1:51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8"/>
      <c r="AI141" s="10"/>
      <c r="AJ141" s="5"/>
      <c r="AK141" s="5"/>
      <c r="AL141" s="5"/>
      <c r="AM141" s="10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</row>
    <row r="142" spans="1:51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8"/>
      <c r="AI142" s="10"/>
      <c r="AJ142" s="5"/>
      <c r="AK142" s="5"/>
      <c r="AL142" s="5"/>
      <c r="AM142" s="10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</row>
    <row r="143" spans="1:51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8"/>
      <c r="AI143" s="10"/>
      <c r="AJ143" s="5"/>
      <c r="AK143" s="5"/>
      <c r="AL143" s="5"/>
      <c r="AM143" s="10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</row>
    <row r="144" spans="1:51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8"/>
      <c r="AI144" s="10"/>
      <c r="AJ144" s="5"/>
      <c r="AK144" s="5"/>
      <c r="AL144" s="5"/>
      <c r="AM144" s="10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</row>
    <row r="145" spans="1:51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8"/>
      <c r="AI145" s="10"/>
      <c r="AJ145" s="5"/>
      <c r="AK145" s="5"/>
      <c r="AL145" s="5"/>
      <c r="AM145" s="10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</row>
    <row r="146" spans="1:51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8"/>
      <c r="AI146" s="10"/>
      <c r="AJ146" s="5"/>
      <c r="AK146" s="5"/>
      <c r="AL146" s="5"/>
      <c r="AM146" s="10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</row>
    <row r="147" spans="1:51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8"/>
      <c r="AI147" s="10"/>
      <c r="AJ147" s="5"/>
      <c r="AK147" s="5"/>
      <c r="AL147" s="5"/>
      <c r="AM147" s="10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</row>
    <row r="148" spans="1:51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8"/>
      <c r="AI148" s="10"/>
      <c r="AJ148" s="5"/>
      <c r="AK148" s="5"/>
      <c r="AL148" s="5"/>
      <c r="AM148" s="10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</row>
    <row r="149" spans="1:51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8"/>
      <c r="AI149" s="10"/>
      <c r="AJ149" s="5"/>
      <c r="AK149" s="5"/>
      <c r="AL149" s="5"/>
      <c r="AM149" s="10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</row>
    <row r="150" spans="1:51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8"/>
      <c r="AI150" s="10"/>
      <c r="AJ150" s="5"/>
      <c r="AK150" s="5"/>
      <c r="AL150" s="5"/>
      <c r="AM150" s="10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</row>
    <row r="151" spans="1:51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8"/>
      <c r="AI151" s="10"/>
      <c r="AJ151" s="5"/>
      <c r="AK151" s="5"/>
      <c r="AL151" s="5"/>
      <c r="AM151" s="10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</row>
    <row r="152" spans="1:51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8"/>
      <c r="AI152" s="10"/>
      <c r="AJ152" s="5"/>
      <c r="AK152" s="5"/>
      <c r="AL152" s="5"/>
      <c r="AM152" s="10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</row>
    <row r="153" spans="1:51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8"/>
      <c r="AI153" s="10"/>
      <c r="AJ153" s="5"/>
      <c r="AK153" s="5"/>
      <c r="AL153" s="5"/>
      <c r="AM153" s="10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</row>
    <row r="154" spans="1:51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8"/>
      <c r="AI154" s="10"/>
      <c r="AJ154" s="5"/>
      <c r="AK154" s="5"/>
      <c r="AL154" s="5"/>
      <c r="AM154" s="10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</row>
    <row r="155" spans="1:51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8"/>
      <c r="AI155" s="10"/>
      <c r="AJ155" s="5"/>
      <c r="AK155" s="5"/>
      <c r="AL155" s="5"/>
      <c r="AM155" s="10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</row>
    <row r="156" spans="1:51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8"/>
      <c r="AI156" s="10"/>
      <c r="AJ156" s="5"/>
      <c r="AK156" s="5"/>
      <c r="AL156" s="5"/>
      <c r="AM156" s="10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</row>
    <row r="157" spans="1:51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8"/>
      <c r="AI157" s="10"/>
      <c r="AJ157" s="5"/>
      <c r="AK157" s="5"/>
      <c r="AL157" s="5"/>
      <c r="AM157" s="10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</row>
    <row r="158" spans="1:51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8"/>
      <c r="AI158" s="10"/>
      <c r="AJ158" s="5"/>
      <c r="AK158" s="5"/>
      <c r="AL158" s="5"/>
      <c r="AM158" s="10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</row>
    <row r="159" spans="1:51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8"/>
      <c r="AI159" s="10"/>
      <c r="AJ159" s="5"/>
      <c r="AK159" s="5"/>
      <c r="AL159" s="5"/>
      <c r="AM159" s="10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</row>
    <row r="160" spans="1:51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8"/>
      <c r="AI160" s="10"/>
      <c r="AJ160" s="5"/>
      <c r="AK160" s="5"/>
      <c r="AL160" s="5"/>
      <c r="AM160" s="10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</row>
    <row r="161" spans="1:51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8"/>
      <c r="AI161" s="10"/>
      <c r="AJ161" s="5"/>
      <c r="AK161" s="5"/>
      <c r="AL161" s="5"/>
      <c r="AM161" s="10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</row>
    <row r="162" spans="1:51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8"/>
      <c r="AI162" s="10"/>
      <c r="AJ162" s="5"/>
      <c r="AK162" s="5"/>
      <c r="AL162" s="5"/>
      <c r="AM162" s="10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</row>
    <row r="163" spans="1:51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8"/>
      <c r="AI163" s="10"/>
      <c r="AJ163" s="5"/>
      <c r="AK163" s="5"/>
      <c r="AL163" s="5"/>
      <c r="AM163" s="10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</row>
    <row r="164" spans="1:51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8"/>
      <c r="AI164" s="10"/>
      <c r="AJ164" s="5"/>
      <c r="AK164" s="5"/>
      <c r="AL164" s="5"/>
      <c r="AM164" s="10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</row>
    <row r="165" spans="1:51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8"/>
      <c r="AI165" s="10"/>
      <c r="AJ165" s="5"/>
      <c r="AK165" s="5"/>
      <c r="AL165" s="5"/>
      <c r="AM165" s="10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</row>
    <row r="166" spans="1:51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8"/>
      <c r="AI166" s="10"/>
      <c r="AJ166" s="5"/>
      <c r="AK166" s="5"/>
      <c r="AL166" s="5"/>
      <c r="AM166" s="10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</row>
    <row r="167" spans="1:51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8"/>
      <c r="AI167" s="10"/>
      <c r="AJ167" s="5"/>
      <c r="AK167" s="5"/>
      <c r="AL167" s="5"/>
      <c r="AM167" s="10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</row>
    <row r="168" spans="1:51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8"/>
      <c r="AI168" s="10"/>
      <c r="AJ168" s="5"/>
      <c r="AK168" s="5"/>
      <c r="AL168" s="5"/>
      <c r="AM168" s="10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</row>
    <row r="169" spans="1:51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8"/>
      <c r="AI169" s="10"/>
      <c r="AJ169" s="5"/>
      <c r="AK169" s="5"/>
      <c r="AL169" s="5"/>
      <c r="AM169" s="10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</row>
    <row r="170" spans="1:51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8"/>
      <c r="AI170" s="10"/>
      <c r="AJ170" s="5"/>
      <c r="AK170" s="5"/>
      <c r="AL170" s="5"/>
      <c r="AM170" s="10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</row>
    <row r="171" spans="1:51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8"/>
      <c r="AI171" s="10"/>
      <c r="AJ171" s="5"/>
      <c r="AK171" s="5"/>
      <c r="AL171" s="5"/>
      <c r="AM171" s="10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</row>
    <row r="172" spans="1:51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8"/>
      <c r="AI172" s="10"/>
      <c r="AJ172" s="5"/>
      <c r="AK172" s="5"/>
      <c r="AL172" s="5"/>
      <c r="AM172" s="10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</row>
    <row r="173" spans="1:51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8"/>
      <c r="AI173" s="10"/>
      <c r="AJ173" s="5"/>
      <c r="AK173" s="5"/>
      <c r="AL173" s="5"/>
      <c r="AM173" s="10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</row>
    <row r="174" spans="1:51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8"/>
      <c r="AI174" s="10"/>
      <c r="AJ174" s="5"/>
      <c r="AK174" s="5"/>
      <c r="AL174" s="5"/>
      <c r="AM174" s="10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</row>
    <row r="175" spans="1:51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8"/>
      <c r="AI175" s="10"/>
      <c r="AJ175" s="5"/>
      <c r="AK175" s="5"/>
      <c r="AL175" s="5"/>
      <c r="AM175" s="10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</row>
    <row r="176" spans="1:51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8"/>
      <c r="AI176" s="10"/>
      <c r="AJ176" s="5"/>
      <c r="AK176" s="5"/>
      <c r="AL176" s="5"/>
      <c r="AM176" s="10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</row>
    <row r="177" spans="1:51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8"/>
      <c r="AI177" s="10"/>
      <c r="AJ177" s="5"/>
      <c r="AK177" s="5"/>
      <c r="AL177" s="5"/>
      <c r="AM177" s="10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</row>
    <row r="178" spans="1:51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8"/>
      <c r="AI178" s="10"/>
      <c r="AJ178" s="5"/>
      <c r="AK178" s="5"/>
      <c r="AL178" s="5"/>
      <c r="AM178" s="10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</row>
    <row r="179" spans="1:51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8"/>
      <c r="AI179" s="10"/>
      <c r="AJ179" s="5"/>
      <c r="AK179" s="5"/>
      <c r="AL179" s="5"/>
      <c r="AM179" s="10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</row>
    <row r="180" spans="1:51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8"/>
      <c r="AI180" s="10"/>
      <c r="AJ180" s="5"/>
      <c r="AK180" s="5"/>
      <c r="AL180" s="5"/>
      <c r="AM180" s="10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</row>
    <row r="181" spans="1:51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8"/>
      <c r="AI181" s="10"/>
      <c r="AJ181" s="5"/>
      <c r="AK181" s="5"/>
      <c r="AL181" s="5"/>
      <c r="AM181" s="10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</row>
    <row r="182" spans="1:51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8"/>
      <c r="AI182" s="10"/>
      <c r="AJ182" s="5"/>
      <c r="AK182" s="5"/>
      <c r="AL182" s="5"/>
      <c r="AM182" s="10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</row>
    <row r="183" spans="1:51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8"/>
      <c r="AI183" s="10"/>
      <c r="AJ183" s="5"/>
      <c r="AK183" s="5"/>
      <c r="AL183" s="5"/>
      <c r="AM183" s="10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</row>
    <row r="184" spans="1:51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8"/>
      <c r="AI184" s="10"/>
      <c r="AJ184" s="5"/>
      <c r="AK184" s="5"/>
      <c r="AL184" s="5"/>
      <c r="AM184" s="10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</row>
    <row r="185" spans="1:51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8"/>
      <c r="AI185" s="10"/>
      <c r="AJ185" s="5"/>
      <c r="AK185" s="5"/>
      <c r="AL185" s="5"/>
      <c r="AM185" s="10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</row>
    <row r="186" spans="1:51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8"/>
      <c r="AI186" s="10"/>
      <c r="AJ186" s="5"/>
      <c r="AK186" s="5"/>
      <c r="AL186" s="5"/>
      <c r="AM186" s="10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</row>
    <row r="187" spans="1:51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8"/>
      <c r="AI187" s="10"/>
      <c r="AJ187" s="5"/>
      <c r="AK187" s="5"/>
      <c r="AL187" s="5"/>
      <c r="AM187" s="10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</row>
    <row r="188" spans="1:51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8"/>
      <c r="AI188" s="10"/>
      <c r="AJ188" s="5"/>
      <c r="AK188" s="5"/>
      <c r="AL188" s="5"/>
      <c r="AM188" s="10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</row>
    <row r="189" spans="1:51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8"/>
      <c r="AI189" s="10"/>
      <c r="AJ189" s="5"/>
      <c r="AK189" s="5"/>
      <c r="AL189" s="5"/>
      <c r="AM189" s="10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</row>
    <row r="190" spans="1:51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8"/>
      <c r="AI190" s="10"/>
      <c r="AJ190" s="5"/>
      <c r="AK190" s="5"/>
      <c r="AL190" s="5"/>
      <c r="AM190" s="10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</row>
    <row r="191" spans="1:51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8"/>
      <c r="AI191" s="10"/>
      <c r="AJ191" s="5"/>
      <c r="AK191" s="5"/>
      <c r="AL191" s="5"/>
      <c r="AM191" s="10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</row>
    <row r="192" spans="1:51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8"/>
      <c r="AI192" s="10"/>
      <c r="AJ192" s="5"/>
      <c r="AK192" s="5"/>
      <c r="AL192" s="5"/>
      <c r="AM192" s="10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</row>
    <row r="193" spans="1:51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8"/>
      <c r="AI193" s="10"/>
      <c r="AJ193" s="5"/>
      <c r="AK193" s="5"/>
      <c r="AL193" s="5"/>
      <c r="AM193" s="10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</row>
    <row r="194" spans="1:51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8"/>
      <c r="AI194" s="10"/>
      <c r="AJ194" s="5"/>
      <c r="AK194" s="5"/>
      <c r="AL194" s="5"/>
      <c r="AM194" s="10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</row>
    <row r="195" spans="1:51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8"/>
      <c r="AI195" s="10"/>
      <c r="AJ195" s="5"/>
      <c r="AK195" s="5"/>
      <c r="AL195" s="5"/>
      <c r="AM195" s="10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</row>
    <row r="196" spans="1:51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8"/>
      <c r="AI196" s="10"/>
      <c r="AJ196" s="5"/>
      <c r="AK196" s="5"/>
      <c r="AL196" s="5"/>
      <c r="AM196" s="10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</row>
    <row r="197" spans="1:51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8"/>
      <c r="AI197" s="10"/>
      <c r="AJ197" s="5"/>
      <c r="AK197" s="5"/>
      <c r="AL197" s="5"/>
      <c r="AM197" s="10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</row>
    <row r="198" spans="1:51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8"/>
      <c r="AI198" s="10"/>
      <c r="AJ198" s="5"/>
      <c r="AK198" s="5"/>
      <c r="AL198" s="5"/>
      <c r="AM198" s="10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</row>
    <row r="199" spans="1:51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8"/>
      <c r="AI199" s="10"/>
      <c r="AJ199" s="5"/>
      <c r="AK199" s="5"/>
      <c r="AL199" s="5"/>
      <c r="AM199" s="10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</row>
    <row r="200" spans="1:51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8"/>
      <c r="AI200" s="10"/>
      <c r="AJ200" s="5"/>
      <c r="AK200" s="5"/>
      <c r="AL200" s="5"/>
      <c r="AM200" s="10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</row>
    <row r="201" spans="1:51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8"/>
      <c r="AI201" s="10"/>
      <c r="AJ201" s="5"/>
      <c r="AK201" s="5"/>
      <c r="AL201" s="5"/>
      <c r="AM201" s="10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</row>
    <row r="202" spans="1:51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8"/>
      <c r="AI202" s="10"/>
      <c r="AJ202" s="5"/>
      <c r="AK202" s="5"/>
      <c r="AL202" s="5"/>
      <c r="AM202" s="10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</row>
    <row r="203" spans="1:51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8"/>
      <c r="AI203" s="10"/>
      <c r="AJ203" s="5"/>
      <c r="AK203" s="5"/>
      <c r="AL203" s="5"/>
      <c r="AM203" s="10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</row>
    <row r="204" spans="1:51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8"/>
      <c r="AI204" s="10"/>
      <c r="AJ204" s="5"/>
      <c r="AK204" s="5"/>
      <c r="AL204" s="5"/>
      <c r="AM204" s="10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</row>
    <row r="205" spans="1:51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8"/>
      <c r="AI205" s="10"/>
      <c r="AJ205" s="5"/>
      <c r="AK205" s="5"/>
      <c r="AL205" s="5"/>
      <c r="AM205" s="10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</row>
    <row r="206" spans="1:51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8"/>
      <c r="AI206" s="10"/>
      <c r="AJ206" s="5"/>
      <c r="AK206" s="5"/>
      <c r="AL206" s="5"/>
      <c r="AM206" s="10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</row>
    <row r="207" spans="1:51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8"/>
      <c r="AI207" s="10"/>
      <c r="AJ207" s="5"/>
      <c r="AK207" s="5"/>
      <c r="AL207" s="5"/>
      <c r="AM207" s="10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</row>
    <row r="208" spans="1:51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8"/>
      <c r="AI208" s="10"/>
      <c r="AJ208" s="5"/>
      <c r="AK208" s="5"/>
      <c r="AL208" s="5"/>
      <c r="AM208" s="10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</row>
    <row r="209" spans="1:51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8"/>
      <c r="AI209" s="10"/>
      <c r="AJ209" s="5"/>
      <c r="AK209" s="5"/>
      <c r="AL209" s="5"/>
      <c r="AM209" s="10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</row>
    <row r="210" spans="1:51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8"/>
      <c r="AI210" s="10"/>
      <c r="AJ210" s="5"/>
      <c r="AK210" s="5"/>
      <c r="AL210" s="5"/>
      <c r="AM210" s="10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</row>
    <row r="211" spans="1:51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8"/>
      <c r="AI211" s="10"/>
      <c r="AJ211" s="5"/>
      <c r="AK211" s="5"/>
      <c r="AL211" s="5"/>
      <c r="AM211" s="10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</row>
    <row r="212" spans="1:51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8"/>
      <c r="AI212" s="10"/>
      <c r="AJ212" s="5"/>
      <c r="AK212" s="5"/>
      <c r="AL212" s="5"/>
      <c r="AM212" s="10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</row>
    <row r="213" spans="1:51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8"/>
      <c r="AI213" s="10"/>
      <c r="AJ213" s="5"/>
      <c r="AK213" s="5"/>
      <c r="AL213" s="5"/>
      <c r="AM213" s="10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</row>
    <row r="214" spans="1:51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8"/>
      <c r="AI214" s="10"/>
      <c r="AJ214" s="5"/>
      <c r="AK214" s="5"/>
      <c r="AL214" s="5"/>
      <c r="AM214" s="10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</row>
    <row r="215" spans="1:51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8"/>
      <c r="AI215" s="10"/>
      <c r="AJ215" s="5"/>
      <c r="AK215" s="5"/>
      <c r="AL215" s="5"/>
      <c r="AM215" s="10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</row>
    <row r="216" spans="1:51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8"/>
      <c r="AI216" s="10"/>
      <c r="AJ216" s="5"/>
      <c r="AK216" s="5"/>
      <c r="AL216" s="5"/>
      <c r="AM216" s="10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</row>
    <row r="217" spans="1:51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8"/>
      <c r="AI217" s="10"/>
      <c r="AJ217" s="5"/>
      <c r="AK217" s="5"/>
      <c r="AL217" s="5"/>
      <c r="AM217" s="10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</row>
    <row r="218" spans="1:51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8"/>
      <c r="AI218" s="10"/>
      <c r="AJ218" s="5"/>
      <c r="AK218" s="5"/>
      <c r="AL218" s="5"/>
      <c r="AM218" s="10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</row>
    <row r="219" spans="1:51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8"/>
      <c r="AI219" s="10"/>
      <c r="AJ219" s="5"/>
      <c r="AK219" s="5"/>
      <c r="AL219" s="5"/>
      <c r="AM219" s="10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</row>
    <row r="220" spans="1:51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8"/>
      <c r="AI220" s="10"/>
      <c r="AJ220" s="5"/>
      <c r="AK220" s="5"/>
      <c r="AL220" s="5"/>
      <c r="AM220" s="10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</row>
    <row r="221" spans="1:51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8"/>
      <c r="AI221" s="10"/>
      <c r="AJ221" s="5"/>
      <c r="AK221" s="5"/>
      <c r="AL221" s="5"/>
      <c r="AM221" s="10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</row>
    <row r="222" spans="1:51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8"/>
      <c r="AI222" s="10"/>
      <c r="AJ222" s="5"/>
      <c r="AK222" s="5"/>
      <c r="AL222" s="5"/>
      <c r="AM222" s="10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</row>
    <row r="223" spans="1:51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8"/>
      <c r="AI223" s="10"/>
      <c r="AJ223" s="5"/>
      <c r="AK223" s="5"/>
      <c r="AL223" s="5"/>
      <c r="AM223" s="10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</row>
    <row r="224" spans="1:51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8"/>
      <c r="AI224" s="10"/>
      <c r="AJ224" s="5"/>
      <c r="AK224" s="5"/>
      <c r="AL224" s="5"/>
      <c r="AM224" s="10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</row>
    <row r="225" spans="1:51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8"/>
      <c r="AI225" s="10"/>
      <c r="AJ225" s="5"/>
      <c r="AK225" s="5"/>
      <c r="AL225" s="5"/>
      <c r="AM225" s="10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</row>
    <row r="226" spans="1:51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8"/>
      <c r="AI226" s="10"/>
      <c r="AJ226" s="5"/>
      <c r="AK226" s="5"/>
      <c r="AL226" s="5"/>
      <c r="AM226" s="10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</row>
    <row r="227" spans="1:51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8"/>
      <c r="AI227" s="10"/>
      <c r="AJ227" s="5"/>
      <c r="AK227" s="5"/>
      <c r="AL227" s="5"/>
      <c r="AM227" s="10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</row>
    <row r="228" spans="1:51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8"/>
      <c r="AI228" s="10"/>
      <c r="AJ228" s="5"/>
      <c r="AK228" s="5"/>
      <c r="AL228" s="5"/>
      <c r="AM228" s="10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</row>
    <row r="229" spans="1:51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8"/>
      <c r="AI229" s="10"/>
      <c r="AJ229" s="5"/>
      <c r="AK229" s="5"/>
      <c r="AL229" s="5"/>
      <c r="AM229" s="10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</row>
    <row r="230" spans="1:51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8"/>
      <c r="AI230" s="10"/>
      <c r="AJ230" s="5"/>
      <c r="AK230" s="5"/>
      <c r="AL230" s="5"/>
      <c r="AM230" s="10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</row>
    <row r="231" spans="1:51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8"/>
      <c r="AI231" s="10"/>
      <c r="AJ231" s="5"/>
      <c r="AK231" s="5"/>
      <c r="AL231" s="5"/>
      <c r="AM231" s="10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</row>
    <row r="232" spans="1:51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8"/>
      <c r="AI232" s="10"/>
      <c r="AJ232" s="5"/>
      <c r="AK232" s="5"/>
      <c r="AL232" s="5"/>
      <c r="AM232" s="10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</row>
    <row r="233" spans="1:51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8"/>
      <c r="AI233" s="10"/>
      <c r="AJ233" s="5"/>
      <c r="AK233" s="5"/>
      <c r="AL233" s="5"/>
      <c r="AM233" s="10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</row>
    <row r="234" spans="1:51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8"/>
      <c r="AI234" s="10"/>
      <c r="AJ234" s="5"/>
      <c r="AK234" s="5"/>
      <c r="AL234" s="5"/>
      <c r="AM234" s="10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</row>
    <row r="235" spans="1:51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8"/>
      <c r="AI235" s="10"/>
      <c r="AJ235" s="5"/>
      <c r="AK235" s="5"/>
      <c r="AL235" s="5"/>
      <c r="AM235" s="10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</row>
    <row r="236" spans="1:51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8"/>
      <c r="AI236" s="10"/>
      <c r="AJ236" s="5"/>
      <c r="AK236" s="5"/>
      <c r="AL236" s="5"/>
      <c r="AM236" s="10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</row>
    <row r="237" spans="1:51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8"/>
      <c r="AI237" s="10"/>
      <c r="AJ237" s="5"/>
      <c r="AK237" s="5"/>
      <c r="AL237" s="5"/>
      <c r="AM237" s="10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</row>
    <row r="238" spans="1:51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8"/>
      <c r="AI238" s="10"/>
      <c r="AJ238" s="5"/>
      <c r="AK238" s="5"/>
      <c r="AL238" s="5"/>
      <c r="AM238" s="10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</row>
    <row r="239" spans="1:51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8"/>
      <c r="AI239" s="10"/>
      <c r="AJ239" s="5"/>
      <c r="AK239" s="5"/>
      <c r="AL239" s="5"/>
      <c r="AM239" s="10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</row>
    <row r="240" spans="1:51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8"/>
      <c r="AI240" s="10"/>
      <c r="AJ240" s="5"/>
      <c r="AK240" s="5"/>
      <c r="AL240" s="5"/>
      <c r="AM240" s="10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</row>
    <row r="241" spans="1:51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8"/>
      <c r="AI241" s="10"/>
      <c r="AJ241" s="5"/>
      <c r="AK241" s="5"/>
      <c r="AL241" s="5"/>
      <c r="AM241" s="10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</row>
    <row r="242" spans="1:51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8"/>
      <c r="AI242" s="10"/>
      <c r="AJ242" s="5"/>
      <c r="AK242" s="5"/>
      <c r="AL242" s="5"/>
      <c r="AM242" s="10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</row>
    <row r="243" spans="1:51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8"/>
      <c r="AI243" s="10"/>
      <c r="AJ243" s="5"/>
      <c r="AK243" s="5"/>
      <c r="AL243" s="5"/>
      <c r="AM243" s="10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</row>
    <row r="244" spans="1:51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8"/>
      <c r="AI244" s="10"/>
      <c r="AJ244" s="5"/>
      <c r="AK244" s="5"/>
      <c r="AL244" s="5"/>
      <c r="AM244" s="10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</row>
    <row r="245" spans="1:51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8"/>
      <c r="AI245" s="10"/>
      <c r="AJ245" s="5"/>
      <c r="AK245" s="5"/>
      <c r="AL245" s="5"/>
      <c r="AM245" s="10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</row>
    <row r="246" spans="1:51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8"/>
      <c r="AI246" s="10"/>
      <c r="AJ246" s="5"/>
      <c r="AK246" s="5"/>
      <c r="AL246" s="5"/>
      <c r="AM246" s="10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</row>
    <row r="247" spans="1:51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8"/>
      <c r="AI247" s="10"/>
      <c r="AJ247" s="5"/>
      <c r="AK247" s="5"/>
      <c r="AL247" s="5"/>
      <c r="AM247" s="10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</row>
    <row r="248" spans="1:51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8"/>
      <c r="AI248" s="10"/>
      <c r="AJ248" s="5"/>
      <c r="AK248" s="5"/>
      <c r="AL248" s="5"/>
      <c r="AM248" s="10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</row>
    <row r="249" spans="1:51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8"/>
      <c r="AI249" s="10"/>
      <c r="AJ249" s="5"/>
      <c r="AK249" s="5"/>
      <c r="AL249" s="5"/>
      <c r="AM249" s="10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</row>
    <row r="250" spans="1:51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8"/>
      <c r="AI250" s="10"/>
      <c r="AJ250" s="5"/>
      <c r="AK250" s="5"/>
      <c r="AL250" s="5"/>
      <c r="AM250" s="10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</row>
    <row r="251" spans="1:51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8"/>
      <c r="AI251" s="10"/>
      <c r="AJ251" s="5"/>
      <c r="AK251" s="5"/>
      <c r="AL251" s="5"/>
      <c r="AM251" s="10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</row>
    <row r="252" spans="1:51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8"/>
      <c r="AI252" s="10"/>
      <c r="AJ252" s="5"/>
      <c r="AK252" s="5"/>
      <c r="AL252" s="5"/>
      <c r="AM252" s="10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</row>
    <row r="253" spans="1:51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8"/>
      <c r="AI253" s="10"/>
      <c r="AJ253" s="5"/>
      <c r="AK253" s="5"/>
      <c r="AL253" s="5"/>
      <c r="AM253" s="10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</row>
    <row r="254" spans="1:51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8"/>
      <c r="AI254" s="10"/>
      <c r="AJ254" s="5"/>
      <c r="AK254" s="5"/>
      <c r="AL254" s="5"/>
      <c r="AM254" s="10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</row>
    <row r="255" spans="1:51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8"/>
      <c r="AI255" s="10"/>
      <c r="AJ255" s="5"/>
      <c r="AK255" s="5"/>
      <c r="AL255" s="5"/>
      <c r="AM255" s="10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</row>
    <row r="256" spans="1:51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8"/>
      <c r="AI256" s="10"/>
      <c r="AJ256" s="5"/>
      <c r="AK256" s="5"/>
      <c r="AL256" s="5"/>
      <c r="AM256" s="10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</row>
    <row r="257" spans="1:51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8"/>
      <c r="AI257" s="10"/>
      <c r="AJ257" s="5"/>
      <c r="AK257" s="5"/>
      <c r="AL257" s="5"/>
      <c r="AM257" s="10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</row>
    <row r="258" spans="1:51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8"/>
      <c r="AI258" s="10"/>
      <c r="AJ258" s="5"/>
      <c r="AK258" s="5"/>
      <c r="AL258" s="5"/>
      <c r="AM258" s="10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</row>
    <row r="259" spans="1:51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8"/>
      <c r="AI259" s="10"/>
      <c r="AJ259" s="5"/>
      <c r="AK259" s="5"/>
      <c r="AL259" s="5"/>
      <c r="AM259" s="10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</row>
    <row r="260" spans="1:51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8"/>
      <c r="AI260" s="10"/>
      <c r="AJ260" s="5"/>
      <c r="AK260" s="5"/>
      <c r="AL260" s="5"/>
      <c r="AM260" s="10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</row>
    <row r="261" spans="1:51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8"/>
      <c r="AI261" s="10"/>
      <c r="AJ261" s="5"/>
      <c r="AK261" s="5"/>
      <c r="AL261" s="5"/>
      <c r="AM261" s="10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</row>
    <row r="262" spans="1:51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8"/>
      <c r="AI262" s="10"/>
      <c r="AJ262" s="5"/>
      <c r="AK262" s="5"/>
      <c r="AL262" s="5"/>
      <c r="AM262" s="10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</row>
    <row r="263" spans="1:51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8"/>
      <c r="AI263" s="10"/>
      <c r="AJ263" s="5"/>
      <c r="AK263" s="5"/>
      <c r="AL263" s="5"/>
      <c r="AM263" s="10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</row>
    <row r="264" spans="1:51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8"/>
      <c r="AI264" s="10"/>
      <c r="AJ264" s="5"/>
      <c r="AK264" s="5"/>
      <c r="AL264" s="5"/>
      <c r="AM264" s="10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</row>
    <row r="265" spans="1:51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8"/>
      <c r="AI265" s="10"/>
      <c r="AJ265" s="5"/>
      <c r="AK265" s="5"/>
      <c r="AL265" s="5"/>
      <c r="AM265" s="10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</row>
    <row r="266" spans="1:51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8"/>
      <c r="AI266" s="10"/>
      <c r="AJ266" s="5"/>
      <c r="AK266" s="5"/>
      <c r="AL266" s="5"/>
      <c r="AM266" s="10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</row>
    <row r="267" spans="1:51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8"/>
      <c r="AI267" s="10"/>
      <c r="AJ267" s="5"/>
      <c r="AK267" s="5"/>
      <c r="AL267" s="5"/>
      <c r="AM267" s="10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</row>
    <row r="268" spans="1:51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8"/>
      <c r="AI268" s="10"/>
      <c r="AJ268" s="5"/>
      <c r="AK268" s="5"/>
      <c r="AL268" s="5"/>
      <c r="AM268" s="10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</row>
    <row r="269" spans="1:51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8"/>
      <c r="AI269" s="10"/>
      <c r="AJ269" s="5"/>
      <c r="AK269" s="5"/>
      <c r="AL269" s="5"/>
      <c r="AM269" s="10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</row>
    <row r="270" spans="1:51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8"/>
      <c r="AI270" s="10"/>
      <c r="AJ270" s="5"/>
      <c r="AK270" s="5"/>
      <c r="AL270" s="5"/>
      <c r="AM270" s="10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</row>
    <row r="271" spans="1:51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8"/>
      <c r="AI271" s="10"/>
      <c r="AJ271" s="5"/>
      <c r="AK271" s="5"/>
      <c r="AL271" s="5"/>
      <c r="AM271" s="10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</row>
    <row r="272" spans="1:51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8"/>
      <c r="AI272" s="10"/>
      <c r="AJ272" s="5"/>
      <c r="AK272" s="5"/>
      <c r="AL272" s="5"/>
      <c r="AM272" s="10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</row>
    <row r="273" spans="1:51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8"/>
      <c r="AI273" s="10"/>
      <c r="AJ273" s="5"/>
      <c r="AK273" s="5"/>
      <c r="AL273" s="5"/>
      <c r="AM273" s="10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</row>
    <row r="274" spans="1:51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8"/>
      <c r="AI274" s="10"/>
      <c r="AJ274" s="5"/>
      <c r="AK274" s="5"/>
      <c r="AL274" s="5"/>
      <c r="AM274" s="10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</row>
    <row r="275" spans="1:51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8"/>
      <c r="AI275" s="10"/>
      <c r="AJ275" s="5"/>
      <c r="AK275" s="5"/>
      <c r="AL275" s="5"/>
      <c r="AM275" s="10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</row>
    <row r="276" spans="1:51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8"/>
      <c r="AI276" s="10"/>
      <c r="AJ276" s="5"/>
      <c r="AK276" s="5"/>
      <c r="AL276" s="5"/>
      <c r="AM276" s="10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</row>
    <row r="277" spans="1:51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8"/>
      <c r="AI277" s="10"/>
      <c r="AJ277" s="5"/>
      <c r="AK277" s="5"/>
      <c r="AL277" s="5"/>
      <c r="AM277" s="10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</row>
    <row r="278" spans="1:51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8"/>
      <c r="AI278" s="10"/>
      <c r="AJ278" s="5"/>
      <c r="AK278" s="5"/>
      <c r="AL278" s="5"/>
      <c r="AM278" s="10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</row>
    <row r="279" spans="1:51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8"/>
      <c r="AI279" s="10"/>
      <c r="AJ279" s="5"/>
      <c r="AK279" s="5"/>
      <c r="AL279" s="5"/>
      <c r="AM279" s="10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</row>
    <row r="280" spans="1:51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8"/>
      <c r="AI280" s="10"/>
      <c r="AJ280" s="5"/>
      <c r="AK280" s="5"/>
      <c r="AL280" s="5"/>
      <c r="AM280" s="10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</row>
    <row r="281" spans="1:51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8"/>
      <c r="AI281" s="10"/>
      <c r="AJ281" s="5"/>
      <c r="AK281" s="5"/>
      <c r="AL281" s="5"/>
      <c r="AM281" s="10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</row>
    <row r="282" spans="1:51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8"/>
      <c r="AI282" s="10"/>
      <c r="AJ282" s="5"/>
      <c r="AK282" s="5"/>
      <c r="AL282" s="5"/>
      <c r="AM282" s="10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</row>
    <row r="283" spans="1:51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8"/>
      <c r="AI283" s="10"/>
      <c r="AJ283" s="5"/>
      <c r="AK283" s="5"/>
      <c r="AL283" s="5"/>
      <c r="AM283" s="10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</row>
    <row r="284" spans="1:51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8"/>
      <c r="AI284" s="10"/>
      <c r="AJ284" s="5"/>
      <c r="AK284" s="5"/>
      <c r="AL284" s="5"/>
      <c r="AM284" s="10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</row>
    <row r="285" spans="1:51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8"/>
      <c r="AI285" s="10"/>
      <c r="AJ285" s="5"/>
      <c r="AK285" s="5"/>
      <c r="AL285" s="5"/>
      <c r="AM285" s="10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</row>
    <row r="286" spans="1:51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8"/>
      <c r="AI286" s="10"/>
      <c r="AJ286" s="5"/>
      <c r="AK286" s="5"/>
      <c r="AL286" s="5"/>
      <c r="AM286" s="10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</row>
    <row r="287" spans="1:51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8"/>
      <c r="AI287" s="10"/>
      <c r="AJ287" s="5"/>
      <c r="AK287" s="5"/>
      <c r="AL287" s="5"/>
      <c r="AM287" s="10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</row>
    <row r="288" spans="1:51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8"/>
      <c r="AI288" s="10"/>
      <c r="AJ288" s="5"/>
      <c r="AK288" s="5"/>
      <c r="AL288" s="5"/>
      <c r="AM288" s="10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</row>
    <row r="289" spans="1:51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8"/>
      <c r="AI289" s="10"/>
      <c r="AJ289" s="5"/>
      <c r="AK289" s="5"/>
      <c r="AL289" s="5"/>
      <c r="AM289" s="10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</row>
    <row r="290" spans="1:51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8"/>
      <c r="AI290" s="10"/>
      <c r="AJ290" s="5"/>
      <c r="AK290" s="5"/>
      <c r="AL290" s="5"/>
      <c r="AM290" s="10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</row>
    <row r="291" spans="1:51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8"/>
      <c r="AI291" s="10"/>
      <c r="AJ291" s="5"/>
      <c r="AK291" s="5"/>
      <c r="AL291" s="5"/>
      <c r="AM291" s="10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</row>
    <row r="292" spans="1:51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8"/>
      <c r="AI292" s="10"/>
      <c r="AJ292" s="5"/>
      <c r="AK292" s="5"/>
      <c r="AL292" s="5"/>
      <c r="AM292" s="10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</row>
    <row r="293" spans="1:51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8"/>
      <c r="AI293" s="10"/>
      <c r="AJ293" s="5"/>
      <c r="AK293" s="5"/>
      <c r="AL293" s="5"/>
      <c r="AM293" s="10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</row>
    <row r="294" spans="1:51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8"/>
      <c r="AI294" s="10"/>
      <c r="AJ294" s="5"/>
      <c r="AK294" s="5"/>
      <c r="AL294" s="5"/>
      <c r="AM294" s="10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</row>
    <row r="295" spans="1:51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8"/>
      <c r="AI295" s="10"/>
      <c r="AJ295" s="5"/>
      <c r="AK295" s="5"/>
      <c r="AL295" s="5"/>
      <c r="AM295" s="10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</row>
    <row r="296" spans="1:51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8"/>
      <c r="AI296" s="10"/>
      <c r="AJ296" s="5"/>
      <c r="AK296" s="5"/>
      <c r="AL296" s="5"/>
      <c r="AM296" s="10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</row>
    <row r="297" spans="1:51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8"/>
      <c r="AI297" s="10"/>
      <c r="AJ297" s="5"/>
      <c r="AK297" s="5"/>
      <c r="AL297" s="5"/>
      <c r="AM297" s="10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</row>
    <row r="298" spans="1:51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8"/>
      <c r="AI298" s="10"/>
      <c r="AJ298" s="5"/>
      <c r="AK298" s="5"/>
      <c r="AL298" s="5"/>
      <c r="AM298" s="10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</row>
    <row r="299" spans="1:51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8"/>
      <c r="AI299" s="10"/>
      <c r="AJ299" s="5"/>
      <c r="AK299" s="5"/>
      <c r="AL299" s="5"/>
      <c r="AM299" s="10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</row>
    <row r="300" spans="1:51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8"/>
      <c r="AI300" s="10"/>
      <c r="AJ300" s="5"/>
      <c r="AK300" s="5"/>
      <c r="AL300" s="5"/>
      <c r="AM300" s="10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</row>
    <row r="301" spans="1:51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8"/>
      <c r="AI301" s="10"/>
      <c r="AJ301" s="5"/>
      <c r="AK301" s="5"/>
      <c r="AL301" s="5"/>
      <c r="AM301" s="10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</row>
    <row r="302" spans="1:51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8"/>
      <c r="AI302" s="10"/>
      <c r="AJ302" s="5"/>
      <c r="AK302" s="5"/>
      <c r="AL302" s="5"/>
      <c r="AM302" s="10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</row>
    <row r="303" spans="1:51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8"/>
      <c r="AI303" s="10"/>
      <c r="AJ303" s="5"/>
      <c r="AK303" s="5"/>
      <c r="AL303" s="5"/>
      <c r="AM303" s="10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</row>
    <row r="304" spans="1:51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8"/>
      <c r="AI304" s="10"/>
      <c r="AJ304" s="5"/>
      <c r="AK304" s="5"/>
      <c r="AL304" s="5"/>
      <c r="AM304" s="10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</row>
    <row r="305" spans="1:51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8"/>
      <c r="AI305" s="10"/>
      <c r="AJ305" s="5"/>
      <c r="AK305" s="5"/>
      <c r="AL305" s="5"/>
      <c r="AM305" s="10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</row>
    <row r="306" spans="1:51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8"/>
      <c r="AI306" s="10"/>
      <c r="AJ306" s="5"/>
      <c r="AK306" s="5"/>
      <c r="AL306" s="5"/>
      <c r="AM306" s="10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</row>
    <row r="307" spans="1:51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8"/>
      <c r="AI307" s="10"/>
      <c r="AJ307" s="5"/>
      <c r="AK307" s="5"/>
      <c r="AL307" s="5"/>
      <c r="AM307" s="10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</row>
    <row r="308" spans="1:51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8"/>
      <c r="AI308" s="10"/>
      <c r="AJ308" s="5"/>
      <c r="AK308" s="5"/>
      <c r="AL308" s="5"/>
      <c r="AM308" s="10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</row>
    <row r="309" spans="1:51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8"/>
      <c r="AI309" s="10"/>
      <c r="AJ309" s="5"/>
      <c r="AK309" s="5"/>
      <c r="AL309" s="5"/>
      <c r="AM309" s="10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</row>
    <row r="310" spans="1:51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8"/>
      <c r="AI310" s="10"/>
      <c r="AJ310" s="5"/>
      <c r="AK310" s="5"/>
      <c r="AL310" s="5"/>
      <c r="AM310" s="10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</row>
    <row r="311" spans="1:51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8"/>
      <c r="AI311" s="10"/>
      <c r="AJ311" s="5"/>
      <c r="AK311" s="5"/>
      <c r="AL311" s="5"/>
      <c r="AM311" s="10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</row>
    <row r="312" spans="1:51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8"/>
      <c r="AI312" s="10"/>
      <c r="AJ312" s="5"/>
      <c r="AK312" s="5"/>
      <c r="AL312" s="5"/>
      <c r="AM312" s="10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</row>
    <row r="313" spans="1:51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8"/>
      <c r="AI313" s="10"/>
      <c r="AJ313" s="5"/>
      <c r="AK313" s="5"/>
      <c r="AL313" s="5"/>
      <c r="AM313" s="10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</row>
    <row r="314" spans="1:51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8"/>
      <c r="AI314" s="10"/>
      <c r="AJ314" s="5"/>
      <c r="AK314" s="5"/>
      <c r="AL314" s="5"/>
      <c r="AM314" s="10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</row>
    <row r="315" spans="1:51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8"/>
      <c r="AI315" s="10"/>
      <c r="AJ315" s="5"/>
      <c r="AK315" s="5"/>
      <c r="AL315" s="5"/>
      <c r="AM315" s="10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</row>
    <row r="316" spans="1:51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8"/>
      <c r="AI316" s="10"/>
      <c r="AJ316" s="5"/>
      <c r="AK316" s="5"/>
      <c r="AL316" s="5"/>
      <c r="AM316" s="10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</row>
    <row r="317" spans="1:51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8"/>
      <c r="AI317" s="10"/>
      <c r="AJ317" s="5"/>
      <c r="AK317" s="5"/>
      <c r="AL317" s="5"/>
      <c r="AM317" s="10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</row>
    <row r="318" spans="1:51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8"/>
      <c r="AI318" s="10"/>
      <c r="AJ318" s="5"/>
      <c r="AK318" s="5"/>
      <c r="AL318" s="5"/>
      <c r="AM318" s="10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</row>
    <row r="319" spans="1:51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8"/>
      <c r="AI319" s="10"/>
      <c r="AJ319" s="5"/>
      <c r="AK319" s="5"/>
      <c r="AL319" s="5"/>
      <c r="AM319" s="10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</row>
    <row r="320" spans="1:51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8"/>
      <c r="AI320" s="10"/>
      <c r="AJ320" s="5"/>
      <c r="AK320" s="5"/>
      <c r="AL320" s="5"/>
      <c r="AM320" s="10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</row>
    <row r="321" spans="1:51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8"/>
      <c r="AI321" s="10"/>
      <c r="AJ321" s="5"/>
      <c r="AK321" s="5"/>
      <c r="AL321" s="5"/>
      <c r="AM321" s="10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</row>
    <row r="322" spans="1:51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8"/>
      <c r="AI322" s="10"/>
      <c r="AJ322" s="5"/>
      <c r="AK322" s="5"/>
      <c r="AL322" s="5"/>
      <c r="AM322" s="10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</row>
    <row r="323" spans="1:51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8"/>
      <c r="AI323" s="10"/>
      <c r="AJ323" s="5"/>
      <c r="AK323" s="5"/>
      <c r="AL323" s="5"/>
      <c r="AM323" s="10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</row>
    <row r="324" spans="1:51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8"/>
      <c r="AI324" s="10"/>
      <c r="AJ324" s="5"/>
      <c r="AK324" s="5"/>
      <c r="AL324" s="5"/>
      <c r="AM324" s="10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</row>
    <row r="325" spans="1:51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8"/>
      <c r="AI325" s="10"/>
      <c r="AJ325" s="5"/>
      <c r="AK325" s="5"/>
      <c r="AL325" s="5"/>
      <c r="AM325" s="10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</row>
    <row r="326" spans="1:51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8"/>
      <c r="AI326" s="10"/>
      <c r="AJ326" s="5"/>
      <c r="AK326" s="5"/>
      <c r="AL326" s="5"/>
      <c r="AM326" s="10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</row>
    <row r="327" spans="1:51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8"/>
      <c r="AI327" s="10"/>
      <c r="AJ327" s="5"/>
      <c r="AK327" s="5"/>
      <c r="AL327" s="5"/>
      <c r="AM327" s="10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</row>
    <row r="328" spans="1:51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8"/>
      <c r="AI328" s="10"/>
      <c r="AJ328" s="5"/>
      <c r="AK328" s="5"/>
      <c r="AL328" s="5"/>
      <c r="AM328" s="10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</row>
    <row r="329" spans="1:51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8"/>
      <c r="AI329" s="10"/>
      <c r="AJ329" s="5"/>
      <c r="AK329" s="5"/>
      <c r="AL329" s="5"/>
      <c r="AM329" s="10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</row>
    <row r="330" spans="1:51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8"/>
      <c r="AI330" s="10"/>
      <c r="AJ330" s="5"/>
      <c r="AK330" s="5"/>
      <c r="AL330" s="5"/>
      <c r="AM330" s="10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</row>
    <row r="331" spans="1:51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8"/>
      <c r="AI331" s="10"/>
      <c r="AJ331" s="5"/>
      <c r="AK331" s="5"/>
      <c r="AL331" s="5"/>
      <c r="AM331" s="10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</row>
    <row r="332" spans="1:51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8"/>
      <c r="AI332" s="10"/>
      <c r="AJ332" s="5"/>
      <c r="AK332" s="5"/>
      <c r="AL332" s="5"/>
      <c r="AM332" s="10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</row>
    <row r="333" spans="1:51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8"/>
      <c r="AI333" s="10"/>
      <c r="AJ333" s="5"/>
      <c r="AK333" s="5"/>
      <c r="AL333" s="5"/>
      <c r="AM333" s="10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</row>
    <row r="334" spans="1:51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8"/>
      <c r="AI334" s="10"/>
      <c r="AJ334" s="5"/>
      <c r="AK334" s="5"/>
      <c r="AL334" s="5"/>
      <c r="AM334" s="10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</row>
    <row r="335" spans="1:51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8"/>
      <c r="AI335" s="10"/>
      <c r="AJ335" s="5"/>
      <c r="AK335" s="5"/>
      <c r="AL335" s="5"/>
      <c r="AM335" s="10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</row>
    <row r="336" spans="1:51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8"/>
      <c r="AI336" s="10"/>
      <c r="AJ336" s="5"/>
      <c r="AK336" s="5"/>
      <c r="AL336" s="5"/>
      <c r="AM336" s="10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</row>
    <row r="337" spans="1:51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8"/>
      <c r="AI337" s="10"/>
      <c r="AJ337" s="5"/>
      <c r="AK337" s="5"/>
      <c r="AL337" s="5"/>
      <c r="AM337" s="10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</row>
    <row r="338" spans="1:51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8"/>
      <c r="AI338" s="10"/>
      <c r="AJ338" s="5"/>
      <c r="AK338" s="5"/>
      <c r="AL338" s="5"/>
      <c r="AM338" s="10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</row>
    <row r="339" spans="1:51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8"/>
      <c r="AI339" s="10"/>
      <c r="AJ339" s="5"/>
      <c r="AK339" s="5"/>
      <c r="AL339" s="5"/>
      <c r="AM339" s="10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</row>
    <row r="340" spans="1:51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8"/>
      <c r="AI340" s="10"/>
      <c r="AJ340" s="5"/>
      <c r="AK340" s="5"/>
      <c r="AL340" s="5"/>
      <c r="AM340" s="10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</row>
    <row r="341" spans="1:51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8"/>
      <c r="AI341" s="10"/>
      <c r="AJ341" s="5"/>
      <c r="AK341" s="5"/>
      <c r="AL341" s="5"/>
      <c r="AM341" s="10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</row>
    <row r="342" spans="1:51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8"/>
      <c r="AI342" s="10"/>
      <c r="AJ342" s="5"/>
      <c r="AK342" s="5"/>
      <c r="AL342" s="5"/>
      <c r="AM342" s="10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</row>
    <row r="343" spans="1:51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8"/>
      <c r="AI343" s="10"/>
      <c r="AJ343" s="5"/>
      <c r="AK343" s="5"/>
      <c r="AL343" s="5"/>
      <c r="AM343" s="10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</row>
    <row r="344" spans="1:51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8"/>
      <c r="AI344" s="10"/>
      <c r="AJ344" s="5"/>
      <c r="AK344" s="5"/>
      <c r="AL344" s="5"/>
      <c r="AM344" s="10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</row>
    <row r="345" spans="1:51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8"/>
      <c r="AI345" s="10"/>
      <c r="AJ345" s="5"/>
      <c r="AK345" s="5"/>
      <c r="AL345" s="5"/>
      <c r="AM345" s="10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</row>
    <row r="346" spans="1:51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8"/>
      <c r="AI346" s="10"/>
      <c r="AJ346" s="5"/>
      <c r="AK346" s="5"/>
      <c r="AL346" s="5"/>
      <c r="AM346" s="10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</row>
    <row r="347" spans="1:51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8"/>
      <c r="AI347" s="10"/>
      <c r="AJ347" s="5"/>
      <c r="AK347" s="5"/>
      <c r="AL347" s="5"/>
      <c r="AM347" s="10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</row>
    <row r="348" spans="1:51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8"/>
      <c r="AI348" s="10"/>
      <c r="AJ348" s="5"/>
      <c r="AK348" s="5"/>
      <c r="AL348" s="5"/>
      <c r="AM348" s="10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</row>
    <row r="349" spans="1:51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8"/>
      <c r="AI349" s="10"/>
      <c r="AJ349" s="5"/>
      <c r="AK349" s="5"/>
      <c r="AL349" s="5"/>
      <c r="AM349" s="10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</row>
    <row r="350" spans="1:51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8"/>
      <c r="AI350" s="10"/>
      <c r="AJ350" s="5"/>
      <c r="AK350" s="5"/>
      <c r="AL350" s="5"/>
      <c r="AM350" s="10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</row>
    <row r="351" spans="1:51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8"/>
      <c r="AI351" s="10"/>
      <c r="AJ351" s="5"/>
      <c r="AK351" s="5"/>
      <c r="AL351" s="5"/>
      <c r="AM351" s="10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</row>
    <row r="352" spans="1:51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8"/>
      <c r="AI352" s="10"/>
      <c r="AJ352" s="5"/>
      <c r="AK352" s="5"/>
      <c r="AL352" s="5"/>
      <c r="AM352" s="10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</row>
    <row r="353" spans="1:51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8"/>
      <c r="AI353" s="10"/>
      <c r="AJ353" s="5"/>
      <c r="AK353" s="5"/>
      <c r="AL353" s="5"/>
      <c r="AM353" s="10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</row>
    <row r="354" spans="1:51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8"/>
      <c r="AI354" s="10"/>
      <c r="AJ354" s="5"/>
      <c r="AK354" s="5"/>
      <c r="AL354" s="5"/>
      <c r="AM354" s="10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</row>
    <row r="355" spans="1:51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8"/>
      <c r="AI355" s="10"/>
      <c r="AJ355" s="5"/>
      <c r="AK355" s="5"/>
      <c r="AL355" s="5"/>
      <c r="AM355" s="10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</row>
    <row r="356" spans="1:51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8"/>
      <c r="AI356" s="10"/>
      <c r="AJ356" s="5"/>
      <c r="AK356" s="5"/>
      <c r="AL356" s="5"/>
      <c r="AM356" s="10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</row>
    <row r="357" spans="1:51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8"/>
      <c r="AI357" s="10"/>
      <c r="AJ357" s="5"/>
      <c r="AK357" s="5"/>
      <c r="AL357" s="5"/>
      <c r="AM357" s="10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</row>
    <row r="358" spans="1:51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8"/>
      <c r="AI358" s="10"/>
      <c r="AJ358" s="5"/>
      <c r="AK358" s="5"/>
      <c r="AL358" s="5"/>
      <c r="AM358" s="10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</row>
    <row r="359" spans="1:51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8"/>
      <c r="AI359" s="10"/>
      <c r="AJ359" s="5"/>
      <c r="AK359" s="5"/>
      <c r="AL359" s="5"/>
      <c r="AM359" s="10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</row>
    <row r="360" spans="1:51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8"/>
      <c r="AI360" s="10"/>
      <c r="AJ360" s="5"/>
      <c r="AK360" s="5"/>
      <c r="AL360" s="5"/>
      <c r="AM360" s="10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</row>
    <row r="361" spans="1:51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8"/>
      <c r="AI361" s="10"/>
      <c r="AJ361" s="5"/>
      <c r="AK361" s="5"/>
      <c r="AL361" s="5"/>
      <c r="AM361" s="10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</row>
    <row r="362" spans="1:51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8"/>
      <c r="AI362" s="10"/>
      <c r="AJ362" s="5"/>
      <c r="AK362" s="5"/>
      <c r="AL362" s="5"/>
      <c r="AM362" s="10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</row>
    <row r="363" spans="1:51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8"/>
      <c r="AI363" s="10"/>
      <c r="AJ363" s="5"/>
      <c r="AK363" s="5"/>
      <c r="AL363" s="5"/>
      <c r="AM363" s="10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</row>
    <row r="364" spans="1:51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8"/>
      <c r="AI364" s="10"/>
      <c r="AJ364" s="5"/>
      <c r="AK364" s="5"/>
      <c r="AL364" s="5"/>
      <c r="AM364" s="10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</row>
    <row r="365" spans="1:51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8"/>
      <c r="AI365" s="10"/>
      <c r="AJ365" s="5"/>
      <c r="AK365" s="5"/>
      <c r="AL365" s="5"/>
      <c r="AM365" s="10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</row>
    <row r="366" spans="1:51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8"/>
      <c r="AI366" s="10"/>
      <c r="AJ366" s="5"/>
      <c r="AK366" s="5"/>
      <c r="AL366" s="5"/>
      <c r="AM366" s="10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</row>
    <row r="367" spans="1:51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8"/>
      <c r="AI367" s="10"/>
      <c r="AJ367" s="5"/>
      <c r="AK367" s="5"/>
      <c r="AL367" s="5"/>
      <c r="AM367" s="10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</row>
    <row r="368" spans="1:51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8"/>
      <c r="AI368" s="10"/>
      <c r="AJ368" s="5"/>
      <c r="AK368" s="5"/>
      <c r="AL368" s="5"/>
      <c r="AM368" s="10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</row>
    <row r="369" spans="1:51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8"/>
      <c r="AI369" s="10"/>
      <c r="AJ369" s="5"/>
      <c r="AK369" s="5"/>
      <c r="AL369" s="5"/>
      <c r="AM369" s="10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</row>
    <row r="370" spans="1:51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8"/>
      <c r="AI370" s="10"/>
      <c r="AJ370" s="5"/>
      <c r="AK370" s="5"/>
      <c r="AL370" s="5"/>
      <c r="AM370" s="10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</row>
    <row r="371" spans="1:51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8"/>
      <c r="AI371" s="10"/>
      <c r="AJ371" s="5"/>
      <c r="AK371" s="5"/>
      <c r="AL371" s="5"/>
      <c r="AM371" s="10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</row>
    <row r="372" spans="1:51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8"/>
      <c r="AI372" s="10"/>
      <c r="AJ372" s="5"/>
      <c r="AK372" s="5"/>
      <c r="AL372" s="5"/>
      <c r="AM372" s="10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</row>
    <row r="373" spans="1:51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8"/>
      <c r="AI373" s="10"/>
      <c r="AJ373" s="5"/>
      <c r="AK373" s="5"/>
      <c r="AL373" s="5"/>
      <c r="AM373" s="10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</row>
    <row r="374" spans="1:51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8"/>
      <c r="AI374" s="10"/>
      <c r="AJ374" s="5"/>
      <c r="AK374" s="5"/>
      <c r="AL374" s="5"/>
      <c r="AM374" s="10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</row>
    <row r="375" spans="1:51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8"/>
      <c r="AI375" s="10"/>
      <c r="AJ375" s="5"/>
      <c r="AK375" s="5"/>
      <c r="AL375" s="5"/>
      <c r="AM375" s="10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</row>
    <row r="376" spans="1:51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8"/>
      <c r="AI376" s="10"/>
      <c r="AJ376" s="5"/>
      <c r="AK376" s="5"/>
      <c r="AL376" s="5"/>
      <c r="AM376" s="10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</row>
    <row r="377" spans="1:51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8"/>
      <c r="AI377" s="10"/>
      <c r="AJ377" s="5"/>
      <c r="AK377" s="5"/>
      <c r="AL377" s="5"/>
      <c r="AM377" s="10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</row>
    <row r="378" spans="1:51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8"/>
      <c r="AI378" s="10"/>
      <c r="AJ378" s="5"/>
      <c r="AK378" s="5"/>
      <c r="AL378" s="5"/>
      <c r="AM378" s="10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</row>
    <row r="379" spans="1:51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8"/>
      <c r="AI379" s="10"/>
      <c r="AJ379" s="5"/>
      <c r="AK379" s="5"/>
      <c r="AL379" s="5"/>
      <c r="AM379" s="10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</row>
    <row r="380" spans="1:51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8"/>
      <c r="AI380" s="10"/>
      <c r="AJ380" s="5"/>
      <c r="AK380" s="5"/>
      <c r="AL380" s="5"/>
      <c r="AM380" s="10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</row>
    <row r="381" spans="1:51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8"/>
      <c r="AI381" s="10"/>
      <c r="AJ381" s="5"/>
      <c r="AK381" s="5"/>
      <c r="AL381" s="5"/>
      <c r="AM381" s="10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</row>
    <row r="382" spans="1:51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8"/>
      <c r="AI382" s="10"/>
      <c r="AJ382" s="5"/>
      <c r="AK382" s="5"/>
      <c r="AL382" s="5"/>
      <c r="AM382" s="10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</row>
    <row r="383" spans="1:51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8"/>
      <c r="AI383" s="10"/>
      <c r="AJ383" s="5"/>
      <c r="AK383" s="5"/>
      <c r="AL383" s="5"/>
      <c r="AM383" s="10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</row>
    <row r="384" spans="1:51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8"/>
      <c r="AI384" s="10"/>
      <c r="AJ384" s="5"/>
      <c r="AK384" s="5"/>
      <c r="AL384" s="5"/>
      <c r="AM384" s="10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</row>
    <row r="385" spans="1:51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8"/>
      <c r="AI385" s="10"/>
      <c r="AJ385" s="5"/>
      <c r="AK385" s="5"/>
      <c r="AL385" s="5"/>
      <c r="AM385" s="10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</row>
    <row r="386" spans="1:51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8"/>
      <c r="AI386" s="10"/>
      <c r="AJ386" s="5"/>
      <c r="AK386" s="5"/>
      <c r="AL386" s="5"/>
      <c r="AM386" s="10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</row>
    <row r="387" spans="1:51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8"/>
      <c r="AI387" s="10"/>
      <c r="AJ387" s="5"/>
      <c r="AK387" s="5"/>
      <c r="AL387" s="5"/>
      <c r="AM387" s="10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</row>
    <row r="388" spans="1:51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8"/>
      <c r="AI388" s="10"/>
      <c r="AJ388" s="5"/>
      <c r="AK388" s="5"/>
      <c r="AL388" s="5"/>
      <c r="AM388" s="10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</row>
    <row r="389" spans="1:51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8"/>
      <c r="AI389" s="10"/>
      <c r="AJ389" s="5"/>
      <c r="AK389" s="5"/>
      <c r="AL389" s="5"/>
      <c r="AM389" s="10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</row>
    <row r="390" spans="1:51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8"/>
      <c r="AI390" s="10"/>
      <c r="AJ390" s="5"/>
      <c r="AK390" s="5"/>
      <c r="AL390" s="5"/>
      <c r="AM390" s="10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</row>
    <row r="391" spans="1:51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8"/>
      <c r="AI391" s="10"/>
      <c r="AJ391" s="5"/>
      <c r="AK391" s="5"/>
      <c r="AL391" s="5"/>
      <c r="AM391" s="10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</row>
    <row r="392" spans="1:51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8"/>
      <c r="AI392" s="10"/>
      <c r="AJ392" s="5"/>
      <c r="AK392" s="5"/>
      <c r="AL392" s="5"/>
      <c r="AM392" s="10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</row>
    <row r="393" spans="1:51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8"/>
      <c r="AI393" s="10"/>
      <c r="AJ393" s="5"/>
      <c r="AK393" s="5"/>
      <c r="AL393" s="5"/>
      <c r="AM393" s="10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</row>
    <row r="394" spans="1:51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8"/>
      <c r="AI394" s="10"/>
      <c r="AJ394" s="5"/>
      <c r="AK394" s="5"/>
      <c r="AL394" s="5"/>
      <c r="AM394" s="10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</row>
    <row r="395" spans="1:51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8"/>
      <c r="AI395" s="10"/>
      <c r="AJ395" s="5"/>
      <c r="AK395" s="5"/>
      <c r="AL395" s="5"/>
      <c r="AM395" s="10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</row>
    <row r="396" spans="1:51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8"/>
      <c r="AI396" s="10"/>
      <c r="AJ396" s="5"/>
      <c r="AK396" s="5"/>
      <c r="AL396" s="5"/>
      <c r="AM396" s="10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</row>
    <row r="397" spans="1:51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8"/>
      <c r="AI397" s="10"/>
      <c r="AJ397" s="5"/>
      <c r="AK397" s="5"/>
      <c r="AL397" s="5"/>
      <c r="AM397" s="10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</row>
    <row r="398" spans="1:51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8"/>
      <c r="AI398" s="10"/>
      <c r="AJ398" s="5"/>
      <c r="AK398" s="5"/>
      <c r="AL398" s="5"/>
      <c r="AM398" s="10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</row>
    <row r="399" spans="1:51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8"/>
      <c r="AI399" s="10"/>
      <c r="AJ399" s="5"/>
      <c r="AK399" s="5"/>
      <c r="AL399" s="5"/>
      <c r="AM399" s="10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</row>
    <row r="400" spans="1:51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8"/>
      <c r="AI400" s="10"/>
      <c r="AJ400" s="5"/>
      <c r="AK400" s="5"/>
      <c r="AL400" s="5"/>
      <c r="AM400" s="10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</row>
    <row r="401" spans="1:51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8"/>
      <c r="AI401" s="10"/>
      <c r="AJ401" s="5"/>
      <c r="AK401" s="5"/>
      <c r="AL401" s="5"/>
      <c r="AM401" s="10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</row>
    <row r="402" spans="1:51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8"/>
      <c r="AI402" s="10"/>
      <c r="AJ402" s="5"/>
      <c r="AK402" s="5"/>
      <c r="AL402" s="5"/>
      <c r="AM402" s="10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</row>
    <row r="403" spans="1:51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8"/>
      <c r="AI403" s="10"/>
      <c r="AJ403" s="5"/>
      <c r="AK403" s="5"/>
      <c r="AL403" s="5"/>
      <c r="AM403" s="10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</row>
    <row r="404" spans="1:51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8"/>
      <c r="AI404" s="10"/>
      <c r="AJ404" s="5"/>
      <c r="AK404" s="5"/>
      <c r="AL404" s="5"/>
      <c r="AM404" s="10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</row>
    <row r="405" spans="1:51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8"/>
      <c r="AI405" s="10"/>
      <c r="AJ405" s="5"/>
      <c r="AK405" s="5"/>
      <c r="AL405" s="5"/>
      <c r="AM405" s="10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</row>
    <row r="406" spans="1:51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8"/>
      <c r="AI406" s="10"/>
      <c r="AJ406" s="5"/>
      <c r="AK406" s="5"/>
      <c r="AL406" s="5"/>
      <c r="AM406" s="10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</row>
    <row r="407" spans="1:51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8"/>
      <c r="AI407" s="10"/>
      <c r="AJ407" s="5"/>
      <c r="AK407" s="5"/>
      <c r="AL407" s="5"/>
      <c r="AM407" s="10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</row>
    <row r="408" spans="1:51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8"/>
      <c r="AI408" s="10"/>
      <c r="AJ408" s="5"/>
      <c r="AK408" s="5"/>
      <c r="AL408" s="5"/>
      <c r="AM408" s="10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</row>
    <row r="409" spans="1:51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8"/>
      <c r="AI409" s="10"/>
      <c r="AJ409" s="5"/>
      <c r="AK409" s="5"/>
      <c r="AL409" s="5"/>
      <c r="AM409" s="10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</row>
    <row r="410" spans="1:51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8"/>
      <c r="AI410" s="10"/>
      <c r="AJ410" s="5"/>
      <c r="AK410" s="5"/>
      <c r="AL410" s="5"/>
      <c r="AM410" s="10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</row>
    <row r="411" spans="1:51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8"/>
      <c r="AI411" s="10"/>
      <c r="AJ411" s="5"/>
      <c r="AK411" s="5"/>
      <c r="AL411" s="5"/>
      <c r="AM411" s="10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</row>
    <row r="412" spans="1:51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8"/>
      <c r="AI412" s="10"/>
      <c r="AJ412" s="5"/>
      <c r="AK412" s="5"/>
      <c r="AL412" s="5"/>
      <c r="AM412" s="10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</row>
    <row r="413" spans="1:51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8"/>
      <c r="AI413" s="10"/>
      <c r="AJ413" s="5"/>
      <c r="AK413" s="5"/>
      <c r="AL413" s="5"/>
      <c r="AM413" s="10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</row>
    <row r="414" spans="1:51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8"/>
      <c r="AI414" s="10"/>
      <c r="AJ414" s="5"/>
      <c r="AK414" s="5"/>
      <c r="AL414" s="5"/>
      <c r="AM414" s="10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</row>
    <row r="415" spans="1:51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8"/>
      <c r="AI415" s="10"/>
      <c r="AJ415" s="5"/>
      <c r="AK415" s="5"/>
      <c r="AL415" s="5"/>
      <c r="AM415" s="10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</row>
    <row r="416" spans="1:51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8"/>
      <c r="AI416" s="10"/>
      <c r="AJ416" s="5"/>
      <c r="AK416" s="5"/>
      <c r="AL416" s="5"/>
      <c r="AM416" s="10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</row>
    <row r="417" spans="1:51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8"/>
      <c r="AI417" s="10"/>
      <c r="AJ417" s="5"/>
      <c r="AK417" s="5"/>
      <c r="AL417" s="5"/>
      <c r="AM417" s="10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</row>
    <row r="418" spans="1:51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8"/>
      <c r="AI418" s="10"/>
      <c r="AJ418" s="5"/>
      <c r="AK418" s="5"/>
      <c r="AL418" s="5"/>
      <c r="AM418" s="10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</row>
    <row r="419" spans="1:51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8"/>
      <c r="AI419" s="10"/>
      <c r="AJ419" s="5"/>
      <c r="AK419" s="5"/>
      <c r="AL419" s="5"/>
      <c r="AM419" s="10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</row>
    <row r="420" spans="1:51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8"/>
      <c r="AI420" s="10"/>
      <c r="AJ420" s="5"/>
      <c r="AK420" s="5"/>
      <c r="AL420" s="5"/>
      <c r="AM420" s="10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</row>
    <row r="421" spans="1:51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8"/>
      <c r="AI421" s="10"/>
      <c r="AJ421" s="5"/>
      <c r="AK421" s="5"/>
      <c r="AL421" s="5"/>
      <c r="AM421" s="10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</row>
    <row r="422" spans="1:51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8"/>
      <c r="AI422" s="10"/>
      <c r="AJ422" s="5"/>
      <c r="AK422" s="5"/>
      <c r="AL422" s="5"/>
      <c r="AM422" s="10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</row>
    <row r="423" spans="1:51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8"/>
      <c r="AI423" s="10"/>
      <c r="AJ423" s="5"/>
      <c r="AK423" s="5"/>
      <c r="AL423" s="5"/>
      <c r="AM423" s="10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</row>
    <row r="424" spans="1:51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8"/>
      <c r="AI424" s="10"/>
      <c r="AJ424" s="5"/>
      <c r="AK424" s="5"/>
      <c r="AL424" s="5"/>
      <c r="AM424" s="10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</row>
    <row r="425" spans="1:51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8"/>
      <c r="AI425" s="10"/>
      <c r="AJ425" s="5"/>
      <c r="AK425" s="5"/>
      <c r="AL425" s="5"/>
      <c r="AM425" s="10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</row>
    <row r="426" spans="1:51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8"/>
      <c r="AI426" s="10"/>
      <c r="AJ426" s="5"/>
      <c r="AK426" s="5"/>
      <c r="AL426" s="5"/>
      <c r="AM426" s="10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</row>
    <row r="427" spans="1:51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8"/>
      <c r="AI427" s="10"/>
      <c r="AJ427" s="5"/>
      <c r="AK427" s="5"/>
      <c r="AL427" s="5"/>
      <c r="AM427" s="10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</row>
    <row r="428" spans="1:51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8"/>
      <c r="AI428" s="10"/>
      <c r="AJ428" s="5"/>
      <c r="AK428" s="5"/>
      <c r="AL428" s="5"/>
      <c r="AM428" s="10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</row>
    <row r="429" spans="1:51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8"/>
      <c r="AI429" s="10"/>
      <c r="AJ429" s="5"/>
      <c r="AK429" s="5"/>
      <c r="AL429" s="5"/>
      <c r="AM429" s="10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</row>
    <row r="430" spans="1:51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8"/>
      <c r="AI430" s="10"/>
      <c r="AJ430" s="5"/>
      <c r="AK430" s="5"/>
      <c r="AL430" s="5"/>
      <c r="AM430" s="10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</row>
    <row r="431" spans="1:51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8"/>
      <c r="AI431" s="10"/>
      <c r="AJ431" s="5"/>
      <c r="AK431" s="5"/>
      <c r="AL431" s="5"/>
      <c r="AM431" s="10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</row>
    <row r="432" spans="1:51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8"/>
      <c r="AI432" s="10"/>
      <c r="AJ432" s="5"/>
      <c r="AK432" s="5"/>
      <c r="AL432" s="5"/>
      <c r="AM432" s="10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</row>
    <row r="433" spans="1:51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8"/>
      <c r="AI433" s="10"/>
      <c r="AJ433" s="5"/>
      <c r="AK433" s="5"/>
      <c r="AL433" s="5"/>
      <c r="AM433" s="10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</row>
    <row r="434" spans="1:51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8"/>
      <c r="AI434" s="10"/>
      <c r="AJ434" s="5"/>
      <c r="AK434" s="5"/>
      <c r="AL434" s="5"/>
      <c r="AM434" s="10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</row>
    <row r="435" spans="1:51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8"/>
      <c r="AI435" s="10"/>
      <c r="AJ435" s="5"/>
      <c r="AK435" s="5"/>
      <c r="AL435" s="5"/>
      <c r="AM435" s="10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</row>
    <row r="436" spans="1:51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8"/>
      <c r="AI436" s="10"/>
      <c r="AJ436" s="5"/>
      <c r="AK436" s="5"/>
      <c r="AL436" s="5"/>
      <c r="AM436" s="10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</row>
    <row r="437" spans="1:51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8"/>
      <c r="AI437" s="10"/>
      <c r="AJ437" s="5"/>
      <c r="AK437" s="5"/>
      <c r="AL437" s="5"/>
      <c r="AM437" s="10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</row>
    <row r="438" spans="1:51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8"/>
      <c r="AI438" s="10"/>
      <c r="AJ438" s="5"/>
      <c r="AK438" s="5"/>
      <c r="AL438" s="5"/>
      <c r="AM438" s="10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</row>
    <row r="439" spans="1:51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8"/>
      <c r="AI439" s="10"/>
      <c r="AJ439" s="5"/>
      <c r="AK439" s="5"/>
      <c r="AL439" s="5"/>
      <c r="AM439" s="10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</row>
    <row r="440" spans="1:51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8"/>
      <c r="AI440" s="10"/>
      <c r="AJ440" s="5"/>
      <c r="AK440" s="5"/>
      <c r="AL440" s="5"/>
      <c r="AM440" s="10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</row>
    <row r="441" spans="1:51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8"/>
      <c r="AI441" s="10"/>
      <c r="AJ441" s="5"/>
      <c r="AK441" s="5"/>
      <c r="AL441" s="5"/>
      <c r="AM441" s="10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</row>
    <row r="442" spans="1:51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8"/>
      <c r="AI442" s="10"/>
      <c r="AJ442" s="5"/>
      <c r="AK442" s="5"/>
      <c r="AL442" s="5"/>
      <c r="AM442" s="10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</row>
    <row r="443" spans="1:51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8"/>
      <c r="AI443" s="10"/>
      <c r="AJ443" s="5"/>
      <c r="AK443" s="5"/>
      <c r="AL443" s="5"/>
      <c r="AM443" s="10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</row>
    <row r="444" spans="1:51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8"/>
      <c r="AI444" s="10"/>
      <c r="AJ444" s="5"/>
      <c r="AK444" s="5"/>
      <c r="AL444" s="5"/>
      <c r="AM444" s="10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</row>
    <row r="445" spans="1:51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8"/>
      <c r="AI445" s="10"/>
      <c r="AJ445" s="5"/>
      <c r="AK445" s="5"/>
      <c r="AL445" s="5"/>
      <c r="AM445" s="10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</row>
    <row r="446" spans="1:51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8"/>
      <c r="AI446" s="10"/>
      <c r="AJ446" s="5"/>
      <c r="AK446" s="5"/>
      <c r="AL446" s="5"/>
      <c r="AM446" s="10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</row>
    <row r="447" spans="1:51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8"/>
      <c r="AI447" s="10"/>
      <c r="AJ447" s="5"/>
      <c r="AK447" s="5"/>
      <c r="AL447" s="5"/>
      <c r="AM447" s="10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</row>
    <row r="448" spans="1:51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8"/>
      <c r="AI448" s="10"/>
      <c r="AJ448" s="5"/>
      <c r="AK448" s="5"/>
      <c r="AL448" s="5"/>
      <c r="AM448" s="10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</row>
    <row r="449" spans="1:51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8"/>
      <c r="AI449" s="10"/>
      <c r="AJ449" s="5"/>
      <c r="AK449" s="5"/>
      <c r="AL449" s="5"/>
      <c r="AM449" s="10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</row>
    <row r="450" spans="1:51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8"/>
      <c r="AI450" s="10"/>
      <c r="AJ450" s="5"/>
      <c r="AK450" s="5"/>
      <c r="AL450" s="5"/>
      <c r="AM450" s="10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</row>
    <row r="451" spans="1:51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8"/>
      <c r="AI451" s="10"/>
      <c r="AJ451" s="5"/>
      <c r="AK451" s="5"/>
      <c r="AL451" s="5"/>
      <c r="AM451" s="10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</row>
    <row r="452" spans="1:51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8"/>
      <c r="AI452" s="10"/>
      <c r="AJ452" s="5"/>
      <c r="AK452" s="5"/>
      <c r="AL452" s="5"/>
      <c r="AM452" s="10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</row>
    <row r="453" spans="1:51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8"/>
      <c r="AI453" s="10"/>
      <c r="AJ453" s="5"/>
      <c r="AK453" s="5"/>
      <c r="AL453" s="5"/>
      <c r="AM453" s="10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</row>
    <row r="454" spans="1:51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8"/>
      <c r="AI454" s="10"/>
      <c r="AJ454" s="5"/>
      <c r="AK454" s="5"/>
      <c r="AL454" s="5"/>
      <c r="AM454" s="10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</row>
    <row r="455" spans="1:51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8"/>
      <c r="AI455" s="10"/>
      <c r="AJ455" s="5"/>
      <c r="AK455" s="5"/>
      <c r="AL455" s="5"/>
      <c r="AM455" s="10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</row>
    <row r="456" spans="1:51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8"/>
      <c r="AI456" s="10"/>
      <c r="AJ456" s="5"/>
      <c r="AK456" s="5"/>
      <c r="AL456" s="5"/>
      <c r="AM456" s="10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</row>
    <row r="457" spans="1:51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8"/>
      <c r="AI457" s="10"/>
      <c r="AJ457" s="5"/>
      <c r="AK457" s="5"/>
      <c r="AL457" s="5"/>
      <c r="AM457" s="10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</row>
    <row r="458" spans="1:51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8"/>
      <c r="AI458" s="10"/>
      <c r="AJ458" s="5"/>
      <c r="AK458" s="5"/>
      <c r="AL458" s="5"/>
      <c r="AM458" s="10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</row>
    <row r="459" spans="1:51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8"/>
      <c r="AI459" s="10"/>
      <c r="AJ459" s="5"/>
      <c r="AK459" s="5"/>
      <c r="AL459" s="5"/>
      <c r="AM459" s="10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</row>
    <row r="460" spans="1:51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8"/>
      <c r="AI460" s="10"/>
      <c r="AJ460" s="5"/>
      <c r="AK460" s="5"/>
      <c r="AL460" s="5"/>
      <c r="AM460" s="10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</row>
    <row r="461" spans="1:51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8"/>
      <c r="AI461" s="10"/>
      <c r="AJ461" s="5"/>
      <c r="AK461" s="5"/>
      <c r="AL461" s="5"/>
      <c r="AM461" s="10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</row>
    <row r="462" spans="1:51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8"/>
      <c r="AI462" s="10"/>
      <c r="AJ462" s="5"/>
      <c r="AK462" s="5"/>
      <c r="AL462" s="5"/>
      <c r="AM462" s="10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</row>
    <row r="463" spans="1:51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8"/>
      <c r="AI463" s="10"/>
      <c r="AJ463" s="5"/>
      <c r="AK463" s="5"/>
      <c r="AL463" s="5"/>
      <c r="AM463" s="10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</row>
    <row r="464" spans="1:51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8"/>
      <c r="AI464" s="10"/>
      <c r="AJ464" s="5"/>
      <c r="AK464" s="5"/>
      <c r="AL464" s="5"/>
      <c r="AM464" s="10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</row>
    <row r="465" spans="1:51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8"/>
      <c r="AI465" s="10"/>
      <c r="AJ465" s="5"/>
      <c r="AK465" s="5"/>
      <c r="AL465" s="5"/>
      <c r="AM465" s="10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</row>
    <row r="466" spans="1:51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8"/>
      <c r="AI466" s="10"/>
      <c r="AJ466" s="5"/>
      <c r="AK466" s="5"/>
      <c r="AL466" s="5"/>
      <c r="AM466" s="10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</row>
    <row r="467" spans="1:51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8"/>
      <c r="AI467" s="10"/>
      <c r="AJ467" s="5"/>
      <c r="AK467" s="5"/>
      <c r="AL467" s="5"/>
      <c r="AM467" s="10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</row>
    <row r="468" spans="1:51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8"/>
      <c r="AI468" s="10"/>
      <c r="AJ468" s="5"/>
      <c r="AK468" s="5"/>
      <c r="AL468" s="5"/>
      <c r="AM468" s="10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</row>
    <row r="469" spans="1:51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8"/>
      <c r="AI469" s="10"/>
      <c r="AJ469" s="5"/>
      <c r="AK469" s="5"/>
      <c r="AL469" s="5"/>
      <c r="AM469" s="10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</row>
    <row r="470" spans="1:51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8"/>
      <c r="AI470" s="10"/>
      <c r="AJ470" s="5"/>
      <c r="AK470" s="5"/>
      <c r="AL470" s="5"/>
      <c r="AM470" s="10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</row>
    <row r="471" spans="1:51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8"/>
      <c r="AI471" s="10"/>
      <c r="AJ471" s="5"/>
      <c r="AK471" s="5"/>
      <c r="AL471" s="5"/>
      <c r="AM471" s="10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</row>
    <row r="472" spans="1:51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8"/>
      <c r="AI472" s="10"/>
      <c r="AJ472" s="5"/>
      <c r="AK472" s="5"/>
      <c r="AL472" s="5"/>
      <c r="AM472" s="10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</row>
    <row r="473" spans="1:51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8"/>
      <c r="AI473" s="10"/>
      <c r="AJ473" s="5"/>
      <c r="AK473" s="5"/>
      <c r="AL473" s="5"/>
      <c r="AM473" s="10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</row>
    <row r="474" spans="1:51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8"/>
      <c r="AI474" s="10"/>
      <c r="AJ474" s="5"/>
      <c r="AK474" s="5"/>
      <c r="AL474" s="5"/>
      <c r="AM474" s="10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</row>
    <row r="475" spans="1:51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8"/>
      <c r="AI475" s="10"/>
      <c r="AJ475" s="5"/>
      <c r="AK475" s="5"/>
      <c r="AL475" s="5"/>
      <c r="AM475" s="10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</row>
    <row r="476" spans="1:51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8"/>
      <c r="AI476" s="10"/>
      <c r="AJ476" s="5"/>
      <c r="AK476" s="5"/>
      <c r="AL476" s="5"/>
      <c r="AM476" s="10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</row>
    <row r="477" spans="1:51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8"/>
      <c r="AI477" s="10"/>
      <c r="AJ477" s="5"/>
      <c r="AK477" s="5"/>
      <c r="AL477" s="5"/>
      <c r="AM477" s="10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</row>
    <row r="478" spans="1:51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8"/>
      <c r="AI478" s="10"/>
      <c r="AJ478" s="5"/>
      <c r="AK478" s="5"/>
      <c r="AL478" s="5"/>
      <c r="AM478" s="10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</row>
    <row r="479" spans="1:51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8"/>
      <c r="AI479" s="10"/>
      <c r="AJ479" s="5"/>
      <c r="AK479" s="5"/>
      <c r="AL479" s="5"/>
      <c r="AM479" s="10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</row>
    <row r="480" spans="1:51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8"/>
      <c r="AI480" s="10"/>
      <c r="AJ480" s="5"/>
      <c r="AK480" s="5"/>
      <c r="AL480" s="5"/>
      <c r="AM480" s="10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</row>
    <row r="481" spans="1:51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8"/>
      <c r="AI481" s="10"/>
      <c r="AJ481" s="5"/>
      <c r="AK481" s="5"/>
      <c r="AL481" s="5"/>
      <c r="AM481" s="10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</row>
    <row r="482" spans="1:51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8"/>
      <c r="AI482" s="10"/>
      <c r="AJ482" s="5"/>
      <c r="AK482" s="5"/>
      <c r="AL482" s="5"/>
      <c r="AM482" s="10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</row>
    <row r="483" spans="1:51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8"/>
      <c r="AI483" s="10"/>
      <c r="AJ483" s="5"/>
      <c r="AK483" s="5"/>
      <c r="AL483" s="5"/>
      <c r="AM483" s="10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</row>
    <row r="484" spans="1:51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8"/>
      <c r="AI484" s="10"/>
      <c r="AJ484" s="5"/>
      <c r="AK484" s="5"/>
      <c r="AL484" s="5"/>
      <c r="AM484" s="10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</row>
    <row r="485" spans="1:51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8"/>
      <c r="AI485" s="10"/>
      <c r="AJ485" s="5"/>
      <c r="AK485" s="5"/>
      <c r="AL485" s="5"/>
      <c r="AM485" s="10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</row>
    <row r="486" spans="1:51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8"/>
      <c r="AI486" s="10"/>
      <c r="AJ486" s="5"/>
      <c r="AK486" s="5"/>
      <c r="AL486" s="5"/>
      <c r="AM486" s="10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</row>
    <row r="487" spans="1:51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8"/>
      <c r="AI487" s="10"/>
      <c r="AJ487" s="5"/>
      <c r="AK487" s="5"/>
      <c r="AL487" s="5"/>
      <c r="AM487" s="10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</row>
    <row r="488" spans="1:51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8"/>
      <c r="AI488" s="10"/>
      <c r="AJ488" s="5"/>
      <c r="AK488" s="5"/>
      <c r="AL488" s="5"/>
      <c r="AM488" s="10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</row>
    <row r="489" spans="1:51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8"/>
      <c r="AI489" s="10"/>
      <c r="AJ489" s="5"/>
      <c r="AK489" s="5"/>
      <c r="AL489" s="5"/>
      <c r="AM489" s="10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</row>
    <row r="490" spans="1:51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8"/>
      <c r="AI490" s="10"/>
      <c r="AJ490" s="5"/>
      <c r="AK490" s="5"/>
      <c r="AL490" s="5"/>
      <c r="AM490" s="10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</row>
    <row r="491" spans="1:51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8"/>
      <c r="AI491" s="10"/>
      <c r="AJ491" s="5"/>
      <c r="AK491" s="5"/>
      <c r="AL491" s="5"/>
      <c r="AM491" s="10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</row>
    <row r="492" spans="1:51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8"/>
      <c r="AI492" s="10"/>
      <c r="AJ492" s="5"/>
      <c r="AK492" s="5"/>
      <c r="AL492" s="5"/>
      <c r="AM492" s="10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</row>
    <row r="493" spans="1:51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8"/>
      <c r="AI493" s="10"/>
      <c r="AJ493" s="5"/>
      <c r="AK493" s="5"/>
      <c r="AL493" s="5"/>
      <c r="AM493" s="10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</row>
  </sheetData>
  <autoFilter ref="A3:AM6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2025-12-05T11:10:23Z</dcterms:created>
  <dcterms:modified xsi:type="dcterms:W3CDTF">2025-12-05T11:21:37Z</dcterms:modified>
</cp:coreProperties>
</file>