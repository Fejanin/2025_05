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8E97BD90-05A3-4F7B-8C22-392D666B61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C10" i="1"/>
  <c r="C11" i="1" s="1"/>
  <c r="C16" i="1"/>
  <c r="B16" i="1"/>
  <c r="C15" i="1"/>
  <c r="B15" i="1"/>
  <c r="C14" i="1"/>
  <c r="B14" i="1"/>
  <c r="D10" i="1"/>
  <c r="D11" i="1" s="1"/>
  <c r="F5" i="1" l="1"/>
  <c r="F7" i="1"/>
  <c r="D16" i="1" l="1"/>
  <c r="D15" i="1"/>
  <c r="D14" i="1"/>
  <c r="F8" i="1"/>
  <c r="F9" i="1"/>
  <c r="F6" i="1"/>
  <c r="F4" i="1"/>
  <c r="F2" i="1"/>
  <c r="F3" i="1"/>
  <c r="F10" i="1" l="1"/>
</calcChain>
</file>

<file path=xl/sharedStrings.xml><?xml version="1.0" encoding="utf-8"?>
<sst xmlns="http://schemas.openxmlformats.org/spreadsheetml/2006/main" count="34" uniqueCount="24">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</sst>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145" zoomScaleNormal="145" workbookViewId="0">
      <selection activeCell="K13" sqref="K13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21</v>
      </c>
      <c r="C1" s="4" t="s">
        <v>22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9" si="0">ROUND(B2,1)</f>
        <v>0</v>
      </c>
      <c r="G2" s="2" t="s">
        <v>4</v>
      </c>
    </row>
    <row r="3" spans="1:7" x14ac:dyDescent="0.25">
      <c r="A3" s="1" t="s">
        <v>18</v>
      </c>
      <c r="B3" s="1"/>
      <c r="C3" s="1"/>
      <c r="D3" s="1"/>
      <c r="E3" s="14"/>
      <c r="F3" s="11">
        <f t="shared" si="0"/>
        <v>0</v>
      </c>
      <c r="G3" s="1" t="s">
        <v>4</v>
      </c>
    </row>
    <row r="4" spans="1:7" x14ac:dyDescent="0.25">
      <c r="A4" s="1" t="s">
        <v>16</v>
      </c>
      <c r="B4" s="1">
        <v>3.3919999999999999</v>
      </c>
      <c r="C4" s="1">
        <v>3774</v>
      </c>
      <c r="D4" s="1">
        <v>6</v>
      </c>
      <c r="E4" s="14"/>
      <c r="F4" s="11">
        <f t="shared" si="0"/>
        <v>3.4</v>
      </c>
      <c r="G4" s="1" t="s">
        <v>4</v>
      </c>
    </row>
    <row r="5" spans="1:7" x14ac:dyDescent="0.25">
      <c r="A5" s="1" t="s">
        <v>20</v>
      </c>
      <c r="B5" s="1">
        <v>7.77</v>
      </c>
      <c r="C5" s="1">
        <v>8774</v>
      </c>
      <c r="D5" s="1">
        <v>15</v>
      </c>
      <c r="E5" s="14"/>
      <c r="F5" s="11">
        <f t="shared" si="0"/>
        <v>7.8</v>
      </c>
      <c r="G5" s="1" t="s">
        <v>4</v>
      </c>
    </row>
    <row r="6" spans="1:7" x14ac:dyDescent="0.25">
      <c r="A6" s="1" t="s">
        <v>23</v>
      </c>
      <c r="B6" s="1"/>
      <c r="C6" s="1"/>
      <c r="D6" s="1"/>
      <c r="E6" s="14"/>
      <c r="F6" s="11">
        <f t="shared" si="0"/>
        <v>0</v>
      </c>
      <c r="G6" s="1" t="s">
        <v>4</v>
      </c>
    </row>
    <row r="7" spans="1:7" x14ac:dyDescent="0.25">
      <c r="A7" s="1" t="s">
        <v>19</v>
      </c>
      <c r="B7" s="1">
        <v>5</v>
      </c>
      <c r="C7" s="1">
        <v>5470</v>
      </c>
      <c r="D7" s="1">
        <v>9</v>
      </c>
      <c r="E7" s="14"/>
      <c r="F7" s="11">
        <f t="shared" si="0"/>
        <v>5</v>
      </c>
      <c r="G7" s="1" t="s">
        <v>4</v>
      </c>
    </row>
    <row r="8" spans="1:7" x14ac:dyDescent="0.25">
      <c r="A8" s="1" t="s">
        <v>14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3</v>
      </c>
      <c r="B10" s="1">
        <f>SUM(B2:B9)</f>
        <v>16.161999999999999</v>
      </c>
      <c r="C10" s="1">
        <f>SUM(C2:C9)</f>
        <v>18018</v>
      </c>
      <c r="D10" s="1">
        <f>SUM(D2:D9)</f>
        <v>30</v>
      </c>
      <c r="E10" s="15"/>
      <c r="F10" s="11">
        <f>SUM(F2:F9)</f>
        <v>16.2</v>
      </c>
      <c r="G10" s="1" t="s">
        <v>4</v>
      </c>
    </row>
    <row r="11" spans="1:7" x14ac:dyDescent="0.25">
      <c r="C11" s="16">
        <f>C10/19800</f>
        <v>0.91</v>
      </c>
      <c r="D11" s="16">
        <f>D10/37</f>
        <v>0.81081081081081086</v>
      </c>
    </row>
    <row r="13" spans="1:7" x14ac:dyDescent="0.25">
      <c r="B13" t="s">
        <v>6</v>
      </c>
      <c r="C13" t="s">
        <v>7</v>
      </c>
      <c r="D13" t="s">
        <v>8</v>
      </c>
    </row>
    <row r="14" spans="1:7" x14ac:dyDescent="0.25">
      <c r="A14" s="6" t="s">
        <v>0</v>
      </c>
      <c r="B14">
        <f>SUMIF(E:E,1,B:B)</f>
        <v>0</v>
      </c>
      <c r="C14">
        <f>SUMIF(E:E,1,C:C)</f>
        <v>0</v>
      </c>
      <c r="D14">
        <f>SUMIF(E:E,1,D:D)</f>
        <v>0</v>
      </c>
      <c r="E14" t="s">
        <v>12</v>
      </c>
    </row>
    <row r="15" spans="1:7" x14ac:dyDescent="0.25">
      <c r="A15" s="7" t="s">
        <v>1</v>
      </c>
      <c r="B15">
        <f>SUMIF(E:E,2,B:B)</f>
        <v>0</v>
      </c>
      <c r="C15">
        <f>SUMIF(E:E,2,C:C)</f>
        <v>0</v>
      </c>
      <c r="D15">
        <f>SUMIF(E:E,2,D:D)</f>
        <v>0</v>
      </c>
      <c r="E15" t="s">
        <v>12</v>
      </c>
    </row>
    <row r="16" spans="1:7" x14ac:dyDescent="0.25">
      <c r="A16" s="8" t="s">
        <v>2</v>
      </c>
      <c r="B16">
        <f>SUMIF(E:E,3,B:B)</f>
        <v>0</v>
      </c>
      <c r="C16">
        <f>SUMIF(E:E,3,C:C)</f>
        <v>0</v>
      </c>
      <c r="D16">
        <f>SUMIF(E:E,3,D:D)</f>
        <v>0</v>
      </c>
      <c r="E16" t="s">
        <v>13</v>
      </c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2025-12-02T10:40:43Z</dcterms:modified>
</cp:coreProperties>
</file>