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ПОКОМ КИ Новороссийск\"/>
    </mc:Choice>
  </mc:AlternateContent>
  <xr:revisionPtr revIDLastSave="0" documentId="13_ncr:1_{B1F93887-630C-420E-A4FB-754EA333C7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09" i="1" l="1"/>
  <c r="AF103" i="1"/>
  <c r="AF85" i="1"/>
  <c r="AF26" i="1"/>
  <c r="AF18" i="1"/>
  <c r="M118" i="1"/>
  <c r="P118" i="1" s="1"/>
  <c r="V118" i="1" s="1"/>
  <c r="L118" i="1"/>
  <c r="M117" i="1"/>
  <c r="P117" i="1" s="1"/>
  <c r="L117" i="1"/>
  <c r="M116" i="1"/>
  <c r="P116" i="1" s="1"/>
  <c r="V116" i="1" s="1"/>
  <c r="L116" i="1"/>
  <c r="M115" i="1"/>
  <c r="P115" i="1" s="1"/>
  <c r="U115" i="1" s="1"/>
  <c r="L115" i="1"/>
  <c r="M114" i="1"/>
  <c r="P114" i="1" s="1"/>
  <c r="V114" i="1" s="1"/>
  <c r="L114" i="1"/>
  <c r="M113" i="1"/>
  <c r="P113" i="1" s="1"/>
  <c r="L113" i="1"/>
  <c r="M112" i="1"/>
  <c r="P112" i="1" s="1"/>
  <c r="L112" i="1"/>
  <c r="F111" i="1"/>
  <c r="E111" i="1"/>
  <c r="M111" i="1" s="1"/>
  <c r="P111" i="1" s="1"/>
  <c r="M110" i="1"/>
  <c r="P110" i="1" s="1"/>
  <c r="Q110" i="1" s="1"/>
  <c r="AF110" i="1" s="1"/>
  <c r="L110" i="1"/>
  <c r="M109" i="1"/>
  <c r="P109" i="1" s="1"/>
  <c r="L109" i="1"/>
  <c r="M108" i="1"/>
  <c r="P108" i="1" s="1"/>
  <c r="L108" i="1"/>
  <c r="M107" i="1"/>
  <c r="P107" i="1" s="1"/>
  <c r="Q107" i="1" s="1"/>
  <c r="AF107" i="1" s="1"/>
  <c r="L107" i="1"/>
  <c r="M106" i="1"/>
  <c r="P106" i="1" s="1"/>
  <c r="AF106" i="1" s="1"/>
  <c r="L106" i="1"/>
  <c r="M105" i="1"/>
  <c r="P105" i="1" s="1"/>
  <c r="L105" i="1"/>
  <c r="M104" i="1"/>
  <c r="P104" i="1" s="1"/>
  <c r="L104" i="1"/>
  <c r="M103" i="1"/>
  <c r="P103" i="1" s="1"/>
  <c r="L103" i="1"/>
  <c r="M102" i="1"/>
  <c r="P102" i="1" s="1"/>
  <c r="Q102" i="1" s="1"/>
  <c r="AF102" i="1" s="1"/>
  <c r="L102" i="1"/>
  <c r="M101" i="1"/>
  <c r="P101" i="1" s="1"/>
  <c r="Q101" i="1" s="1"/>
  <c r="AF101" i="1" s="1"/>
  <c r="L101" i="1"/>
  <c r="M100" i="1"/>
  <c r="P100" i="1" s="1"/>
  <c r="L100" i="1"/>
  <c r="M99" i="1"/>
  <c r="P99" i="1" s="1"/>
  <c r="Q99" i="1" s="1"/>
  <c r="L99" i="1"/>
  <c r="M98" i="1"/>
  <c r="P98" i="1" s="1"/>
  <c r="Q98" i="1" s="1"/>
  <c r="L98" i="1"/>
  <c r="M97" i="1"/>
  <c r="P97" i="1" s="1"/>
  <c r="L97" i="1"/>
  <c r="M96" i="1"/>
  <c r="P96" i="1" s="1"/>
  <c r="L96" i="1"/>
  <c r="M95" i="1"/>
  <c r="P95" i="1" s="1"/>
  <c r="AF95" i="1" s="1"/>
  <c r="L95" i="1"/>
  <c r="M94" i="1"/>
  <c r="P94" i="1" s="1"/>
  <c r="Q94" i="1" s="1"/>
  <c r="AF94" i="1" s="1"/>
  <c r="L94" i="1"/>
  <c r="M93" i="1"/>
  <c r="P93" i="1" s="1"/>
  <c r="L93" i="1"/>
  <c r="M92" i="1"/>
  <c r="P92" i="1" s="1"/>
  <c r="L92" i="1"/>
  <c r="M91" i="1"/>
  <c r="P91" i="1" s="1"/>
  <c r="Q91" i="1" s="1"/>
  <c r="AF91" i="1" s="1"/>
  <c r="L91" i="1"/>
  <c r="M90" i="1"/>
  <c r="P90" i="1" s="1"/>
  <c r="Q90" i="1" s="1"/>
  <c r="AF90" i="1" s="1"/>
  <c r="L90" i="1"/>
  <c r="M89" i="1"/>
  <c r="P89" i="1" s="1"/>
  <c r="L89" i="1"/>
  <c r="M88" i="1"/>
  <c r="P88" i="1" s="1"/>
  <c r="L88" i="1"/>
  <c r="M87" i="1"/>
  <c r="P87" i="1" s="1"/>
  <c r="Q87" i="1" s="1"/>
  <c r="AF87" i="1" s="1"/>
  <c r="L87" i="1"/>
  <c r="M86" i="1"/>
  <c r="P86" i="1" s="1"/>
  <c r="Q86" i="1" s="1"/>
  <c r="AF86" i="1" s="1"/>
  <c r="L86" i="1"/>
  <c r="M85" i="1"/>
  <c r="P85" i="1" s="1"/>
  <c r="L85" i="1"/>
  <c r="M84" i="1"/>
  <c r="P84" i="1" s="1"/>
  <c r="L84" i="1"/>
  <c r="N83" i="1"/>
  <c r="N5" i="1" s="1"/>
  <c r="F83" i="1"/>
  <c r="E83" i="1"/>
  <c r="L83" i="1" s="1"/>
  <c r="M82" i="1"/>
  <c r="P82" i="1" s="1"/>
  <c r="V82" i="1" s="1"/>
  <c r="L82" i="1"/>
  <c r="F81" i="1"/>
  <c r="E81" i="1"/>
  <c r="L81" i="1" s="1"/>
  <c r="M80" i="1"/>
  <c r="P80" i="1" s="1"/>
  <c r="V80" i="1" s="1"/>
  <c r="L80" i="1"/>
  <c r="M79" i="1"/>
  <c r="P79" i="1" s="1"/>
  <c r="V79" i="1" s="1"/>
  <c r="L79" i="1"/>
  <c r="M78" i="1"/>
  <c r="P78" i="1" s="1"/>
  <c r="V78" i="1" s="1"/>
  <c r="L78" i="1"/>
  <c r="M77" i="1"/>
  <c r="P77" i="1" s="1"/>
  <c r="V77" i="1" s="1"/>
  <c r="L77" i="1"/>
  <c r="M76" i="1"/>
  <c r="P76" i="1" s="1"/>
  <c r="V76" i="1" s="1"/>
  <c r="L76" i="1"/>
  <c r="M75" i="1"/>
  <c r="P75" i="1" s="1"/>
  <c r="L75" i="1"/>
  <c r="M74" i="1"/>
  <c r="P74" i="1" s="1"/>
  <c r="Q74" i="1" s="1"/>
  <c r="AF74" i="1" s="1"/>
  <c r="L74" i="1"/>
  <c r="M73" i="1"/>
  <c r="P73" i="1" s="1"/>
  <c r="L73" i="1"/>
  <c r="M72" i="1"/>
  <c r="P72" i="1" s="1"/>
  <c r="Q72" i="1" s="1"/>
  <c r="AF72" i="1" s="1"/>
  <c r="L72" i="1"/>
  <c r="AF71" i="1"/>
  <c r="M71" i="1"/>
  <c r="P71" i="1" s="1"/>
  <c r="L71" i="1"/>
  <c r="M70" i="1"/>
  <c r="P70" i="1" s="1"/>
  <c r="AF70" i="1" s="1"/>
  <c r="L70" i="1"/>
  <c r="M69" i="1"/>
  <c r="P69" i="1" s="1"/>
  <c r="Q69" i="1" s="1"/>
  <c r="L69" i="1"/>
  <c r="M68" i="1"/>
  <c r="P68" i="1" s="1"/>
  <c r="Q68" i="1" s="1"/>
  <c r="AF68" i="1" s="1"/>
  <c r="L68" i="1"/>
  <c r="M67" i="1"/>
  <c r="P67" i="1" s="1"/>
  <c r="Q67" i="1" s="1"/>
  <c r="AF67" i="1" s="1"/>
  <c r="L67" i="1"/>
  <c r="M66" i="1"/>
  <c r="P66" i="1" s="1"/>
  <c r="Q66" i="1" s="1"/>
  <c r="AF66" i="1" s="1"/>
  <c r="L66" i="1"/>
  <c r="M65" i="1"/>
  <c r="P65" i="1" s="1"/>
  <c r="L65" i="1"/>
  <c r="M64" i="1"/>
  <c r="P64" i="1" s="1"/>
  <c r="AF64" i="1" s="1"/>
  <c r="L64" i="1"/>
  <c r="AF63" i="1"/>
  <c r="M63" i="1"/>
  <c r="P63" i="1" s="1"/>
  <c r="L63" i="1"/>
  <c r="M62" i="1"/>
  <c r="P62" i="1" s="1"/>
  <c r="Q62" i="1" s="1"/>
  <c r="AF62" i="1" s="1"/>
  <c r="L62" i="1"/>
  <c r="M61" i="1"/>
  <c r="P61" i="1" s="1"/>
  <c r="Q61" i="1" s="1"/>
  <c r="AF61" i="1" s="1"/>
  <c r="L61" i="1"/>
  <c r="M60" i="1"/>
  <c r="P60" i="1" s="1"/>
  <c r="AF60" i="1" s="1"/>
  <c r="L60" i="1"/>
  <c r="M59" i="1"/>
  <c r="P59" i="1" s="1"/>
  <c r="Q59" i="1" s="1"/>
  <c r="AF59" i="1" s="1"/>
  <c r="L59" i="1"/>
  <c r="M58" i="1"/>
  <c r="P58" i="1" s="1"/>
  <c r="Q58" i="1" s="1"/>
  <c r="AF58" i="1" s="1"/>
  <c r="L58" i="1"/>
  <c r="F57" i="1"/>
  <c r="E57" i="1"/>
  <c r="M57" i="1" s="1"/>
  <c r="P57" i="1" s="1"/>
  <c r="M56" i="1"/>
  <c r="P56" i="1" s="1"/>
  <c r="AF56" i="1" s="1"/>
  <c r="L56" i="1"/>
  <c r="M55" i="1"/>
  <c r="P55" i="1" s="1"/>
  <c r="L55" i="1"/>
  <c r="M54" i="1"/>
  <c r="P54" i="1" s="1"/>
  <c r="Q54" i="1" s="1"/>
  <c r="L54" i="1"/>
  <c r="M53" i="1"/>
  <c r="P53" i="1" s="1"/>
  <c r="Q53" i="1" s="1"/>
  <c r="L53" i="1"/>
  <c r="F52" i="1"/>
  <c r="AF52" i="1" s="1"/>
  <c r="E52" i="1"/>
  <c r="M52" i="1" s="1"/>
  <c r="P52" i="1" s="1"/>
  <c r="M51" i="1"/>
  <c r="P51" i="1" s="1"/>
  <c r="Q51" i="1" s="1"/>
  <c r="AF51" i="1" s="1"/>
  <c r="L51" i="1"/>
  <c r="F50" i="1"/>
  <c r="E50" i="1"/>
  <c r="M50" i="1" s="1"/>
  <c r="P50" i="1" s="1"/>
  <c r="AF50" i="1" s="1"/>
  <c r="M49" i="1"/>
  <c r="P49" i="1" s="1"/>
  <c r="Q49" i="1" s="1"/>
  <c r="AF49" i="1" s="1"/>
  <c r="L49" i="1"/>
  <c r="M48" i="1"/>
  <c r="P48" i="1" s="1"/>
  <c r="AF48" i="1" s="1"/>
  <c r="L48" i="1"/>
  <c r="M47" i="1"/>
  <c r="P47" i="1" s="1"/>
  <c r="L47" i="1"/>
  <c r="F47" i="1"/>
  <c r="V47" i="1" s="1"/>
  <c r="M46" i="1"/>
  <c r="P46" i="1" s="1"/>
  <c r="L46" i="1"/>
  <c r="M45" i="1"/>
  <c r="P45" i="1" s="1"/>
  <c r="L45" i="1"/>
  <c r="M44" i="1"/>
  <c r="P44" i="1" s="1"/>
  <c r="Q44" i="1" s="1"/>
  <c r="AF44" i="1" s="1"/>
  <c r="L44" i="1"/>
  <c r="M43" i="1"/>
  <c r="P43" i="1" s="1"/>
  <c r="L43" i="1"/>
  <c r="M42" i="1"/>
  <c r="P42" i="1" s="1"/>
  <c r="L42" i="1"/>
  <c r="M41" i="1"/>
  <c r="P41" i="1" s="1"/>
  <c r="L41" i="1"/>
  <c r="M40" i="1"/>
  <c r="P40" i="1" s="1"/>
  <c r="Q40" i="1" s="1"/>
  <c r="AF40" i="1" s="1"/>
  <c r="L40" i="1"/>
  <c r="M39" i="1"/>
  <c r="P39" i="1" s="1"/>
  <c r="Q39" i="1" s="1"/>
  <c r="AF39" i="1" s="1"/>
  <c r="L39" i="1"/>
  <c r="M38" i="1"/>
  <c r="P38" i="1" s="1"/>
  <c r="Q38" i="1" s="1"/>
  <c r="AF38" i="1" s="1"/>
  <c r="L38" i="1"/>
  <c r="M37" i="1"/>
  <c r="P37" i="1" s="1"/>
  <c r="Q37" i="1" s="1"/>
  <c r="AF37" i="1" s="1"/>
  <c r="L37" i="1"/>
  <c r="M36" i="1"/>
  <c r="P36" i="1" s="1"/>
  <c r="Q36" i="1" s="1"/>
  <c r="AF36" i="1" s="1"/>
  <c r="L36" i="1"/>
  <c r="M35" i="1"/>
  <c r="P35" i="1" s="1"/>
  <c r="Q35" i="1" s="1"/>
  <c r="L35" i="1"/>
  <c r="M34" i="1"/>
  <c r="P34" i="1" s="1"/>
  <c r="AF34" i="1" s="1"/>
  <c r="L34" i="1"/>
  <c r="M33" i="1"/>
  <c r="P33" i="1" s="1"/>
  <c r="AF33" i="1" s="1"/>
  <c r="L33" i="1"/>
  <c r="M32" i="1"/>
  <c r="P32" i="1" s="1"/>
  <c r="U32" i="1" s="1"/>
  <c r="L32" i="1"/>
  <c r="M31" i="1"/>
  <c r="P31" i="1" s="1"/>
  <c r="L31" i="1"/>
  <c r="M30" i="1"/>
  <c r="P30" i="1" s="1"/>
  <c r="Q30" i="1" s="1"/>
  <c r="AF30" i="1" s="1"/>
  <c r="L30" i="1"/>
  <c r="M29" i="1"/>
  <c r="P29" i="1" s="1"/>
  <c r="L29" i="1"/>
  <c r="M28" i="1"/>
  <c r="P28" i="1" s="1"/>
  <c r="L28" i="1"/>
  <c r="M27" i="1"/>
  <c r="P27" i="1" s="1"/>
  <c r="L27" i="1"/>
  <c r="M26" i="1"/>
  <c r="P26" i="1" s="1"/>
  <c r="L26" i="1"/>
  <c r="M25" i="1"/>
  <c r="P25" i="1" s="1"/>
  <c r="L25" i="1"/>
  <c r="F24" i="1"/>
  <c r="E24" i="1"/>
  <c r="M24" i="1" s="1"/>
  <c r="P24" i="1" s="1"/>
  <c r="M23" i="1"/>
  <c r="P23" i="1" s="1"/>
  <c r="L23" i="1"/>
  <c r="M22" i="1"/>
  <c r="P22" i="1" s="1"/>
  <c r="L22" i="1"/>
  <c r="M21" i="1"/>
  <c r="P21" i="1" s="1"/>
  <c r="L21" i="1"/>
  <c r="M20" i="1"/>
  <c r="P20" i="1" s="1"/>
  <c r="L20" i="1"/>
  <c r="M19" i="1"/>
  <c r="P19" i="1" s="1"/>
  <c r="L19" i="1"/>
  <c r="M18" i="1"/>
  <c r="P18" i="1" s="1"/>
  <c r="L18" i="1"/>
  <c r="M17" i="1"/>
  <c r="P17" i="1" s="1"/>
  <c r="L17" i="1"/>
  <c r="M16" i="1"/>
  <c r="P16" i="1" s="1"/>
  <c r="L16" i="1"/>
  <c r="M15" i="1"/>
  <c r="P15" i="1" s="1"/>
  <c r="L15" i="1"/>
  <c r="M14" i="1"/>
  <c r="P14" i="1" s="1"/>
  <c r="Q14" i="1" s="1"/>
  <c r="AF14" i="1" s="1"/>
  <c r="L14" i="1"/>
  <c r="M13" i="1"/>
  <c r="P13" i="1" s="1"/>
  <c r="L13" i="1"/>
  <c r="M12" i="1"/>
  <c r="P12" i="1" s="1"/>
  <c r="Q12" i="1" s="1"/>
  <c r="AF12" i="1" s="1"/>
  <c r="L12" i="1"/>
  <c r="M11" i="1"/>
  <c r="P11" i="1" s="1"/>
  <c r="Q11" i="1" s="1"/>
  <c r="AF11" i="1" s="1"/>
  <c r="L11" i="1"/>
  <c r="M10" i="1"/>
  <c r="P10" i="1" s="1"/>
  <c r="Q10" i="1" s="1"/>
  <c r="AF10" i="1" s="1"/>
  <c r="L10" i="1"/>
  <c r="M9" i="1"/>
  <c r="P9" i="1" s="1"/>
  <c r="Q9" i="1" s="1"/>
  <c r="AF9" i="1" s="1"/>
  <c r="L9" i="1"/>
  <c r="M8" i="1"/>
  <c r="P8" i="1" s="1"/>
  <c r="Q8" i="1" s="1"/>
  <c r="AF8" i="1" s="1"/>
  <c r="L8" i="1"/>
  <c r="M7" i="1"/>
  <c r="P7" i="1" s="1"/>
  <c r="Q7" i="1" s="1"/>
  <c r="L7" i="1"/>
  <c r="M6" i="1"/>
  <c r="P6" i="1" s="1"/>
  <c r="Q6" i="1" s="1"/>
  <c r="AF6" i="1" s="1"/>
  <c r="L6" i="1"/>
  <c r="AD5" i="1"/>
  <c r="AC5" i="1"/>
  <c r="AB5" i="1"/>
  <c r="AA5" i="1"/>
  <c r="Z5" i="1"/>
  <c r="Y5" i="1"/>
  <c r="X5" i="1"/>
  <c r="W5" i="1"/>
  <c r="T5" i="1"/>
  <c r="R5" i="1"/>
  <c r="O5" i="1"/>
  <c r="K5" i="1"/>
  <c r="AF99" i="1" l="1"/>
  <c r="AF98" i="1"/>
  <c r="AF35" i="1"/>
  <c r="Q93" i="1"/>
  <c r="AF93" i="1" s="1"/>
  <c r="AF54" i="1"/>
  <c r="Q22" i="1"/>
  <c r="AF22" i="1" s="1"/>
  <c r="Q24" i="1"/>
  <c r="AF24" i="1" s="1"/>
  <c r="F5" i="1"/>
  <c r="Q111" i="1"/>
  <c r="AF111" i="1" s="1"/>
  <c r="AF7" i="1"/>
  <c r="Q17" i="1"/>
  <c r="AF17" i="1" s="1"/>
  <c r="U20" i="1"/>
  <c r="AF21" i="1"/>
  <c r="AF25" i="1"/>
  <c r="U29" i="1"/>
  <c r="AF29" i="1"/>
  <c r="Q43" i="1"/>
  <c r="AF43" i="1" s="1"/>
  <c r="AF53" i="1"/>
  <c r="V57" i="1"/>
  <c r="Q57" i="1"/>
  <c r="AF57" i="1" s="1"/>
  <c r="Q77" i="1"/>
  <c r="AF77" i="1" s="1"/>
  <c r="Q89" i="1"/>
  <c r="AF89" i="1" s="1"/>
  <c r="AF97" i="1"/>
  <c r="Q105" i="1"/>
  <c r="AF105" i="1" s="1"/>
  <c r="U14" i="1"/>
  <c r="U15" i="1"/>
  <c r="AF15" i="1"/>
  <c r="U18" i="1"/>
  <c r="Q19" i="1"/>
  <c r="AF19" i="1" s="1"/>
  <c r="U22" i="1"/>
  <c r="U23" i="1"/>
  <c r="AF23" i="1"/>
  <c r="U26" i="1"/>
  <c r="Q27" i="1"/>
  <c r="AF27" i="1" s="1"/>
  <c r="U30" i="1"/>
  <c r="Q31" i="1"/>
  <c r="AF31" i="1" s="1"/>
  <c r="U44" i="1"/>
  <c r="AF45" i="1"/>
  <c r="Q47" i="1"/>
  <c r="AF47" i="1" s="1"/>
  <c r="U55" i="1"/>
  <c r="AF55" i="1"/>
  <c r="U85" i="1"/>
  <c r="U101" i="1"/>
  <c r="U109" i="1"/>
  <c r="Q16" i="1"/>
  <c r="AF16" i="1" s="1"/>
  <c r="AF20" i="1"/>
  <c r="AF28" i="1"/>
  <c r="Q42" i="1"/>
  <c r="AF42" i="1" s="1"/>
  <c r="Q46" i="1"/>
  <c r="AF46" i="1" s="1"/>
  <c r="Q79" i="1"/>
  <c r="AF79" i="1" s="1"/>
  <c r="U87" i="1"/>
  <c r="U91" i="1"/>
  <c r="U95" i="1"/>
  <c r="U99" i="1"/>
  <c r="U103" i="1"/>
  <c r="U107" i="1"/>
  <c r="Q65" i="1"/>
  <c r="AF65" i="1" s="1"/>
  <c r="AF69" i="1"/>
  <c r="Q73" i="1"/>
  <c r="AF73" i="1" s="1"/>
  <c r="Q76" i="1"/>
  <c r="AF76" i="1" s="1"/>
  <c r="Q78" i="1"/>
  <c r="AF78" i="1" s="1"/>
  <c r="Q80" i="1"/>
  <c r="AF80" i="1" s="1"/>
  <c r="Q82" i="1"/>
  <c r="AF82" i="1" s="1"/>
  <c r="Q84" i="1"/>
  <c r="AF84" i="1" s="1"/>
  <c r="AF88" i="1"/>
  <c r="Q92" i="1"/>
  <c r="AF92" i="1" s="1"/>
  <c r="Q96" i="1"/>
  <c r="AF96" i="1" s="1"/>
  <c r="AF100" i="1"/>
  <c r="AF104" i="1"/>
  <c r="AF108" i="1"/>
  <c r="Q112" i="1"/>
  <c r="AF112" i="1" s="1"/>
  <c r="U54" i="1"/>
  <c r="U58" i="1"/>
  <c r="U60" i="1"/>
  <c r="U62" i="1"/>
  <c r="U64" i="1"/>
  <c r="U66" i="1"/>
  <c r="U68" i="1"/>
  <c r="U70" i="1"/>
  <c r="U72" i="1"/>
  <c r="U74" i="1"/>
  <c r="V24" i="1"/>
  <c r="V52" i="1"/>
  <c r="V111" i="1"/>
  <c r="U116" i="1"/>
  <c r="U56" i="1"/>
  <c r="V56" i="1"/>
  <c r="U113" i="1"/>
  <c r="V113" i="1"/>
  <c r="U51" i="1"/>
  <c r="V51" i="1"/>
  <c r="U59" i="1"/>
  <c r="V59" i="1"/>
  <c r="U61" i="1"/>
  <c r="V61" i="1"/>
  <c r="U63" i="1"/>
  <c r="V63" i="1"/>
  <c r="U67" i="1"/>
  <c r="V67" i="1"/>
  <c r="U71" i="1"/>
  <c r="V71" i="1"/>
  <c r="U75" i="1"/>
  <c r="V75" i="1"/>
  <c r="U86" i="1"/>
  <c r="V86" i="1"/>
  <c r="U90" i="1"/>
  <c r="V90" i="1"/>
  <c r="U94" i="1"/>
  <c r="V94" i="1"/>
  <c r="U98" i="1"/>
  <c r="V98" i="1"/>
  <c r="U102" i="1"/>
  <c r="V102" i="1"/>
  <c r="U106" i="1"/>
  <c r="V106" i="1"/>
  <c r="U110" i="1"/>
  <c r="V110" i="1"/>
  <c r="U117" i="1"/>
  <c r="V117" i="1"/>
  <c r="M81" i="1"/>
  <c r="P81" i="1" s="1"/>
  <c r="U82" i="1"/>
  <c r="M83" i="1"/>
  <c r="P83" i="1" s="1"/>
  <c r="V84" i="1"/>
  <c r="V88" i="1"/>
  <c r="V92" i="1"/>
  <c r="V96" i="1"/>
  <c r="V100" i="1"/>
  <c r="V104" i="1"/>
  <c r="V108" i="1"/>
  <c r="U50" i="1"/>
  <c r="V54" i="1"/>
  <c r="V65" i="1"/>
  <c r="V69" i="1"/>
  <c r="V73" i="1"/>
  <c r="V6" i="1"/>
  <c r="U6" i="1"/>
  <c r="V8" i="1"/>
  <c r="U8" i="1"/>
  <c r="V10" i="1"/>
  <c r="U10" i="1"/>
  <c r="V12" i="1"/>
  <c r="U12" i="1"/>
  <c r="V34" i="1"/>
  <c r="U34" i="1"/>
  <c r="V36" i="1"/>
  <c r="U36" i="1"/>
  <c r="V38" i="1"/>
  <c r="U38" i="1"/>
  <c r="V40" i="1"/>
  <c r="U40" i="1"/>
  <c r="V49" i="1"/>
  <c r="U49" i="1"/>
  <c r="V7" i="1"/>
  <c r="U7" i="1"/>
  <c r="V9" i="1"/>
  <c r="U9" i="1"/>
  <c r="V11" i="1"/>
  <c r="U11" i="1"/>
  <c r="V13" i="1"/>
  <c r="U13" i="1"/>
  <c r="V33" i="1"/>
  <c r="U33" i="1"/>
  <c r="V35" i="1"/>
  <c r="U35" i="1"/>
  <c r="V37" i="1"/>
  <c r="U37" i="1"/>
  <c r="V39" i="1"/>
  <c r="U39" i="1"/>
  <c r="V41" i="1"/>
  <c r="U41" i="1"/>
  <c r="V48" i="1"/>
  <c r="U48" i="1"/>
  <c r="V14" i="1"/>
  <c r="V15" i="1"/>
  <c r="V16" i="1"/>
  <c r="V17" i="1"/>
  <c r="V18" i="1"/>
  <c r="V19" i="1"/>
  <c r="V20" i="1"/>
  <c r="V21" i="1"/>
  <c r="V22" i="1"/>
  <c r="V23" i="1"/>
  <c r="L24" i="1"/>
  <c r="V25" i="1"/>
  <c r="V26" i="1"/>
  <c r="V27" i="1"/>
  <c r="V28" i="1"/>
  <c r="V29" i="1"/>
  <c r="V30" i="1"/>
  <c r="V31" i="1"/>
  <c r="V32" i="1"/>
  <c r="V42" i="1"/>
  <c r="V43" i="1"/>
  <c r="V44" i="1"/>
  <c r="V45" i="1"/>
  <c r="V46" i="1"/>
  <c r="L52" i="1"/>
  <c r="L57" i="1"/>
  <c r="L111" i="1"/>
  <c r="E5" i="1"/>
  <c r="L50" i="1"/>
  <c r="V50" i="1"/>
  <c r="U52" i="1"/>
  <c r="V53" i="1"/>
  <c r="V55" i="1"/>
  <c r="V58" i="1"/>
  <c r="V60" i="1"/>
  <c r="V62" i="1"/>
  <c r="V64" i="1"/>
  <c r="V66" i="1"/>
  <c r="V68" i="1"/>
  <c r="V70" i="1"/>
  <c r="V72" i="1"/>
  <c r="V74" i="1"/>
  <c r="V85" i="1"/>
  <c r="V87" i="1"/>
  <c r="V89" i="1"/>
  <c r="V91" i="1"/>
  <c r="V93" i="1"/>
  <c r="V95" i="1"/>
  <c r="V97" i="1"/>
  <c r="V99" i="1"/>
  <c r="V101" i="1"/>
  <c r="V103" i="1"/>
  <c r="V105" i="1"/>
  <c r="V107" i="1"/>
  <c r="V109" i="1"/>
  <c r="V112" i="1"/>
  <c r="U114" i="1"/>
  <c r="V115" i="1"/>
  <c r="U118" i="1"/>
  <c r="U111" i="1" l="1"/>
  <c r="U80" i="1"/>
  <c r="U76" i="1"/>
  <c r="U57" i="1"/>
  <c r="M5" i="1"/>
  <c r="U93" i="1"/>
  <c r="U77" i="1"/>
  <c r="U24" i="1"/>
  <c r="U78" i="1"/>
  <c r="U31" i="1"/>
  <c r="U17" i="1"/>
  <c r="U73" i="1"/>
  <c r="U79" i="1"/>
  <c r="U47" i="1"/>
  <c r="U112" i="1"/>
  <c r="U65" i="1"/>
  <c r="U53" i="1"/>
  <c r="U42" i="1"/>
  <c r="U105" i="1"/>
  <c r="U89" i="1"/>
  <c r="AF83" i="1"/>
  <c r="V81" i="1"/>
  <c r="Q81" i="1"/>
  <c r="AF81" i="1" s="1"/>
  <c r="AF5" i="1" s="1"/>
  <c r="U108" i="1"/>
  <c r="U104" i="1"/>
  <c r="U100" i="1"/>
  <c r="U96" i="1"/>
  <c r="U92" i="1"/>
  <c r="U88" i="1"/>
  <c r="U84" i="1"/>
  <c r="U69" i="1"/>
  <c r="U45" i="1"/>
  <c r="U27" i="1"/>
  <c r="U19" i="1"/>
  <c r="U97" i="1"/>
  <c r="U46" i="1"/>
  <c r="U43" i="1"/>
  <c r="U28" i="1"/>
  <c r="U25" i="1"/>
  <c r="U21" i="1"/>
  <c r="U16" i="1"/>
  <c r="V83" i="1"/>
  <c r="P5" i="1"/>
  <c r="L5" i="1"/>
  <c r="U81" i="1" l="1"/>
  <c r="U83" i="1"/>
  <c r="Q5" i="1"/>
</calcChain>
</file>

<file path=xl/sharedStrings.xml><?xml version="1.0" encoding="utf-8"?>
<sst xmlns="http://schemas.openxmlformats.org/spreadsheetml/2006/main" count="400" uniqueCount="160">
  <si>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</si>
  <si>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</si>
  <si>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</si>
  <si>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</si>
  <si>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</si>
  <si>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</si>
  <si>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</si>
  <si>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</si>
  <si>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</si>
  <si>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</si>
  <si>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</si>
  <si>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</si>
  <si>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</si>
  <si>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</si>
  <si>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</si>
  <si>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</si>
  <si>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</si>
  <si>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</si>
  <si>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</si>
  <si>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</si>
  <si>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</si>
  <si>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</si>
  <si>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</si>
  <si>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</si>
  <si>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</si>
  <si>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04,12,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</si>
  <si>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</si>
  <si>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</si>
  <si>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</si>
  <si>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</si>
  <si>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</si>
  <si>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</si>
  <si>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</si>
  <si>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</si>
  <si>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</si>
  <si>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</si>
  <si>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</si>
  <si>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</si>
  <si>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</si>
  <si>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</si>
  <si>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</si>
  <si>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</si>
  <si>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</si>
  <si>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</si>
  <si>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</si>
  <si>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</si>
  <si>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</si>
  <si>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</si>
  <si>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</si>
  <si>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</si>
  <si>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</si>
  <si>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</si>
  <si>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</si>
  <si>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</si>
  <si>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</si>
  <si>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</si>
  <si>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</si>
  <si>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</si>
  <si>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</si>
  <si>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</si>
  <si>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</si>
  <si>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</si>
  <si>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</si>
  <si>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</si>
  <si>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</si>
  <si>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</si>
  <si>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</si>
  <si>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</si>
  <si>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>не в матрице</t>
  </si>
  <si>
    <t xml:space="preserve"> 434  Колбаса Сервелат Кремлевский в вакуумной упаковке ТМ Стародворье.ВЕС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</si>
  <si>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</si>
  <si>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</si>
  <si>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</si>
  <si>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</si>
  <si>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</si>
  <si>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</si>
  <si>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</si>
  <si>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</si>
  <si>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</si>
  <si>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</si>
  <si>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</si>
  <si>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</si>
  <si>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</si>
  <si>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</si>
  <si>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</si>
  <si>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</si>
  <si>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</si>
  <si>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</si>
  <si>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</si>
  <si>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</si>
  <si>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</si>
  <si>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</si>
  <si>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</si>
  <si>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</si>
  <si>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</si>
  <si>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</si>
  <si>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</si>
  <si>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</si>
  <si>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</si>
  <si>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</si>
  <si>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</si>
  <si>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</si>
  <si>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</si>
  <si>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</si>
  <si>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</si>
  <si>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</si>
  <si>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</si>
  <si>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</si>
  <si>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</si>
  <si>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ВНИМАНИЕ / матрица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</si>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</sst>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5" borderId="2" xfId="1" applyNumberFormat="1" applyFill="1" applyBorder="1"/>
    <xf numFmtId="164" fontId="6" fillId="10" borderId="1" xfId="1" applyNumberFormat="1" applyFont="1" applyFill="1"/>
    <xf numFmtId="164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19" width="21" customWidth="1"/>
    <col min="20" max="20" width="7" customWidth="1"/>
    <col min="21" max="22" width="5" customWidth="1"/>
    <col min="23" max="30" width="6" customWidth="1"/>
    <col min="31" max="31" width="39.85546875" customWidth="1"/>
    <col min="32" max="32" width="7" customWidth="1"/>
    <col min="33" max="51" width="3" customWidth="1"/>
  </cols>
  <sheetData>
    <row r="1" spans="1:51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</row>
    <row r="2" spans="1:51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9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</row>
    <row r="4" spans="1:51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25</v>
      </c>
      <c r="P4" s="10" t="s">
        <v>26</v>
      </c>
      <c r="Q4" s="10"/>
      <c r="R4" s="10"/>
      <c r="S4" s="10"/>
      <c r="T4" s="10"/>
      <c r="U4" s="10"/>
      <c r="V4" s="10"/>
      <c r="W4" s="10" t="s">
        <v>27</v>
      </c>
      <c r="X4" s="10" t="s">
        <v>28</v>
      </c>
      <c r="Y4" s="10" t="s">
        <v>29</v>
      </c>
      <c r="Z4" s="10" t="s">
        <v>30</v>
      </c>
      <c r="AA4" s="10" t="s">
        <v>31</v>
      </c>
      <c r="AB4" s="10" t="s">
        <v>32</v>
      </c>
      <c r="AC4" s="10" t="s">
        <v>33</v>
      </c>
      <c r="AD4" s="10" t="s">
        <v>34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 spans="1:51" x14ac:dyDescent="0.25">
      <c r="A5" s="10"/>
      <c r="B5" s="10"/>
      <c r="C5" s="10"/>
      <c r="D5" s="10"/>
      <c r="E5" s="3">
        <f>SUM(E6:E500)</f>
        <v>20078.913999999997</v>
      </c>
      <c r="F5" s="3">
        <f>SUM(F6:F500)</f>
        <v>10426.376999999999</v>
      </c>
      <c r="G5" s="7"/>
      <c r="H5" s="10"/>
      <c r="I5" s="10"/>
      <c r="J5" s="10"/>
      <c r="K5" s="3">
        <f t="shared" ref="K5:R5" si="0">SUM(K6:K500)</f>
        <v>21392.996000000003</v>
      </c>
      <c r="L5" s="3">
        <f t="shared" si="0"/>
        <v>-1314.0819999999999</v>
      </c>
      <c r="M5" s="3">
        <f t="shared" si="0"/>
        <v>18055.991999999998</v>
      </c>
      <c r="N5" s="3">
        <f t="shared" si="0"/>
        <v>2022.922</v>
      </c>
      <c r="O5" s="3">
        <f t="shared" si="0"/>
        <v>12662.7788</v>
      </c>
      <c r="P5" s="3">
        <f t="shared" si="0"/>
        <v>3611.1983999999998</v>
      </c>
      <c r="Q5" s="3">
        <f t="shared" si="0"/>
        <v>17312.837999999996</v>
      </c>
      <c r="R5" s="3">
        <f t="shared" si="0"/>
        <v>0</v>
      </c>
      <c r="S5" s="10"/>
      <c r="T5" s="3">
        <f>SUM(T6:T500)</f>
        <v>0</v>
      </c>
      <c r="U5" s="10"/>
      <c r="V5" s="10"/>
      <c r="W5" s="3">
        <f t="shared" ref="W5:AD5" si="1">SUM(W6:W500)</f>
        <v>3035.1418000000003</v>
      </c>
      <c r="X5" s="3">
        <f t="shared" si="1"/>
        <v>3185.3080000000004</v>
      </c>
      <c r="Y5" s="3">
        <f t="shared" si="1"/>
        <v>3252.8807999999999</v>
      </c>
      <c r="Z5" s="3">
        <f t="shared" si="1"/>
        <v>3282.7922000000017</v>
      </c>
      <c r="AA5" s="3">
        <f t="shared" si="1"/>
        <v>3127.1710000000003</v>
      </c>
      <c r="AB5" s="3">
        <f t="shared" si="1"/>
        <v>3153.9887999999992</v>
      </c>
      <c r="AC5" s="3">
        <f t="shared" si="1"/>
        <v>3541.0572000000002</v>
      </c>
      <c r="AD5" s="3">
        <f t="shared" si="1"/>
        <v>3649.8869999999984</v>
      </c>
      <c r="AE5" s="10"/>
      <c r="AF5" s="3">
        <f>SUM(AF6:AF500)</f>
        <v>11410.229000000001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spans="1:51" x14ac:dyDescent="0.25">
      <c r="A6" s="10" t="s">
        <v>35</v>
      </c>
      <c r="B6" s="10" t="s">
        <v>36</v>
      </c>
      <c r="C6" s="10">
        <v>131.33000000000001</v>
      </c>
      <c r="D6" s="10">
        <v>77.817999999999998</v>
      </c>
      <c r="E6" s="10">
        <v>189.191</v>
      </c>
      <c r="F6" s="10">
        <v>2.782</v>
      </c>
      <c r="G6" s="7">
        <v>1</v>
      </c>
      <c r="H6" s="10">
        <v>50</v>
      </c>
      <c r="I6" s="10" t="s">
        <v>37</v>
      </c>
      <c r="J6" s="10"/>
      <c r="K6" s="10">
        <v>204.35</v>
      </c>
      <c r="L6" s="10">
        <f t="shared" ref="L6:L37" si="2">E6-K6</f>
        <v>-15.158999999999992</v>
      </c>
      <c r="M6" s="10">
        <f t="shared" ref="M6:M37" si="3">E6-N6</f>
        <v>189.191</v>
      </c>
      <c r="N6" s="10"/>
      <c r="O6" s="10">
        <v>223.5162</v>
      </c>
      <c r="P6" s="10">
        <f t="shared" ref="P6:P37" si="4">M6/5</f>
        <v>37.838200000000001</v>
      </c>
      <c r="Q6" s="4">
        <f>13*P6-O6-F6</f>
        <v>265.59840000000003</v>
      </c>
      <c r="R6" s="4"/>
      <c r="S6" s="10"/>
      <c r="T6" s="10"/>
      <c r="U6" s="10">
        <f t="shared" ref="U6:U37" si="5">(F6+O6+Q6)/P6</f>
        <v>13</v>
      </c>
      <c r="V6" s="10">
        <f t="shared" ref="V6:V37" si="6">(F6+O6)/P6</f>
        <v>5.9806808991971074</v>
      </c>
      <c r="W6" s="10">
        <v>31.741800000000001</v>
      </c>
      <c r="X6" s="10">
        <v>26.7224</v>
      </c>
      <c r="Y6" s="10">
        <v>27.285399999999999</v>
      </c>
      <c r="Z6" s="10">
        <v>34.533200000000001</v>
      </c>
      <c r="AA6" s="10">
        <v>33.7744</v>
      </c>
      <c r="AB6" s="10">
        <v>30.8446</v>
      </c>
      <c r="AC6" s="10">
        <v>27.9924</v>
      </c>
      <c r="AD6" s="10">
        <v>31.0626</v>
      </c>
      <c r="AE6" s="10"/>
      <c r="AF6" s="10">
        <f t="shared" ref="AF6:AF12" si="7">G6*Q6</f>
        <v>265.59840000000003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7" spans="1:51" x14ac:dyDescent="0.25">
      <c r="A7" s="10" t="s">
        <v>38</v>
      </c>
      <c r="B7" s="10" t="s">
        <v>36</v>
      </c>
      <c r="C7" s="10">
        <v>318.05399999999997</v>
      </c>
      <c r="D7" s="10"/>
      <c r="E7" s="10">
        <v>117.17700000000001</v>
      </c>
      <c r="F7" s="10">
        <v>199.15700000000001</v>
      </c>
      <c r="G7" s="7">
        <v>1</v>
      </c>
      <c r="H7" s="10">
        <v>45</v>
      </c>
      <c r="I7" s="10" t="s">
        <v>37</v>
      </c>
      <c r="J7" s="10"/>
      <c r="K7" s="10">
        <v>108.7</v>
      </c>
      <c r="L7" s="10">
        <f t="shared" si="2"/>
        <v>8.4770000000000039</v>
      </c>
      <c r="M7" s="10">
        <f t="shared" si="3"/>
        <v>117.17700000000001</v>
      </c>
      <c r="N7" s="10"/>
      <c r="O7" s="10">
        <v>0</v>
      </c>
      <c r="P7" s="10">
        <f t="shared" si="4"/>
        <v>23.435400000000001</v>
      </c>
      <c r="Q7" s="4">
        <f t="shared" ref="Q7:Q12" si="8">13*P7-O7-F7</f>
        <v>105.50320000000002</v>
      </c>
      <c r="R7" s="4"/>
      <c r="S7" s="10"/>
      <c r="T7" s="10"/>
      <c r="U7" s="10">
        <f t="shared" si="5"/>
        <v>13</v>
      </c>
      <c r="V7" s="10">
        <f t="shared" si="6"/>
        <v>8.4981267654915218</v>
      </c>
      <c r="W7" s="10">
        <v>20.713999999999999</v>
      </c>
      <c r="X7" s="10">
        <v>28.215199999999999</v>
      </c>
      <c r="Y7" s="10">
        <v>32.243600000000001</v>
      </c>
      <c r="Z7" s="10">
        <v>26.061599999999999</v>
      </c>
      <c r="AA7" s="10">
        <v>12.0296</v>
      </c>
      <c r="AB7" s="10">
        <v>28.118199999999991</v>
      </c>
      <c r="AC7" s="10">
        <v>17.8688</v>
      </c>
      <c r="AD7" s="10">
        <v>22.6038</v>
      </c>
      <c r="AE7" s="10"/>
      <c r="AF7" s="10">
        <f t="shared" si="7"/>
        <v>105.50320000000002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</row>
    <row r="8" spans="1:51" x14ac:dyDescent="0.25">
      <c r="A8" s="10" t="s">
        <v>39</v>
      </c>
      <c r="B8" s="10" t="s">
        <v>36</v>
      </c>
      <c r="C8" s="10">
        <v>54.697000000000003</v>
      </c>
      <c r="D8" s="10">
        <v>107.596</v>
      </c>
      <c r="E8" s="10">
        <v>55.472999999999999</v>
      </c>
      <c r="F8" s="10">
        <v>100.041</v>
      </c>
      <c r="G8" s="7">
        <v>1</v>
      </c>
      <c r="H8" s="10">
        <v>45</v>
      </c>
      <c r="I8" s="10" t="s">
        <v>37</v>
      </c>
      <c r="J8" s="10"/>
      <c r="K8" s="10">
        <v>60.6</v>
      </c>
      <c r="L8" s="10">
        <f t="shared" si="2"/>
        <v>-5.1270000000000024</v>
      </c>
      <c r="M8" s="10">
        <f t="shared" si="3"/>
        <v>55.472999999999999</v>
      </c>
      <c r="N8" s="10"/>
      <c r="O8" s="10">
        <v>0</v>
      </c>
      <c r="P8" s="10">
        <f t="shared" si="4"/>
        <v>11.0946</v>
      </c>
      <c r="Q8" s="4">
        <f t="shared" si="8"/>
        <v>44.188800000000015</v>
      </c>
      <c r="R8" s="4"/>
      <c r="S8" s="10"/>
      <c r="T8" s="10"/>
      <c r="U8" s="10">
        <f t="shared" si="5"/>
        <v>13.000000000000002</v>
      </c>
      <c r="V8" s="10">
        <f t="shared" si="6"/>
        <v>9.0170893948407329</v>
      </c>
      <c r="W8" s="10">
        <v>11.011200000000001</v>
      </c>
      <c r="X8" s="10">
        <v>16.182200000000002</v>
      </c>
      <c r="Y8" s="10">
        <v>13.6448</v>
      </c>
      <c r="Z8" s="10">
        <v>16.626000000000001</v>
      </c>
      <c r="AA8" s="10">
        <v>18.6386</v>
      </c>
      <c r="AB8" s="10">
        <v>18.914000000000001</v>
      </c>
      <c r="AC8" s="10">
        <v>15.503399999999999</v>
      </c>
      <c r="AD8" s="10">
        <v>16.372599999999998</v>
      </c>
      <c r="AE8" s="10"/>
      <c r="AF8" s="10">
        <f t="shared" si="7"/>
        <v>44.188800000000015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1:51" x14ac:dyDescent="0.25">
      <c r="A9" s="10" t="s">
        <v>40</v>
      </c>
      <c r="B9" s="10" t="s">
        <v>41</v>
      </c>
      <c r="C9" s="10">
        <v>309</v>
      </c>
      <c r="D9" s="10">
        <v>306</v>
      </c>
      <c r="E9" s="10">
        <v>385</v>
      </c>
      <c r="F9" s="10">
        <v>182</v>
      </c>
      <c r="G9" s="7">
        <v>0.4</v>
      </c>
      <c r="H9" s="10">
        <v>50</v>
      </c>
      <c r="I9" s="10" t="s">
        <v>37</v>
      </c>
      <c r="J9" s="10"/>
      <c r="K9" s="10">
        <v>433</v>
      </c>
      <c r="L9" s="10">
        <f t="shared" si="2"/>
        <v>-48</v>
      </c>
      <c r="M9" s="10">
        <f t="shared" si="3"/>
        <v>385</v>
      </c>
      <c r="N9" s="10"/>
      <c r="O9" s="10">
        <v>400</v>
      </c>
      <c r="P9" s="10">
        <f t="shared" si="4"/>
        <v>77</v>
      </c>
      <c r="Q9" s="4">
        <f t="shared" si="8"/>
        <v>419</v>
      </c>
      <c r="R9" s="4"/>
      <c r="S9" s="10"/>
      <c r="T9" s="10"/>
      <c r="U9" s="10">
        <f t="shared" si="5"/>
        <v>13</v>
      </c>
      <c r="V9" s="10">
        <f t="shared" si="6"/>
        <v>7.5584415584415581</v>
      </c>
      <c r="W9" s="10">
        <v>70.2</v>
      </c>
      <c r="X9" s="10">
        <v>67</v>
      </c>
      <c r="Y9" s="10">
        <v>83.8</v>
      </c>
      <c r="Z9" s="10">
        <v>73.400000000000006</v>
      </c>
      <c r="AA9" s="10">
        <v>79</v>
      </c>
      <c r="AB9" s="10">
        <v>66.400000000000006</v>
      </c>
      <c r="AC9" s="10">
        <v>86.2</v>
      </c>
      <c r="AD9" s="10">
        <v>75.599999999999994</v>
      </c>
      <c r="AE9" s="10"/>
      <c r="AF9" s="10">
        <f t="shared" si="7"/>
        <v>167.60000000000002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</row>
    <row r="10" spans="1:51" x14ac:dyDescent="0.25">
      <c r="A10" s="10" t="s">
        <v>42</v>
      </c>
      <c r="B10" s="10" t="s">
        <v>41</v>
      </c>
      <c r="C10" s="10">
        <v>273</v>
      </c>
      <c r="D10" s="10">
        <v>3</v>
      </c>
      <c r="E10" s="10">
        <v>200</v>
      </c>
      <c r="F10" s="10">
        <v>45</v>
      </c>
      <c r="G10" s="7">
        <v>0.45</v>
      </c>
      <c r="H10" s="10">
        <v>45</v>
      </c>
      <c r="I10" s="10" t="s">
        <v>37</v>
      </c>
      <c r="J10" s="10"/>
      <c r="K10" s="10">
        <v>231</v>
      </c>
      <c r="L10" s="10">
        <f t="shared" si="2"/>
        <v>-31</v>
      </c>
      <c r="M10" s="10">
        <f t="shared" si="3"/>
        <v>200</v>
      </c>
      <c r="N10" s="10"/>
      <c r="O10" s="10">
        <v>215.8</v>
      </c>
      <c r="P10" s="10">
        <f t="shared" si="4"/>
        <v>40</v>
      </c>
      <c r="Q10" s="4">
        <f t="shared" si="8"/>
        <v>259.2</v>
      </c>
      <c r="R10" s="4"/>
      <c r="S10" s="10"/>
      <c r="T10" s="10"/>
      <c r="U10" s="10">
        <f t="shared" si="5"/>
        <v>13</v>
      </c>
      <c r="V10" s="10">
        <f t="shared" si="6"/>
        <v>6.5200000000000005</v>
      </c>
      <c r="W10" s="10">
        <v>37.6</v>
      </c>
      <c r="X10" s="10">
        <v>36.4</v>
      </c>
      <c r="Y10" s="10">
        <v>50.6</v>
      </c>
      <c r="Z10" s="10">
        <v>43.4</v>
      </c>
      <c r="AA10" s="10">
        <v>41</v>
      </c>
      <c r="AB10" s="10">
        <v>42</v>
      </c>
      <c r="AC10" s="10">
        <v>51.6</v>
      </c>
      <c r="AD10" s="10">
        <v>48</v>
      </c>
      <c r="AE10" s="10"/>
      <c r="AF10" s="10">
        <f t="shared" si="7"/>
        <v>116.64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</row>
    <row r="11" spans="1:51" x14ac:dyDescent="0.25">
      <c r="A11" s="10" t="s">
        <v>43</v>
      </c>
      <c r="B11" s="10" t="s">
        <v>41</v>
      </c>
      <c r="C11" s="10">
        <v>208</v>
      </c>
      <c r="D11" s="10">
        <v>31</v>
      </c>
      <c r="E11" s="10">
        <v>210</v>
      </c>
      <c r="F11" s="10">
        <v>4</v>
      </c>
      <c r="G11" s="7">
        <v>0.33</v>
      </c>
      <c r="H11" s="10">
        <v>45</v>
      </c>
      <c r="I11" s="10" t="s">
        <v>37</v>
      </c>
      <c r="J11" s="10"/>
      <c r="K11" s="10">
        <v>247</v>
      </c>
      <c r="L11" s="10">
        <f t="shared" si="2"/>
        <v>-37</v>
      </c>
      <c r="M11" s="10">
        <f t="shared" si="3"/>
        <v>210</v>
      </c>
      <c r="N11" s="10"/>
      <c r="O11" s="10">
        <v>291.60000000000002</v>
      </c>
      <c r="P11" s="10">
        <f t="shared" si="4"/>
        <v>42</v>
      </c>
      <c r="Q11" s="4">
        <f t="shared" si="8"/>
        <v>250.39999999999998</v>
      </c>
      <c r="R11" s="4"/>
      <c r="S11" s="10"/>
      <c r="T11" s="10"/>
      <c r="U11" s="10">
        <f t="shared" si="5"/>
        <v>13</v>
      </c>
      <c r="V11" s="10">
        <f t="shared" si="6"/>
        <v>7.0380952380952388</v>
      </c>
      <c r="W11" s="10">
        <v>40.4</v>
      </c>
      <c r="X11" s="10">
        <v>35.4</v>
      </c>
      <c r="Y11" s="10">
        <v>49.2</v>
      </c>
      <c r="Z11" s="10">
        <v>40.4</v>
      </c>
      <c r="AA11" s="10">
        <v>58.4</v>
      </c>
      <c r="AB11" s="10">
        <v>45.2</v>
      </c>
      <c r="AC11" s="10">
        <v>53.2</v>
      </c>
      <c r="AD11" s="10">
        <v>56.6</v>
      </c>
      <c r="AE11" s="10"/>
      <c r="AF11" s="10">
        <f t="shared" si="7"/>
        <v>82.631999999999991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</row>
    <row r="12" spans="1:51" x14ac:dyDescent="0.25">
      <c r="A12" s="10" t="s">
        <v>44</v>
      </c>
      <c r="B12" s="10" t="s">
        <v>41</v>
      </c>
      <c r="C12" s="10">
        <v>122</v>
      </c>
      <c r="D12" s="10">
        <v>92</v>
      </c>
      <c r="E12" s="10">
        <v>137</v>
      </c>
      <c r="F12" s="10">
        <v>60</v>
      </c>
      <c r="G12" s="7">
        <v>0.45</v>
      </c>
      <c r="H12" s="10">
        <v>45</v>
      </c>
      <c r="I12" s="10" t="s">
        <v>37</v>
      </c>
      <c r="J12" s="10"/>
      <c r="K12" s="10">
        <v>154</v>
      </c>
      <c r="L12" s="10">
        <f t="shared" si="2"/>
        <v>-17</v>
      </c>
      <c r="M12" s="10">
        <f t="shared" si="3"/>
        <v>137</v>
      </c>
      <c r="N12" s="10"/>
      <c r="O12" s="10">
        <v>133.19999999999999</v>
      </c>
      <c r="P12" s="10">
        <f t="shared" si="4"/>
        <v>27.4</v>
      </c>
      <c r="Q12" s="4">
        <f t="shared" si="8"/>
        <v>163</v>
      </c>
      <c r="R12" s="4"/>
      <c r="S12" s="10"/>
      <c r="T12" s="10"/>
      <c r="U12" s="10">
        <f t="shared" si="5"/>
        <v>13</v>
      </c>
      <c r="V12" s="10">
        <f t="shared" si="6"/>
        <v>7.0510948905109485</v>
      </c>
      <c r="W12" s="10">
        <v>26.4</v>
      </c>
      <c r="X12" s="10">
        <v>27</v>
      </c>
      <c r="Y12" s="10">
        <v>29.2</v>
      </c>
      <c r="Z12" s="10">
        <v>37.200000000000003</v>
      </c>
      <c r="AA12" s="10">
        <v>28.6</v>
      </c>
      <c r="AB12" s="10">
        <v>30.8</v>
      </c>
      <c r="AC12" s="10">
        <v>36.200000000000003</v>
      </c>
      <c r="AD12" s="10">
        <v>32</v>
      </c>
      <c r="AE12" s="10"/>
      <c r="AF12" s="10">
        <f t="shared" si="7"/>
        <v>73.350000000000009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</row>
    <row r="13" spans="1:51" x14ac:dyDescent="0.25">
      <c r="A13" s="17" t="s">
        <v>45</v>
      </c>
      <c r="B13" s="17" t="s">
        <v>41</v>
      </c>
      <c r="C13" s="17"/>
      <c r="D13" s="17"/>
      <c r="E13" s="17"/>
      <c r="F13" s="17"/>
      <c r="G13" s="18">
        <v>0</v>
      </c>
      <c r="H13" s="17">
        <v>40</v>
      </c>
      <c r="I13" s="17" t="s">
        <v>37</v>
      </c>
      <c r="J13" s="17"/>
      <c r="K13" s="17"/>
      <c r="L13" s="17">
        <f t="shared" si="2"/>
        <v>0</v>
      </c>
      <c r="M13" s="17">
        <f t="shared" si="3"/>
        <v>0</v>
      </c>
      <c r="N13" s="17"/>
      <c r="O13" s="17">
        <v>0</v>
      </c>
      <c r="P13" s="17">
        <f t="shared" si="4"/>
        <v>0</v>
      </c>
      <c r="Q13" s="19"/>
      <c r="R13" s="19"/>
      <c r="S13" s="17"/>
      <c r="T13" s="17"/>
      <c r="U13" s="17" t="e">
        <f t="shared" si="5"/>
        <v>#DIV/0!</v>
      </c>
      <c r="V13" s="17" t="e">
        <f t="shared" si="6"/>
        <v>#DIV/0!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 t="s">
        <v>46</v>
      </c>
      <c r="AF13" s="17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</row>
    <row r="14" spans="1:51" x14ac:dyDescent="0.25">
      <c r="A14" s="10" t="s">
        <v>47</v>
      </c>
      <c r="B14" s="10" t="s">
        <v>41</v>
      </c>
      <c r="C14" s="10"/>
      <c r="D14" s="10">
        <v>120</v>
      </c>
      <c r="E14" s="10">
        <v>48</v>
      </c>
      <c r="F14" s="10">
        <v>71</v>
      </c>
      <c r="G14" s="7">
        <v>0.4</v>
      </c>
      <c r="H14" s="10" t="e">
        <v>#N/A</v>
      </c>
      <c r="I14" s="10" t="s">
        <v>37</v>
      </c>
      <c r="J14" s="10"/>
      <c r="K14" s="10">
        <v>49</v>
      </c>
      <c r="L14" s="10">
        <f t="shared" si="2"/>
        <v>-1</v>
      </c>
      <c r="M14" s="10">
        <f t="shared" si="3"/>
        <v>48</v>
      </c>
      <c r="N14" s="10"/>
      <c r="O14" s="10">
        <v>0</v>
      </c>
      <c r="P14" s="10">
        <f t="shared" si="4"/>
        <v>9.6</v>
      </c>
      <c r="Q14" s="4">
        <f t="shared" ref="Q14:Q31" si="9">13*P14-O14-F14</f>
        <v>53.8</v>
      </c>
      <c r="R14" s="4"/>
      <c r="S14" s="10"/>
      <c r="T14" s="10"/>
      <c r="U14" s="10">
        <f t="shared" si="5"/>
        <v>13</v>
      </c>
      <c r="V14" s="10">
        <f t="shared" si="6"/>
        <v>7.3958333333333339</v>
      </c>
      <c r="W14" s="10">
        <v>6</v>
      </c>
      <c r="X14" s="10">
        <v>12</v>
      </c>
      <c r="Y14" s="10">
        <v>6.6</v>
      </c>
      <c r="Z14" s="10">
        <v>6.6</v>
      </c>
      <c r="AA14" s="10">
        <v>7</v>
      </c>
      <c r="AB14" s="10">
        <v>6.6</v>
      </c>
      <c r="AC14" s="10">
        <v>5.2</v>
      </c>
      <c r="AD14" s="10">
        <v>7.2</v>
      </c>
      <c r="AE14" s="10"/>
      <c r="AF14" s="10">
        <f t="shared" ref="AF14:AF31" si="10">G14*Q14</f>
        <v>21.52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1:51" x14ac:dyDescent="0.25">
      <c r="A15" s="10" t="s">
        <v>48</v>
      </c>
      <c r="B15" s="10" t="s">
        <v>41</v>
      </c>
      <c r="C15" s="10">
        <v>110</v>
      </c>
      <c r="D15" s="10"/>
      <c r="E15" s="10">
        <v>60</v>
      </c>
      <c r="F15" s="10">
        <v>50</v>
      </c>
      <c r="G15" s="7">
        <v>0.17</v>
      </c>
      <c r="H15" s="10">
        <v>180</v>
      </c>
      <c r="I15" s="10" t="s">
        <v>37</v>
      </c>
      <c r="J15" s="10"/>
      <c r="K15" s="10">
        <v>59</v>
      </c>
      <c r="L15" s="10">
        <f t="shared" si="2"/>
        <v>1</v>
      </c>
      <c r="M15" s="10">
        <f t="shared" si="3"/>
        <v>60</v>
      </c>
      <c r="N15" s="10"/>
      <c r="O15" s="10">
        <v>150</v>
      </c>
      <c r="P15" s="10">
        <f t="shared" si="4"/>
        <v>12</v>
      </c>
      <c r="Q15" s="4"/>
      <c r="R15" s="4"/>
      <c r="S15" s="10"/>
      <c r="T15" s="10"/>
      <c r="U15" s="10">
        <f t="shared" si="5"/>
        <v>16.666666666666668</v>
      </c>
      <c r="V15" s="10">
        <f t="shared" si="6"/>
        <v>16.666666666666668</v>
      </c>
      <c r="W15" s="10">
        <v>16.399999999999999</v>
      </c>
      <c r="X15" s="10">
        <v>10.6</v>
      </c>
      <c r="Y15" s="10">
        <v>14.4</v>
      </c>
      <c r="Z15" s="10">
        <v>10.199999999999999</v>
      </c>
      <c r="AA15" s="10">
        <v>5.4</v>
      </c>
      <c r="AB15" s="10">
        <v>13.8</v>
      </c>
      <c r="AC15" s="10">
        <v>10.8</v>
      </c>
      <c r="AD15" s="10">
        <v>13.6</v>
      </c>
      <c r="AE15" s="10"/>
      <c r="AF15" s="10">
        <f t="shared" si="10"/>
        <v>0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1:51" x14ac:dyDescent="0.25">
      <c r="A16" s="10" t="s">
        <v>49</v>
      </c>
      <c r="B16" s="10" t="s">
        <v>41</v>
      </c>
      <c r="C16" s="10">
        <v>140</v>
      </c>
      <c r="D16" s="10">
        <v>139</v>
      </c>
      <c r="E16" s="10">
        <v>172</v>
      </c>
      <c r="F16" s="10">
        <v>77</v>
      </c>
      <c r="G16" s="7">
        <v>0.3</v>
      </c>
      <c r="H16" s="10">
        <v>40</v>
      </c>
      <c r="I16" s="10" t="s">
        <v>37</v>
      </c>
      <c r="J16" s="10"/>
      <c r="K16" s="10">
        <v>201</v>
      </c>
      <c r="L16" s="10">
        <f t="shared" si="2"/>
        <v>-29</v>
      </c>
      <c r="M16" s="10">
        <f t="shared" si="3"/>
        <v>172</v>
      </c>
      <c r="N16" s="10"/>
      <c r="O16" s="10">
        <v>165.6</v>
      </c>
      <c r="P16" s="10">
        <f t="shared" si="4"/>
        <v>34.4</v>
      </c>
      <c r="Q16" s="4">
        <f t="shared" si="9"/>
        <v>204.60000000000002</v>
      </c>
      <c r="R16" s="4"/>
      <c r="S16" s="10"/>
      <c r="T16" s="10"/>
      <c r="U16" s="10">
        <f t="shared" si="5"/>
        <v>13.000000000000002</v>
      </c>
      <c r="V16" s="10">
        <f t="shared" si="6"/>
        <v>7.0523255813953494</v>
      </c>
      <c r="W16" s="10">
        <v>34</v>
      </c>
      <c r="X16" s="10">
        <v>35.799999999999997</v>
      </c>
      <c r="Y16" s="10">
        <v>36.4</v>
      </c>
      <c r="Z16" s="10">
        <v>38.799999999999997</v>
      </c>
      <c r="AA16" s="10">
        <v>38.799999999999997</v>
      </c>
      <c r="AB16" s="10">
        <v>33.6</v>
      </c>
      <c r="AC16" s="10">
        <v>45.4</v>
      </c>
      <c r="AD16" s="10">
        <v>37.200000000000003</v>
      </c>
      <c r="AE16" s="10"/>
      <c r="AF16" s="10">
        <f t="shared" si="10"/>
        <v>61.38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1:51" x14ac:dyDescent="0.25">
      <c r="A17" s="10" t="s">
        <v>50</v>
      </c>
      <c r="B17" s="10" t="s">
        <v>41</v>
      </c>
      <c r="C17" s="10">
        <v>17</v>
      </c>
      <c r="D17" s="10"/>
      <c r="E17" s="10">
        <v>11</v>
      </c>
      <c r="F17" s="10">
        <v>5</v>
      </c>
      <c r="G17" s="7">
        <v>0.4</v>
      </c>
      <c r="H17" s="10" t="e">
        <v>#N/A</v>
      </c>
      <c r="I17" s="10" t="s">
        <v>37</v>
      </c>
      <c r="J17" s="10"/>
      <c r="K17" s="10">
        <v>12</v>
      </c>
      <c r="L17" s="10">
        <f t="shared" si="2"/>
        <v>-1</v>
      </c>
      <c r="M17" s="10">
        <f t="shared" si="3"/>
        <v>11</v>
      </c>
      <c r="N17" s="10"/>
      <c r="O17" s="10">
        <v>6</v>
      </c>
      <c r="P17" s="10">
        <f t="shared" si="4"/>
        <v>2.2000000000000002</v>
      </c>
      <c r="Q17" s="4">
        <f t="shared" si="9"/>
        <v>17.600000000000001</v>
      </c>
      <c r="R17" s="4"/>
      <c r="S17" s="10"/>
      <c r="T17" s="10"/>
      <c r="U17" s="10">
        <f t="shared" si="5"/>
        <v>13</v>
      </c>
      <c r="V17" s="10">
        <f t="shared" si="6"/>
        <v>5</v>
      </c>
      <c r="W17" s="10">
        <v>1.4</v>
      </c>
      <c r="X17" s="10">
        <v>1.2</v>
      </c>
      <c r="Y17" s="10">
        <v>1.8</v>
      </c>
      <c r="Z17" s="10">
        <v>0.6</v>
      </c>
      <c r="AA17" s="10">
        <v>1.2</v>
      </c>
      <c r="AB17" s="10">
        <v>2.2000000000000002</v>
      </c>
      <c r="AC17" s="10">
        <v>1.4</v>
      </c>
      <c r="AD17" s="10">
        <v>1.4</v>
      </c>
      <c r="AE17" s="10"/>
      <c r="AF17" s="10">
        <f t="shared" si="10"/>
        <v>7.0400000000000009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</row>
    <row r="18" spans="1:51" x14ac:dyDescent="0.25">
      <c r="A18" s="10" t="s">
        <v>51</v>
      </c>
      <c r="B18" s="10" t="s">
        <v>41</v>
      </c>
      <c r="C18" s="10">
        <v>137</v>
      </c>
      <c r="D18" s="10">
        <v>1</v>
      </c>
      <c r="E18" s="10">
        <v>63</v>
      </c>
      <c r="F18" s="10">
        <v>59</v>
      </c>
      <c r="G18" s="7">
        <v>0.35</v>
      </c>
      <c r="H18" s="10">
        <v>40</v>
      </c>
      <c r="I18" s="10" t="s">
        <v>37</v>
      </c>
      <c r="J18" s="10"/>
      <c r="K18" s="10">
        <v>79</v>
      </c>
      <c r="L18" s="10">
        <f t="shared" si="2"/>
        <v>-16</v>
      </c>
      <c r="M18" s="10">
        <f t="shared" si="3"/>
        <v>63</v>
      </c>
      <c r="N18" s="10"/>
      <c r="O18" s="10">
        <v>120</v>
      </c>
      <c r="P18" s="10">
        <f t="shared" si="4"/>
        <v>12.6</v>
      </c>
      <c r="Q18" s="4"/>
      <c r="R18" s="4"/>
      <c r="S18" s="10"/>
      <c r="T18" s="10"/>
      <c r="U18" s="10">
        <f t="shared" si="5"/>
        <v>14.206349206349207</v>
      </c>
      <c r="V18" s="10">
        <f t="shared" si="6"/>
        <v>14.206349206349207</v>
      </c>
      <c r="W18" s="10">
        <v>17.8</v>
      </c>
      <c r="X18" s="10">
        <v>12.4</v>
      </c>
      <c r="Y18" s="10">
        <v>18.8</v>
      </c>
      <c r="Z18" s="10">
        <v>14</v>
      </c>
      <c r="AA18" s="10">
        <v>13.4</v>
      </c>
      <c r="AB18" s="10">
        <v>12</v>
      </c>
      <c r="AC18" s="10">
        <v>13.6</v>
      </c>
      <c r="AD18" s="10">
        <v>-0.4</v>
      </c>
      <c r="AE18" s="10"/>
      <c r="AF18" s="10">
        <f t="shared" si="10"/>
        <v>0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1:51" x14ac:dyDescent="0.25">
      <c r="A19" s="10" t="s">
        <v>52</v>
      </c>
      <c r="B19" s="10" t="s">
        <v>41</v>
      </c>
      <c r="C19" s="10">
        <v>132</v>
      </c>
      <c r="D19" s="10">
        <v>90</v>
      </c>
      <c r="E19" s="10">
        <v>128</v>
      </c>
      <c r="F19" s="10">
        <v>93</v>
      </c>
      <c r="G19" s="7">
        <v>0.17</v>
      </c>
      <c r="H19" s="10">
        <v>180</v>
      </c>
      <c r="I19" s="10" t="s">
        <v>37</v>
      </c>
      <c r="J19" s="10"/>
      <c r="K19" s="10">
        <v>129</v>
      </c>
      <c r="L19" s="10">
        <f t="shared" si="2"/>
        <v>-1</v>
      </c>
      <c r="M19" s="10">
        <f t="shared" si="3"/>
        <v>128</v>
      </c>
      <c r="N19" s="10"/>
      <c r="O19" s="10">
        <v>120</v>
      </c>
      <c r="P19" s="10">
        <f t="shared" si="4"/>
        <v>25.6</v>
      </c>
      <c r="Q19" s="4">
        <f t="shared" si="9"/>
        <v>119.80000000000001</v>
      </c>
      <c r="R19" s="4"/>
      <c r="S19" s="10"/>
      <c r="T19" s="10"/>
      <c r="U19" s="10">
        <f t="shared" si="5"/>
        <v>13</v>
      </c>
      <c r="V19" s="10">
        <f t="shared" si="6"/>
        <v>8.3203125</v>
      </c>
      <c r="W19" s="10">
        <v>22.8</v>
      </c>
      <c r="X19" s="10">
        <v>22.6</v>
      </c>
      <c r="Y19" s="10">
        <v>22.2</v>
      </c>
      <c r="Z19" s="10">
        <v>19.2</v>
      </c>
      <c r="AA19" s="10">
        <v>21.2</v>
      </c>
      <c r="AB19" s="10">
        <v>25</v>
      </c>
      <c r="AC19" s="10">
        <v>20.6</v>
      </c>
      <c r="AD19" s="10">
        <v>19.399999999999999</v>
      </c>
      <c r="AE19" s="10"/>
      <c r="AF19" s="10">
        <f t="shared" si="10"/>
        <v>20.366000000000003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1:51" x14ac:dyDescent="0.25">
      <c r="A20" s="10" t="s">
        <v>53</v>
      </c>
      <c r="B20" s="10" t="s">
        <v>41</v>
      </c>
      <c r="C20" s="10">
        <v>16</v>
      </c>
      <c r="D20" s="10"/>
      <c r="E20" s="10">
        <v>9</v>
      </c>
      <c r="F20" s="10">
        <v>6</v>
      </c>
      <c r="G20" s="7">
        <v>0.35</v>
      </c>
      <c r="H20" s="10" t="e">
        <v>#N/A</v>
      </c>
      <c r="I20" s="10" t="s">
        <v>37</v>
      </c>
      <c r="J20" s="10"/>
      <c r="K20" s="10">
        <v>10</v>
      </c>
      <c r="L20" s="10">
        <f t="shared" si="2"/>
        <v>-1</v>
      </c>
      <c r="M20" s="10">
        <f t="shared" si="3"/>
        <v>9</v>
      </c>
      <c r="N20" s="10"/>
      <c r="O20" s="10">
        <v>23</v>
      </c>
      <c r="P20" s="10">
        <f t="shared" si="4"/>
        <v>1.8</v>
      </c>
      <c r="Q20" s="4"/>
      <c r="R20" s="4"/>
      <c r="S20" s="10"/>
      <c r="T20" s="10"/>
      <c r="U20" s="10">
        <f t="shared" si="5"/>
        <v>16.111111111111111</v>
      </c>
      <c r="V20" s="10">
        <f t="shared" si="6"/>
        <v>16.111111111111111</v>
      </c>
      <c r="W20" s="10">
        <v>3</v>
      </c>
      <c r="X20" s="10">
        <v>0.4</v>
      </c>
      <c r="Y20" s="10">
        <v>0.2</v>
      </c>
      <c r="Z20" s="10">
        <v>0.8</v>
      </c>
      <c r="AA20" s="10">
        <v>1</v>
      </c>
      <c r="AB20" s="10">
        <v>0.8</v>
      </c>
      <c r="AC20" s="10">
        <v>1.4</v>
      </c>
      <c r="AD20" s="10">
        <v>1.4</v>
      </c>
      <c r="AE20" s="10"/>
      <c r="AF20" s="10">
        <f t="shared" si="10"/>
        <v>0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</row>
    <row r="21" spans="1:51" x14ac:dyDescent="0.25">
      <c r="A21" s="10" t="s">
        <v>54</v>
      </c>
      <c r="B21" s="10" t="s">
        <v>36</v>
      </c>
      <c r="C21" s="10">
        <v>39.598999999999997</v>
      </c>
      <c r="D21" s="10">
        <v>57.850999999999999</v>
      </c>
      <c r="E21" s="10">
        <v>39.598999999999997</v>
      </c>
      <c r="F21" s="10">
        <v>52.576999999999998</v>
      </c>
      <c r="G21" s="7">
        <v>1</v>
      </c>
      <c r="H21" s="10">
        <v>55</v>
      </c>
      <c r="I21" s="10" t="s">
        <v>37</v>
      </c>
      <c r="J21" s="10"/>
      <c r="K21" s="10">
        <v>44.874000000000002</v>
      </c>
      <c r="L21" s="10">
        <f t="shared" si="2"/>
        <v>-5.2750000000000057</v>
      </c>
      <c r="M21" s="10">
        <f t="shared" si="3"/>
        <v>34.324999999999996</v>
      </c>
      <c r="N21" s="10">
        <v>5.274</v>
      </c>
      <c r="O21" s="10">
        <v>70</v>
      </c>
      <c r="P21" s="10">
        <f t="shared" si="4"/>
        <v>6.8649999999999993</v>
      </c>
      <c r="Q21" s="4"/>
      <c r="R21" s="4"/>
      <c r="S21" s="10"/>
      <c r="T21" s="10"/>
      <c r="U21" s="10">
        <f t="shared" si="5"/>
        <v>17.855353241077932</v>
      </c>
      <c r="V21" s="10">
        <f t="shared" si="6"/>
        <v>17.855353241077932</v>
      </c>
      <c r="W21" s="10">
        <v>10.701599999999999</v>
      </c>
      <c r="X21" s="10">
        <v>6.1601999999999997</v>
      </c>
      <c r="Y21" s="10">
        <v>7.045399999999999</v>
      </c>
      <c r="Z21" s="10">
        <v>9.3105999999999991</v>
      </c>
      <c r="AA21" s="10">
        <v>9.9439999999999991</v>
      </c>
      <c r="AB21" s="10">
        <v>3.6905999999999999</v>
      </c>
      <c r="AC21" s="10">
        <v>13.3066</v>
      </c>
      <c r="AD21" s="10">
        <v>6.6772000000000009</v>
      </c>
      <c r="AE21" s="10"/>
      <c r="AF21" s="10">
        <f t="shared" si="10"/>
        <v>0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</row>
    <row r="22" spans="1:51" x14ac:dyDescent="0.25">
      <c r="A22" s="10" t="s">
        <v>55</v>
      </c>
      <c r="B22" s="10" t="s">
        <v>36</v>
      </c>
      <c r="C22" s="10">
        <v>867.02</v>
      </c>
      <c r="D22" s="10">
        <v>767.31500000000005</v>
      </c>
      <c r="E22" s="10">
        <v>1123.4549999999999</v>
      </c>
      <c r="F22" s="10">
        <v>38.018000000000001</v>
      </c>
      <c r="G22" s="7">
        <v>1</v>
      </c>
      <c r="H22" s="10">
        <v>50</v>
      </c>
      <c r="I22" s="13" t="s">
        <v>56</v>
      </c>
      <c r="J22" s="10"/>
      <c r="K22" s="10">
        <v>1595.5820000000001</v>
      </c>
      <c r="L22" s="10">
        <f t="shared" si="2"/>
        <v>-472.12700000000018</v>
      </c>
      <c r="M22" s="10">
        <f t="shared" si="3"/>
        <v>659.27299999999991</v>
      </c>
      <c r="N22" s="10">
        <v>464.18200000000002</v>
      </c>
      <c r="O22" s="10">
        <v>92.912800000000061</v>
      </c>
      <c r="P22" s="10">
        <f t="shared" si="4"/>
        <v>131.85459999999998</v>
      </c>
      <c r="Q22" s="4">
        <f>9*P22-O22-F22</f>
        <v>1055.7605999999996</v>
      </c>
      <c r="R22" s="4"/>
      <c r="S22" s="10"/>
      <c r="T22" s="10"/>
      <c r="U22" s="10">
        <f t="shared" si="5"/>
        <v>9</v>
      </c>
      <c r="V22" s="10">
        <f t="shared" si="6"/>
        <v>0.99299379771354268</v>
      </c>
      <c r="W22" s="10">
        <v>89.995199999999997</v>
      </c>
      <c r="X22" s="10">
        <v>91.768200000000007</v>
      </c>
      <c r="Y22" s="10">
        <v>110.6434</v>
      </c>
      <c r="Z22" s="10">
        <v>84.285799999999995</v>
      </c>
      <c r="AA22" s="10">
        <v>117.72239999999999</v>
      </c>
      <c r="AB22" s="10">
        <v>126.1044</v>
      </c>
      <c r="AC22" s="10">
        <v>142.0652</v>
      </c>
      <c r="AD22" s="10">
        <v>118.2788</v>
      </c>
      <c r="AE22" s="10"/>
      <c r="AF22" s="10">
        <f t="shared" si="10"/>
        <v>1055.7605999999996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</row>
    <row r="23" spans="1:51" x14ac:dyDescent="0.25">
      <c r="A23" s="10" t="s">
        <v>57</v>
      </c>
      <c r="B23" s="10" t="s">
        <v>36</v>
      </c>
      <c r="C23" s="10">
        <v>9.7409999999999997</v>
      </c>
      <c r="D23" s="10">
        <v>47.935000000000002</v>
      </c>
      <c r="E23" s="10">
        <v>21.256</v>
      </c>
      <c r="F23" s="10">
        <v>31.088999999999999</v>
      </c>
      <c r="G23" s="7">
        <v>1</v>
      </c>
      <c r="H23" s="10">
        <v>60</v>
      </c>
      <c r="I23" s="10" t="s">
        <v>37</v>
      </c>
      <c r="J23" s="10"/>
      <c r="K23" s="10">
        <v>24.131</v>
      </c>
      <c r="L23" s="10">
        <f t="shared" si="2"/>
        <v>-2.875</v>
      </c>
      <c r="M23" s="10">
        <f t="shared" si="3"/>
        <v>15.925000000000001</v>
      </c>
      <c r="N23" s="10">
        <v>5.3310000000000004</v>
      </c>
      <c r="O23" s="10">
        <v>48.902999999999992</v>
      </c>
      <c r="P23" s="10">
        <f t="shared" si="4"/>
        <v>3.1850000000000001</v>
      </c>
      <c r="Q23" s="4"/>
      <c r="R23" s="4"/>
      <c r="S23" s="10"/>
      <c r="T23" s="10"/>
      <c r="U23" s="10">
        <f t="shared" si="5"/>
        <v>25.115227629513342</v>
      </c>
      <c r="V23" s="10">
        <f t="shared" si="6"/>
        <v>25.115227629513342</v>
      </c>
      <c r="W23" s="10">
        <v>7.5879999999999992</v>
      </c>
      <c r="X23" s="10">
        <v>3.1591999999999998</v>
      </c>
      <c r="Y23" s="10">
        <v>6.6913999999999998</v>
      </c>
      <c r="Z23" s="10">
        <v>4.7816000000000001</v>
      </c>
      <c r="AA23" s="10">
        <v>6.2041999999999993</v>
      </c>
      <c r="AB23" s="10">
        <v>6.1622000000000003</v>
      </c>
      <c r="AC23" s="10">
        <v>9.7728000000000002</v>
      </c>
      <c r="AD23" s="10">
        <v>4.3704000000000001</v>
      </c>
      <c r="AE23" s="10"/>
      <c r="AF23" s="10">
        <f t="shared" si="10"/>
        <v>0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</row>
    <row r="24" spans="1:51" x14ac:dyDescent="0.25">
      <c r="A24" s="10" t="s">
        <v>58</v>
      </c>
      <c r="B24" s="10" t="s">
        <v>36</v>
      </c>
      <c r="C24" s="10">
        <v>508.66500000000002</v>
      </c>
      <c r="D24" s="10">
        <v>376.06700000000001</v>
      </c>
      <c r="E24" s="21">
        <f>772.365+E116</f>
        <v>953.97800000000007</v>
      </c>
      <c r="F24" s="21">
        <f>33.547+F116</f>
        <v>127.688</v>
      </c>
      <c r="G24" s="7">
        <v>1</v>
      </c>
      <c r="H24" s="10">
        <v>60</v>
      </c>
      <c r="I24" s="13" t="s">
        <v>56</v>
      </c>
      <c r="J24" s="10"/>
      <c r="K24" s="10">
        <v>848.53399999999999</v>
      </c>
      <c r="L24" s="10">
        <f t="shared" si="2"/>
        <v>105.44400000000007</v>
      </c>
      <c r="M24" s="10">
        <f t="shared" si="3"/>
        <v>879.34400000000005</v>
      </c>
      <c r="N24" s="10">
        <v>74.634</v>
      </c>
      <c r="O24" s="10">
        <v>1000</v>
      </c>
      <c r="P24" s="10">
        <f t="shared" si="4"/>
        <v>175.86880000000002</v>
      </c>
      <c r="Q24" s="4">
        <f t="shared" si="9"/>
        <v>1158.6064000000001</v>
      </c>
      <c r="R24" s="4"/>
      <c r="S24" s="10"/>
      <c r="T24" s="10"/>
      <c r="U24" s="10">
        <f t="shared" si="5"/>
        <v>13</v>
      </c>
      <c r="V24" s="10">
        <f t="shared" si="6"/>
        <v>6.4120981094998086</v>
      </c>
      <c r="W24" s="10">
        <v>127.40940000000001</v>
      </c>
      <c r="X24" s="10">
        <v>113.666</v>
      </c>
      <c r="Y24" s="10">
        <v>143.67339999999999</v>
      </c>
      <c r="Z24" s="10">
        <v>119.8006</v>
      </c>
      <c r="AA24" s="10">
        <v>133.916</v>
      </c>
      <c r="AB24" s="10">
        <v>132.1114</v>
      </c>
      <c r="AC24" s="10">
        <v>146.00540000000001</v>
      </c>
      <c r="AD24" s="10">
        <v>121.8964</v>
      </c>
      <c r="AE24" s="10"/>
      <c r="AF24" s="10">
        <f t="shared" si="10"/>
        <v>1158.6064000000001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1:51" x14ac:dyDescent="0.25">
      <c r="A25" s="10" t="s">
        <v>59</v>
      </c>
      <c r="B25" s="10" t="s">
        <v>36</v>
      </c>
      <c r="C25" s="10">
        <v>42.45</v>
      </c>
      <c r="D25" s="10">
        <v>8.91</v>
      </c>
      <c r="E25" s="10">
        <v>13.375</v>
      </c>
      <c r="F25" s="10">
        <v>29.074999999999999</v>
      </c>
      <c r="G25" s="7">
        <v>1</v>
      </c>
      <c r="H25" s="10">
        <v>180</v>
      </c>
      <c r="I25" s="10" t="s">
        <v>37</v>
      </c>
      <c r="J25" s="10"/>
      <c r="K25" s="10">
        <v>21.26</v>
      </c>
      <c r="L25" s="10">
        <f t="shared" si="2"/>
        <v>-7.8850000000000016</v>
      </c>
      <c r="M25" s="10">
        <f t="shared" si="3"/>
        <v>4.4649999999999999</v>
      </c>
      <c r="N25" s="10">
        <v>8.91</v>
      </c>
      <c r="O25" s="10">
        <v>0</v>
      </c>
      <c r="P25" s="10">
        <f t="shared" si="4"/>
        <v>0.89300000000000002</v>
      </c>
      <c r="Q25" s="4"/>
      <c r="R25" s="4"/>
      <c r="S25" s="10"/>
      <c r="T25" s="10"/>
      <c r="U25" s="10">
        <f t="shared" si="5"/>
        <v>32.558790593505037</v>
      </c>
      <c r="V25" s="10">
        <f t="shared" si="6"/>
        <v>32.558790593505037</v>
      </c>
      <c r="W25" s="10">
        <v>1.2529999999999999</v>
      </c>
      <c r="X25" s="10">
        <v>0.74280000000000002</v>
      </c>
      <c r="Y25" s="10">
        <v>0.66399999999999992</v>
      </c>
      <c r="Z25" s="10">
        <v>0.79039999999999999</v>
      </c>
      <c r="AA25" s="10">
        <v>1.0218</v>
      </c>
      <c r="AB25" s="10">
        <v>0.87080000000000002</v>
      </c>
      <c r="AC25" s="10">
        <v>0.87240000000000006</v>
      </c>
      <c r="AD25" s="10">
        <v>0.72220000000000006</v>
      </c>
      <c r="AE25" s="12" t="s">
        <v>60</v>
      </c>
      <c r="AF25" s="10">
        <f t="shared" si="10"/>
        <v>0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1:51" x14ac:dyDescent="0.25">
      <c r="A26" s="10" t="s">
        <v>61</v>
      </c>
      <c r="B26" s="10" t="s">
        <v>36</v>
      </c>
      <c r="C26" s="10">
        <v>39.82</v>
      </c>
      <c r="D26" s="10"/>
      <c r="E26" s="10">
        <v>16.297999999999998</v>
      </c>
      <c r="F26" s="10">
        <v>23.062000000000001</v>
      </c>
      <c r="G26" s="7">
        <v>1</v>
      </c>
      <c r="H26" s="10">
        <v>60</v>
      </c>
      <c r="I26" s="10" t="s">
        <v>37</v>
      </c>
      <c r="J26" s="10"/>
      <c r="K26" s="10">
        <v>15.3</v>
      </c>
      <c r="L26" s="10">
        <f t="shared" si="2"/>
        <v>0.99799999999999756</v>
      </c>
      <c r="M26" s="10">
        <f t="shared" si="3"/>
        <v>16.297999999999998</v>
      </c>
      <c r="N26" s="10"/>
      <c r="O26" s="10">
        <v>24.35319999999999</v>
      </c>
      <c r="P26" s="10">
        <f t="shared" si="4"/>
        <v>3.2595999999999998</v>
      </c>
      <c r="Q26" s="4"/>
      <c r="R26" s="4"/>
      <c r="S26" s="10"/>
      <c r="T26" s="10"/>
      <c r="U26" s="10">
        <f t="shared" si="5"/>
        <v>14.546324702417472</v>
      </c>
      <c r="V26" s="10">
        <f t="shared" si="6"/>
        <v>14.546324702417472</v>
      </c>
      <c r="W26" s="10">
        <v>4.9363999999999999</v>
      </c>
      <c r="X26" s="10">
        <v>2.632000000000001</v>
      </c>
      <c r="Y26" s="10">
        <v>5.609</v>
      </c>
      <c r="Z26" s="10">
        <v>1.8646</v>
      </c>
      <c r="AA26" s="10">
        <v>5.5954000000000006</v>
      </c>
      <c r="AB26" s="10">
        <v>1.4017999999999999</v>
      </c>
      <c r="AC26" s="10">
        <v>4.0380000000000003</v>
      </c>
      <c r="AD26" s="10">
        <v>4.7572000000000001</v>
      </c>
      <c r="AE26" s="10"/>
      <c r="AF26" s="10">
        <f t="shared" si="10"/>
        <v>0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1:51" x14ac:dyDescent="0.25">
      <c r="A27" s="10" t="s">
        <v>62</v>
      </c>
      <c r="B27" s="10" t="s">
        <v>36</v>
      </c>
      <c r="C27" s="10">
        <v>28.001000000000001</v>
      </c>
      <c r="D27" s="10">
        <v>5.3</v>
      </c>
      <c r="E27" s="10">
        <v>14.861000000000001</v>
      </c>
      <c r="F27" s="10">
        <v>17.562000000000001</v>
      </c>
      <c r="G27" s="7">
        <v>1</v>
      </c>
      <c r="H27" s="10">
        <v>70</v>
      </c>
      <c r="I27" s="10" t="s">
        <v>37</v>
      </c>
      <c r="J27" s="10"/>
      <c r="K27" s="10">
        <v>14.1</v>
      </c>
      <c r="L27" s="10">
        <f t="shared" si="2"/>
        <v>0.76100000000000101</v>
      </c>
      <c r="M27" s="10">
        <f t="shared" si="3"/>
        <v>14.861000000000001</v>
      </c>
      <c r="N27" s="10"/>
      <c r="O27" s="10">
        <v>0</v>
      </c>
      <c r="P27" s="10">
        <f t="shared" si="4"/>
        <v>2.9722</v>
      </c>
      <c r="Q27" s="4">
        <f t="shared" si="9"/>
        <v>21.076599999999996</v>
      </c>
      <c r="R27" s="4"/>
      <c r="S27" s="10"/>
      <c r="T27" s="10"/>
      <c r="U27" s="10">
        <f t="shared" si="5"/>
        <v>12.999999999999998</v>
      </c>
      <c r="V27" s="10">
        <f t="shared" si="6"/>
        <v>5.9087544579772562</v>
      </c>
      <c r="W27" s="10">
        <v>1.7418</v>
      </c>
      <c r="X27" s="10">
        <v>2.9809999999999999</v>
      </c>
      <c r="Y27" s="10">
        <v>3.5451999999999999</v>
      </c>
      <c r="Z27" s="10">
        <v>2.3157999999999999</v>
      </c>
      <c r="AA27" s="10">
        <v>2.669</v>
      </c>
      <c r="AB27" s="10">
        <v>1.4134</v>
      </c>
      <c r="AC27" s="10">
        <v>2.629</v>
      </c>
      <c r="AD27" s="10">
        <v>4.6520000000000001</v>
      </c>
      <c r="AE27" s="10"/>
      <c r="AF27" s="10">
        <f t="shared" si="10"/>
        <v>21.076599999999996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1:51" x14ac:dyDescent="0.25">
      <c r="A28" s="10" t="s">
        <v>63</v>
      </c>
      <c r="B28" s="10" t="s">
        <v>36</v>
      </c>
      <c r="C28" s="10"/>
      <c r="D28" s="10">
        <v>52.683</v>
      </c>
      <c r="E28" s="10">
        <v>9.6110000000000007</v>
      </c>
      <c r="F28" s="10">
        <v>41.311</v>
      </c>
      <c r="G28" s="7">
        <v>1</v>
      </c>
      <c r="H28" s="10" t="e">
        <v>#N/A</v>
      </c>
      <c r="I28" s="10" t="s">
        <v>37</v>
      </c>
      <c r="J28" s="10"/>
      <c r="K28" s="10">
        <v>9.6999999999999993</v>
      </c>
      <c r="L28" s="10">
        <f t="shared" si="2"/>
        <v>-8.8999999999998636E-2</v>
      </c>
      <c r="M28" s="10">
        <f t="shared" si="3"/>
        <v>9.6110000000000007</v>
      </c>
      <c r="N28" s="10"/>
      <c r="O28" s="10">
        <v>0</v>
      </c>
      <c r="P28" s="10">
        <f t="shared" si="4"/>
        <v>1.9222000000000001</v>
      </c>
      <c r="Q28" s="4"/>
      <c r="R28" s="4"/>
      <c r="S28" s="10"/>
      <c r="T28" s="10"/>
      <c r="U28" s="10">
        <f t="shared" si="5"/>
        <v>21.491520133180728</v>
      </c>
      <c r="V28" s="10">
        <f t="shared" si="6"/>
        <v>21.491520133180728</v>
      </c>
      <c r="W28" s="10">
        <v>0.17599999999999999</v>
      </c>
      <c r="X28" s="10">
        <v>3.6796000000000011</v>
      </c>
      <c r="Y28" s="10">
        <v>2.2856000000000001</v>
      </c>
      <c r="Z28" s="10">
        <v>2.1021999999999998</v>
      </c>
      <c r="AA28" s="10">
        <v>1.7549999999999999</v>
      </c>
      <c r="AB28" s="10">
        <v>2.1067999999999998</v>
      </c>
      <c r="AC28" s="10">
        <v>2.9201999999999999</v>
      </c>
      <c r="AD28" s="10">
        <v>4.7431999999999999</v>
      </c>
      <c r="AE28" s="10"/>
      <c r="AF28" s="10">
        <f t="shared" si="10"/>
        <v>0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  <row r="29" spans="1:51" x14ac:dyDescent="0.25">
      <c r="A29" s="10" t="s">
        <v>64</v>
      </c>
      <c r="B29" s="10" t="s">
        <v>36</v>
      </c>
      <c r="C29" s="10">
        <v>44.158000000000001</v>
      </c>
      <c r="D29" s="10"/>
      <c r="E29" s="10">
        <v>8.3460000000000001</v>
      </c>
      <c r="F29" s="10">
        <v>35.811999999999998</v>
      </c>
      <c r="G29" s="7">
        <v>1</v>
      </c>
      <c r="H29" s="10">
        <v>180</v>
      </c>
      <c r="I29" s="10" t="s">
        <v>37</v>
      </c>
      <c r="J29" s="10"/>
      <c r="K29" s="10">
        <v>8.1</v>
      </c>
      <c r="L29" s="10">
        <f t="shared" si="2"/>
        <v>0.24600000000000044</v>
      </c>
      <c r="M29" s="10">
        <f t="shared" si="3"/>
        <v>8.3460000000000001</v>
      </c>
      <c r="N29" s="10"/>
      <c r="O29" s="10">
        <v>0</v>
      </c>
      <c r="P29" s="10">
        <f t="shared" si="4"/>
        <v>1.6692</v>
      </c>
      <c r="Q29" s="4"/>
      <c r="R29" s="4"/>
      <c r="S29" s="10"/>
      <c r="T29" s="10"/>
      <c r="U29" s="10">
        <f t="shared" si="5"/>
        <v>21.45458902468248</v>
      </c>
      <c r="V29" s="10">
        <f t="shared" si="6"/>
        <v>21.45458902468248</v>
      </c>
      <c r="W29" s="10">
        <v>0.7298</v>
      </c>
      <c r="X29" s="10">
        <v>1.091</v>
      </c>
      <c r="Y29" s="10">
        <v>1.1654</v>
      </c>
      <c r="Z29" s="10">
        <v>1.2316</v>
      </c>
      <c r="AA29" s="10">
        <v>1.3652</v>
      </c>
      <c r="AB29" s="10">
        <v>1.3036000000000001</v>
      </c>
      <c r="AC29" s="10">
        <v>1.8828</v>
      </c>
      <c r="AD29" s="10">
        <v>1.3660000000000001</v>
      </c>
      <c r="AE29" s="12" t="s">
        <v>60</v>
      </c>
      <c r="AF29" s="10">
        <f t="shared" si="10"/>
        <v>0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</row>
    <row r="30" spans="1:51" x14ac:dyDescent="0.25">
      <c r="A30" s="10" t="s">
        <v>65</v>
      </c>
      <c r="B30" s="10" t="s">
        <v>36</v>
      </c>
      <c r="C30" s="10">
        <v>26.193999999999999</v>
      </c>
      <c r="D30" s="10">
        <v>73.820999999999998</v>
      </c>
      <c r="E30" s="10">
        <v>34.518000000000001</v>
      </c>
      <c r="F30" s="10">
        <v>64.17</v>
      </c>
      <c r="G30" s="7">
        <v>1</v>
      </c>
      <c r="H30" s="10">
        <v>70</v>
      </c>
      <c r="I30" s="10" t="s">
        <v>37</v>
      </c>
      <c r="J30" s="10"/>
      <c r="K30" s="10">
        <v>30.4</v>
      </c>
      <c r="L30" s="10">
        <f t="shared" si="2"/>
        <v>4.1180000000000021</v>
      </c>
      <c r="M30" s="10">
        <f t="shared" si="3"/>
        <v>34.518000000000001</v>
      </c>
      <c r="N30" s="10"/>
      <c r="O30" s="10">
        <v>0</v>
      </c>
      <c r="P30" s="10">
        <f t="shared" si="4"/>
        <v>6.9036</v>
      </c>
      <c r="Q30" s="4">
        <f t="shared" si="9"/>
        <v>25.576799999999992</v>
      </c>
      <c r="R30" s="4"/>
      <c r="S30" s="10"/>
      <c r="T30" s="10"/>
      <c r="U30" s="10">
        <f t="shared" si="5"/>
        <v>12.999999999999998</v>
      </c>
      <c r="V30" s="10">
        <f t="shared" si="6"/>
        <v>9.2951503563358244</v>
      </c>
      <c r="W30" s="10">
        <v>4.9125999999999994</v>
      </c>
      <c r="X30" s="10">
        <v>9.4727999999999994</v>
      </c>
      <c r="Y30" s="10">
        <v>6.1566000000000001</v>
      </c>
      <c r="Z30" s="10">
        <v>6.4953999999999992</v>
      </c>
      <c r="AA30" s="10">
        <v>11.2622</v>
      </c>
      <c r="AB30" s="10">
        <v>5.2560000000000002</v>
      </c>
      <c r="AC30" s="10">
        <v>8.4578000000000007</v>
      </c>
      <c r="AD30" s="10">
        <v>6.8742000000000001</v>
      </c>
      <c r="AE30" s="10"/>
      <c r="AF30" s="10">
        <f t="shared" si="10"/>
        <v>25.576799999999992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</row>
    <row r="31" spans="1:51" x14ac:dyDescent="0.25">
      <c r="A31" s="10" t="s">
        <v>66</v>
      </c>
      <c r="B31" s="10" t="s">
        <v>36</v>
      </c>
      <c r="C31" s="10">
        <v>117.999</v>
      </c>
      <c r="D31" s="10">
        <v>25.167000000000002</v>
      </c>
      <c r="E31" s="10">
        <v>99.471999999999994</v>
      </c>
      <c r="F31" s="10">
        <v>15.714</v>
      </c>
      <c r="G31" s="7">
        <v>1</v>
      </c>
      <c r="H31" s="10">
        <v>35</v>
      </c>
      <c r="I31" s="10" t="s">
        <v>37</v>
      </c>
      <c r="J31" s="10"/>
      <c r="K31" s="10">
        <v>126.738</v>
      </c>
      <c r="L31" s="10">
        <f t="shared" si="2"/>
        <v>-27.266000000000005</v>
      </c>
      <c r="M31" s="10">
        <f t="shared" si="3"/>
        <v>86.833999999999989</v>
      </c>
      <c r="N31" s="10">
        <v>12.638</v>
      </c>
      <c r="O31" s="10">
        <v>130.6936</v>
      </c>
      <c r="P31" s="10">
        <f t="shared" si="4"/>
        <v>17.366799999999998</v>
      </c>
      <c r="Q31" s="4">
        <f t="shared" si="9"/>
        <v>79.360799999999983</v>
      </c>
      <c r="R31" s="4"/>
      <c r="S31" s="10"/>
      <c r="T31" s="10"/>
      <c r="U31" s="10">
        <f t="shared" si="5"/>
        <v>13</v>
      </c>
      <c r="V31" s="10">
        <f t="shared" si="6"/>
        <v>8.4303153142778182</v>
      </c>
      <c r="W31" s="10">
        <v>19.130199999999999</v>
      </c>
      <c r="X31" s="10">
        <v>13.5076</v>
      </c>
      <c r="Y31" s="10">
        <v>21.853999999999999</v>
      </c>
      <c r="Z31" s="10">
        <v>13.5692</v>
      </c>
      <c r="AA31" s="10">
        <v>25.826599999999999</v>
      </c>
      <c r="AB31" s="10">
        <v>18.3962</v>
      </c>
      <c r="AC31" s="10">
        <v>26.292000000000002</v>
      </c>
      <c r="AD31" s="10">
        <v>31.499400000000001</v>
      </c>
      <c r="AE31" s="10"/>
      <c r="AF31" s="10">
        <f t="shared" si="10"/>
        <v>79.360799999999983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</row>
    <row r="32" spans="1:51" x14ac:dyDescent="0.25">
      <c r="A32" s="14" t="s">
        <v>67</v>
      </c>
      <c r="B32" s="14" t="s">
        <v>36</v>
      </c>
      <c r="C32" s="14"/>
      <c r="D32" s="14">
        <v>1231.3579999999999</v>
      </c>
      <c r="E32" s="21">
        <v>723.26700000000005</v>
      </c>
      <c r="F32" s="21">
        <v>120.41500000000001</v>
      </c>
      <c r="G32" s="15">
        <v>0</v>
      </c>
      <c r="H32" s="14" t="e">
        <v>#N/A</v>
      </c>
      <c r="I32" s="14" t="s">
        <v>68</v>
      </c>
      <c r="J32" s="14" t="s">
        <v>69</v>
      </c>
      <c r="K32" s="14">
        <v>1048.076</v>
      </c>
      <c r="L32" s="14">
        <f t="shared" si="2"/>
        <v>-324.80899999999997</v>
      </c>
      <c r="M32" s="14">
        <f t="shared" si="3"/>
        <v>335.59100000000007</v>
      </c>
      <c r="N32" s="21">
        <v>387.67599999999999</v>
      </c>
      <c r="O32" s="14"/>
      <c r="P32" s="14">
        <f t="shared" si="4"/>
        <v>67.118200000000016</v>
      </c>
      <c r="Q32" s="16"/>
      <c r="R32" s="16"/>
      <c r="S32" s="14"/>
      <c r="T32" s="14"/>
      <c r="U32" s="14">
        <f t="shared" si="5"/>
        <v>1.794073738568674</v>
      </c>
      <c r="V32" s="14">
        <f t="shared" si="6"/>
        <v>1.794073738568674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/>
      <c r="AF32" s="14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</row>
    <row r="33" spans="1:51" x14ac:dyDescent="0.25">
      <c r="A33" s="10" t="s">
        <v>70</v>
      </c>
      <c r="B33" s="10" t="s">
        <v>36</v>
      </c>
      <c r="C33" s="10">
        <v>-1.1850000000000001</v>
      </c>
      <c r="D33" s="10">
        <v>73.311999999999998</v>
      </c>
      <c r="E33" s="10">
        <v>65.427999999999997</v>
      </c>
      <c r="F33" s="10">
        <v>-1.274</v>
      </c>
      <c r="G33" s="7">
        <v>1</v>
      </c>
      <c r="H33" s="10">
        <v>30</v>
      </c>
      <c r="I33" s="10" t="s">
        <v>37</v>
      </c>
      <c r="J33" s="10"/>
      <c r="K33" s="10">
        <v>78.099999999999994</v>
      </c>
      <c r="L33" s="10">
        <f t="shared" si="2"/>
        <v>-12.671999999999997</v>
      </c>
      <c r="M33" s="10">
        <f t="shared" si="3"/>
        <v>65.427999999999997</v>
      </c>
      <c r="N33" s="10"/>
      <c r="O33" s="10">
        <v>270</v>
      </c>
      <c r="P33" s="10">
        <f t="shared" si="4"/>
        <v>13.085599999999999</v>
      </c>
      <c r="Q33" s="4"/>
      <c r="R33" s="4"/>
      <c r="S33" s="10"/>
      <c r="T33" s="10"/>
      <c r="U33" s="10">
        <f t="shared" si="5"/>
        <v>20.536009048113957</v>
      </c>
      <c r="V33" s="10">
        <f t="shared" si="6"/>
        <v>20.536009048113957</v>
      </c>
      <c r="W33" s="10">
        <v>39.184199999999997</v>
      </c>
      <c r="X33" s="10">
        <v>12.840199999999999</v>
      </c>
      <c r="Y33" s="10">
        <v>24.0932</v>
      </c>
      <c r="Z33" s="10">
        <v>14.044</v>
      </c>
      <c r="AA33" s="10">
        <v>12.2666</v>
      </c>
      <c r="AB33" s="10">
        <v>23.450399999999998</v>
      </c>
      <c r="AC33" s="10">
        <v>33.112400000000001</v>
      </c>
      <c r="AD33" s="10">
        <v>35.449800000000003</v>
      </c>
      <c r="AE33" s="10"/>
      <c r="AF33" s="10">
        <f t="shared" ref="AF33:AF40" si="11">G33*Q33</f>
        <v>0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</row>
    <row r="34" spans="1:51" x14ac:dyDescent="0.25">
      <c r="A34" s="10" t="s">
        <v>71</v>
      </c>
      <c r="B34" s="10" t="s">
        <v>36</v>
      </c>
      <c r="C34" s="10">
        <v>1.0880000000000001</v>
      </c>
      <c r="D34" s="10">
        <v>32.813000000000002</v>
      </c>
      <c r="E34" s="10">
        <v>17.920999999999999</v>
      </c>
      <c r="F34" s="10">
        <v>1.054</v>
      </c>
      <c r="G34" s="7">
        <v>1</v>
      </c>
      <c r="H34" s="10">
        <v>30</v>
      </c>
      <c r="I34" s="10" t="s">
        <v>37</v>
      </c>
      <c r="J34" s="10"/>
      <c r="K34" s="10">
        <v>125.45699999999999</v>
      </c>
      <c r="L34" s="10">
        <f t="shared" si="2"/>
        <v>-107.536</v>
      </c>
      <c r="M34" s="10">
        <f t="shared" si="3"/>
        <v>9.9639999999999986</v>
      </c>
      <c r="N34" s="10">
        <v>7.9569999999999999</v>
      </c>
      <c r="O34" s="10">
        <v>120</v>
      </c>
      <c r="P34" s="10">
        <f t="shared" si="4"/>
        <v>1.9927999999999997</v>
      </c>
      <c r="Q34" s="4"/>
      <c r="R34" s="4"/>
      <c r="S34" s="10"/>
      <c r="T34" s="10"/>
      <c r="U34" s="10">
        <f t="shared" si="5"/>
        <v>60.745684464070663</v>
      </c>
      <c r="V34" s="10">
        <f t="shared" si="6"/>
        <v>60.745684464070663</v>
      </c>
      <c r="W34" s="10">
        <v>12.4278</v>
      </c>
      <c r="X34" s="10">
        <v>4.5842000000000001</v>
      </c>
      <c r="Y34" s="10">
        <v>5.2147999999999994</v>
      </c>
      <c r="Z34" s="10">
        <v>-2.8874</v>
      </c>
      <c r="AA34" s="10">
        <v>20.336200000000002</v>
      </c>
      <c r="AB34" s="10">
        <v>6.0061999999999998</v>
      </c>
      <c r="AC34" s="10">
        <v>33.711200000000012</v>
      </c>
      <c r="AD34" s="10">
        <v>13.926399999999999</v>
      </c>
      <c r="AE34" s="10"/>
      <c r="AF34" s="10">
        <f t="shared" si="11"/>
        <v>0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</row>
    <row r="35" spans="1:51" x14ac:dyDescent="0.25">
      <c r="A35" s="10" t="s">
        <v>72</v>
      </c>
      <c r="B35" s="10" t="s">
        <v>36</v>
      </c>
      <c r="C35" s="10">
        <v>767.26099999999997</v>
      </c>
      <c r="D35" s="10">
        <v>1879.2739999999999</v>
      </c>
      <c r="E35" s="10">
        <v>2117.2089999999998</v>
      </c>
      <c r="F35" s="10">
        <v>44.927</v>
      </c>
      <c r="G35" s="7">
        <v>1</v>
      </c>
      <c r="H35" s="10">
        <v>40</v>
      </c>
      <c r="I35" s="10" t="s">
        <v>37</v>
      </c>
      <c r="J35" s="10"/>
      <c r="K35" s="10">
        <v>2575.6080000000002</v>
      </c>
      <c r="L35" s="10">
        <f t="shared" si="2"/>
        <v>-458.39900000000034</v>
      </c>
      <c r="M35" s="10">
        <f t="shared" si="3"/>
        <v>1646.5009999999997</v>
      </c>
      <c r="N35" s="10">
        <v>470.70800000000003</v>
      </c>
      <c r="O35" s="10">
        <v>1000</v>
      </c>
      <c r="P35" s="10">
        <f t="shared" si="4"/>
        <v>329.30019999999996</v>
      </c>
      <c r="Q35" s="4">
        <f>11*P35-O35-F35</f>
        <v>2577.3751999999995</v>
      </c>
      <c r="R35" s="4"/>
      <c r="S35" s="10"/>
      <c r="T35" s="10"/>
      <c r="U35" s="10">
        <f t="shared" si="5"/>
        <v>10.999999999999998</v>
      </c>
      <c r="V35" s="10">
        <f t="shared" si="6"/>
        <v>3.1731745076377118</v>
      </c>
      <c r="W35" s="10">
        <v>233.7756</v>
      </c>
      <c r="X35" s="10">
        <v>271.44040000000001</v>
      </c>
      <c r="Y35" s="10">
        <v>265.2278</v>
      </c>
      <c r="Z35" s="10">
        <v>271.11739999999998</v>
      </c>
      <c r="AA35" s="10">
        <v>299.10700000000003</v>
      </c>
      <c r="AB35" s="10">
        <v>317.60980000000001</v>
      </c>
      <c r="AC35" s="10">
        <v>382.2022</v>
      </c>
      <c r="AD35" s="10">
        <v>433.51339999999999</v>
      </c>
      <c r="AE35" s="10"/>
      <c r="AF35" s="10">
        <f t="shared" si="11"/>
        <v>2577.3751999999995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</row>
    <row r="36" spans="1:51" x14ac:dyDescent="0.25">
      <c r="A36" s="10" t="s">
        <v>73</v>
      </c>
      <c r="B36" s="10" t="s">
        <v>36</v>
      </c>
      <c r="C36" s="10">
        <v>65.441000000000003</v>
      </c>
      <c r="D36" s="10">
        <v>53.075000000000003</v>
      </c>
      <c r="E36" s="10">
        <v>55.835000000000001</v>
      </c>
      <c r="F36" s="10">
        <v>54.32</v>
      </c>
      <c r="G36" s="7">
        <v>1</v>
      </c>
      <c r="H36" s="10">
        <v>40</v>
      </c>
      <c r="I36" s="10" t="s">
        <v>37</v>
      </c>
      <c r="J36" s="10"/>
      <c r="K36" s="10">
        <v>58.1</v>
      </c>
      <c r="L36" s="10">
        <f t="shared" si="2"/>
        <v>-2.2650000000000006</v>
      </c>
      <c r="M36" s="10">
        <f t="shared" si="3"/>
        <v>55.835000000000001</v>
      </c>
      <c r="N36" s="10"/>
      <c r="O36" s="10">
        <v>0</v>
      </c>
      <c r="P36" s="10">
        <f t="shared" si="4"/>
        <v>11.167</v>
      </c>
      <c r="Q36" s="4">
        <f t="shared" ref="Q33:Q40" si="12">13*P36-O36-F36</f>
        <v>90.850999999999999</v>
      </c>
      <c r="R36" s="4"/>
      <c r="S36" s="10"/>
      <c r="T36" s="10"/>
      <c r="U36" s="10">
        <f t="shared" si="5"/>
        <v>13</v>
      </c>
      <c r="V36" s="10">
        <f t="shared" si="6"/>
        <v>4.8643324079878214</v>
      </c>
      <c r="W36" s="10">
        <v>8.4138000000000002</v>
      </c>
      <c r="X36" s="10">
        <v>10.8034</v>
      </c>
      <c r="Y36" s="10">
        <v>13.099399999999999</v>
      </c>
      <c r="Z36" s="10">
        <v>10.789400000000001</v>
      </c>
      <c r="AA36" s="10">
        <v>10.862399999999999</v>
      </c>
      <c r="AB36" s="10">
        <v>9.3933999999999997</v>
      </c>
      <c r="AC36" s="10">
        <v>7.8487999999999998</v>
      </c>
      <c r="AD36" s="10">
        <v>14.1966</v>
      </c>
      <c r="AE36" s="10"/>
      <c r="AF36" s="10">
        <f t="shared" si="11"/>
        <v>90.850999999999999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</row>
    <row r="37" spans="1:51" x14ac:dyDescent="0.25">
      <c r="A37" s="10" t="s">
        <v>74</v>
      </c>
      <c r="B37" s="10" t="s">
        <v>36</v>
      </c>
      <c r="C37" s="10">
        <v>79.525000000000006</v>
      </c>
      <c r="D37" s="10"/>
      <c r="E37" s="10">
        <v>67.590999999999994</v>
      </c>
      <c r="F37" s="10">
        <v>-0.224</v>
      </c>
      <c r="G37" s="7">
        <v>1</v>
      </c>
      <c r="H37" s="10">
        <v>30</v>
      </c>
      <c r="I37" s="10" t="s">
        <v>37</v>
      </c>
      <c r="J37" s="10"/>
      <c r="K37" s="10">
        <v>100.9</v>
      </c>
      <c r="L37" s="10">
        <f t="shared" si="2"/>
        <v>-33.309000000000012</v>
      </c>
      <c r="M37" s="10">
        <f t="shared" si="3"/>
        <v>67.590999999999994</v>
      </c>
      <c r="N37" s="10"/>
      <c r="O37" s="10">
        <v>172.42779999999999</v>
      </c>
      <c r="P37" s="10">
        <f t="shared" si="4"/>
        <v>13.518199999999998</v>
      </c>
      <c r="Q37" s="4">
        <f t="shared" si="12"/>
        <v>3.5327999999999911</v>
      </c>
      <c r="R37" s="4"/>
      <c r="S37" s="10"/>
      <c r="T37" s="10"/>
      <c r="U37" s="10">
        <f t="shared" si="5"/>
        <v>13</v>
      </c>
      <c r="V37" s="10">
        <f t="shared" si="6"/>
        <v>12.73866343152195</v>
      </c>
      <c r="W37" s="10">
        <v>22.904800000000002</v>
      </c>
      <c r="X37" s="10">
        <v>8.4700000000000006</v>
      </c>
      <c r="Y37" s="10">
        <v>23.795999999999999</v>
      </c>
      <c r="Z37" s="10">
        <v>10.9732</v>
      </c>
      <c r="AA37" s="10">
        <v>14.803599999999999</v>
      </c>
      <c r="AB37" s="10">
        <v>18.515599999999999</v>
      </c>
      <c r="AC37" s="10">
        <v>12.9604</v>
      </c>
      <c r="AD37" s="10">
        <v>18.5122</v>
      </c>
      <c r="AE37" s="10"/>
      <c r="AF37" s="10">
        <f t="shared" si="11"/>
        <v>3.5327999999999911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</row>
    <row r="38" spans="1:51" x14ac:dyDescent="0.25">
      <c r="A38" s="10" t="s">
        <v>75</v>
      </c>
      <c r="B38" s="10" t="s">
        <v>41</v>
      </c>
      <c r="C38" s="10">
        <v>28</v>
      </c>
      <c r="D38" s="10">
        <v>129</v>
      </c>
      <c r="E38" s="10">
        <v>102</v>
      </c>
      <c r="F38" s="10">
        <v>32</v>
      </c>
      <c r="G38" s="7">
        <v>0.35</v>
      </c>
      <c r="H38" s="10">
        <v>40</v>
      </c>
      <c r="I38" s="10" t="s">
        <v>37</v>
      </c>
      <c r="J38" s="10"/>
      <c r="K38" s="10">
        <v>120</v>
      </c>
      <c r="L38" s="10">
        <f t="shared" ref="L38:L69" si="13">E38-K38</f>
        <v>-18</v>
      </c>
      <c r="M38" s="10">
        <f t="shared" ref="M38:M69" si="14">E38-N38</f>
        <v>102</v>
      </c>
      <c r="N38" s="10"/>
      <c r="O38" s="10">
        <v>204.2</v>
      </c>
      <c r="P38" s="10">
        <f t="shared" ref="P38:P69" si="15">M38/5</f>
        <v>20.399999999999999</v>
      </c>
      <c r="Q38" s="4">
        <f t="shared" si="12"/>
        <v>29</v>
      </c>
      <c r="R38" s="4"/>
      <c r="S38" s="10"/>
      <c r="T38" s="10"/>
      <c r="U38" s="10">
        <f t="shared" ref="U38:U69" si="16">(F38+O38+Q38)/P38</f>
        <v>13</v>
      </c>
      <c r="V38" s="10">
        <f t="shared" ref="V38:V69" si="17">(F38+O38)/P38</f>
        <v>11.578431372549019</v>
      </c>
      <c r="W38" s="10">
        <v>27.4</v>
      </c>
      <c r="X38" s="10">
        <v>23</v>
      </c>
      <c r="Y38" s="10">
        <v>21.8</v>
      </c>
      <c r="Z38" s="10">
        <v>22.8</v>
      </c>
      <c r="AA38" s="10">
        <v>19.8</v>
      </c>
      <c r="AB38" s="10">
        <v>21.6</v>
      </c>
      <c r="AC38" s="10">
        <v>24.4</v>
      </c>
      <c r="AD38" s="10">
        <v>20.8</v>
      </c>
      <c r="AE38" s="10"/>
      <c r="AF38" s="10">
        <f t="shared" si="11"/>
        <v>10.149999999999999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</row>
    <row r="39" spans="1:51" x14ac:dyDescent="0.25">
      <c r="A39" s="10" t="s">
        <v>76</v>
      </c>
      <c r="B39" s="10" t="s">
        <v>41</v>
      </c>
      <c r="C39" s="10">
        <v>355</v>
      </c>
      <c r="D39" s="10">
        <v>435</v>
      </c>
      <c r="E39" s="10">
        <v>434</v>
      </c>
      <c r="F39" s="10">
        <v>329</v>
      </c>
      <c r="G39" s="7">
        <v>0.4</v>
      </c>
      <c r="H39" s="10">
        <v>45</v>
      </c>
      <c r="I39" s="10" t="s">
        <v>37</v>
      </c>
      <c r="J39" s="10"/>
      <c r="K39" s="10">
        <v>461</v>
      </c>
      <c r="L39" s="10">
        <f t="shared" si="13"/>
        <v>-27</v>
      </c>
      <c r="M39" s="10">
        <f t="shared" si="14"/>
        <v>434</v>
      </c>
      <c r="N39" s="10"/>
      <c r="O39" s="10">
        <v>210.2</v>
      </c>
      <c r="P39" s="10">
        <f t="shared" si="15"/>
        <v>86.8</v>
      </c>
      <c r="Q39" s="4">
        <f t="shared" si="12"/>
        <v>589.19999999999982</v>
      </c>
      <c r="R39" s="4"/>
      <c r="S39" s="10"/>
      <c r="T39" s="10"/>
      <c r="U39" s="10">
        <f t="shared" si="16"/>
        <v>12.999999999999998</v>
      </c>
      <c r="V39" s="10">
        <f t="shared" si="17"/>
        <v>6.2119815668202776</v>
      </c>
      <c r="W39" s="10">
        <v>76.400000000000006</v>
      </c>
      <c r="X39" s="10">
        <v>79</v>
      </c>
      <c r="Y39" s="10">
        <v>83.2</v>
      </c>
      <c r="Z39" s="10">
        <v>86</v>
      </c>
      <c r="AA39" s="10">
        <v>82.8</v>
      </c>
      <c r="AB39" s="10">
        <v>72.2</v>
      </c>
      <c r="AC39" s="10">
        <v>89</v>
      </c>
      <c r="AD39" s="10">
        <v>84.6</v>
      </c>
      <c r="AE39" s="10"/>
      <c r="AF39" s="10">
        <f t="shared" si="11"/>
        <v>235.67999999999995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</row>
    <row r="40" spans="1:51" x14ac:dyDescent="0.25">
      <c r="A40" s="10" t="s">
        <v>77</v>
      </c>
      <c r="B40" s="10" t="s">
        <v>41</v>
      </c>
      <c r="C40" s="10">
        <v>149</v>
      </c>
      <c r="D40" s="10">
        <v>2</v>
      </c>
      <c r="E40" s="10">
        <v>132</v>
      </c>
      <c r="F40" s="10">
        <v>1</v>
      </c>
      <c r="G40" s="7">
        <v>0.45</v>
      </c>
      <c r="H40" s="10">
        <v>50</v>
      </c>
      <c r="I40" s="10" t="s">
        <v>37</v>
      </c>
      <c r="J40" s="10"/>
      <c r="K40" s="10">
        <v>173</v>
      </c>
      <c r="L40" s="10">
        <f t="shared" si="13"/>
        <v>-41</v>
      </c>
      <c r="M40" s="10">
        <f t="shared" si="14"/>
        <v>132</v>
      </c>
      <c r="N40" s="10"/>
      <c r="O40" s="10">
        <v>228</v>
      </c>
      <c r="P40" s="10">
        <f t="shared" si="15"/>
        <v>26.4</v>
      </c>
      <c r="Q40" s="4">
        <f t="shared" si="12"/>
        <v>114.19999999999999</v>
      </c>
      <c r="R40" s="4"/>
      <c r="S40" s="10"/>
      <c r="T40" s="10"/>
      <c r="U40" s="10">
        <f t="shared" si="16"/>
        <v>13</v>
      </c>
      <c r="V40" s="10">
        <f t="shared" si="17"/>
        <v>8.6742424242424239</v>
      </c>
      <c r="W40" s="10">
        <v>29</v>
      </c>
      <c r="X40" s="10">
        <v>23.2</v>
      </c>
      <c r="Y40" s="10">
        <v>33</v>
      </c>
      <c r="Z40" s="10">
        <v>32.4</v>
      </c>
      <c r="AA40" s="10">
        <v>30.2</v>
      </c>
      <c r="AB40" s="10">
        <v>26.6</v>
      </c>
      <c r="AC40" s="10">
        <v>37.4</v>
      </c>
      <c r="AD40" s="10">
        <v>29.4</v>
      </c>
      <c r="AE40" s="10"/>
      <c r="AF40" s="10">
        <f t="shared" si="11"/>
        <v>51.389999999999993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</row>
    <row r="41" spans="1:51" x14ac:dyDescent="0.25">
      <c r="A41" s="14" t="s">
        <v>78</v>
      </c>
      <c r="B41" s="14" t="s">
        <v>41</v>
      </c>
      <c r="C41" s="14">
        <v>-1</v>
      </c>
      <c r="D41" s="14"/>
      <c r="E41" s="14"/>
      <c r="F41" s="21">
        <v>-1</v>
      </c>
      <c r="G41" s="15">
        <v>0</v>
      </c>
      <c r="H41" s="14" t="e">
        <v>#N/A</v>
      </c>
      <c r="I41" s="14" t="s">
        <v>68</v>
      </c>
      <c r="J41" s="14" t="s">
        <v>79</v>
      </c>
      <c r="K41" s="14"/>
      <c r="L41" s="14">
        <f t="shared" si="13"/>
        <v>0</v>
      </c>
      <c r="M41" s="14">
        <f t="shared" si="14"/>
        <v>0</v>
      </c>
      <c r="N41" s="14"/>
      <c r="O41" s="14">
        <v>0</v>
      </c>
      <c r="P41" s="14">
        <f t="shared" si="15"/>
        <v>0</v>
      </c>
      <c r="Q41" s="16"/>
      <c r="R41" s="16"/>
      <c r="S41" s="14"/>
      <c r="T41" s="14"/>
      <c r="U41" s="14" t="e">
        <f t="shared" si="16"/>
        <v>#DIV/0!</v>
      </c>
      <c r="V41" s="14" t="e">
        <f t="shared" si="17"/>
        <v>#DIV/0!</v>
      </c>
      <c r="W41" s="14">
        <v>0.2</v>
      </c>
      <c r="X41" s="14">
        <v>0</v>
      </c>
      <c r="Y41" s="14">
        <v>0.8</v>
      </c>
      <c r="Z41" s="14">
        <v>0.2</v>
      </c>
      <c r="AA41" s="14">
        <v>0</v>
      </c>
      <c r="AB41" s="14">
        <v>0</v>
      </c>
      <c r="AC41" s="14">
        <v>0</v>
      </c>
      <c r="AD41" s="14">
        <v>0</v>
      </c>
      <c r="AE41" s="14"/>
      <c r="AF41" s="14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</row>
    <row r="42" spans="1:51" x14ac:dyDescent="0.25">
      <c r="A42" s="10" t="s">
        <v>80</v>
      </c>
      <c r="B42" s="10" t="s">
        <v>41</v>
      </c>
      <c r="C42" s="10">
        <v>321</v>
      </c>
      <c r="D42" s="10">
        <v>435</v>
      </c>
      <c r="E42" s="10">
        <v>441</v>
      </c>
      <c r="F42" s="10">
        <v>288</v>
      </c>
      <c r="G42" s="7">
        <v>0.4</v>
      </c>
      <c r="H42" s="10">
        <v>45</v>
      </c>
      <c r="I42" s="10" t="s">
        <v>37</v>
      </c>
      <c r="J42" s="10"/>
      <c r="K42" s="10">
        <v>463</v>
      </c>
      <c r="L42" s="10">
        <f t="shared" si="13"/>
        <v>-22</v>
      </c>
      <c r="M42" s="10">
        <f t="shared" si="14"/>
        <v>441</v>
      </c>
      <c r="N42" s="10"/>
      <c r="O42" s="10">
        <v>203.2</v>
      </c>
      <c r="P42" s="10">
        <f t="shared" si="15"/>
        <v>88.2</v>
      </c>
      <c r="Q42" s="4">
        <f t="shared" ref="Q42:Q74" si="18">13*P42-O42-F42</f>
        <v>655.40000000000009</v>
      </c>
      <c r="R42" s="4"/>
      <c r="S42" s="10"/>
      <c r="T42" s="10"/>
      <c r="U42" s="10">
        <f t="shared" si="16"/>
        <v>13.000000000000002</v>
      </c>
      <c r="V42" s="10">
        <f t="shared" si="17"/>
        <v>5.5691609977324257</v>
      </c>
      <c r="W42" s="10">
        <v>73.2</v>
      </c>
      <c r="X42" s="10">
        <v>75.400000000000006</v>
      </c>
      <c r="Y42" s="10">
        <v>84.4</v>
      </c>
      <c r="Z42" s="10">
        <v>77.8</v>
      </c>
      <c r="AA42" s="10">
        <v>78.400000000000006</v>
      </c>
      <c r="AB42" s="10">
        <v>70.8</v>
      </c>
      <c r="AC42" s="10">
        <v>75.400000000000006</v>
      </c>
      <c r="AD42" s="10">
        <v>82</v>
      </c>
      <c r="AE42" s="10"/>
      <c r="AF42" s="10">
        <f t="shared" ref="AF42:AF74" si="19">G42*Q42</f>
        <v>262.16000000000003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</row>
    <row r="43" spans="1:51" x14ac:dyDescent="0.25">
      <c r="A43" s="10" t="s">
        <v>81</v>
      </c>
      <c r="B43" s="10" t="s">
        <v>41</v>
      </c>
      <c r="C43" s="10">
        <v>212</v>
      </c>
      <c r="D43" s="10">
        <v>163</v>
      </c>
      <c r="E43" s="10">
        <v>256</v>
      </c>
      <c r="F43" s="10">
        <v>86</v>
      </c>
      <c r="G43" s="7">
        <v>0.4</v>
      </c>
      <c r="H43" s="10">
        <v>50</v>
      </c>
      <c r="I43" s="10" t="s">
        <v>37</v>
      </c>
      <c r="J43" s="10"/>
      <c r="K43" s="10">
        <v>288</v>
      </c>
      <c r="L43" s="10">
        <f t="shared" si="13"/>
        <v>-32</v>
      </c>
      <c r="M43" s="10">
        <f t="shared" si="14"/>
        <v>256</v>
      </c>
      <c r="N43" s="10"/>
      <c r="O43" s="10">
        <v>300</v>
      </c>
      <c r="P43" s="10">
        <f t="shared" si="15"/>
        <v>51.2</v>
      </c>
      <c r="Q43" s="4">
        <f t="shared" si="18"/>
        <v>279.60000000000002</v>
      </c>
      <c r="R43" s="4"/>
      <c r="S43" s="10"/>
      <c r="T43" s="10"/>
      <c r="U43" s="10">
        <f t="shared" si="16"/>
        <v>13</v>
      </c>
      <c r="V43" s="10">
        <f t="shared" si="17"/>
        <v>7.5390625</v>
      </c>
      <c r="W43" s="10">
        <v>47.2</v>
      </c>
      <c r="X43" s="10">
        <v>49.4</v>
      </c>
      <c r="Y43" s="10">
        <v>57.4</v>
      </c>
      <c r="Z43" s="10">
        <v>45.2</v>
      </c>
      <c r="AA43" s="10">
        <v>56.8</v>
      </c>
      <c r="AB43" s="10">
        <v>46.8</v>
      </c>
      <c r="AC43" s="10">
        <v>54</v>
      </c>
      <c r="AD43" s="10">
        <v>53.4</v>
      </c>
      <c r="AE43" s="10"/>
      <c r="AF43" s="10">
        <f t="shared" si="19"/>
        <v>111.84000000000002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</row>
    <row r="44" spans="1:51" x14ac:dyDescent="0.25">
      <c r="A44" s="10" t="s">
        <v>82</v>
      </c>
      <c r="B44" s="10" t="s">
        <v>41</v>
      </c>
      <c r="C44" s="10">
        <v>91</v>
      </c>
      <c r="D44" s="10">
        <v>132</v>
      </c>
      <c r="E44" s="10">
        <v>93</v>
      </c>
      <c r="F44" s="10">
        <v>113</v>
      </c>
      <c r="G44" s="7">
        <v>0.4</v>
      </c>
      <c r="H44" s="10">
        <v>40</v>
      </c>
      <c r="I44" s="10" t="s">
        <v>37</v>
      </c>
      <c r="J44" s="10"/>
      <c r="K44" s="10">
        <v>110</v>
      </c>
      <c r="L44" s="10">
        <f t="shared" si="13"/>
        <v>-17</v>
      </c>
      <c r="M44" s="10">
        <f t="shared" si="14"/>
        <v>93</v>
      </c>
      <c r="N44" s="10"/>
      <c r="O44" s="10">
        <v>123.6</v>
      </c>
      <c r="P44" s="10">
        <f t="shared" si="15"/>
        <v>18.600000000000001</v>
      </c>
      <c r="Q44" s="4">
        <f t="shared" si="18"/>
        <v>5.2000000000000171</v>
      </c>
      <c r="R44" s="4"/>
      <c r="S44" s="10"/>
      <c r="T44" s="10"/>
      <c r="U44" s="10">
        <f t="shared" si="16"/>
        <v>13</v>
      </c>
      <c r="V44" s="10">
        <f t="shared" si="17"/>
        <v>12.72043010752688</v>
      </c>
      <c r="W44" s="10">
        <v>26.4</v>
      </c>
      <c r="X44" s="10">
        <v>28.2</v>
      </c>
      <c r="Y44" s="10">
        <v>30</v>
      </c>
      <c r="Z44" s="10">
        <v>25.8</v>
      </c>
      <c r="AA44" s="10">
        <v>29.2</v>
      </c>
      <c r="AB44" s="10">
        <v>24.2</v>
      </c>
      <c r="AC44" s="10">
        <v>28.6</v>
      </c>
      <c r="AD44" s="10">
        <v>30.6</v>
      </c>
      <c r="AE44" s="10"/>
      <c r="AF44" s="10">
        <f t="shared" si="19"/>
        <v>2.0800000000000067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</row>
    <row r="45" spans="1:51" x14ac:dyDescent="0.25">
      <c r="A45" s="10" t="s">
        <v>83</v>
      </c>
      <c r="B45" s="10" t="s">
        <v>41</v>
      </c>
      <c r="C45" s="10">
        <v>262</v>
      </c>
      <c r="D45" s="10">
        <v>1842</v>
      </c>
      <c r="E45" s="10">
        <v>1845</v>
      </c>
      <c r="F45" s="10">
        <v>257</v>
      </c>
      <c r="G45" s="7">
        <v>0.1</v>
      </c>
      <c r="H45" s="10">
        <v>730</v>
      </c>
      <c r="I45" s="10" t="s">
        <v>37</v>
      </c>
      <c r="J45" s="10"/>
      <c r="K45" s="10">
        <v>1847</v>
      </c>
      <c r="L45" s="10">
        <f t="shared" si="13"/>
        <v>-2</v>
      </c>
      <c r="M45" s="10">
        <f t="shared" si="14"/>
        <v>1845</v>
      </c>
      <c r="N45" s="10"/>
      <c r="O45" s="10">
        <v>0</v>
      </c>
      <c r="P45" s="10">
        <f t="shared" si="15"/>
        <v>369</v>
      </c>
      <c r="Q45" s="4">
        <v>400</v>
      </c>
      <c r="R45" s="4"/>
      <c r="S45" s="10"/>
      <c r="T45" s="10"/>
      <c r="U45" s="10">
        <f t="shared" si="16"/>
        <v>1.7804878048780488</v>
      </c>
      <c r="V45" s="10">
        <f t="shared" si="17"/>
        <v>0.69647696476964771</v>
      </c>
      <c r="W45" s="10">
        <v>45.8</v>
      </c>
      <c r="X45" s="10">
        <v>260.2</v>
      </c>
      <c r="Y45" s="10">
        <v>0</v>
      </c>
      <c r="Z45" s="10">
        <v>155.4</v>
      </c>
      <c r="AA45" s="10">
        <v>42.6</v>
      </c>
      <c r="AB45" s="10">
        <v>43.6</v>
      </c>
      <c r="AC45" s="10">
        <v>57.4</v>
      </c>
      <c r="AD45" s="10">
        <v>49.6</v>
      </c>
      <c r="AE45" s="10"/>
      <c r="AF45" s="10">
        <f t="shared" si="19"/>
        <v>40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</row>
    <row r="46" spans="1:51" x14ac:dyDescent="0.25">
      <c r="A46" s="10" t="s">
        <v>85</v>
      </c>
      <c r="B46" s="10" t="s">
        <v>41</v>
      </c>
      <c r="C46" s="10"/>
      <c r="D46" s="10">
        <v>241</v>
      </c>
      <c r="E46" s="10">
        <v>148</v>
      </c>
      <c r="F46" s="10">
        <v>69</v>
      </c>
      <c r="G46" s="7">
        <v>0.33</v>
      </c>
      <c r="H46" s="10">
        <v>45</v>
      </c>
      <c r="I46" s="10" t="s">
        <v>37</v>
      </c>
      <c r="J46" s="10"/>
      <c r="K46" s="10">
        <v>172</v>
      </c>
      <c r="L46" s="10">
        <f t="shared" si="13"/>
        <v>-24</v>
      </c>
      <c r="M46" s="10">
        <f t="shared" si="14"/>
        <v>148</v>
      </c>
      <c r="N46" s="10"/>
      <c r="O46" s="10">
        <v>120</v>
      </c>
      <c r="P46" s="10">
        <f t="shared" si="15"/>
        <v>29.6</v>
      </c>
      <c r="Q46" s="4">
        <f t="shared" si="18"/>
        <v>195.8</v>
      </c>
      <c r="R46" s="4"/>
      <c r="S46" s="10"/>
      <c r="T46" s="10"/>
      <c r="U46" s="10">
        <f t="shared" si="16"/>
        <v>13</v>
      </c>
      <c r="V46" s="10">
        <f t="shared" si="17"/>
        <v>6.3851351351351351</v>
      </c>
      <c r="W46" s="10">
        <v>23.2</v>
      </c>
      <c r="X46" s="10">
        <v>31</v>
      </c>
      <c r="Y46" s="10">
        <v>20.399999999999999</v>
      </c>
      <c r="Z46" s="10">
        <v>40</v>
      </c>
      <c r="AA46" s="10">
        <v>27</v>
      </c>
      <c r="AB46" s="10">
        <v>31.4</v>
      </c>
      <c r="AC46" s="10">
        <v>38</v>
      </c>
      <c r="AD46" s="10">
        <v>35.799999999999997</v>
      </c>
      <c r="AE46" s="10"/>
      <c r="AF46" s="10">
        <f t="shared" si="19"/>
        <v>64.614000000000004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</row>
    <row r="47" spans="1:51" x14ac:dyDescent="0.25">
      <c r="A47" s="10" t="s">
        <v>79</v>
      </c>
      <c r="B47" s="10" t="s">
        <v>41</v>
      </c>
      <c r="C47" s="10">
        <v>141</v>
      </c>
      <c r="D47" s="10">
        <v>164</v>
      </c>
      <c r="E47" s="10">
        <v>241</v>
      </c>
      <c r="F47" s="21">
        <f>4+F41</f>
        <v>3</v>
      </c>
      <c r="G47" s="7">
        <v>0.35</v>
      </c>
      <c r="H47" s="10">
        <v>40</v>
      </c>
      <c r="I47" s="10" t="s">
        <v>37</v>
      </c>
      <c r="J47" s="10"/>
      <c r="K47" s="10">
        <v>295</v>
      </c>
      <c r="L47" s="10">
        <f t="shared" si="13"/>
        <v>-54</v>
      </c>
      <c r="M47" s="10">
        <f t="shared" si="14"/>
        <v>241</v>
      </c>
      <c r="N47" s="10"/>
      <c r="O47" s="10">
        <v>236.00000000000011</v>
      </c>
      <c r="P47" s="10">
        <f t="shared" si="15"/>
        <v>48.2</v>
      </c>
      <c r="Q47" s="4">
        <f t="shared" si="18"/>
        <v>387.59999999999991</v>
      </c>
      <c r="R47" s="4"/>
      <c r="S47" s="10"/>
      <c r="T47" s="10"/>
      <c r="U47" s="10">
        <f t="shared" si="16"/>
        <v>13</v>
      </c>
      <c r="V47" s="10">
        <f t="shared" si="17"/>
        <v>4.958506224066392</v>
      </c>
      <c r="W47" s="10">
        <v>41</v>
      </c>
      <c r="X47" s="10">
        <v>40.4</v>
      </c>
      <c r="Y47" s="10">
        <v>47.6</v>
      </c>
      <c r="Z47" s="10">
        <v>41</v>
      </c>
      <c r="AA47" s="10">
        <v>40.799999999999997</v>
      </c>
      <c r="AB47" s="10">
        <v>38</v>
      </c>
      <c r="AC47" s="10">
        <v>38.799999999999997</v>
      </c>
      <c r="AD47" s="10">
        <v>46</v>
      </c>
      <c r="AE47" s="10"/>
      <c r="AF47" s="10">
        <f t="shared" si="19"/>
        <v>135.65999999999997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</row>
    <row r="48" spans="1:51" x14ac:dyDescent="0.25">
      <c r="A48" s="10" t="s">
        <v>86</v>
      </c>
      <c r="B48" s="10" t="s">
        <v>41</v>
      </c>
      <c r="C48" s="10">
        <v>49</v>
      </c>
      <c r="D48" s="10">
        <v>31</v>
      </c>
      <c r="E48" s="10">
        <v>16</v>
      </c>
      <c r="F48" s="10">
        <v>58</v>
      </c>
      <c r="G48" s="7">
        <v>0.4</v>
      </c>
      <c r="H48" s="10">
        <v>40</v>
      </c>
      <c r="I48" s="10" t="s">
        <v>37</v>
      </c>
      <c r="J48" s="10"/>
      <c r="K48" s="10">
        <v>22</v>
      </c>
      <c r="L48" s="10">
        <f t="shared" si="13"/>
        <v>-6</v>
      </c>
      <c r="M48" s="10">
        <f t="shared" si="14"/>
        <v>16</v>
      </c>
      <c r="N48" s="10"/>
      <c r="O48" s="10">
        <v>7.6000000000000094</v>
      </c>
      <c r="P48" s="10">
        <f t="shared" si="15"/>
        <v>3.2</v>
      </c>
      <c r="Q48" s="4"/>
      <c r="R48" s="4"/>
      <c r="S48" s="10"/>
      <c r="T48" s="10"/>
      <c r="U48" s="10">
        <f t="shared" si="16"/>
        <v>20.5</v>
      </c>
      <c r="V48" s="10">
        <f t="shared" si="17"/>
        <v>20.5</v>
      </c>
      <c r="W48" s="10">
        <v>6.2</v>
      </c>
      <c r="X48" s="10">
        <v>8</v>
      </c>
      <c r="Y48" s="10">
        <v>3.8</v>
      </c>
      <c r="Z48" s="10">
        <v>8.4</v>
      </c>
      <c r="AA48" s="10">
        <v>4.8</v>
      </c>
      <c r="AB48" s="10">
        <v>6.2</v>
      </c>
      <c r="AC48" s="10">
        <v>4.4000000000000004</v>
      </c>
      <c r="AD48" s="10">
        <v>6.6</v>
      </c>
      <c r="AE48" s="12" t="s">
        <v>60</v>
      </c>
      <c r="AF48" s="10">
        <f t="shared" si="19"/>
        <v>0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</row>
    <row r="49" spans="1:51" x14ac:dyDescent="0.25">
      <c r="A49" s="10" t="s">
        <v>87</v>
      </c>
      <c r="B49" s="10" t="s">
        <v>41</v>
      </c>
      <c r="C49" s="10">
        <v>6</v>
      </c>
      <c r="D49" s="10">
        <v>74</v>
      </c>
      <c r="E49" s="10">
        <v>41</v>
      </c>
      <c r="F49" s="10">
        <v>28</v>
      </c>
      <c r="G49" s="7">
        <v>0.4</v>
      </c>
      <c r="H49" s="10">
        <v>45</v>
      </c>
      <c r="I49" s="10" t="s">
        <v>37</v>
      </c>
      <c r="J49" s="10"/>
      <c r="K49" s="10">
        <v>52</v>
      </c>
      <c r="L49" s="10">
        <f t="shared" si="13"/>
        <v>-11</v>
      </c>
      <c r="M49" s="10">
        <f t="shared" si="14"/>
        <v>41</v>
      </c>
      <c r="N49" s="10"/>
      <c r="O49" s="10">
        <v>50</v>
      </c>
      <c r="P49" s="10">
        <f t="shared" si="15"/>
        <v>8.1999999999999993</v>
      </c>
      <c r="Q49" s="4">
        <f t="shared" si="18"/>
        <v>28.599999999999994</v>
      </c>
      <c r="R49" s="4"/>
      <c r="S49" s="10"/>
      <c r="T49" s="10"/>
      <c r="U49" s="10">
        <f t="shared" si="16"/>
        <v>13</v>
      </c>
      <c r="V49" s="10">
        <f t="shared" si="17"/>
        <v>9.5121951219512209</v>
      </c>
      <c r="W49" s="10">
        <v>8.6</v>
      </c>
      <c r="X49" s="10">
        <v>9.6</v>
      </c>
      <c r="Y49" s="10">
        <v>6.4</v>
      </c>
      <c r="Z49" s="10">
        <v>9.6</v>
      </c>
      <c r="AA49" s="10">
        <v>8.8000000000000007</v>
      </c>
      <c r="AB49" s="10">
        <v>6</v>
      </c>
      <c r="AC49" s="10">
        <v>7.8</v>
      </c>
      <c r="AD49" s="10">
        <v>5.4</v>
      </c>
      <c r="AE49" s="10"/>
      <c r="AF49" s="10">
        <f t="shared" si="19"/>
        <v>11.439999999999998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</row>
    <row r="50" spans="1:51" x14ac:dyDescent="0.25">
      <c r="A50" s="10" t="s">
        <v>88</v>
      </c>
      <c r="B50" s="10" t="s">
        <v>36</v>
      </c>
      <c r="C50" s="10">
        <v>95.638000000000005</v>
      </c>
      <c r="D50" s="10">
        <v>50</v>
      </c>
      <c r="E50" s="21">
        <f>7.913+E117</f>
        <v>58.546999999999997</v>
      </c>
      <c r="F50" s="21">
        <f>47.834+F117</f>
        <v>63.803000000000004</v>
      </c>
      <c r="G50" s="7">
        <v>1</v>
      </c>
      <c r="H50" s="10">
        <v>40</v>
      </c>
      <c r="I50" s="10" t="s">
        <v>37</v>
      </c>
      <c r="J50" s="10"/>
      <c r="K50" s="10">
        <v>9.9</v>
      </c>
      <c r="L50" s="10">
        <f t="shared" si="13"/>
        <v>48.646999999999998</v>
      </c>
      <c r="M50" s="10">
        <f t="shared" si="14"/>
        <v>58.546999999999997</v>
      </c>
      <c r="N50" s="10"/>
      <c r="O50" s="10">
        <v>139.43879999999999</v>
      </c>
      <c r="P50" s="10">
        <f t="shared" si="15"/>
        <v>11.709399999999999</v>
      </c>
      <c r="Q50" s="4"/>
      <c r="R50" s="4"/>
      <c r="S50" s="10"/>
      <c r="T50" s="10"/>
      <c r="U50" s="10">
        <f t="shared" si="16"/>
        <v>17.357148957248022</v>
      </c>
      <c r="V50" s="10">
        <f t="shared" si="17"/>
        <v>17.357148957248022</v>
      </c>
      <c r="W50" s="10">
        <v>20.2776</v>
      </c>
      <c r="X50" s="10">
        <v>17.180800000000001</v>
      </c>
      <c r="Y50" s="10">
        <v>23.8062</v>
      </c>
      <c r="Z50" s="10">
        <v>16.3506</v>
      </c>
      <c r="AA50" s="10">
        <v>16.853999999999999</v>
      </c>
      <c r="AB50" s="10">
        <v>16.8062</v>
      </c>
      <c r="AC50" s="10">
        <v>4.1639999999999997</v>
      </c>
      <c r="AD50" s="10">
        <v>22.227</v>
      </c>
      <c r="AE50" s="10"/>
      <c r="AF50" s="10">
        <f t="shared" si="19"/>
        <v>0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</row>
    <row r="51" spans="1:51" x14ac:dyDescent="0.25">
      <c r="A51" s="10" t="s">
        <v>89</v>
      </c>
      <c r="B51" s="10" t="s">
        <v>41</v>
      </c>
      <c r="C51" s="10">
        <v>128</v>
      </c>
      <c r="D51" s="10">
        <v>96</v>
      </c>
      <c r="E51" s="10">
        <v>158</v>
      </c>
      <c r="F51" s="10">
        <v>33</v>
      </c>
      <c r="G51" s="7">
        <v>0.35</v>
      </c>
      <c r="H51" s="10">
        <v>40</v>
      </c>
      <c r="I51" s="10" t="s">
        <v>37</v>
      </c>
      <c r="J51" s="10"/>
      <c r="K51" s="10">
        <v>185</v>
      </c>
      <c r="L51" s="10">
        <f t="shared" si="13"/>
        <v>-27</v>
      </c>
      <c r="M51" s="10">
        <f t="shared" si="14"/>
        <v>158</v>
      </c>
      <c r="N51" s="10"/>
      <c r="O51" s="10">
        <v>267.39999999999998</v>
      </c>
      <c r="P51" s="10">
        <f t="shared" si="15"/>
        <v>31.6</v>
      </c>
      <c r="Q51" s="4">
        <f t="shared" si="18"/>
        <v>110.40000000000003</v>
      </c>
      <c r="R51" s="4"/>
      <c r="S51" s="10"/>
      <c r="T51" s="10"/>
      <c r="U51" s="10">
        <f t="shared" si="16"/>
        <v>13</v>
      </c>
      <c r="V51" s="10">
        <f t="shared" si="17"/>
        <v>9.5063291139240498</v>
      </c>
      <c r="W51" s="10">
        <v>37.4</v>
      </c>
      <c r="X51" s="10">
        <v>32.799999999999997</v>
      </c>
      <c r="Y51" s="10">
        <v>40.799999999999997</v>
      </c>
      <c r="Z51" s="10">
        <v>32.200000000000003</v>
      </c>
      <c r="AA51" s="10">
        <v>34.6</v>
      </c>
      <c r="AB51" s="10">
        <v>36.200000000000003</v>
      </c>
      <c r="AC51" s="10">
        <v>32.799999999999997</v>
      </c>
      <c r="AD51" s="10">
        <v>33.4</v>
      </c>
      <c r="AE51" s="10"/>
      <c r="AF51" s="10">
        <f t="shared" si="19"/>
        <v>38.640000000000008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</row>
    <row r="52" spans="1:51" x14ac:dyDescent="0.25">
      <c r="A52" s="10" t="s">
        <v>90</v>
      </c>
      <c r="B52" s="10" t="s">
        <v>41</v>
      </c>
      <c r="C52" s="10">
        <v>136</v>
      </c>
      <c r="D52" s="10">
        <v>64</v>
      </c>
      <c r="E52" s="21">
        <f>163+E113</f>
        <v>243</v>
      </c>
      <c r="F52" s="21">
        <f>10+F113</f>
        <v>7</v>
      </c>
      <c r="G52" s="7">
        <v>0.35</v>
      </c>
      <c r="H52" s="10">
        <v>40</v>
      </c>
      <c r="I52" s="10" t="s">
        <v>37</v>
      </c>
      <c r="J52" s="10"/>
      <c r="K52" s="10">
        <v>185</v>
      </c>
      <c r="L52" s="10">
        <f t="shared" si="13"/>
        <v>58</v>
      </c>
      <c r="M52" s="10">
        <f t="shared" si="14"/>
        <v>243</v>
      </c>
      <c r="N52" s="10"/>
      <c r="O52" s="10">
        <v>630.40000000000009</v>
      </c>
      <c r="P52" s="10">
        <f t="shared" si="15"/>
        <v>48.6</v>
      </c>
      <c r="Q52" s="4"/>
      <c r="R52" s="4"/>
      <c r="S52" s="10"/>
      <c r="T52" s="10"/>
      <c r="U52" s="10">
        <f t="shared" si="16"/>
        <v>13.115226337448561</v>
      </c>
      <c r="V52" s="10">
        <f t="shared" si="17"/>
        <v>13.115226337448561</v>
      </c>
      <c r="W52" s="10">
        <v>82.4</v>
      </c>
      <c r="X52" s="10">
        <v>52.4</v>
      </c>
      <c r="Y52" s="10">
        <v>100</v>
      </c>
      <c r="Z52" s="10">
        <v>62.2</v>
      </c>
      <c r="AA52" s="10">
        <v>77.8</v>
      </c>
      <c r="AB52" s="10">
        <v>57.8</v>
      </c>
      <c r="AC52" s="10">
        <v>62.6</v>
      </c>
      <c r="AD52" s="10">
        <v>58.2</v>
      </c>
      <c r="AE52" s="10"/>
      <c r="AF52" s="10">
        <f t="shared" si="19"/>
        <v>0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</row>
    <row r="53" spans="1:51" x14ac:dyDescent="0.25">
      <c r="A53" s="10" t="s">
        <v>91</v>
      </c>
      <c r="B53" s="10" t="s">
        <v>36</v>
      </c>
      <c r="C53" s="10">
        <v>578.09400000000005</v>
      </c>
      <c r="D53" s="10">
        <v>75.013000000000005</v>
      </c>
      <c r="E53" s="10">
        <v>371.233</v>
      </c>
      <c r="F53" s="10">
        <v>196.50299999999999</v>
      </c>
      <c r="G53" s="7">
        <v>1</v>
      </c>
      <c r="H53" s="10">
        <v>50</v>
      </c>
      <c r="I53" s="10" t="s">
        <v>37</v>
      </c>
      <c r="J53" s="10"/>
      <c r="K53" s="10">
        <v>437.363</v>
      </c>
      <c r="L53" s="10">
        <f t="shared" si="13"/>
        <v>-66.13</v>
      </c>
      <c r="M53" s="10">
        <f t="shared" si="14"/>
        <v>296.22000000000003</v>
      </c>
      <c r="N53" s="10">
        <v>75.013000000000005</v>
      </c>
      <c r="O53" s="10">
        <v>0</v>
      </c>
      <c r="P53" s="10">
        <f t="shared" si="15"/>
        <v>59.244000000000007</v>
      </c>
      <c r="Q53" s="4">
        <f>11*P53-O53-F53</f>
        <v>455.1810000000001</v>
      </c>
      <c r="R53" s="4"/>
      <c r="S53" s="10"/>
      <c r="T53" s="10"/>
      <c r="U53" s="10">
        <f t="shared" si="16"/>
        <v>11</v>
      </c>
      <c r="V53" s="10">
        <f t="shared" si="17"/>
        <v>3.316842211869556</v>
      </c>
      <c r="W53" s="10">
        <v>26.323</v>
      </c>
      <c r="X53" s="10">
        <v>34.578000000000003</v>
      </c>
      <c r="Y53" s="10">
        <v>35.113799999999998</v>
      </c>
      <c r="Z53" s="10">
        <v>38.259800000000013</v>
      </c>
      <c r="AA53" s="10">
        <v>31.641200000000001</v>
      </c>
      <c r="AB53" s="10">
        <v>51.67199999999999</v>
      </c>
      <c r="AC53" s="10">
        <v>77.430399999999992</v>
      </c>
      <c r="AD53" s="10">
        <v>96.968400000000003</v>
      </c>
      <c r="AE53" s="10"/>
      <c r="AF53" s="10">
        <f t="shared" si="19"/>
        <v>455.1810000000001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</row>
    <row r="54" spans="1:51" x14ac:dyDescent="0.25">
      <c r="A54" s="10" t="s">
        <v>92</v>
      </c>
      <c r="B54" s="10" t="s">
        <v>36</v>
      </c>
      <c r="C54" s="10">
        <v>13.704000000000001</v>
      </c>
      <c r="D54" s="10">
        <v>187.37299999999999</v>
      </c>
      <c r="E54" s="10">
        <v>136.96899999999999</v>
      </c>
      <c r="F54" s="10">
        <v>59.116</v>
      </c>
      <c r="G54" s="7">
        <v>1</v>
      </c>
      <c r="H54" s="10">
        <v>50</v>
      </c>
      <c r="I54" s="10" t="s">
        <v>37</v>
      </c>
      <c r="J54" s="10"/>
      <c r="K54" s="10">
        <v>134</v>
      </c>
      <c r="L54" s="10">
        <f t="shared" si="13"/>
        <v>2.9689999999999941</v>
      </c>
      <c r="M54" s="10">
        <f t="shared" si="14"/>
        <v>136.96899999999999</v>
      </c>
      <c r="N54" s="10"/>
      <c r="O54" s="10">
        <v>0</v>
      </c>
      <c r="P54" s="10">
        <f t="shared" si="15"/>
        <v>27.393799999999999</v>
      </c>
      <c r="Q54" s="4">
        <f>10*P54-O54-F54</f>
        <v>214.822</v>
      </c>
      <c r="R54" s="4"/>
      <c r="S54" s="10"/>
      <c r="T54" s="10"/>
      <c r="U54" s="10">
        <f t="shared" si="16"/>
        <v>10</v>
      </c>
      <c r="V54" s="10">
        <f t="shared" si="17"/>
        <v>2.1580065562280515</v>
      </c>
      <c r="W54" s="10">
        <v>14.7616</v>
      </c>
      <c r="X54" s="10">
        <v>17.4496</v>
      </c>
      <c r="Y54" s="10">
        <v>14.847200000000001</v>
      </c>
      <c r="Z54" s="10">
        <v>19.866399999999999</v>
      </c>
      <c r="AA54" s="10">
        <v>16.557600000000001</v>
      </c>
      <c r="AB54" s="10">
        <v>23.145199999999999</v>
      </c>
      <c r="AC54" s="10">
        <v>19.932200000000002</v>
      </c>
      <c r="AD54" s="10">
        <v>16.100000000000001</v>
      </c>
      <c r="AE54" s="10"/>
      <c r="AF54" s="10">
        <f t="shared" si="19"/>
        <v>214.822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</row>
    <row r="55" spans="1:51" x14ac:dyDescent="0.25">
      <c r="A55" s="10" t="s">
        <v>93</v>
      </c>
      <c r="B55" s="10" t="s">
        <v>36</v>
      </c>
      <c r="C55" s="10"/>
      <c r="D55" s="10"/>
      <c r="E55" s="10"/>
      <c r="F55" s="10"/>
      <c r="G55" s="7">
        <v>1</v>
      </c>
      <c r="H55" s="10" t="e">
        <v>#N/A</v>
      </c>
      <c r="I55" s="10" t="s">
        <v>37</v>
      </c>
      <c r="J55" s="10"/>
      <c r="K55" s="10"/>
      <c r="L55" s="10">
        <f t="shared" si="13"/>
        <v>0</v>
      </c>
      <c r="M55" s="10">
        <f t="shared" si="14"/>
        <v>0</v>
      </c>
      <c r="N55" s="10"/>
      <c r="O55" s="10">
        <v>50</v>
      </c>
      <c r="P55" s="10">
        <f t="shared" si="15"/>
        <v>0</v>
      </c>
      <c r="Q55" s="4"/>
      <c r="R55" s="4"/>
      <c r="S55" s="10"/>
      <c r="T55" s="10"/>
      <c r="U55" s="10" t="e">
        <f t="shared" si="16"/>
        <v>#DIV/0!</v>
      </c>
      <c r="V55" s="10" t="e">
        <f t="shared" si="17"/>
        <v>#DIV/0!</v>
      </c>
      <c r="W55" s="10">
        <v>0</v>
      </c>
      <c r="X55" s="10">
        <v>0.89779999999999993</v>
      </c>
      <c r="Y55" s="10">
        <v>0</v>
      </c>
      <c r="Z55" s="10">
        <v>0</v>
      </c>
      <c r="AA55" s="10">
        <v>2.3906000000000001</v>
      </c>
      <c r="AB55" s="10">
        <v>2.5804</v>
      </c>
      <c r="AC55" s="10">
        <v>2.6907999999999999</v>
      </c>
      <c r="AD55" s="10">
        <v>7.1821999999999999</v>
      </c>
      <c r="AE55" s="10"/>
      <c r="AF55" s="10">
        <f t="shared" si="19"/>
        <v>0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</row>
    <row r="56" spans="1:51" x14ac:dyDescent="0.25">
      <c r="A56" s="10" t="s">
        <v>94</v>
      </c>
      <c r="B56" s="10" t="s">
        <v>36</v>
      </c>
      <c r="C56" s="10"/>
      <c r="D56" s="10">
        <v>86.48</v>
      </c>
      <c r="E56" s="10">
        <v>20.919</v>
      </c>
      <c r="F56" s="10">
        <v>65.561000000000007</v>
      </c>
      <c r="G56" s="7">
        <v>1</v>
      </c>
      <c r="H56" s="10">
        <v>40</v>
      </c>
      <c r="I56" s="10" t="s">
        <v>37</v>
      </c>
      <c r="J56" s="10"/>
      <c r="K56" s="10">
        <v>19.899999999999999</v>
      </c>
      <c r="L56" s="10">
        <f t="shared" si="13"/>
        <v>1.0190000000000019</v>
      </c>
      <c r="M56" s="10">
        <f t="shared" si="14"/>
        <v>20.919</v>
      </c>
      <c r="N56" s="10"/>
      <c r="O56" s="10">
        <v>30</v>
      </c>
      <c r="P56" s="10">
        <f t="shared" si="15"/>
        <v>4.1837999999999997</v>
      </c>
      <c r="Q56" s="4"/>
      <c r="R56" s="4"/>
      <c r="S56" s="10"/>
      <c r="T56" s="10"/>
      <c r="U56" s="10">
        <f t="shared" si="16"/>
        <v>22.84071896362159</v>
      </c>
      <c r="V56" s="10">
        <f t="shared" si="17"/>
        <v>22.84071896362159</v>
      </c>
      <c r="W56" s="10">
        <v>1.7216000000000009</v>
      </c>
      <c r="X56" s="10">
        <v>0</v>
      </c>
      <c r="Y56" s="10">
        <v>4.3056000000000001</v>
      </c>
      <c r="Z56" s="10">
        <v>0.71899999999999975</v>
      </c>
      <c r="AA56" s="10">
        <v>3.7302</v>
      </c>
      <c r="AB56" s="10">
        <v>5.2904</v>
      </c>
      <c r="AC56" s="10">
        <v>3.3062</v>
      </c>
      <c r="AD56" s="10">
        <v>4.1543999999999999</v>
      </c>
      <c r="AE56" s="10"/>
      <c r="AF56" s="10">
        <f t="shared" si="19"/>
        <v>0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</row>
    <row r="57" spans="1:51" x14ac:dyDescent="0.25">
      <c r="A57" s="10" t="s">
        <v>95</v>
      </c>
      <c r="B57" s="10" t="s">
        <v>41</v>
      </c>
      <c r="C57" s="10">
        <v>351</v>
      </c>
      <c r="D57" s="10">
        <v>390</v>
      </c>
      <c r="E57" s="21">
        <f>329+E114</f>
        <v>537</v>
      </c>
      <c r="F57" s="21">
        <f>366+F114</f>
        <v>392</v>
      </c>
      <c r="G57" s="7">
        <v>0.45</v>
      </c>
      <c r="H57" s="10">
        <v>50</v>
      </c>
      <c r="I57" s="10" t="s">
        <v>37</v>
      </c>
      <c r="J57" s="10"/>
      <c r="K57" s="10">
        <v>375</v>
      </c>
      <c r="L57" s="10">
        <f t="shared" si="13"/>
        <v>162</v>
      </c>
      <c r="M57" s="10">
        <f t="shared" si="14"/>
        <v>537</v>
      </c>
      <c r="N57" s="10"/>
      <c r="O57" s="10">
        <v>700</v>
      </c>
      <c r="P57" s="10">
        <f t="shared" si="15"/>
        <v>107.4</v>
      </c>
      <c r="Q57" s="4">
        <f t="shared" si="18"/>
        <v>304.20000000000005</v>
      </c>
      <c r="R57" s="4"/>
      <c r="S57" s="10"/>
      <c r="T57" s="10"/>
      <c r="U57" s="10">
        <f t="shared" si="16"/>
        <v>13</v>
      </c>
      <c r="V57" s="10">
        <f t="shared" si="17"/>
        <v>10.167597765363128</v>
      </c>
      <c r="W57" s="10">
        <v>122</v>
      </c>
      <c r="X57" s="10">
        <v>108.6</v>
      </c>
      <c r="Y57" s="10">
        <v>141.19999999999999</v>
      </c>
      <c r="Z57" s="10">
        <v>142.80000000000001</v>
      </c>
      <c r="AA57" s="10">
        <v>138</v>
      </c>
      <c r="AB57" s="10">
        <v>129.4</v>
      </c>
      <c r="AC57" s="10">
        <v>150.19999999999999</v>
      </c>
      <c r="AD57" s="10">
        <v>134.4</v>
      </c>
      <c r="AE57" s="10"/>
      <c r="AF57" s="10">
        <f t="shared" si="19"/>
        <v>136.89000000000001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</row>
    <row r="58" spans="1:51" x14ac:dyDescent="0.25">
      <c r="A58" s="10" t="s">
        <v>96</v>
      </c>
      <c r="B58" s="10" t="s">
        <v>36</v>
      </c>
      <c r="C58" s="10">
        <v>10.105</v>
      </c>
      <c r="D58" s="10">
        <v>103.806</v>
      </c>
      <c r="E58" s="10">
        <v>58.404000000000003</v>
      </c>
      <c r="F58" s="10">
        <v>38.18</v>
      </c>
      <c r="G58" s="7">
        <v>1</v>
      </c>
      <c r="H58" s="10">
        <v>40</v>
      </c>
      <c r="I58" s="10" t="s">
        <v>37</v>
      </c>
      <c r="J58" s="10"/>
      <c r="K58" s="10">
        <v>74.427000000000007</v>
      </c>
      <c r="L58" s="10">
        <f t="shared" si="13"/>
        <v>-16.023000000000003</v>
      </c>
      <c r="M58" s="10">
        <f t="shared" si="14"/>
        <v>41.076999999999998</v>
      </c>
      <c r="N58" s="10">
        <v>17.327000000000002</v>
      </c>
      <c r="O58" s="10">
        <v>0</v>
      </c>
      <c r="P58" s="10">
        <f t="shared" si="15"/>
        <v>8.2153999999999989</v>
      </c>
      <c r="Q58" s="4">
        <f t="shared" si="18"/>
        <v>68.620199999999983</v>
      </c>
      <c r="R58" s="4"/>
      <c r="S58" s="10"/>
      <c r="T58" s="10"/>
      <c r="U58" s="10">
        <f t="shared" si="16"/>
        <v>13</v>
      </c>
      <c r="V58" s="10">
        <f t="shared" si="17"/>
        <v>4.6473695742142809</v>
      </c>
      <c r="W58" s="10">
        <v>5.8054000000000006</v>
      </c>
      <c r="X58" s="10">
        <v>3.45</v>
      </c>
      <c r="Y58" s="10">
        <v>0</v>
      </c>
      <c r="Z58" s="10">
        <v>-0.1434</v>
      </c>
      <c r="AA58" s="10">
        <v>1.1448</v>
      </c>
      <c r="AB58" s="10">
        <v>2.4373999999999998</v>
      </c>
      <c r="AC58" s="10">
        <v>12.1904</v>
      </c>
      <c r="AD58" s="10">
        <v>7.8947999999999992</v>
      </c>
      <c r="AE58" s="10"/>
      <c r="AF58" s="10">
        <f t="shared" si="19"/>
        <v>68.620199999999983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</row>
    <row r="59" spans="1:51" x14ac:dyDescent="0.25">
      <c r="A59" s="10" t="s">
        <v>97</v>
      </c>
      <c r="B59" s="10" t="s">
        <v>41</v>
      </c>
      <c r="C59" s="10">
        <v>494</v>
      </c>
      <c r="D59" s="10">
        <v>142</v>
      </c>
      <c r="E59" s="10">
        <v>446</v>
      </c>
      <c r="F59" s="10">
        <v>148</v>
      </c>
      <c r="G59" s="7">
        <v>0.45</v>
      </c>
      <c r="H59" s="10">
        <v>50</v>
      </c>
      <c r="I59" s="10" t="s">
        <v>37</v>
      </c>
      <c r="J59" s="10"/>
      <c r="K59" s="10">
        <v>488</v>
      </c>
      <c r="L59" s="10">
        <f t="shared" si="13"/>
        <v>-42</v>
      </c>
      <c r="M59" s="10">
        <f t="shared" si="14"/>
        <v>446</v>
      </c>
      <c r="N59" s="10"/>
      <c r="O59" s="10">
        <v>323.80000000000013</v>
      </c>
      <c r="P59" s="10">
        <f t="shared" si="15"/>
        <v>89.2</v>
      </c>
      <c r="Q59" s="4">
        <f t="shared" si="18"/>
        <v>687.8</v>
      </c>
      <c r="R59" s="4"/>
      <c r="S59" s="10"/>
      <c r="T59" s="10"/>
      <c r="U59" s="10">
        <f t="shared" si="16"/>
        <v>13.000000000000002</v>
      </c>
      <c r="V59" s="10">
        <f t="shared" si="17"/>
        <v>5.2892376681614364</v>
      </c>
      <c r="W59" s="10">
        <v>73.400000000000006</v>
      </c>
      <c r="X59" s="10">
        <v>68.2</v>
      </c>
      <c r="Y59" s="10">
        <v>97.8</v>
      </c>
      <c r="Z59" s="10">
        <v>85.6</v>
      </c>
      <c r="AA59" s="10">
        <v>98.4</v>
      </c>
      <c r="AB59" s="10">
        <v>76.8</v>
      </c>
      <c r="AC59" s="10">
        <v>94.2</v>
      </c>
      <c r="AD59" s="10">
        <v>87.8</v>
      </c>
      <c r="AE59" s="10"/>
      <c r="AF59" s="10">
        <f t="shared" si="19"/>
        <v>309.51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</row>
    <row r="60" spans="1:51" x14ac:dyDescent="0.25">
      <c r="A60" s="10" t="s">
        <v>98</v>
      </c>
      <c r="B60" s="10" t="s">
        <v>41</v>
      </c>
      <c r="C60" s="10">
        <v>168</v>
      </c>
      <c r="D60" s="10">
        <v>3</v>
      </c>
      <c r="E60" s="10">
        <v>131</v>
      </c>
      <c r="F60" s="10">
        <v>1</v>
      </c>
      <c r="G60" s="7">
        <v>0.45</v>
      </c>
      <c r="H60" s="10">
        <v>50</v>
      </c>
      <c r="I60" s="10" t="s">
        <v>37</v>
      </c>
      <c r="J60" s="10"/>
      <c r="K60" s="10">
        <v>213</v>
      </c>
      <c r="L60" s="10">
        <f t="shared" si="13"/>
        <v>-82</v>
      </c>
      <c r="M60" s="10">
        <f t="shared" si="14"/>
        <v>131</v>
      </c>
      <c r="N60" s="10"/>
      <c r="O60" s="10">
        <v>500</v>
      </c>
      <c r="P60" s="10">
        <f t="shared" si="15"/>
        <v>26.2</v>
      </c>
      <c r="Q60" s="4"/>
      <c r="R60" s="4"/>
      <c r="S60" s="10"/>
      <c r="T60" s="10"/>
      <c r="U60" s="10">
        <f t="shared" si="16"/>
        <v>19.122137404580155</v>
      </c>
      <c r="V60" s="10">
        <f t="shared" si="17"/>
        <v>19.122137404580155</v>
      </c>
      <c r="W60" s="10">
        <v>52.6</v>
      </c>
      <c r="X60" s="10">
        <v>21.2</v>
      </c>
      <c r="Y60" s="10">
        <v>58.8</v>
      </c>
      <c r="Z60" s="10">
        <v>28.8</v>
      </c>
      <c r="AA60" s="10">
        <v>55.2</v>
      </c>
      <c r="AB60" s="10">
        <v>32.4</v>
      </c>
      <c r="AC60" s="10">
        <v>61</v>
      </c>
      <c r="AD60" s="10">
        <v>42.2</v>
      </c>
      <c r="AE60" s="10"/>
      <c r="AF60" s="10">
        <f t="shared" si="19"/>
        <v>0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</row>
    <row r="61" spans="1:51" x14ac:dyDescent="0.25">
      <c r="A61" s="10" t="s">
        <v>99</v>
      </c>
      <c r="B61" s="10" t="s">
        <v>41</v>
      </c>
      <c r="C61" s="10">
        <v>42</v>
      </c>
      <c r="D61" s="10">
        <v>103</v>
      </c>
      <c r="E61" s="10">
        <v>49</v>
      </c>
      <c r="F61" s="10">
        <v>72</v>
      </c>
      <c r="G61" s="7">
        <v>0.4</v>
      </c>
      <c r="H61" s="10" t="e">
        <v>#N/A</v>
      </c>
      <c r="I61" s="10" t="s">
        <v>37</v>
      </c>
      <c r="J61" s="10"/>
      <c r="K61" s="10">
        <v>73</v>
      </c>
      <c r="L61" s="10">
        <f t="shared" si="13"/>
        <v>-24</v>
      </c>
      <c r="M61" s="10">
        <f t="shared" si="14"/>
        <v>49</v>
      </c>
      <c r="N61" s="10"/>
      <c r="O61" s="10">
        <v>0</v>
      </c>
      <c r="P61" s="10">
        <f t="shared" si="15"/>
        <v>9.8000000000000007</v>
      </c>
      <c r="Q61" s="4">
        <f t="shared" si="18"/>
        <v>55.400000000000006</v>
      </c>
      <c r="R61" s="4"/>
      <c r="S61" s="10"/>
      <c r="T61" s="10"/>
      <c r="U61" s="10">
        <f t="shared" si="16"/>
        <v>13</v>
      </c>
      <c r="V61" s="10">
        <f t="shared" si="17"/>
        <v>7.3469387755102034</v>
      </c>
      <c r="W61" s="10">
        <v>8.8000000000000007</v>
      </c>
      <c r="X61" s="10">
        <v>13.6</v>
      </c>
      <c r="Y61" s="10">
        <v>11.8</v>
      </c>
      <c r="Z61" s="10">
        <v>11.4</v>
      </c>
      <c r="AA61" s="10">
        <v>10</v>
      </c>
      <c r="AB61" s="10">
        <v>14.8</v>
      </c>
      <c r="AC61" s="10">
        <v>4.8</v>
      </c>
      <c r="AD61" s="10">
        <v>15.8</v>
      </c>
      <c r="AE61" s="10"/>
      <c r="AF61" s="10">
        <f t="shared" si="19"/>
        <v>22.160000000000004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</row>
    <row r="62" spans="1:51" x14ac:dyDescent="0.25">
      <c r="A62" s="10" t="s">
        <v>100</v>
      </c>
      <c r="B62" s="10" t="s">
        <v>36</v>
      </c>
      <c r="C62" s="10">
        <v>403.64699999999999</v>
      </c>
      <c r="D62" s="10">
        <v>10.691000000000001</v>
      </c>
      <c r="E62" s="10">
        <v>182.79900000000001</v>
      </c>
      <c r="F62" s="10">
        <v>217.309</v>
      </c>
      <c r="G62" s="7">
        <v>1</v>
      </c>
      <c r="H62" s="10">
        <v>50</v>
      </c>
      <c r="I62" s="10" t="s">
        <v>37</v>
      </c>
      <c r="J62" s="10"/>
      <c r="K62" s="10">
        <v>183.59100000000001</v>
      </c>
      <c r="L62" s="10">
        <f t="shared" si="13"/>
        <v>-0.79200000000000159</v>
      </c>
      <c r="M62" s="10">
        <f t="shared" si="14"/>
        <v>172.108</v>
      </c>
      <c r="N62" s="10">
        <v>10.691000000000001</v>
      </c>
      <c r="O62" s="10">
        <v>32.336599999999983</v>
      </c>
      <c r="P62" s="10">
        <f t="shared" si="15"/>
        <v>34.421599999999998</v>
      </c>
      <c r="Q62" s="4">
        <f t="shared" si="18"/>
        <v>197.83520000000001</v>
      </c>
      <c r="R62" s="4"/>
      <c r="S62" s="10"/>
      <c r="T62" s="10"/>
      <c r="U62" s="10">
        <f t="shared" si="16"/>
        <v>13</v>
      </c>
      <c r="V62" s="10">
        <f t="shared" si="17"/>
        <v>7.2525855857949653</v>
      </c>
      <c r="W62" s="10">
        <v>33.537199999999999</v>
      </c>
      <c r="X62" s="10">
        <v>38.401600000000002</v>
      </c>
      <c r="Y62" s="10">
        <v>32.188599999999987</v>
      </c>
      <c r="Z62" s="10">
        <v>31.204000000000001</v>
      </c>
      <c r="AA62" s="10">
        <v>47.443399999999997</v>
      </c>
      <c r="AB62" s="10">
        <v>34.029999999999987</v>
      </c>
      <c r="AC62" s="10">
        <v>38.4084</v>
      </c>
      <c r="AD62" s="10">
        <v>57.887999999999998</v>
      </c>
      <c r="AE62" s="10"/>
      <c r="AF62" s="10">
        <f t="shared" si="19"/>
        <v>197.83520000000001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</row>
    <row r="63" spans="1:51" x14ac:dyDescent="0.25">
      <c r="A63" s="10" t="s">
        <v>101</v>
      </c>
      <c r="B63" s="10" t="s">
        <v>36</v>
      </c>
      <c r="C63" s="10">
        <v>0.72099999999999997</v>
      </c>
      <c r="D63" s="10"/>
      <c r="E63" s="10">
        <v>-2E-3</v>
      </c>
      <c r="F63" s="10">
        <v>-0.17399999999999999</v>
      </c>
      <c r="G63" s="7">
        <v>1</v>
      </c>
      <c r="H63" s="10">
        <v>40</v>
      </c>
      <c r="I63" s="10" t="s">
        <v>37</v>
      </c>
      <c r="J63" s="10"/>
      <c r="K63" s="10">
        <v>16</v>
      </c>
      <c r="L63" s="10">
        <f t="shared" si="13"/>
        <v>-16.001999999999999</v>
      </c>
      <c r="M63" s="10">
        <f t="shared" si="14"/>
        <v>-2E-3</v>
      </c>
      <c r="N63" s="10"/>
      <c r="O63" s="10">
        <v>30</v>
      </c>
      <c r="P63" s="10">
        <f t="shared" si="15"/>
        <v>-4.0000000000000002E-4</v>
      </c>
      <c r="Q63" s="4">
        <v>15</v>
      </c>
      <c r="R63" s="4"/>
      <c r="S63" s="10"/>
      <c r="T63" s="10"/>
      <c r="U63" s="10">
        <f t="shared" si="16"/>
        <v>-112065</v>
      </c>
      <c r="V63" s="10">
        <f t="shared" si="17"/>
        <v>-74565</v>
      </c>
      <c r="W63" s="10">
        <v>5.0640000000000001</v>
      </c>
      <c r="X63" s="10">
        <v>-3.800000000000026E-3</v>
      </c>
      <c r="Y63" s="10">
        <v>4.8091999999999997</v>
      </c>
      <c r="Z63" s="10">
        <v>0.53400000000000003</v>
      </c>
      <c r="AA63" s="10">
        <v>5.2713999999999999</v>
      </c>
      <c r="AB63" s="10">
        <v>3.1261999999999999</v>
      </c>
      <c r="AC63" s="10">
        <v>4.5987999999999998</v>
      </c>
      <c r="AD63" s="10">
        <v>1.4334</v>
      </c>
      <c r="AE63" s="10"/>
      <c r="AF63" s="10">
        <f t="shared" si="19"/>
        <v>15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</row>
    <row r="64" spans="1:51" x14ac:dyDescent="0.25">
      <c r="A64" s="10" t="s">
        <v>102</v>
      </c>
      <c r="B64" s="10" t="s">
        <v>41</v>
      </c>
      <c r="C64" s="10">
        <v>1381</v>
      </c>
      <c r="D64" s="10"/>
      <c r="E64" s="10">
        <v>213</v>
      </c>
      <c r="F64" s="10">
        <v>1168</v>
      </c>
      <c r="G64" s="7">
        <v>0.1</v>
      </c>
      <c r="H64" s="10">
        <v>730</v>
      </c>
      <c r="I64" s="10" t="s">
        <v>37</v>
      </c>
      <c r="J64" s="10"/>
      <c r="K64" s="10">
        <v>213</v>
      </c>
      <c r="L64" s="10">
        <f t="shared" si="13"/>
        <v>0</v>
      </c>
      <c r="M64" s="10">
        <f t="shared" si="14"/>
        <v>213</v>
      </c>
      <c r="N64" s="10"/>
      <c r="O64" s="10">
        <v>0</v>
      </c>
      <c r="P64" s="10">
        <f t="shared" si="15"/>
        <v>42.6</v>
      </c>
      <c r="Q64" s="4"/>
      <c r="R64" s="4"/>
      <c r="S64" s="10"/>
      <c r="T64" s="10"/>
      <c r="U64" s="10">
        <f t="shared" si="16"/>
        <v>27.417840375586852</v>
      </c>
      <c r="V64" s="10">
        <f t="shared" si="17"/>
        <v>27.417840375586852</v>
      </c>
      <c r="W64" s="10">
        <v>35.6</v>
      </c>
      <c r="X64" s="10">
        <v>46.6</v>
      </c>
      <c r="Y64" s="10">
        <v>0</v>
      </c>
      <c r="Z64" s="10">
        <v>102.8</v>
      </c>
      <c r="AA64" s="10">
        <v>31.6</v>
      </c>
      <c r="AB64" s="10">
        <v>33.4</v>
      </c>
      <c r="AC64" s="10">
        <v>45.2</v>
      </c>
      <c r="AD64" s="10">
        <v>35.200000000000003</v>
      </c>
      <c r="AE64" s="22" t="s">
        <v>84</v>
      </c>
      <c r="AF64" s="10">
        <f t="shared" si="19"/>
        <v>0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</row>
    <row r="65" spans="1:51" x14ac:dyDescent="0.25">
      <c r="A65" s="10" t="s">
        <v>103</v>
      </c>
      <c r="B65" s="10" t="s">
        <v>36</v>
      </c>
      <c r="C65" s="10">
        <v>46.832000000000001</v>
      </c>
      <c r="D65" s="10">
        <v>64.3</v>
      </c>
      <c r="E65" s="10">
        <v>40.787999999999997</v>
      </c>
      <c r="F65" s="10">
        <v>67.040999999999997</v>
      </c>
      <c r="G65" s="7">
        <v>1</v>
      </c>
      <c r="H65" s="10">
        <v>50</v>
      </c>
      <c r="I65" s="10" t="s">
        <v>37</v>
      </c>
      <c r="J65" s="10"/>
      <c r="K65" s="10">
        <v>43.8</v>
      </c>
      <c r="L65" s="10">
        <f t="shared" si="13"/>
        <v>-3.0120000000000005</v>
      </c>
      <c r="M65" s="10">
        <f t="shared" si="14"/>
        <v>40.787999999999997</v>
      </c>
      <c r="N65" s="10"/>
      <c r="O65" s="10">
        <v>4</v>
      </c>
      <c r="P65" s="10">
        <f t="shared" si="15"/>
        <v>8.1575999999999986</v>
      </c>
      <c r="Q65" s="4">
        <f t="shared" si="18"/>
        <v>35.007799999999989</v>
      </c>
      <c r="R65" s="4"/>
      <c r="S65" s="10"/>
      <c r="T65" s="10"/>
      <c r="U65" s="10">
        <f t="shared" si="16"/>
        <v>13</v>
      </c>
      <c r="V65" s="10">
        <f t="shared" si="17"/>
        <v>8.7085662449740138</v>
      </c>
      <c r="W65" s="10">
        <v>8.4283999999999999</v>
      </c>
      <c r="X65" s="10">
        <v>9.6939999999999991</v>
      </c>
      <c r="Y65" s="10">
        <v>9.0410000000000004</v>
      </c>
      <c r="Z65" s="10">
        <v>10.338800000000001</v>
      </c>
      <c r="AA65" s="10">
        <v>11.3934</v>
      </c>
      <c r="AB65" s="10">
        <v>12.2796</v>
      </c>
      <c r="AC65" s="10">
        <v>8.9890000000000008</v>
      </c>
      <c r="AD65" s="10">
        <v>7.6745999999999999</v>
      </c>
      <c r="AE65" s="10"/>
      <c r="AF65" s="10">
        <f t="shared" si="19"/>
        <v>35.007799999999989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</row>
    <row r="66" spans="1:51" x14ac:dyDescent="0.25">
      <c r="A66" s="10" t="s">
        <v>104</v>
      </c>
      <c r="B66" s="10" t="s">
        <v>41</v>
      </c>
      <c r="C66" s="10">
        <v>97</v>
      </c>
      <c r="D66" s="10">
        <v>260</v>
      </c>
      <c r="E66" s="10">
        <v>152</v>
      </c>
      <c r="F66" s="10">
        <v>205</v>
      </c>
      <c r="G66" s="7">
        <v>0.1</v>
      </c>
      <c r="H66" s="10">
        <v>730</v>
      </c>
      <c r="I66" s="10" t="s">
        <v>37</v>
      </c>
      <c r="J66" s="10"/>
      <c r="K66" s="10">
        <v>152</v>
      </c>
      <c r="L66" s="10">
        <f t="shared" si="13"/>
        <v>0</v>
      </c>
      <c r="M66" s="10">
        <f t="shared" si="14"/>
        <v>152</v>
      </c>
      <c r="N66" s="10"/>
      <c r="O66" s="10">
        <v>0</v>
      </c>
      <c r="P66" s="10">
        <f t="shared" si="15"/>
        <v>30.4</v>
      </c>
      <c r="Q66" s="4">
        <f t="shared" si="18"/>
        <v>190.2</v>
      </c>
      <c r="R66" s="4"/>
      <c r="S66" s="10"/>
      <c r="T66" s="10"/>
      <c r="U66" s="10">
        <f t="shared" si="16"/>
        <v>13</v>
      </c>
      <c r="V66" s="10">
        <f t="shared" si="17"/>
        <v>6.7434210526315796</v>
      </c>
      <c r="W66" s="10">
        <v>23.4</v>
      </c>
      <c r="X66" s="10">
        <v>36.4</v>
      </c>
      <c r="Y66" s="10">
        <v>19.2</v>
      </c>
      <c r="Z66" s="10">
        <v>37.799999999999997</v>
      </c>
      <c r="AA66" s="10">
        <v>20.399999999999999</v>
      </c>
      <c r="AB66" s="10">
        <v>24</v>
      </c>
      <c r="AC66" s="10">
        <v>32</v>
      </c>
      <c r="AD66" s="10">
        <v>27.6</v>
      </c>
      <c r="AE66" s="10"/>
      <c r="AF66" s="10">
        <f t="shared" si="19"/>
        <v>19.02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</row>
    <row r="67" spans="1:51" x14ac:dyDescent="0.25">
      <c r="A67" s="10" t="s">
        <v>105</v>
      </c>
      <c r="B67" s="10" t="s">
        <v>41</v>
      </c>
      <c r="C67" s="10">
        <v>153</v>
      </c>
      <c r="D67" s="10">
        <v>246</v>
      </c>
      <c r="E67" s="10">
        <v>232</v>
      </c>
      <c r="F67" s="10">
        <v>152</v>
      </c>
      <c r="G67" s="7">
        <v>0.4</v>
      </c>
      <c r="H67" s="10">
        <v>40</v>
      </c>
      <c r="I67" s="10" t="s">
        <v>37</v>
      </c>
      <c r="J67" s="10"/>
      <c r="K67" s="10">
        <v>247</v>
      </c>
      <c r="L67" s="10">
        <f t="shared" si="13"/>
        <v>-15</v>
      </c>
      <c r="M67" s="10">
        <f t="shared" si="14"/>
        <v>232</v>
      </c>
      <c r="N67" s="10"/>
      <c r="O67" s="10">
        <v>238.2</v>
      </c>
      <c r="P67" s="10">
        <f t="shared" si="15"/>
        <v>46.4</v>
      </c>
      <c r="Q67" s="4">
        <f t="shared" si="18"/>
        <v>212.99999999999994</v>
      </c>
      <c r="R67" s="4"/>
      <c r="S67" s="10"/>
      <c r="T67" s="10"/>
      <c r="U67" s="10">
        <f t="shared" si="16"/>
        <v>12.999999999999998</v>
      </c>
      <c r="V67" s="10">
        <f t="shared" si="17"/>
        <v>8.4094827586206904</v>
      </c>
      <c r="W67" s="10">
        <v>48.8</v>
      </c>
      <c r="X67" s="10">
        <v>50.8</v>
      </c>
      <c r="Y67" s="10">
        <v>53.8</v>
      </c>
      <c r="Z67" s="10">
        <v>51.8</v>
      </c>
      <c r="AA67" s="10">
        <v>47.2</v>
      </c>
      <c r="AB67" s="10">
        <v>48.8</v>
      </c>
      <c r="AC67" s="10">
        <v>47</v>
      </c>
      <c r="AD67" s="10">
        <v>53.8</v>
      </c>
      <c r="AE67" s="10"/>
      <c r="AF67" s="10">
        <f t="shared" si="19"/>
        <v>85.199999999999989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</row>
    <row r="68" spans="1:51" x14ac:dyDescent="0.25">
      <c r="A68" s="10" t="s">
        <v>106</v>
      </c>
      <c r="B68" s="10" t="s">
        <v>41</v>
      </c>
      <c r="C68" s="10">
        <v>92</v>
      </c>
      <c r="D68" s="10">
        <v>301</v>
      </c>
      <c r="E68" s="10">
        <v>216</v>
      </c>
      <c r="F68" s="10">
        <v>155</v>
      </c>
      <c r="G68" s="7">
        <v>0.4</v>
      </c>
      <c r="H68" s="10">
        <v>40</v>
      </c>
      <c r="I68" s="10" t="s">
        <v>37</v>
      </c>
      <c r="J68" s="10"/>
      <c r="K68" s="10">
        <v>238</v>
      </c>
      <c r="L68" s="10">
        <f t="shared" si="13"/>
        <v>-22</v>
      </c>
      <c r="M68" s="10">
        <f t="shared" si="14"/>
        <v>216</v>
      </c>
      <c r="N68" s="10"/>
      <c r="O68" s="10">
        <v>96.800000000000011</v>
      </c>
      <c r="P68" s="10">
        <f t="shared" si="15"/>
        <v>43.2</v>
      </c>
      <c r="Q68" s="4">
        <f t="shared" si="18"/>
        <v>309.8</v>
      </c>
      <c r="R68" s="4"/>
      <c r="S68" s="10"/>
      <c r="T68" s="10"/>
      <c r="U68" s="10">
        <f t="shared" si="16"/>
        <v>13</v>
      </c>
      <c r="V68" s="10">
        <f t="shared" si="17"/>
        <v>5.8287037037037033</v>
      </c>
      <c r="W68" s="10">
        <v>37.6</v>
      </c>
      <c r="X68" s="10">
        <v>43</v>
      </c>
      <c r="Y68" s="10">
        <v>41</v>
      </c>
      <c r="Z68" s="10">
        <v>36.200000000000003</v>
      </c>
      <c r="AA68" s="10">
        <v>35.799999999999997</v>
      </c>
      <c r="AB68" s="10">
        <v>43.4</v>
      </c>
      <c r="AC68" s="10">
        <v>37.4</v>
      </c>
      <c r="AD68" s="10">
        <v>42.6</v>
      </c>
      <c r="AE68" s="10"/>
      <c r="AF68" s="10">
        <f t="shared" si="19"/>
        <v>123.92000000000002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</row>
    <row r="69" spans="1:51" x14ac:dyDescent="0.25">
      <c r="A69" s="10" t="s">
        <v>107</v>
      </c>
      <c r="B69" s="10" t="s">
        <v>36</v>
      </c>
      <c r="C69" s="10">
        <v>9.9450000000000003</v>
      </c>
      <c r="D69" s="10">
        <v>10.771000000000001</v>
      </c>
      <c r="E69" s="10">
        <v>11.903</v>
      </c>
      <c r="F69" s="10">
        <v>8.093</v>
      </c>
      <c r="G69" s="7">
        <v>1</v>
      </c>
      <c r="H69" s="10">
        <v>40</v>
      </c>
      <c r="I69" s="10" t="s">
        <v>37</v>
      </c>
      <c r="J69" s="10"/>
      <c r="K69" s="10">
        <v>11</v>
      </c>
      <c r="L69" s="10">
        <f t="shared" si="13"/>
        <v>0.90300000000000047</v>
      </c>
      <c r="M69" s="10">
        <f t="shared" si="14"/>
        <v>11.903</v>
      </c>
      <c r="N69" s="10"/>
      <c r="O69" s="10">
        <v>0</v>
      </c>
      <c r="P69" s="10">
        <f t="shared" si="15"/>
        <v>2.3806000000000003</v>
      </c>
      <c r="Q69" s="4">
        <f>11*P69-O69-F69</f>
        <v>18.093600000000002</v>
      </c>
      <c r="R69" s="4"/>
      <c r="S69" s="10"/>
      <c r="T69" s="10"/>
      <c r="U69" s="10">
        <f t="shared" si="16"/>
        <v>11</v>
      </c>
      <c r="V69" s="10">
        <f t="shared" si="17"/>
        <v>3.3995631353440303</v>
      </c>
      <c r="W69" s="10">
        <v>0.5484</v>
      </c>
      <c r="X69" s="10">
        <v>1.2732000000000001</v>
      </c>
      <c r="Y69" s="10">
        <v>0.8428000000000001</v>
      </c>
      <c r="Z69" s="10">
        <v>0.84719999999999995</v>
      </c>
      <c r="AA69" s="10">
        <v>1.546</v>
      </c>
      <c r="AB69" s="10">
        <v>4.3823999999999996</v>
      </c>
      <c r="AC69" s="10">
        <v>4.0674000000000001</v>
      </c>
      <c r="AD69" s="10">
        <v>3.2837999999999998</v>
      </c>
      <c r="AE69" s="10"/>
      <c r="AF69" s="10">
        <f t="shared" si="19"/>
        <v>18.093600000000002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</row>
    <row r="70" spans="1:51" x14ac:dyDescent="0.25">
      <c r="A70" s="10" t="s">
        <v>108</v>
      </c>
      <c r="B70" s="10" t="s">
        <v>36</v>
      </c>
      <c r="C70" s="10"/>
      <c r="D70" s="10"/>
      <c r="E70" s="10"/>
      <c r="F70" s="10"/>
      <c r="G70" s="7">
        <v>1</v>
      </c>
      <c r="H70" s="10">
        <v>40</v>
      </c>
      <c r="I70" s="11" t="s">
        <v>109</v>
      </c>
      <c r="J70" s="10"/>
      <c r="K70" s="10"/>
      <c r="L70" s="10">
        <f t="shared" ref="L70:L101" si="20">E70-K70</f>
        <v>0</v>
      </c>
      <c r="M70" s="10">
        <f t="shared" ref="M70:M101" si="21">E70-N70</f>
        <v>0</v>
      </c>
      <c r="N70" s="10"/>
      <c r="O70" s="10">
        <v>0</v>
      </c>
      <c r="P70" s="10">
        <f t="shared" ref="P70:P101" si="22">M70/5</f>
        <v>0</v>
      </c>
      <c r="Q70" s="4">
        <v>0</v>
      </c>
      <c r="R70" s="4"/>
      <c r="S70" s="10"/>
      <c r="T70" s="10"/>
      <c r="U70" s="10" t="e">
        <f t="shared" ref="U70:U101" si="23">(F70+O70+Q70)/P70</f>
        <v>#DIV/0!</v>
      </c>
      <c r="V70" s="10" t="e">
        <f t="shared" ref="V70:V101" si="24">(F70+O70)/P70</f>
        <v>#DIV/0!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 t="s">
        <v>110</v>
      </c>
      <c r="AF70" s="10">
        <f t="shared" si="19"/>
        <v>0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</row>
    <row r="71" spans="1:51" x14ac:dyDescent="0.25">
      <c r="A71" s="10" t="s">
        <v>111</v>
      </c>
      <c r="B71" s="10" t="s">
        <v>36</v>
      </c>
      <c r="C71" s="10">
        <v>7.1509999999999998</v>
      </c>
      <c r="D71" s="10">
        <v>228.733</v>
      </c>
      <c r="E71" s="10">
        <v>61.027000000000001</v>
      </c>
      <c r="F71" s="10">
        <v>170.74</v>
      </c>
      <c r="G71" s="7">
        <v>1</v>
      </c>
      <c r="H71" s="10">
        <v>40</v>
      </c>
      <c r="I71" s="10" t="s">
        <v>37</v>
      </c>
      <c r="J71" s="10"/>
      <c r="K71" s="10">
        <v>60.2</v>
      </c>
      <c r="L71" s="10">
        <f t="shared" si="20"/>
        <v>0.82699999999999818</v>
      </c>
      <c r="M71" s="10">
        <f t="shared" si="21"/>
        <v>61.027000000000001</v>
      </c>
      <c r="N71" s="10"/>
      <c r="O71" s="10">
        <v>11.192600000000009</v>
      </c>
      <c r="P71" s="10">
        <f t="shared" si="22"/>
        <v>12.205400000000001</v>
      </c>
      <c r="Q71" s="4"/>
      <c r="R71" s="4"/>
      <c r="S71" s="10"/>
      <c r="T71" s="10"/>
      <c r="U71" s="10">
        <f t="shared" si="23"/>
        <v>14.905910498631753</v>
      </c>
      <c r="V71" s="10">
        <f t="shared" si="24"/>
        <v>14.905910498631753</v>
      </c>
      <c r="W71" s="10">
        <v>18.8062</v>
      </c>
      <c r="X71" s="10">
        <v>29.837</v>
      </c>
      <c r="Y71" s="10">
        <v>18.514800000000001</v>
      </c>
      <c r="Z71" s="10">
        <v>28.116800000000001</v>
      </c>
      <c r="AA71" s="10">
        <v>20.383800000000001</v>
      </c>
      <c r="AB71" s="10">
        <v>31.6784</v>
      </c>
      <c r="AC71" s="10">
        <v>22.737200000000001</v>
      </c>
      <c r="AD71" s="10">
        <v>21.8306</v>
      </c>
      <c r="AE71" s="10"/>
      <c r="AF71" s="10">
        <f t="shared" si="19"/>
        <v>0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</row>
    <row r="72" spans="1:51" x14ac:dyDescent="0.25">
      <c r="A72" s="10" t="s">
        <v>112</v>
      </c>
      <c r="B72" s="10" t="s">
        <v>41</v>
      </c>
      <c r="C72" s="10"/>
      <c r="D72" s="10">
        <v>16</v>
      </c>
      <c r="E72" s="10">
        <v>6</v>
      </c>
      <c r="F72" s="10">
        <v>10</v>
      </c>
      <c r="G72" s="7">
        <v>0.6</v>
      </c>
      <c r="H72" s="10">
        <v>60</v>
      </c>
      <c r="I72" s="10" t="s">
        <v>37</v>
      </c>
      <c r="J72" s="10"/>
      <c r="K72" s="10">
        <v>6</v>
      </c>
      <c r="L72" s="10">
        <f t="shared" si="20"/>
        <v>0</v>
      </c>
      <c r="M72" s="10">
        <f t="shared" si="21"/>
        <v>6</v>
      </c>
      <c r="N72" s="10"/>
      <c r="O72" s="10">
        <v>0</v>
      </c>
      <c r="P72" s="10">
        <f t="shared" si="22"/>
        <v>1.2</v>
      </c>
      <c r="Q72" s="4">
        <f t="shared" si="18"/>
        <v>5.6</v>
      </c>
      <c r="R72" s="4"/>
      <c r="S72" s="10"/>
      <c r="T72" s="10"/>
      <c r="U72" s="10">
        <f t="shared" si="23"/>
        <v>13</v>
      </c>
      <c r="V72" s="10">
        <f t="shared" si="24"/>
        <v>8.3333333333333339</v>
      </c>
      <c r="W72" s="10">
        <v>0</v>
      </c>
      <c r="X72" s="10">
        <v>1.8</v>
      </c>
      <c r="Y72" s="10">
        <v>0.6</v>
      </c>
      <c r="Z72" s="10">
        <v>1.6</v>
      </c>
      <c r="AA72" s="10">
        <v>1</v>
      </c>
      <c r="AB72" s="10">
        <v>1.8</v>
      </c>
      <c r="AC72" s="10">
        <v>1.8</v>
      </c>
      <c r="AD72" s="10">
        <v>2.4</v>
      </c>
      <c r="AE72" s="10"/>
      <c r="AF72" s="10">
        <f t="shared" si="19"/>
        <v>3.36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</row>
    <row r="73" spans="1:51" x14ac:dyDescent="0.25">
      <c r="A73" s="10" t="s">
        <v>113</v>
      </c>
      <c r="B73" s="10" t="s">
        <v>41</v>
      </c>
      <c r="C73" s="10">
        <v>17</v>
      </c>
      <c r="D73" s="10">
        <v>8</v>
      </c>
      <c r="E73" s="10">
        <v>14</v>
      </c>
      <c r="F73" s="10">
        <v>10</v>
      </c>
      <c r="G73" s="7">
        <v>0.6</v>
      </c>
      <c r="H73" s="10">
        <v>60</v>
      </c>
      <c r="I73" s="10" t="s">
        <v>37</v>
      </c>
      <c r="J73" s="10"/>
      <c r="K73" s="10">
        <v>15</v>
      </c>
      <c r="L73" s="10">
        <f t="shared" si="20"/>
        <v>-1</v>
      </c>
      <c r="M73" s="10">
        <f t="shared" si="21"/>
        <v>14</v>
      </c>
      <c r="N73" s="10"/>
      <c r="O73" s="10">
        <v>13.4</v>
      </c>
      <c r="P73" s="10">
        <f t="shared" si="22"/>
        <v>2.8</v>
      </c>
      <c r="Q73" s="4">
        <f t="shared" si="18"/>
        <v>13</v>
      </c>
      <c r="R73" s="4"/>
      <c r="S73" s="10"/>
      <c r="T73" s="10"/>
      <c r="U73" s="10">
        <f t="shared" si="23"/>
        <v>13</v>
      </c>
      <c r="V73" s="10">
        <f t="shared" si="24"/>
        <v>8.3571428571428577</v>
      </c>
      <c r="W73" s="10">
        <v>2.8</v>
      </c>
      <c r="X73" s="10">
        <v>2.6</v>
      </c>
      <c r="Y73" s="10">
        <v>3.6</v>
      </c>
      <c r="Z73" s="10">
        <v>1.8</v>
      </c>
      <c r="AA73" s="10">
        <v>2.8</v>
      </c>
      <c r="AB73" s="10">
        <v>2.8</v>
      </c>
      <c r="AC73" s="10">
        <v>3.2</v>
      </c>
      <c r="AD73" s="10">
        <v>2.4</v>
      </c>
      <c r="AE73" s="10"/>
      <c r="AF73" s="10">
        <f t="shared" si="19"/>
        <v>7.8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</row>
    <row r="74" spans="1:51" x14ac:dyDescent="0.25">
      <c r="A74" s="10" t="s">
        <v>114</v>
      </c>
      <c r="B74" s="10" t="s">
        <v>41</v>
      </c>
      <c r="C74" s="10">
        <v>9</v>
      </c>
      <c r="D74" s="10">
        <v>16</v>
      </c>
      <c r="E74" s="10">
        <v>11</v>
      </c>
      <c r="F74" s="10">
        <v>14</v>
      </c>
      <c r="G74" s="7">
        <v>0.6</v>
      </c>
      <c r="H74" s="10">
        <v>60</v>
      </c>
      <c r="I74" s="10" t="s">
        <v>37</v>
      </c>
      <c r="J74" s="10"/>
      <c r="K74" s="10">
        <v>11</v>
      </c>
      <c r="L74" s="10">
        <f t="shared" si="20"/>
        <v>0</v>
      </c>
      <c r="M74" s="10">
        <f t="shared" si="21"/>
        <v>11</v>
      </c>
      <c r="N74" s="10"/>
      <c r="O74" s="10">
        <v>7.6000000000000014</v>
      </c>
      <c r="P74" s="10">
        <f t="shared" si="22"/>
        <v>2.2000000000000002</v>
      </c>
      <c r="Q74" s="4">
        <f t="shared" si="18"/>
        <v>7</v>
      </c>
      <c r="R74" s="4"/>
      <c r="S74" s="10"/>
      <c r="T74" s="10"/>
      <c r="U74" s="10">
        <f t="shared" si="23"/>
        <v>13</v>
      </c>
      <c r="V74" s="10">
        <f t="shared" si="24"/>
        <v>9.8181818181818183</v>
      </c>
      <c r="W74" s="10">
        <v>2.4</v>
      </c>
      <c r="X74" s="10">
        <v>2.8</v>
      </c>
      <c r="Y74" s="10">
        <v>2.8</v>
      </c>
      <c r="Z74" s="10">
        <v>2.2000000000000002</v>
      </c>
      <c r="AA74" s="10">
        <v>1.8</v>
      </c>
      <c r="AB74" s="10">
        <v>2.6</v>
      </c>
      <c r="AC74" s="10">
        <v>1.8</v>
      </c>
      <c r="AD74" s="10">
        <v>3.2</v>
      </c>
      <c r="AE74" s="10"/>
      <c r="AF74" s="10">
        <f t="shared" si="19"/>
        <v>4.2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</row>
    <row r="75" spans="1:51" x14ac:dyDescent="0.25">
      <c r="A75" s="14" t="s">
        <v>115</v>
      </c>
      <c r="B75" s="14" t="s">
        <v>36</v>
      </c>
      <c r="C75" s="14">
        <v>43.048000000000002</v>
      </c>
      <c r="D75" s="14"/>
      <c r="E75" s="14"/>
      <c r="F75" s="14">
        <v>43.048000000000002</v>
      </c>
      <c r="G75" s="15">
        <v>0</v>
      </c>
      <c r="H75" s="14" t="e">
        <v>#N/A</v>
      </c>
      <c r="I75" s="14" t="s">
        <v>68</v>
      </c>
      <c r="J75" s="14"/>
      <c r="K75" s="14">
        <v>1.3</v>
      </c>
      <c r="L75" s="14">
        <f t="shared" si="20"/>
        <v>-1.3</v>
      </c>
      <c r="M75" s="14">
        <f t="shared" si="21"/>
        <v>0</v>
      </c>
      <c r="N75" s="14"/>
      <c r="O75" s="14">
        <v>0</v>
      </c>
      <c r="P75" s="14">
        <f t="shared" si="22"/>
        <v>0</v>
      </c>
      <c r="Q75" s="16"/>
      <c r="R75" s="16"/>
      <c r="S75" s="14"/>
      <c r="T75" s="14"/>
      <c r="U75" s="14" t="e">
        <f t="shared" si="23"/>
        <v>#DIV/0!</v>
      </c>
      <c r="V75" s="14" t="e">
        <f t="shared" si="24"/>
        <v>#DIV/0!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2" t="s">
        <v>60</v>
      </c>
      <c r="AF75" s="14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</row>
    <row r="76" spans="1:51" x14ac:dyDescent="0.25">
      <c r="A76" s="10" t="s">
        <v>116</v>
      </c>
      <c r="B76" s="10" t="s">
        <v>41</v>
      </c>
      <c r="C76" s="10">
        <v>24</v>
      </c>
      <c r="D76" s="10">
        <v>8</v>
      </c>
      <c r="E76" s="10">
        <v>20</v>
      </c>
      <c r="F76" s="10">
        <v>12</v>
      </c>
      <c r="G76" s="7">
        <v>0.6</v>
      </c>
      <c r="H76" s="10">
        <v>55</v>
      </c>
      <c r="I76" s="10" t="s">
        <v>37</v>
      </c>
      <c r="J76" s="10"/>
      <c r="K76" s="10">
        <v>20</v>
      </c>
      <c r="L76" s="10">
        <f t="shared" si="20"/>
        <v>0</v>
      </c>
      <c r="M76" s="10">
        <f t="shared" si="21"/>
        <v>20</v>
      </c>
      <c r="N76" s="10"/>
      <c r="O76" s="10">
        <v>14.2</v>
      </c>
      <c r="P76" s="10">
        <f t="shared" si="22"/>
        <v>4</v>
      </c>
      <c r="Q76" s="4">
        <f t="shared" ref="Q76:Q112" si="25">13*P76-O76-F76</f>
        <v>25.799999999999997</v>
      </c>
      <c r="R76" s="4"/>
      <c r="S76" s="10"/>
      <c r="T76" s="10"/>
      <c r="U76" s="10">
        <f t="shared" si="23"/>
        <v>13</v>
      </c>
      <c r="V76" s="10">
        <f t="shared" si="24"/>
        <v>6.55</v>
      </c>
      <c r="W76" s="10">
        <v>3.4</v>
      </c>
      <c r="X76" s="10">
        <v>2.8</v>
      </c>
      <c r="Y76" s="10">
        <v>3.6</v>
      </c>
      <c r="Z76" s="10">
        <v>3</v>
      </c>
      <c r="AA76" s="10">
        <v>3.8</v>
      </c>
      <c r="AB76" s="10">
        <v>2.8</v>
      </c>
      <c r="AC76" s="10">
        <v>3</v>
      </c>
      <c r="AD76" s="10">
        <v>5.2</v>
      </c>
      <c r="AE76" s="10"/>
      <c r="AF76" s="10">
        <f t="shared" ref="AF76:AF112" si="26">G76*Q76</f>
        <v>15.479999999999997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</row>
    <row r="77" spans="1:51" x14ac:dyDescent="0.25">
      <c r="A77" s="10" t="s">
        <v>117</v>
      </c>
      <c r="B77" s="10" t="s">
        <v>41</v>
      </c>
      <c r="C77" s="10">
        <v>157</v>
      </c>
      <c r="D77" s="10"/>
      <c r="E77" s="10">
        <v>105</v>
      </c>
      <c r="F77" s="10">
        <v>47</v>
      </c>
      <c r="G77" s="7">
        <v>0.4</v>
      </c>
      <c r="H77" s="10" t="e">
        <v>#N/A</v>
      </c>
      <c r="I77" s="10" t="s">
        <v>37</v>
      </c>
      <c r="J77" s="10"/>
      <c r="K77" s="10">
        <v>110</v>
      </c>
      <c r="L77" s="10">
        <f t="shared" si="20"/>
        <v>-5</v>
      </c>
      <c r="M77" s="10">
        <f t="shared" si="21"/>
        <v>105</v>
      </c>
      <c r="N77" s="10"/>
      <c r="O77" s="10">
        <v>136.80000000000001</v>
      </c>
      <c r="P77" s="10">
        <f t="shared" si="22"/>
        <v>21</v>
      </c>
      <c r="Q77" s="4">
        <f t="shared" si="25"/>
        <v>89.199999999999989</v>
      </c>
      <c r="R77" s="4"/>
      <c r="S77" s="10"/>
      <c r="T77" s="10"/>
      <c r="U77" s="10">
        <f t="shared" si="23"/>
        <v>13</v>
      </c>
      <c r="V77" s="10">
        <f t="shared" si="24"/>
        <v>8.7523809523809533</v>
      </c>
      <c r="W77" s="10">
        <v>22.6</v>
      </c>
      <c r="X77" s="10">
        <v>18.399999999999999</v>
      </c>
      <c r="Y77" s="10">
        <v>26.4</v>
      </c>
      <c r="Z77" s="10">
        <v>23</v>
      </c>
      <c r="AA77" s="10">
        <v>20.2</v>
      </c>
      <c r="AB77" s="10">
        <v>27.6</v>
      </c>
      <c r="AC77" s="10">
        <v>20</v>
      </c>
      <c r="AD77" s="10">
        <v>21</v>
      </c>
      <c r="AE77" s="10"/>
      <c r="AF77" s="10">
        <f t="shared" si="26"/>
        <v>35.68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</row>
    <row r="78" spans="1:51" x14ac:dyDescent="0.25">
      <c r="A78" s="10" t="s">
        <v>118</v>
      </c>
      <c r="B78" s="10" t="s">
        <v>41</v>
      </c>
      <c r="C78" s="10">
        <v>145</v>
      </c>
      <c r="D78" s="10">
        <v>25</v>
      </c>
      <c r="E78" s="10">
        <v>110</v>
      </c>
      <c r="F78" s="10">
        <v>39</v>
      </c>
      <c r="G78" s="7">
        <v>0.33</v>
      </c>
      <c r="H78" s="10" t="e">
        <v>#N/A</v>
      </c>
      <c r="I78" s="10" t="s">
        <v>37</v>
      </c>
      <c r="J78" s="10"/>
      <c r="K78" s="10">
        <v>131</v>
      </c>
      <c r="L78" s="10">
        <f t="shared" si="20"/>
        <v>-21</v>
      </c>
      <c r="M78" s="10">
        <f t="shared" si="21"/>
        <v>110</v>
      </c>
      <c r="N78" s="10"/>
      <c r="O78" s="10">
        <v>131.6</v>
      </c>
      <c r="P78" s="10">
        <f t="shared" si="22"/>
        <v>22</v>
      </c>
      <c r="Q78" s="4">
        <f t="shared" si="25"/>
        <v>115.4</v>
      </c>
      <c r="R78" s="4"/>
      <c r="S78" s="10"/>
      <c r="T78" s="10"/>
      <c r="U78" s="10">
        <f t="shared" si="23"/>
        <v>13</v>
      </c>
      <c r="V78" s="10">
        <f t="shared" si="24"/>
        <v>7.754545454545454</v>
      </c>
      <c r="W78" s="10">
        <v>22.6</v>
      </c>
      <c r="X78" s="10">
        <v>21.4</v>
      </c>
      <c r="Y78" s="10">
        <v>28</v>
      </c>
      <c r="Z78" s="10">
        <v>25.8</v>
      </c>
      <c r="AA78" s="10">
        <v>23.4</v>
      </c>
      <c r="AB78" s="10">
        <v>29</v>
      </c>
      <c r="AC78" s="10">
        <v>29.4</v>
      </c>
      <c r="AD78" s="10">
        <v>24</v>
      </c>
      <c r="AE78" s="10"/>
      <c r="AF78" s="10">
        <f t="shared" si="26"/>
        <v>38.082000000000001</v>
      </c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</row>
    <row r="79" spans="1:51" x14ac:dyDescent="0.25">
      <c r="A79" s="10" t="s">
        <v>119</v>
      </c>
      <c r="B79" s="10" t="s">
        <v>41</v>
      </c>
      <c r="C79" s="10">
        <v>128</v>
      </c>
      <c r="D79" s="10">
        <v>66</v>
      </c>
      <c r="E79" s="10">
        <v>112</v>
      </c>
      <c r="F79" s="10">
        <v>76</v>
      </c>
      <c r="G79" s="7">
        <v>0.35</v>
      </c>
      <c r="H79" s="10" t="e">
        <v>#N/A</v>
      </c>
      <c r="I79" s="10" t="s">
        <v>37</v>
      </c>
      <c r="J79" s="10"/>
      <c r="K79" s="10">
        <v>118</v>
      </c>
      <c r="L79" s="10">
        <f t="shared" si="20"/>
        <v>-6</v>
      </c>
      <c r="M79" s="10">
        <f t="shared" si="21"/>
        <v>112</v>
      </c>
      <c r="N79" s="10"/>
      <c r="O79" s="10">
        <v>105.8</v>
      </c>
      <c r="P79" s="10">
        <f t="shared" si="22"/>
        <v>22.4</v>
      </c>
      <c r="Q79" s="4">
        <f t="shared" si="25"/>
        <v>109.39999999999998</v>
      </c>
      <c r="R79" s="4"/>
      <c r="S79" s="10"/>
      <c r="T79" s="10"/>
      <c r="U79" s="10">
        <f t="shared" si="23"/>
        <v>13</v>
      </c>
      <c r="V79" s="10">
        <f t="shared" si="24"/>
        <v>8.1160714285714288</v>
      </c>
      <c r="W79" s="10">
        <v>22.6</v>
      </c>
      <c r="X79" s="10">
        <v>21.2</v>
      </c>
      <c r="Y79" s="10">
        <v>25</v>
      </c>
      <c r="Z79" s="10">
        <v>27.2</v>
      </c>
      <c r="AA79" s="10">
        <v>24.4</v>
      </c>
      <c r="AB79" s="10">
        <v>26.4</v>
      </c>
      <c r="AC79" s="10">
        <v>22.2</v>
      </c>
      <c r="AD79" s="10">
        <v>20.8</v>
      </c>
      <c r="AE79" s="10"/>
      <c r="AF79" s="10">
        <f t="shared" si="26"/>
        <v>38.289999999999992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</row>
    <row r="80" spans="1:51" x14ac:dyDescent="0.25">
      <c r="A80" s="10" t="s">
        <v>120</v>
      </c>
      <c r="B80" s="10" t="s">
        <v>41</v>
      </c>
      <c r="C80" s="10">
        <v>115</v>
      </c>
      <c r="D80" s="10">
        <v>284</v>
      </c>
      <c r="E80" s="10">
        <v>257</v>
      </c>
      <c r="F80" s="10">
        <v>114</v>
      </c>
      <c r="G80" s="7">
        <v>0.35</v>
      </c>
      <c r="H80" s="10">
        <v>40</v>
      </c>
      <c r="I80" s="10" t="s">
        <v>37</v>
      </c>
      <c r="J80" s="10"/>
      <c r="K80" s="10">
        <v>285</v>
      </c>
      <c r="L80" s="10">
        <f t="shared" si="20"/>
        <v>-28</v>
      </c>
      <c r="M80" s="10">
        <f t="shared" si="21"/>
        <v>257</v>
      </c>
      <c r="N80" s="10"/>
      <c r="O80" s="10">
        <v>157.99999999999989</v>
      </c>
      <c r="P80" s="10">
        <f t="shared" si="22"/>
        <v>51.4</v>
      </c>
      <c r="Q80" s="4">
        <f t="shared" si="25"/>
        <v>396.20000000000005</v>
      </c>
      <c r="R80" s="4"/>
      <c r="S80" s="10"/>
      <c r="T80" s="10"/>
      <c r="U80" s="10">
        <f t="shared" si="23"/>
        <v>12.999999999999998</v>
      </c>
      <c r="V80" s="10">
        <f t="shared" si="24"/>
        <v>5.2918287937743171</v>
      </c>
      <c r="W80" s="10">
        <v>42.4</v>
      </c>
      <c r="X80" s="10">
        <v>48.6</v>
      </c>
      <c r="Y80" s="10">
        <v>49</v>
      </c>
      <c r="Z80" s="10">
        <v>46</v>
      </c>
      <c r="AA80" s="10">
        <v>41.6</v>
      </c>
      <c r="AB80" s="10">
        <v>37.4</v>
      </c>
      <c r="AC80" s="10">
        <v>52.6</v>
      </c>
      <c r="AD80" s="10">
        <v>39.799999999999997</v>
      </c>
      <c r="AE80" s="10"/>
      <c r="AF80" s="10">
        <f t="shared" si="26"/>
        <v>138.67000000000002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</row>
    <row r="81" spans="1:51" x14ac:dyDescent="0.25">
      <c r="A81" s="10" t="s">
        <v>121</v>
      </c>
      <c r="B81" s="10" t="s">
        <v>41</v>
      </c>
      <c r="C81" s="10">
        <v>542</v>
      </c>
      <c r="D81" s="10">
        <v>703</v>
      </c>
      <c r="E81" s="21">
        <f>302+E115</f>
        <v>584</v>
      </c>
      <c r="F81" s="21">
        <f>577+F115</f>
        <v>719</v>
      </c>
      <c r="G81" s="7">
        <v>0.35</v>
      </c>
      <c r="H81" s="10">
        <v>45</v>
      </c>
      <c r="I81" s="10" t="s">
        <v>37</v>
      </c>
      <c r="J81" s="10"/>
      <c r="K81" s="10">
        <v>355</v>
      </c>
      <c r="L81" s="10">
        <f t="shared" si="20"/>
        <v>229</v>
      </c>
      <c r="M81" s="10">
        <f t="shared" si="21"/>
        <v>584</v>
      </c>
      <c r="N81" s="10"/>
      <c r="O81" s="10">
        <v>231</v>
      </c>
      <c r="P81" s="10">
        <f t="shared" si="22"/>
        <v>116.8</v>
      </c>
      <c r="Q81" s="4">
        <f t="shared" si="25"/>
        <v>568.39999999999986</v>
      </c>
      <c r="R81" s="4"/>
      <c r="S81" s="10"/>
      <c r="T81" s="10"/>
      <c r="U81" s="10">
        <f t="shared" si="23"/>
        <v>13</v>
      </c>
      <c r="V81" s="10">
        <f t="shared" si="24"/>
        <v>8.1335616438356162</v>
      </c>
      <c r="W81" s="10">
        <v>121.6</v>
      </c>
      <c r="X81" s="10">
        <v>133</v>
      </c>
      <c r="Y81" s="10">
        <v>155.4</v>
      </c>
      <c r="Z81" s="10">
        <v>139.80000000000001</v>
      </c>
      <c r="AA81" s="10">
        <v>137.80000000000001</v>
      </c>
      <c r="AB81" s="10">
        <v>129</v>
      </c>
      <c r="AC81" s="10">
        <v>160.19999999999999</v>
      </c>
      <c r="AD81" s="10">
        <v>142.19999999999999</v>
      </c>
      <c r="AE81" s="10"/>
      <c r="AF81" s="10">
        <f t="shared" si="26"/>
        <v>198.93999999999994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</row>
    <row r="82" spans="1:51" x14ac:dyDescent="0.25">
      <c r="A82" s="10" t="s">
        <v>122</v>
      </c>
      <c r="B82" s="10" t="s">
        <v>41</v>
      </c>
      <c r="C82" s="10">
        <v>33</v>
      </c>
      <c r="D82" s="10">
        <v>72</v>
      </c>
      <c r="E82" s="10">
        <v>36</v>
      </c>
      <c r="F82" s="10">
        <v>56</v>
      </c>
      <c r="G82" s="7">
        <v>0.3</v>
      </c>
      <c r="H82" s="10">
        <v>50</v>
      </c>
      <c r="I82" s="10" t="s">
        <v>37</v>
      </c>
      <c r="J82" s="10"/>
      <c r="K82" s="10">
        <v>49</v>
      </c>
      <c r="L82" s="10">
        <f t="shared" si="20"/>
        <v>-13</v>
      </c>
      <c r="M82" s="10">
        <f t="shared" si="21"/>
        <v>36</v>
      </c>
      <c r="N82" s="10"/>
      <c r="O82" s="10">
        <v>0</v>
      </c>
      <c r="P82" s="10">
        <f t="shared" si="22"/>
        <v>7.2</v>
      </c>
      <c r="Q82" s="4">
        <f t="shared" si="25"/>
        <v>37.600000000000009</v>
      </c>
      <c r="R82" s="4"/>
      <c r="S82" s="10"/>
      <c r="T82" s="10"/>
      <c r="U82" s="10">
        <f t="shared" si="23"/>
        <v>13</v>
      </c>
      <c r="V82" s="10">
        <f t="shared" si="24"/>
        <v>7.7777777777777777</v>
      </c>
      <c r="W82" s="10">
        <v>4.4000000000000004</v>
      </c>
      <c r="X82" s="10">
        <v>8</v>
      </c>
      <c r="Y82" s="10">
        <v>9.6</v>
      </c>
      <c r="Z82" s="10">
        <v>7.4</v>
      </c>
      <c r="AA82" s="10">
        <v>8.6</v>
      </c>
      <c r="AB82" s="10">
        <v>8.8000000000000007</v>
      </c>
      <c r="AC82" s="10">
        <v>4.4000000000000004</v>
      </c>
      <c r="AD82" s="10">
        <v>10.6</v>
      </c>
      <c r="AE82" s="10"/>
      <c r="AF82" s="10">
        <f t="shared" si="26"/>
        <v>11.280000000000003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</row>
    <row r="83" spans="1:51" x14ac:dyDescent="0.25">
      <c r="A83" s="10" t="s">
        <v>69</v>
      </c>
      <c r="B83" s="10" t="s">
        <v>36</v>
      </c>
      <c r="C83" s="10">
        <v>335.46300000000002</v>
      </c>
      <c r="D83" s="10">
        <v>42.563000000000002</v>
      </c>
      <c r="E83" s="21">
        <f>-1.442+E32</f>
        <v>721.82500000000005</v>
      </c>
      <c r="F83" s="21">
        <f>0+F32</f>
        <v>120.41500000000001</v>
      </c>
      <c r="G83" s="7">
        <v>1</v>
      </c>
      <c r="H83" s="10">
        <v>40</v>
      </c>
      <c r="I83" s="11" t="s">
        <v>109</v>
      </c>
      <c r="J83" s="10"/>
      <c r="K83" s="10">
        <v>54</v>
      </c>
      <c r="L83" s="10">
        <f t="shared" si="20"/>
        <v>667.82500000000005</v>
      </c>
      <c r="M83" s="10">
        <f t="shared" si="21"/>
        <v>334.14900000000006</v>
      </c>
      <c r="N83" s="21">
        <f>0+N32</f>
        <v>387.67599999999999</v>
      </c>
      <c r="O83" s="10">
        <v>150</v>
      </c>
      <c r="P83" s="10">
        <f t="shared" si="22"/>
        <v>66.829800000000006</v>
      </c>
      <c r="Q83" s="4">
        <v>250</v>
      </c>
      <c r="R83" s="4"/>
      <c r="S83" s="10"/>
      <c r="T83" s="10"/>
      <c r="U83" s="10">
        <f t="shared" si="23"/>
        <v>7.7871697955103851</v>
      </c>
      <c r="V83" s="10">
        <f t="shared" si="24"/>
        <v>4.0463236460381449</v>
      </c>
      <c r="W83" s="10">
        <v>27.471399999999999</v>
      </c>
      <c r="X83" s="10">
        <v>40.362000000000002</v>
      </c>
      <c r="Y83" s="10">
        <v>19.485400000000009</v>
      </c>
      <c r="Z83" s="10">
        <v>69.594600000000014</v>
      </c>
      <c r="AA83" s="10">
        <v>0</v>
      </c>
      <c r="AB83" s="10">
        <v>22.607600000000001</v>
      </c>
      <c r="AC83" s="10">
        <v>27.27</v>
      </c>
      <c r="AD83" s="10">
        <v>82.043399999999991</v>
      </c>
      <c r="AE83" s="10"/>
      <c r="AF83" s="10">
        <f t="shared" si="26"/>
        <v>250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</row>
    <row r="84" spans="1:51" x14ac:dyDescent="0.25">
      <c r="A84" s="10" t="s">
        <v>123</v>
      </c>
      <c r="B84" s="10" t="s">
        <v>36</v>
      </c>
      <c r="C84" s="10">
        <v>272.06200000000001</v>
      </c>
      <c r="D84" s="10">
        <v>455.64400000000001</v>
      </c>
      <c r="E84" s="10">
        <v>405.584</v>
      </c>
      <c r="F84" s="10">
        <v>308.48200000000003</v>
      </c>
      <c r="G84" s="7">
        <v>1</v>
      </c>
      <c r="H84" s="10">
        <v>60</v>
      </c>
      <c r="I84" s="10" t="s">
        <v>37</v>
      </c>
      <c r="J84" s="10"/>
      <c r="K84" s="10">
        <v>420.7</v>
      </c>
      <c r="L84" s="10">
        <f t="shared" si="20"/>
        <v>-15.115999999999985</v>
      </c>
      <c r="M84" s="10">
        <f t="shared" si="21"/>
        <v>405.584</v>
      </c>
      <c r="N84" s="10"/>
      <c r="O84" s="10">
        <v>143.91679999999991</v>
      </c>
      <c r="P84" s="10">
        <f t="shared" si="22"/>
        <v>81.116799999999998</v>
      </c>
      <c r="Q84" s="4">
        <f t="shared" si="25"/>
        <v>602.11959999999999</v>
      </c>
      <c r="R84" s="4"/>
      <c r="S84" s="10"/>
      <c r="T84" s="10"/>
      <c r="U84" s="10">
        <f t="shared" si="23"/>
        <v>13</v>
      </c>
      <c r="V84" s="10">
        <f t="shared" si="24"/>
        <v>5.5771282890843814</v>
      </c>
      <c r="W84" s="10">
        <v>65.871600000000001</v>
      </c>
      <c r="X84" s="10">
        <v>70.705200000000005</v>
      </c>
      <c r="Y84" s="10">
        <v>68.489400000000003</v>
      </c>
      <c r="Z84" s="10">
        <v>71.970399999999998</v>
      </c>
      <c r="AA84" s="10">
        <v>62.329599999999992</v>
      </c>
      <c r="AB84" s="10">
        <v>80.791399999999996</v>
      </c>
      <c r="AC84" s="10">
        <v>66.78</v>
      </c>
      <c r="AD84" s="10">
        <v>94.754400000000004</v>
      </c>
      <c r="AE84" s="10"/>
      <c r="AF84" s="10">
        <f t="shared" si="26"/>
        <v>602.11959999999999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</row>
    <row r="85" spans="1:51" x14ac:dyDescent="0.25">
      <c r="A85" s="10" t="s">
        <v>124</v>
      </c>
      <c r="B85" s="10" t="s">
        <v>36</v>
      </c>
      <c r="C85" s="10">
        <v>659.08500000000004</v>
      </c>
      <c r="D85" s="10">
        <v>32.350999999999999</v>
      </c>
      <c r="E85" s="10">
        <v>87.268000000000001</v>
      </c>
      <c r="F85" s="10">
        <v>571.81700000000001</v>
      </c>
      <c r="G85" s="7">
        <v>1</v>
      </c>
      <c r="H85" s="10">
        <v>60</v>
      </c>
      <c r="I85" s="11" t="s">
        <v>109</v>
      </c>
      <c r="J85" s="10"/>
      <c r="K85" s="10">
        <v>120.36199999999999</v>
      </c>
      <c r="L85" s="10">
        <f t="shared" si="20"/>
        <v>-33.093999999999994</v>
      </c>
      <c r="M85" s="10">
        <f t="shared" si="21"/>
        <v>57.406000000000006</v>
      </c>
      <c r="N85" s="10">
        <v>29.861999999999998</v>
      </c>
      <c r="O85" s="10">
        <v>0</v>
      </c>
      <c r="P85" s="10">
        <f t="shared" si="22"/>
        <v>11.481200000000001</v>
      </c>
      <c r="Q85" s="4"/>
      <c r="R85" s="4"/>
      <c r="S85" s="10"/>
      <c r="T85" s="10"/>
      <c r="U85" s="10">
        <f t="shared" si="23"/>
        <v>49.804637145942927</v>
      </c>
      <c r="V85" s="10">
        <f t="shared" si="24"/>
        <v>49.804637145942927</v>
      </c>
      <c r="W85" s="10">
        <v>13.463200000000001</v>
      </c>
      <c r="X85" s="10">
        <v>5.4865999999999984</v>
      </c>
      <c r="Y85" s="10">
        <v>6.7084000000000001</v>
      </c>
      <c r="Z85" s="10">
        <v>7.8765999999999963</v>
      </c>
      <c r="AA85" s="10">
        <v>9.6032000000000046</v>
      </c>
      <c r="AB85" s="10">
        <v>20.602799999999998</v>
      </c>
      <c r="AC85" s="10">
        <v>25.015000000000001</v>
      </c>
      <c r="AD85" s="10">
        <v>70.366399999999999</v>
      </c>
      <c r="AE85" s="12" t="s">
        <v>60</v>
      </c>
      <c r="AF85" s="10">
        <f t="shared" si="26"/>
        <v>0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</row>
    <row r="86" spans="1:51" x14ac:dyDescent="0.25">
      <c r="A86" s="10" t="s">
        <v>125</v>
      </c>
      <c r="B86" s="10" t="s">
        <v>36</v>
      </c>
      <c r="C86" s="10">
        <v>242.19800000000001</v>
      </c>
      <c r="D86" s="10">
        <v>17.53</v>
      </c>
      <c r="E86" s="10">
        <v>176.19</v>
      </c>
      <c r="F86" s="10">
        <v>79.894000000000005</v>
      </c>
      <c r="G86" s="7">
        <v>1</v>
      </c>
      <c r="H86" s="10">
        <v>60</v>
      </c>
      <c r="I86" s="10" t="s">
        <v>37</v>
      </c>
      <c r="J86" s="10"/>
      <c r="K86" s="10">
        <v>181.1</v>
      </c>
      <c r="L86" s="10">
        <f t="shared" si="20"/>
        <v>-4.9099999999999966</v>
      </c>
      <c r="M86" s="10">
        <f t="shared" si="21"/>
        <v>176.19</v>
      </c>
      <c r="N86" s="10"/>
      <c r="O86" s="10">
        <v>178.947</v>
      </c>
      <c r="P86" s="10">
        <f t="shared" si="22"/>
        <v>35.238</v>
      </c>
      <c r="Q86" s="4">
        <f t="shared" si="25"/>
        <v>199.25299999999999</v>
      </c>
      <c r="R86" s="4"/>
      <c r="S86" s="10"/>
      <c r="T86" s="10"/>
      <c r="U86" s="10">
        <f t="shared" si="23"/>
        <v>13</v>
      </c>
      <c r="V86" s="10">
        <f t="shared" si="24"/>
        <v>7.3455076905613259</v>
      </c>
      <c r="W86" s="10">
        <v>32.7376</v>
      </c>
      <c r="X86" s="10">
        <v>31.828600000000002</v>
      </c>
      <c r="Y86" s="10">
        <v>35.518000000000001</v>
      </c>
      <c r="Z86" s="10">
        <v>33.650199999999998</v>
      </c>
      <c r="AA86" s="10">
        <v>32.432200000000002</v>
      </c>
      <c r="AB86" s="10">
        <v>37.384599999999999</v>
      </c>
      <c r="AC86" s="10">
        <v>35.623199999999997</v>
      </c>
      <c r="AD86" s="10">
        <v>39.785400000000003</v>
      </c>
      <c r="AE86" s="10"/>
      <c r="AF86" s="10">
        <f t="shared" si="26"/>
        <v>199.25299999999999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</row>
    <row r="87" spans="1:51" x14ac:dyDescent="0.25">
      <c r="A87" s="10" t="s">
        <v>126</v>
      </c>
      <c r="B87" s="10" t="s">
        <v>36</v>
      </c>
      <c r="C87" s="10">
        <v>108.801</v>
      </c>
      <c r="D87" s="10">
        <v>248.15199999999999</v>
      </c>
      <c r="E87" s="10">
        <v>306.92200000000003</v>
      </c>
      <c r="F87" s="10">
        <v>2.6280000000000001</v>
      </c>
      <c r="G87" s="7">
        <v>1</v>
      </c>
      <c r="H87" s="10">
        <v>55</v>
      </c>
      <c r="I87" s="10" t="s">
        <v>37</v>
      </c>
      <c r="J87" s="10"/>
      <c r="K87" s="10">
        <v>340.62799999999999</v>
      </c>
      <c r="L87" s="10">
        <f t="shared" si="20"/>
        <v>-33.70599999999996</v>
      </c>
      <c r="M87" s="10">
        <f t="shared" si="21"/>
        <v>263.39400000000001</v>
      </c>
      <c r="N87" s="10">
        <v>43.527999999999999</v>
      </c>
      <c r="O87" s="10">
        <v>437.78899999999987</v>
      </c>
      <c r="P87" s="10">
        <f t="shared" si="22"/>
        <v>52.678800000000003</v>
      </c>
      <c r="Q87" s="4">
        <f t="shared" si="25"/>
        <v>244.40740000000022</v>
      </c>
      <c r="R87" s="4"/>
      <c r="S87" s="10"/>
      <c r="T87" s="10"/>
      <c r="U87" s="10">
        <f t="shared" si="23"/>
        <v>13.000000000000002</v>
      </c>
      <c r="V87" s="10">
        <f t="shared" si="24"/>
        <v>8.3604220293552594</v>
      </c>
      <c r="W87" s="10">
        <v>57.429999999999993</v>
      </c>
      <c r="X87" s="10">
        <v>41.47059999999999</v>
      </c>
      <c r="Y87" s="10">
        <v>55.559800000000003</v>
      </c>
      <c r="Z87" s="10">
        <v>62.448400000000007</v>
      </c>
      <c r="AA87" s="10">
        <v>74.991</v>
      </c>
      <c r="AB87" s="10">
        <v>69.918199999999999</v>
      </c>
      <c r="AC87" s="10">
        <v>51.040399999999998</v>
      </c>
      <c r="AD87" s="10">
        <v>80.866200000000006</v>
      </c>
      <c r="AE87" s="10"/>
      <c r="AF87" s="10">
        <f t="shared" si="26"/>
        <v>244.40740000000022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</row>
    <row r="88" spans="1:51" x14ac:dyDescent="0.25">
      <c r="A88" s="10" t="s">
        <v>127</v>
      </c>
      <c r="B88" s="10" t="s">
        <v>41</v>
      </c>
      <c r="C88" s="10">
        <v>63</v>
      </c>
      <c r="D88" s="10">
        <v>100</v>
      </c>
      <c r="E88" s="10">
        <v>43</v>
      </c>
      <c r="F88" s="10">
        <v>115</v>
      </c>
      <c r="G88" s="7">
        <v>0.5</v>
      </c>
      <c r="H88" s="10">
        <v>60</v>
      </c>
      <c r="I88" s="10" t="s">
        <v>37</v>
      </c>
      <c r="J88" s="10"/>
      <c r="K88" s="10">
        <v>48</v>
      </c>
      <c r="L88" s="10">
        <f t="shared" si="20"/>
        <v>-5</v>
      </c>
      <c r="M88" s="10">
        <f t="shared" si="21"/>
        <v>43</v>
      </c>
      <c r="N88" s="10"/>
      <c r="O88" s="10">
        <v>0</v>
      </c>
      <c r="P88" s="10">
        <f t="shared" si="22"/>
        <v>8.6</v>
      </c>
      <c r="Q88" s="4"/>
      <c r="R88" s="4"/>
      <c r="S88" s="10"/>
      <c r="T88" s="10"/>
      <c r="U88" s="10">
        <f t="shared" si="23"/>
        <v>13.372093023255815</v>
      </c>
      <c r="V88" s="10">
        <f t="shared" si="24"/>
        <v>13.372093023255815</v>
      </c>
      <c r="W88" s="10">
        <v>9.6</v>
      </c>
      <c r="X88" s="10">
        <v>9.6</v>
      </c>
      <c r="Y88" s="10">
        <v>9.4</v>
      </c>
      <c r="Z88" s="10">
        <v>6.8</v>
      </c>
      <c r="AA88" s="10">
        <v>8.4</v>
      </c>
      <c r="AB88" s="10">
        <v>6.8957999999999986</v>
      </c>
      <c r="AC88" s="10">
        <v>9.4</v>
      </c>
      <c r="AD88" s="10">
        <v>8.1999999999999993</v>
      </c>
      <c r="AE88" s="10"/>
      <c r="AF88" s="10">
        <f t="shared" si="26"/>
        <v>0</v>
      </c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</row>
    <row r="89" spans="1:51" x14ac:dyDescent="0.25">
      <c r="A89" s="10" t="s">
        <v>128</v>
      </c>
      <c r="B89" s="10" t="s">
        <v>36</v>
      </c>
      <c r="C89" s="10">
        <v>3.0000000000000001E-3</v>
      </c>
      <c r="D89" s="10">
        <v>203.90199999999999</v>
      </c>
      <c r="E89" s="10">
        <v>91.828000000000003</v>
      </c>
      <c r="F89" s="10">
        <v>107.319</v>
      </c>
      <c r="G89" s="7">
        <v>1</v>
      </c>
      <c r="H89" s="10">
        <v>55</v>
      </c>
      <c r="I89" s="10" t="s">
        <v>37</v>
      </c>
      <c r="J89" s="10"/>
      <c r="K89" s="10">
        <v>96.7</v>
      </c>
      <c r="L89" s="10">
        <f t="shared" si="20"/>
        <v>-4.8719999999999999</v>
      </c>
      <c r="M89" s="10">
        <f t="shared" si="21"/>
        <v>91.828000000000003</v>
      </c>
      <c r="N89" s="10"/>
      <c r="O89" s="10">
        <v>28.081999999999979</v>
      </c>
      <c r="P89" s="10">
        <f t="shared" si="22"/>
        <v>18.365600000000001</v>
      </c>
      <c r="Q89" s="4">
        <f t="shared" si="25"/>
        <v>103.35180000000004</v>
      </c>
      <c r="R89" s="4"/>
      <c r="S89" s="10"/>
      <c r="T89" s="10"/>
      <c r="U89" s="10">
        <f t="shared" si="23"/>
        <v>13.000000000000002</v>
      </c>
      <c r="V89" s="10">
        <f t="shared" si="24"/>
        <v>7.3725334320686491</v>
      </c>
      <c r="W89" s="10">
        <v>17.545000000000002</v>
      </c>
      <c r="X89" s="10">
        <v>22.678799999999999</v>
      </c>
      <c r="Y89" s="10">
        <v>10.0168</v>
      </c>
      <c r="Z89" s="10">
        <v>20.692</v>
      </c>
      <c r="AA89" s="10">
        <v>11.46</v>
      </c>
      <c r="AB89" s="10">
        <v>19.4864</v>
      </c>
      <c r="AC89" s="10">
        <v>16.657399999999999</v>
      </c>
      <c r="AD89" s="10">
        <v>18.666399999999999</v>
      </c>
      <c r="AE89" s="10"/>
      <c r="AF89" s="10">
        <f t="shared" si="26"/>
        <v>103.35180000000004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</row>
    <row r="90" spans="1:51" x14ac:dyDescent="0.25">
      <c r="A90" s="10" t="s">
        <v>129</v>
      </c>
      <c r="B90" s="10" t="s">
        <v>36</v>
      </c>
      <c r="C90" s="10">
        <v>62.893000000000001</v>
      </c>
      <c r="D90" s="10">
        <v>109.126</v>
      </c>
      <c r="E90" s="10">
        <v>72.459000000000003</v>
      </c>
      <c r="F90" s="10">
        <v>96.926000000000002</v>
      </c>
      <c r="G90" s="7">
        <v>1</v>
      </c>
      <c r="H90" s="10">
        <v>55</v>
      </c>
      <c r="I90" s="10" t="s">
        <v>37</v>
      </c>
      <c r="J90" s="10"/>
      <c r="K90" s="10">
        <v>75</v>
      </c>
      <c r="L90" s="10">
        <f t="shared" si="20"/>
        <v>-2.5409999999999968</v>
      </c>
      <c r="M90" s="10">
        <f t="shared" si="21"/>
        <v>72.459000000000003</v>
      </c>
      <c r="N90" s="10"/>
      <c r="O90" s="10">
        <v>59.469400000000007</v>
      </c>
      <c r="P90" s="10">
        <f t="shared" si="22"/>
        <v>14.491800000000001</v>
      </c>
      <c r="Q90" s="4">
        <f t="shared" si="25"/>
        <v>31.998000000000005</v>
      </c>
      <c r="R90" s="4"/>
      <c r="S90" s="10"/>
      <c r="T90" s="10"/>
      <c r="U90" s="10">
        <f t="shared" si="23"/>
        <v>12.999999999999998</v>
      </c>
      <c r="V90" s="10">
        <f t="shared" si="24"/>
        <v>10.791992713120521</v>
      </c>
      <c r="W90" s="10">
        <v>17.104800000000001</v>
      </c>
      <c r="X90" s="10">
        <v>14.936</v>
      </c>
      <c r="Y90" s="10">
        <v>16.941600000000001</v>
      </c>
      <c r="Z90" s="10">
        <v>17.3154</v>
      </c>
      <c r="AA90" s="10">
        <v>16.2822</v>
      </c>
      <c r="AB90" s="10">
        <v>16.485399999999998</v>
      </c>
      <c r="AC90" s="10">
        <v>14.807</v>
      </c>
      <c r="AD90" s="10">
        <v>21.947800000000001</v>
      </c>
      <c r="AE90" s="10"/>
      <c r="AF90" s="10">
        <f t="shared" si="26"/>
        <v>31.998000000000005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</row>
    <row r="91" spans="1:51" x14ac:dyDescent="0.25">
      <c r="A91" s="10" t="s">
        <v>130</v>
      </c>
      <c r="B91" s="10" t="s">
        <v>41</v>
      </c>
      <c r="C91" s="10">
        <v>105</v>
      </c>
      <c r="D91" s="10">
        <v>157</v>
      </c>
      <c r="E91" s="10">
        <v>191</v>
      </c>
      <c r="F91" s="10">
        <v>41</v>
      </c>
      <c r="G91" s="7">
        <v>0.5</v>
      </c>
      <c r="H91" s="10">
        <v>40</v>
      </c>
      <c r="I91" s="10" t="s">
        <v>37</v>
      </c>
      <c r="J91" s="10"/>
      <c r="K91" s="10">
        <v>221</v>
      </c>
      <c r="L91" s="10">
        <f t="shared" si="20"/>
        <v>-30</v>
      </c>
      <c r="M91" s="10">
        <f t="shared" si="21"/>
        <v>191</v>
      </c>
      <c r="N91" s="10"/>
      <c r="O91" s="10">
        <v>263.80000000000013</v>
      </c>
      <c r="P91" s="10">
        <f t="shared" si="22"/>
        <v>38.200000000000003</v>
      </c>
      <c r="Q91" s="4">
        <f t="shared" si="25"/>
        <v>191.7999999999999</v>
      </c>
      <c r="R91" s="4"/>
      <c r="S91" s="10"/>
      <c r="T91" s="10"/>
      <c r="U91" s="10">
        <f t="shared" si="23"/>
        <v>13</v>
      </c>
      <c r="V91" s="10">
        <f t="shared" si="24"/>
        <v>7.9790575916230395</v>
      </c>
      <c r="W91" s="10">
        <v>40.4</v>
      </c>
      <c r="X91" s="10">
        <v>36.799999999999997</v>
      </c>
      <c r="Y91" s="10">
        <v>40.6</v>
      </c>
      <c r="Z91" s="10">
        <v>33.6</v>
      </c>
      <c r="AA91" s="10">
        <v>35</v>
      </c>
      <c r="AB91" s="10">
        <v>32</v>
      </c>
      <c r="AC91" s="10">
        <v>42.4</v>
      </c>
      <c r="AD91" s="10">
        <v>44.8</v>
      </c>
      <c r="AE91" s="10"/>
      <c r="AF91" s="10">
        <f t="shared" si="26"/>
        <v>95.899999999999949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</row>
    <row r="92" spans="1:51" x14ac:dyDescent="0.25">
      <c r="A92" s="10" t="s">
        <v>131</v>
      </c>
      <c r="B92" s="10" t="s">
        <v>41</v>
      </c>
      <c r="C92" s="10">
        <v>137</v>
      </c>
      <c r="D92" s="10">
        <v>101</v>
      </c>
      <c r="E92" s="10">
        <v>73</v>
      </c>
      <c r="F92" s="10">
        <v>162</v>
      </c>
      <c r="G92" s="7">
        <v>0.5</v>
      </c>
      <c r="H92" s="10">
        <v>60</v>
      </c>
      <c r="I92" s="10" t="s">
        <v>37</v>
      </c>
      <c r="J92" s="10"/>
      <c r="K92" s="10">
        <v>76</v>
      </c>
      <c r="L92" s="10">
        <f t="shared" si="20"/>
        <v>-3</v>
      </c>
      <c r="M92" s="10">
        <f t="shared" si="21"/>
        <v>73</v>
      </c>
      <c r="N92" s="10"/>
      <c r="O92" s="10">
        <v>0</v>
      </c>
      <c r="P92" s="10">
        <f t="shared" si="22"/>
        <v>14.6</v>
      </c>
      <c r="Q92" s="4">
        <f t="shared" si="25"/>
        <v>27.799999999999983</v>
      </c>
      <c r="R92" s="4"/>
      <c r="S92" s="10"/>
      <c r="T92" s="10"/>
      <c r="U92" s="10">
        <f t="shared" si="23"/>
        <v>13</v>
      </c>
      <c r="V92" s="10">
        <f t="shared" si="24"/>
        <v>11.095890410958905</v>
      </c>
      <c r="W92" s="10">
        <v>11.8</v>
      </c>
      <c r="X92" s="10">
        <v>12.8</v>
      </c>
      <c r="Y92" s="10">
        <v>17.399999999999999</v>
      </c>
      <c r="Z92" s="10">
        <v>10.4</v>
      </c>
      <c r="AA92" s="10">
        <v>13.6</v>
      </c>
      <c r="AB92" s="10">
        <v>9.1999999999999993</v>
      </c>
      <c r="AC92" s="10">
        <v>14.4</v>
      </c>
      <c r="AD92" s="10">
        <v>10.8</v>
      </c>
      <c r="AE92" s="10"/>
      <c r="AF92" s="10">
        <f t="shared" si="26"/>
        <v>13.899999999999991</v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</row>
    <row r="93" spans="1:51" x14ac:dyDescent="0.25">
      <c r="A93" s="10" t="s">
        <v>132</v>
      </c>
      <c r="B93" s="10" t="s">
        <v>41</v>
      </c>
      <c r="C93" s="10">
        <v>32</v>
      </c>
      <c r="D93" s="10">
        <v>120</v>
      </c>
      <c r="E93" s="10">
        <v>104</v>
      </c>
      <c r="F93" s="10">
        <v>44</v>
      </c>
      <c r="G93" s="7">
        <v>0.4</v>
      </c>
      <c r="H93" s="10">
        <v>55</v>
      </c>
      <c r="I93" s="10" t="s">
        <v>37</v>
      </c>
      <c r="J93" s="10"/>
      <c r="K93" s="10">
        <v>108</v>
      </c>
      <c r="L93" s="10">
        <f t="shared" si="20"/>
        <v>-4</v>
      </c>
      <c r="M93" s="10">
        <f t="shared" si="21"/>
        <v>104</v>
      </c>
      <c r="N93" s="10"/>
      <c r="O93" s="10">
        <v>4</v>
      </c>
      <c r="P93" s="10">
        <f t="shared" si="22"/>
        <v>20.8</v>
      </c>
      <c r="Q93" s="4">
        <f>10*P93-O93-F93</f>
        <v>160</v>
      </c>
      <c r="R93" s="4"/>
      <c r="S93" s="10"/>
      <c r="T93" s="10"/>
      <c r="U93" s="10">
        <f t="shared" si="23"/>
        <v>10</v>
      </c>
      <c r="V93" s="10">
        <f t="shared" si="24"/>
        <v>2.3076923076923075</v>
      </c>
      <c r="W93" s="10">
        <v>12</v>
      </c>
      <c r="X93" s="10">
        <v>16.600000000000001</v>
      </c>
      <c r="Y93" s="10">
        <v>14.8</v>
      </c>
      <c r="Z93" s="10">
        <v>21</v>
      </c>
      <c r="AA93" s="10">
        <v>16.600000000000001</v>
      </c>
      <c r="AB93" s="10">
        <v>16.2</v>
      </c>
      <c r="AC93" s="10">
        <v>16.8</v>
      </c>
      <c r="AD93" s="10">
        <v>14.8</v>
      </c>
      <c r="AE93" s="10"/>
      <c r="AF93" s="10">
        <f t="shared" si="26"/>
        <v>64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</row>
    <row r="94" spans="1:51" x14ac:dyDescent="0.25">
      <c r="A94" s="10" t="s">
        <v>133</v>
      </c>
      <c r="B94" s="10" t="s">
        <v>36</v>
      </c>
      <c r="C94" s="10">
        <v>248.51300000000001</v>
      </c>
      <c r="D94" s="10">
        <v>32.194000000000003</v>
      </c>
      <c r="E94" s="10">
        <v>226.958</v>
      </c>
      <c r="F94" s="10">
        <v>32.234000000000002</v>
      </c>
      <c r="G94" s="7">
        <v>1</v>
      </c>
      <c r="H94" s="10">
        <v>55</v>
      </c>
      <c r="I94" s="10" t="s">
        <v>37</v>
      </c>
      <c r="J94" s="10"/>
      <c r="K94" s="10">
        <v>243.01499999999999</v>
      </c>
      <c r="L94" s="10">
        <f t="shared" si="20"/>
        <v>-16.056999999999988</v>
      </c>
      <c r="M94" s="10">
        <f t="shared" si="21"/>
        <v>205.44299999999998</v>
      </c>
      <c r="N94" s="10">
        <v>21.515000000000001</v>
      </c>
      <c r="O94" s="10">
        <v>200</v>
      </c>
      <c r="P94" s="10">
        <f t="shared" si="22"/>
        <v>41.0886</v>
      </c>
      <c r="Q94" s="4">
        <f t="shared" si="25"/>
        <v>301.9178</v>
      </c>
      <c r="R94" s="4"/>
      <c r="S94" s="10"/>
      <c r="T94" s="10"/>
      <c r="U94" s="10">
        <f t="shared" si="23"/>
        <v>13</v>
      </c>
      <c r="V94" s="10">
        <f t="shared" si="24"/>
        <v>5.6520300034559465</v>
      </c>
      <c r="W94" s="10">
        <v>29.703600000000009</v>
      </c>
      <c r="X94" s="10">
        <v>34.723400000000012</v>
      </c>
      <c r="Y94" s="10">
        <v>-0.53500000000000014</v>
      </c>
      <c r="Z94" s="10">
        <v>29.898199999999999</v>
      </c>
      <c r="AA94" s="10">
        <v>13.8154</v>
      </c>
      <c r="AB94" s="10">
        <v>29.926200000000001</v>
      </c>
      <c r="AC94" s="10">
        <v>34.567399999999999</v>
      </c>
      <c r="AD94" s="10">
        <v>83.009199999999993</v>
      </c>
      <c r="AE94" s="10"/>
      <c r="AF94" s="10">
        <f t="shared" si="26"/>
        <v>301.9178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</row>
    <row r="95" spans="1:51" x14ac:dyDescent="0.25">
      <c r="A95" s="11" t="s">
        <v>134</v>
      </c>
      <c r="B95" s="10" t="s">
        <v>36</v>
      </c>
      <c r="C95" s="10"/>
      <c r="D95" s="10"/>
      <c r="E95" s="10"/>
      <c r="F95" s="10"/>
      <c r="G95" s="7">
        <v>1</v>
      </c>
      <c r="H95" s="10" t="e">
        <v>#N/A</v>
      </c>
      <c r="I95" s="10" t="s">
        <v>37</v>
      </c>
      <c r="J95" s="10"/>
      <c r="K95" s="10"/>
      <c r="L95" s="10">
        <f t="shared" si="20"/>
        <v>0</v>
      </c>
      <c r="M95" s="10">
        <f t="shared" si="21"/>
        <v>0</v>
      </c>
      <c r="N95" s="10"/>
      <c r="O95" s="11"/>
      <c r="P95" s="10">
        <f t="shared" si="22"/>
        <v>0</v>
      </c>
      <c r="Q95" s="20">
        <v>4</v>
      </c>
      <c r="R95" s="4"/>
      <c r="S95" s="10"/>
      <c r="T95" s="10"/>
      <c r="U95" s="10" t="e">
        <f t="shared" si="23"/>
        <v>#DIV/0!</v>
      </c>
      <c r="V95" s="10" t="e">
        <f t="shared" si="24"/>
        <v>#DIV/0!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1" t="s">
        <v>135</v>
      </c>
      <c r="AF95" s="10">
        <f t="shared" si="26"/>
        <v>4</v>
      </c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</row>
    <row r="96" spans="1:51" x14ac:dyDescent="0.25">
      <c r="A96" s="10" t="s">
        <v>136</v>
      </c>
      <c r="B96" s="10" t="s">
        <v>41</v>
      </c>
      <c r="C96" s="10">
        <v>18</v>
      </c>
      <c r="D96" s="10">
        <v>120</v>
      </c>
      <c r="E96" s="10">
        <v>55</v>
      </c>
      <c r="F96" s="10">
        <v>72</v>
      </c>
      <c r="G96" s="7">
        <v>0.4</v>
      </c>
      <c r="H96" s="10">
        <v>55</v>
      </c>
      <c r="I96" s="10" t="s">
        <v>37</v>
      </c>
      <c r="J96" s="10"/>
      <c r="K96" s="10">
        <v>66</v>
      </c>
      <c r="L96" s="10">
        <f t="shared" si="20"/>
        <v>-11</v>
      </c>
      <c r="M96" s="10">
        <f t="shared" si="21"/>
        <v>55</v>
      </c>
      <c r="N96" s="10"/>
      <c r="O96" s="10">
        <v>0</v>
      </c>
      <c r="P96" s="10">
        <f t="shared" si="22"/>
        <v>11</v>
      </c>
      <c r="Q96" s="4">
        <f t="shared" si="25"/>
        <v>71</v>
      </c>
      <c r="R96" s="4"/>
      <c r="S96" s="10"/>
      <c r="T96" s="10"/>
      <c r="U96" s="10">
        <f t="shared" si="23"/>
        <v>13</v>
      </c>
      <c r="V96" s="10">
        <f t="shared" si="24"/>
        <v>6.5454545454545459</v>
      </c>
      <c r="W96" s="10">
        <v>10.4</v>
      </c>
      <c r="X96" s="10">
        <v>15</v>
      </c>
      <c r="Y96" s="10">
        <v>10.8</v>
      </c>
      <c r="Z96" s="10">
        <v>7</v>
      </c>
      <c r="AA96" s="10">
        <v>12.6</v>
      </c>
      <c r="AB96" s="10">
        <v>9.4</v>
      </c>
      <c r="AC96" s="10">
        <v>10</v>
      </c>
      <c r="AD96" s="10">
        <v>13.2</v>
      </c>
      <c r="AE96" s="10"/>
      <c r="AF96" s="10">
        <f t="shared" si="26"/>
        <v>28.400000000000002</v>
      </c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</row>
    <row r="97" spans="1:51" x14ac:dyDescent="0.25">
      <c r="A97" s="10" t="s">
        <v>137</v>
      </c>
      <c r="B97" s="10" t="s">
        <v>36</v>
      </c>
      <c r="C97" s="10">
        <v>16.241</v>
      </c>
      <c r="D97" s="10"/>
      <c r="E97" s="10">
        <v>16.184999999999999</v>
      </c>
      <c r="F97" s="10">
        <v>5.6000000000000001E-2</v>
      </c>
      <c r="G97" s="7">
        <v>1</v>
      </c>
      <c r="H97" s="10">
        <v>55</v>
      </c>
      <c r="I97" s="10" t="s">
        <v>37</v>
      </c>
      <c r="J97" s="10"/>
      <c r="K97" s="10">
        <v>27.4</v>
      </c>
      <c r="L97" s="10">
        <f t="shared" si="20"/>
        <v>-11.215</v>
      </c>
      <c r="M97" s="10">
        <f t="shared" si="21"/>
        <v>16.184999999999999</v>
      </c>
      <c r="N97" s="10"/>
      <c r="O97" s="10">
        <v>150</v>
      </c>
      <c r="P97" s="10">
        <f t="shared" si="22"/>
        <v>3.2369999999999997</v>
      </c>
      <c r="Q97" s="4"/>
      <c r="R97" s="4"/>
      <c r="S97" s="10"/>
      <c r="T97" s="10"/>
      <c r="U97" s="10">
        <f t="shared" si="23"/>
        <v>46.356502934816199</v>
      </c>
      <c r="V97" s="10">
        <f t="shared" si="24"/>
        <v>46.356502934816199</v>
      </c>
      <c r="W97" s="10">
        <v>12.25</v>
      </c>
      <c r="X97" s="10">
        <v>6.2401999999999997</v>
      </c>
      <c r="Y97" s="10">
        <v>0.3674</v>
      </c>
      <c r="Z97" s="10">
        <v>15.048</v>
      </c>
      <c r="AA97" s="10">
        <v>3.0007999999999999</v>
      </c>
      <c r="AB97" s="10">
        <v>9.5928000000000004</v>
      </c>
      <c r="AC97" s="10">
        <v>8.3401999999999994</v>
      </c>
      <c r="AD97" s="10">
        <v>10.136200000000001</v>
      </c>
      <c r="AE97" s="10"/>
      <c r="AF97" s="10">
        <f t="shared" si="26"/>
        <v>0</v>
      </c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</row>
    <row r="98" spans="1:51" x14ac:dyDescent="0.25">
      <c r="A98" s="10" t="s">
        <v>138</v>
      </c>
      <c r="B98" s="10" t="s">
        <v>41</v>
      </c>
      <c r="C98" s="10">
        <v>103</v>
      </c>
      <c r="D98" s="10">
        <v>254</v>
      </c>
      <c r="E98" s="10">
        <v>267</v>
      </c>
      <c r="F98" s="10">
        <v>52</v>
      </c>
      <c r="G98" s="7">
        <v>0.3</v>
      </c>
      <c r="H98" s="10">
        <v>40</v>
      </c>
      <c r="I98" s="10" t="s">
        <v>37</v>
      </c>
      <c r="J98" s="10"/>
      <c r="K98" s="10">
        <v>294</v>
      </c>
      <c r="L98" s="10">
        <f t="shared" si="20"/>
        <v>-27</v>
      </c>
      <c r="M98" s="10">
        <f t="shared" si="21"/>
        <v>267</v>
      </c>
      <c r="N98" s="10"/>
      <c r="O98" s="10">
        <v>186.8000000000001</v>
      </c>
      <c r="P98" s="10">
        <f t="shared" si="22"/>
        <v>53.4</v>
      </c>
      <c r="Q98" s="4">
        <f t="shared" ref="Q98:Q99" si="27">12*P98-O98-F98</f>
        <v>401.99999999999989</v>
      </c>
      <c r="R98" s="4"/>
      <c r="S98" s="10"/>
      <c r="T98" s="10"/>
      <c r="U98" s="10">
        <f t="shared" si="23"/>
        <v>12</v>
      </c>
      <c r="V98" s="10">
        <f t="shared" si="24"/>
        <v>4.4719101123595522</v>
      </c>
      <c r="W98" s="10">
        <v>41.6</v>
      </c>
      <c r="X98" s="10">
        <v>45</v>
      </c>
      <c r="Y98" s="10">
        <v>43</v>
      </c>
      <c r="Z98" s="10">
        <v>51.2</v>
      </c>
      <c r="AA98" s="10">
        <v>39.200000000000003</v>
      </c>
      <c r="AB98" s="10">
        <v>47.4</v>
      </c>
      <c r="AC98" s="10">
        <v>51.4</v>
      </c>
      <c r="AD98" s="10">
        <v>53.4</v>
      </c>
      <c r="AE98" s="10"/>
      <c r="AF98" s="10">
        <f t="shared" si="26"/>
        <v>120.59999999999997</v>
      </c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</row>
    <row r="99" spans="1:51" x14ac:dyDescent="0.25">
      <c r="A99" s="10" t="s">
        <v>139</v>
      </c>
      <c r="B99" s="10" t="s">
        <v>41</v>
      </c>
      <c r="C99" s="10">
        <v>1</v>
      </c>
      <c r="D99" s="10">
        <v>234</v>
      </c>
      <c r="E99" s="10">
        <v>119</v>
      </c>
      <c r="F99" s="10">
        <v>86</v>
      </c>
      <c r="G99" s="7">
        <v>0.3</v>
      </c>
      <c r="H99" s="10">
        <v>40</v>
      </c>
      <c r="I99" s="10" t="s">
        <v>37</v>
      </c>
      <c r="J99" s="10"/>
      <c r="K99" s="10">
        <v>148</v>
      </c>
      <c r="L99" s="10">
        <f t="shared" si="20"/>
        <v>-29</v>
      </c>
      <c r="M99" s="10">
        <f t="shared" si="21"/>
        <v>119</v>
      </c>
      <c r="N99" s="10"/>
      <c r="O99" s="10">
        <v>0</v>
      </c>
      <c r="P99" s="10">
        <f t="shared" si="22"/>
        <v>23.8</v>
      </c>
      <c r="Q99" s="4">
        <f t="shared" si="27"/>
        <v>199.60000000000002</v>
      </c>
      <c r="R99" s="4"/>
      <c r="S99" s="10"/>
      <c r="T99" s="10"/>
      <c r="U99" s="10">
        <f t="shared" si="23"/>
        <v>12</v>
      </c>
      <c r="V99" s="10">
        <f t="shared" si="24"/>
        <v>3.6134453781512605</v>
      </c>
      <c r="W99" s="10">
        <v>11</v>
      </c>
      <c r="X99" s="10">
        <v>27.8</v>
      </c>
      <c r="Y99" s="10">
        <v>10</v>
      </c>
      <c r="Z99" s="10">
        <v>22.8</v>
      </c>
      <c r="AA99" s="10">
        <v>19</v>
      </c>
      <c r="AB99" s="10">
        <v>29</v>
      </c>
      <c r="AC99" s="10">
        <v>24.6</v>
      </c>
      <c r="AD99" s="10">
        <v>28</v>
      </c>
      <c r="AE99" s="10"/>
      <c r="AF99" s="10">
        <f t="shared" si="26"/>
        <v>59.88</v>
      </c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</row>
    <row r="100" spans="1:51" x14ac:dyDescent="0.25">
      <c r="A100" s="10" t="s">
        <v>140</v>
      </c>
      <c r="B100" s="10" t="s">
        <v>41</v>
      </c>
      <c r="C100" s="10">
        <v>67</v>
      </c>
      <c r="D100" s="10"/>
      <c r="E100" s="10">
        <v>56</v>
      </c>
      <c r="F100" s="10"/>
      <c r="G100" s="7">
        <v>0.3</v>
      </c>
      <c r="H100" s="10">
        <v>40</v>
      </c>
      <c r="I100" s="10" t="s">
        <v>37</v>
      </c>
      <c r="J100" s="10"/>
      <c r="K100" s="10">
        <v>74</v>
      </c>
      <c r="L100" s="10">
        <f t="shared" si="20"/>
        <v>-18</v>
      </c>
      <c r="M100" s="10">
        <f t="shared" si="21"/>
        <v>56</v>
      </c>
      <c r="N100" s="10"/>
      <c r="O100" s="10">
        <v>153.80000000000001</v>
      </c>
      <c r="P100" s="10">
        <f t="shared" si="22"/>
        <v>11.2</v>
      </c>
      <c r="Q100" s="4"/>
      <c r="R100" s="4"/>
      <c r="S100" s="10"/>
      <c r="T100" s="10"/>
      <c r="U100" s="10">
        <f t="shared" si="23"/>
        <v>13.732142857142859</v>
      </c>
      <c r="V100" s="10">
        <f t="shared" si="24"/>
        <v>13.732142857142859</v>
      </c>
      <c r="W100" s="10">
        <v>18.399999999999999</v>
      </c>
      <c r="X100" s="10">
        <v>2.6</v>
      </c>
      <c r="Y100" s="10">
        <v>21.6</v>
      </c>
      <c r="Z100" s="10">
        <v>9</v>
      </c>
      <c r="AA100" s="10">
        <v>16.399999999999999</v>
      </c>
      <c r="AB100" s="10">
        <v>11.2</v>
      </c>
      <c r="AC100" s="10">
        <v>14.6</v>
      </c>
      <c r="AD100" s="10">
        <v>12.4</v>
      </c>
      <c r="AE100" s="10"/>
      <c r="AF100" s="10">
        <f t="shared" si="26"/>
        <v>0</v>
      </c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</row>
    <row r="101" spans="1:51" x14ac:dyDescent="0.25">
      <c r="A101" s="10" t="s">
        <v>141</v>
      </c>
      <c r="B101" s="10" t="s">
        <v>41</v>
      </c>
      <c r="C101" s="10">
        <v>24</v>
      </c>
      <c r="D101" s="10">
        <v>105</v>
      </c>
      <c r="E101" s="10">
        <v>47</v>
      </c>
      <c r="F101" s="10">
        <v>66</v>
      </c>
      <c r="G101" s="7">
        <v>0.12</v>
      </c>
      <c r="H101" s="10">
        <v>45</v>
      </c>
      <c r="I101" s="10" t="s">
        <v>37</v>
      </c>
      <c r="J101" s="10"/>
      <c r="K101" s="10">
        <v>63</v>
      </c>
      <c r="L101" s="10">
        <f t="shared" si="20"/>
        <v>-16</v>
      </c>
      <c r="M101" s="10">
        <f t="shared" si="21"/>
        <v>47</v>
      </c>
      <c r="N101" s="10"/>
      <c r="O101" s="10">
        <v>0</v>
      </c>
      <c r="P101" s="10">
        <f t="shared" si="22"/>
        <v>9.4</v>
      </c>
      <c r="Q101" s="4">
        <f t="shared" si="25"/>
        <v>56.2</v>
      </c>
      <c r="R101" s="4"/>
      <c r="S101" s="10"/>
      <c r="T101" s="10"/>
      <c r="U101" s="10">
        <f t="shared" si="23"/>
        <v>13</v>
      </c>
      <c r="V101" s="10">
        <f t="shared" si="24"/>
        <v>7.0212765957446805</v>
      </c>
      <c r="W101" s="10">
        <v>6.4</v>
      </c>
      <c r="X101" s="10">
        <v>10.4</v>
      </c>
      <c r="Y101" s="10">
        <v>7.6</v>
      </c>
      <c r="Z101" s="10">
        <v>8.4</v>
      </c>
      <c r="AA101" s="10">
        <v>7.4</v>
      </c>
      <c r="AB101" s="10">
        <v>10</v>
      </c>
      <c r="AC101" s="10">
        <v>9.4</v>
      </c>
      <c r="AD101" s="10">
        <v>8.4</v>
      </c>
      <c r="AE101" s="10"/>
      <c r="AF101" s="10">
        <f t="shared" si="26"/>
        <v>6.7439999999999998</v>
      </c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</row>
    <row r="102" spans="1:51" x14ac:dyDescent="0.25">
      <c r="A102" s="10" t="s">
        <v>142</v>
      </c>
      <c r="B102" s="10" t="s">
        <v>41</v>
      </c>
      <c r="C102" s="10">
        <v>79</v>
      </c>
      <c r="D102" s="10">
        <v>36</v>
      </c>
      <c r="E102" s="10">
        <v>38</v>
      </c>
      <c r="F102" s="10">
        <v>69</v>
      </c>
      <c r="G102" s="7">
        <v>7.0000000000000007E-2</v>
      </c>
      <c r="H102" s="10">
        <v>60</v>
      </c>
      <c r="I102" s="10" t="s">
        <v>37</v>
      </c>
      <c r="J102" s="10"/>
      <c r="K102" s="10">
        <v>46</v>
      </c>
      <c r="L102" s="10">
        <f t="shared" ref="L102:L133" si="28">E102-K102</f>
        <v>-8</v>
      </c>
      <c r="M102" s="10">
        <f t="shared" ref="M102:M133" si="29">E102-N102</f>
        <v>38</v>
      </c>
      <c r="N102" s="10"/>
      <c r="O102" s="10">
        <v>0</v>
      </c>
      <c r="P102" s="10">
        <f t="shared" ref="P102:P118" si="30">M102/5</f>
        <v>7.6</v>
      </c>
      <c r="Q102" s="4">
        <f t="shared" si="25"/>
        <v>29.799999999999997</v>
      </c>
      <c r="R102" s="4"/>
      <c r="S102" s="10"/>
      <c r="T102" s="10"/>
      <c r="U102" s="10">
        <f t="shared" ref="U102:U118" si="31">(F102+O102+Q102)/P102</f>
        <v>13</v>
      </c>
      <c r="V102" s="10">
        <f t="shared" ref="V102:V118" si="32">(F102+O102)/P102</f>
        <v>9.0789473684210531</v>
      </c>
      <c r="W102" s="10">
        <v>6.6</v>
      </c>
      <c r="X102" s="10">
        <v>10</v>
      </c>
      <c r="Y102" s="10">
        <v>8.6</v>
      </c>
      <c r="Z102" s="10">
        <v>13.4</v>
      </c>
      <c r="AA102" s="10">
        <v>7</v>
      </c>
      <c r="AB102" s="10">
        <v>13</v>
      </c>
      <c r="AC102" s="10">
        <v>12</v>
      </c>
      <c r="AD102" s="10">
        <v>9</v>
      </c>
      <c r="AE102" s="10"/>
      <c r="AF102" s="10">
        <f t="shared" si="26"/>
        <v>2.0859999999999999</v>
      </c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</row>
    <row r="103" spans="1:51" x14ac:dyDescent="0.25">
      <c r="A103" s="10" t="s">
        <v>143</v>
      </c>
      <c r="B103" s="10" t="s">
        <v>41</v>
      </c>
      <c r="C103" s="10">
        <v>57</v>
      </c>
      <c r="D103" s="10">
        <v>60</v>
      </c>
      <c r="E103" s="10">
        <v>18</v>
      </c>
      <c r="F103" s="10">
        <v>98</v>
      </c>
      <c r="G103" s="7">
        <v>0.12</v>
      </c>
      <c r="H103" s="10">
        <v>90</v>
      </c>
      <c r="I103" s="10" t="s">
        <v>37</v>
      </c>
      <c r="J103" s="10"/>
      <c r="K103" s="10">
        <v>19</v>
      </c>
      <c r="L103" s="10">
        <f t="shared" si="28"/>
        <v>-1</v>
      </c>
      <c r="M103" s="10">
        <f t="shared" si="29"/>
        <v>18</v>
      </c>
      <c r="N103" s="10"/>
      <c r="O103" s="10">
        <v>0</v>
      </c>
      <c r="P103" s="10">
        <f t="shared" si="30"/>
        <v>3.6</v>
      </c>
      <c r="Q103" s="4"/>
      <c r="R103" s="4"/>
      <c r="S103" s="10"/>
      <c r="T103" s="10"/>
      <c r="U103" s="10">
        <f t="shared" si="31"/>
        <v>27.222222222222221</v>
      </c>
      <c r="V103" s="10">
        <f t="shared" si="32"/>
        <v>27.222222222222221</v>
      </c>
      <c r="W103" s="10">
        <v>2.2000000000000002</v>
      </c>
      <c r="X103" s="10">
        <v>6.6</v>
      </c>
      <c r="Y103" s="10">
        <v>8.6</v>
      </c>
      <c r="Z103" s="10">
        <v>6</v>
      </c>
      <c r="AA103" s="10">
        <v>3.2</v>
      </c>
      <c r="AB103" s="10">
        <v>7.6</v>
      </c>
      <c r="AC103" s="10">
        <v>5.2</v>
      </c>
      <c r="AD103" s="10">
        <v>3.6</v>
      </c>
      <c r="AE103" s="12" t="s">
        <v>60</v>
      </c>
      <c r="AF103" s="10">
        <f t="shared" si="26"/>
        <v>0</v>
      </c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</row>
    <row r="104" spans="1:51" x14ac:dyDescent="0.25">
      <c r="A104" s="11" t="s">
        <v>144</v>
      </c>
      <c r="B104" s="10" t="s">
        <v>36</v>
      </c>
      <c r="C104" s="10"/>
      <c r="D104" s="10"/>
      <c r="E104" s="10"/>
      <c r="F104" s="10"/>
      <c r="G104" s="7">
        <v>1</v>
      </c>
      <c r="H104" s="10">
        <v>180</v>
      </c>
      <c r="I104" s="10" t="s">
        <v>37</v>
      </c>
      <c r="J104" s="10"/>
      <c r="K104" s="10"/>
      <c r="L104" s="10">
        <f t="shared" si="28"/>
        <v>0</v>
      </c>
      <c r="M104" s="10">
        <f t="shared" si="29"/>
        <v>0</v>
      </c>
      <c r="N104" s="10"/>
      <c r="O104" s="11"/>
      <c r="P104" s="10">
        <f t="shared" si="30"/>
        <v>0</v>
      </c>
      <c r="Q104" s="20">
        <v>4</v>
      </c>
      <c r="R104" s="4"/>
      <c r="S104" s="10"/>
      <c r="T104" s="10"/>
      <c r="U104" s="10" t="e">
        <f t="shared" si="31"/>
        <v>#DIV/0!</v>
      </c>
      <c r="V104" s="10" t="e">
        <f t="shared" si="32"/>
        <v>#DIV/0!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1" t="s">
        <v>135</v>
      </c>
      <c r="AF104" s="10">
        <f t="shared" si="26"/>
        <v>4</v>
      </c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</row>
    <row r="105" spans="1:51" x14ac:dyDescent="0.25">
      <c r="A105" s="10" t="s">
        <v>145</v>
      </c>
      <c r="B105" s="10" t="s">
        <v>41</v>
      </c>
      <c r="C105" s="10">
        <v>86</v>
      </c>
      <c r="D105" s="10">
        <v>72</v>
      </c>
      <c r="E105" s="10">
        <v>68</v>
      </c>
      <c r="F105" s="10">
        <v>84</v>
      </c>
      <c r="G105" s="7">
        <v>7.0000000000000007E-2</v>
      </c>
      <c r="H105" s="10">
        <v>90</v>
      </c>
      <c r="I105" s="10" t="s">
        <v>37</v>
      </c>
      <c r="J105" s="10"/>
      <c r="K105" s="10">
        <v>74</v>
      </c>
      <c r="L105" s="10">
        <f t="shared" si="28"/>
        <v>-6</v>
      </c>
      <c r="M105" s="10">
        <f t="shared" si="29"/>
        <v>68</v>
      </c>
      <c r="N105" s="10"/>
      <c r="O105" s="10">
        <v>51.200000000000017</v>
      </c>
      <c r="P105" s="10">
        <f t="shared" si="30"/>
        <v>13.6</v>
      </c>
      <c r="Q105" s="4">
        <f t="shared" si="25"/>
        <v>41.599999999999966</v>
      </c>
      <c r="R105" s="4"/>
      <c r="S105" s="10"/>
      <c r="T105" s="10"/>
      <c r="U105" s="10">
        <f t="shared" si="31"/>
        <v>12.999999999999998</v>
      </c>
      <c r="V105" s="10">
        <f t="shared" si="32"/>
        <v>9.9411764705882373</v>
      </c>
      <c r="W105" s="10">
        <v>14.4</v>
      </c>
      <c r="X105" s="10">
        <v>14</v>
      </c>
      <c r="Y105" s="10">
        <v>11.6</v>
      </c>
      <c r="Z105" s="10">
        <v>13.8</v>
      </c>
      <c r="AA105" s="10">
        <v>14.4</v>
      </c>
      <c r="AB105" s="10">
        <v>18.2</v>
      </c>
      <c r="AC105" s="10">
        <v>15.4</v>
      </c>
      <c r="AD105" s="10">
        <v>15.2</v>
      </c>
      <c r="AE105" s="10"/>
      <c r="AF105" s="10">
        <f t="shared" si="26"/>
        <v>2.9119999999999977</v>
      </c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</row>
    <row r="106" spans="1:51" x14ac:dyDescent="0.25">
      <c r="A106" s="10" t="s">
        <v>146</v>
      </c>
      <c r="B106" s="10" t="s">
        <v>41</v>
      </c>
      <c r="C106" s="10">
        <v>40</v>
      </c>
      <c r="D106" s="10">
        <v>126</v>
      </c>
      <c r="E106" s="10">
        <v>42</v>
      </c>
      <c r="F106" s="10">
        <v>119</v>
      </c>
      <c r="G106" s="7">
        <v>0.05</v>
      </c>
      <c r="H106" s="10">
        <v>90</v>
      </c>
      <c r="I106" s="10" t="s">
        <v>37</v>
      </c>
      <c r="J106" s="10"/>
      <c r="K106" s="10">
        <v>47</v>
      </c>
      <c r="L106" s="10">
        <f t="shared" si="28"/>
        <v>-5</v>
      </c>
      <c r="M106" s="10">
        <f t="shared" si="29"/>
        <v>42</v>
      </c>
      <c r="N106" s="10"/>
      <c r="O106" s="10">
        <v>0</v>
      </c>
      <c r="P106" s="10">
        <f t="shared" si="30"/>
        <v>8.4</v>
      </c>
      <c r="Q106" s="4"/>
      <c r="R106" s="4"/>
      <c r="S106" s="10"/>
      <c r="T106" s="10"/>
      <c r="U106" s="10">
        <f t="shared" si="31"/>
        <v>14.166666666666666</v>
      </c>
      <c r="V106" s="10">
        <f t="shared" si="32"/>
        <v>14.166666666666666</v>
      </c>
      <c r="W106" s="10">
        <v>10.6</v>
      </c>
      <c r="X106" s="10">
        <v>15.2</v>
      </c>
      <c r="Y106" s="10">
        <v>7.2</v>
      </c>
      <c r="Z106" s="10">
        <v>8</v>
      </c>
      <c r="AA106" s="10">
        <v>7.8</v>
      </c>
      <c r="AB106" s="10">
        <v>11.2</v>
      </c>
      <c r="AC106" s="10">
        <v>10</v>
      </c>
      <c r="AD106" s="10">
        <v>6.2</v>
      </c>
      <c r="AE106" s="10"/>
      <c r="AF106" s="10">
        <f t="shared" si="26"/>
        <v>0</v>
      </c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</row>
    <row r="107" spans="1:51" x14ac:dyDescent="0.25">
      <c r="A107" s="10" t="s">
        <v>147</v>
      </c>
      <c r="B107" s="10" t="s">
        <v>41</v>
      </c>
      <c r="C107" s="10">
        <v>99</v>
      </c>
      <c r="D107" s="10">
        <v>54</v>
      </c>
      <c r="E107" s="10">
        <v>62</v>
      </c>
      <c r="F107" s="10">
        <v>92</v>
      </c>
      <c r="G107" s="7">
        <v>5.5E-2</v>
      </c>
      <c r="H107" s="10">
        <v>90</v>
      </c>
      <c r="I107" s="10" t="s">
        <v>37</v>
      </c>
      <c r="J107" s="10"/>
      <c r="K107" s="10">
        <v>61</v>
      </c>
      <c r="L107" s="10">
        <f t="shared" si="28"/>
        <v>1</v>
      </c>
      <c r="M107" s="10">
        <f t="shared" si="29"/>
        <v>62</v>
      </c>
      <c r="N107" s="10"/>
      <c r="O107" s="10">
        <v>29</v>
      </c>
      <c r="P107" s="10">
        <f t="shared" si="30"/>
        <v>12.4</v>
      </c>
      <c r="Q107" s="4">
        <f t="shared" si="25"/>
        <v>40.200000000000017</v>
      </c>
      <c r="R107" s="4"/>
      <c r="S107" s="10"/>
      <c r="T107" s="10"/>
      <c r="U107" s="10">
        <f t="shared" si="31"/>
        <v>13.000000000000002</v>
      </c>
      <c r="V107" s="10">
        <f t="shared" si="32"/>
        <v>9.758064516129032</v>
      </c>
      <c r="W107" s="10">
        <v>12.8</v>
      </c>
      <c r="X107" s="10">
        <v>13.8</v>
      </c>
      <c r="Y107" s="10">
        <v>13.8</v>
      </c>
      <c r="Z107" s="10">
        <v>11.6</v>
      </c>
      <c r="AA107" s="10">
        <v>11.2</v>
      </c>
      <c r="AB107" s="10">
        <v>1.2</v>
      </c>
      <c r="AC107" s="10">
        <v>12</v>
      </c>
      <c r="AD107" s="10">
        <v>-3</v>
      </c>
      <c r="AE107" s="10"/>
      <c r="AF107" s="10">
        <f t="shared" si="26"/>
        <v>2.2110000000000007</v>
      </c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</row>
    <row r="108" spans="1:51" x14ac:dyDescent="0.25">
      <c r="A108" s="10" t="s">
        <v>148</v>
      </c>
      <c r="B108" s="10" t="s">
        <v>41</v>
      </c>
      <c r="C108" s="10">
        <v>37</v>
      </c>
      <c r="D108" s="10">
        <v>90</v>
      </c>
      <c r="E108" s="10">
        <v>35</v>
      </c>
      <c r="F108" s="10">
        <v>89</v>
      </c>
      <c r="G108" s="7">
        <v>5.5E-2</v>
      </c>
      <c r="H108" s="10">
        <v>90</v>
      </c>
      <c r="I108" s="10" t="s">
        <v>37</v>
      </c>
      <c r="J108" s="10"/>
      <c r="K108" s="10">
        <v>38</v>
      </c>
      <c r="L108" s="10">
        <f t="shared" si="28"/>
        <v>-3</v>
      </c>
      <c r="M108" s="10">
        <f t="shared" si="29"/>
        <v>35</v>
      </c>
      <c r="N108" s="10"/>
      <c r="O108" s="10">
        <v>0</v>
      </c>
      <c r="P108" s="10">
        <f t="shared" si="30"/>
        <v>7</v>
      </c>
      <c r="Q108" s="4"/>
      <c r="R108" s="4"/>
      <c r="S108" s="10"/>
      <c r="T108" s="10"/>
      <c r="U108" s="10">
        <f t="shared" si="31"/>
        <v>12.714285714285714</v>
      </c>
      <c r="V108" s="10">
        <f t="shared" si="32"/>
        <v>12.714285714285714</v>
      </c>
      <c r="W108" s="10">
        <v>8.1999999999999993</v>
      </c>
      <c r="X108" s="10">
        <v>9.6</v>
      </c>
      <c r="Y108" s="10">
        <v>7.4</v>
      </c>
      <c r="Z108" s="10">
        <v>4.8</v>
      </c>
      <c r="AA108" s="10">
        <v>5.8</v>
      </c>
      <c r="AB108" s="10">
        <v>11.4</v>
      </c>
      <c r="AC108" s="10">
        <v>6.6</v>
      </c>
      <c r="AD108" s="10">
        <v>8</v>
      </c>
      <c r="AE108" s="10"/>
      <c r="AF108" s="10">
        <f t="shared" si="26"/>
        <v>0</v>
      </c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</row>
    <row r="109" spans="1:51" x14ac:dyDescent="0.25">
      <c r="A109" s="10" t="s">
        <v>149</v>
      </c>
      <c r="B109" s="10" t="s">
        <v>41</v>
      </c>
      <c r="C109" s="10">
        <v>98</v>
      </c>
      <c r="D109" s="10"/>
      <c r="E109" s="10">
        <v>24</v>
      </c>
      <c r="F109" s="10">
        <v>74</v>
      </c>
      <c r="G109" s="7">
        <v>5.5E-2</v>
      </c>
      <c r="H109" s="10">
        <v>90</v>
      </c>
      <c r="I109" s="10" t="s">
        <v>37</v>
      </c>
      <c r="J109" s="10"/>
      <c r="K109" s="10">
        <v>24</v>
      </c>
      <c r="L109" s="10">
        <f t="shared" si="28"/>
        <v>0</v>
      </c>
      <c r="M109" s="10">
        <f t="shared" si="29"/>
        <v>24</v>
      </c>
      <c r="N109" s="10"/>
      <c r="O109" s="10">
        <v>0</v>
      </c>
      <c r="P109" s="10">
        <f t="shared" si="30"/>
        <v>4.8</v>
      </c>
      <c r="Q109" s="4"/>
      <c r="R109" s="4"/>
      <c r="S109" s="10"/>
      <c r="T109" s="10"/>
      <c r="U109" s="10">
        <f t="shared" si="31"/>
        <v>15.416666666666668</v>
      </c>
      <c r="V109" s="10">
        <f t="shared" si="32"/>
        <v>15.416666666666668</v>
      </c>
      <c r="W109" s="10">
        <v>6.6</v>
      </c>
      <c r="X109" s="10">
        <v>7.6</v>
      </c>
      <c r="Y109" s="10">
        <v>8</v>
      </c>
      <c r="Z109" s="10">
        <v>11</v>
      </c>
      <c r="AA109" s="10">
        <v>5.4</v>
      </c>
      <c r="AB109" s="10">
        <v>5.4</v>
      </c>
      <c r="AC109" s="10">
        <v>15.4</v>
      </c>
      <c r="AD109" s="10">
        <v>6.2</v>
      </c>
      <c r="AE109" s="10"/>
      <c r="AF109" s="10">
        <f t="shared" si="26"/>
        <v>0</v>
      </c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</row>
    <row r="110" spans="1:51" x14ac:dyDescent="0.25">
      <c r="A110" s="10" t="s">
        <v>150</v>
      </c>
      <c r="B110" s="10" t="s">
        <v>41</v>
      </c>
      <c r="C110" s="10">
        <v>187</v>
      </c>
      <c r="D110" s="10">
        <v>80</v>
      </c>
      <c r="E110" s="10">
        <v>222</v>
      </c>
      <c r="F110" s="10">
        <v>23</v>
      </c>
      <c r="G110" s="7">
        <v>0.375</v>
      </c>
      <c r="H110" s="10">
        <v>50</v>
      </c>
      <c r="I110" s="10" t="s">
        <v>37</v>
      </c>
      <c r="J110" s="10"/>
      <c r="K110" s="10">
        <v>244</v>
      </c>
      <c r="L110" s="10">
        <f t="shared" si="28"/>
        <v>-22</v>
      </c>
      <c r="M110" s="10">
        <f t="shared" si="29"/>
        <v>222</v>
      </c>
      <c r="N110" s="10"/>
      <c r="O110" s="10">
        <v>218.99999999999989</v>
      </c>
      <c r="P110" s="10">
        <f t="shared" si="30"/>
        <v>44.4</v>
      </c>
      <c r="Q110" s="4">
        <f t="shared" si="25"/>
        <v>335.20000000000005</v>
      </c>
      <c r="R110" s="4"/>
      <c r="S110" s="10"/>
      <c r="T110" s="10"/>
      <c r="U110" s="10">
        <f t="shared" si="31"/>
        <v>12.999999999999998</v>
      </c>
      <c r="V110" s="10">
        <f t="shared" si="32"/>
        <v>5.4504504504504476</v>
      </c>
      <c r="W110" s="10">
        <v>36.799999999999997</v>
      </c>
      <c r="X110" s="10">
        <v>35.200000000000003</v>
      </c>
      <c r="Y110" s="10">
        <v>47.6</v>
      </c>
      <c r="Z110" s="10">
        <v>30.4</v>
      </c>
      <c r="AA110" s="10">
        <v>50.4</v>
      </c>
      <c r="AB110" s="10">
        <v>34</v>
      </c>
      <c r="AC110" s="10">
        <v>46.4</v>
      </c>
      <c r="AD110" s="10">
        <v>40</v>
      </c>
      <c r="AE110" s="10"/>
      <c r="AF110" s="10">
        <f t="shared" si="26"/>
        <v>125.70000000000002</v>
      </c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</row>
    <row r="111" spans="1:51" x14ac:dyDescent="0.25">
      <c r="A111" s="10" t="s">
        <v>151</v>
      </c>
      <c r="B111" s="10" t="s">
        <v>41</v>
      </c>
      <c r="C111" s="10">
        <v>190</v>
      </c>
      <c r="D111" s="10">
        <v>22</v>
      </c>
      <c r="E111" s="21">
        <f>62+E118</f>
        <v>85</v>
      </c>
      <c r="F111" s="21">
        <f>79+F118</f>
        <v>117</v>
      </c>
      <c r="G111" s="7">
        <v>7.0000000000000007E-2</v>
      </c>
      <c r="H111" s="10">
        <v>90</v>
      </c>
      <c r="I111" s="10" t="s">
        <v>37</v>
      </c>
      <c r="J111" s="10"/>
      <c r="K111" s="10">
        <v>72</v>
      </c>
      <c r="L111" s="10">
        <f t="shared" si="28"/>
        <v>13</v>
      </c>
      <c r="M111" s="10">
        <f t="shared" si="29"/>
        <v>85</v>
      </c>
      <c r="N111" s="10"/>
      <c r="O111" s="10">
        <v>94.199999999999989</v>
      </c>
      <c r="P111" s="10">
        <f t="shared" si="30"/>
        <v>17</v>
      </c>
      <c r="Q111" s="4">
        <f t="shared" si="25"/>
        <v>9.8000000000000114</v>
      </c>
      <c r="R111" s="4"/>
      <c r="S111" s="10"/>
      <c r="T111" s="10"/>
      <c r="U111" s="10">
        <f t="shared" si="31"/>
        <v>13</v>
      </c>
      <c r="V111" s="10">
        <f t="shared" si="32"/>
        <v>12.423529411764704</v>
      </c>
      <c r="W111" s="10">
        <v>23.4</v>
      </c>
      <c r="X111" s="10">
        <v>16</v>
      </c>
      <c r="Y111" s="10">
        <v>24.6</v>
      </c>
      <c r="Z111" s="10">
        <v>24.2</v>
      </c>
      <c r="AA111" s="10">
        <v>22.6</v>
      </c>
      <c r="AB111" s="10">
        <v>29.4</v>
      </c>
      <c r="AC111" s="10">
        <v>23.4</v>
      </c>
      <c r="AD111" s="10">
        <v>24.6</v>
      </c>
      <c r="AE111" s="10"/>
      <c r="AF111" s="10">
        <f t="shared" si="26"/>
        <v>0.68600000000000083</v>
      </c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</row>
    <row r="112" spans="1:51" x14ac:dyDescent="0.25">
      <c r="A112" s="10" t="s">
        <v>152</v>
      </c>
      <c r="B112" s="10" t="s">
        <v>41</v>
      </c>
      <c r="C112" s="10">
        <v>160</v>
      </c>
      <c r="D112" s="10">
        <v>72</v>
      </c>
      <c r="E112" s="10">
        <v>109</v>
      </c>
      <c r="F112" s="10">
        <v>119</v>
      </c>
      <c r="G112" s="7">
        <v>7.0000000000000007E-2</v>
      </c>
      <c r="H112" s="10">
        <v>90</v>
      </c>
      <c r="I112" s="10" t="s">
        <v>37</v>
      </c>
      <c r="J112" s="10"/>
      <c r="K112" s="10">
        <v>113</v>
      </c>
      <c r="L112" s="10">
        <f t="shared" si="28"/>
        <v>-4</v>
      </c>
      <c r="M112" s="10">
        <f t="shared" si="29"/>
        <v>109</v>
      </c>
      <c r="N112" s="10"/>
      <c r="O112" s="10">
        <v>0</v>
      </c>
      <c r="P112" s="10">
        <f t="shared" si="30"/>
        <v>21.8</v>
      </c>
      <c r="Q112" s="4">
        <f t="shared" si="25"/>
        <v>164.40000000000003</v>
      </c>
      <c r="R112" s="4"/>
      <c r="S112" s="10"/>
      <c r="T112" s="10"/>
      <c r="U112" s="10">
        <f t="shared" si="31"/>
        <v>13.000000000000002</v>
      </c>
      <c r="V112" s="10">
        <f t="shared" si="32"/>
        <v>5.4587155963302747</v>
      </c>
      <c r="W112" s="10">
        <v>16</v>
      </c>
      <c r="X112" s="10">
        <v>22.6</v>
      </c>
      <c r="Y112" s="10">
        <v>26.2</v>
      </c>
      <c r="Z112" s="10">
        <v>20</v>
      </c>
      <c r="AA112" s="10">
        <v>20.399999999999999</v>
      </c>
      <c r="AB112" s="10">
        <v>24.8</v>
      </c>
      <c r="AC112" s="10">
        <v>22</v>
      </c>
      <c r="AD112" s="10">
        <v>27</v>
      </c>
      <c r="AE112" s="10"/>
      <c r="AF112" s="10">
        <f t="shared" si="26"/>
        <v>11.508000000000003</v>
      </c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</row>
    <row r="113" spans="1:51" x14ac:dyDescent="0.25">
      <c r="A113" s="17" t="s">
        <v>153</v>
      </c>
      <c r="B113" s="17" t="s">
        <v>41</v>
      </c>
      <c r="C113" s="17">
        <v>140</v>
      </c>
      <c r="D113" s="17"/>
      <c r="E113" s="21">
        <v>80</v>
      </c>
      <c r="F113" s="21">
        <v>-3</v>
      </c>
      <c r="G113" s="18">
        <v>0</v>
      </c>
      <c r="H113" s="17" t="e">
        <v>#N/A</v>
      </c>
      <c r="I113" s="17" t="s">
        <v>154</v>
      </c>
      <c r="J113" s="17" t="s">
        <v>90</v>
      </c>
      <c r="K113" s="17">
        <v>79</v>
      </c>
      <c r="L113" s="17">
        <f t="shared" si="28"/>
        <v>1</v>
      </c>
      <c r="M113" s="17">
        <f t="shared" si="29"/>
        <v>80</v>
      </c>
      <c r="N113" s="17"/>
      <c r="O113" s="17">
        <v>0</v>
      </c>
      <c r="P113" s="17">
        <f t="shared" si="30"/>
        <v>16</v>
      </c>
      <c r="Q113" s="19"/>
      <c r="R113" s="19"/>
      <c r="S113" s="17"/>
      <c r="T113" s="17"/>
      <c r="U113" s="17">
        <f t="shared" si="31"/>
        <v>-0.1875</v>
      </c>
      <c r="V113" s="17">
        <f t="shared" si="32"/>
        <v>-0.1875</v>
      </c>
      <c r="W113" s="17">
        <v>31.4</v>
      </c>
      <c r="X113" s="17">
        <v>18.600000000000001</v>
      </c>
      <c r="Y113" s="17">
        <v>36.6</v>
      </c>
      <c r="Z113" s="17">
        <v>22</v>
      </c>
      <c r="AA113" s="17">
        <v>26.2</v>
      </c>
      <c r="AB113" s="17">
        <v>2.2000000000000002</v>
      </c>
      <c r="AC113" s="17">
        <v>0</v>
      </c>
      <c r="AD113" s="17">
        <v>0</v>
      </c>
      <c r="AE113" s="17"/>
      <c r="AF113" s="17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</row>
    <row r="114" spans="1:51" x14ac:dyDescent="0.25">
      <c r="A114" s="17" t="s">
        <v>155</v>
      </c>
      <c r="B114" s="17" t="s">
        <v>41</v>
      </c>
      <c r="C114" s="17">
        <v>235</v>
      </c>
      <c r="D114" s="17">
        <v>1</v>
      </c>
      <c r="E114" s="21">
        <v>208</v>
      </c>
      <c r="F114" s="21">
        <v>26</v>
      </c>
      <c r="G114" s="18">
        <v>0</v>
      </c>
      <c r="H114" s="17" t="e">
        <v>#N/A</v>
      </c>
      <c r="I114" s="17" t="s">
        <v>154</v>
      </c>
      <c r="J114" s="17" t="s">
        <v>95</v>
      </c>
      <c r="K114" s="17">
        <v>210</v>
      </c>
      <c r="L114" s="17">
        <f t="shared" si="28"/>
        <v>-2</v>
      </c>
      <c r="M114" s="17">
        <f t="shared" si="29"/>
        <v>208</v>
      </c>
      <c r="N114" s="17"/>
      <c r="O114" s="17">
        <v>0</v>
      </c>
      <c r="P114" s="17">
        <f t="shared" si="30"/>
        <v>41.6</v>
      </c>
      <c r="Q114" s="19"/>
      <c r="R114" s="19"/>
      <c r="S114" s="17"/>
      <c r="T114" s="17"/>
      <c r="U114" s="17">
        <f t="shared" si="31"/>
        <v>0.625</v>
      </c>
      <c r="V114" s="17">
        <f t="shared" si="32"/>
        <v>0.625</v>
      </c>
      <c r="W114" s="17">
        <v>62</v>
      </c>
      <c r="X114" s="17">
        <v>51.4</v>
      </c>
      <c r="Y114" s="17">
        <v>74.400000000000006</v>
      </c>
      <c r="Z114" s="17">
        <v>66.599999999999994</v>
      </c>
      <c r="AA114" s="17">
        <v>62.8</v>
      </c>
      <c r="AB114" s="17">
        <v>62.6</v>
      </c>
      <c r="AC114" s="17">
        <v>73.599999999999994</v>
      </c>
      <c r="AD114" s="17">
        <v>59.6</v>
      </c>
      <c r="AE114" s="17"/>
      <c r="AF114" s="17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</row>
    <row r="115" spans="1:51" x14ac:dyDescent="0.25">
      <c r="A115" s="17" t="s">
        <v>156</v>
      </c>
      <c r="B115" s="17" t="s">
        <v>41</v>
      </c>
      <c r="C115" s="17">
        <v>111</v>
      </c>
      <c r="D115" s="17">
        <v>314</v>
      </c>
      <c r="E115" s="21">
        <v>282</v>
      </c>
      <c r="F115" s="21">
        <v>142</v>
      </c>
      <c r="G115" s="18">
        <v>0</v>
      </c>
      <c r="H115" s="17" t="e">
        <v>#N/A</v>
      </c>
      <c r="I115" s="17" t="s">
        <v>154</v>
      </c>
      <c r="J115" s="17" t="s">
        <v>121</v>
      </c>
      <c r="K115" s="17">
        <v>283</v>
      </c>
      <c r="L115" s="17">
        <f t="shared" si="28"/>
        <v>-1</v>
      </c>
      <c r="M115" s="17">
        <f t="shared" si="29"/>
        <v>282</v>
      </c>
      <c r="N115" s="17"/>
      <c r="O115" s="17">
        <v>0</v>
      </c>
      <c r="P115" s="17">
        <f t="shared" si="30"/>
        <v>56.4</v>
      </c>
      <c r="Q115" s="19"/>
      <c r="R115" s="19"/>
      <c r="S115" s="17"/>
      <c r="T115" s="17"/>
      <c r="U115" s="17">
        <f t="shared" si="31"/>
        <v>2.5177304964539009</v>
      </c>
      <c r="V115" s="17">
        <f t="shared" si="32"/>
        <v>2.5177304964539009</v>
      </c>
      <c r="W115" s="17">
        <v>68.8</v>
      </c>
      <c r="X115" s="17">
        <v>72.599999999999994</v>
      </c>
      <c r="Y115" s="17">
        <v>85.8</v>
      </c>
      <c r="Z115" s="17">
        <v>71.8</v>
      </c>
      <c r="AA115" s="17">
        <v>63.2</v>
      </c>
      <c r="AB115" s="17">
        <v>74.8</v>
      </c>
      <c r="AC115" s="17">
        <v>83</v>
      </c>
      <c r="AD115" s="17">
        <v>73.599999999999994</v>
      </c>
      <c r="AE115" s="17"/>
      <c r="AF115" s="17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</row>
    <row r="116" spans="1:51" x14ac:dyDescent="0.25">
      <c r="A116" s="17" t="s">
        <v>157</v>
      </c>
      <c r="B116" s="17" t="s">
        <v>36</v>
      </c>
      <c r="C116" s="17">
        <v>273.26600000000002</v>
      </c>
      <c r="D116" s="17">
        <v>2.468</v>
      </c>
      <c r="E116" s="21">
        <v>181.613</v>
      </c>
      <c r="F116" s="21">
        <v>94.141000000000005</v>
      </c>
      <c r="G116" s="18">
        <v>0</v>
      </c>
      <c r="H116" s="17" t="e">
        <v>#N/A</v>
      </c>
      <c r="I116" s="17" t="s">
        <v>154</v>
      </c>
      <c r="J116" s="17" t="s">
        <v>58</v>
      </c>
      <c r="K116" s="17">
        <v>190</v>
      </c>
      <c r="L116" s="17">
        <f t="shared" si="28"/>
        <v>-8.3870000000000005</v>
      </c>
      <c r="M116" s="17">
        <f t="shared" si="29"/>
        <v>181.613</v>
      </c>
      <c r="N116" s="17"/>
      <c r="O116" s="17">
        <v>0</v>
      </c>
      <c r="P116" s="17">
        <f t="shared" si="30"/>
        <v>36.322600000000001</v>
      </c>
      <c r="Q116" s="19"/>
      <c r="R116" s="19"/>
      <c r="S116" s="17"/>
      <c r="T116" s="17"/>
      <c r="U116" s="17">
        <f t="shared" si="31"/>
        <v>2.5918023489507909</v>
      </c>
      <c r="V116" s="17">
        <f t="shared" si="32"/>
        <v>2.5918023489507909</v>
      </c>
      <c r="W116" s="17">
        <v>41.339199999999998</v>
      </c>
      <c r="X116" s="17">
        <v>23.799800000000001</v>
      </c>
      <c r="Y116" s="17">
        <v>49.880800000000001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/>
      <c r="AF116" s="17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</row>
    <row r="117" spans="1:51" x14ac:dyDescent="0.25">
      <c r="A117" s="17" t="s">
        <v>158</v>
      </c>
      <c r="B117" s="17" t="s">
        <v>36</v>
      </c>
      <c r="C117" s="17">
        <v>24.532</v>
      </c>
      <c r="D117" s="17">
        <v>42.070999999999998</v>
      </c>
      <c r="E117" s="21">
        <v>50.634</v>
      </c>
      <c r="F117" s="21">
        <v>15.968999999999999</v>
      </c>
      <c r="G117" s="18">
        <v>0</v>
      </c>
      <c r="H117" s="17" t="e">
        <v>#N/A</v>
      </c>
      <c r="I117" s="17" t="s">
        <v>154</v>
      </c>
      <c r="J117" s="17" t="s">
        <v>88</v>
      </c>
      <c r="K117" s="17">
        <v>49</v>
      </c>
      <c r="L117" s="17">
        <f t="shared" si="28"/>
        <v>1.6340000000000003</v>
      </c>
      <c r="M117" s="17">
        <f t="shared" si="29"/>
        <v>50.634</v>
      </c>
      <c r="N117" s="17"/>
      <c r="O117" s="17">
        <v>0</v>
      </c>
      <c r="P117" s="17">
        <f t="shared" si="30"/>
        <v>10.126799999999999</v>
      </c>
      <c r="Q117" s="19"/>
      <c r="R117" s="19"/>
      <c r="S117" s="17"/>
      <c r="T117" s="17"/>
      <c r="U117" s="17">
        <f t="shared" si="31"/>
        <v>1.5769048465457993</v>
      </c>
      <c r="V117" s="17">
        <f t="shared" si="32"/>
        <v>1.5769048465457993</v>
      </c>
      <c r="W117" s="17">
        <v>19.404800000000002</v>
      </c>
      <c r="X117" s="17">
        <v>16.0002</v>
      </c>
      <c r="Y117" s="17">
        <v>20.640599999999999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/>
      <c r="AF117" s="17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</row>
    <row r="118" spans="1:51" x14ac:dyDescent="0.25">
      <c r="A118" s="17" t="s">
        <v>159</v>
      </c>
      <c r="B118" s="17" t="s">
        <v>41</v>
      </c>
      <c r="C118" s="17">
        <v>20</v>
      </c>
      <c r="D118" s="17">
        <v>39</v>
      </c>
      <c r="E118" s="21">
        <v>23</v>
      </c>
      <c r="F118" s="21">
        <v>38</v>
      </c>
      <c r="G118" s="18">
        <v>0</v>
      </c>
      <c r="H118" s="17" t="e">
        <v>#N/A</v>
      </c>
      <c r="I118" s="17" t="s">
        <v>154</v>
      </c>
      <c r="J118" s="17" t="s">
        <v>151</v>
      </c>
      <c r="K118" s="17">
        <v>21</v>
      </c>
      <c r="L118" s="17">
        <f t="shared" si="28"/>
        <v>2</v>
      </c>
      <c r="M118" s="17">
        <f t="shared" si="29"/>
        <v>23</v>
      </c>
      <c r="N118" s="17"/>
      <c r="O118" s="17">
        <v>0</v>
      </c>
      <c r="P118" s="17">
        <f t="shared" si="30"/>
        <v>4.5999999999999996</v>
      </c>
      <c r="Q118" s="19"/>
      <c r="R118" s="19"/>
      <c r="S118" s="17"/>
      <c r="T118" s="17"/>
      <c r="U118" s="17">
        <f t="shared" si="31"/>
        <v>8.2608695652173925</v>
      </c>
      <c r="V118" s="17">
        <f t="shared" si="32"/>
        <v>8.2608695652173925</v>
      </c>
      <c r="W118" s="17">
        <v>8</v>
      </c>
      <c r="X118" s="17">
        <v>4</v>
      </c>
      <c r="Y118" s="17">
        <v>6.4</v>
      </c>
      <c r="Z118" s="17">
        <v>8</v>
      </c>
      <c r="AA118" s="17">
        <v>6.6</v>
      </c>
      <c r="AB118" s="17">
        <v>10</v>
      </c>
      <c r="AC118" s="17">
        <v>8.4</v>
      </c>
      <c r="AD118" s="17">
        <v>7.4</v>
      </c>
      <c r="AE118" s="17"/>
      <c r="AF118" s="17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</row>
    <row r="119" spans="1:51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</row>
    <row r="120" spans="1:51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</row>
    <row r="121" spans="1:51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</row>
    <row r="122" spans="1:51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</row>
    <row r="123" spans="1:51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</row>
    <row r="124" spans="1:51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</row>
    <row r="125" spans="1:51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</row>
    <row r="126" spans="1:51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</row>
    <row r="127" spans="1:51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</row>
    <row r="128" spans="1:51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</row>
    <row r="129" spans="1:51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</row>
    <row r="130" spans="1:51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</row>
    <row r="131" spans="1:51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</row>
    <row r="132" spans="1:51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</row>
    <row r="133" spans="1:51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</row>
    <row r="134" spans="1:51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</row>
    <row r="135" spans="1:51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</row>
    <row r="136" spans="1:51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</row>
    <row r="137" spans="1:51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</row>
    <row r="138" spans="1:51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</row>
    <row r="139" spans="1:51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</row>
    <row r="140" spans="1:51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</row>
    <row r="141" spans="1:51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</row>
    <row r="142" spans="1:51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</row>
    <row r="143" spans="1:51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</row>
    <row r="144" spans="1:51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</row>
    <row r="145" spans="1:51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</row>
    <row r="146" spans="1:51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</row>
    <row r="147" spans="1:51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</row>
    <row r="148" spans="1:51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</row>
    <row r="149" spans="1:51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</row>
    <row r="150" spans="1:51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</row>
    <row r="151" spans="1:51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</row>
    <row r="152" spans="1:51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</row>
    <row r="153" spans="1:51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</row>
    <row r="154" spans="1:51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</row>
    <row r="155" spans="1:51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</row>
    <row r="156" spans="1:51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</row>
    <row r="157" spans="1:51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</row>
    <row r="158" spans="1:51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</row>
    <row r="159" spans="1:51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</row>
    <row r="160" spans="1:51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</row>
    <row r="161" spans="1:51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</row>
    <row r="162" spans="1:51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</row>
    <row r="163" spans="1:51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</row>
    <row r="164" spans="1:51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</row>
    <row r="165" spans="1:51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</row>
    <row r="166" spans="1:51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</row>
    <row r="167" spans="1:51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</row>
    <row r="168" spans="1:51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</row>
    <row r="169" spans="1:51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</row>
    <row r="170" spans="1:51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</row>
    <row r="171" spans="1:51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</row>
    <row r="172" spans="1:51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</row>
    <row r="173" spans="1:51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</row>
    <row r="174" spans="1:51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</row>
    <row r="175" spans="1:51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</row>
    <row r="176" spans="1:51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</row>
    <row r="177" spans="1:51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</row>
    <row r="178" spans="1:51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</row>
    <row r="179" spans="1:51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</row>
    <row r="180" spans="1:51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</row>
    <row r="181" spans="1:51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</row>
    <row r="182" spans="1:51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</row>
    <row r="183" spans="1:51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</row>
    <row r="184" spans="1:51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</row>
    <row r="185" spans="1:51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</row>
    <row r="186" spans="1:51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</row>
    <row r="187" spans="1:51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</row>
    <row r="188" spans="1:51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</row>
    <row r="189" spans="1:51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</row>
    <row r="190" spans="1:51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</row>
    <row r="191" spans="1:51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</row>
    <row r="192" spans="1:51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</row>
    <row r="193" spans="1:51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</row>
    <row r="194" spans="1:51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</row>
    <row r="195" spans="1:51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</row>
    <row r="196" spans="1:51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</row>
    <row r="197" spans="1:51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</row>
    <row r="198" spans="1:51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</row>
    <row r="199" spans="1:51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</row>
    <row r="200" spans="1:51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</row>
    <row r="201" spans="1:51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</row>
    <row r="202" spans="1:51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</row>
    <row r="203" spans="1:51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</row>
    <row r="204" spans="1:51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</row>
    <row r="205" spans="1:51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</row>
    <row r="206" spans="1:51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</row>
    <row r="207" spans="1:51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</row>
    <row r="208" spans="1:51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</row>
    <row r="209" spans="1:51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</row>
    <row r="210" spans="1:51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</row>
    <row r="211" spans="1:51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</row>
    <row r="212" spans="1:51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</row>
    <row r="213" spans="1:51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</row>
    <row r="214" spans="1:51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</row>
    <row r="215" spans="1:51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</row>
    <row r="216" spans="1:51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</row>
    <row r="217" spans="1:51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</row>
    <row r="218" spans="1:51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</row>
    <row r="219" spans="1:51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</row>
    <row r="220" spans="1:51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</row>
    <row r="221" spans="1:51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</row>
    <row r="222" spans="1:51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</row>
    <row r="223" spans="1:51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</row>
    <row r="224" spans="1:51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</row>
    <row r="225" spans="1:51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</row>
    <row r="226" spans="1:51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</row>
    <row r="227" spans="1:51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</row>
    <row r="228" spans="1:51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</row>
    <row r="229" spans="1:51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</row>
    <row r="230" spans="1:51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</row>
    <row r="231" spans="1:51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</row>
    <row r="232" spans="1:51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</row>
    <row r="233" spans="1:51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</row>
    <row r="234" spans="1:51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</row>
    <row r="235" spans="1:51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</row>
    <row r="236" spans="1:51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</row>
    <row r="237" spans="1:51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</row>
    <row r="238" spans="1:51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</row>
    <row r="239" spans="1:51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</row>
    <row r="240" spans="1:51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</row>
    <row r="241" spans="1:51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</row>
    <row r="242" spans="1:51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</row>
    <row r="243" spans="1:51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</row>
    <row r="244" spans="1:51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</row>
    <row r="245" spans="1:51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</row>
    <row r="246" spans="1:51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</row>
    <row r="247" spans="1:51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</row>
    <row r="248" spans="1:51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</row>
    <row r="249" spans="1:51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</row>
    <row r="250" spans="1:51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</row>
    <row r="251" spans="1:51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</row>
    <row r="252" spans="1:51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</row>
    <row r="253" spans="1:51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</row>
    <row r="254" spans="1:51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</row>
    <row r="255" spans="1:51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</row>
    <row r="256" spans="1:51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</row>
    <row r="257" spans="1:51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</row>
    <row r="258" spans="1:51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</row>
    <row r="259" spans="1:51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</row>
    <row r="260" spans="1:51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</row>
    <row r="261" spans="1:51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</row>
    <row r="262" spans="1:51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</row>
    <row r="263" spans="1:51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</row>
    <row r="264" spans="1:51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</row>
    <row r="265" spans="1:51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</row>
    <row r="266" spans="1:51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</row>
    <row r="267" spans="1:51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</row>
    <row r="268" spans="1:51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</row>
    <row r="269" spans="1:51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</row>
    <row r="270" spans="1:51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</row>
    <row r="271" spans="1:51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</row>
    <row r="272" spans="1:51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</row>
    <row r="273" spans="1:51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</row>
    <row r="274" spans="1:51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</row>
    <row r="275" spans="1:51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</row>
    <row r="276" spans="1:51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</row>
    <row r="277" spans="1:51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</row>
    <row r="278" spans="1:51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</row>
    <row r="279" spans="1:51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</row>
    <row r="280" spans="1:51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</row>
    <row r="281" spans="1:51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</row>
    <row r="282" spans="1:51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</row>
    <row r="283" spans="1:51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</row>
    <row r="284" spans="1:51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</row>
    <row r="285" spans="1:51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</row>
    <row r="286" spans="1:51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</row>
    <row r="287" spans="1:51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</row>
    <row r="288" spans="1:51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</row>
    <row r="289" spans="1:51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</row>
    <row r="290" spans="1:51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</row>
    <row r="291" spans="1:51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</row>
    <row r="292" spans="1:51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</row>
    <row r="293" spans="1:51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</row>
    <row r="294" spans="1:51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</row>
    <row r="295" spans="1:51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</row>
    <row r="296" spans="1:51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</row>
    <row r="297" spans="1:51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</row>
    <row r="298" spans="1:51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</row>
    <row r="299" spans="1:51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</row>
    <row r="300" spans="1:51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</row>
    <row r="301" spans="1:51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</row>
    <row r="302" spans="1:51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</row>
    <row r="303" spans="1:51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</row>
    <row r="304" spans="1:51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</row>
    <row r="305" spans="1:51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</row>
    <row r="306" spans="1:51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</row>
    <row r="307" spans="1:51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</row>
    <row r="308" spans="1:51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</row>
    <row r="309" spans="1:51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</row>
    <row r="310" spans="1:51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</row>
    <row r="311" spans="1:51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</row>
    <row r="312" spans="1:51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</row>
    <row r="313" spans="1:51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</row>
    <row r="314" spans="1:51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</row>
    <row r="315" spans="1:51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</row>
    <row r="316" spans="1:51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</row>
    <row r="317" spans="1:51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</row>
    <row r="318" spans="1:51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</row>
    <row r="319" spans="1:51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</row>
    <row r="320" spans="1:51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</row>
    <row r="321" spans="1:51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</row>
    <row r="322" spans="1:51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</row>
    <row r="323" spans="1:51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</row>
    <row r="324" spans="1:51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</row>
    <row r="325" spans="1:51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</row>
    <row r="326" spans="1:51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</row>
    <row r="327" spans="1:51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</row>
    <row r="328" spans="1:51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</row>
    <row r="329" spans="1:51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</row>
    <row r="330" spans="1:51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</row>
    <row r="331" spans="1:51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</row>
    <row r="332" spans="1:51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</row>
    <row r="333" spans="1:51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</row>
    <row r="334" spans="1:51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</row>
    <row r="335" spans="1:51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</row>
    <row r="336" spans="1:51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</row>
    <row r="337" spans="1:51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</row>
    <row r="338" spans="1:51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</row>
    <row r="339" spans="1:51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</row>
    <row r="340" spans="1:51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</row>
    <row r="341" spans="1:51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</row>
    <row r="342" spans="1:51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</row>
    <row r="343" spans="1:51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</row>
    <row r="344" spans="1:51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</row>
    <row r="345" spans="1:51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</row>
    <row r="346" spans="1:51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</row>
    <row r="347" spans="1:51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</row>
    <row r="348" spans="1:51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</row>
    <row r="349" spans="1:51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</row>
    <row r="350" spans="1:51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</row>
    <row r="351" spans="1:51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</row>
    <row r="352" spans="1:51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</row>
    <row r="353" spans="1:51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</row>
    <row r="354" spans="1:51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</row>
    <row r="355" spans="1:51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</row>
    <row r="356" spans="1:51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</row>
    <row r="357" spans="1:51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</row>
    <row r="358" spans="1:51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</row>
    <row r="359" spans="1:51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</row>
    <row r="360" spans="1:51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</row>
    <row r="361" spans="1:51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</row>
    <row r="362" spans="1:51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</row>
    <row r="363" spans="1:51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</row>
    <row r="364" spans="1:51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</row>
    <row r="365" spans="1:51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</row>
    <row r="366" spans="1:51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</row>
    <row r="367" spans="1:51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</row>
    <row r="368" spans="1:51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</row>
    <row r="369" spans="1:51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</row>
    <row r="370" spans="1:51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</row>
    <row r="371" spans="1:51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</row>
    <row r="372" spans="1:51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</row>
    <row r="373" spans="1:51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</row>
    <row r="374" spans="1:51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</row>
    <row r="375" spans="1:51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</row>
    <row r="376" spans="1:51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</row>
    <row r="377" spans="1:51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</row>
    <row r="378" spans="1:51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</row>
    <row r="379" spans="1:51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</row>
    <row r="380" spans="1:51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</row>
    <row r="381" spans="1:51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</row>
    <row r="382" spans="1:51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</row>
    <row r="383" spans="1:51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</row>
    <row r="384" spans="1:51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</row>
    <row r="385" spans="1:51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</row>
    <row r="386" spans="1:51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</row>
    <row r="387" spans="1:51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</row>
    <row r="388" spans="1:51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</row>
    <row r="389" spans="1:51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</row>
    <row r="390" spans="1:51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</row>
    <row r="391" spans="1:51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</row>
    <row r="392" spans="1:51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</row>
    <row r="393" spans="1:51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</row>
    <row r="394" spans="1:51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</row>
    <row r="395" spans="1:51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</row>
    <row r="396" spans="1:51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</row>
    <row r="397" spans="1:51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</row>
    <row r="398" spans="1:51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</row>
    <row r="399" spans="1:51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</row>
    <row r="400" spans="1:51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</row>
    <row r="401" spans="1:51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</row>
    <row r="402" spans="1:51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</row>
    <row r="403" spans="1:51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</row>
    <row r="404" spans="1:51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</row>
    <row r="405" spans="1:51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</row>
    <row r="406" spans="1:51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</row>
    <row r="407" spans="1:51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</row>
    <row r="408" spans="1:51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</row>
    <row r="409" spans="1:51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</row>
    <row r="410" spans="1:51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</row>
    <row r="411" spans="1:51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</row>
    <row r="412" spans="1:51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</row>
    <row r="413" spans="1:51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</row>
    <row r="414" spans="1:51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</row>
    <row r="415" spans="1:51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</row>
    <row r="416" spans="1:51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</row>
    <row r="417" spans="1:51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</row>
    <row r="418" spans="1:51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</row>
    <row r="419" spans="1:51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</row>
    <row r="420" spans="1:51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</row>
    <row r="421" spans="1:51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</row>
    <row r="422" spans="1:51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</row>
    <row r="423" spans="1:51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</row>
    <row r="424" spans="1:51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</row>
    <row r="425" spans="1:51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</row>
    <row r="426" spans="1:51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</row>
    <row r="427" spans="1:51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</row>
    <row r="428" spans="1:51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</row>
    <row r="429" spans="1:51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</row>
    <row r="430" spans="1:51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</row>
    <row r="431" spans="1:51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</row>
    <row r="432" spans="1:51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</row>
    <row r="433" spans="1:51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</row>
    <row r="434" spans="1:51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</row>
    <row r="435" spans="1:51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</row>
    <row r="436" spans="1:51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</row>
    <row r="437" spans="1:51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</row>
    <row r="438" spans="1:51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</row>
    <row r="439" spans="1:51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</row>
    <row r="440" spans="1:51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</row>
    <row r="441" spans="1:51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</row>
    <row r="442" spans="1:51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</row>
    <row r="443" spans="1:51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</row>
    <row r="444" spans="1:51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</row>
    <row r="445" spans="1:51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</row>
    <row r="446" spans="1:51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</row>
    <row r="447" spans="1:51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</row>
    <row r="448" spans="1:51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</row>
    <row r="449" spans="1:51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</row>
    <row r="450" spans="1:51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</row>
    <row r="451" spans="1:51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</row>
    <row r="452" spans="1:51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</row>
    <row r="453" spans="1:51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</row>
    <row r="454" spans="1:51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</row>
    <row r="455" spans="1:51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</row>
    <row r="456" spans="1:51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</row>
    <row r="457" spans="1:51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</row>
    <row r="458" spans="1:51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</row>
    <row r="459" spans="1:51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</row>
    <row r="460" spans="1:51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</row>
    <row r="461" spans="1:51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</row>
    <row r="462" spans="1:51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</row>
    <row r="463" spans="1:51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</row>
    <row r="464" spans="1:51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</row>
    <row r="465" spans="1:51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</row>
    <row r="466" spans="1:51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</row>
    <row r="467" spans="1:51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</row>
    <row r="468" spans="1:51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</row>
    <row r="469" spans="1:51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</row>
    <row r="470" spans="1:51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</row>
    <row r="471" spans="1:51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</row>
    <row r="472" spans="1:51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</row>
    <row r="473" spans="1:51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</row>
    <row r="474" spans="1:51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</row>
    <row r="475" spans="1:51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</row>
    <row r="476" spans="1:51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</row>
    <row r="477" spans="1:51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</row>
    <row r="478" spans="1:51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</row>
    <row r="479" spans="1:51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</row>
    <row r="480" spans="1:51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</row>
    <row r="481" spans="1:51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</row>
    <row r="482" spans="1:51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</row>
    <row r="483" spans="1:51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</row>
    <row r="484" spans="1:51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</row>
    <row r="485" spans="1:51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</row>
    <row r="486" spans="1:51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</row>
    <row r="487" spans="1:51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</row>
    <row r="488" spans="1:51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</row>
    <row r="489" spans="1:51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</row>
    <row r="490" spans="1:51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</row>
    <row r="491" spans="1:51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</row>
    <row r="492" spans="1:51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</row>
    <row r="493" spans="1:51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</row>
    <row r="494" spans="1:51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</row>
    <row r="495" spans="1:51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</row>
    <row r="496" spans="1:51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</row>
    <row r="497" spans="1:51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</row>
    <row r="498" spans="1:51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</row>
    <row r="499" spans="1:51" x14ac:dyDescent="0.25">
      <c r="A499" s="10"/>
      <c r="B499" s="10"/>
      <c r="C499" s="10"/>
      <c r="D499" s="10"/>
      <c r="E499" s="10"/>
      <c r="F499" s="10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</row>
    <row r="500" spans="1:51" x14ac:dyDescent="0.25">
      <c r="A500" s="10"/>
      <c r="B500" s="10"/>
      <c r="C500" s="10"/>
      <c r="D500" s="10"/>
      <c r="E500" s="10"/>
      <c r="F500" s="10"/>
      <c r="G500" s="7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</row>
  </sheetData>
  <autoFilter ref="A3:AF11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2025-12-08T08:01:01Z</dcterms:created>
  <dcterms:modified xsi:type="dcterms:W3CDTF">2025-12-08T08:33:20Z</dcterms:modified>
</cp:coreProperties>
</file>