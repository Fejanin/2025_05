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64AE732-8AFA-4282-8412-D5B7987E30F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Z501" i="1" s="1"/>
  <c r="P488" i="1"/>
  <c r="X485" i="1"/>
  <c r="X484" i="1"/>
  <c r="BP483" i="1"/>
  <c r="BO483" i="1"/>
  <c r="BN483" i="1"/>
  <c r="BM483" i="1"/>
  <c r="Z483" i="1"/>
  <c r="Y483" i="1"/>
  <c r="P483" i="1"/>
  <c r="BO482" i="1"/>
  <c r="BM482" i="1"/>
  <c r="Y482" i="1"/>
  <c r="Y484" i="1" s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Y470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Y471" i="1" s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Y456" i="1" s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Y449" i="1" s="1"/>
  <c r="P443" i="1"/>
  <c r="X441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Y441" i="1" s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Y434" i="1" s="1"/>
  <c r="P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X501" i="1" s="1"/>
  <c r="P422" i="1"/>
  <c r="X418" i="1"/>
  <c r="X417" i="1"/>
  <c r="BO416" i="1"/>
  <c r="BM416" i="1"/>
  <c r="Y416" i="1"/>
  <c r="Y417" i="1" s="1"/>
  <c r="P416" i="1"/>
  <c r="X413" i="1"/>
  <c r="X412" i="1"/>
  <c r="BO411" i="1"/>
  <c r="BM411" i="1"/>
  <c r="Y411" i="1"/>
  <c r="BP411" i="1" s="1"/>
  <c r="P411" i="1"/>
  <c r="BO410" i="1"/>
  <c r="BM410" i="1"/>
  <c r="Y410" i="1"/>
  <c r="BP410" i="1" s="1"/>
  <c r="P410" i="1"/>
  <c r="BO409" i="1"/>
  <c r="BM409" i="1"/>
  <c r="Y409" i="1"/>
  <c r="BP409" i="1" s="1"/>
  <c r="P409" i="1"/>
  <c r="BO408" i="1"/>
  <c r="BM408" i="1"/>
  <c r="Y408" i="1"/>
  <c r="Y413" i="1" s="1"/>
  <c r="P408" i="1"/>
  <c r="X406" i="1"/>
  <c r="X405" i="1"/>
  <c r="BO404" i="1"/>
  <c r="BM404" i="1"/>
  <c r="Y404" i="1"/>
  <c r="V501" i="1" s="1"/>
  <c r="P404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Y400" i="1" s="1"/>
  <c r="P398" i="1"/>
  <c r="X396" i="1"/>
  <c r="X395" i="1"/>
  <c r="BO394" i="1"/>
  <c r="BN394" i="1"/>
  <c r="BM394" i="1"/>
  <c r="Z394" i="1"/>
  <c r="Y394" i="1"/>
  <c r="BP394" i="1" s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Y395" i="1" s="1"/>
  <c r="P386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Y376" i="1" s="1"/>
  <c r="P373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Y371" i="1" s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Y355" i="1" s="1"/>
  <c r="P353" i="1"/>
  <c r="X351" i="1"/>
  <c r="X350" i="1"/>
  <c r="BO349" i="1"/>
  <c r="BM349" i="1"/>
  <c r="Y349" i="1"/>
  <c r="BP349" i="1" s="1"/>
  <c r="P349" i="1"/>
  <c r="BO348" i="1"/>
  <c r="BM348" i="1"/>
  <c r="Y348" i="1"/>
  <c r="BP348" i="1" s="1"/>
  <c r="P348" i="1"/>
  <c r="BO347" i="1"/>
  <c r="BM347" i="1"/>
  <c r="Y347" i="1"/>
  <c r="BP347" i="1" s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Y350" i="1" s="1"/>
  <c r="P343" i="1"/>
  <c r="X339" i="1"/>
  <c r="X338" i="1"/>
  <c r="BP337" i="1"/>
  <c r="BO337" i="1"/>
  <c r="BN337" i="1"/>
  <c r="BM337" i="1"/>
  <c r="Z337" i="1"/>
  <c r="Y337" i="1"/>
  <c r="P337" i="1"/>
  <c r="BO336" i="1"/>
  <c r="BN336" i="1"/>
  <c r="BM336" i="1"/>
  <c r="Z336" i="1"/>
  <c r="Y336" i="1"/>
  <c r="BP336" i="1" s="1"/>
  <c r="P336" i="1"/>
  <c r="BO335" i="1"/>
  <c r="BM335" i="1"/>
  <c r="Y335" i="1"/>
  <c r="BP335" i="1" s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2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P315" i="1"/>
  <c r="BO315" i="1"/>
  <c r="BN315" i="1"/>
  <c r="BM315" i="1"/>
  <c r="Z315" i="1"/>
  <c r="Y315" i="1"/>
  <c r="Y318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Y312" i="1" s="1"/>
  <c r="P308" i="1"/>
  <c r="X306" i="1"/>
  <c r="X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Y306" i="1" s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Q501" i="1" s="1"/>
  <c r="P290" i="1"/>
  <c r="X287" i="1"/>
  <c r="X286" i="1"/>
  <c r="BO285" i="1"/>
  <c r="BM285" i="1"/>
  <c r="Y285" i="1"/>
  <c r="Y287" i="1" s="1"/>
  <c r="P285" i="1"/>
  <c r="BP284" i="1"/>
  <c r="BO284" i="1"/>
  <c r="BN284" i="1"/>
  <c r="BM284" i="1"/>
  <c r="Z284" i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501" i="1" s="1"/>
  <c r="P279" i="1"/>
  <c r="X276" i="1"/>
  <c r="X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O501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Y269" i="1" s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Y260" i="1" s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Y251" i="1" s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K501" i="1" s="1"/>
  <c r="P225" i="1"/>
  <c r="X222" i="1"/>
  <c r="X221" i="1"/>
  <c r="BO220" i="1"/>
  <c r="BM220" i="1"/>
  <c r="Y220" i="1"/>
  <c r="Y222" i="1" s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Y216" i="1" s="1"/>
  <c r="P208" i="1"/>
  <c r="BP207" i="1"/>
  <c r="BO207" i="1"/>
  <c r="BN207" i="1"/>
  <c r="BM207" i="1"/>
  <c r="Z207" i="1"/>
  <c r="Y207" i="1"/>
  <c r="Y217" i="1" s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Y188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Y179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3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P152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H501" i="1" s="1"/>
  <c r="P141" i="1"/>
  <c r="X138" i="1"/>
  <c r="X137" i="1"/>
  <c r="BO136" i="1"/>
  <c r="BM136" i="1"/>
  <c r="Y136" i="1"/>
  <c r="Y138" i="1" s="1"/>
  <c r="P136" i="1"/>
  <c r="BP135" i="1"/>
  <c r="BO135" i="1"/>
  <c r="BN135" i="1"/>
  <c r="BM135" i="1"/>
  <c r="Z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Y128" i="1" s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Y105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501" i="1" s="1"/>
  <c r="P86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Y59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X495" i="1" s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H10" i="1"/>
  <c r="A9" i="1"/>
  <c r="F10" i="1" s="1"/>
  <c r="D7" i="1"/>
  <c r="Q6" i="1"/>
  <c r="P2" i="1"/>
  <c r="H9" i="1" l="1"/>
  <c r="A10" i="1"/>
  <c r="Z22" i="1"/>
  <c r="Z24" i="1" s="1"/>
  <c r="BN22" i="1"/>
  <c r="BP22" i="1"/>
  <c r="Y25" i="1"/>
  <c r="Z28" i="1"/>
  <c r="Z32" i="1" s="1"/>
  <c r="BN28" i="1"/>
  <c r="BP28" i="1"/>
  <c r="Z30" i="1"/>
  <c r="BN30" i="1"/>
  <c r="C501" i="1"/>
  <c r="Z42" i="1"/>
  <c r="Z44" i="1" s="1"/>
  <c r="BN42" i="1"/>
  <c r="BP42" i="1"/>
  <c r="Y45" i="1"/>
  <c r="D501" i="1"/>
  <c r="Z53" i="1"/>
  <c r="Z58" i="1" s="1"/>
  <c r="BN53" i="1"/>
  <c r="BP53" i="1"/>
  <c r="Z55" i="1"/>
  <c r="BN55" i="1"/>
  <c r="Z57" i="1"/>
  <c r="BN57" i="1"/>
  <c r="Y58" i="1"/>
  <c r="Z61" i="1"/>
  <c r="Z64" i="1" s="1"/>
  <c r="BN61" i="1"/>
  <c r="BP61" i="1"/>
  <c r="Z63" i="1"/>
  <c r="BN63" i="1"/>
  <c r="Y64" i="1"/>
  <c r="Z67" i="1"/>
  <c r="Z70" i="1" s="1"/>
  <c r="BN67" i="1"/>
  <c r="BP67" i="1"/>
  <c r="Z69" i="1"/>
  <c r="BN69" i="1"/>
  <c r="Y70" i="1"/>
  <c r="Z73" i="1"/>
  <c r="Z77" i="1" s="1"/>
  <c r="BN73" i="1"/>
  <c r="BP73" i="1"/>
  <c r="Z75" i="1"/>
  <c r="BN75" i="1"/>
  <c r="Y78" i="1"/>
  <c r="Z81" i="1"/>
  <c r="Z82" i="1" s="1"/>
  <c r="BN81" i="1"/>
  <c r="BP81" i="1"/>
  <c r="Z86" i="1"/>
  <c r="BN86" i="1"/>
  <c r="BP86" i="1"/>
  <c r="Z88" i="1"/>
  <c r="BN88" i="1"/>
  <c r="Y89" i="1"/>
  <c r="Z92" i="1"/>
  <c r="BN92" i="1"/>
  <c r="BP92" i="1"/>
  <c r="Z94" i="1"/>
  <c r="BN94" i="1"/>
  <c r="Y97" i="1"/>
  <c r="F501" i="1"/>
  <c r="Z101" i="1"/>
  <c r="Z104" i="1" s="1"/>
  <c r="BN101" i="1"/>
  <c r="BP101" i="1"/>
  <c r="Z103" i="1"/>
  <c r="BN103" i="1"/>
  <c r="Y104" i="1"/>
  <c r="Z107" i="1"/>
  <c r="Z110" i="1" s="1"/>
  <c r="BN107" i="1"/>
  <c r="BP107" i="1"/>
  <c r="Z109" i="1"/>
  <c r="BN109" i="1"/>
  <c r="Y110" i="1"/>
  <c r="Z113" i="1"/>
  <c r="Z117" i="1" s="1"/>
  <c r="BN113" i="1"/>
  <c r="BP113" i="1"/>
  <c r="Z115" i="1"/>
  <c r="BN115" i="1"/>
  <c r="Y118" i="1"/>
  <c r="G501" i="1"/>
  <c r="Z126" i="1"/>
  <c r="Z127" i="1" s="1"/>
  <c r="BN126" i="1"/>
  <c r="BP126" i="1"/>
  <c r="Y127" i="1"/>
  <c r="Z130" i="1"/>
  <c r="Z132" i="1" s="1"/>
  <c r="BN130" i="1"/>
  <c r="BP130" i="1"/>
  <c r="Y133" i="1"/>
  <c r="Z136" i="1"/>
  <c r="Z137" i="1" s="1"/>
  <c r="BN136" i="1"/>
  <c r="BP136" i="1"/>
  <c r="Z141" i="1"/>
  <c r="Z143" i="1" s="1"/>
  <c r="BN141" i="1"/>
  <c r="BP141" i="1"/>
  <c r="Y144" i="1"/>
  <c r="Z147" i="1"/>
  <c r="Z149" i="1" s="1"/>
  <c r="BN147" i="1"/>
  <c r="BP147" i="1"/>
  <c r="I501" i="1"/>
  <c r="Y160" i="1"/>
  <c r="Z163" i="1"/>
  <c r="Z172" i="1" s="1"/>
  <c r="BN163" i="1"/>
  <c r="Z165" i="1"/>
  <c r="BN165" i="1"/>
  <c r="Z167" i="1"/>
  <c r="BN167" i="1"/>
  <c r="Z169" i="1"/>
  <c r="BN169" i="1"/>
  <c r="Z171" i="1"/>
  <c r="BN171" i="1"/>
  <c r="Y172" i="1"/>
  <c r="Z175" i="1"/>
  <c r="BN175" i="1"/>
  <c r="BP177" i="1"/>
  <c r="BN177" i="1"/>
  <c r="Z177" i="1"/>
  <c r="Y182" i="1"/>
  <c r="BP181" i="1"/>
  <c r="BN181" i="1"/>
  <c r="Z181" i="1"/>
  <c r="Z182" i="1" s="1"/>
  <c r="Y183" i="1"/>
  <c r="J501" i="1"/>
  <c r="Y189" i="1"/>
  <c r="BP186" i="1"/>
  <c r="BN186" i="1"/>
  <c r="Z186" i="1"/>
  <c r="Z188" i="1" s="1"/>
  <c r="Y193" i="1"/>
  <c r="BP198" i="1"/>
  <c r="BN198" i="1"/>
  <c r="Z198" i="1"/>
  <c r="F9" i="1"/>
  <c r="J9" i="1"/>
  <c r="Y24" i="1"/>
  <c r="Y90" i="1"/>
  <c r="Y143" i="1"/>
  <c r="Y178" i="1"/>
  <c r="BP175" i="1"/>
  <c r="BP192" i="1"/>
  <c r="BN192" i="1"/>
  <c r="Z192" i="1"/>
  <c r="Z193" i="1" s="1"/>
  <c r="Y194" i="1"/>
  <c r="Y204" i="1"/>
  <c r="Y205" i="1"/>
  <c r="BP196" i="1"/>
  <c r="BN196" i="1"/>
  <c r="Z196" i="1"/>
  <c r="Z200" i="1"/>
  <c r="BN200" i="1"/>
  <c r="Z202" i="1"/>
  <c r="BN202" i="1"/>
  <c r="Z208" i="1"/>
  <c r="Z216" i="1" s="1"/>
  <c r="BN208" i="1"/>
  <c r="BP208" i="1"/>
  <c r="Z210" i="1"/>
  <c r="BN210" i="1"/>
  <c r="Z212" i="1"/>
  <c r="BN212" i="1"/>
  <c r="Z214" i="1"/>
  <c r="BN214" i="1"/>
  <c r="Z220" i="1"/>
  <c r="Z221" i="1" s="1"/>
  <c r="BN220" i="1"/>
  <c r="BP220" i="1"/>
  <c r="Z225" i="1"/>
  <c r="Z235" i="1" s="1"/>
  <c r="BN225" i="1"/>
  <c r="BP225" i="1"/>
  <c r="Z227" i="1"/>
  <c r="BN227" i="1"/>
  <c r="Z229" i="1"/>
  <c r="BN229" i="1"/>
  <c r="Z231" i="1"/>
  <c r="BN231" i="1"/>
  <c r="Z233" i="1"/>
  <c r="BN233" i="1"/>
  <c r="Y236" i="1"/>
  <c r="Z247" i="1"/>
  <c r="Z251" i="1" s="1"/>
  <c r="BN247" i="1"/>
  <c r="BP247" i="1"/>
  <c r="Z249" i="1"/>
  <c r="BN249" i="1"/>
  <c r="L501" i="1"/>
  <c r="Z256" i="1"/>
  <c r="Z260" i="1" s="1"/>
  <c r="BN256" i="1"/>
  <c r="BP256" i="1"/>
  <c r="Z258" i="1"/>
  <c r="BN258" i="1"/>
  <c r="Y261" i="1"/>
  <c r="M501" i="1"/>
  <c r="Z265" i="1"/>
  <c r="Z268" i="1" s="1"/>
  <c r="BN265" i="1"/>
  <c r="BP265" i="1"/>
  <c r="Z267" i="1"/>
  <c r="BN267" i="1"/>
  <c r="Y268" i="1"/>
  <c r="Z272" i="1"/>
  <c r="BN272" i="1"/>
  <c r="BP272" i="1"/>
  <c r="Z274" i="1"/>
  <c r="BN274" i="1"/>
  <c r="Y275" i="1"/>
  <c r="Z279" i="1"/>
  <c r="Z281" i="1" s="1"/>
  <c r="BN279" i="1"/>
  <c r="BP279" i="1"/>
  <c r="Y282" i="1"/>
  <c r="Z285" i="1"/>
  <c r="Z286" i="1" s="1"/>
  <c r="BN285" i="1"/>
  <c r="BP285" i="1"/>
  <c r="Z290" i="1"/>
  <c r="Z296" i="1" s="1"/>
  <c r="BN290" i="1"/>
  <c r="BP290" i="1"/>
  <c r="Z292" i="1"/>
  <c r="BN292" i="1"/>
  <c r="Z294" i="1"/>
  <c r="BN294" i="1"/>
  <c r="Y297" i="1"/>
  <c r="Z300" i="1"/>
  <c r="Z305" i="1" s="1"/>
  <c r="BN300" i="1"/>
  <c r="Z302" i="1"/>
  <c r="BN302" i="1"/>
  <c r="Z304" i="1"/>
  <c r="BN304" i="1"/>
  <c r="Y305" i="1"/>
  <c r="Z308" i="1"/>
  <c r="BN308" i="1"/>
  <c r="BP308" i="1"/>
  <c r="Z310" i="1"/>
  <c r="BN310" i="1"/>
  <c r="Y313" i="1"/>
  <c r="Z316" i="1"/>
  <c r="Z318" i="1" s="1"/>
  <c r="BN316" i="1"/>
  <c r="Y319" i="1"/>
  <c r="Z322" i="1"/>
  <c r="Z325" i="1" s="1"/>
  <c r="BN322" i="1"/>
  <c r="Z324" i="1"/>
  <c r="BN324" i="1"/>
  <c r="Y325" i="1"/>
  <c r="Z328" i="1"/>
  <c r="BN328" i="1"/>
  <c r="BP328" i="1"/>
  <c r="Z330" i="1"/>
  <c r="BN330" i="1"/>
  <c r="Y331" i="1"/>
  <c r="Z335" i="1"/>
  <c r="Z338" i="1" s="1"/>
  <c r="BN335" i="1"/>
  <c r="Y235" i="1"/>
  <c r="Y276" i="1"/>
  <c r="Y281" i="1"/>
  <c r="Y296" i="1"/>
  <c r="R501" i="1"/>
  <c r="Y339" i="1"/>
  <c r="Y338" i="1"/>
  <c r="Z347" i="1"/>
  <c r="BN347" i="1"/>
  <c r="Z349" i="1"/>
  <c r="BN349" i="1"/>
  <c r="Y356" i="1"/>
  <c r="Y360" i="1"/>
  <c r="Y375" i="1"/>
  <c r="Y381" i="1"/>
  <c r="Y401" i="1"/>
  <c r="Y406" i="1"/>
  <c r="Z409" i="1"/>
  <c r="BN409" i="1"/>
  <c r="Z411" i="1"/>
  <c r="BN411" i="1"/>
  <c r="Y412" i="1"/>
  <c r="Z416" i="1"/>
  <c r="Z417" i="1" s="1"/>
  <c r="BN416" i="1"/>
  <c r="BP416" i="1"/>
  <c r="BP426" i="1"/>
  <c r="BN426" i="1"/>
  <c r="Z426" i="1"/>
  <c r="BP430" i="1"/>
  <c r="BN430" i="1"/>
  <c r="Z430" i="1"/>
  <c r="Z440" i="1"/>
  <c r="BP438" i="1"/>
  <c r="BN438" i="1"/>
  <c r="Z438" i="1"/>
  <c r="BP446" i="1"/>
  <c r="BN446" i="1"/>
  <c r="Z446" i="1"/>
  <c r="BP454" i="1"/>
  <c r="BN454" i="1"/>
  <c r="Z454" i="1"/>
  <c r="Y501" i="1"/>
  <c r="Y465" i="1"/>
  <c r="BP460" i="1"/>
  <c r="BN460" i="1"/>
  <c r="Z460" i="1"/>
  <c r="Y464" i="1"/>
  <c r="Z470" i="1"/>
  <c r="BP468" i="1"/>
  <c r="BN468" i="1"/>
  <c r="Z468" i="1"/>
  <c r="Y475" i="1"/>
  <c r="S501" i="1"/>
  <c r="Z344" i="1"/>
  <c r="Z350" i="1" s="1"/>
  <c r="BN344" i="1"/>
  <c r="Z346" i="1"/>
  <c r="BN346" i="1"/>
  <c r="Z348" i="1"/>
  <c r="BN348" i="1"/>
  <c r="Y351" i="1"/>
  <c r="Z354" i="1"/>
  <c r="Z355" i="1" s="1"/>
  <c r="BN354" i="1"/>
  <c r="Z358" i="1"/>
  <c r="Z360" i="1" s="1"/>
  <c r="BN358" i="1"/>
  <c r="BP358" i="1"/>
  <c r="T501" i="1"/>
  <c r="Z369" i="1"/>
  <c r="Z370" i="1" s="1"/>
  <c r="BN369" i="1"/>
  <c r="Y370" i="1"/>
  <c r="Z373" i="1"/>
  <c r="Z375" i="1" s="1"/>
  <c r="BN373" i="1"/>
  <c r="BP373" i="1"/>
  <c r="Z379" i="1"/>
  <c r="Z381" i="1" s="1"/>
  <c r="BN379" i="1"/>
  <c r="U501" i="1"/>
  <c r="Z387" i="1"/>
  <c r="Z395" i="1" s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BN408" i="1"/>
  <c r="BP408" i="1"/>
  <c r="Z410" i="1"/>
  <c r="BN410" i="1"/>
  <c r="W501" i="1"/>
  <c r="Y418" i="1"/>
  <c r="BP424" i="1"/>
  <c r="BN424" i="1"/>
  <c r="Z424" i="1"/>
  <c r="BP428" i="1"/>
  <c r="BN428" i="1"/>
  <c r="Z428" i="1"/>
  <c r="Z434" i="1" s="1"/>
  <c r="BP432" i="1"/>
  <c r="BN432" i="1"/>
  <c r="Z432" i="1"/>
  <c r="Y440" i="1"/>
  <c r="BP444" i="1"/>
  <c r="BN444" i="1"/>
  <c r="Z444" i="1"/>
  <c r="Z449" i="1" s="1"/>
  <c r="BP448" i="1"/>
  <c r="BN448" i="1"/>
  <c r="Z448" i="1"/>
  <c r="Y450" i="1"/>
  <c r="Y455" i="1"/>
  <c r="BP452" i="1"/>
  <c r="BN452" i="1"/>
  <c r="Z452" i="1"/>
  <c r="Z455" i="1" s="1"/>
  <c r="BP462" i="1"/>
  <c r="BN462" i="1"/>
  <c r="Z462" i="1"/>
  <c r="BP474" i="1"/>
  <c r="BN474" i="1"/>
  <c r="Z474" i="1"/>
  <c r="Z475" i="1" s="1"/>
  <c r="Y476" i="1"/>
  <c r="Y479" i="1"/>
  <c r="BP478" i="1"/>
  <c r="BN478" i="1"/>
  <c r="Z478" i="1"/>
  <c r="Z479" i="1" s="1"/>
  <c r="Y480" i="1"/>
  <c r="Y485" i="1"/>
  <c r="BP482" i="1"/>
  <c r="BN482" i="1"/>
  <c r="Z482" i="1"/>
  <c r="Z484" i="1" s="1"/>
  <c r="Y435" i="1"/>
  <c r="Y490" i="1"/>
  <c r="Z488" i="1"/>
  <c r="Z489" i="1" s="1"/>
  <c r="BN488" i="1"/>
  <c r="BP488" i="1"/>
  <c r="Y489" i="1"/>
  <c r="Z464" i="1" l="1"/>
  <c r="Z204" i="1"/>
  <c r="Z178" i="1"/>
  <c r="Y491" i="1"/>
  <c r="Y492" i="1"/>
  <c r="Z412" i="1"/>
  <c r="Z331" i="1"/>
  <c r="Z312" i="1"/>
  <c r="Z275" i="1"/>
  <c r="Y495" i="1"/>
  <c r="Z96" i="1"/>
  <c r="Z496" i="1" s="1"/>
  <c r="Z89" i="1"/>
  <c r="Y493" i="1"/>
  <c r="Y494" i="1" l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<sst xmlns="http://schemas.openxmlformats.org/spreadsheetml/2006/main" count="2352" uniqueCount="768">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</sst>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2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8" t="s">
        <v>0</v>
      </c>
      <c r="E1" s="582"/>
      <c r="F1" s="582"/>
      <c r="G1" s="12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58"/>
      <c r="P5" s="24" t="s">
        <v>10</v>
      </c>
      <c r="Q5" s="850">
        <v>46002</v>
      </c>
      <c r="R5" s="670"/>
      <c r="T5" s="716" t="s">
        <v>11</v>
      </c>
      <c r="U5" s="717"/>
      <c r="V5" s="719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50"/>
      <c r="T6" s="727" t="s">
        <v>16</v>
      </c>
      <c r="U6" s="717"/>
      <c r="V6" s="764" t="s">
        <v>17</v>
      </c>
      <c r="W6" s="600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81">
        <v>0.41666666666666669</v>
      </c>
      <c r="R8" s="612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7"/>
      <c r="P9" s="26" t="s">
        <v>21</v>
      </c>
      <c r="Q9" s="667"/>
      <c r="R9" s="668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6" t="s">
        <v>28</v>
      </c>
      <c r="W11" s="668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6"/>
      <c r="R13" s="6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67" t="s">
        <v>61</v>
      </c>
      <c r="V18" s="67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48"/>
      <c r="AB38" s="48"/>
      <c r="AC38" s="48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35</v>
      </c>
      <c r="Y41" s="546">
        <f>IFERROR(IF(X41="",0,CEILING((X41/$H41),1)*$H41),"")</f>
        <v>43.2</v>
      </c>
      <c r="Z41" s="36">
        <f>IFERROR(IF(Y41=0,"",ROUNDUP(Y41/H41,0)*0.01898),"")</f>
        <v>7.5920000000000001E-2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36.328703703703702</v>
      </c>
      <c r="BN41" s="64">
        <f>IFERROR(Y41*I41/H41,"0")</f>
        <v>44.84</v>
      </c>
      <c r="BO41" s="64">
        <f>IFERROR(1/J41*(X41/H41),"0")</f>
        <v>5.063657407407407E-2</v>
      </c>
      <c r="BP41" s="64">
        <f>IFERROR(1/J41*(Y41/H41),"0")</f>
        <v>6.25E-2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37" t="s">
        <v>77</v>
      </c>
      <c r="X44" s="547">
        <f>IFERROR(X41/H41,"0")+IFERROR(X42/H42,"0")+IFERROR(X43/H43,"0")</f>
        <v>3.2407407407407405</v>
      </c>
      <c r="Y44" s="547">
        <f>IFERROR(Y41/H41,"0")+IFERROR(Y42/H42,"0")+IFERROR(Y43/H43,"0")</f>
        <v>4</v>
      </c>
      <c r="Z44" s="547">
        <f>IFERROR(IF(Z41="",0,Z41),"0")+IFERROR(IF(Z42="",0,Z42),"0")+IFERROR(IF(Z43="",0,Z43),"0")</f>
        <v>7.5920000000000001E-2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37" t="s">
        <v>70</v>
      </c>
      <c r="X45" s="547">
        <f>IFERROR(SUM(X41:X43),"0")</f>
        <v>35</v>
      </c>
      <c r="Y45" s="547">
        <f>IFERROR(SUM(Y41:Y43),"0")</f>
        <v>43.2</v>
      </c>
      <c r="Z45" s="37"/>
      <c r="AA45" s="548"/>
      <c r="AB45" s="548"/>
      <c r="AC45" s="548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80</v>
      </c>
      <c r="Y53" s="546">
        <f t="shared" si="0"/>
        <v>86.4</v>
      </c>
      <c r="Z53" s="36">
        <f>IFERROR(IF(Y53=0,"",ROUNDUP(Y53/H53,0)*0.01898),"")</f>
        <v>0.15184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83.037037037037038</v>
      </c>
      <c r="BN53" s="64">
        <f t="shared" si="2"/>
        <v>89.68</v>
      </c>
      <c r="BO53" s="64">
        <f t="shared" si="3"/>
        <v>0.11574074074074073</v>
      </c>
      <c r="BP53" s="64">
        <f t="shared" si="4"/>
        <v>0.125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18</v>
      </c>
      <c r="Y57" s="546">
        <f t="shared" si="0"/>
        <v>18</v>
      </c>
      <c r="Z57" s="36">
        <f>IFERROR(IF(Y57=0,"",ROUNDUP(Y57/H57,0)*0.00902),"")</f>
        <v>3.6080000000000001E-2</v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18.760000000000002</v>
      </c>
      <c r="BN57" s="64">
        <f t="shared" si="2"/>
        <v>18.760000000000002</v>
      </c>
      <c r="BO57" s="64">
        <f t="shared" si="3"/>
        <v>3.0303030303030304E-2</v>
      </c>
      <c r="BP57" s="64">
        <f t="shared" si="4"/>
        <v>3.0303030303030304E-2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37" t="s">
        <v>77</v>
      </c>
      <c r="X58" s="547">
        <f>IFERROR(X52/H52,"0")+IFERROR(X53/H53,"0")+IFERROR(X54/H54,"0")+IFERROR(X55/H55,"0")+IFERROR(X56/H56,"0")+IFERROR(X57/H57,"0")</f>
        <v>11.407407407407407</v>
      </c>
      <c r="Y58" s="547">
        <f>IFERROR(Y52/H52,"0")+IFERROR(Y53/H53,"0")+IFERROR(Y54/H54,"0")+IFERROR(Y55/H55,"0")+IFERROR(Y56/H56,"0")+IFERROR(Y57/H57,"0")</f>
        <v>12</v>
      </c>
      <c r="Z58" s="547">
        <f>IFERROR(IF(Z52="",0,Z52),"0")+IFERROR(IF(Z53="",0,Z53),"0")+IFERROR(IF(Z54="",0,Z54),"0")+IFERROR(IF(Z55="",0,Z55),"0")+IFERROR(IF(Z56="",0,Z56),"0")+IFERROR(IF(Z57="",0,Z57),"0")</f>
        <v>0.18792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37" t="s">
        <v>70</v>
      </c>
      <c r="X59" s="547">
        <f>IFERROR(SUM(X52:X57),"0")</f>
        <v>98</v>
      </c>
      <c r="Y59" s="547">
        <f>IFERROR(SUM(Y52:Y57),"0")</f>
        <v>104.4</v>
      </c>
      <c r="Z59" s="37"/>
      <c r="AA59" s="548"/>
      <c r="AB59" s="548"/>
      <c r="AC59" s="548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40</v>
      </c>
      <c r="Y61" s="546">
        <f>IFERROR(IF(X61="",0,CEILING((X61/$H61),1)*$H61),"")</f>
        <v>43.2</v>
      </c>
      <c r="Z61" s="36">
        <f>IFERROR(IF(Y61=0,"",ROUNDUP(Y61/H61,0)*0.01898),"")</f>
        <v>7.5920000000000001E-2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41.518518518518519</v>
      </c>
      <c r="BN61" s="64">
        <f>IFERROR(Y61*I61/H61,"0")</f>
        <v>44.84</v>
      </c>
      <c r="BO61" s="64">
        <f>IFERROR(1/J61*(X61/H61),"0")</f>
        <v>5.7870370370370364E-2</v>
      </c>
      <c r="BP61" s="64">
        <f>IFERROR(1/J61*(Y61/H61),"0")</f>
        <v>6.25E-2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37" t="s">
        <v>77</v>
      </c>
      <c r="X64" s="547">
        <f>IFERROR(X61/H61,"0")+IFERROR(X62/H62,"0")+IFERROR(X63/H63,"0")</f>
        <v>3.7037037037037033</v>
      </c>
      <c r="Y64" s="547">
        <f>IFERROR(Y61/H61,"0")+IFERROR(Y62/H62,"0")+IFERROR(Y63/H63,"0")</f>
        <v>4</v>
      </c>
      <c r="Z64" s="547">
        <f>IFERROR(IF(Z61="",0,Z61),"0")+IFERROR(IF(Z62="",0,Z62),"0")+IFERROR(IF(Z63="",0,Z63),"0")</f>
        <v>7.5920000000000001E-2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37" t="s">
        <v>70</v>
      </c>
      <c r="X65" s="547">
        <f>IFERROR(SUM(X61:X63),"0")</f>
        <v>40</v>
      </c>
      <c r="Y65" s="547">
        <f>IFERROR(SUM(Y61:Y63),"0")</f>
        <v>43.2</v>
      </c>
      <c r="Z65" s="37"/>
      <c r="AA65" s="548"/>
      <c r="AB65" s="548"/>
      <c r="AC65" s="548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4.5</v>
      </c>
      <c r="Y88" s="546">
        <f>IFERROR(IF(X88="",0,CEILING((X88/$H88),1)*$H88),"")</f>
        <v>4.5</v>
      </c>
      <c r="Z88" s="36">
        <f>IFERROR(IF(Y88=0,"",ROUNDUP(Y88/H88,0)*0.00902),"")</f>
        <v>9.0200000000000002E-3</v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4.6900000000000004</v>
      </c>
      <c r="BN88" s="64">
        <f>IFERROR(Y88*I88/H88,"0")</f>
        <v>4.6900000000000004</v>
      </c>
      <c r="BO88" s="64">
        <f>IFERROR(1/J88*(X88/H88),"0")</f>
        <v>7.575757575757576E-3</v>
      </c>
      <c r="BP88" s="64">
        <f>IFERROR(1/J88*(Y88/H88),"0")</f>
        <v>7.575757575757576E-3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37" t="s">
        <v>77</v>
      </c>
      <c r="X89" s="547">
        <f>IFERROR(X86/H86,"0")+IFERROR(X87/H87,"0")+IFERROR(X88/H88,"0")</f>
        <v>1</v>
      </c>
      <c r="Y89" s="547">
        <f>IFERROR(Y86/H86,"0")+IFERROR(Y87/H87,"0")+IFERROR(Y88/H88,"0")</f>
        <v>1</v>
      </c>
      <c r="Z89" s="547">
        <f>IFERROR(IF(Z86="",0,Z86),"0")+IFERROR(IF(Z87="",0,Z87),"0")+IFERROR(IF(Z88="",0,Z88),"0")</f>
        <v>9.0200000000000002E-3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37" t="s">
        <v>70</v>
      </c>
      <c r="X90" s="547">
        <f>IFERROR(SUM(X86:X88),"0")</f>
        <v>4.5</v>
      </c>
      <c r="Y90" s="547">
        <f>IFERROR(SUM(Y86:Y88),"0")</f>
        <v>4.5</v>
      </c>
      <c r="Z90" s="37"/>
      <c r="AA90" s="548"/>
      <c r="AB90" s="548"/>
      <c r="AC90" s="548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8</v>
      </c>
      <c r="Y92" s="546">
        <f>IFERROR(IF(X92="",0,CEILING((X92/$H92),1)*$H92),"")</f>
        <v>8.1</v>
      </c>
      <c r="Z92" s="36">
        <f>IFERROR(IF(Y92=0,"",ROUNDUP(Y92/H92,0)*0.01898),"")</f>
        <v>1.898E-2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8.4879012345679019</v>
      </c>
      <c r="BN92" s="64">
        <f>IFERROR(Y92*I92/H92,"0")</f>
        <v>8.5939999999999994</v>
      </c>
      <c r="BO92" s="64">
        <f>IFERROR(1/J92*(X92/H92),"0")</f>
        <v>1.54320987654321E-2</v>
      </c>
      <c r="BP92" s="64">
        <f>IFERROR(1/J92*(Y92/H92),"0")</f>
        <v>1.5625E-2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37" t="s">
        <v>77</v>
      </c>
      <c r="X96" s="547">
        <f>IFERROR(X92/H92,"0")+IFERROR(X93/H93,"0")+IFERROR(X94/H94,"0")+IFERROR(X95/H95,"0")</f>
        <v>0.98765432098765438</v>
      </c>
      <c r="Y96" s="547">
        <f>IFERROR(Y92/H92,"0")+IFERROR(Y93/H93,"0")+IFERROR(Y94/H94,"0")+IFERROR(Y95/H95,"0")</f>
        <v>1</v>
      </c>
      <c r="Z96" s="547">
        <f>IFERROR(IF(Z92="",0,Z92),"0")+IFERROR(IF(Z93="",0,Z93),"0")+IFERROR(IF(Z94="",0,Z94),"0")+IFERROR(IF(Z95="",0,Z95),"0")</f>
        <v>1.898E-2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37" t="s">
        <v>70</v>
      </c>
      <c r="X97" s="547">
        <f>IFERROR(SUM(X92:X95),"0")</f>
        <v>8</v>
      </c>
      <c r="Y97" s="547">
        <f>IFERROR(SUM(Y92:Y95),"0")</f>
        <v>8.1</v>
      </c>
      <c r="Z97" s="37"/>
      <c r="AA97" s="548"/>
      <c r="AB97" s="548"/>
      <c r="AC97" s="548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30</v>
      </c>
      <c r="Y113" s="546">
        <f>IFERROR(IF(X113="",0,CEILING((X113/$H113),1)*$H113),"")</f>
        <v>32.4</v>
      </c>
      <c r="Z113" s="36">
        <f>IFERROR(IF(Y113=0,"",ROUNDUP(Y113/H113,0)*0.01898),"")</f>
        <v>7.5920000000000001E-2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31.807407407407407</v>
      </c>
      <c r="BN113" s="64">
        <f>IFERROR(Y113*I113/H113,"0")</f>
        <v>34.351999999999997</v>
      </c>
      <c r="BO113" s="64">
        <f>IFERROR(1/J113*(X113/H113),"0")</f>
        <v>5.7870370370370371E-2</v>
      </c>
      <c r="BP113" s="64">
        <f>IFERROR(1/J113*(Y113/H113),"0")</f>
        <v>6.25E-2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37" t="s">
        <v>77</v>
      </c>
      <c r="X117" s="547">
        <f>IFERROR(X113/H113,"0")+IFERROR(X114/H114,"0")+IFERROR(X115/H115,"0")+IFERROR(X116/H116,"0")</f>
        <v>3.7037037037037037</v>
      </c>
      <c r="Y117" s="547">
        <f>IFERROR(Y113/H113,"0")+IFERROR(Y114/H114,"0")+IFERROR(Y115/H115,"0")+IFERROR(Y116/H116,"0")</f>
        <v>4</v>
      </c>
      <c r="Z117" s="547">
        <f>IFERROR(IF(Z113="",0,Z113),"0")+IFERROR(IF(Z114="",0,Z114),"0")+IFERROR(IF(Z115="",0,Z115),"0")+IFERROR(IF(Z116="",0,Z116),"0")</f>
        <v>7.5920000000000001E-2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37" t="s">
        <v>70</v>
      </c>
      <c r="X118" s="547">
        <f>IFERROR(SUM(X113:X116),"0")</f>
        <v>30</v>
      </c>
      <c r="Y118" s="547">
        <f>IFERROR(SUM(Y113:Y116),"0")</f>
        <v>32.4</v>
      </c>
      <c r="Z118" s="37"/>
      <c r="AA118" s="548"/>
      <c r="AB118" s="548"/>
      <c r="AC118" s="548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10</v>
      </c>
      <c r="Y148" s="546">
        <f>IFERROR(IF(X148="",0,CEILING((X148/$H148),1)*$H148),"")</f>
        <v>18</v>
      </c>
      <c r="Z148" s="36">
        <f>IFERROR(IF(Y148=0,"",ROUNDUP(Y148/H148,0)*0.01898),"")</f>
        <v>3.7960000000000001E-2</v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10.622222222222224</v>
      </c>
      <c r="BN148" s="64">
        <f>IFERROR(Y148*I148/H148,"0")</f>
        <v>19.12</v>
      </c>
      <c r="BO148" s="64">
        <f>IFERROR(1/J148*(X148/H148),"0")</f>
        <v>1.7361111111111112E-2</v>
      </c>
      <c r="BP148" s="64">
        <f>IFERROR(1/J148*(Y148/H148),"0")</f>
        <v>3.125E-2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37" t="s">
        <v>77</v>
      </c>
      <c r="X149" s="547">
        <f>IFERROR(X146/H146,"0")+IFERROR(X147/H147,"0")+IFERROR(X148/H148,"0")</f>
        <v>1.1111111111111112</v>
      </c>
      <c r="Y149" s="547">
        <f>IFERROR(Y146/H146,"0")+IFERROR(Y147/H147,"0")+IFERROR(Y148/H148,"0")</f>
        <v>2</v>
      </c>
      <c r="Z149" s="547">
        <f>IFERROR(IF(Z146="",0,Z146),"0")+IFERROR(IF(Z147="",0,Z147),"0")+IFERROR(IF(Z148="",0,Z148),"0")</f>
        <v>3.7960000000000001E-2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37" t="s">
        <v>70</v>
      </c>
      <c r="X150" s="547">
        <f>IFERROR(SUM(X146:X148),"0")</f>
        <v>10</v>
      </c>
      <c r="Y150" s="547">
        <f>IFERROR(SUM(Y146:Y148),"0")</f>
        <v>18</v>
      </c>
      <c r="Z150" s="37"/>
      <c r="AA150" s="548"/>
      <c r="AB150" s="548"/>
      <c r="AC150" s="548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20</v>
      </c>
      <c r="Y226" s="546">
        <f t="shared" si="21"/>
        <v>23.2</v>
      </c>
      <c r="Z226" s="36">
        <f>IFERROR(IF(Y226=0,"",ROUNDUP(Y226/H226,0)*0.01898),"")</f>
        <v>3.7960000000000001E-2</v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20.706896551724139</v>
      </c>
      <c r="BN226" s="64">
        <f t="shared" si="23"/>
        <v>24.02</v>
      </c>
      <c r="BO226" s="64">
        <f t="shared" si="24"/>
        <v>2.6939655172413795E-2</v>
      </c>
      <c r="BP226" s="64">
        <f t="shared" si="25"/>
        <v>3.125E-2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1.7241379310344829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2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3.7960000000000001E-2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37" t="s">
        <v>70</v>
      </c>
      <c r="X236" s="547">
        <f>IFERROR(SUM(X225:X234),"0")</f>
        <v>20</v>
      </c>
      <c r="Y236" s="547">
        <f>IFERROR(SUM(Y225:Y234),"0")</f>
        <v>23.2</v>
      </c>
      <c r="Z236" s="37"/>
      <c r="AA236" s="548"/>
      <c r="AB236" s="548"/>
      <c r="AC236" s="548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10</v>
      </c>
      <c r="Y257" s="546">
        <f>IFERROR(IF(X257="",0,CEILING((X257/$H257),1)*$H257),"")</f>
        <v>10.8</v>
      </c>
      <c r="Z257" s="36">
        <f>IFERROR(IF(Y257=0,"",ROUNDUP(Y257/H257,0)*0.01898),"")</f>
        <v>1.898E-2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10.37962962962963</v>
      </c>
      <c r="BN257" s="64">
        <f>IFERROR(Y257*I257/H257,"0")</f>
        <v>11.21</v>
      </c>
      <c r="BO257" s="64">
        <f>IFERROR(1/J257*(X257/H257),"0")</f>
        <v>1.4467592592592591E-2</v>
      </c>
      <c r="BP257" s="64">
        <f>IFERROR(1/J257*(Y257/H257),"0")</f>
        <v>1.5625E-2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4</v>
      </c>
      <c r="Y259" s="546">
        <f>IFERROR(IF(X259="",0,CEILING((X259/$H259),1)*$H259),"")</f>
        <v>4</v>
      </c>
      <c r="Z259" s="36">
        <f>IFERROR(IF(Y259=0,"",ROUNDUP(Y259/H259,0)*0.00902),"")</f>
        <v>9.0200000000000002E-3</v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4.1900000000000004</v>
      </c>
      <c r="BN259" s="64">
        <f>IFERROR(Y259*I259/H259,"0")</f>
        <v>4.1900000000000004</v>
      </c>
      <c r="BO259" s="64">
        <f>IFERROR(1/J259*(X259/H259),"0")</f>
        <v>7.575757575757576E-3</v>
      </c>
      <c r="BP259" s="64">
        <f>IFERROR(1/J259*(Y259/H259),"0")</f>
        <v>7.575757575757576E-3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37" t="s">
        <v>77</v>
      </c>
      <c r="X260" s="547">
        <f>IFERROR(X255/H255,"0")+IFERROR(X256/H256,"0")+IFERROR(X257/H257,"0")+IFERROR(X258/H258,"0")+IFERROR(X259/H259,"0")</f>
        <v>1.9259259259259258</v>
      </c>
      <c r="Y260" s="547">
        <f>IFERROR(Y255/H255,"0")+IFERROR(Y256/H256,"0")+IFERROR(Y257/H257,"0")+IFERROR(Y258/H258,"0")+IFERROR(Y259/H259,"0")</f>
        <v>2</v>
      </c>
      <c r="Z260" s="547">
        <f>IFERROR(IF(Z255="",0,Z255),"0")+IFERROR(IF(Z256="",0,Z256),"0")+IFERROR(IF(Z257="",0,Z257),"0")+IFERROR(IF(Z258="",0,Z258),"0")+IFERROR(IF(Z259="",0,Z259),"0")</f>
        <v>2.8000000000000001E-2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37" t="s">
        <v>70</v>
      </c>
      <c r="X261" s="547">
        <f>IFERROR(SUM(X255:X259),"0")</f>
        <v>14</v>
      </c>
      <c r="Y261" s="547">
        <f>IFERROR(SUM(Y255:Y259),"0")</f>
        <v>14.8</v>
      </c>
      <c r="Z261" s="37"/>
      <c r="AA261" s="548"/>
      <c r="AB261" s="548"/>
      <c r="AC261" s="548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20</v>
      </c>
      <c r="Y291" s="546">
        <f t="shared" si="26"/>
        <v>21.6</v>
      </c>
      <c r="Z291" s="36">
        <f>IFERROR(IF(Y291=0,"",ROUNDUP(Y291/H291,0)*0.01898),"")</f>
        <v>3.7960000000000001E-2</v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20.75925925925926</v>
      </c>
      <c r="BN291" s="64">
        <f t="shared" si="28"/>
        <v>22.42</v>
      </c>
      <c r="BO291" s="64">
        <f t="shared" si="29"/>
        <v>2.8935185185185182E-2</v>
      </c>
      <c r="BP291" s="64">
        <f t="shared" si="30"/>
        <v>3.125E-2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160</v>
      </c>
      <c r="Y293" s="546">
        <f t="shared" si="26"/>
        <v>162</v>
      </c>
      <c r="Z293" s="36">
        <f>IFERROR(IF(Y293=0,"",ROUNDUP(Y293/H293,0)*0.01898),"")</f>
        <v>0.28470000000000001</v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166.07407407407408</v>
      </c>
      <c r="BN293" s="64">
        <f t="shared" si="28"/>
        <v>168.15</v>
      </c>
      <c r="BO293" s="64">
        <f t="shared" si="29"/>
        <v>0.23148148148148145</v>
      </c>
      <c r="BP293" s="64">
        <f t="shared" si="30"/>
        <v>0.23437499999999997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37" t="s">
        <v>77</v>
      </c>
      <c r="X296" s="547">
        <f>IFERROR(X290/H290,"0")+IFERROR(X291/H291,"0")+IFERROR(X292/H292,"0")+IFERROR(X293/H293,"0")+IFERROR(X294/H294,"0")+IFERROR(X295/H295,"0")</f>
        <v>16.666666666666664</v>
      </c>
      <c r="Y296" s="547">
        <f>IFERROR(Y290/H290,"0")+IFERROR(Y291/H291,"0")+IFERROR(Y292/H292,"0")+IFERROR(Y293/H293,"0")+IFERROR(Y294/H294,"0")+IFERROR(Y295/H295,"0")</f>
        <v>17</v>
      </c>
      <c r="Z296" s="547">
        <f>IFERROR(IF(Z290="",0,Z290),"0")+IFERROR(IF(Z291="",0,Z291),"0")+IFERROR(IF(Z292="",0,Z292),"0")+IFERROR(IF(Z293="",0,Z293),"0")+IFERROR(IF(Z294="",0,Z294),"0")+IFERROR(IF(Z295="",0,Z295),"0")</f>
        <v>0.32266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37" t="s">
        <v>70</v>
      </c>
      <c r="X297" s="547">
        <f>IFERROR(SUM(X290:X295),"0")</f>
        <v>180</v>
      </c>
      <c r="Y297" s="547">
        <f>IFERROR(SUM(Y290:Y295),"0")</f>
        <v>183.6</v>
      </c>
      <c r="Z297" s="37"/>
      <c r="AA297" s="548"/>
      <c r="AB297" s="548"/>
      <c r="AC297" s="548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12</v>
      </c>
      <c r="Y299" s="546">
        <f t="shared" ref="Y299:Y304" si="31">IFERROR(IF(X299="",0,CEILING((X299/$H299),1)*$H299),"")</f>
        <v>12.600000000000001</v>
      </c>
      <c r="Z299" s="36">
        <f>IFERROR(IF(Y299=0,"",ROUNDUP(Y299/H299,0)*0.00902),"")</f>
        <v>2.7060000000000001E-2</v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12.714285714285715</v>
      </c>
      <c r="BN299" s="64">
        <f t="shared" ref="BN299:BN304" si="33">IFERROR(Y299*I299/H299,"0")</f>
        <v>13.350000000000001</v>
      </c>
      <c r="BO299" s="64">
        <f t="shared" ref="BO299:BO304" si="34">IFERROR(1/J299*(X299/H299),"0")</f>
        <v>2.1645021645021648E-2</v>
      </c>
      <c r="BP299" s="64">
        <f t="shared" ref="BP299:BP304" si="35">IFERROR(1/J299*(Y299/H299),"0")</f>
        <v>2.2727272727272728E-2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37" t="s">
        <v>77</v>
      </c>
      <c r="X305" s="547">
        <f>IFERROR(X299/H299,"0")+IFERROR(X300/H300,"0")+IFERROR(X301/H301,"0")+IFERROR(X302/H302,"0")+IFERROR(X303/H303,"0")+IFERROR(X304/H304,"0")</f>
        <v>2.8571428571428572</v>
      </c>
      <c r="Y305" s="547">
        <f>IFERROR(Y299/H299,"0")+IFERROR(Y300/H300,"0")+IFERROR(Y301/H301,"0")+IFERROR(Y302/H302,"0")+IFERROR(Y303/H303,"0")+IFERROR(Y304/H304,"0")</f>
        <v>3</v>
      </c>
      <c r="Z305" s="547">
        <f>IFERROR(IF(Z299="",0,Z299),"0")+IFERROR(IF(Z300="",0,Z300),"0")+IFERROR(IF(Z301="",0,Z301),"0")+IFERROR(IF(Z302="",0,Z302),"0")+IFERROR(IF(Z303="",0,Z303),"0")+IFERROR(IF(Z304="",0,Z304),"0")</f>
        <v>2.7060000000000001E-2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37" t="s">
        <v>70</v>
      </c>
      <c r="X306" s="547">
        <f>IFERROR(SUM(X299:X304),"0")</f>
        <v>12</v>
      </c>
      <c r="Y306" s="547">
        <f>IFERROR(SUM(Y299:Y304),"0")</f>
        <v>12.600000000000001</v>
      </c>
      <c r="Z306" s="37"/>
      <c r="AA306" s="548"/>
      <c r="AB306" s="548"/>
      <c r="AC306" s="548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200</v>
      </c>
      <c r="Y308" s="546">
        <f>IFERROR(IF(X308="",0,CEILING((X308/$H308),1)*$H308),"")</f>
        <v>202.79999999999998</v>
      </c>
      <c r="Z308" s="36">
        <f>IFERROR(IF(Y308=0,"",ROUNDUP(Y308/H308,0)*0.01898),"")</f>
        <v>0.49348000000000003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212.51282051282053</v>
      </c>
      <c r="BN308" s="64">
        <f>IFERROR(Y308*I308/H308,"0")</f>
        <v>215.488</v>
      </c>
      <c r="BO308" s="64">
        <f>IFERROR(1/J308*(X308/H308),"0")</f>
        <v>0.40064102564102566</v>
      </c>
      <c r="BP308" s="64">
        <f>IFERROR(1/J308*(Y308/H308),"0")</f>
        <v>0.40625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37" t="s">
        <v>77</v>
      </c>
      <c r="X312" s="547">
        <f>IFERROR(X308/H308,"0")+IFERROR(X309/H309,"0")+IFERROR(X310/H310,"0")+IFERROR(X311/H311,"0")</f>
        <v>25.641025641025642</v>
      </c>
      <c r="Y312" s="547">
        <f>IFERROR(Y308/H308,"0")+IFERROR(Y309/H309,"0")+IFERROR(Y310/H310,"0")+IFERROR(Y311/H311,"0")</f>
        <v>26</v>
      </c>
      <c r="Z312" s="547">
        <f>IFERROR(IF(Z308="",0,Z308),"0")+IFERROR(IF(Z309="",0,Z309),"0")+IFERROR(IF(Z310="",0,Z310),"0")+IFERROR(IF(Z311="",0,Z311),"0")</f>
        <v>0.49348000000000003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37" t="s">
        <v>70</v>
      </c>
      <c r="X313" s="547">
        <f>IFERROR(SUM(X308:X311),"0")</f>
        <v>200</v>
      </c>
      <c r="Y313" s="547">
        <f>IFERROR(SUM(Y308:Y311),"0")</f>
        <v>202.79999999999998</v>
      </c>
      <c r="Z313" s="37"/>
      <c r="AA313" s="548"/>
      <c r="AB313" s="548"/>
      <c r="AC313" s="548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40</v>
      </c>
      <c r="Y316" s="546">
        <f>IFERROR(IF(X316="",0,CEILING((X316/$H316),1)*$H316),"")</f>
        <v>46.8</v>
      </c>
      <c r="Z316" s="36">
        <f>IFERROR(IF(Y316=0,"",ROUNDUP(Y316/H316,0)*0.01898),"")</f>
        <v>0.11388000000000001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42.533333333333331</v>
      </c>
      <c r="BN316" s="64">
        <f>IFERROR(Y316*I316/H316,"0")</f>
        <v>49.764000000000003</v>
      </c>
      <c r="BO316" s="64">
        <f>IFERROR(1/J316*(X316/H316),"0")</f>
        <v>8.0128205128205135E-2</v>
      </c>
      <c r="BP316" s="64">
        <f>IFERROR(1/J316*(Y316/H316),"0")</f>
        <v>9.375E-2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37" t="s">
        <v>77</v>
      </c>
      <c r="X318" s="547">
        <f>IFERROR(X315/H315,"0")+IFERROR(X316/H316,"0")+IFERROR(X317/H317,"0")</f>
        <v>5.1282051282051286</v>
      </c>
      <c r="Y318" s="547">
        <f>IFERROR(Y315/H315,"0")+IFERROR(Y316/H316,"0")+IFERROR(Y317/H317,"0")</f>
        <v>6</v>
      </c>
      <c r="Z318" s="547">
        <f>IFERROR(IF(Z315="",0,Z315),"0")+IFERROR(IF(Z316="",0,Z316),"0")+IFERROR(IF(Z317="",0,Z317),"0")</f>
        <v>0.11388000000000001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37" t="s">
        <v>70</v>
      </c>
      <c r="X319" s="547">
        <f>IFERROR(SUM(X315:X317),"0")</f>
        <v>40</v>
      </c>
      <c r="Y319" s="547">
        <f>IFERROR(SUM(Y315:Y317),"0")</f>
        <v>46.8</v>
      </c>
      <c r="Z319" s="37"/>
      <c r="AA319" s="548"/>
      <c r="AB319" s="548"/>
      <c r="AC319" s="548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37" t="s">
        <v>77</v>
      </c>
      <c r="X338" s="547">
        <f>IFERROR(X335/H335,"0")+IFERROR(X336/H336,"0")+IFERROR(X337/H337,"0")</f>
        <v>0</v>
      </c>
      <c r="Y338" s="547">
        <f>IFERROR(Y335/H335,"0")+IFERROR(Y336/H336,"0")+IFERROR(Y337/H337,"0")</f>
        <v>0</v>
      </c>
      <c r="Z338" s="547">
        <f>IFERROR(IF(Z335="",0,Z335),"0")+IFERROR(IF(Z336="",0,Z336),"0")+IFERROR(IF(Z337="",0,Z337),"0")</f>
        <v>0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37" t="s">
        <v>70</v>
      </c>
      <c r="X339" s="547">
        <f>IFERROR(SUM(X335:X337),"0")</f>
        <v>0</v>
      </c>
      <c r="Y339" s="547">
        <f>IFERROR(SUM(Y335:Y337),"0")</f>
        <v>0</v>
      </c>
      <c r="Z339" s="37"/>
      <c r="AA339" s="548"/>
      <c r="AB339" s="548"/>
      <c r="AC339" s="548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48"/>
      <c r="AB340" s="48"/>
      <c r="AC340" s="48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0</v>
      </c>
      <c r="Y343" s="546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15</v>
      </c>
      <c r="Y346" s="546">
        <f t="shared" si="36"/>
        <v>15</v>
      </c>
      <c r="Z346" s="36">
        <f>IFERROR(IF(Y346=0,"",ROUNDUP(Y346/H346,0)*0.02175),"")</f>
        <v>2.1749999999999999E-2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15.47</v>
      </c>
      <c r="BN346" s="64">
        <f t="shared" si="38"/>
        <v>15.47</v>
      </c>
      <c r="BO346" s="64">
        <f t="shared" si="39"/>
        <v>2.0833333333333332E-2</v>
      </c>
      <c r="BP346" s="64">
        <f t="shared" si="40"/>
        <v>2.0833333333333332E-2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37" t="s">
        <v>77</v>
      </c>
      <c r="X350" s="547">
        <f>IFERROR(X343/H343,"0")+IFERROR(X344/H344,"0")+IFERROR(X345/H345,"0")+IFERROR(X346/H346,"0")+IFERROR(X347/H347,"0")+IFERROR(X348/H348,"0")+IFERROR(X349/H349,"0")</f>
        <v>1</v>
      </c>
      <c r="Y350" s="547">
        <f>IFERROR(Y343/H343,"0")+IFERROR(Y344/H344,"0")+IFERROR(Y345/H345,"0")+IFERROR(Y346/H346,"0")+IFERROR(Y347/H347,"0")+IFERROR(Y348/H348,"0")+IFERROR(Y349/H349,"0")</f>
        <v>1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2.1749999999999999E-2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37" t="s">
        <v>70</v>
      </c>
      <c r="X351" s="547">
        <f>IFERROR(SUM(X343:X349),"0")</f>
        <v>15</v>
      </c>
      <c r="Y351" s="547">
        <f>IFERROR(SUM(Y343:Y349),"0")</f>
        <v>15</v>
      </c>
      <c r="Z351" s="37"/>
      <c r="AA351" s="548"/>
      <c r="AB351" s="548"/>
      <c r="AC351" s="548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0</v>
      </c>
      <c r="Y353" s="546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37" t="s">
        <v>77</v>
      </c>
      <c r="X355" s="547">
        <f>IFERROR(X353/H353,"0")+IFERROR(X354/H354,"0")</f>
        <v>0</v>
      </c>
      <c r="Y355" s="547">
        <f>IFERROR(Y353/H353,"0")+IFERROR(Y354/H354,"0")</f>
        <v>0</v>
      </c>
      <c r="Z355" s="547">
        <f>IFERROR(IF(Z353="",0,Z353),"0")+IFERROR(IF(Z354="",0,Z354),"0")</f>
        <v>0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37" t="s">
        <v>70</v>
      </c>
      <c r="X356" s="547">
        <f>IFERROR(SUM(X353:X354),"0")</f>
        <v>0</v>
      </c>
      <c r="Y356" s="547">
        <f>IFERROR(SUM(Y353:Y354),"0")</f>
        <v>0</v>
      </c>
      <c r="Z356" s="37"/>
      <c r="AA356" s="548"/>
      <c r="AB356" s="548"/>
      <c r="AC356" s="548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6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0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37" t="s">
        <v>70</v>
      </c>
      <c r="X435" s="547">
        <f>IFERROR(SUM(X422:X433),"0")</f>
        <v>0</v>
      </c>
      <c r="Y435" s="547">
        <f>IFERROR(SUM(Y422:Y433),"0")</f>
        <v>0</v>
      </c>
      <c r="Z435" s="37"/>
      <c r="AA435" s="548"/>
      <c r="AB435" s="548"/>
      <c r="AC435" s="548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0</v>
      </c>
      <c r="Y437" s="546">
        <f>IFERROR(IF(X437="",0,CEILING((X437/$H437),1)*$H437),"")</f>
        <v>0</v>
      </c>
      <c r="Z437" s="36" t="str">
        <f>IFERROR(IF(Y437=0,"",ROUNDUP(Y437/H437,0)*0.01196),"")</f>
        <v/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37" t="s">
        <v>77</v>
      </c>
      <c r="X440" s="547">
        <f>IFERROR(X437/H437,"0")+IFERROR(X438/H438,"0")+IFERROR(X439/H439,"0")</f>
        <v>0</v>
      </c>
      <c r="Y440" s="547">
        <f>IFERROR(Y437/H437,"0")+IFERROR(Y438/H438,"0")+IFERROR(Y439/H439,"0")</f>
        <v>0</v>
      </c>
      <c r="Z440" s="547">
        <f>IFERROR(IF(Z437="",0,Z437),"0")+IFERROR(IF(Z438="",0,Z438),"0")+IFERROR(IF(Z439="",0,Z439),"0")</f>
        <v>0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37" t="s">
        <v>70</v>
      </c>
      <c r="X441" s="547">
        <f>IFERROR(SUM(X437:X439),"0")</f>
        <v>0</v>
      </c>
      <c r="Y441" s="547">
        <f>IFERROR(SUM(Y437:Y439),"0")</f>
        <v>0</v>
      </c>
      <c r="Z441" s="37"/>
      <c r="AA441" s="548"/>
      <c r="AB441" s="548"/>
      <c r="AC441" s="548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5</v>
      </c>
      <c r="Y443" s="546">
        <f t="shared" ref="Y443:Y448" si="53">IFERROR(IF(X443="",0,CEILING((X443/$H443),1)*$H443),"")</f>
        <v>5.28</v>
      </c>
      <c r="Z443" s="36">
        <f>IFERROR(IF(Y443=0,"",ROUNDUP(Y443/H443,0)*0.01196),"")</f>
        <v>1.196E-2</v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5.3314393939393936</v>
      </c>
      <c r="BN443" s="64">
        <f t="shared" ref="BN443:BN448" si="55">IFERROR(Y443*I443/H443,"0")</f>
        <v>5.63</v>
      </c>
      <c r="BO443" s="64">
        <f t="shared" ref="BO443:BO448" si="56">IFERROR(1/J443*(X443/H443),"0")</f>
        <v>9.1054778554778559E-3</v>
      </c>
      <c r="BP443" s="64">
        <f t="shared" ref="BP443:BP448" si="57">IFERROR(1/J443*(Y443/H443),"0")</f>
        <v>9.6153846153846159E-3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45</v>
      </c>
      <c r="Y445" s="546">
        <f t="shared" si="53"/>
        <v>47.52</v>
      </c>
      <c r="Z445" s="36">
        <f>IFERROR(IF(Y445=0,"",ROUNDUP(Y445/H445,0)*0.01196),"")</f>
        <v>0.10764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47.98295454545454</v>
      </c>
      <c r="BN445" s="64">
        <f t="shared" si="55"/>
        <v>50.669999999999995</v>
      </c>
      <c r="BO445" s="64">
        <f t="shared" si="56"/>
        <v>8.1949300699300689E-2</v>
      </c>
      <c r="BP445" s="64">
        <f t="shared" si="57"/>
        <v>8.6538461538461536E-2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37" t="s">
        <v>77</v>
      </c>
      <c r="X449" s="547">
        <f>IFERROR(X443/H443,"0")+IFERROR(X444/H444,"0")+IFERROR(X445/H445,"0")+IFERROR(X446/H446,"0")+IFERROR(X447/H447,"0")+IFERROR(X448/H448,"0")</f>
        <v>9.4696969696969688</v>
      </c>
      <c r="Y449" s="547">
        <f>IFERROR(Y443/H443,"0")+IFERROR(Y444/H444,"0")+IFERROR(Y445/H445,"0")+IFERROR(Y446/H446,"0")+IFERROR(Y447/H447,"0")+IFERROR(Y448/H448,"0")</f>
        <v>10</v>
      </c>
      <c r="Z449" s="547">
        <f>IFERROR(IF(Z443="",0,Z443),"0")+IFERROR(IF(Z444="",0,Z444),"0")+IFERROR(IF(Z445="",0,Z445),"0")+IFERROR(IF(Z446="",0,Z446),"0")+IFERROR(IF(Z447="",0,Z447),"0")+IFERROR(IF(Z448="",0,Z448),"0")</f>
        <v>0.1196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37" t="s">
        <v>70</v>
      </c>
      <c r="X450" s="547">
        <f>IFERROR(SUM(X443:X448),"0")</f>
        <v>50</v>
      </c>
      <c r="Y450" s="547">
        <f>IFERROR(SUM(Y443:Y448),"0")</f>
        <v>52.800000000000004</v>
      </c>
      <c r="Z450" s="37"/>
      <c r="AA450" s="548"/>
      <c r="AB450" s="548"/>
      <c r="AC450" s="548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48"/>
      <c r="AB457" s="48"/>
      <c r="AC457" s="48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5</v>
      </c>
      <c r="Y474" s="546">
        <f>IFERROR(IF(X474="",0,CEILING((X474/$H474),1)*$H474),"")</f>
        <v>8.4</v>
      </c>
      <c r="Z474" s="36">
        <f>IFERROR(IF(Y474=0,"",ROUNDUP(Y474/H474,0)*0.00902),"")</f>
        <v>1.804E-2</v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5.2976190476190474</v>
      </c>
      <c r="BN474" s="64">
        <f>IFERROR(Y474*I474/H474,"0")</f>
        <v>8.9</v>
      </c>
      <c r="BO474" s="64">
        <f>IFERROR(1/J474*(X474/H474),"0")</f>
        <v>9.0187590187590181E-3</v>
      </c>
      <c r="BP474" s="64">
        <f>IFERROR(1/J474*(Y474/H474),"0")</f>
        <v>1.5151515151515152E-2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37" t="s">
        <v>77</v>
      </c>
      <c r="X475" s="547">
        <f>IFERROR(X473/H473,"0")+IFERROR(X474/H474,"0")</f>
        <v>1.1904761904761905</v>
      </c>
      <c r="Y475" s="547">
        <f>IFERROR(Y473/H473,"0")+IFERROR(Y474/H474,"0")</f>
        <v>2</v>
      </c>
      <c r="Z475" s="547">
        <f>IFERROR(IF(Z473="",0,Z473),"0")+IFERROR(IF(Z474="",0,Z474),"0")</f>
        <v>1.804E-2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37" t="s">
        <v>70</v>
      </c>
      <c r="X476" s="547">
        <f>IFERROR(SUM(X473:X474),"0")</f>
        <v>5</v>
      </c>
      <c r="Y476" s="547">
        <f>IFERROR(SUM(Y473:Y474),"0")</f>
        <v>8.4</v>
      </c>
      <c r="Z476" s="37"/>
      <c r="AA476" s="548"/>
      <c r="AB476" s="548"/>
      <c r="AC476" s="548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761.5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813.79999999999984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37" t="s">
        <v>70</v>
      </c>
      <c r="X492" s="547">
        <f>IFERROR(SUM(BM22:BM488),"0")</f>
        <v>799.2041021855963</v>
      </c>
      <c r="Y492" s="547">
        <f>IFERROR(SUM(BN22:BN488),"0")</f>
        <v>854.13799999999992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37" t="s">
        <v>745</v>
      </c>
      <c r="X493" s="38">
        <f>ROUNDUP(SUM(BO22:BO488),0)</f>
        <v>2</v>
      </c>
      <c r="Y493" s="38">
        <f>ROUNDUP(SUM(BP22:BP488),0)</f>
        <v>2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37" t="s">
        <v>70</v>
      </c>
      <c r="X494" s="547">
        <f>GrossWeightTotal+PalletQtyTotal*25</f>
        <v>849.2041021855963</v>
      </c>
      <c r="Y494" s="547">
        <f>GrossWeightTotalR+PalletQtyTotalR*25</f>
        <v>904.13799999999992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90.757598297828167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97</v>
      </c>
      <c r="Z495" s="37"/>
      <c r="AA495" s="548"/>
      <c r="AB495" s="548"/>
      <c r="AC495" s="548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1.6640699999999999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43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43.2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147.60000000000002</v>
      </c>
      <c r="E501" s="46">
        <f>IFERROR(Y86*1,"0")+IFERROR(Y87*1,"0")+IFERROR(Y88*1,"0")+IFERROR(Y92*1,"0")+IFERROR(Y93*1,"0")+IFERROR(Y94*1,"0")+IFERROR(Y95*1,"0")</f>
        <v>12.6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32.4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18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23.2</v>
      </c>
      <c r="L501" s="46">
        <f>IFERROR(Y255*1,"0")+IFERROR(Y256*1,"0")+IFERROR(Y257*1,"0")+IFERROR(Y258*1,"0")+IFERROR(Y259*1,"0")</f>
        <v>14.8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445.8</v>
      </c>
      <c r="R501" s="46">
        <f>IFERROR(Y335*1,"0")+IFERROR(Y336*1,"0")+IFERROR(Y337*1,"0")</f>
        <v>0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15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52.800000000000004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8.4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2025-12-09T06:51:27Z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