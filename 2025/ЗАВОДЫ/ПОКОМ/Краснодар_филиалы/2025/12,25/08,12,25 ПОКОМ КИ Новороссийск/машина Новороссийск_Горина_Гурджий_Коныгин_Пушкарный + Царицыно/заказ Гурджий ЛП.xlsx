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564CDBF-ADDC-41A6-9AF1-803521BA91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1" i="1" l="1"/>
  <c r="X490" i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6" i="1"/>
  <c r="Y455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Y456" i="1" s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Y412" i="1" s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P284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H10" i="1"/>
  <c r="A9" i="1"/>
  <c r="A10" i="1" s="1"/>
  <c r="D7" i="1"/>
  <c r="Q6" i="1"/>
  <c r="P2" i="1"/>
  <c r="F9" i="1" l="1"/>
  <c r="J9" i="1"/>
  <c r="F10" i="1"/>
  <c r="Y24" i="1"/>
  <c r="Y32" i="1"/>
  <c r="Y44" i="1"/>
  <c r="Y59" i="1"/>
  <c r="Y65" i="1"/>
  <c r="Y70" i="1"/>
  <c r="BP74" i="1"/>
  <c r="BN74" i="1"/>
  <c r="Z74" i="1"/>
  <c r="Z77" i="1" s="1"/>
  <c r="BP87" i="1"/>
  <c r="BN87" i="1"/>
  <c r="Z87" i="1"/>
  <c r="Z89" i="1" s="1"/>
  <c r="BP95" i="1"/>
  <c r="BN95" i="1"/>
  <c r="Z95" i="1"/>
  <c r="Y97" i="1"/>
  <c r="F501" i="1"/>
  <c r="Y105" i="1"/>
  <c r="BP100" i="1"/>
  <c r="BN100" i="1"/>
  <c r="Z100" i="1"/>
  <c r="Y104" i="1"/>
  <c r="Z110" i="1"/>
  <c r="BP108" i="1"/>
  <c r="BN108" i="1"/>
  <c r="Z108" i="1"/>
  <c r="BP116" i="1"/>
  <c r="BN116" i="1"/>
  <c r="Z116" i="1"/>
  <c r="Y118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Z305" i="1" s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D501" i="1"/>
  <c r="H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Z67" i="1"/>
  <c r="BN67" i="1"/>
  <c r="BP67" i="1"/>
  <c r="BP68" i="1"/>
  <c r="BN68" i="1"/>
  <c r="Z68" i="1"/>
  <c r="Y77" i="1"/>
  <c r="BP76" i="1"/>
  <c r="BN76" i="1"/>
  <c r="Z76" i="1"/>
  <c r="Y78" i="1"/>
  <c r="Y83" i="1"/>
  <c r="BP80" i="1"/>
  <c r="BN80" i="1"/>
  <c r="Z80" i="1"/>
  <c r="Z82" i="1" s="1"/>
  <c r="Y89" i="1"/>
  <c r="BP93" i="1"/>
  <c r="BN93" i="1"/>
  <c r="Z93" i="1"/>
  <c r="Z96" i="1" s="1"/>
  <c r="BP102" i="1"/>
  <c r="BN102" i="1"/>
  <c r="Z102" i="1"/>
  <c r="Y111" i="1"/>
  <c r="Y110" i="1"/>
  <c r="BP114" i="1"/>
  <c r="BN114" i="1"/>
  <c r="Z114" i="1"/>
  <c r="Z117" i="1" s="1"/>
  <c r="Y127" i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Z260" i="1" s="1"/>
  <c r="L501" i="1"/>
  <c r="Y260" i="1"/>
  <c r="BP265" i="1"/>
  <c r="BN265" i="1"/>
  <c r="Z265" i="1"/>
  <c r="Z268" i="1" s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Z325" i="1" s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Z375" i="1" s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Z412" i="1" s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Z464" i="1" s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296" i="1" l="1"/>
  <c r="Z172" i="1"/>
  <c r="Z70" i="1"/>
  <c r="Z496" i="1" s="1"/>
  <c r="Y491" i="1"/>
  <c r="Y493" i="1"/>
  <c r="Z149" i="1"/>
  <c r="Y495" i="1"/>
  <c r="Z449" i="1"/>
  <c r="Z395" i="1"/>
  <c r="Z235" i="1"/>
  <c r="Z434" i="1"/>
  <c r="Z350" i="1"/>
  <c r="Z331" i="1"/>
  <c r="Z216" i="1"/>
  <c r="Y492" i="1"/>
  <c r="Z312" i="1"/>
  <c r="Z104" i="1"/>
  <c r="Y494" i="1" l="1"/>
</calcChain>
</file>

<file path=xl/sharedStrings.xml><?xml version="1.0" encoding="utf-8"?>
<sst xmlns="http://schemas.openxmlformats.org/spreadsheetml/2006/main" count="2352" uniqueCount="768">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</sst>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1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81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8" t="s">
        <v>0</v>
      </c>
      <c r="E1" s="582"/>
      <c r="F1" s="582"/>
      <c r="G1" s="12" t="s">
        <v>1</v>
      </c>
      <c r="H1" s="628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72"/>
      <c r="C5" s="673"/>
      <c r="D5" s="632"/>
      <c r="E5" s="633"/>
      <c r="F5" s="838" t="s">
        <v>9</v>
      </c>
      <c r="G5" s="673"/>
      <c r="H5" s="632"/>
      <c r="I5" s="777"/>
      <c r="J5" s="777"/>
      <c r="K5" s="777"/>
      <c r="L5" s="777"/>
      <c r="M5" s="633"/>
      <c r="N5" s="58"/>
      <c r="P5" s="24" t="s">
        <v>10</v>
      </c>
      <c r="Q5" s="850">
        <v>46002</v>
      </c>
      <c r="R5" s="670"/>
      <c r="T5" s="716" t="s">
        <v>11</v>
      </c>
      <c r="U5" s="717"/>
      <c r="V5" s="719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72"/>
      <c r="C6" s="67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0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50"/>
      <c r="T6" s="727" t="s">
        <v>16</v>
      </c>
      <c r="U6" s="717"/>
      <c r="V6" s="764" t="s">
        <v>17</v>
      </c>
      <c r="W6" s="600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4"/>
      <c r="C8" s="565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81">
        <v>0.41666666666666669</v>
      </c>
      <c r="R8" s="612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1"/>
      <c r="E9" s="562"/>
      <c r="F9" s="6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7"/>
      <c r="P9" s="26" t="s">
        <v>21</v>
      </c>
      <c r="Q9" s="667"/>
      <c r="R9" s="668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1"/>
      <c r="E10" s="562"/>
      <c r="F10" s="6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8"/>
      <c r="R10" s="729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6" t="s">
        <v>28</v>
      </c>
      <c r="W11" s="668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1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1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6"/>
      <c r="R13" s="6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1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9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4" t="s">
        <v>36</v>
      </c>
      <c r="B17" s="594" t="s">
        <v>37</v>
      </c>
      <c r="C17" s="688" t="s">
        <v>38</v>
      </c>
      <c r="D17" s="594" t="s">
        <v>39</v>
      </c>
      <c r="E17" s="655"/>
      <c r="F17" s="594" t="s">
        <v>40</v>
      </c>
      <c r="G17" s="594" t="s">
        <v>41</v>
      </c>
      <c r="H17" s="594" t="s">
        <v>42</v>
      </c>
      <c r="I17" s="594" t="s">
        <v>43</v>
      </c>
      <c r="J17" s="594" t="s">
        <v>44</v>
      </c>
      <c r="K17" s="594" t="s">
        <v>45</v>
      </c>
      <c r="L17" s="594" t="s">
        <v>46</v>
      </c>
      <c r="M17" s="594" t="s">
        <v>47</v>
      </c>
      <c r="N17" s="594" t="s">
        <v>48</v>
      </c>
      <c r="O17" s="594" t="s">
        <v>49</v>
      </c>
      <c r="P17" s="594" t="s">
        <v>50</v>
      </c>
      <c r="Q17" s="654"/>
      <c r="R17" s="654"/>
      <c r="S17" s="654"/>
      <c r="T17" s="655"/>
      <c r="U17" s="868" t="s">
        <v>51</v>
      </c>
      <c r="V17" s="673"/>
      <c r="W17" s="594" t="s">
        <v>52</v>
      </c>
      <c r="X17" s="594" t="s">
        <v>53</v>
      </c>
      <c r="Y17" s="866" t="s">
        <v>54</v>
      </c>
      <c r="Z17" s="775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5"/>
      <c r="B18" s="595"/>
      <c r="C18" s="595"/>
      <c r="D18" s="656"/>
      <c r="E18" s="658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56"/>
      <c r="Q18" s="657"/>
      <c r="R18" s="657"/>
      <c r="S18" s="657"/>
      <c r="T18" s="658"/>
      <c r="U18" s="67" t="s">
        <v>61</v>
      </c>
      <c r="V18" s="67" t="s">
        <v>62</v>
      </c>
      <c r="W18" s="595"/>
      <c r="X18" s="595"/>
      <c r="Y18" s="867"/>
      <c r="Z18" s="776"/>
      <c r="AA18" s="758"/>
      <c r="AB18" s="758"/>
      <c r="AC18" s="758"/>
      <c r="AD18" s="835"/>
      <c r="AE18" s="836"/>
      <c r="AF18" s="837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7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3" t="s">
        <v>76</v>
      </c>
      <c r="Q24" s="564"/>
      <c r="R24" s="564"/>
      <c r="S24" s="564"/>
      <c r="T24" s="564"/>
      <c r="U24" s="564"/>
      <c r="V24" s="565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3" t="s">
        <v>76</v>
      </c>
      <c r="Q25" s="564"/>
      <c r="R25" s="564"/>
      <c r="S25" s="564"/>
      <c r="T25" s="564"/>
      <c r="U25" s="564"/>
      <c r="V25" s="565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3" t="s">
        <v>76</v>
      </c>
      <c r="Q32" s="564"/>
      <c r="R32" s="564"/>
      <c r="S32" s="564"/>
      <c r="T32" s="564"/>
      <c r="U32" s="564"/>
      <c r="V32" s="565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3" t="s">
        <v>76</v>
      </c>
      <c r="Q33" s="564"/>
      <c r="R33" s="564"/>
      <c r="S33" s="564"/>
      <c r="T33" s="564"/>
      <c r="U33" s="564"/>
      <c r="V33" s="565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3" t="s">
        <v>76</v>
      </c>
      <c r="Q36" s="564"/>
      <c r="R36" s="564"/>
      <c r="S36" s="564"/>
      <c r="T36" s="564"/>
      <c r="U36" s="564"/>
      <c r="V36" s="565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3" t="s">
        <v>76</v>
      </c>
      <c r="Q37" s="564"/>
      <c r="R37" s="564"/>
      <c r="S37" s="564"/>
      <c r="T37" s="564"/>
      <c r="U37" s="564"/>
      <c r="V37" s="565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67" t="s">
        <v>103</v>
      </c>
      <c r="B38" s="568"/>
      <c r="C38" s="568"/>
      <c r="D38" s="568"/>
      <c r="E38" s="568"/>
      <c r="F38" s="568"/>
      <c r="G38" s="568"/>
      <c r="H38" s="568"/>
      <c r="I38" s="568"/>
      <c r="J38" s="568"/>
      <c r="K38" s="568"/>
      <c r="L38" s="568"/>
      <c r="M38" s="568"/>
      <c r="N38" s="568"/>
      <c r="O38" s="568"/>
      <c r="P38" s="568"/>
      <c r="Q38" s="568"/>
      <c r="R38" s="568"/>
      <c r="S38" s="568"/>
      <c r="T38" s="568"/>
      <c r="U38" s="568"/>
      <c r="V38" s="568"/>
      <c r="W38" s="568"/>
      <c r="X38" s="568"/>
      <c r="Y38" s="568"/>
      <c r="Z38" s="568"/>
      <c r="AA38" s="48"/>
      <c r="AB38" s="48"/>
      <c r="AC38" s="48"/>
    </row>
    <row r="39" spans="1:68" ht="16.5" customHeight="1" x14ac:dyDescent="0.25">
      <c r="A39" s="560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3" t="s">
        <v>76</v>
      </c>
      <c r="Q44" s="564"/>
      <c r="R44" s="564"/>
      <c r="S44" s="564"/>
      <c r="T44" s="564"/>
      <c r="U44" s="564"/>
      <c r="V44" s="565"/>
      <c r="W44" s="37" t="s">
        <v>77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3" t="s">
        <v>76</v>
      </c>
      <c r="Q45" s="564"/>
      <c r="R45" s="564"/>
      <c r="S45" s="564"/>
      <c r="T45" s="564"/>
      <c r="U45" s="564"/>
      <c r="V45" s="565"/>
      <c r="W45" s="37" t="s">
        <v>70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4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3" t="s">
        <v>76</v>
      </c>
      <c r="Q48" s="564"/>
      <c r="R48" s="564"/>
      <c r="S48" s="564"/>
      <c r="T48" s="564"/>
      <c r="U48" s="564"/>
      <c r="V48" s="565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3" t="s">
        <v>76</v>
      </c>
      <c r="Q49" s="564"/>
      <c r="R49" s="564"/>
      <c r="S49" s="564"/>
      <c r="T49" s="564"/>
      <c r="U49" s="564"/>
      <c r="V49" s="565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60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6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0</v>
      </c>
      <c r="Y53" s="54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3" t="s">
        <v>76</v>
      </c>
      <c r="Q58" s="564"/>
      <c r="R58" s="564"/>
      <c r="S58" s="564"/>
      <c r="T58" s="564"/>
      <c r="U58" s="564"/>
      <c r="V58" s="565"/>
      <c r="W58" s="37" t="s">
        <v>77</v>
      </c>
      <c r="X58" s="547">
        <f>IFERROR(X52/H52,"0")+IFERROR(X53/H53,"0")+IFERROR(X54/H54,"0")+IFERROR(X55/H55,"0")+IFERROR(X56/H56,"0")+IFERROR(X57/H57,"0")</f>
        <v>0</v>
      </c>
      <c r="Y58" s="547">
        <f>IFERROR(Y52/H52,"0")+IFERROR(Y53/H53,"0")+IFERROR(Y54/H54,"0")+IFERROR(Y55/H55,"0")+IFERROR(Y56/H56,"0")+IFERROR(Y57/H57,"0")</f>
        <v>0</v>
      </c>
      <c r="Z58" s="547">
        <f>IFERROR(IF(Z52="",0,Z52),"0")+IFERROR(IF(Z53="",0,Z53),"0")+IFERROR(IF(Z54="",0,Z54),"0")+IFERROR(IF(Z55="",0,Z55),"0")+IFERROR(IF(Z56="",0,Z56),"0")+IFERROR(IF(Z57="",0,Z57),"0")</f>
        <v>0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3" t="s">
        <v>76</v>
      </c>
      <c r="Q59" s="564"/>
      <c r="R59" s="564"/>
      <c r="S59" s="564"/>
      <c r="T59" s="564"/>
      <c r="U59" s="564"/>
      <c r="V59" s="565"/>
      <c r="W59" s="37" t="s">
        <v>70</v>
      </c>
      <c r="X59" s="547">
        <f>IFERROR(SUM(X52:X57),"0")</f>
        <v>0</v>
      </c>
      <c r="Y59" s="547">
        <f>IFERROR(SUM(Y52:Y57),"0")</f>
        <v>0</v>
      </c>
      <c r="Z59" s="37"/>
      <c r="AA59" s="548"/>
      <c r="AB59" s="548"/>
      <c r="AC59" s="548"/>
    </row>
    <row r="60" spans="1:68" ht="14.25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3" t="s">
        <v>76</v>
      </c>
      <c r="Q64" s="564"/>
      <c r="R64" s="564"/>
      <c r="S64" s="564"/>
      <c r="T64" s="564"/>
      <c r="U64" s="564"/>
      <c r="V64" s="565"/>
      <c r="W64" s="37" t="s">
        <v>77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3" t="s">
        <v>76</v>
      </c>
      <c r="Q65" s="564"/>
      <c r="R65" s="564"/>
      <c r="S65" s="564"/>
      <c r="T65" s="564"/>
      <c r="U65" s="564"/>
      <c r="V65" s="565"/>
      <c r="W65" s="37" t="s">
        <v>70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3" t="s">
        <v>76</v>
      </c>
      <c r="Q70" s="564"/>
      <c r="R70" s="564"/>
      <c r="S70" s="564"/>
      <c r="T70" s="564"/>
      <c r="U70" s="564"/>
      <c r="V70" s="565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3" t="s">
        <v>76</v>
      </c>
      <c r="Q71" s="564"/>
      <c r="R71" s="564"/>
      <c r="S71" s="564"/>
      <c r="T71" s="564"/>
      <c r="U71" s="564"/>
      <c r="V71" s="565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3" t="s">
        <v>76</v>
      </c>
      <c r="Q77" s="564"/>
      <c r="R77" s="564"/>
      <c r="S77" s="564"/>
      <c r="T77" s="564"/>
      <c r="U77" s="564"/>
      <c r="V77" s="565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3" t="s">
        <v>76</v>
      </c>
      <c r="Q78" s="564"/>
      <c r="R78" s="564"/>
      <c r="S78" s="564"/>
      <c r="T78" s="564"/>
      <c r="U78" s="564"/>
      <c r="V78" s="565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3" t="s">
        <v>76</v>
      </c>
      <c r="Q82" s="564"/>
      <c r="R82" s="564"/>
      <c r="S82" s="564"/>
      <c r="T82" s="564"/>
      <c r="U82" s="564"/>
      <c r="V82" s="565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3" t="s">
        <v>76</v>
      </c>
      <c r="Q83" s="564"/>
      <c r="R83" s="564"/>
      <c r="S83" s="564"/>
      <c r="T83" s="564"/>
      <c r="U83" s="564"/>
      <c r="V83" s="565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60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0</v>
      </c>
      <c r="Y86" s="54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3" t="s">
        <v>76</v>
      </c>
      <c r="Q89" s="564"/>
      <c r="R89" s="564"/>
      <c r="S89" s="564"/>
      <c r="T89" s="564"/>
      <c r="U89" s="564"/>
      <c r="V89" s="565"/>
      <c r="W89" s="37" t="s">
        <v>77</v>
      </c>
      <c r="X89" s="547">
        <f>IFERROR(X86/H86,"0")+IFERROR(X87/H87,"0")+IFERROR(X88/H88,"0")</f>
        <v>0</v>
      </c>
      <c r="Y89" s="547">
        <f>IFERROR(Y86/H86,"0")+IFERROR(Y87/H87,"0")+IFERROR(Y88/H88,"0")</f>
        <v>0</v>
      </c>
      <c r="Z89" s="547">
        <f>IFERROR(IF(Z86="",0,Z86),"0")+IFERROR(IF(Z87="",0,Z87),"0")+IFERROR(IF(Z88="",0,Z88),"0")</f>
        <v>0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3" t="s">
        <v>76</v>
      </c>
      <c r="Q90" s="564"/>
      <c r="R90" s="564"/>
      <c r="S90" s="564"/>
      <c r="T90" s="564"/>
      <c r="U90" s="564"/>
      <c r="V90" s="565"/>
      <c r="W90" s="37" t="s">
        <v>70</v>
      </c>
      <c r="X90" s="547">
        <f>IFERROR(SUM(X86:X88),"0")</f>
        <v>0</v>
      </c>
      <c r="Y90" s="547">
        <f>IFERROR(SUM(Y86:Y88),"0")</f>
        <v>0</v>
      </c>
      <c r="Z90" s="37"/>
      <c r="AA90" s="548"/>
      <c r="AB90" s="548"/>
      <c r="AC90" s="548"/>
    </row>
    <row r="91" spans="1:68" ht="14.25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1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0</v>
      </c>
      <c r="Y92" s="54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1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3" t="s">
        <v>76</v>
      </c>
      <c r="Q96" s="564"/>
      <c r="R96" s="564"/>
      <c r="S96" s="564"/>
      <c r="T96" s="564"/>
      <c r="U96" s="564"/>
      <c r="V96" s="565"/>
      <c r="W96" s="37" t="s">
        <v>77</v>
      </c>
      <c r="X96" s="547">
        <f>IFERROR(X92/H92,"0")+IFERROR(X93/H93,"0")+IFERROR(X94/H94,"0")+IFERROR(X95/H95,"0")</f>
        <v>0</v>
      </c>
      <c r="Y96" s="547">
        <f>IFERROR(Y92/H92,"0")+IFERROR(Y93/H93,"0")+IFERROR(Y94/H94,"0")+IFERROR(Y95/H95,"0")</f>
        <v>0</v>
      </c>
      <c r="Z96" s="547">
        <f>IFERROR(IF(Z92="",0,Z92),"0")+IFERROR(IF(Z93="",0,Z93),"0")+IFERROR(IF(Z94="",0,Z94),"0")+IFERROR(IF(Z95="",0,Z95),"0")</f>
        <v>0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3" t="s">
        <v>76</v>
      </c>
      <c r="Q97" s="564"/>
      <c r="R97" s="564"/>
      <c r="S97" s="564"/>
      <c r="T97" s="564"/>
      <c r="U97" s="564"/>
      <c r="V97" s="565"/>
      <c r="W97" s="37" t="s">
        <v>70</v>
      </c>
      <c r="X97" s="547">
        <f>IFERROR(SUM(X92:X95),"0")</f>
        <v>0</v>
      </c>
      <c r="Y97" s="547">
        <f>IFERROR(SUM(Y92:Y95),"0")</f>
        <v>0</v>
      </c>
      <c r="Z97" s="37"/>
      <c r="AA97" s="548"/>
      <c r="AB97" s="548"/>
      <c r="AC97" s="548"/>
    </row>
    <row r="98" spans="1:68" ht="16.5" customHeight="1" x14ac:dyDescent="0.25">
      <c r="A98" s="560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8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3" t="s">
        <v>76</v>
      </c>
      <c r="Q104" s="564"/>
      <c r="R104" s="564"/>
      <c r="S104" s="564"/>
      <c r="T104" s="564"/>
      <c r="U104" s="564"/>
      <c r="V104" s="565"/>
      <c r="W104" s="37" t="s">
        <v>77</v>
      </c>
      <c r="X104" s="547">
        <f>IFERROR(X100/H100,"0")+IFERROR(X101/H101,"0")+IFERROR(X102/H102,"0")+IFERROR(X103/H103,"0")</f>
        <v>0</v>
      </c>
      <c r="Y104" s="547">
        <f>IFERROR(Y100/H100,"0")+IFERROR(Y101/H101,"0")+IFERROR(Y102/H102,"0")+IFERROR(Y103/H103,"0")</f>
        <v>0</v>
      </c>
      <c r="Z104" s="547">
        <f>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3" t="s">
        <v>76</v>
      </c>
      <c r="Q105" s="564"/>
      <c r="R105" s="564"/>
      <c r="S105" s="564"/>
      <c r="T105" s="564"/>
      <c r="U105" s="564"/>
      <c r="V105" s="565"/>
      <c r="W105" s="37" t="s">
        <v>70</v>
      </c>
      <c r="X105" s="547">
        <f>IFERROR(SUM(X100:X103),"0")</f>
        <v>0</v>
      </c>
      <c r="Y105" s="547">
        <f>IFERROR(SUM(Y100:Y103),"0")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1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3" t="s">
        <v>76</v>
      </c>
      <c r="Q110" s="564"/>
      <c r="R110" s="564"/>
      <c r="S110" s="564"/>
      <c r="T110" s="564"/>
      <c r="U110" s="564"/>
      <c r="V110" s="565"/>
      <c r="W110" s="37" t="s">
        <v>77</v>
      </c>
      <c r="X110" s="547">
        <f>IFERROR(X107/H107,"0")+IFERROR(X108/H108,"0")+IFERROR(X109/H109,"0")</f>
        <v>0</v>
      </c>
      <c r="Y110" s="547">
        <f>IFERROR(Y107/H107,"0")+IFERROR(Y108/H108,"0")+IFERROR(Y109/H109,"0")</f>
        <v>0</v>
      </c>
      <c r="Z110" s="547">
        <f>IFERROR(IF(Z107="",0,Z107),"0")+IFERROR(IF(Z108="",0,Z108),"0")+IFERROR(IF(Z109="",0,Z109),"0")</f>
        <v>0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3" t="s">
        <v>76</v>
      </c>
      <c r="Q111" s="564"/>
      <c r="R111" s="564"/>
      <c r="S111" s="564"/>
      <c r="T111" s="564"/>
      <c r="U111" s="564"/>
      <c r="V111" s="565"/>
      <c r="W111" s="37" t="s">
        <v>70</v>
      </c>
      <c r="X111" s="547">
        <f>IFERROR(SUM(X107:X109),"0")</f>
        <v>0</v>
      </c>
      <c r="Y111" s="547">
        <f>IFERROR(SUM(Y107:Y109),"0")</f>
        <v>0</v>
      </c>
      <c r="Z111" s="37"/>
      <c r="AA111" s="548"/>
      <c r="AB111" s="548"/>
      <c r="AC111" s="548"/>
    </row>
    <row r="112" spans="1:68" ht="14.25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0</v>
      </c>
      <c r="Y113" s="54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3" t="s">
        <v>76</v>
      </c>
      <c r="Q117" s="564"/>
      <c r="R117" s="564"/>
      <c r="S117" s="564"/>
      <c r="T117" s="564"/>
      <c r="U117" s="564"/>
      <c r="V117" s="565"/>
      <c r="W117" s="37" t="s">
        <v>77</v>
      </c>
      <c r="X117" s="547">
        <f>IFERROR(X113/H113,"0")+IFERROR(X114/H114,"0")+IFERROR(X115/H115,"0")+IFERROR(X116/H116,"0")</f>
        <v>0</v>
      </c>
      <c r="Y117" s="547">
        <f>IFERROR(Y113/H113,"0")+IFERROR(Y114/H114,"0")+IFERROR(Y115/H115,"0")+IFERROR(Y116/H116,"0")</f>
        <v>0</v>
      </c>
      <c r="Z117" s="547">
        <f>IFERROR(IF(Z113="",0,Z113),"0")+IFERROR(IF(Z114="",0,Z114),"0")+IFERROR(IF(Z115="",0,Z115),"0")+IFERROR(IF(Z116="",0,Z116),"0")</f>
        <v>0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3" t="s">
        <v>76</v>
      </c>
      <c r="Q118" s="564"/>
      <c r="R118" s="564"/>
      <c r="S118" s="564"/>
      <c r="T118" s="564"/>
      <c r="U118" s="564"/>
      <c r="V118" s="565"/>
      <c r="W118" s="37" t="s">
        <v>70</v>
      </c>
      <c r="X118" s="547">
        <f>IFERROR(SUM(X113:X116),"0")</f>
        <v>0</v>
      </c>
      <c r="Y118" s="547">
        <f>IFERROR(SUM(Y113:Y116),"0")</f>
        <v>0</v>
      </c>
      <c r="Z118" s="37"/>
      <c r="AA118" s="548"/>
      <c r="AB118" s="548"/>
      <c r="AC118" s="548"/>
    </row>
    <row r="119" spans="1:68" ht="14.25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3" t="s">
        <v>76</v>
      </c>
      <c r="Q121" s="564"/>
      <c r="R121" s="564"/>
      <c r="S121" s="564"/>
      <c r="T121" s="564"/>
      <c r="U121" s="564"/>
      <c r="V121" s="565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3" t="s">
        <v>76</v>
      </c>
      <c r="Q122" s="564"/>
      <c r="R122" s="564"/>
      <c r="S122" s="564"/>
      <c r="T122" s="564"/>
      <c r="U122" s="564"/>
      <c r="V122" s="565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customHeight="1" x14ac:dyDescent="0.25">
      <c r="A123" s="560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0</v>
      </c>
      <c r="Y125" s="54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3" t="s">
        <v>76</v>
      </c>
      <c r="Q127" s="564"/>
      <c r="R127" s="564"/>
      <c r="S127" s="564"/>
      <c r="T127" s="564"/>
      <c r="U127" s="564"/>
      <c r="V127" s="565"/>
      <c r="W127" s="37" t="s">
        <v>77</v>
      </c>
      <c r="X127" s="547">
        <f>IFERROR(X125/H125,"0")+IFERROR(X126/H126,"0")</f>
        <v>0</v>
      </c>
      <c r="Y127" s="547">
        <f>IFERROR(Y125/H125,"0")+IFERROR(Y126/H126,"0")</f>
        <v>0</v>
      </c>
      <c r="Z127" s="547">
        <f>IFERROR(IF(Z125="",0,Z125),"0")+IFERROR(IF(Z126="",0,Z126),"0")</f>
        <v>0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3" t="s">
        <v>76</v>
      </c>
      <c r="Q128" s="564"/>
      <c r="R128" s="564"/>
      <c r="S128" s="564"/>
      <c r="T128" s="564"/>
      <c r="U128" s="564"/>
      <c r="V128" s="565"/>
      <c r="W128" s="37" t="s">
        <v>70</v>
      </c>
      <c r="X128" s="547">
        <f>IFERROR(SUM(X125:X126),"0")</f>
        <v>0</v>
      </c>
      <c r="Y128" s="547">
        <f>IFERROR(SUM(Y125:Y126),"0")</f>
        <v>0</v>
      </c>
      <c r="Z128" s="37"/>
      <c r="AA128" s="548"/>
      <c r="AB128" s="548"/>
      <c r="AC128" s="548"/>
    </row>
    <row r="129" spans="1:68" ht="14.25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6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3" t="s">
        <v>76</v>
      </c>
      <c r="Q132" s="564"/>
      <c r="R132" s="564"/>
      <c r="S132" s="564"/>
      <c r="T132" s="564"/>
      <c r="U132" s="564"/>
      <c r="V132" s="565"/>
      <c r="W132" s="37" t="s">
        <v>77</v>
      </c>
      <c r="X132" s="547">
        <f>IFERROR(X130/H130,"0")+IFERROR(X131/H131,"0")</f>
        <v>0</v>
      </c>
      <c r="Y132" s="547">
        <f>IFERROR(Y130/H130,"0")+IFERROR(Y131/H131,"0")</f>
        <v>0</v>
      </c>
      <c r="Z132" s="547">
        <f>IFERROR(IF(Z130="",0,Z130),"0")+IFERROR(IF(Z131="",0,Z131),"0")</f>
        <v>0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3" t="s">
        <v>76</v>
      </c>
      <c r="Q133" s="564"/>
      <c r="R133" s="564"/>
      <c r="S133" s="564"/>
      <c r="T133" s="564"/>
      <c r="U133" s="564"/>
      <c r="V133" s="565"/>
      <c r="W133" s="37" t="s">
        <v>70</v>
      </c>
      <c r="X133" s="547">
        <f>IFERROR(SUM(X130:X131),"0")</f>
        <v>0</v>
      </c>
      <c r="Y133" s="547">
        <f>IFERROR(SUM(Y130:Y131),"0")</f>
        <v>0</v>
      </c>
      <c r="Z133" s="37"/>
      <c r="AA133" s="548"/>
      <c r="AB133" s="548"/>
      <c r="AC133" s="548"/>
    </row>
    <row r="134" spans="1:68" ht="14.25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3" t="s">
        <v>76</v>
      </c>
      <c r="Q137" s="564"/>
      <c r="R137" s="564"/>
      <c r="S137" s="564"/>
      <c r="T137" s="564"/>
      <c r="U137" s="564"/>
      <c r="V137" s="565"/>
      <c r="W137" s="37" t="s">
        <v>77</v>
      </c>
      <c r="X137" s="547">
        <f>IFERROR(X135/H135,"0")+IFERROR(X136/H136,"0")</f>
        <v>0</v>
      </c>
      <c r="Y137" s="547">
        <f>IFERROR(Y135/H135,"0")+IFERROR(Y136/H136,"0")</f>
        <v>0</v>
      </c>
      <c r="Z137" s="547">
        <f>IFERROR(IF(Z135="",0,Z135),"0")+IFERROR(IF(Z136="",0,Z136),"0")</f>
        <v>0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3" t="s">
        <v>76</v>
      </c>
      <c r="Q138" s="564"/>
      <c r="R138" s="564"/>
      <c r="S138" s="564"/>
      <c r="T138" s="564"/>
      <c r="U138" s="564"/>
      <c r="V138" s="565"/>
      <c r="W138" s="37" t="s">
        <v>70</v>
      </c>
      <c r="X138" s="547">
        <f>IFERROR(SUM(X135:X136),"0")</f>
        <v>0</v>
      </c>
      <c r="Y138" s="547">
        <f>IFERROR(SUM(Y135:Y136),"0")</f>
        <v>0</v>
      </c>
      <c r="Z138" s="37"/>
      <c r="AA138" s="548"/>
      <c r="AB138" s="548"/>
      <c r="AC138" s="548"/>
    </row>
    <row r="139" spans="1:68" ht="16.5" customHeight="1" x14ac:dyDescent="0.25">
      <c r="A139" s="560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3" t="s">
        <v>76</v>
      </c>
      <c r="Q143" s="564"/>
      <c r="R143" s="564"/>
      <c r="S143" s="564"/>
      <c r="T143" s="564"/>
      <c r="U143" s="564"/>
      <c r="V143" s="565"/>
      <c r="W143" s="37" t="s">
        <v>77</v>
      </c>
      <c r="X143" s="547">
        <f>IFERROR(X141/H141,"0")+IFERROR(X142/H142,"0")</f>
        <v>0</v>
      </c>
      <c r="Y143" s="547">
        <f>IFERROR(Y141/H141,"0")+IFERROR(Y142/H142,"0")</f>
        <v>0</v>
      </c>
      <c r="Z143" s="547">
        <f>IFERROR(IF(Z141="",0,Z141),"0")+IFERROR(IF(Z142="",0,Z142),"0")</f>
        <v>0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3" t="s">
        <v>76</v>
      </c>
      <c r="Q144" s="564"/>
      <c r="R144" s="564"/>
      <c r="S144" s="564"/>
      <c r="T144" s="564"/>
      <c r="U144" s="564"/>
      <c r="V144" s="565"/>
      <c r="W144" s="37" t="s">
        <v>70</v>
      </c>
      <c r="X144" s="547">
        <f>IFERROR(SUM(X141:X142),"0")</f>
        <v>0</v>
      </c>
      <c r="Y144" s="547">
        <f>IFERROR(SUM(Y141:Y142),"0")</f>
        <v>0</v>
      </c>
      <c r="Z144" s="37"/>
      <c r="AA144" s="548"/>
      <c r="AB144" s="548"/>
      <c r="AC144" s="548"/>
    </row>
    <row r="145" spans="1:68" ht="14.25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20</v>
      </c>
      <c r="Y148" s="546">
        <f>IFERROR(IF(X148="",0,CEILING((X148/$H148),1)*$H148),"")</f>
        <v>27</v>
      </c>
      <c r="Z148" s="36">
        <f>IFERROR(IF(Y148=0,"",ROUNDUP(Y148/H148,0)*0.01898),"")</f>
        <v>5.6940000000000004E-2</v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21.244444444444447</v>
      </c>
      <c r="BN148" s="64">
        <f>IFERROR(Y148*I148/H148,"0")</f>
        <v>28.68</v>
      </c>
      <c r="BO148" s="64">
        <f>IFERROR(1/J148*(X148/H148),"0")</f>
        <v>3.4722222222222224E-2</v>
      </c>
      <c r="BP148" s="64">
        <f>IFERROR(1/J148*(Y148/H148),"0")</f>
        <v>4.6875E-2</v>
      </c>
    </row>
    <row r="149" spans="1:68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3" t="s">
        <v>76</v>
      </c>
      <c r="Q149" s="564"/>
      <c r="R149" s="564"/>
      <c r="S149" s="564"/>
      <c r="T149" s="564"/>
      <c r="U149" s="564"/>
      <c r="V149" s="565"/>
      <c r="W149" s="37" t="s">
        <v>77</v>
      </c>
      <c r="X149" s="547">
        <f>IFERROR(X146/H146,"0")+IFERROR(X147/H147,"0")+IFERROR(X148/H148,"0")</f>
        <v>2.2222222222222223</v>
      </c>
      <c r="Y149" s="547">
        <f>IFERROR(Y146/H146,"0")+IFERROR(Y147/H147,"0")+IFERROR(Y148/H148,"0")</f>
        <v>3</v>
      </c>
      <c r="Z149" s="547">
        <f>IFERROR(IF(Z146="",0,Z146),"0")+IFERROR(IF(Z147="",0,Z147),"0")+IFERROR(IF(Z148="",0,Z148),"0")</f>
        <v>5.6940000000000004E-2</v>
      </c>
      <c r="AA149" s="548"/>
      <c r="AB149" s="548"/>
      <c r="AC149" s="548"/>
    </row>
    <row r="150" spans="1:68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3" t="s">
        <v>76</v>
      </c>
      <c r="Q150" s="564"/>
      <c r="R150" s="564"/>
      <c r="S150" s="564"/>
      <c r="T150" s="564"/>
      <c r="U150" s="564"/>
      <c r="V150" s="565"/>
      <c r="W150" s="37" t="s">
        <v>70</v>
      </c>
      <c r="X150" s="547">
        <f>IFERROR(SUM(X146:X148),"0")</f>
        <v>20</v>
      </c>
      <c r="Y150" s="547">
        <f>IFERROR(SUM(Y146:Y148),"0")</f>
        <v>27</v>
      </c>
      <c r="Z150" s="37"/>
      <c r="AA150" s="548"/>
      <c r="AB150" s="548"/>
      <c r="AC150" s="548"/>
    </row>
    <row r="151" spans="1:68" ht="14.25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3" t="s">
        <v>76</v>
      </c>
      <c r="Q153" s="564"/>
      <c r="R153" s="564"/>
      <c r="S153" s="564"/>
      <c r="T153" s="564"/>
      <c r="U153" s="564"/>
      <c r="V153" s="565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3" t="s">
        <v>76</v>
      </c>
      <c r="Q154" s="564"/>
      <c r="R154" s="564"/>
      <c r="S154" s="564"/>
      <c r="T154" s="564"/>
      <c r="U154" s="564"/>
      <c r="V154" s="565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customHeight="1" x14ac:dyDescent="0.2">
      <c r="A155" s="567" t="s">
        <v>254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60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3" t="s">
        <v>76</v>
      </c>
      <c r="Q159" s="564"/>
      <c r="R159" s="564"/>
      <c r="S159" s="564"/>
      <c r="T159" s="564"/>
      <c r="U159" s="564"/>
      <c r="V159" s="565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3" t="s">
        <v>76</v>
      </c>
      <c r="Q160" s="564"/>
      <c r="R160" s="564"/>
      <c r="S160" s="564"/>
      <c r="T160" s="564"/>
      <c r="U160" s="564"/>
      <c r="V160" s="565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0</v>
      </c>
      <c r="Y165" s="546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4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3" t="s">
        <v>76</v>
      </c>
      <c r="Q172" s="564"/>
      <c r="R172" s="564"/>
      <c r="S172" s="564"/>
      <c r="T172" s="564"/>
      <c r="U172" s="564"/>
      <c r="V172" s="565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3" t="s">
        <v>76</v>
      </c>
      <c r="Q173" s="564"/>
      <c r="R173" s="564"/>
      <c r="S173" s="564"/>
      <c r="T173" s="564"/>
      <c r="U173" s="564"/>
      <c r="V173" s="565"/>
      <c r="W173" s="37" t="s">
        <v>70</v>
      </c>
      <c r="X173" s="547">
        <f>IFERROR(SUM(X162:X171),"0")</f>
        <v>0</v>
      </c>
      <c r="Y173" s="547">
        <f>IFERROR(SUM(Y162:Y171),"0")</f>
        <v>0</v>
      </c>
      <c r="Z173" s="37"/>
      <c r="AA173" s="548"/>
      <c r="AB173" s="548"/>
      <c r="AC173" s="548"/>
    </row>
    <row r="174" spans="1:68" ht="14.25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0</v>
      </c>
      <c r="Y175" s="546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0</v>
      </c>
      <c r="Y176" s="546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0</v>
      </c>
      <c r="Y177" s="546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3" t="s">
        <v>76</v>
      </c>
      <c r="Q178" s="564"/>
      <c r="R178" s="564"/>
      <c r="S178" s="564"/>
      <c r="T178" s="564"/>
      <c r="U178" s="564"/>
      <c r="V178" s="565"/>
      <c r="W178" s="37" t="s">
        <v>77</v>
      </c>
      <c r="X178" s="547">
        <f>IFERROR(X175/H175,"0")+IFERROR(X176/H176,"0")+IFERROR(X177/H177,"0")</f>
        <v>0</v>
      </c>
      <c r="Y178" s="547">
        <f>IFERROR(Y175/H175,"0")+IFERROR(Y176/H176,"0")+IFERROR(Y177/H177,"0")</f>
        <v>0</v>
      </c>
      <c r="Z178" s="547">
        <f>IFERROR(IF(Z175="",0,Z175),"0")+IFERROR(IF(Z176="",0,Z176),"0")+IFERROR(IF(Z177="",0,Z177),"0")</f>
        <v>0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3" t="s">
        <v>76</v>
      </c>
      <c r="Q179" s="564"/>
      <c r="R179" s="564"/>
      <c r="S179" s="564"/>
      <c r="T179" s="564"/>
      <c r="U179" s="564"/>
      <c r="V179" s="565"/>
      <c r="W179" s="37" t="s">
        <v>70</v>
      </c>
      <c r="X179" s="547">
        <f>IFERROR(SUM(X175:X177),"0")</f>
        <v>0</v>
      </c>
      <c r="Y179" s="547">
        <f>IFERROR(SUM(Y175:Y177),"0")</f>
        <v>0</v>
      </c>
      <c r="Z179" s="37"/>
      <c r="AA179" s="548"/>
      <c r="AB179" s="548"/>
      <c r="AC179" s="548"/>
    </row>
    <row r="180" spans="1:68" ht="14.25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3" t="s">
        <v>76</v>
      </c>
      <c r="Q182" s="564"/>
      <c r="R182" s="564"/>
      <c r="S182" s="564"/>
      <c r="T182" s="564"/>
      <c r="U182" s="564"/>
      <c r="V182" s="565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3" t="s">
        <v>76</v>
      </c>
      <c r="Q183" s="564"/>
      <c r="R183" s="564"/>
      <c r="S183" s="564"/>
      <c r="T183" s="564"/>
      <c r="U183" s="564"/>
      <c r="V183" s="565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customHeight="1" x14ac:dyDescent="0.25">
      <c r="A184" s="560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50</v>
      </c>
      <c r="Y186" s="546">
        <f>IFERROR(IF(X186="",0,CEILING((X186/$H186),1)*$H186),"")</f>
        <v>54</v>
      </c>
      <c r="Z186" s="36">
        <f>IFERROR(IF(Y186=0,"",ROUNDUP(Y186/H186,0)*0.01898),"")</f>
        <v>9.4899999999999998E-2</v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51.898148148148145</v>
      </c>
      <c r="BN186" s="64">
        <f>IFERROR(Y186*I186/H186,"0")</f>
        <v>56.05</v>
      </c>
      <c r="BO186" s="64">
        <f>IFERROR(1/J186*(X186/H186),"0")</f>
        <v>7.2337962962962965E-2</v>
      </c>
      <c r="BP186" s="64">
        <f>IFERROR(1/J186*(Y186/H186),"0")</f>
        <v>7.8125E-2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3" t="s">
        <v>76</v>
      </c>
      <c r="Q188" s="564"/>
      <c r="R188" s="564"/>
      <c r="S188" s="564"/>
      <c r="T188" s="564"/>
      <c r="U188" s="564"/>
      <c r="V188" s="565"/>
      <c r="W188" s="37" t="s">
        <v>77</v>
      </c>
      <c r="X188" s="547">
        <f>IFERROR(X186/H186,"0")+IFERROR(X187/H187,"0")</f>
        <v>4.6296296296296298</v>
      </c>
      <c r="Y188" s="547">
        <f>IFERROR(Y186/H186,"0")+IFERROR(Y187/H187,"0")</f>
        <v>5</v>
      </c>
      <c r="Z188" s="547">
        <f>IFERROR(IF(Z186="",0,Z186),"0")+IFERROR(IF(Z187="",0,Z187),"0")</f>
        <v>9.4899999999999998E-2</v>
      </c>
      <c r="AA188" s="548"/>
      <c r="AB188" s="548"/>
      <c r="AC188" s="548"/>
    </row>
    <row r="189" spans="1:68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3" t="s">
        <v>76</v>
      </c>
      <c r="Q189" s="564"/>
      <c r="R189" s="564"/>
      <c r="S189" s="564"/>
      <c r="T189" s="564"/>
      <c r="U189" s="564"/>
      <c r="V189" s="565"/>
      <c r="W189" s="37" t="s">
        <v>70</v>
      </c>
      <c r="X189" s="547">
        <f>IFERROR(SUM(X186:X187),"0")</f>
        <v>50</v>
      </c>
      <c r="Y189" s="547">
        <f>IFERROR(SUM(Y186:Y187),"0")</f>
        <v>54</v>
      </c>
      <c r="Z189" s="37"/>
      <c r="AA189" s="548"/>
      <c r="AB189" s="548"/>
      <c r="AC189" s="548"/>
    </row>
    <row r="190" spans="1:68" ht="14.25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3" t="s">
        <v>76</v>
      </c>
      <c r="Q193" s="564"/>
      <c r="R193" s="564"/>
      <c r="S193" s="564"/>
      <c r="T193" s="564"/>
      <c r="U193" s="564"/>
      <c r="V193" s="565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3" t="s">
        <v>76</v>
      </c>
      <c r="Q194" s="564"/>
      <c r="R194" s="564"/>
      <c r="S194" s="564"/>
      <c r="T194" s="564"/>
      <c r="U194" s="564"/>
      <c r="V194" s="565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8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6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0</v>
      </c>
      <c r="Y200" s="546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0</v>
      </c>
      <c r="Y201" s="546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3" t="s">
        <v>76</v>
      </c>
      <c r="Q204" s="564"/>
      <c r="R204" s="564"/>
      <c r="S204" s="564"/>
      <c r="T204" s="564"/>
      <c r="U204" s="564"/>
      <c r="V204" s="565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0</v>
      </c>
      <c r="Y204" s="547">
        <f>IFERROR(Y196/H196,"0")+IFERROR(Y197/H197,"0")+IFERROR(Y198/H198,"0")+IFERROR(Y199/H199,"0")+IFERROR(Y200/H200,"0")+IFERROR(Y201/H201,"0")+IFERROR(Y202/H202,"0")+IFERROR(Y203/H203,"0")</f>
        <v>0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3" t="s">
        <v>76</v>
      </c>
      <c r="Q205" s="564"/>
      <c r="R205" s="564"/>
      <c r="S205" s="564"/>
      <c r="T205" s="564"/>
      <c r="U205" s="564"/>
      <c r="V205" s="565"/>
      <c r="W205" s="37" t="s">
        <v>70</v>
      </c>
      <c r="X205" s="547">
        <f>IFERROR(SUM(X196:X203),"0")</f>
        <v>0</v>
      </c>
      <c r="Y205" s="547">
        <f>IFERROR(SUM(Y196:Y203),"0")</f>
        <v>0</v>
      </c>
      <c r="Z205" s="37"/>
      <c r="AA205" s="548"/>
      <c r="AB205" s="548"/>
      <c r="AC205" s="548"/>
    </row>
    <row r="206" spans="1:68" ht="14.25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7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7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0</v>
      </c>
      <c r="Y212" s="546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0</v>
      </c>
      <c r="Y213" s="546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0</v>
      </c>
      <c r="Y215" s="546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3" t="s">
        <v>76</v>
      </c>
      <c r="Q216" s="564"/>
      <c r="R216" s="564"/>
      <c r="S216" s="564"/>
      <c r="T216" s="564"/>
      <c r="U216" s="564"/>
      <c r="V216" s="565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0</v>
      </c>
      <c r="Y216" s="547">
        <f>IFERROR(Y207/H207,"0")+IFERROR(Y208/H208,"0")+IFERROR(Y209/H209,"0")+IFERROR(Y210/H210,"0")+IFERROR(Y211/H211,"0")+IFERROR(Y212/H212,"0")+IFERROR(Y213/H213,"0")+IFERROR(Y214/H214,"0")+IFERROR(Y215/H215,"0")</f>
        <v>0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3" t="s">
        <v>76</v>
      </c>
      <c r="Q217" s="564"/>
      <c r="R217" s="564"/>
      <c r="S217" s="564"/>
      <c r="T217" s="564"/>
      <c r="U217" s="564"/>
      <c r="V217" s="565"/>
      <c r="W217" s="37" t="s">
        <v>70</v>
      </c>
      <c r="X217" s="547">
        <f>IFERROR(SUM(X207:X215),"0")</f>
        <v>0</v>
      </c>
      <c r="Y217" s="547">
        <f>IFERROR(SUM(Y207:Y215),"0")</f>
        <v>0</v>
      </c>
      <c r="Z217" s="37"/>
      <c r="AA217" s="548"/>
      <c r="AB217" s="548"/>
      <c r="AC217" s="548"/>
    </row>
    <row r="218" spans="1:68" ht="14.25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0</v>
      </c>
      <c r="Y220" s="546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3" t="s">
        <v>76</v>
      </c>
      <c r="Q221" s="564"/>
      <c r="R221" s="564"/>
      <c r="S221" s="564"/>
      <c r="T221" s="564"/>
      <c r="U221" s="564"/>
      <c r="V221" s="565"/>
      <c r="W221" s="37" t="s">
        <v>77</v>
      </c>
      <c r="X221" s="547">
        <f>IFERROR(X219/H219,"0")+IFERROR(X220/H220,"0")</f>
        <v>0</v>
      </c>
      <c r="Y221" s="547">
        <f>IFERROR(Y219/H219,"0")+IFERROR(Y220/H220,"0")</f>
        <v>0</v>
      </c>
      <c r="Z221" s="547">
        <f>IFERROR(IF(Z219="",0,Z219),"0")+IFERROR(IF(Z220="",0,Z220),"0")</f>
        <v>0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3" t="s">
        <v>76</v>
      </c>
      <c r="Q222" s="564"/>
      <c r="R222" s="564"/>
      <c r="S222" s="564"/>
      <c r="T222" s="564"/>
      <c r="U222" s="564"/>
      <c r="V222" s="565"/>
      <c r="W222" s="37" t="s">
        <v>70</v>
      </c>
      <c r="X222" s="547">
        <f>IFERROR(SUM(X219:X220),"0")</f>
        <v>0</v>
      </c>
      <c r="Y222" s="547">
        <f>IFERROR(SUM(Y219:Y220),"0")</f>
        <v>0</v>
      </c>
      <c r="Z222" s="37"/>
      <c r="AA222" s="548"/>
      <c r="AB222" s="548"/>
      <c r="AC222" s="548"/>
    </row>
    <row r="223" spans="1:68" ht="16.5" customHeight="1" x14ac:dyDescent="0.25">
      <c r="A223" s="560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3" t="s">
        <v>76</v>
      </c>
      <c r="Q235" s="564"/>
      <c r="R235" s="564"/>
      <c r="S235" s="564"/>
      <c r="T235" s="564"/>
      <c r="U235" s="564"/>
      <c r="V235" s="565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3" t="s">
        <v>76</v>
      </c>
      <c r="Q236" s="564"/>
      <c r="R236" s="564"/>
      <c r="S236" s="564"/>
      <c r="T236" s="564"/>
      <c r="U236" s="564"/>
      <c r="V236" s="565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3" t="s">
        <v>76</v>
      </c>
      <c r="Q239" s="564"/>
      <c r="R239" s="564"/>
      <c r="S239" s="564"/>
      <c r="T239" s="564"/>
      <c r="U239" s="564"/>
      <c r="V239" s="565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3" t="s">
        <v>76</v>
      </c>
      <c r="Q240" s="564"/>
      <c r="R240" s="564"/>
      <c r="S240" s="564"/>
      <c r="T240" s="564"/>
      <c r="U240" s="564"/>
      <c r="V240" s="565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3" t="s">
        <v>76</v>
      </c>
      <c r="Q243" s="564"/>
      <c r="R243" s="564"/>
      <c r="S243" s="564"/>
      <c r="T243" s="564"/>
      <c r="U243" s="564"/>
      <c r="V243" s="565"/>
      <c r="W243" s="37" t="s">
        <v>77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3" t="s">
        <v>76</v>
      </c>
      <c r="Q244" s="564"/>
      <c r="R244" s="564"/>
      <c r="S244" s="564"/>
      <c r="T244" s="564"/>
      <c r="U244" s="564"/>
      <c r="V244" s="565"/>
      <c r="W244" s="37" t="s">
        <v>70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0</v>
      </c>
      <c r="Y249" s="546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3" t="s">
        <v>76</v>
      </c>
      <c r="Q251" s="564"/>
      <c r="R251" s="564"/>
      <c r="S251" s="564"/>
      <c r="T251" s="564"/>
      <c r="U251" s="564"/>
      <c r="V251" s="565"/>
      <c r="W251" s="37" t="s">
        <v>77</v>
      </c>
      <c r="X251" s="547">
        <f>IFERROR(X246/H246,"0")+IFERROR(X247/H247,"0")+IFERROR(X248/H248,"0")+IFERROR(X249/H249,"0")+IFERROR(X250/H250,"0")</f>
        <v>0</v>
      </c>
      <c r="Y251" s="547">
        <f>IFERROR(Y246/H246,"0")+IFERROR(Y247/H247,"0")+IFERROR(Y248/H248,"0")+IFERROR(Y249/H249,"0")+IFERROR(Y250/H250,"0")</f>
        <v>0</v>
      </c>
      <c r="Z251" s="547">
        <f>IFERROR(IF(Z246="",0,Z246),"0")+IFERROR(IF(Z247="",0,Z247),"0")+IFERROR(IF(Z248="",0,Z248),"0")+IFERROR(IF(Z249="",0,Z249),"0")+IFERROR(IF(Z250="",0,Z250),"0")</f>
        <v>0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3" t="s">
        <v>76</v>
      </c>
      <c r="Q252" s="564"/>
      <c r="R252" s="564"/>
      <c r="S252" s="564"/>
      <c r="T252" s="564"/>
      <c r="U252" s="564"/>
      <c r="V252" s="565"/>
      <c r="W252" s="37" t="s">
        <v>70</v>
      </c>
      <c r="X252" s="547">
        <f>IFERROR(SUM(X246:X250),"0")</f>
        <v>0</v>
      </c>
      <c r="Y252" s="547">
        <f>IFERROR(SUM(Y246:Y250),"0")</f>
        <v>0</v>
      </c>
      <c r="Z252" s="37"/>
      <c r="AA252" s="548"/>
      <c r="AB252" s="548"/>
      <c r="AC252" s="548"/>
    </row>
    <row r="253" spans="1:68" ht="16.5" customHeight="1" x14ac:dyDescent="0.25">
      <c r="A253" s="560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0</v>
      </c>
      <c r="Y257" s="546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3" t="s">
        <v>76</v>
      </c>
      <c r="Q260" s="564"/>
      <c r="R260" s="564"/>
      <c r="S260" s="564"/>
      <c r="T260" s="564"/>
      <c r="U260" s="564"/>
      <c r="V260" s="565"/>
      <c r="W260" s="37" t="s">
        <v>77</v>
      </c>
      <c r="X260" s="547">
        <f>IFERROR(X255/H255,"0")+IFERROR(X256/H256,"0")+IFERROR(X257/H257,"0")+IFERROR(X258/H258,"0")+IFERROR(X259/H259,"0")</f>
        <v>0</v>
      </c>
      <c r="Y260" s="547">
        <f>IFERROR(Y255/H255,"0")+IFERROR(Y256/H256,"0")+IFERROR(Y257/H257,"0")+IFERROR(Y258/H258,"0")+IFERROR(Y259/H259,"0")</f>
        <v>0</v>
      </c>
      <c r="Z260" s="547">
        <f>IFERROR(IF(Z255="",0,Z255),"0")+IFERROR(IF(Z256="",0,Z256),"0")+IFERROR(IF(Z257="",0,Z257),"0")+IFERROR(IF(Z258="",0,Z258),"0")+IFERROR(IF(Z259="",0,Z259),"0")</f>
        <v>0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3" t="s">
        <v>76</v>
      </c>
      <c r="Q261" s="564"/>
      <c r="R261" s="564"/>
      <c r="S261" s="564"/>
      <c r="T261" s="564"/>
      <c r="U261" s="564"/>
      <c r="V261" s="565"/>
      <c r="W261" s="37" t="s">
        <v>70</v>
      </c>
      <c r="X261" s="547">
        <f>IFERROR(SUM(X255:X259),"0")</f>
        <v>0</v>
      </c>
      <c r="Y261" s="547">
        <f>IFERROR(SUM(Y255:Y259),"0")</f>
        <v>0</v>
      </c>
      <c r="Z261" s="37"/>
      <c r="AA261" s="548"/>
      <c r="AB261" s="548"/>
      <c r="AC261" s="548"/>
    </row>
    <row r="262" spans="1:68" ht="16.5" customHeight="1" x14ac:dyDescent="0.25">
      <c r="A262" s="560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69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3" t="s">
        <v>76</v>
      </c>
      <c r="Q268" s="564"/>
      <c r="R268" s="564"/>
      <c r="S268" s="564"/>
      <c r="T268" s="564"/>
      <c r="U268" s="564"/>
      <c r="V268" s="565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3" t="s">
        <v>76</v>
      </c>
      <c r="Q269" s="564"/>
      <c r="R269" s="564"/>
      <c r="S269" s="564"/>
      <c r="T269" s="564"/>
      <c r="U269" s="564"/>
      <c r="V269" s="565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customHeight="1" x14ac:dyDescent="0.25">
      <c r="A270" s="560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3" t="s">
        <v>76</v>
      </c>
      <c r="Q275" s="564"/>
      <c r="R275" s="564"/>
      <c r="S275" s="564"/>
      <c r="T275" s="564"/>
      <c r="U275" s="564"/>
      <c r="V275" s="565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3" t="s">
        <v>76</v>
      </c>
      <c r="Q276" s="564"/>
      <c r="R276" s="564"/>
      <c r="S276" s="564"/>
      <c r="T276" s="564"/>
      <c r="U276" s="564"/>
      <c r="V276" s="565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customHeight="1" x14ac:dyDescent="0.25">
      <c r="A277" s="560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7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3" t="s">
        <v>76</v>
      </c>
      <c r="Q281" s="564"/>
      <c r="R281" s="564"/>
      <c r="S281" s="564"/>
      <c r="T281" s="564"/>
      <c r="U281" s="564"/>
      <c r="V281" s="565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3" t="s">
        <v>76</v>
      </c>
      <c r="Q282" s="564"/>
      <c r="R282" s="564"/>
      <c r="S282" s="564"/>
      <c r="T282" s="564"/>
      <c r="U282" s="564"/>
      <c r="V282" s="565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3" t="s">
        <v>76</v>
      </c>
      <c r="Q286" s="564"/>
      <c r="R286" s="564"/>
      <c r="S286" s="564"/>
      <c r="T286" s="564"/>
      <c r="U286" s="564"/>
      <c r="V286" s="565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3" t="s">
        <v>76</v>
      </c>
      <c r="Q287" s="564"/>
      <c r="R287" s="564"/>
      <c r="S287" s="564"/>
      <c r="T287" s="564"/>
      <c r="U287" s="564"/>
      <c r="V287" s="565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customHeight="1" x14ac:dyDescent="0.25">
      <c r="A288" s="560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0</v>
      </c>
      <c r="Y291" s="546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0</v>
      </c>
      <c r="Y293" s="546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0</v>
      </c>
      <c r="Y294" s="546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0</v>
      </c>
      <c r="Y295" s="546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3" t="s">
        <v>76</v>
      </c>
      <c r="Q296" s="564"/>
      <c r="R296" s="564"/>
      <c r="S296" s="564"/>
      <c r="T296" s="564"/>
      <c r="U296" s="564"/>
      <c r="V296" s="565"/>
      <c r="W296" s="37" t="s">
        <v>77</v>
      </c>
      <c r="X296" s="547">
        <f>IFERROR(X290/H290,"0")+IFERROR(X291/H291,"0")+IFERROR(X292/H292,"0")+IFERROR(X293/H293,"0")+IFERROR(X294/H294,"0")+IFERROR(X295/H295,"0")</f>
        <v>0</v>
      </c>
      <c r="Y296" s="547">
        <f>IFERROR(Y290/H290,"0")+IFERROR(Y291/H291,"0")+IFERROR(Y292/H292,"0")+IFERROR(Y293/H293,"0")+IFERROR(Y294/H294,"0")+IFERROR(Y295/H295,"0")</f>
        <v>0</v>
      </c>
      <c r="Z296" s="547">
        <f>IFERROR(IF(Z290="",0,Z290),"0")+IFERROR(IF(Z291="",0,Z291),"0")+IFERROR(IF(Z292="",0,Z292),"0")+IFERROR(IF(Z293="",0,Z293),"0")+IFERROR(IF(Z294="",0,Z294),"0")+IFERROR(IF(Z295="",0,Z295),"0")</f>
        <v>0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3" t="s">
        <v>76</v>
      </c>
      <c r="Q297" s="564"/>
      <c r="R297" s="564"/>
      <c r="S297" s="564"/>
      <c r="T297" s="564"/>
      <c r="U297" s="564"/>
      <c r="V297" s="565"/>
      <c r="W297" s="37" t="s">
        <v>70</v>
      </c>
      <c r="X297" s="547">
        <f>IFERROR(SUM(X290:X295),"0")</f>
        <v>0</v>
      </c>
      <c r="Y297" s="547">
        <f>IFERROR(SUM(Y290:Y295),"0")</f>
        <v>0</v>
      </c>
      <c r="Z297" s="37"/>
      <c r="AA297" s="548"/>
      <c r="AB297" s="548"/>
      <c r="AC297" s="548"/>
    </row>
    <row r="298" spans="1:68" ht="14.25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50</v>
      </c>
      <c r="Y300" s="546">
        <f t="shared" si="31"/>
        <v>50.400000000000006</v>
      </c>
      <c r="Z300" s="36">
        <f>IFERROR(IF(Y300=0,"",ROUNDUP(Y300/H300,0)*0.00902),"")</f>
        <v>0.10824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52.976190476190474</v>
      </c>
      <c r="BN300" s="64">
        <f t="shared" si="33"/>
        <v>53.400000000000006</v>
      </c>
      <c r="BO300" s="64">
        <f t="shared" si="34"/>
        <v>9.0187590187590191E-2</v>
      </c>
      <c r="BP300" s="64">
        <f t="shared" si="35"/>
        <v>9.0909090909090912E-2</v>
      </c>
    </row>
    <row r="301" spans="1:68" ht="27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6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0</v>
      </c>
      <c r="Y304" s="546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3" t="s">
        <v>76</v>
      </c>
      <c r="Q305" s="564"/>
      <c r="R305" s="564"/>
      <c r="S305" s="564"/>
      <c r="T305" s="564"/>
      <c r="U305" s="564"/>
      <c r="V305" s="565"/>
      <c r="W305" s="37" t="s">
        <v>77</v>
      </c>
      <c r="X305" s="547">
        <f>IFERROR(X299/H299,"0")+IFERROR(X300/H300,"0")+IFERROR(X301/H301,"0")+IFERROR(X302/H302,"0")+IFERROR(X303/H303,"0")+IFERROR(X304/H304,"0")</f>
        <v>11.904761904761905</v>
      </c>
      <c r="Y305" s="547">
        <f>IFERROR(Y299/H299,"0")+IFERROR(Y300/H300,"0")+IFERROR(Y301/H301,"0")+IFERROR(Y302/H302,"0")+IFERROR(Y303/H303,"0")+IFERROR(Y304/H304,"0")</f>
        <v>12</v>
      </c>
      <c r="Z305" s="547">
        <f>IFERROR(IF(Z299="",0,Z299),"0")+IFERROR(IF(Z300="",0,Z300),"0")+IFERROR(IF(Z301="",0,Z301),"0")+IFERROR(IF(Z302="",0,Z302),"0")+IFERROR(IF(Z303="",0,Z303),"0")+IFERROR(IF(Z304="",0,Z304),"0")</f>
        <v>0.10824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3" t="s">
        <v>76</v>
      </c>
      <c r="Q306" s="564"/>
      <c r="R306" s="564"/>
      <c r="S306" s="564"/>
      <c r="T306" s="564"/>
      <c r="U306" s="564"/>
      <c r="V306" s="565"/>
      <c r="W306" s="37" t="s">
        <v>70</v>
      </c>
      <c r="X306" s="547">
        <f>IFERROR(SUM(X299:X304),"0")</f>
        <v>50</v>
      </c>
      <c r="Y306" s="547">
        <f>IFERROR(SUM(Y299:Y304),"0")</f>
        <v>50.400000000000006</v>
      </c>
      <c r="Z306" s="37"/>
      <c r="AA306" s="548"/>
      <c r="AB306" s="548"/>
      <c r="AC306" s="548"/>
    </row>
    <row r="307" spans="1:68" ht="14.25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0</v>
      </c>
      <c r="Y308" s="546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3" t="s">
        <v>76</v>
      </c>
      <c r="Q312" s="564"/>
      <c r="R312" s="564"/>
      <c r="S312" s="564"/>
      <c r="T312" s="564"/>
      <c r="U312" s="564"/>
      <c r="V312" s="565"/>
      <c r="W312" s="37" t="s">
        <v>77</v>
      </c>
      <c r="X312" s="547">
        <f>IFERROR(X308/H308,"0")+IFERROR(X309/H309,"0")+IFERROR(X310/H310,"0")+IFERROR(X311/H311,"0")</f>
        <v>0</v>
      </c>
      <c r="Y312" s="547">
        <f>IFERROR(Y308/H308,"0")+IFERROR(Y309/H309,"0")+IFERROR(Y310/H310,"0")+IFERROR(Y311/H311,"0")</f>
        <v>0</v>
      </c>
      <c r="Z312" s="547">
        <f>IFERROR(IF(Z308="",0,Z308),"0")+IFERROR(IF(Z309="",0,Z309),"0")+IFERROR(IF(Z310="",0,Z310),"0")+IFERROR(IF(Z311="",0,Z311),"0")</f>
        <v>0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3" t="s">
        <v>76</v>
      </c>
      <c r="Q313" s="564"/>
      <c r="R313" s="564"/>
      <c r="S313" s="564"/>
      <c r="T313" s="564"/>
      <c r="U313" s="564"/>
      <c r="V313" s="565"/>
      <c r="W313" s="37" t="s">
        <v>70</v>
      </c>
      <c r="X313" s="547">
        <f>IFERROR(SUM(X308:X311),"0")</f>
        <v>0</v>
      </c>
      <c r="Y313" s="547">
        <f>IFERROR(SUM(Y308:Y311),"0")</f>
        <v>0</v>
      </c>
      <c r="Z313" s="37"/>
      <c r="AA313" s="548"/>
      <c r="AB313" s="548"/>
      <c r="AC313" s="548"/>
    </row>
    <row r="314" spans="1:68" ht="14.25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3" t="s">
        <v>76</v>
      </c>
      <c r="Q318" s="564"/>
      <c r="R318" s="564"/>
      <c r="S318" s="564"/>
      <c r="T318" s="564"/>
      <c r="U318" s="564"/>
      <c r="V318" s="565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3" t="s">
        <v>76</v>
      </c>
      <c r="Q319" s="564"/>
      <c r="R319" s="564"/>
      <c r="S319" s="564"/>
      <c r="T319" s="564"/>
      <c r="U319" s="564"/>
      <c r="V319" s="565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3" t="s">
        <v>76</v>
      </c>
      <c r="Q325" s="564"/>
      <c r="R325" s="564"/>
      <c r="S325" s="564"/>
      <c r="T325" s="564"/>
      <c r="U325" s="564"/>
      <c r="V325" s="565"/>
      <c r="W325" s="37" t="s">
        <v>77</v>
      </c>
      <c r="X325" s="547">
        <f>IFERROR(X321/H321,"0")+IFERROR(X322/H322,"0")+IFERROR(X323/H323,"0")+IFERROR(X324/H324,"0")</f>
        <v>0</v>
      </c>
      <c r="Y325" s="547">
        <f>IFERROR(Y321/H321,"0")+IFERROR(Y322/H322,"0")+IFERROR(Y323/H323,"0")+IFERROR(Y324/H324,"0")</f>
        <v>0</v>
      </c>
      <c r="Z325" s="547">
        <f>IFERROR(IF(Z321="",0,Z321),"0")+IFERROR(IF(Z322="",0,Z322),"0")+IFERROR(IF(Z323="",0,Z323),"0")+IFERROR(IF(Z324="",0,Z324),"0")</f>
        <v>0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3" t="s">
        <v>76</v>
      </c>
      <c r="Q326" s="564"/>
      <c r="R326" s="564"/>
      <c r="S326" s="564"/>
      <c r="T326" s="564"/>
      <c r="U326" s="564"/>
      <c r="V326" s="565"/>
      <c r="W326" s="37" t="s">
        <v>70</v>
      </c>
      <c r="X326" s="547">
        <f>IFERROR(SUM(X321:X324),"0")</f>
        <v>0</v>
      </c>
      <c r="Y326" s="547">
        <f>IFERROR(SUM(Y321:Y324),"0")</f>
        <v>0</v>
      </c>
      <c r="Z326" s="37"/>
      <c r="AA326" s="548"/>
      <c r="AB326" s="548"/>
      <c r="AC326" s="548"/>
    </row>
    <row r="327" spans="1:68" ht="14.25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3" t="s">
        <v>76</v>
      </c>
      <c r="Q331" s="564"/>
      <c r="R331" s="564"/>
      <c r="S331" s="564"/>
      <c r="T331" s="564"/>
      <c r="U331" s="564"/>
      <c r="V331" s="565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3" t="s">
        <v>76</v>
      </c>
      <c r="Q332" s="564"/>
      <c r="R332" s="564"/>
      <c r="S332" s="564"/>
      <c r="T332" s="564"/>
      <c r="U332" s="564"/>
      <c r="V332" s="565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customHeight="1" x14ac:dyDescent="0.25">
      <c r="A333" s="560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0</v>
      </c>
      <c r="Y336" s="54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0</v>
      </c>
      <c r="Y337" s="546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3" t="s">
        <v>76</v>
      </c>
      <c r="Q338" s="564"/>
      <c r="R338" s="564"/>
      <c r="S338" s="564"/>
      <c r="T338" s="564"/>
      <c r="U338" s="564"/>
      <c r="V338" s="565"/>
      <c r="W338" s="37" t="s">
        <v>77</v>
      </c>
      <c r="X338" s="547">
        <f>IFERROR(X335/H335,"0")+IFERROR(X336/H336,"0")+IFERROR(X337/H337,"0")</f>
        <v>0</v>
      </c>
      <c r="Y338" s="547">
        <f>IFERROR(Y335/H335,"0")+IFERROR(Y336/H336,"0")+IFERROR(Y337/H337,"0")</f>
        <v>0</v>
      </c>
      <c r="Z338" s="547">
        <f>IFERROR(IF(Z335="",0,Z335),"0")+IFERROR(IF(Z336="",0,Z336),"0")+IFERROR(IF(Z337="",0,Z337),"0")</f>
        <v>0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3" t="s">
        <v>76</v>
      </c>
      <c r="Q339" s="564"/>
      <c r="R339" s="564"/>
      <c r="S339" s="564"/>
      <c r="T339" s="564"/>
      <c r="U339" s="564"/>
      <c r="V339" s="565"/>
      <c r="W339" s="37" t="s">
        <v>70</v>
      </c>
      <c r="X339" s="547">
        <f>IFERROR(SUM(X335:X337),"0")</f>
        <v>0</v>
      </c>
      <c r="Y339" s="547">
        <f>IFERROR(SUM(Y335:Y337),"0")</f>
        <v>0</v>
      </c>
      <c r="Z339" s="37"/>
      <c r="AA339" s="548"/>
      <c r="AB339" s="548"/>
      <c r="AC339" s="548"/>
    </row>
    <row r="340" spans="1:68" ht="27.75" customHeight="1" x14ac:dyDescent="0.2">
      <c r="A340" s="567" t="s">
        <v>534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48"/>
      <c r="AB340" s="48"/>
      <c r="AC340" s="48"/>
    </row>
    <row r="341" spans="1:68" ht="16.5" customHeight="1" x14ac:dyDescent="0.25">
      <c r="A341" s="560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0</v>
      </c>
      <c r="Y343" s="546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0</v>
      </c>
      <c r="Y344" s="546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0</v>
      </c>
      <c r="Y346" s="546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3" t="s">
        <v>76</v>
      </c>
      <c r="Q350" s="564"/>
      <c r="R350" s="564"/>
      <c r="S350" s="564"/>
      <c r="T350" s="564"/>
      <c r="U350" s="564"/>
      <c r="V350" s="565"/>
      <c r="W350" s="37" t="s">
        <v>77</v>
      </c>
      <c r="X350" s="547">
        <f>IFERROR(X343/H343,"0")+IFERROR(X344/H344,"0")+IFERROR(X345/H345,"0")+IFERROR(X346/H346,"0")+IFERROR(X347/H347,"0")+IFERROR(X348/H348,"0")+IFERROR(X349/H349,"0")</f>
        <v>0</v>
      </c>
      <c r="Y350" s="547">
        <f>IFERROR(Y343/H343,"0")+IFERROR(Y344/H344,"0")+IFERROR(Y345/H345,"0")+IFERROR(Y346/H346,"0")+IFERROR(Y347/H347,"0")+IFERROR(Y348/H348,"0")+IFERROR(Y349/H349,"0")</f>
        <v>0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3" t="s">
        <v>76</v>
      </c>
      <c r="Q351" s="564"/>
      <c r="R351" s="564"/>
      <c r="S351" s="564"/>
      <c r="T351" s="564"/>
      <c r="U351" s="564"/>
      <c r="V351" s="565"/>
      <c r="W351" s="37" t="s">
        <v>70</v>
      </c>
      <c r="X351" s="547">
        <f>IFERROR(SUM(X343:X349),"0")</f>
        <v>0</v>
      </c>
      <c r="Y351" s="547">
        <f>IFERROR(SUM(Y343:Y349),"0")</f>
        <v>0</v>
      </c>
      <c r="Z351" s="37"/>
      <c r="AA351" s="548"/>
      <c r="AB351" s="548"/>
      <c r="AC351" s="548"/>
    </row>
    <row r="352" spans="1:68" ht="14.25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6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0</v>
      </c>
      <c r="Y353" s="546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0</v>
      </c>
      <c r="Y354" s="546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3" t="s">
        <v>76</v>
      </c>
      <c r="Q355" s="564"/>
      <c r="R355" s="564"/>
      <c r="S355" s="564"/>
      <c r="T355" s="564"/>
      <c r="U355" s="564"/>
      <c r="V355" s="565"/>
      <c r="W355" s="37" t="s">
        <v>77</v>
      </c>
      <c r="X355" s="547">
        <f>IFERROR(X353/H353,"0")+IFERROR(X354/H354,"0")</f>
        <v>0</v>
      </c>
      <c r="Y355" s="547">
        <f>IFERROR(Y353/H353,"0")+IFERROR(Y354/H354,"0")</f>
        <v>0</v>
      </c>
      <c r="Z355" s="547">
        <f>IFERROR(IF(Z353="",0,Z353),"0")+IFERROR(IF(Z354="",0,Z354),"0")</f>
        <v>0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3" t="s">
        <v>76</v>
      </c>
      <c r="Q356" s="564"/>
      <c r="R356" s="564"/>
      <c r="S356" s="564"/>
      <c r="T356" s="564"/>
      <c r="U356" s="564"/>
      <c r="V356" s="565"/>
      <c r="W356" s="37" t="s">
        <v>70</v>
      </c>
      <c r="X356" s="547">
        <f>IFERROR(SUM(X353:X354),"0")</f>
        <v>0</v>
      </c>
      <c r="Y356" s="547">
        <f>IFERROR(SUM(Y353:Y354),"0")</f>
        <v>0</v>
      </c>
      <c r="Z356" s="37"/>
      <c r="AA356" s="548"/>
      <c r="AB356" s="548"/>
      <c r="AC356" s="548"/>
    </row>
    <row r="357" spans="1:68" ht="14.25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3" t="s">
        <v>76</v>
      </c>
      <c r="Q360" s="564"/>
      <c r="R360" s="564"/>
      <c r="S360" s="564"/>
      <c r="T360" s="564"/>
      <c r="U360" s="564"/>
      <c r="V360" s="565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3" t="s">
        <v>76</v>
      </c>
      <c r="Q361" s="564"/>
      <c r="R361" s="564"/>
      <c r="S361" s="564"/>
      <c r="T361" s="564"/>
      <c r="U361" s="564"/>
      <c r="V361" s="565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3" t="s">
        <v>76</v>
      </c>
      <c r="Q364" s="564"/>
      <c r="R364" s="564"/>
      <c r="S364" s="564"/>
      <c r="T364" s="564"/>
      <c r="U364" s="564"/>
      <c r="V364" s="565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3" t="s">
        <v>76</v>
      </c>
      <c r="Q365" s="564"/>
      <c r="R365" s="564"/>
      <c r="S365" s="564"/>
      <c r="T365" s="564"/>
      <c r="U365" s="564"/>
      <c r="V365" s="565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customHeight="1" x14ac:dyDescent="0.25">
      <c r="A366" s="560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3" t="s">
        <v>76</v>
      </c>
      <c r="Q370" s="564"/>
      <c r="R370" s="564"/>
      <c r="S370" s="564"/>
      <c r="T370" s="564"/>
      <c r="U370" s="564"/>
      <c r="V370" s="565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3" t="s">
        <v>76</v>
      </c>
      <c r="Q371" s="564"/>
      <c r="R371" s="564"/>
      <c r="S371" s="564"/>
      <c r="T371" s="564"/>
      <c r="U371" s="564"/>
      <c r="V371" s="565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3" t="s">
        <v>76</v>
      </c>
      <c r="Q375" s="564"/>
      <c r="R375" s="564"/>
      <c r="S375" s="564"/>
      <c r="T375" s="564"/>
      <c r="U375" s="564"/>
      <c r="V375" s="565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3" t="s">
        <v>76</v>
      </c>
      <c r="Q376" s="564"/>
      <c r="R376" s="564"/>
      <c r="S376" s="564"/>
      <c r="T376" s="564"/>
      <c r="U376" s="564"/>
      <c r="V376" s="565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3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3" t="s">
        <v>76</v>
      </c>
      <c r="Q381" s="564"/>
      <c r="R381" s="564"/>
      <c r="S381" s="564"/>
      <c r="T381" s="564"/>
      <c r="U381" s="564"/>
      <c r="V381" s="565"/>
      <c r="W381" s="37" t="s">
        <v>77</v>
      </c>
      <c r="X381" s="547">
        <f>IFERROR(X378/H378,"0")+IFERROR(X379/H379,"0")+IFERROR(X380/H380,"0")</f>
        <v>0</v>
      </c>
      <c r="Y381" s="547">
        <f>IFERROR(Y378/H378,"0")+IFERROR(Y379/H379,"0")+IFERROR(Y380/H380,"0")</f>
        <v>0</v>
      </c>
      <c r="Z381" s="547">
        <f>IFERROR(IF(Z378="",0,Z378),"0")+IFERROR(IF(Z379="",0,Z379),"0")+IFERROR(IF(Z380="",0,Z380),"0")</f>
        <v>0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3" t="s">
        <v>76</v>
      </c>
      <c r="Q382" s="564"/>
      <c r="R382" s="564"/>
      <c r="S382" s="564"/>
      <c r="T382" s="564"/>
      <c r="U382" s="564"/>
      <c r="V382" s="565"/>
      <c r="W382" s="37" t="s">
        <v>70</v>
      </c>
      <c r="X382" s="547">
        <f>IFERROR(SUM(X378:X380),"0")</f>
        <v>0</v>
      </c>
      <c r="Y382" s="547">
        <f>IFERROR(SUM(Y378:Y380),"0")</f>
        <v>0</v>
      </c>
      <c r="Z382" s="37"/>
      <c r="AA382" s="548"/>
      <c r="AB382" s="548"/>
      <c r="AC382" s="548"/>
    </row>
    <row r="383" spans="1:68" ht="27.75" customHeight="1" x14ac:dyDescent="0.2">
      <c r="A383" s="567" t="s">
        <v>588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60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3" t="s">
        <v>76</v>
      </c>
      <c r="Q395" s="564"/>
      <c r="R395" s="564"/>
      <c r="S395" s="564"/>
      <c r="T395" s="564"/>
      <c r="U395" s="564"/>
      <c r="V395" s="565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3" t="s">
        <v>76</v>
      </c>
      <c r="Q396" s="564"/>
      <c r="R396" s="564"/>
      <c r="S396" s="564"/>
      <c r="T396" s="564"/>
      <c r="U396" s="564"/>
      <c r="V396" s="565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3" t="s">
        <v>76</v>
      </c>
      <c r="Q400" s="564"/>
      <c r="R400" s="564"/>
      <c r="S400" s="564"/>
      <c r="T400" s="564"/>
      <c r="U400" s="564"/>
      <c r="V400" s="565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3" t="s">
        <v>76</v>
      </c>
      <c r="Q401" s="564"/>
      <c r="R401" s="564"/>
      <c r="S401" s="564"/>
      <c r="T401" s="564"/>
      <c r="U401" s="564"/>
      <c r="V401" s="565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customHeight="1" x14ac:dyDescent="0.25">
      <c r="A402" s="560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3" t="s">
        <v>76</v>
      </c>
      <c r="Q405" s="564"/>
      <c r="R405" s="564"/>
      <c r="S405" s="564"/>
      <c r="T405" s="564"/>
      <c r="U405" s="564"/>
      <c r="V405" s="565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3" t="s">
        <v>76</v>
      </c>
      <c r="Q406" s="564"/>
      <c r="R406" s="564"/>
      <c r="S406" s="564"/>
      <c r="T406" s="564"/>
      <c r="U406" s="564"/>
      <c r="V406" s="565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79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3" t="s">
        <v>76</v>
      </c>
      <c r="Q412" s="564"/>
      <c r="R412" s="564"/>
      <c r="S412" s="564"/>
      <c r="T412" s="564"/>
      <c r="U412" s="564"/>
      <c r="V412" s="565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3" t="s">
        <v>76</v>
      </c>
      <c r="Q413" s="564"/>
      <c r="R413" s="564"/>
      <c r="S413" s="564"/>
      <c r="T413" s="564"/>
      <c r="U413" s="564"/>
      <c r="V413" s="565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customHeight="1" x14ac:dyDescent="0.25">
      <c r="A414" s="560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3" t="s">
        <v>76</v>
      </c>
      <c r="Q417" s="564"/>
      <c r="R417" s="564"/>
      <c r="S417" s="564"/>
      <c r="T417" s="564"/>
      <c r="U417" s="564"/>
      <c r="V417" s="565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3" t="s">
        <v>76</v>
      </c>
      <c r="Q418" s="564"/>
      <c r="R418" s="564"/>
      <c r="S418" s="564"/>
      <c r="T418" s="564"/>
      <c r="U418" s="564"/>
      <c r="V418" s="565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customHeight="1" x14ac:dyDescent="0.2">
      <c r="A419" s="567" t="s">
        <v>639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60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69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40</v>
      </c>
      <c r="Y422" s="546">
        <f t="shared" ref="Y422:Y433" si="47">IFERROR(IF(X422="",0,CEILING((X422/$H422),1)*$H422),"")</f>
        <v>42.24</v>
      </c>
      <c r="Z422" s="36">
        <f t="shared" ref="Z422:Z428" si="48">IFERROR(IF(Y422=0,"",ROUNDUP(Y422/H422,0)*0.01196),"")</f>
        <v>9.5680000000000001E-2</v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42.651515151515149</v>
      </c>
      <c r="BN422" s="64">
        <f t="shared" ref="BN422:BN433" si="50">IFERROR(Y422*I422/H422,"0")</f>
        <v>45.04</v>
      </c>
      <c r="BO422" s="64">
        <f t="shared" ref="BO422:BO433" si="51">IFERROR(1/J422*(X422/H422),"0")</f>
        <v>7.2843822843822847E-2</v>
      </c>
      <c r="BP422" s="64">
        <f t="shared" ref="BP422:BP433" si="52">IFERROR(1/J422*(Y422/H422),"0")</f>
        <v>7.6923076923076927E-2</v>
      </c>
    </row>
    <row r="423" spans="1:68" ht="27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65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7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40</v>
      </c>
      <c r="Y428" s="546">
        <f t="shared" si="47"/>
        <v>42.24</v>
      </c>
      <c r="Z428" s="36">
        <f t="shared" si="48"/>
        <v>9.5680000000000001E-2</v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42.651515151515149</v>
      </c>
      <c r="BN428" s="64">
        <f t="shared" si="50"/>
        <v>45.04</v>
      </c>
      <c r="BO428" s="64">
        <f t="shared" si="51"/>
        <v>7.2843822843822847E-2</v>
      </c>
      <c r="BP428" s="64">
        <f t="shared" si="52"/>
        <v>7.6923076923076927E-2</v>
      </c>
    </row>
    <row r="429" spans="1:68" ht="27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8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3" t="s">
        <v>76</v>
      </c>
      <c r="Q434" s="564"/>
      <c r="R434" s="564"/>
      <c r="S434" s="564"/>
      <c r="T434" s="564"/>
      <c r="U434" s="564"/>
      <c r="V434" s="565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15.15151515151515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16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0.19136</v>
      </c>
      <c r="AA434" s="548"/>
      <c r="AB434" s="548"/>
      <c r="AC434" s="548"/>
    </row>
    <row r="435" spans="1:68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3" t="s">
        <v>76</v>
      </c>
      <c r="Q435" s="564"/>
      <c r="R435" s="564"/>
      <c r="S435" s="564"/>
      <c r="T435" s="564"/>
      <c r="U435" s="564"/>
      <c r="V435" s="565"/>
      <c r="W435" s="37" t="s">
        <v>70</v>
      </c>
      <c r="X435" s="547">
        <f>IFERROR(SUM(X422:X433),"0")</f>
        <v>80</v>
      </c>
      <c r="Y435" s="547">
        <f>IFERROR(SUM(Y422:Y433),"0")</f>
        <v>84.48</v>
      </c>
      <c r="Z435" s="37"/>
      <c r="AA435" s="548"/>
      <c r="AB435" s="548"/>
      <c r="AC435" s="548"/>
    </row>
    <row r="436" spans="1:68" ht="14.25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40</v>
      </c>
      <c r="Y437" s="546">
        <f>IFERROR(IF(X437="",0,CEILING((X437/$H437),1)*$H437),"")</f>
        <v>42.24</v>
      </c>
      <c r="Z437" s="36">
        <f>IFERROR(IF(Y437=0,"",ROUNDUP(Y437/H437,0)*0.01196),"")</f>
        <v>9.5680000000000001E-2</v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42.651515151515149</v>
      </c>
      <c r="BN437" s="64">
        <f>IFERROR(Y437*I437/H437,"0")</f>
        <v>45.04</v>
      </c>
      <c r="BO437" s="64">
        <f>IFERROR(1/J437*(X437/H437),"0")</f>
        <v>7.2843822843822847E-2</v>
      </c>
      <c r="BP437" s="64">
        <f>IFERROR(1/J437*(Y437/H437),"0")</f>
        <v>7.6923076923076927E-2</v>
      </c>
    </row>
    <row r="438" spans="1:68" ht="16.5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3" t="s">
        <v>76</v>
      </c>
      <c r="Q440" s="564"/>
      <c r="R440" s="564"/>
      <c r="S440" s="564"/>
      <c r="T440" s="564"/>
      <c r="U440" s="564"/>
      <c r="V440" s="565"/>
      <c r="W440" s="37" t="s">
        <v>77</v>
      </c>
      <c r="X440" s="547">
        <f>IFERROR(X437/H437,"0")+IFERROR(X438/H438,"0")+IFERROR(X439/H439,"0")</f>
        <v>7.5757575757575752</v>
      </c>
      <c r="Y440" s="547">
        <f>IFERROR(Y437/H437,"0")+IFERROR(Y438/H438,"0")+IFERROR(Y439/H439,"0")</f>
        <v>8</v>
      </c>
      <c r="Z440" s="547">
        <f>IFERROR(IF(Z437="",0,Z437),"0")+IFERROR(IF(Z438="",0,Z438),"0")+IFERROR(IF(Z439="",0,Z439),"0")</f>
        <v>9.5680000000000001E-2</v>
      </c>
      <c r="AA440" s="548"/>
      <c r="AB440" s="548"/>
      <c r="AC440" s="548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3" t="s">
        <v>76</v>
      </c>
      <c r="Q441" s="564"/>
      <c r="R441" s="564"/>
      <c r="S441" s="564"/>
      <c r="T441" s="564"/>
      <c r="U441" s="564"/>
      <c r="V441" s="565"/>
      <c r="W441" s="37" t="s">
        <v>70</v>
      </c>
      <c r="X441" s="547">
        <f>IFERROR(SUM(X437:X439),"0")</f>
        <v>40</v>
      </c>
      <c r="Y441" s="547">
        <f>IFERROR(SUM(Y437:Y439),"0")</f>
        <v>42.24</v>
      </c>
      <c r="Z441" s="37"/>
      <c r="AA441" s="548"/>
      <c r="AB441" s="548"/>
      <c r="AC441" s="548"/>
    </row>
    <row r="442" spans="1:68" ht="14.25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20</v>
      </c>
      <c r="Y444" s="546">
        <f t="shared" si="53"/>
        <v>21.12</v>
      </c>
      <c r="Z444" s="36">
        <f>IFERROR(IF(Y444=0,"",ROUNDUP(Y444/H444,0)*0.01196),"")</f>
        <v>4.7840000000000001E-2</v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21.325757575757574</v>
      </c>
      <c r="BN444" s="64">
        <f t="shared" si="55"/>
        <v>22.52</v>
      </c>
      <c r="BO444" s="64">
        <f t="shared" si="56"/>
        <v>3.6421911421911424E-2</v>
      </c>
      <c r="BP444" s="64">
        <f t="shared" si="57"/>
        <v>3.8461538461538464E-2</v>
      </c>
    </row>
    <row r="445" spans="1:68" ht="27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20</v>
      </c>
      <c r="Y445" s="546">
        <f t="shared" si="53"/>
        <v>21.12</v>
      </c>
      <c r="Z445" s="36">
        <f>IFERROR(IF(Y445=0,"",ROUNDUP(Y445/H445,0)*0.01196),"")</f>
        <v>4.7840000000000001E-2</v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21.325757575757574</v>
      </c>
      <c r="BN445" s="64">
        <f t="shared" si="55"/>
        <v>22.52</v>
      </c>
      <c r="BO445" s="64">
        <f t="shared" si="56"/>
        <v>3.6421911421911424E-2</v>
      </c>
      <c r="BP445" s="64">
        <f t="shared" si="57"/>
        <v>3.8461538461538464E-2</v>
      </c>
    </row>
    <row r="446" spans="1:68" ht="27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3" t="s">
        <v>76</v>
      </c>
      <c r="Q449" s="564"/>
      <c r="R449" s="564"/>
      <c r="S449" s="564"/>
      <c r="T449" s="564"/>
      <c r="U449" s="564"/>
      <c r="V449" s="565"/>
      <c r="W449" s="37" t="s">
        <v>77</v>
      </c>
      <c r="X449" s="547">
        <f>IFERROR(X443/H443,"0")+IFERROR(X444/H444,"0")+IFERROR(X445/H445,"0")+IFERROR(X446/H446,"0")+IFERROR(X447/H447,"0")+IFERROR(X448/H448,"0")</f>
        <v>7.5757575757575752</v>
      </c>
      <c r="Y449" s="547">
        <f>IFERROR(Y443/H443,"0")+IFERROR(Y444/H444,"0")+IFERROR(Y445/H445,"0")+IFERROR(Y446/H446,"0")+IFERROR(Y447/H447,"0")+IFERROR(Y448/H448,"0")</f>
        <v>8</v>
      </c>
      <c r="Z449" s="547">
        <f>IFERROR(IF(Z443="",0,Z443),"0")+IFERROR(IF(Z444="",0,Z444),"0")+IFERROR(IF(Z445="",0,Z445),"0")+IFERROR(IF(Z446="",0,Z446),"0")+IFERROR(IF(Z447="",0,Z447),"0")+IFERROR(IF(Z448="",0,Z448),"0")</f>
        <v>9.5680000000000001E-2</v>
      </c>
      <c r="AA449" s="548"/>
      <c r="AB449" s="548"/>
      <c r="AC449" s="548"/>
    </row>
    <row r="450" spans="1:68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3" t="s">
        <v>76</v>
      </c>
      <c r="Q450" s="564"/>
      <c r="R450" s="564"/>
      <c r="S450" s="564"/>
      <c r="T450" s="564"/>
      <c r="U450" s="564"/>
      <c r="V450" s="565"/>
      <c r="W450" s="37" t="s">
        <v>70</v>
      </c>
      <c r="X450" s="547">
        <f>IFERROR(SUM(X443:X448),"0")</f>
        <v>40</v>
      </c>
      <c r="Y450" s="547">
        <f>IFERROR(SUM(Y443:Y448),"0")</f>
        <v>42.24</v>
      </c>
      <c r="Z450" s="37"/>
      <c r="AA450" s="548"/>
      <c r="AB450" s="548"/>
      <c r="AC450" s="548"/>
    </row>
    <row r="451" spans="1:68" ht="14.25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3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3" t="s">
        <v>76</v>
      </c>
      <c r="Q455" s="564"/>
      <c r="R455" s="564"/>
      <c r="S455" s="564"/>
      <c r="T455" s="564"/>
      <c r="U455" s="564"/>
      <c r="V455" s="565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3" t="s">
        <v>76</v>
      </c>
      <c r="Q456" s="564"/>
      <c r="R456" s="564"/>
      <c r="S456" s="564"/>
      <c r="T456" s="564"/>
      <c r="U456" s="564"/>
      <c r="V456" s="565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customHeight="1" x14ac:dyDescent="0.2">
      <c r="A457" s="567" t="s">
        <v>702</v>
      </c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68"/>
      <c r="P457" s="568"/>
      <c r="Q457" s="568"/>
      <c r="R457" s="568"/>
      <c r="S457" s="568"/>
      <c r="T457" s="568"/>
      <c r="U457" s="568"/>
      <c r="V457" s="568"/>
      <c r="W457" s="568"/>
      <c r="X457" s="568"/>
      <c r="Y457" s="568"/>
      <c r="Z457" s="568"/>
      <c r="AA457" s="48"/>
      <c r="AB457" s="48"/>
      <c r="AC457" s="48"/>
    </row>
    <row r="458" spans="1:68" ht="16.5" customHeight="1" x14ac:dyDescent="0.25">
      <c r="A458" s="560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8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3" t="s">
        <v>76</v>
      </c>
      <c r="Q464" s="564"/>
      <c r="R464" s="564"/>
      <c r="S464" s="564"/>
      <c r="T464" s="564"/>
      <c r="U464" s="564"/>
      <c r="V464" s="565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3" t="s">
        <v>76</v>
      </c>
      <c r="Q465" s="564"/>
      <c r="R465" s="564"/>
      <c r="S465" s="564"/>
      <c r="T465" s="564"/>
      <c r="U465" s="564"/>
      <c r="V465" s="565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3" t="s">
        <v>76</v>
      </c>
      <c r="Q470" s="564"/>
      <c r="R470" s="564"/>
      <c r="S470" s="564"/>
      <c r="T470" s="564"/>
      <c r="U470" s="564"/>
      <c r="V470" s="565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3" t="s">
        <v>76</v>
      </c>
      <c r="Q471" s="564"/>
      <c r="R471" s="564"/>
      <c r="S471" s="564"/>
      <c r="T471" s="564"/>
      <c r="U471" s="564"/>
      <c r="V471" s="565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2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40</v>
      </c>
      <c r="Y473" s="546">
        <f>IFERROR(IF(X473="",0,CEILING((X473/$H473),1)*$H473),"")</f>
        <v>42</v>
      </c>
      <c r="Z473" s="36">
        <f>IFERROR(IF(Y473=0,"",ROUNDUP(Y473/H473,0)*0.00902),"")</f>
        <v>9.0200000000000002E-2</v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42.38095238095238</v>
      </c>
      <c r="BN473" s="64">
        <f>IFERROR(Y473*I473/H473,"0")</f>
        <v>44.5</v>
      </c>
      <c r="BO473" s="64">
        <f>IFERROR(1/J473*(X473/H473),"0")</f>
        <v>7.2150072150072145E-2</v>
      </c>
      <c r="BP473" s="64">
        <f>IFERROR(1/J473*(Y473/H473),"0")</f>
        <v>7.575757575757576E-2</v>
      </c>
    </row>
    <row r="474" spans="1:68" ht="27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40</v>
      </c>
      <c r="Y474" s="546">
        <f>IFERROR(IF(X474="",0,CEILING((X474/$H474),1)*$H474),"")</f>
        <v>42</v>
      </c>
      <c r="Z474" s="36">
        <f>IFERROR(IF(Y474=0,"",ROUNDUP(Y474/H474,0)*0.00902),"")</f>
        <v>9.0200000000000002E-2</v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42.38095238095238</v>
      </c>
      <c r="BN474" s="64">
        <f>IFERROR(Y474*I474/H474,"0")</f>
        <v>44.5</v>
      </c>
      <c r="BO474" s="64">
        <f>IFERROR(1/J474*(X474/H474),"0")</f>
        <v>7.2150072150072145E-2</v>
      </c>
      <c r="BP474" s="64">
        <f>IFERROR(1/J474*(Y474/H474),"0")</f>
        <v>7.575757575757576E-2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3" t="s">
        <v>76</v>
      </c>
      <c r="Q475" s="564"/>
      <c r="R475" s="564"/>
      <c r="S475" s="564"/>
      <c r="T475" s="564"/>
      <c r="U475" s="564"/>
      <c r="V475" s="565"/>
      <c r="W475" s="37" t="s">
        <v>77</v>
      </c>
      <c r="X475" s="547">
        <f>IFERROR(X473/H473,"0")+IFERROR(X474/H474,"0")</f>
        <v>19.047619047619047</v>
      </c>
      <c r="Y475" s="547">
        <f>IFERROR(Y473/H473,"0")+IFERROR(Y474/H474,"0")</f>
        <v>20</v>
      </c>
      <c r="Z475" s="547">
        <f>IFERROR(IF(Z473="",0,Z473),"0")+IFERROR(IF(Z474="",0,Z474),"0")</f>
        <v>0.1804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3" t="s">
        <v>76</v>
      </c>
      <c r="Q476" s="564"/>
      <c r="R476" s="564"/>
      <c r="S476" s="564"/>
      <c r="T476" s="564"/>
      <c r="U476" s="564"/>
      <c r="V476" s="565"/>
      <c r="W476" s="37" t="s">
        <v>70</v>
      </c>
      <c r="X476" s="547">
        <f>IFERROR(SUM(X473:X474),"0")</f>
        <v>80</v>
      </c>
      <c r="Y476" s="547">
        <f>IFERROR(SUM(Y473:Y474),"0")</f>
        <v>84</v>
      </c>
      <c r="Z476" s="37"/>
      <c r="AA476" s="548"/>
      <c r="AB476" s="548"/>
      <c r="AC476" s="548"/>
    </row>
    <row r="477" spans="1:68" ht="14.25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3" t="s">
        <v>76</v>
      </c>
      <c r="Q479" s="564"/>
      <c r="R479" s="564"/>
      <c r="S479" s="564"/>
      <c r="T479" s="564"/>
      <c r="U479" s="564"/>
      <c r="V479" s="565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3" t="s">
        <v>76</v>
      </c>
      <c r="Q480" s="564"/>
      <c r="R480" s="564"/>
      <c r="S480" s="564"/>
      <c r="T480" s="564"/>
      <c r="U480" s="564"/>
      <c r="V480" s="565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3" t="s">
        <v>76</v>
      </c>
      <c r="Q484" s="564"/>
      <c r="R484" s="564"/>
      <c r="S484" s="564"/>
      <c r="T484" s="564"/>
      <c r="U484" s="564"/>
      <c r="V484" s="565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3" t="s">
        <v>76</v>
      </c>
      <c r="Q485" s="564"/>
      <c r="R485" s="564"/>
      <c r="S485" s="564"/>
      <c r="T485" s="564"/>
      <c r="U485" s="564"/>
      <c r="V485" s="565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60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3" t="s">
        <v>76</v>
      </c>
      <c r="Q489" s="564"/>
      <c r="R489" s="564"/>
      <c r="S489" s="564"/>
      <c r="T489" s="564"/>
      <c r="U489" s="564"/>
      <c r="V489" s="565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3" t="s">
        <v>76</v>
      </c>
      <c r="Q490" s="564"/>
      <c r="R490" s="564"/>
      <c r="S490" s="564"/>
      <c r="T490" s="564"/>
      <c r="U490" s="564"/>
      <c r="V490" s="565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2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86" t="s">
        <v>742</v>
      </c>
      <c r="Q491" s="672"/>
      <c r="R491" s="672"/>
      <c r="S491" s="672"/>
      <c r="T491" s="672"/>
      <c r="U491" s="672"/>
      <c r="V491" s="673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360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384.36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86" t="s">
        <v>743</v>
      </c>
      <c r="Q492" s="672"/>
      <c r="R492" s="672"/>
      <c r="S492" s="672"/>
      <c r="T492" s="672"/>
      <c r="U492" s="672"/>
      <c r="V492" s="673"/>
      <c r="W492" s="37" t="s">
        <v>70</v>
      </c>
      <c r="X492" s="547">
        <f>IFERROR(SUM(BM22:BM488),"0")</f>
        <v>381.48674843674848</v>
      </c>
      <c r="Y492" s="547">
        <f>IFERROR(SUM(BN22:BN488),"0")</f>
        <v>407.28999999999996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86" t="s">
        <v>744</v>
      </c>
      <c r="Q493" s="672"/>
      <c r="R493" s="672"/>
      <c r="S493" s="672"/>
      <c r="T493" s="672"/>
      <c r="U493" s="672"/>
      <c r="V493" s="673"/>
      <c r="W493" s="37" t="s">
        <v>745</v>
      </c>
      <c r="X493" s="38">
        <f>ROUNDUP(SUM(BO22:BO488),0)</f>
        <v>1</v>
      </c>
      <c r="Y493" s="38">
        <f>ROUNDUP(SUM(BP22:BP488),0)</f>
        <v>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7"/>
      <c r="P494" s="686" t="s">
        <v>746</v>
      </c>
      <c r="Q494" s="672"/>
      <c r="R494" s="672"/>
      <c r="S494" s="672"/>
      <c r="T494" s="672"/>
      <c r="U494" s="672"/>
      <c r="V494" s="673"/>
      <c r="W494" s="37" t="s">
        <v>70</v>
      </c>
      <c r="X494" s="547">
        <f>GrossWeightTotal+PalletQtyTotal*25</f>
        <v>406.48674843674848</v>
      </c>
      <c r="Y494" s="547">
        <f>GrossWeightTotalR+PalletQtyTotalR*25</f>
        <v>432.28999999999996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7"/>
      <c r="P495" s="686" t="s">
        <v>747</v>
      </c>
      <c r="Q495" s="672"/>
      <c r="R495" s="672"/>
      <c r="S495" s="672"/>
      <c r="T495" s="672"/>
      <c r="U495" s="672"/>
      <c r="V495" s="673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68.107263107263108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72</v>
      </c>
      <c r="Z495" s="37"/>
      <c r="AA495" s="548"/>
      <c r="AB495" s="548"/>
      <c r="AC495" s="548"/>
    </row>
    <row r="496" spans="1:68" ht="14.25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7"/>
      <c r="P496" s="686" t="s">
        <v>748</v>
      </c>
      <c r="Q496" s="672"/>
      <c r="R496" s="672"/>
      <c r="S496" s="672"/>
      <c r="T496" s="672"/>
      <c r="U496" s="672"/>
      <c r="V496" s="673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0.82319999999999993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3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4"/>
      <c r="B500" s="593"/>
      <c r="C500" s="593"/>
      <c r="D500" s="593"/>
      <c r="E500" s="593"/>
      <c r="F500" s="593"/>
      <c r="G500" s="593"/>
      <c r="H500" s="593"/>
      <c r="I500" s="593"/>
      <c r="J500" s="593"/>
      <c r="K500" s="593"/>
      <c r="L500" s="593"/>
      <c r="M500" s="593"/>
      <c r="N500" s="543"/>
      <c r="O500" s="593"/>
      <c r="P500" s="593"/>
      <c r="Q500" s="593"/>
      <c r="R500" s="593"/>
      <c r="S500" s="593"/>
      <c r="T500" s="593"/>
      <c r="U500" s="593"/>
      <c r="V500" s="593"/>
      <c r="W500" s="593"/>
      <c r="X500" s="593"/>
      <c r="Y500" s="593"/>
      <c r="Z500" s="593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1" s="46">
        <f>IFERROR(Y86*1,"0")+IFERROR(Y87*1,"0")+IFERROR(Y88*1,"0")+IFERROR(Y92*1,"0")+IFERROR(Y93*1,"0")+IFERROR(Y94*1,"0")+IFERROR(Y95*1,"0")</f>
        <v>0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1" s="46">
        <f>IFERROR(Y125*1,"0")+IFERROR(Y126*1,"0")+IFERROR(Y130*1,"0")+IFERROR(Y131*1,"0")+IFERROR(Y135*1,"0")+IFERROR(Y136*1,"0")</f>
        <v>0</v>
      </c>
      <c r="H501" s="46">
        <f>IFERROR(Y141*1,"0")+IFERROR(Y142*1,"0")+IFERROR(Y146*1,"0")+IFERROR(Y147*1,"0")+IFERROR(Y148*1,"0")+IFERROR(Y152*1,"0")</f>
        <v>27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54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1" s="46">
        <f>IFERROR(Y255*1,"0")+IFERROR(Y256*1,"0")+IFERROR(Y257*1,"0")+IFERROR(Y258*1,"0")+IFERROR(Y259*1,"0")</f>
        <v>0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50.400000000000006</v>
      </c>
      <c r="R501" s="46">
        <f>IFERROR(Y335*1,"0")+IFERROR(Y336*1,"0")+IFERROR(Y337*1,"0")</f>
        <v>0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501" s="46">
        <f>IFERROR(Y368*1,"0")+IFERROR(Y369*1,"0")+IFERROR(Y373*1,"0")+IFERROR(Y374*1,"0")+IFERROR(Y378*1,"0")+IFERROR(Y379*1,"0")+IFERROR(Y380*1,"0")</f>
        <v>0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168.96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84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P196:T196"/>
    <mergeCell ref="A185:Z185"/>
    <mergeCell ref="P287:V287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A340:Z340"/>
    <mergeCell ref="D425:E425"/>
    <mergeCell ref="D359:E359"/>
    <mergeCell ref="A486:Z486"/>
    <mergeCell ref="J9:M9"/>
    <mergeCell ref="A296:O297"/>
    <mergeCell ref="D348:E348"/>
    <mergeCell ref="P141:T141"/>
    <mergeCell ref="D62:E62"/>
    <mergeCell ref="D56:E56"/>
    <mergeCell ref="P448:T448"/>
    <mergeCell ref="P233:T233"/>
    <mergeCell ref="D347:E347"/>
    <mergeCell ref="P304:T304"/>
    <mergeCell ref="D285:E285"/>
    <mergeCell ref="D176:E176"/>
    <mergeCell ref="D114:E114"/>
    <mergeCell ref="P248:T248"/>
    <mergeCell ref="D349:E349"/>
    <mergeCell ref="H17:H18"/>
    <mergeCell ref="P388:T388"/>
    <mergeCell ref="D198:E198"/>
    <mergeCell ref="P275:V275"/>
    <mergeCell ref="P104:V104"/>
    <mergeCell ref="D427:E427"/>
    <mergeCell ref="P27:T27"/>
    <mergeCell ref="D75:E75"/>
    <mergeCell ref="P390:T390"/>
    <mergeCell ref="D61:E61"/>
    <mergeCell ref="A15:M15"/>
    <mergeCell ref="P238:T238"/>
    <mergeCell ref="D346:E346"/>
    <mergeCell ref="P229:T229"/>
    <mergeCell ref="A419:Z419"/>
    <mergeCell ref="A153:O154"/>
    <mergeCell ref="D125:E125"/>
    <mergeCell ref="P446:T446"/>
    <mergeCell ref="A66:Z66"/>
    <mergeCell ref="D181:E181"/>
    <mergeCell ref="A221:O222"/>
    <mergeCell ref="A286:O287"/>
    <mergeCell ref="D273:E273"/>
    <mergeCell ref="P252:V252"/>
    <mergeCell ref="P105:V105"/>
    <mergeCell ref="P212:T212"/>
    <mergeCell ref="D177:E177"/>
    <mergeCell ref="N17:N18"/>
    <mergeCell ref="X17:X18"/>
    <mergeCell ref="P216:V216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P484:V484"/>
    <mergeCell ref="P43:T43"/>
    <mergeCell ref="D328:E328"/>
    <mergeCell ref="P285:T285"/>
    <mergeCell ref="P65:V65"/>
    <mergeCell ref="P434:V434"/>
    <mergeCell ref="A253:Z25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F9:G9"/>
    <mergeCell ref="P53:T53"/>
    <mergeCell ref="D167:E167"/>
    <mergeCell ref="P422:T422"/>
    <mergeCell ref="D232:E232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D52:E52"/>
    <mergeCell ref="P110:V110"/>
    <mergeCell ref="D27:E2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Q12:R12"/>
    <mergeCell ref="P411:T411"/>
    <mergeCell ref="P467:T467"/>
    <mergeCell ref="D388:E388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P15:T16"/>
    <mergeCell ref="A132:O133"/>
    <mergeCell ref="A325:O326"/>
    <mergeCell ref="D116:E116"/>
    <mergeCell ref="A275:O276"/>
    <mergeCell ref="P219:T219"/>
    <mergeCell ref="D162:E162"/>
    <mergeCell ref="P23:T23"/>
    <mergeCell ref="Q9:R9"/>
    <mergeCell ref="D255:E255"/>
    <mergeCell ref="P49:V49"/>
    <mergeCell ref="P36:V36"/>
    <mergeCell ref="P465:V465"/>
    <mergeCell ref="D322:E322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A459:Z459"/>
    <mergeCell ref="P378:T378"/>
    <mergeCell ref="D324:E324"/>
    <mergeCell ref="D311:E311"/>
    <mergeCell ref="D115:E115"/>
    <mergeCell ref="P55:T55"/>
    <mergeCell ref="P417:V417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A26:Z26"/>
    <mergeCell ref="P230:T230"/>
    <mergeCell ref="P59:V59"/>
    <mergeCell ref="D211:E211"/>
    <mergeCell ref="P168:T168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A32:O33"/>
    <mergeCell ref="D290:E290"/>
    <mergeCell ref="D94:E94"/>
    <mergeCell ref="P396:V396"/>
    <mergeCell ref="A395:O396"/>
    <mergeCell ref="P259:T259"/>
    <mergeCell ref="P148:T148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D369:E369"/>
    <mergeCell ref="A182:O183"/>
    <mergeCell ref="P52:T52"/>
    <mergeCell ref="D108:E10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W17:W18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45:V45"/>
    <mergeCell ref="P266:T266"/>
    <mergeCell ref="P95:T95"/>
    <mergeCell ref="P182:V182"/>
    <mergeCell ref="D303:E303"/>
    <mergeCell ref="P453:T453"/>
    <mergeCell ref="P42:T42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A34:Z34"/>
    <mergeCell ref="D410:E410"/>
    <mergeCell ref="A270:Z270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391:T39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2025-12-09T07:55:24Z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