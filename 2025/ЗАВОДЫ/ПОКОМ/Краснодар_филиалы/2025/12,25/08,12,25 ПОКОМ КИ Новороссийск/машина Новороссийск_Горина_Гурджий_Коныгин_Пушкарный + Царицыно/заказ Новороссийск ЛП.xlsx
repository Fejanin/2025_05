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8,12,25 ПОКОМ КИ Новороссийск\"/>
    </mc:Choice>
  </mc:AlternateContent>
  <xr:revisionPtr revIDLastSave="0" documentId="13_ncr:1_{AC54639A-25A6-4EFC-9F1C-541520485B6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Y178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Y172" i="1" s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Y127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Y118" i="1" s="1"/>
  <c r="P114" i="1"/>
  <c r="BP113" i="1"/>
  <c r="BO113" i="1"/>
  <c r="BN113" i="1"/>
  <c r="BM113" i="1"/>
  <c r="Z113" i="1"/>
  <c r="Y113" i="1"/>
  <c r="P113" i="1"/>
  <c r="X111" i="1"/>
  <c r="Y110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BP92" i="1"/>
  <c r="BO92" i="1"/>
  <c r="BN92" i="1"/>
  <c r="BM92" i="1"/>
  <c r="Z92" i="1"/>
  <c r="Y92" i="1"/>
  <c r="P92" i="1"/>
  <c r="X90" i="1"/>
  <c r="Y89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H10" i="1"/>
  <c r="A9" i="1"/>
  <c r="A10" i="1" s="1"/>
  <c r="D7" i="1"/>
  <c r="Q6" i="1"/>
  <c r="P2" i="1"/>
  <c r="F9" i="1" l="1"/>
  <c r="J9" i="1"/>
  <c r="F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Z64" i="1" s="1"/>
  <c r="BN62" i="1"/>
  <c r="BP62" i="1"/>
  <c r="Y71" i="1"/>
  <c r="Y70" i="1"/>
  <c r="BP74" i="1"/>
  <c r="BN74" i="1"/>
  <c r="Z74" i="1"/>
  <c r="BP87" i="1"/>
  <c r="BN87" i="1"/>
  <c r="Z87" i="1"/>
  <c r="Z89" i="1" s="1"/>
  <c r="Y96" i="1"/>
  <c r="BP95" i="1"/>
  <c r="BN95" i="1"/>
  <c r="Z95" i="1"/>
  <c r="F501" i="1"/>
  <c r="Y105" i="1"/>
  <c r="BP100" i="1"/>
  <c r="BN100" i="1"/>
  <c r="Z100" i="1"/>
  <c r="Y104" i="1"/>
  <c r="BP108" i="1"/>
  <c r="BN108" i="1"/>
  <c r="Z108" i="1"/>
  <c r="Z110" i="1" s="1"/>
  <c r="Y117" i="1"/>
  <c r="BP116" i="1"/>
  <c r="BN116" i="1"/>
  <c r="Z116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Y132" i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Z178" i="1"/>
  <c r="BP176" i="1"/>
  <c r="BN176" i="1"/>
  <c r="Z176" i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D501" i="1"/>
  <c r="H9" i="1"/>
  <c r="Y45" i="1"/>
  <c r="Y491" i="1" s="1"/>
  <c r="BP68" i="1"/>
  <c r="Y493" i="1" s="1"/>
  <c r="BN68" i="1"/>
  <c r="Z68" i="1"/>
  <c r="Z70" i="1" s="1"/>
  <c r="BP76" i="1"/>
  <c r="BN76" i="1"/>
  <c r="Y492" i="1" s="1"/>
  <c r="Y494" i="1" s="1"/>
  <c r="Z76" i="1"/>
  <c r="Y78" i="1"/>
  <c r="Y83" i="1"/>
  <c r="BP80" i="1"/>
  <c r="BN80" i="1"/>
  <c r="Z80" i="1"/>
  <c r="Z82" i="1" s="1"/>
  <c r="BP93" i="1"/>
  <c r="BN93" i="1"/>
  <c r="Z93" i="1"/>
  <c r="Z96" i="1" s="1"/>
  <c r="BP102" i="1"/>
  <c r="BN102" i="1"/>
  <c r="Z102" i="1"/>
  <c r="BP114" i="1"/>
  <c r="BN114" i="1"/>
  <c r="Z114" i="1"/>
  <c r="Z117" i="1" s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296" i="1" l="1"/>
  <c r="Z312" i="1"/>
  <c r="Z149" i="1"/>
  <c r="Z104" i="1"/>
  <c r="Z58" i="1"/>
  <c r="Z44" i="1"/>
  <c r="Z32" i="1"/>
  <c r="Z496" i="1" s="1"/>
  <c r="Y495" i="1"/>
  <c r="Z449" i="1"/>
  <c r="Z395" i="1"/>
  <c r="Z235" i="1"/>
  <c r="Z434" i="1"/>
  <c r="Z350" i="1"/>
  <c r="Z331" i="1"/>
  <c r="Z216" i="1"/>
  <c r="Z172" i="1"/>
  <c r="Z204" i="1"/>
  <c r="Z77" i="1"/>
  <c r="X494" i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<sst xmlns="http://schemas.openxmlformats.org/spreadsheetml/2006/main" count="2352" uniqueCount="768">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</sst>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30</v>
      </c>
      <c r="Y41" s="546">
        <f>IFERROR(IF(X41="",0,CEILING((X41/$H41),1)*$H41),"")</f>
        <v>32.400000000000006</v>
      </c>
      <c r="Z41" s="36">
        <f>IFERROR(IF(Y41=0,"",ROUNDUP(Y41/H41,0)*0.01898),"")</f>
        <v>5.6940000000000004E-2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31.138888888888889</v>
      </c>
      <c r="BN41" s="64">
        <f>IFERROR(Y41*I41/H41,"0")</f>
        <v>33.630000000000003</v>
      </c>
      <c r="BO41" s="64">
        <f>IFERROR(1/J41*(X41/H41),"0")</f>
        <v>4.3402777777777776E-2</v>
      </c>
      <c r="BP41" s="64">
        <f>IFERROR(1/J41*(Y41/H41),"0")</f>
        <v>4.6875000000000007E-2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40</v>
      </c>
      <c r="Y42" s="546">
        <f>IFERROR(IF(X42="",0,CEILING((X42/$H42),1)*$H42),"")</f>
        <v>40</v>
      </c>
      <c r="Z42" s="36">
        <f>IFERROR(IF(Y42=0,"",ROUNDUP(Y42/H42,0)*0.00902),"")</f>
        <v>9.0200000000000002E-2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41.900000000000006</v>
      </c>
      <c r="BN42" s="64">
        <f>IFERROR(Y42*I42/H42,"0")</f>
        <v>41.900000000000006</v>
      </c>
      <c r="BO42" s="64">
        <f>IFERROR(1/J42*(X42/H42),"0")</f>
        <v>7.575757575757576E-2</v>
      </c>
      <c r="BP42" s="64">
        <f>IFERROR(1/J42*(Y42/H42),"0")</f>
        <v>7.575757575757576E-2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12.777777777777779</v>
      </c>
      <c r="Y44" s="547">
        <f>IFERROR(Y41/H41,"0")+IFERROR(Y42/H42,"0")+IFERROR(Y43/H43,"0")</f>
        <v>13</v>
      </c>
      <c r="Z44" s="547">
        <f>IFERROR(IF(Z41="",0,Z41),"0")+IFERROR(IF(Z42="",0,Z42),"0")+IFERROR(IF(Z43="",0,Z43),"0")</f>
        <v>0.14713999999999999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70</v>
      </c>
      <c r="Y45" s="547">
        <f>IFERROR(SUM(Y41:Y43),"0")</f>
        <v>72.400000000000006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100</v>
      </c>
      <c r="Y53" s="54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9.2592592592592595</v>
      </c>
      <c r="Y58" s="547">
        <f>IFERROR(Y52/H52,"0")+IFERROR(Y53/H53,"0")+IFERROR(Y54/H54,"0")+IFERROR(Y55/H55,"0")+IFERROR(Y56/H56,"0")+IFERROR(Y57/H57,"0")</f>
        <v>10</v>
      </c>
      <c r="Z58" s="547">
        <f>IFERROR(IF(Z52="",0,Z52),"0")+IFERROR(IF(Z53="",0,Z53),"0")+IFERROR(IF(Z54="",0,Z54),"0")+IFERROR(IF(Z55="",0,Z55),"0")+IFERROR(IF(Z56="",0,Z56),"0")+IFERROR(IF(Z57="",0,Z57),"0")</f>
        <v>0.1898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100</v>
      </c>
      <c r="Y59" s="547">
        <f>IFERROR(SUM(Y52:Y57),"0")</f>
        <v>108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200</v>
      </c>
      <c r="Y61" s="54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18.518518518518519</v>
      </c>
      <c r="Y64" s="547">
        <f>IFERROR(Y61/H61,"0")+IFERROR(Y62/H62,"0")+IFERROR(Y63/H63,"0")</f>
        <v>19</v>
      </c>
      <c r="Z64" s="547">
        <f>IFERROR(IF(Z61="",0,Z61),"0")+IFERROR(IF(Z62="",0,Z62),"0")+IFERROR(IF(Z63="",0,Z63),"0")</f>
        <v>0.36062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200</v>
      </c>
      <c r="Y65" s="547">
        <f>IFERROR(SUM(Y61:Y63),"0")</f>
        <v>205.20000000000002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150</v>
      </c>
      <c r="Y86" s="54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155.69444444444446</v>
      </c>
      <c r="BN86" s="64">
        <f>IFERROR(Y86*I86/H86,"0")</f>
        <v>156.94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135</v>
      </c>
      <c r="Y88" s="546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140.70000000000002</v>
      </c>
      <c r="BN88" s="64">
        <f>IFERROR(Y88*I88/H88,"0")</f>
        <v>140.70000000000002</v>
      </c>
      <c r="BO88" s="64">
        <f>IFERROR(1/J88*(X88/H88),"0")</f>
        <v>0.22727272727272729</v>
      </c>
      <c r="BP88" s="64">
        <f>IFERROR(1/J88*(Y88/H88),"0")</f>
        <v>0.22727272727272729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43.888888888888886</v>
      </c>
      <c r="Y89" s="547">
        <f>IFERROR(Y86/H86,"0")+IFERROR(Y87/H87,"0")+IFERROR(Y88/H88,"0")</f>
        <v>44</v>
      </c>
      <c r="Z89" s="547">
        <f>IFERROR(IF(Z86="",0,Z86),"0")+IFERROR(IF(Z87="",0,Z87),"0")+IFERROR(IF(Z88="",0,Z88),"0")</f>
        <v>0.53632000000000002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285</v>
      </c>
      <c r="Y90" s="547">
        <f>IFERROR(SUM(Y86:Y88),"0")</f>
        <v>286.20000000000005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30</v>
      </c>
      <c r="Y92" s="546">
        <f>IFERROR(IF(X92="",0,CEILING((X92/$H92),1)*$H92),"")</f>
        <v>32.4</v>
      </c>
      <c r="Z92" s="36">
        <f>IFERROR(IF(Y92=0,"",ROUNDUP(Y92/H92,0)*0.01898),"")</f>
        <v>7.5920000000000001E-2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31.829629629629629</v>
      </c>
      <c r="BN92" s="64">
        <f>IFERROR(Y92*I92/H92,"0")</f>
        <v>34.375999999999998</v>
      </c>
      <c r="BO92" s="64">
        <f>IFERROR(1/J92*(X92/H92),"0")</f>
        <v>5.7870370370370371E-2</v>
      </c>
      <c r="BP92" s="64">
        <f>IFERROR(1/J92*(Y92/H92),"0")</f>
        <v>6.25E-2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32</v>
      </c>
      <c r="Y94" s="546">
        <f>IFERROR(IF(X94="",0,CEILING((X94/$H94),1)*$H94),"")</f>
        <v>32.400000000000006</v>
      </c>
      <c r="Z94" s="36">
        <f>IFERROR(IF(Y94=0,"",ROUNDUP(Y94/H94,0)*0.00651),"")</f>
        <v>7.8119999999999995E-2</v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34.986666666666665</v>
      </c>
      <c r="BN94" s="64">
        <f>IFERROR(Y94*I94/H94,"0")</f>
        <v>35.424000000000007</v>
      </c>
      <c r="BO94" s="64">
        <f>IFERROR(1/J94*(X94/H94),"0")</f>
        <v>6.5120065120065115E-2</v>
      </c>
      <c r="BP94" s="64">
        <f>IFERROR(1/J94*(Y94/H94),"0")</f>
        <v>6.593406593406595E-2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17</v>
      </c>
      <c r="Y95" s="546">
        <f>IFERROR(IF(X95="",0,CEILING((X95/$H95),1)*$H95),"")</f>
        <v>17.82</v>
      </c>
      <c r="Z95" s="36">
        <f>IFERROR(IF(Y95=0,"",ROUNDUP(Y95/H95,0)*0.00651),"")</f>
        <v>5.8590000000000003E-2</v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19.215151515151515</v>
      </c>
      <c r="BN95" s="64">
        <f>IFERROR(Y95*I95/H95,"0")</f>
        <v>20.141999999999999</v>
      </c>
      <c r="BO95" s="64">
        <f>IFERROR(1/J95*(X95/H95),"0")</f>
        <v>4.7175047175047183E-2</v>
      </c>
      <c r="BP95" s="64">
        <f>IFERROR(1/J95*(Y95/H95),"0")</f>
        <v>4.9450549450549455E-2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24.141414141414142</v>
      </c>
      <c r="Y96" s="547">
        <f>IFERROR(Y92/H92,"0")+IFERROR(Y93/H93,"0")+IFERROR(Y94/H94,"0")+IFERROR(Y95/H95,"0")</f>
        <v>25</v>
      </c>
      <c r="Z96" s="547">
        <f>IFERROR(IF(Z92="",0,Z92),"0")+IFERROR(IF(Z93="",0,Z93),"0")+IFERROR(IF(Z94="",0,Z94),"0")+IFERROR(IF(Z95="",0,Z95),"0")</f>
        <v>0.21263000000000001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79</v>
      </c>
      <c r="Y97" s="547">
        <f>IFERROR(SUM(Y92:Y95),"0")</f>
        <v>82.62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30</v>
      </c>
      <c r="Y100" s="546">
        <f>IFERROR(IF(X100="",0,CEILING((X100/$H100),1)*$H100),"")</f>
        <v>32.400000000000006</v>
      </c>
      <c r="Z100" s="36">
        <f>IFERROR(IF(Y100=0,"",ROUNDUP(Y100/H100,0)*0.01898),"")</f>
        <v>5.6940000000000004E-2</v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31.138888888888889</v>
      </c>
      <c r="BN100" s="64">
        <f>IFERROR(Y100*I100/H100,"0")</f>
        <v>33.630000000000003</v>
      </c>
      <c r="BO100" s="64">
        <f>IFERROR(1/J100*(X100/H100),"0")</f>
        <v>4.3402777777777776E-2</v>
      </c>
      <c r="BP100" s="64">
        <f>IFERROR(1/J100*(Y100/H100),"0")</f>
        <v>4.6875000000000007E-2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56</v>
      </c>
      <c r="Y101" s="546">
        <f>IFERROR(IF(X101="",0,CEILING((X101/$H101),1)*$H101),"")</f>
        <v>56.25</v>
      </c>
      <c r="Z101" s="36">
        <f>IFERROR(IF(Y101=0,"",ROUNDUP(Y101/H101,0)*0.00902),"")</f>
        <v>0.1353</v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58.837333333333326</v>
      </c>
      <c r="BN101" s="64">
        <f>IFERROR(Y101*I101/H101,"0")</f>
        <v>59.1</v>
      </c>
      <c r="BO101" s="64">
        <f>IFERROR(1/J101*(X101/H101),"0")</f>
        <v>0.11313131313131314</v>
      </c>
      <c r="BP101" s="64">
        <f>IFERROR(1/J101*(Y101/H101),"0")</f>
        <v>0.11363636363636365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17.711111111111112</v>
      </c>
      <c r="Y104" s="547">
        <f>IFERROR(Y100/H100,"0")+IFERROR(Y101/H101,"0")+IFERROR(Y102/H102,"0")+IFERROR(Y103/H103,"0")</f>
        <v>18</v>
      </c>
      <c r="Z104" s="547">
        <f>IFERROR(IF(Z100="",0,Z100),"0")+IFERROR(IF(Z101="",0,Z101),"0")+IFERROR(IF(Z102="",0,Z102),"0")+IFERROR(IF(Z103="",0,Z103),"0")</f>
        <v>0.19224000000000002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86</v>
      </c>
      <c r="Y105" s="547">
        <f>IFERROR(SUM(Y100:Y103),"0")</f>
        <v>88.65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9</v>
      </c>
      <c r="Y108" s="546">
        <f>IFERROR(IF(X108="",0,CEILING((X108/$H108),1)*$H108),"")</f>
        <v>9.6</v>
      </c>
      <c r="Z108" s="36">
        <f>IFERROR(IF(Y108=0,"",ROUNDUP(Y108/H108,0)*0.00502),"")</f>
        <v>2.0080000000000001E-2</v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9.375</v>
      </c>
      <c r="BN108" s="64">
        <f>IFERROR(Y108*I108/H108,"0")</f>
        <v>10</v>
      </c>
      <c r="BO108" s="64">
        <f>IFERROR(1/J108*(X108/H108),"0")</f>
        <v>1.6025641025641028E-2</v>
      </c>
      <c r="BP108" s="64">
        <f>IFERROR(1/J108*(Y108/H108),"0")</f>
        <v>1.7094017094017096E-2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3.75</v>
      </c>
      <c r="Y110" s="547">
        <f>IFERROR(Y107/H107,"0")+IFERROR(Y108/H108,"0")+IFERROR(Y109/H109,"0")</f>
        <v>4</v>
      </c>
      <c r="Z110" s="547">
        <f>IFERROR(IF(Z107="",0,Z107),"0")+IFERROR(IF(Z108="",0,Z108),"0")+IFERROR(IF(Z109="",0,Z109),"0")</f>
        <v>2.0080000000000001E-2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9</v>
      </c>
      <c r="Y111" s="547">
        <f>IFERROR(SUM(Y107:Y109),"0")</f>
        <v>9.6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30</v>
      </c>
      <c r="Y113" s="546">
        <f>IFERROR(IF(X113="",0,CEILING((X113/$H113),1)*$H113),"")</f>
        <v>32.4</v>
      </c>
      <c r="Z113" s="36">
        <f>IFERROR(IF(Y113=0,"",ROUNDUP(Y113/H113,0)*0.01898),"")</f>
        <v>7.5920000000000001E-2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31.807407407407407</v>
      </c>
      <c r="BN113" s="64">
        <f>IFERROR(Y113*I113/H113,"0")</f>
        <v>34.351999999999997</v>
      </c>
      <c r="BO113" s="64">
        <f>IFERROR(1/J113*(X113/H113),"0")</f>
        <v>5.7870370370370371E-2</v>
      </c>
      <c r="BP113" s="64">
        <f>IFERROR(1/J113*(Y113/H113),"0")</f>
        <v>6.25E-2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10</v>
      </c>
      <c r="Y114" s="546">
        <f>IFERROR(IF(X114="",0,CEILING((X114/$H114),1)*$H114),"")</f>
        <v>11.879999999999999</v>
      </c>
      <c r="Z114" s="36">
        <f>IFERROR(IF(Y114=0,"",ROUNDUP(Y114/H114,0)*0.00651),"")</f>
        <v>3.9059999999999997E-2</v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11.242424242424242</v>
      </c>
      <c r="BN114" s="64">
        <f>IFERROR(Y114*I114/H114,"0")</f>
        <v>13.355999999999998</v>
      </c>
      <c r="BO114" s="64">
        <f>IFERROR(1/J114*(X114/H114),"0")</f>
        <v>2.7750027750027752E-2</v>
      </c>
      <c r="BP114" s="64">
        <f>IFERROR(1/J114*(Y114/H114),"0")</f>
        <v>3.2967032967032968E-2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14</v>
      </c>
      <c r="Y115" s="546">
        <f>IFERROR(IF(X115="",0,CEILING((X115/$H115),1)*$H115),"")</f>
        <v>16.200000000000003</v>
      </c>
      <c r="Z115" s="36">
        <f>IFERROR(IF(Y115=0,"",ROUNDUP(Y115/H115,0)*0.00651),"")</f>
        <v>3.9059999999999997E-2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15.306666666666667</v>
      </c>
      <c r="BN115" s="64">
        <f>IFERROR(Y115*I115/H115,"0")</f>
        <v>17.712000000000003</v>
      </c>
      <c r="BO115" s="64">
        <f>IFERROR(1/J115*(X115/H115),"0")</f>
        <v>2.8490028490028491E-2</v>
      </c>
      <c r="BP115" s="64">
        <f>IFERROR(1/J115*(Y115/H115),"0")</f>
        <v>3.2967032967032975E-2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13.939393939393939</v>
      </c>
      <c r="Y117" s="547">
        <f>IFERROR(Y113/H113,"0")+IFERROR(Y114/H114,"0")+IFERROR(Y115/H115,"0")+IFERROR(Y116/H116,"0")</f>
        <v>16</v>
      </c>
      <c r="Z117" s="547">
        <f>IFERROR(IF(Z113="",0,Z113),"0")+IFERROR(IF(Z114="",0,Z114),"0")+IFERROR(IF(Z115="",0,Z115),"0")+IFERROR(IF(Z116="",0,Z116),"0")</f>
        <v>0.15404000000000001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54</v>
      </c>
      <c r="Y118" s="547">
        <f>IFERROR(SUM(Y113:Y116),"0")</f>
        <v>60.480000000000004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24</v>
      </c>
      <c r="Y125" s="546">
        <f>IFERROR(IF(X125="",0,CEILING((X125/$H125),1)*$H125),"")</f>
        <v>25.6</v>
      </c>
      <c r="Z125" s="36">
        <f>IFERROR(IF(Y125=0,"",ROUNDUP(Y125/H125,0)*0.00651),"")</f>
        <v>5.2080000000000001E-2</v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25.35</v>
      </c>
      <c r="BN125" s="64">
        <f>IFERROR(Y125*I125/H125,"0")</f>
        <v>27.04</v>
      </c>
      <c r="BO125" s="64">
        <f>IFERROR(1/J125*(X125/H125),"0")</f>
        <v>4.1208791208791215E-2</v>
      </c>
      <c r="BP125" s="64">
        <f>IFERROR(1/J125*(Y125/H125),"0")</f>
        <v>4.3956043956043959E-2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7.5</v>
      </c>
      <c r="Y127" s="547">
        <f>IFERROR(Y125/H125,"0")+IFERROR(Y126/H126,"0")</f>
        <v>8</v>
      </c>
      <c r="Z127" s="547">
        <f>IFERROR(IF(Z125="",0,Z125),"0")+IFERROR(IF(Z126="",0,Z126),"0")</f>
        <v>5.2080000000000001E-2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24</v>
      </c>
      <c r="Y128" s="547">
        <f>IFERROR(SUM(Y125:Y126),"0")</f>
        <v>25.6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14</v>
      </c>
      <c r="Y131" s="546">
        <f>IFERROR(IF(X131="",0,CEILING((X131/$H131),1)*$H131),"")</f>
        <v>14</v>
      </c>
      <c r="Z131" s="36">
        <f>IFERROR(IF(Y131=0,"",ROUNDUP(Y131/H131,0)*0.00651),"")</f>
        <v>3.2550000000000003E-2</v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15.34</v>
      </c>
      <c r="BN131" s="64">
        <f>IFERROR(Y131*I131/H131,"0")</f>
        <v>15.34</v>
      </c>
      <c r="BO131" s="64">
        <f>IFERROR(1/J131*(X131/H131),"0")</f>
        <v>2.7472527472527476E-2</v>
      </c>
      <c r="BP131" s="64">
        <f>IFERROR(1/J131*(Y131/H131),"0")</f>
        <v>2.7472527472527476E-2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5</v>
      </c>
      <c r="Y132" s="547">
        <f>IFERROR(Y130/H130,"0")+IFERROR(Y131/H131,"0")</f>
        <v>5</v>
      </c>
      <c r="Z132" s="547">
        <f>IFERROR(IF(Z130="",0,Z130),"0")+IFERROR(IF(Z131="",0,Z131),"0")</f>
        <v>3.2550000000000003E-2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14</v>
      </c>
      <c r="Y133" s="547">
        <f>IFERROR(SUM(Y130:Y131),"0")</f>
        <v>14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20</v>
      </c>
      <c r="Y136" s="546">
        <f>IFERROR(IF(X136="",0,CEILING((X136/$H136),1)*$H136),"")</f>
        <v>21.12</v>
      </c>
      <c r="Z136" s="36">
        <f>IFERROR(IF(Y136=0,"",ROUNDUP(Y136/H136,0)*0.00651),"")</f>
        <v>5.2080000000000001E-2</v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22.030303030303028</v>
      </c>
      <c r="BN136" s="64">
        <f>IFERROR(Y136*I136/H136,"0")</f>
        <v>23.263999999999999</v>
      </c>
      <c r="BO136" s="64">
        <f>IFERROR(1/J136*(X136/H136),"0")</f>
        <v>4.1625041625041624E-2</v>
      </c>
      <c r="BP136" s="64">
        <f>IFERROR(1/J136*(Y136/H136),"0")</f>
        <v>4.3956043956043959E-2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7.5757575757575752</v>
      </c>
      <c r="Y137" s="547">
        <f>IFERROR(Y135/H135,"0")+IFERROR(Y136/H136,"0")</f>
        <v>8</v>
      </c>
      <c r="Z137" s="547">
        <f>IFERROR(IF(Z135="",0,Z135),"0")+IFERROR(IF(Z136="",0,Z136),"0")</f>
        <v>5.2080000000000001E-2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20</v>
      </c>
      <c r="Y138" s="547">
        <f>IFERROR(SUM(Y135:Y136),"0")</f>
        <v>21.12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56</v>
      </c>
      <c r="Y142" s="546">
        <f>IFERROR(IF(X142="",0,CEILING((X142/$H142),1)*$H142),"")</f>
        <v>56</v>
      </c>
      <c r="Z142" s="36">
        <f>IFERROR(IF(Y142=0,"",ROUNDUP(Y142/H142,0)*0.00902),"")</f>
        <v>0.12628</v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58.660000000000004</v>
      </c>
      <c r="BN142" s="64">
        <f>IFERROR(Y142*I142/H142,"0")</f>
        <v>58.660000000000004</v>
      </c>
      <c r="BO142" s="64">
        <f>IFERROR(1/J142*(X142/H142),"0")</f>
        <v>0.10606060606060606</v>
      </c>
      <c r="BP142" s="64">
        <f>IFERROR(1/J142*(Y142/H142),"0")</f>
        <v>0.10606060606060606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14</v>
      </c>
      <c r="Y143" s="547">
        <f>IFERROR(Y141/H141,"0")+IFERROR(Y142/H142,"0")</f>
        <v>14</v>
      </c>
      <c r="Z143" s="547">
        <f>IFERROR(IF(Z141="",0,Z141),"0")+IFERROR(IF(Z142="",0,Z142),"0")</f>
        <v>0.12628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56</v>
      </c>
      <c r="Y144" s="547">
        <f>IFERROR(SUM(Y141:Y142),"0")</f>
        <v>56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42</v>
      </c>
      <c r="Y165" s="546">
        <f t="shared" si="5"/>
        <v>42</v>
      </c>
      <c r="Z165" s="36">
        <f>IFERROR(IF(Y165=0,"",ROUNDUP(Y165/H165,0)*0.00502),"")</f>
        <v>0.1004</v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44.599999999999994</v>
      </c>
      <c r="BN165" s="64">
        <f t="shared" si="7"/>
        <v>44.599999999999994</v>
      </c>
      <c r="BO165" s="64">
        <f t="shared" si="8"/>
        <v>8.5470085470085472E-2</v>
      </c>
      <c r="BP165" s="64">
        <f t="shared" si="9"/>
        <v>8.5470085470085472E-2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20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20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0.1004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42</v>
      </c>
      <c r="Y173" s="547">
        <f>IFERROR(SUM(Y162:Y171),"0")</f>
        <v>42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1</v>
      </c>
      <c r="Y175" s="546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1</v>
      </c>
      <c r="Y176" s="546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6</v>
      </c>
      <c r="Y177" s="546">
        <f>IFERROR(IF(X177="",0,CEILING((X177/$H177),1)*$H177),"")</f>
        <v>6.3</v>
      </c>
      <c r="Z177" s="36">
        <f>IFERROR(IF(Y177=0,"",ROUNDUP(Y177/H177,0)*0.0059),"")</f>
        <v>2.9499999999999998E-2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6.9047619047619042</v>
      </c>
      <c r="BN177" s="64">
        <f>IFERROR(Y177*I177/H177,"0")</f>
        <v>7.25</v>
      </c>
      <c r="BO177" s="64">
        <f>IFERROR(1/J177*(X177/H177),"0")</f>
        <v>2.2045855379188711E-2</v>
      </c>
      <c r="BP177" s="64">
        <f>IFERROR(1/J177*(Y177/H177),"0")</f>
        <v>2.3148148148148147E-2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6.3492063492063489</v>
      </c>
      <c r="Y178" s="547">
        <f>IFERROR(Y175/H175,"0")+IFERROR(Y176/H176,"0")+IFERROR(Y177/H177,"0")</f>
        <v>7</v>
      </c>
      <c r="Z178" s="547">
        <f>IFERROR(IF(Z175="",0,Z175),"0")+IFERROR(IF(Z176="",0,Z176),"0")+IFERROR(IF(Z177="",0,Z177),"0")</f>
        <v>4.1299999999999996E-2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8</v>
      </c>
      <c r="Y179" s="547">
        <f>IFERROR(SUM(Y175:Y177),"0")</f>
        <v>8.82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30</v>
      </c>
      <c r="Y200" s="546">
        <f t="shared" si="10"/>
        <v>30.6</v>
      </c>
      <c r="Z200" s="36">
        <f>IFERROR(IF(Y200=0,"",ROUNDUP(Y200/H200,0)*0.00502),"")</f>
        <v>8.5339999999999999E-2</v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32.166666666666664</v>
      </c>
      <c r="BN200" s="64">
        <f t="shared" si="12"/>
        <v>32.81</v>
      </c>
      <c r="BO200" s="64">
        <f t="shared" si="13"/>
        <v>7.122507122507124E-2</v>
      </c>
      <c r="BP200" s="64">
        <f t="shared" si="14"/>
        <v>7.2649572649572655E-2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18</v>
      </c>
      <c r="Y201" s="546">
        <f t="shared" si="10"/>
        <v>18</v>
      </c>
      <c r="Z201" s="36">
        <f>IFERROR(IF(Y201=0,"",ROUNDUP(Y201/H201,0)*0.00502),"")</f>
        <v>5.0200000000000002E-2</v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18.999999999999996</v>
      </c>
      <c r="BN201" s="64">
        <f t="shared" si="12"/>
        <v>18.999999999999996</v>
      </c>
      <c r="BO201" s="64">
        <f t="shared" si="13"/>
        <v>4.2735042735042736E-2</v>
      </c>
      <c r="BP201" s="64">
        <f t="shared" si="14"/>
        <v>4.2735042735042736E-2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26.666666666666668</v>
      </c>
      <c r="Y204" s="547">
        <f>IFERROR(Y196/H196,"0")+IFERROR(Y197/H197,"0")+IFERROR(Y198/H198,"0")+IFERROR(Y199/H199,"0")+IFERROR(Y200/H200,"0")+IFERROR(Y201/H201,"0")+IFERROR(Y202/H202,"0")+IFERROR(Y203/H203,"0")</f>
        <v>27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0.13553999999999999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48</v>
      </c>
      <c r="Y205" s="547">
        <f>IFERROR(SUM(Y196:Y203),"0")</f>
        <v>48.6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80</v>
      </c>
      <c r="Y212" s="546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88.40000000000002</v>
      </c>
      <c r="BN212" s="64">
        <f t="shared" si="17"/>
        <v>90.168000000000006</v>
      </c>
      <c r="BO212" s="64">
        <f t="shared" si="18"/>
        <v>0.18315018315018317</v>
      </c>
      <c r="BP212" s="64">
        <f t="shared" si="19"/>
        <v>0.18681318681318682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120</v>
      </c>
      <c r="Y213" s="546">
        <f t="shared" si="15"/>
        <v>120</v>
      </c>
      <c r="Z213" s="36">
        <f t="shared" si="20"/>
        <v>0.32550000000000001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132.60000000000002</v>
      </c>
      <c r="BN213" s="64">
        <f t="shared" si="17"/>
        <v>132.60000000000002</v>
      </c>
      <c r="BO213" s="64">
        <f t="shared" si="18"/>
        <v>0.27472527472527475</v>
      </c>
      <c r="BP213" s="64">
        <f t="shared" si="19"/>
        <v>0.27472527472527475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80</v>
      </c>
      <c r="Y215" s="546">
        <f t="shared" si="15"/>
        <v>81.599999999999994</v>
      </c>
      <c r="Z215" s="36">
        <f t="shared" si="20"/>
        <v>0.22134000000000001</v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88.6</v>
      </c>
      <c r="BN215" s="64">
        <f t="shared" si="17"/>
        <v>90.371999999999986</v>
      </c>
      <c r="BO215" s="64">
        <f t="shared" si="18"/>
        <v>0.18315018315018317</v>
      </c>
      <c r="BP215" s="64">
        <f t="shared" si="19"/>
        <v>0.18681318681318682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116.66666666666669</v>
      </c>
      <c r="Y216" s="547">
        <f>IFERROR(Y207/H207,"0")+IFERROR(Y208/H208,"0")+IFERROR(Y209/H209,"0")+IFERROR(Y210/H210,"0")+IFERROR(Y211/H211,"0")+IFERROR(Y212/H212,"0")+IFERROR(Y213/H213,"0")+IFERROR(Y214/H214,"0")+IFERROR(Y215/H215,"0")</f>
        <v>118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0.76817999999999997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280</v>
      </c>
      <c r="Y217" s="547">
        <f>IFERROR(SUM(Y207:Y215),"0")</f>
        <v>283.2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12</v>
      </c>
      <c r="Y220" s="546">
        <f>IFERROR(IF(X220="",0,CEILING((X220/$H220),1)*$H220),"")</f>
        <v>12</v>
      </c>
      <c r="Z220" s="36">
        <f>IFERROR(IF(Y220=0,"",ROUNDUP(Y220/H220,0)*0.00651),"")</f>
        <v>3.2550000000000003E-2</v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13.260000000000002</v>
      </c>
      <c r="BN220" s="64">
        <f>IFERROR(Y220*I220/H220,"0")</f>
        <v>13.260000000000002</v>
      </c>
      <c r="BO220" s="64">
        <f>IFERROR(1/J220*(X220/H220),"0")</f>
        <v>2.7472527472527476E-2</v>
      </c>
      <c r="BP220" s="64">
        <f>IFERROR(1/J220*(Y220/H220),"0")</f>
        <v>2.7472527472527476E-2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5</v>
      </c>
      <c r="Y221" s="547">
        <f>IFERROR(Y219/H219,"0")+IFERROR(Y220/H220,"0")</f>
        <v>5</v>
      </c>
      <c r="Z221" s="547">
        <f>IFERROR(IF(Z219="",0,Z219),"0")+IFERROR(IF(Z220="",0,Z220),"0")</f>
        <v>3.2550000000000003E-2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12</v>
      </c>
      <c r="Y222" s="547">
        <f>IFERROR(SUM(Y219:Y220),"0")</f>
        <v>12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4</v>
      </c>
      <c r="Y242" s="546">
        <f>IFERROR(IF(X242="",0,CEILING((X242/$H242),1)*$H242),"")</f>
        <v>5.4</v>
      </c>
      <c r="Z242" s="36">
        <f>IFERROR(IF(Y242=0,"",ROUNDUP(Y242/H242,0)*0.0059),"")</f>
        <v>1.77E-2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4.3888888888888893</v>
      </c>
      <c r="BN242" s="64">
        <f>IFERROR(Y242*I242/H242,"0")</f>
        <v>5.9250000000000007</v>
      </c>
      <c r="BO242" s="64">
        <f>IFERROR(1/J242*(X242/H242),"0")</f>
        <v>1.0288065843621399E-2</v>
      </c>
      <c r="BP242" s="64">
        <f>IFERROR(1/J242*(Y242/H242),"0")</f>
        <v>1.3888888888888888E-2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2.2222222222222223</v>
      </c>
      <c r="Y243" s="547">
        <f>IFERROR(Y242/H242,"0")</f>
        <v>3</v>
      </c>
      <c r="Z243" s="547">
        <f>IFERROR(IF(Z242="",0,Z242),"0")</f>
        <v>1.77E-2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4</v>
      </c>
      <c r="Y244" s="547">
        <f>IFERROR(SUM(Y242:Y242),"0")</f>
        <v>5.4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1</v>
      </c>
      <c r="Y249" s="546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1.0101010101010102</v>
      </c>
      <c r="Y251" s="547">
        <f>IFERROR(Y246/H246,"0")+IFERROR(Y247/H247,"0")+IFERROR(Y248/H248,"0")+IFERROR(Y249/H249,"0")+IFERROR(Y250/H250,"0")</f>
        <v>2</v>
      </c>
      <c r="Z251" s="547">
        <f>IFERROR(IF(Z246="",0,Z246),"0")+IFERROR(IF(Z247="",0,Z247),"0")+IFERROR(IF(Z248="",0,Z248),"0")+IFERROR(IF(Z249="",0,Z249),"0")+IFERROR(IF(Z250="",0,Z250),"0")</f>
        <v>1.18E-2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1</v>
      </c>
      <c r="Y252" s="547">
        <f>IFERROR(SUM(Y246:Y250),"0")</f>
        <v>1.98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150</v>
      </c>
      <c r="Y257" s="546">
        <f>IFERROR(IF(X257="",0,CEILING((X257/$H257),1)*$H257),"")</f>
        <v>151.20000000000002</v>
      </c>
      <c r="Z257" s="36">
        <f>IFERROR(IF(Y257=0,"",ROUNDUP(Y257/H257,0)*0.01898),"")</f>
        <v>0.26572000000000001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155.69444444444446</v>
      </c>
      <c r="BN257" s="64">
        <f>IFERROR(Y257*I257/H257,"0")</f>
        <v>156.94</v>
      </c>
      <c r="BO257" s="64">
        <f>IFERROR(1/J257*(X257/H257),"0")</f>
        <v>0.21701388888888887</v>
      </c>
      <c r="BP257" s="64">
        <f>IFERROR(1/J257*(Y257/H257),"0")</f>
        <v>0.21875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13.888888888888888</v>
      </c>
      <c r="Y260" s="547">
        <f>IFERROR(Y255/H255,"0")+IFERROR(Y256/H256,"0")+IFERROR(Y257/H257,"0")+IFERROR(Y258/H258,"0")+IFERROR(Y259/H259,"0")</f>
        <v>14</v>
      </c>
      <c r="Z260" s="547">
        <f>IFERROR(IF(Z255="",0,Z255),"0")+IFERROR(IF(Z256="",0,Z256),"0")+IFERROR(IF(Z257="",0,Z257),"0")+IFERROR(IF(Z258="",0,Z258),"0")+IFERROR(IF(Z259="",0,Z259),"0")</f>
        <v>0.26572000000000001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150</v>
      </c>
      <c r="Y261" s="547">
        <f>IFERROR(SUM(Y255:Y259),"0")</f>
        <v>151.20000000000002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40</v>
      </c>
      <c r="Y291" s="546">
        <f t="shared" si="26"/>
        <v>43.2</v>
      </c>
      <c r="Z291" s="36">
        <f>IFERROR(IF(Y291=0,"",ROUNDUP(Y291/H291,0)*0.01898),"")</f>
        <v>7.5920000000000001E-2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41.518518518518519</v>
      </c>
      <c r="BN291" s="64">
        <f t="shared" si="28"/>
        <v>44.84</v>
      </c>
      <c r="BO291" s="64">
        <f t="shared" si="29"/>
        <v>5.7870370370370364E-2</v>
      </c>
      <c r="BP291" s="64">
        <f t="shared" si="30"/>
        <v>6.25E-2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150</v>
      </c>
      <c r="Y293" s="546">
        <f t="shared" si="26"/>
        <v>151.20000000000002</v>
      </c>
      <c r="Z293" s="36">
        <f>IFERROR(IF(Y293=0,"",ROUNDUP(Y293/H293,0)*0.01898),"")</f>
        <v>0.26572000000000001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155.69444444444446</v>
      </c>
      <c r="BN293" s="64">
        <f t="shared" si="28"/>
        <v>156.94</v>
      </c>
      <c r="BO293" s="64">
        <f t="shared" si="29"/>
        <v>0.21701388888888887</v>
      </c>
      <c r="BP293" s="64">
        <f t="shared" si="30"/>
        <v>0.21875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12</v>
      </c>
      <c r="Y294" s="546">
        <f t="shared" si="26"/>
        <v>12</v>
      </c>
      <c r="Z294" s="36">
        <f>IFERROR(IF(Y294=0,"",ROUNDUP(Y294/H294,0)*0.00902),"")</f>
        <v>2.7060000000000001E-2</v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12.57</v>
      </c>
      <c r="BN294" s="64">
        <f t="shared" si="28"/>
        <v>12.57</v>
      </c>
      <c r="BO294" s="64">
        <f t="shared" si="29"/>
        <v>2.2727272727272728E-2</v>
      </c>
      <c r="BP294" s="64">
        <f t="shared" si="30"/>
        <v>2.2727272727272728E-2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32</v>
      </c>
      <c r="Y295" s="546">
        <f t="shared" si="26"/>
        <v>32</v>
      </c>
      <c r="Z295" s="36">
        <f>IFERROR(IF(Y295=0,"",ROUNDUP(Y295/H295,0)*0.00902),"")</f>
        <v>7.2160000000000002E-2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33.520000000000003</v>
      </c>
      <c r="BN295" s="64">
        <f t="shared" si="28"/>
        <v>33.520000000000003</v>
      </c>
      <c r="BO295" s="64">
        <f t="shared" si="29"/>
        <v>6.0606060606060608E-2</v>
      </c>
      <c r="BP295" s="64">
        <f t="shared" si="30"/>
        <v>6.0606060606060608E-2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28.592592592592592</v>
      </c>
      <c r="Y296" s="547">
        <f>IFERROR(Y290/H290,"0")+IFERROR(Y291/H291,"0")+IFERROR(Y292/H292,"0")+IFERROR(Y293/H293,"0")+IFERROR(Y294/H294,"0")+IFERROR(Y295/H295,"0")</f>
        <v>29</v>
      </c>
      <c r="Z296" s="547">
        <f>IFERROR(IF(Z290="",0,Z290),"0")+IFERROR(IF(Z291="",0,Z291),"0")+IFERROR(IF(Z292="",0,Z292),"0")+IFERROR(IF(Z293="",0,Z293),"0")+IFERROR(IF(Z294="",0,Z294),"0")+IFERROR(IF(Z295="",0,Z295),"0")</f>
        <v>0.44086000000000003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234</v>
      </c>
      <c r="Y297" s="547">
        <f>IFERROR(SUM(Y290:Y295),"0")</f>
        <v>238.40000000000003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300</v>
      </c>
      <c r="Y300" s="546">
        <f t="shared" si="31"/>
        <v>302.40000000000003</v>
      </c>
      <c r="Z300" s="36">
        <f>IFERROR(IF(Y300=0,"",ROUNDUP(Y300/H300,0)*0.00902),"")</f>
        <v>0.64944000000000002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317.85714285714283</v>
      </c>
      <c r="BN300" s="64">
        <f t="shared" si="33"/>
        <v>320.40000000000003</v>
      </c>
      <c r="BO300" s="64">
        <f t="shared" si="34"/>
        <v>0.54112554112554112</v>
      </c>
      <c r="BP300" s="64">
        <f t="shared" si="35"/>
        <v>0.54545454545454541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12</v>
      </c>
      <c r="Y304" s="546">
        <f t="shared" si="31"/>
        <v>12.6</v>
      </c>
      <c r="Z304" s="36">
        <f>IFERROR(IF(Y304=0,"",ROUNDUP(Y304/H304,0)*0.00651),"")</f>
        <v>4.5569999999999999E-2</v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13.52</v>
      </c>
      <c r="BN304" s="64">
        <f t="shared" si="33"/>
        <v>14.196</v>
      </c>
      <c r="BO304" s="64">
        <f t="shared" si="34"/>
        <v>3.6630036630036632E-2</v>
      </c>
      <c r="BP304" s="64">
        <f t="shared" si="35"/>
        <v>3.8461538461538464E-2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78.095238095238102</v>
      </c>
      <c r="Y305" s="547">
        <f>IFERROR(Y299/H299,"0")+IFERROR(Y300/H300,"0")+IFERROR(Y301/H301,"0")+IFERROR(Y302/H302,"0")+IFERROR(Y303/H303,"0")+IFERROR(Y304/H304,"0")</f>
        <v>79</v>
      </c>
      <c r="Z305" s="547">
        <f>IFERROR(IF(Z299="",0,Z299),"0")+IFERROR(IF(Z300="",0,Z300),"0")+IFERROR(IF(Z301="",0,Z301),"0")+IFERROR(IF(Z302="",0,Z302),"0")+IFERROR(IF(Z303="",0,Z303),"0")+IFERROR(IF(Z304="",0,Z304),"0")</f>
        <v>0.69501000000000002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312</v>
      </c>
      <c r="Y306" s="547">
        <f>IFERROR(SUM(Y299:Y304),"0")</f>
        <v>315.00000000000006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1800</v>
      </c>
      <c r="Y308" s="546">
        <f>IFERROR(IF(X308="",0,CEILING((X308/$H308),1)*$H308),"")</f>
        <v>1801.8</v>
      </c>
      <c r="Z308" s="36">
        <f>IFERROR(IF(Y308=0,"",ROUNDUP(Y308/H308,0)*0.01898),"")</f>
        <v>4.3843800000000002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1912.6153846153845</v>
      </c>
      <c r="BN308" s="64">
        <f>IFERROR(Y308*I308/H308,"0")</f>
        <v>1914.528</v>
      </c>
      <c r="BO308" s="64">
        <f>IFERROR(1/J308*(X308/H308),"0")</f>
        <v>3.6057692307692308</v>
      </c>
      <c r="BP308" s="64">
        <f>IFERROR(1/J308*(Y308/H308),"0")</f>
        <v>3.609375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50</v>
      </c>
      <c r="Y311" s="546">
        <f>IFERROR(IF(X311="",0,CEILING((X311/$H311),1)*$H311),"")</f>
        <v>51</v>
      </c>
      <c r="Z311" s="36">
        <f>IFERROR(IF(Y311=0,"",ROUNDUP(Y311/H311,0)*0.00651),"")</f>
        <v>0.11067</v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54.1</v>
      </c>
      <c r="BN311" s="64">
        <f>IFERROR(Y311*I311/H311,"0")</f>
        <v>55.181999999999995</v>
      </c>
      <c r="BO311" s="64">
        <f>IFERROR(1/J311*(X311/H311),"0")</f>
        <v>9.1575091575091583E-2</v>
      </c>
      <c r="BP311" s="64">
        <f>IFERROR(1/J311*(Y311/H311),"0")</f>
        <v>9.3406593406593408E-2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247.43589743589743</v>
      </c>
      <c r="Y312" s="547">
        <f>IFERROR(Y308/H308,"0")+IFERROR(Y309/H309,"0")+IFERROR(Y310/H310,"0")+IFERROR(Y311/H311,"0")</f>
        <v>248</v>
      </c>
      <c r="Z312" s="547">
        <f>IFERROR(IF(Z308="",0,Z308),"0")+IFERROR(IF(Z309="",0,Z309),"0")+IFERROR(IF(Z310="",0,Z310),"0")+IFERROR(IF(Z311="",0,Z311),"0")</f>
        <v>4.49505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1850</v>
      </c>
      <c r="Y313" s="547">
        <f>IFERROR(SUM(Y308:Y311),"0")</f>
        <v>1852.8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5</v>
      </c>
      <c r="Y324" s="546">
        <f>IFERROR(IF(X324="",0,CEILING((X324/$H324),1)*$H324),"")</f>
        <v>5.0999999999999996</v>
      </c>
      <c r="Z324" s="36">
        <f>IFERROR(IF(Y324=0,"",ROUNDUP(Y324/H324,0)*0.00651),"")</f>
        <v>1.302E-2</v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5.6470588235294112</v>
      </c>
      <c r="BN324" s="64">
        <f>IFERROR(Y324*I324/H324,"0")</f>
        <v>5.76</v>
      </c>
      <c r="BO324" s="64">
        <f>IFERROR(1/J324*(X324/H324),"0")</f>
        <v>1.0773540185304893E-2</v>
      </c>
      <c r="BP324" s="64">
        <f>IFERROR(1/J324*(Y324/H324),"0")</f>
        <v>1.098901098901099E-2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1.9607843137254903</v>
      </c>
      <c r="Y325" s="547">
        <f>IFERROR(Y321/H321,"0")+IFERROR(Y322/H322,"0")+IFERROR(Y323/H323,"0")+IFERROR(Y324/H324,"0")</f>
        <v>2</v>
      </c>
      <c r="Z325" s="547">
        <f>IFERROR(IF(Z321="",0,Z321),"0")+IFERROR(IF(Z322="",0,Z322),"0")+IFERROR(IF(Z323="",0,Z323),"0")+IFERROR(IF(Z324="",0,Z324),"0")</f>
        <v>1.302E-2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5</v>
      </c>
      <c r="Y326" s="547">
        <f>IFERROR(SUM(Y321:Y324),"0")</f>
        <v>5.0999999999999996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70</v>
      </c>
      <c r="Y336" s="546">
        <f>IFERROR(IF(X336="",0,CEILING((X336/$H336),1)*$H336),"")</f>
        <v>71.400000000000006</v>
      </c>
      <c r="Z336" s="36">
        <f>IFERROR(IF(Y336=0,"",ROUNDUP(Y336/H336,0)*0.00651),"")</f>
        <v>0.22134000000000001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78.399999999999991</v>
      </c>
      <c r="BN336" s="64">
        <f>IFERROR(Y336*I336/H336,"0")</f>
        <v>79.968000000000004</v>
      </c>
      <c r="BO336" s="64">
        <f>IFERROR(1/J336*(X336/H336),"0")</f>
        <v>0.18315018315018314</v>
      </c>
      <c r="BP336" s="64">
        <f>IFERROR(1/J336*(Y336/H336),"0")</f>
        <v>0.18681318681318682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70</v>
      </c>
      <c r="Y337" s="546">
        <f>IFERROR(IF(X337="",0,CEILING((X337/$H337),1)*$H337),"")</f>
        <v>71.400000000000006</v>
      </c>
      <c r="Z337" s="36">
        <f>IFERROR(IF(Y337=0,"",ROUNDUP(Y337/H337,0)*0.00651),"")</f>
        <v>0.22134000000000001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77.999999999999986</v>
      </c>
      <c r="BN337" s="64">
        <f>IFERROR(Y337*I337/H337,"0")</f>
        <v>79.559999999999988</v>
      </c>
      <c r="BO337" s="64">
        <f>IFERROR(1/J337*(X337/H337),"0")</f>
        <v>0.18315018315018314</v>
      </c>
      <c r="BP337" s="64">
        <f>IFERROR(1/J337*(Y337/H337),"0")</f>
        <v>0.18681318681318682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66.666666666666657</v>
      </c>
      <c r="Y338" s="547">
        <f>IFERROR(Y335/H335,"0")+IFERROR(Y336/H336,"0")+IFERROR(Y337/H337,"0")</f>
        <v>68</v>
      </c>
      <c r="Z338" s="547">
        <f>IFERROR(IF(Z335="",0,Z335),"0")+IFERROR(IF(Z336="",0,Z336),"0")+IFERROR(IF(Z337="",0,Z337),"0")</f>
        <v>0.44268000000000002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140</v>
      </c>
      <c r="Y339" s="547">
        <f>IFERROR(SUM(Y335:Y337),"0")</f>
        <v>142.80000000000001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60</v>
      </c>
      <c r="Y343" s="546">
        <f t="shared" ref="Y343:Y349" si="36">IFERROR(IF(X343="",0,CEILING((X343/$H343),1)*$H343),"")</f>
        <v>60</v>
      </c>
      <c r="Z343" s="36">
        <f>IFERROR(IF(Y343=0,"",ROUNDUP(Y343/H343,0)*0.02175),"")</f>
        <v>8.6999999999999994E-2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61.88</v>
      </c>
      <c r="BN343" s="64">
        <f t="shared" ref="BN343:BN349" si="38">IFERROR(Y343*I343/H343,"0")</f>
        <v>61.88</v>
      </c>
      <c r="BO343" s="64">
        <f t="shared" ref="BO343:BO349" si="39">IFERROR(1/J343*(X343/H343),"0")</f>
        <v>8.3333333333333329E-2</v>
      </c>
      <c r="BP343" s="64">
        <f t="shared" ref="BP343:BP349" si="40">IFERROR(1/J343*(Y343/H343),"0")</f>
        <v>8.3333333333333329E-2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350</v>
      </c>
      <c r="Y344" s="546">
        <f t="shared" si="36"/>
        <v>360</v>
      </c>
      <c r="Z344" s="36">
        <f>IFERROR(IF(Y344=0,"",ROUNDUP(Y344/H344,0)*0.02175),"")</f>
        <v>0.52200000000000002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360.96666666666664</v>
      </c>
      <c r="BN344" s="64">
        <f t="shared" si="38"/>
        <v>371.28</v>
      </c>
      <c r="BO344" s="64">
        <f t="shared" si="39"/>
        <v>0.48611111111111105</v>
      </c>
      <c r="BP344" s="64">
        <f t="shared" si="40"/>
        <v>0.5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800</v>
      </c>
      <c r="Y346" s="546">
        <f t="shared" si="36"/>
        <v>810</v>
      </c>
      <c r="Z346" s="36">
        <f>IFERROR(IF(Y346=0,"",ROUNDUP(Y346/H346,0)*0.02175),"")</f>
        <v>1.1744999999999999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825.06666666666672</v>
      </c>
      <c r="BN346" s="64">
        <f t="shared" si="38"/>
        <v>835.38</v>
      </c>
      <c r="BO346" s="64">
        <f t="shared" si="39"/>
        <v>1.1111111111111112</v>
      </c>
      <c r="BP346" s="64">
        <f t="shared" si="40"/>
        <v>1.125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80.666666666666671</v>
      </c>
      <c r="Y350" s="547">
        <f>IFERROR(Y343/H343,"0")+IFERROR(Y344/H344,"0")+IFERROR(Y345/H345,"0")+IFERROR(Y346/H346,"0")+IFERROR(Y347/H347,"0")+IFERROR(Y348/H348,"0")+IFERROR(Y349/H349,"0")</f>
        <v>82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1.7834999999999999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1210</v>
      </c>
      <c r="Y351" s="547">
        <f>IFERROR(SUM(Y343:Y349),"0")</f>
        <v>1230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800</v>
      </c>
      <c r="Y353" s="546">
        <f>IFERROR(IF(X353="",0,CEILING((X353/$H353),1)*$H353),"")</f>
        <v>810</v>
      </c>
      <c r="Z353" s="36">
        <f>IFERROR(IF(Y353=0,"",ROUNDUP(Y353/H353,0)*0.02175),"")</f>
        <v>1.1744999999999999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825.06666666666672</v>
      </c>
      <c r="BN353" s="64">
        <f>IFERROR(Y353*I353/H353,"0")</f>
        <v>835.38</v>
      </c>
      <c r="BO353" s="64">
        <f>IFERROR(1/J353*(X353/H353),"0")</f>
        <v>1.1111111111111112</v>
      </c>
      <c r="BP353" s="64">
        <f>IFERROR(1/J353*(Y353/H353),"0")</f>
        <v>1.125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20</v>
      </c>
      <c r="Y354" s="546">
        <f>IFERROR(IF(X354="",0,CEILING((X354/$H354),1)*$H354),"")</f>
        <v>20</v>
      </c>
      <c r="Z354" s="36">
        <f>IFERROR(IF(Y354=0,"",ROUNDUP(Y354/H354,0)*0.00902),"")</f>
        <v>4.5100000000000001E-2</v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20.950000000000003</v>
      </c>
      <c r="BN354" s="64">
        <f>IFERROR(Y354*I354/H354,"0")</f>
        <v>20.950000000000003</v>
      </c>
      <c r="BO354" s="64">
        <f>IFERROR(1/J354*(X354/H354),"0")</f>
        <v>3.787878787878788E-2</v>
      </c>
      <c r="BP354" s="64">
        <f>IFERROR(1/J354*(Y354/H354),"0")</f>
        <v>3.787878787878788E-2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58.333333333333336</v>
      </c>
      <c r="Y355" s="547">
        <f>IFERROR(Y353/H353,"0")+IFERROR(Y354/H354,"0")</f>
        <v>59</v>
      </c>
      <c r="Z355" s="547">
        <f>IFERROR(IF(Z353="",0,Z353),"0")+IFERROR(IF(Z354="",0,Z354),"0")</f>
        <v>1.2195999999999998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820</v>
      </c>
      <c r="Y356" s="547">
        <f>IFERROR(SUM(Y353:Y354),"0")</f>
        <v>830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40</v>
      </c>
      <c r="Y378" s="546">
        <f>IFERROR(IF(X378="",0,CEILING((X378/$H378),1)*$H378),"")</f>
        <v>45</v>
      </c>
      <c r="Z378" s="36">
        <f>IFERROR(IF(Y378=0,"",ROUNDUP(Y378/H378,0)*0.01898),"")</f>
        <v>9.4899999999999998E-2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42.195555555555558</v>
      </c>
      <c r="BN378" s="64">
        <f>IFERROR(Y378*I378/H378,"0")</f>
        <v>47.47</v>
      </c>
      <c r="BO378" s="64">
        <f>IFERROR(1/J378*(X378/H378),"0")</f>
        <v>6.9444444444444448E-2</v>
      </c>
      <c r="BP378" s="64">
        <f>IFERROR(1/J378*(Y378/H378),"0")</f>
        <v>7.8125E-2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4.4444444444444446</v>
      </c>
      <c r="Y381" s="547">
        <f>IFERROR(Y378/H378,"0")+IFERROR(Y379/H379,"0")+IFERROR(Y380/H380,"0")</f>
        <v>5</v>
      </c>
      <c r="Z381" s="547">
        <f>IFERROR(IF(Z378="",0,Z378),"0")+IFERROR(IF(Z379="",0,Z379),"0")+IFERROR(IF(Z380="",0,Z380),"0")</f>
        <v>9.4899999999999998E-2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40</v>
      </c>
      <c r="Y382" s="547">
        <f>IFERROR(SUM(Y378:Y380),"0")</f>
        <v>45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30</v>
      </c>
      <c r="Y473" s="546">
        <f>IFERROR(IF(X473="",0,CEILING((X473/$H473),1)*$H473),"")</f>
        <v>33.6</v>
      </c>
      <c r="Z473" s="36">
        <f>IFERROR(IF(Y473=0,"",ROUNDUP(Y473/H473,0)*0.00902),"")</f>
        <v>7.2160000000000002E-2</v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31.785714285714285</v>
      </c>
      <c r="BN473" s="64">
        <f>IFERROR(Y473*I473/H473,"0")</f>
        <v>35.6</v>
      </c>
      <c r="BO473" s="64">
        <f>IFERROR(1/J473*(X473/H473),"0")</f>
        <v>5.4112554112554112E-2</v>
      </c>
      <c r="BP473" s="64">
        <f>IFERROR(1/J473*(Y473/H473),"0")</f>
        <v>6.0606060606060608E-2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7.1428571428571423</v>
      </c>
      <c r="Y475" s="547">
        <f>IFERROR(Y473/H473,"0")+IFERROR(Y474/H474,"0")</f>
        <v>8</v>
      </c>
      <c r="Z475" s="547">
        <f>IFERROR(IF(Z473="",0,Z473),"0")+IFERROR(IF(Z474="",0,Z474),"0")</f>
        <v>7.2160000000000002E-2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30</v>
      </c>
      <c r="Y476" s="547">
        <f>IFERROR(SUM(Y473:Y474),"0")</f>
        <v>33.6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6183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6275.77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6506.4037811012522</v>
      </c>
      <c r="Y492" s="547">
        <f>IFERROR(SUM(BN22:BN488),"0")</f>
        <v>6604.2450000000008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11</v>
      </c>
      <c r="Y493" s="38">
        <f>ROUNDUP(SUM(BP22:BP488),0)</f>
        <v>11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6781.4037811012522</v>
      </c>
      <c r="Y494" s="547">
        <f>GrossWeightTotalR+PalletQtyTotalR*25</f>
        <v>6879.2450000000008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943.2043537072949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960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12.705829999999999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72.400000000000006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313.20000000000005</v>
      </c>
      <c r="E501" s="46">
        <f>IFERROR(Y86*1,"0")+IFERROR(Y87*1,"0")+IFERROR(Y88*1,"0")+IFERROR(Y92*1,"0")+IFERROR(Y93*1,"0")+IFERROR(Y94*1,"0")+IFERROR(Y95*1,"0")</f>
        <v>368.82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158.73000000000002</v>
      </c>
      <c r="G501" s="46">
        <f>IFERROR(Y125*1,"0")+IFERROR(Y126*1,"0")+IFERROR(Y130*1,"0")+IFERROR(Y131*1,"0")+IFERROR(Y135*1,"0")+IFERROR(Y136*1,"0")</f>
        <v>60.72</v>
      </c>
      <c r="H501" s="46">
        <f>IFERROR(Y141*1,"0")+IFERROR(Y142*1,"0")+IFERROR(Y146*1,"0")+IFERROR(Y147*1,"0")+IFERROR(Y148*1,"0")+IFERROR(Y152*1,"0")</f>
        <v>56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50.819999999999993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343.79999999999995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7.3800000000000008</v>
      </c>
      <c r="L501" s="46">
        <f>IFERROR(Y255*1,"0")+IFERROR(Y256*1,"0")+IFERROR(Y257*1,"0")+IFERROR(Y258*1,"0")+IFERROR(Y259*1,"0")</f>
        <v>151.20000000000002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2411.2999999999997</v>
      </c>
      <c r="R501" s="46">
        <f>IFERROR(Y335*1,"0")+IFERROR(Y336*1,"0")+IFERROR(Y337*1,"0")</f>
        <v>142.80000000000001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2060</v>
      </c>
      <c r="T501" s="46">
        <f>IFERROR(Y368*1,"0")+IFERROR(Y369*1,"0")+IFERROR(Y373*1,"0")+IFERROR(Y374*1,"0")+IFERROR(Y378*1,"0")+IFERROR(Y379*1,"0")+IFERROR(Y380*1,"0")</f>
        <v>45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33.6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2025-12-09T07:20:21Z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