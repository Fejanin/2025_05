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1-08.01.26_Д\"/>
    </mc:Choice>
  </mc:AlternateContent>
  <xr:revisionPtr revIDLastSave="0" documentId="8_{877EE5D4-BF2E-4492-80B5-5A852BDFF0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<sst xmlns="http://schemas.openxmlformats.org/spreadsheetml/2006/main" count="165" uniqueCount="72">
  <si>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</si>
  <si>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</si>
  <si>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</si>
  <si>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</si>
  <si>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</si>
  <si>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</si>
  <si>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</si>
  <si>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</si>
  <si>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</si>
  <si>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</si>
  <si>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</si>
  <si>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</si>
  <si>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</si>
  <si>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</si>
  <si>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</si>
  <si>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</si>
  <si>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</si>
  <si>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</si>
  <si>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</si>
  <si>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</si>
  <si>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</si>
  <si>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</si>
  <si>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</si>
  <si>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</si>
  <si>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</si>
  <si>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</si>
  <si>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</si>
  <si>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</si>
  <si>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</si>
  <si>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</si>
  <si>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</si>
  <si>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</si>
  <si>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</si>
  <si>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</si>
  <si>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</si>
  <si>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</si>
  <si>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</si>
  <si>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</si>
  <si>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</si>
  <si>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</si>
  <si>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</si>
  <si>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</si>
  <si>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</si>
  <si>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</si>
  <si>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</si>
  <si>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</si>
  <si>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</si>
  <si>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</si>
  <si>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</si>
  <si>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</si>
  <si>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</si>
  <si>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</si>
  <si>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</si>
  <si>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</si>
  <si>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</si>
  <si>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</si>
  <si>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</si>
  <si>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</si>
  <si>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</si>
  <si>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</si>
  <si>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</si>
  <si>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</si>
  <si>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</si>
  <si>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</si>
  <si>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</si>
  <si>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</si>
  <si>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</si>
  <si>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</si>
  <si>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</si>
  <si>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</si>
  <si>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</si>
  <si>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 08.01.26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</si>
</sst>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23" activePane="bottomRight" state="frozen"/>
      <selection pane="topRight" activeCell="F1" sqref="F1"/>
      <selection pane="bottomLeft" activeCell="A8" sqref="A8"/>
      <selection pane="bottomRight" activeCell="I7" sqref="I7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308</v>
      </c>
      <c r="J35" s="77">
        <f t="shared" si="0"/>
        <v>924</v>
      </c>
      <c r="K35" s="48">
        <f t="shared" si="1"/>
        <v>1140.7087999999999</v>
      </c>
      <c r="L35" s="48">
        <f t="shared" si="2"/>
        <v>4.4000000000000004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126</v>
      </c>
      <c r="J37" s="77">
        <f t="shared" si="0"/>
        <v>378</v>
      </c>
      <c r="K37" s="48">
        <f t="shared" si="1"/>
        <v>466.65359999999998</v>
      </c>
      <c r="L37" s="48">
        <f t="shared" si="2"/>
        <v>1.8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84</v>
      </c>
      <c r="J38" s="77">
        <f t="shared" ref="J38:J58" si="3">I38*$D38</f>
        <v>201.6</v>
      </c>
      <c r="K38" s="48">
        <f t="shared" ref="K38:K58" si="4">I38*$E38</f>
        <v>225.12</v>
      </c>
      <c r="L38" s="48">
        <f t="shared" ref="L38:L58" si="5">I38/$F38</f>
        <v>1.2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56</v>
      </c>
      <c r="J39" s="77">
        <f t="shared" si="3"/>
        <v>134.4</v>
      </c>
      <c r="K39" s="48">
        <f t="shared" si="4"/>
        <v>150.08000000000001</v>
      </c>
      <c r="L39" s="48">
        <f t="shared" si="5"/>
        <v>0.8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70</v>
      </c>
      <c r="J40" s="77">
        <f t="shared" si="3"/>
        <v>210</v>
      </c>
      <c r="K40" s="48">
        <f t="shared" si="4"/>
        <v>259.25200000000001</v>
      </c>
      <c r="L40" s="48">
        <f t="shared" si="5"/>
        <v>1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182</v>
      </c>
      <c r="J43" s="77">
        <f t="shared" si="3"/>
        <v>305.76</v>
      </c>
      <c r="K43" s="48">
        <f t="shared" si="4"/>
        <v>382.52760000000001</v>
      </c>
      <c r="L43" s="48">
        <f t="shared" si="5"/>
        <v>1.3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84</v>
      </c>
      <c r="J44" s="77">
        <f t="shared" si="3"/>
        <v>252</v>
      </c>
      <c r="K44" s="48">
        <f t="shared" si="4"/>
        <v>284.59199999999998</v>
      </c>
      <c r="L44" s="48">
        <f t="shared" si="5"/>
        <v>1.2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98</v>
      </c>
      <c r="J45" s="77">
        <f t="shared" si="3"/>
        <v>294</v>
      </c>
      <c r="K45" s="48">
        <f t="shared" si="4"/>
        <v>332.024</v>
      </c>
      <c r="L45" s="48">
        <f t="shared" si="5"/>
        <v>1.4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264</v>
      </c>
      <c r="J51" s="77">
        <f t="shared" si="3"/>
        <v>1584</v>
      </c>
      <c r="K51" s="48">
        <f t="shared" si="4"/>
        <v>1652.6399999999999</v>
      </c>
      <c r="L51" s="48">
        <f t="shared" si="5"/>
        <v>3.1428571428571428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630</v>
      </c>
      <c r="J53" s="77">
        <f t="shared" si="3"/>
        <v>2331</v>
      </c>
      <c r="K53" s="48">
        <f t="shared" si="4"/>
        <v>2451.96</v>
      </c>
      <c r="L53" s="48">
        <f t="shared" si="5"/>
        <v>5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228</v>
      </c>
      <c r="J54" s="77">
        <f t="shared" si="3"/>
        <v>1254</v>
      </c>
      <c r="K54" s="48">
        <f t="shared" si="4"/>
        <v>1307.5800000000002</v>
      </c>
      <c r="L54" s="48">
        <f t="shared" si="5"/>
        <v>2.7142857142857144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224</v>
      </c>
      <c r="J55" s="77">
        <f t="shared" si="3"/>
        <v>672</v>
      </c>
      <c r="K55" s="48">
        <f t="shared" si="4"/>
        <v>715.00800000000004</v>
      </c>
      <c r="L55" s="48">
        <f t="shared" si="5"/>
        <v>1.7777777777777777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14</v>
      </c>
      <c r="J56" s="77">
        <f t="shared" si="3"/>
        <v>51.800000000000004</v>
      </c>
      <c r="K56" s="48">
        <f t="shared" si="4"/>
        <v>54.488</v>
      </c>
      <c r="L56" s="48">
        <f t="shared" si="5"/>
        <v>0.1111111111111111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630</v>
      </c>
      <c r="J57" s="77">
        <f t="shared" si="3"/>
        <v>2331</v>
      </c>
      <c r="K57" s="48">
        <f t="shared" si="4"/>
        <v>2451.96</v>
      </c>
      <c r="L57" s="48">
        <f t="shared" si="5"/>
        <v>5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2998</v>
      </c>
      <c r="J59" s="30">
        <f>SUM(J8:J58)</f>
        <v>10923.56</v>
      </c>
      <c r="K59" s="30">
        <f>SUM(K8:K58)</f>
        <v>11874.594000000001</v>
      </c>
      <c r="L59" s="49">
        <f>SUM(L8:L58)</f>
        <v>30.846031746031748</v>
      </c>
      <c r="M59" s="47">
        <f>ROUNDUP(L59,0)</f>
        <v>31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12491.514634920635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Андрей Мельников</cp:lastModifiedBy>
  <cp:lastPrinted>2024-07-25T10:24:37Z</cp:lastPrinted>
  <dcterms:created xsi:type="dcterms:W3CDTF">2022-04-04T13:38:25Z</dcterms:created>
  <dcterms:modified xsi:type="dcterms:W3CDTF">2025-12-19T12:37:13Z</dcterms:modified>
</cp:coreProperties>
</file>