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Бычков\"/>
    </mc:Choice>
  </mc:AlternateContent>
  <xr:revisionPtr revIDLastSave="0" documentId="13_ncr:1_{C3185B48-11AA-479E-96BF-160690FE740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1" i="1" l="1"/>
  <c r="X490" i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Y455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Y456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Y412" i="1" s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H10" i="1"/>
  <c r="F10" i="1"/>
  <c r="J9" i="1"/>
  <c r="F9" i="1"/>
  <c r="A9" i="1"/>
  <c r="A10" i="1" s="1"/>
  <c r="D7" i="1"/>
  <c r="Q6" i="1"/>
  <c r="P2" i="1"/>
  <c r="Y24" i="1" l="1"/>
  <c r="Y32" i="1"/>
  <c r="Y44" i="1"/>
  <c r="Y59" i="1"/>
  <c r="Y65" i="1"/>
  <c r="Y70" i="1"/>
  <c r="BP74" i="1"/>
  <c r="BN74" i="1"/>
  <c r="Z74" i="1"/>
  <c r="Z89" i="1"/>
  <c r="BP87" i="1"/>
  <c r="BN87" i="1"/>
  <c r="Z87" i="1"/>
  <c r="BP95" i="1"/>
  <c r="BN95" i="1"/>
  <c r="Z95" i="1"/>
  <c r="Y97" i="1"/>
  <c r="F501" i="1"/>
  <c r="Y105" i="1"/>
  <c r="BP100" i="1"/>
  <c r="BN100" i="1"/>
  <c r="Z100" i="1"/>
  <c r="Y104" i="1"/>
  <c r="Z110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Z305" i="1" s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D501" i="1"/>
  <c r="H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Z77" i="1" s="1"/>
  <c r="Y78" i="1"/>
  <c r="Y83" i="1"/>
  <c r="BP80" i="1"/>
  <c r="BN80" i="1"/>
  <c r="Z80" i="1"/>
  <c r="Z82" i="1" s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Z204" i="1" s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L501" i="1"/>
  <c r="Y260" i="1"/>
  <c r="BP265" i="1"/>
  <c r="BN265" i="1"/>
  <c r="Z265" i="1"/>
  <c r="Z268" i="1" s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Z455" i="1"/>
  <c r="BP453" i="1"/>
  <c r="BN453" i="1"/>
  <c r="Z453" i="1"/>
  <c r="Y464" i="1"/>
  <c r="BP463" i="1"/>
  <c r="BN463" i="1"/>
  <c r="Z463" i="1"/>
  <c r="Z464" i="1" s="1"/>
  <c r="Y470" i="1"/>
  <c r="BP467" i="1"/>
  <c r="BN467" i="1"/>
  <c r="Z467" i="1"/>
  <c r="Z470" i="1" s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395" i="1" l="1"/>
  <c r="Z235" i="1"/>
  <c r="Z434" i="1"/>
  <c r="Z350" i="1"/>
  <c r="Z331" i="1"/>
  <c r="Z216" i="1"/>
  <c r="Y492" i="1"/>
  <c r="Z312" i="1"/>
  <c r="Z104" i="1"/>
  <c r="Z449" i="1"/>
  <c r="Z296" i="1"/>
  <c r="Z172" i="1"/>
  <c r="Z70" i="1"/>
  <c r="Z496" i="1" s="1"/>
  <c r="Y491" i="1"/>
  <c r="Y493" i="1"/>
  <c r="Z149" i="1"/>
  <c r="Y495" i="1"/>
  <c r="Y494" i="1" l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<sst xmlns="http://schemas.openxmlformats.org/spreadsheetml/2006/main" count="2352" uniqueCount="768">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</sst>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7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2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8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787" t="s">
        <v>0</v>
      </c>
      <c r="E1" s="577"/>
      <c r="F1" s="577"/>
      <c r="G1" s="12" t="s">
        <v>1</v>
      </c>
      <c r="H1" s="787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850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757" t="s">
        <v>8</v>
      </c>
      <c r="B5" s="559"/>
      <c r="C5" s="560"/>
      <c r="D5" s="662"/>
      <c r="E5" s="664"/>
      <c r="F5" s="602" t="s">
        <v>9</v>
      </c>
      <c r="G5" s="560"/>
      <c r="H5" s="662"/>
      <c r="I5" s="663"/>
      <c r="J5" s="663"/>
      <c r="K5" s="663"/>
      <c r="L5" s="663"/>
      <c r="M5" s="664"/>
      <c r="N5" s="58"/>
      <c r="P5" s="24" t="s">
        <v>10</v>
      </c>
      <c r="Q5" s="584">
        <v>46002</v>
      </c>
      <c r="R5" s="585"/>
      <c r="T5" s="740" t="s">
        <v>11</v>
      </c>
      <c r="U5" s="589"/>
      <c r="V5" s="726" t="s">
        <v>12</v>
      </c>
      <c r="W5" s="585"/>
      <c r="AB5" s="51"/>
      <c r="AC5" s="51"/>
      <c r="AD5" s="51"/>
      <c r="AE5" s="51"/>
    </row>
    <row r="6" spans="1:32" s="539" customFormat="1" ht="24" customHeight="1" x14ac:dyDescent="0.2">
      <c r="A6" s="757" t="s">
        <v>13</v>
      </c>
      <c r="B6" s="559"/>
      <c r="C6" s="560"/>
      <c r="D6" s="667" t="s">
        <v>14</v>
      </c>
      <c r="E6" s="668"/>
      <c r="F6" s="668"/>
      <c r="G6" s="668"/>
      <c r="H6" s="668"/>
      <c r="I6" s="668"/>
      <c r="J6" s="668"/>
      <c r="K6" s="668"/>
      <c r="L6" s="668"/>
      <c r="M6" s="585"/>
      <c r="N6" s="59"/>
      <c r="P6" s="24" t="s">
        <v>15</v>
      </c>
      <c r="Q6" s="596" t="str">
        <f>IF(Q5=0," ",CHOOSE(WEEKDAY(Q5,2),"Понедельник","Вторник","Среда","Четверг","Пятница","Суббота","Воскресенье"))</f>
        <v>Четверг</v>
      </c>
      <c r="R6" s="553"/>
      <c r="T6" s="736" t="s">
        <v>16</v>
      </c>
      <c r="U6" s="589"/>
      <c r="V6" s="674" t="s">
        <v>17</v>
      </c>
      <c r="W6" s="675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813" t="str">
        <f>IFERROR(VLOOKUP(DeliveryAddress,Table,3,0),1)</f>
        <v>1</v>
      </c>
      <c r="E7" s="814"/>
      <c r="F7" s="814"/>
      <c r="G7" s="814"/>
      <c r="H7" s="814"/>
      <c r="I7" s="814"/>
      <c r="J7" s="814"/>
      <c r="K7" s="814"/>
      <c r="L7" s="814"/>
      <c r="M7" s="730"/>
      <c r="N7" s="60"/>
      <c r="P7" s="24"/>
      <c r="Q7" s="42"/>
      <c r="R7" s="42"/>
      <c r="T7" s="556"/>
      <c r="U7" s="589"/>
      <c r="V7" s="676"/>
      <c r="W7" s="677"/>
      <c r="AB7" s="51"/>
      <c r="AC7" s="51"/>
      <c r="AD7" s="51"/>
      <c r="AE7" s="51"/>
    </row>
    <row r="8" spans="1:32" s="539" customFormat="1" ht="25.5" customHeight="1" x14ac:dyDescent="0.2">
      <c r="A8" s="549" t="s">
        <v>18</v>
      </c>
      <c r="B8" s="550"/>
      <c r="C8" s="551"/>
      <c r="D8" s="821" t="s">
        <v>19</v>
      </c>
      <c r="E8" s="822"/>
      <c r="F8" s="822"/>
      <c r="G8" s="822"/>
      <c r="H8" s="822"/>
      <c r="I8" s="822"/>
      <c r="J8" s="822"/>
      <c r="K8" s="822"/>
      <c r="L8" s="822"/>
      <c r="M8" s="823"/>
      <c r="N8" s="61"/>
      <c r="P8" s="24" t="s">
        <v>20</v>
      </c>
      <c r="Q8" s="729">
        <v>0.41666666666666669</v>
      </c>
      <c r="R8" s="730"/>
      <c r="T8" s="556"/>
      <c r="U8" s="589"/>
      <c r="V8" s="676"/>
      <c r="W8" s="677"/>
      <c r="AB8" s="51"/>
      <c r="AC8" s="51"/>
      <c r="AD8" s="51"/>
      <c r="AE8" s="51"/>
    </row>
    <row r="9" spans="1:32" s="539" customFormat="1" ht="39.950000000000003" customHeight="1" x14ac:dyDescent="0.2">
      <c r="A9" s="5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28"/>
      <c r="E9" s="629"/>
      <c r="F9" s="5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706" t="str">
        <f>IF(AND($A$9="Тип доверенности/получателя при получении в адресе перегруза:",$D$9="Разовая доверенность"),"Введите ФИО","")</f>
        <v/>
      </c>
      <c r="I9" s="629"/>
      <c r="J9" s="7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9"/>
      <c r="L9" s="629"/>
      <c r="M9" s="629"/>
      <c r="N9" s="537"/>
      <c r="P9" s="26" t="s">
        <v>21</v>
      </c>
      <c r="Q9" s="774"/>
      <c r="R9" s="606"/>
      <c r="T9" s="556"/>
      <c r="U9" s="589"/>
      <c r="V9" s="678"/>
      <c r="W9" s="679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5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28"/>
      <c r="E10" s="629"/>
      <c r="F10" s="5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692" t="str">
        <f>IFERROR(VLOOKUP($D$10,Proxy,2,FALSE),"")</f>
        <v/>
      </c>
      <c r="I10" s="556"/>
      <c r="J10" s="556"/>
      <c r="K10" s="556"/>
      <c r="L10" s="556"/>
      <c r="M10" s="556"/>
      <c r="N10" s="538"/>
      <c r="P10" s="26" t="s">
        <v>22</v>
      </c>
      <c r="Q10" s="742"/>
      <c r="R10" s="743"/>
      <c r="U10" s="24" t="s">
        <v>23</v>
      </c>
      <c r="V10" s="861" t="s">
        <v>24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5"/>
      <c r="R11" s="585"/>
      <c r="U11" s="24" t="s">
        <v>27</v>
      </c>
      <c r="V11" s="605" t="s">
        <v>28</v>
      </c>
      <c r="W11" s="60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38" t="s">
        <v>29</v>
      </c>
      <c r="B12" s="559"/>
      <c r="C12" s="559"/>
      <c r="D12" s="559"/>
      <c r="E12" s="559"/>
      <c r="F12" s="559"/>
      <c r="G12" s="559"/>
      <c r="H12" s="559"/>
      <c r="I12" s="559"/>
      <c r="J12" s="559"/>
      <c r="K12" s="559"/>
      <c r="L12" s="559"/>
      <c r="M12" s="560"/>
      <c r="N12" s="62"/>
      <c r="P12" s="24" t="s">
        <v>30</v>
      </c>
      <c r="Q12" s="729"/>
      <c r="R12" s="730"/>
      <c r="S12" s="23"/>
      <c r="U12" s="24"/>
      <c r="V12" s="577"/>
      <c r="W12" s="556"/>
      <c r="AB12" s="51"/>
      <c r="AC12" s="51"/>
      <c r="AD12" s="51"/>
      <c r="AE12" s="51"/>
    </row>
    <row r="13" spans="1:32" s="539" customFormat="1" ht="23.25" customHeight="1" x14ac:dyDescent="0.2">
      <c r="A13" s="738" t="s">
        <v>31</v>
      </c>
      <c r="B13" s="559"/>
      <c r="C13" s="559"/>
      <c r="D13" s="559"/>
      <c r="E13" s="559"/>
      <c r="F13" s="559"/>
      <c r="G13" s="559"/>
      <c r="H13" s="559"/>
      <c r="I13" s="559"/>
      <c r="J13" s="559"/>
      <c r="K13" s="559"/>
      <c r="L13" s="559"/>
      <c r="M13" s="560"/>
      <c r="N13" s="62"/>
      <c r="O13" s="26"/>
      <c r="P13" s="26" t="s">
        <v>32</v>
      </c>
      <c r="Q13" s="605"/>
      <c r="R13" s="60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38" t="s">
        <v>33</v>
      </c>
      <c r="B14" s="559"/>
      <c r="C14" s="559"/>
      <c r="D14" s="559"/>
      <c r="E14" s="559"/>
      <c r="F14" s="559"/>
      <c r="G14" s="559"/>
      <c r="H14" s="559"/>
      <c r="I14" s="559"/>
      <c r="J14" s="559"/>
      <c r="K14" s="559"/>
      <c r="L14" s="559"/>
      <c r="M14" s="56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15" t="s">
        <v>34</v>
      </c>
      <c r="B15" s="559"/>
      <c r="C15" s="559"/>
      <c r="D15" s="559"/>
      <c r="E15" s="559"/>
      <c r="F15" s="559"/>
      <c r="G15" s="559"/>
      <c r="H15" s="559"/>
      <c r="I15" s="559"/>
      <c r="J15" s="559"/>
      <c r="K15" s="559"/>
      <c r="L15" s="559"/>
      <c r="M15" s="560"/>
      <c r="N15" s="63"/>
      <c r="P15" s="77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1"/>
      <c r="Q16" s="771"/>
      <c r="R16" s="771"/>
      <c r="S16" s="771"/>
      <c r="T16" s="7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7" t="s">
        <v>36</v>
      </c>
      <c r="B17" s="567" t="s">
        <v>37</v>
      </c>
      <c r="C17" s="761" t="s">
        <v>38</v>
      </c>
      <c r="D17" s="567" t="s">
        <v>39</v>
      </c>
      <c r="E17" s="568"/>
      <c r="F17" s="567" t="s">
        <v>40</v>
      </c>
      <c r="G17" s="567" t="s">
        <v>41</v>
      </c>
      <c r="H17" s="567" t="s">
        <v>42</v>
      </c>
      <c r="I17" s="567" t="s">
        <v>43</v>
      </c>
      <c r="J17" s="567" t="s">
        <v>44</v>
      </c>
      <c r="K17" s="567" t="s">
        <v>45</v>
      </c>
      <c r="L17" s="567" t="s">
        <v>46</v>
      </c>
      <c r="M17" s="567" t="s">
        <v>47</v>
      </c>
      <c r="N17" s="567" t="s">
        <v>48</v>
      </c>
      <c r="O17" s="567" t="s">
        <v>49</v>
      </c>
      <c r="P17" s="567" t="s">
        <v>50</v>
      </c>
      <c r="Q17" s="793"/>
      <c r="R17" s="793"/>
      <c r="S17" s="793"/>
      <c r="T17" s="568"/>
      <c r="U17" s="583" t="s">
        <v>51</v>
      </c>
      <c r="V17" s="560"/>
      <c r="W17" s="567" t="s">
        <v>52</v>
      </c>
      <c r="X17" s="567" t="s">
        <v>53</v>
      </c>
      <c r="Y17" s="581" t="s">
        <v>54</v>
      </c>
      <c r="Z17" s="697" t="s">
        <v>55</v>
      </c>
      <c r="AA17" s="613" t="s">
        <v>56</v>
      </c>
      <c r="AB17" s="613" t="s">
        <v>57</v>
      </c>
      <c r="AC17" s="613" t="s">
        <v>58</v>
      </c>
      <c r="AD17" s="613" t="s">
        <v>59</v>
      </c>
      <c r="AE17" s="614"/>
      <c r="AF17" s="615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569"/>
      <c r="E18" s="570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569"/>
      <c r="Q18" s="794"/>
      <c r="R18" s="794"/>
      <c r="S18" s="794"/>
      <c r="T18" s="570"/>
      <c r="U18" s="67" t="s">
        <v>61</v>
      </c>
      <c r="V18" s="67" t="s">
        <v>62</v>
      </c>
      <c r="W18" s="587"/>
      <c r="X18" s="587"/>
      <c r="Y18" s="582"/>
      <c r="Z18" s="698"/>
      <c r="AA18" s="661"/>
      <c r="AB18" s="661"/>
      <c r="AC18" s="661"/>
      <c r="AD18" s="616"/>
      <c r="AE18" s="617"/>
      <c r="AF18" s="618"/>
      <c r="AG18" s="66"/>
      <c r="BD18" s="65"/>
    </row>
    <row r="19" spans="1:68" ht="27.75" customHeight="1" x14ac:dyDescent="0.2">
      <c r="A19" s="636" t="s">
        <v>63</v>
      </c>
      <c r="B19" s="637"/>
      <c r="C19" s="637"/>
      <c r="D19" s="637"/>
      <c r="E19" s="637"/>
      <c r="F19" s="637"/>
      <c r="G19" s="637"/>
      <c r="H19" s="637"/>
      <c r="I19" s="637"/>
      <c r="J19" s="637"/>
      <c r="K19" s="637"/>
      <c r="L19" s="637"/>
      <c r="M19" s="637"/>
      <c r="N19" s="637"/>
      <c r="O19" s="637"/>
      <c r="P19" s="637"/>
      <c r="Q19" s="637"/>
      <c r="R19" s="637"/>
      <c r="S19" s="637"/>
      <c r="T19" s="637"/>
      <c r="U19" s="637"/>
      <c r="V19" s="637"/>
      <c r="W19" s="637"/>
      <c r="X19" s="637"/>
      <c r="Y19" s="637"/>
      <c r="Z19" s="637"/>
      <c r="AA19" s="48"/>
      <c r="AB19" s="48"/>
      <c r="AC19" s="48"/>
    </row>
    <row r="20" spans="1:68" ht="16.5" customHeight="1" x14ac:dyDescent="0.25">
      <c r="A20" s="576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40"/>
      <c r="AB20" s="540"/>
      <c r="AC20" s="540"/>
    </row>
    <row r="21" spans="1:68" ht="14.25" customHeight="1" x14ac:dyDescent="0.25">
      <c r="A21" s="565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3" t="s">
        <v>69</v>
      </c>
      <c r="Q22" s="563"/>
      <c r="R22" s="563"/>
      <c r="S22" s="563"/>
      <c r="T22" s="564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3"/>
      <c r="R23" s="563"/>
      <c r="S23" s="563"/>
      <c r="T23" s="564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55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7"/>
      <c r="P24" s="554" t="s">
        <v>76</v>
      </c>
      <c r="Q24" s="550"/>
      <c r="R24" s="550"/>
      <c r="S24" s="550"/>
      <c r="T24" s="550"/>
      <c r="U24" s="550"/>
      <c r="V24" s="551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7"/>
      <c r="P25" s="554" t="s">
        <v>76</v>
      </c>
      <c r="Q25" s="550"/>
      <c r="R25" s="550"/>
      <c r="S25" s="550"/>
      <c r="T25" s="550"/>
      <c r="U25" s="550"/>
      <c r="V25" s="551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65" t="s">
        <v>78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41"/>
      <c r="AB26" s="541"/>
      <c r="AC26" s="541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3"/>
      <c r="R27" s="563"/>
      <c r="S27" s="563"/>
      <c r="T27" s="564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8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3"/>
      <c r="R28" s="563"/>
      <c r="S28" s="563"/>
      <c r="T28" s="564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8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3"/>
      <c r="R29" s="563"/>
      <c r="S29" s="563"/>
      <c r="T29" s="564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85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3"/>
      <c r="R30" s="563"/>
      <c r="S30" s="563"/>
      <c r="T30" s="564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52">
        <v>4607091388244</v>
      </c>
      <c r="E31" s="553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82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3"/>
      <c r="R31" s="563"/>
      <c r="S31" s="563"/>
      <c r="T31" s="564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55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7"/>
      <c r="P32" s="554" t="s">
        <v>76</v>
      </c>
      <c r="Q32" s="550"/>
      <c r="R32" s="550"/>
      <c r="S32" s="550"/>
      <c r="T32" s="550"/>
      <c r="U32" s="550"/>
      <c r="V32" s="551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7"/>
      <c r="P33" s="554" t="s">
        <v>76</v>
      </c>
      <c r="Q33" s="550"/>
      <c r="R33" s="550"/>
      <c r="S33" s="550"/>
      <c r="T33" s="550"/>
      <c r="U33" s="550"/>
      <c r="V33" s="551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65" t="s">
        <v>97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41"/>
      <c r="AB34" s="541"/>
      <c r="AC34" s="541"/>
    </row>
    <row r="35" spans="1:68" ht="27" customHeight="1" x14ac:dyDescent="0.25">
      <c r="A35" s="54" t="s">
        <v>98</v>
      </c>
      <c r="B35" s="54" t="s">
        <v>99</v>
      </c>
      <c r="C35" s="31">
        <v>4301032013</v>
      </c>
      <c r="D35" s="552">
        <v>4607091388503</v>
      </c>
      <c r="E35" s="553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65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3"/>
      <c r="R35" s="563"/>
      <c r="S35" s="563"/>
      <c r="T35" s="564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55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7"/>
      <c r="P36" s="554" t="s">
        <v>76</v>
      </c>
      <c r="Q36" s="550"/>
      <c r="R36" s="550"/>
      <c r="S36" s="550"/>
      <c r="T36" s="550"/>
      <c r="U36" s="550"/>
      <c r="V36" s="551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57"/>
      <c r="P37" s="554" t="s">
        <v>76</v>
      </c>
      <c r="Q37" s="550"/>
      <c r="R37" s="550"/>
      <c r="S37" s="550"/>
      <c r="T37" s="550"/>
      <c r="U37" s="550"/>
      <c r="V37" s="551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636" t="s">
        <v>103</v>
      </c>
      <c r="B38" s="637"/>
      <c r="C38" s="637"/>
      <c r="D38" s="637"/>
      <c r="E38" s="637"/>
      <c r="F38" s="637"/>
      <c r="G38" s="637"/>
      <c r="H38" s="637"/>
      <c r="I38" s="637"/>
      <c r="J38" s="637"/>
      <c r="K38" s="637"/>
      <c r="L38" s="637"/>
      <c r="M38" s="637"/>
      <c r="N38" s="637"/>
      <c r="O38" s="637"/>
      <c r="P38" s="637"/>
      <c r="Q38" s="637"/>
      <c r="R38" s="637"/>
      <c r="S38" s="637"/>
      <c r="T38" s="637"/>
      <c r="U38" s="637"/>
      <c r="V38" s="637"/>
      <c r="W38" s="637"/>
      <c r="X38" s="637"/>
      <c r="Y38" s="637"/>
      <c r="Z38" s="637"/>
      <c r="AA38" s="48"/>
      <c r="AB38" s="48"/>
      <c r="AC38" s="48"/>
    </row>
    <row r="39" spans="1:68" ht="16.5" customHeight="1" x14ac:dyDescent="0.25">
      <c r="A39" s="576" t="s">
        <v>104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40"/>
      <c r="AB39" s="540"/>
      <c r="AC39" s="540"/>
    </row>
    <row r="40" spans="1:68" ht="14.25" customHeight="1" x14ac:dyDescent="0.25">
      <c r="A40" s="565" t="s">
        <v>105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52">
        <v>4607091385670</v>
      </c>
      <c r="E41" s="553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6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3"/>
      <c r="R41" s="563"/>
      <c r="S41" s="563"/>
      <c r="T41" s="564"/>
      <c r="U41" s="34"/>
      <c r="V41" s="34"/>
      <c r="W41" s="35" t="s">
        <v>70</v>
      </c>
      <c r="X41" s="545">
        <v>80</v>
      </c>
      <c r="Y41" s="546">
        <f>IFERROR(IF(X41="",0,CEILING((X41/$H41),1)*$H41),"")</f>
        <v>86.4</v>
      </c>
      <c r="Z41" s="36">
        <f>IFERROR(IF(Y41=0,"",ROUNDUP(Y41/H41,0)*0.01898),"")</f>
        <v>0.15184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83.037037037037038</v>
      </c>
      <c r="BN41" s="64">
        <f>IFERROR(Y41*I41/H41,"0")</f>
        <v>89.68</v>
      </c>
      <c r="BO41" s="64">
        <f>IFERROR(1/J41*(X41/H41),"0")</f>
        <v>0.11574074074074073</v>
      </c>
      <c r="BP41" s="64">
        <f>IFERROR(1/J41*(Y41/H41),"0")</f>
        <v>0.125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52">
        <v>4607091385687</v>
      </c>
      <c r="E42" s="553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8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63"/>
      <c r="R42" s="563"/>
      <c r="S42" s="563"/>
      <c r="T42" s="564"/>
      <c r="U42" s="34"/>
      <c r="V42" s="34"/>
      <c r="W42" s="35" t="s">
        <v>70</v>
      </c>
      <c r="X42" s="545">
        <v>26.4</v>
      </c>
      <c r="Y42" s="546">
        <f>IFERROR(IF(X42="",0,CEILING((X42/$H42),1)*$H42),"")</f>
        <v>28</v>
      </c>
      <c r="Z42" s="36">
        <f>IFERROR(IF(Y42=0,"",ROUNDUP(Y42/H42,0)*0.00902),"")</f>
        <v>6.3140000000000002E-2</v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27.654</v>
      </c>
      <c r="BN42" s="64">
        <f>IFERROR(Y42*I42/H42,"0")</f>
        <v>29.330000000000002</v>
      </c>
      <c r="BO42" s="64">
        <f>IFERROR(1/J42*(X42/H42),"0")</f>
        <v>4.9999999999999996E-2</v>
      </c>
      <c r="BP42" s="64">
        <f>IFERROR(1/J42*(Y42/H42),"0")</f>
        <v>5.3030303030303032E-2</v>
      </c>
    </row>
    <row r="43" spans="1:68" ht="27" customHeight="1" x14ac:dyDescent="0.25">
      <c r="A43" s="54" t="s">
        <v>116</v>
      </c>
      <c r="B43" s="54" t="s">
        <v>117</v>
      </c>
      <c r="C43" s="31">
        <v>4301011565</v>
      </c>
      <c r="D43" s="552">
        <v>4680115882539</v>
      </c>
      <c r="E43" s="553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3"/>
      <c r="R43" s="563"/>
      <c r="S43" s="563"/>
      <c r="T43" s="564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55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7"/>
      <c r="P44" s="554" t="s">
        <v>76</v>
      </c>
      <c r="Q44" s="550"/>
      <c r="R44" s="550"/>
      <c r="S44" s="550"/>
      <c r="T44" s="550"/>
      <c r="U44" s="550"/>
      <c r="V44" s="551"/>
      <c r="W44" s="37" t="s">
        <v>77</v>
      </c>
      <c r="X44" s="547">
        <f>IFERROR(X41/H41,"0")+IFERROR(X42/H42,"0")+IFERROR(X43/H43,"0")</f>
        <v>14.007407407407406</v>
      </c>
      <c r="Y44" s="547">
        <f>IFERROR(Y41/H41,"0")+IFERROR(Y42/H42,"0")+IFERROR(Y43/H43,"0")</f>
        <v>15</v>
      </c>
      <c r="Z44" s="547">
        <f>IFERROR(IF(Z41="",0,Z41),"0")+IFERROR(IF(Z42="",0,Z42),"0")+IFERROR(IF(Z43="",0,Z43),"0")</f>
        <v>0.21498</v>
      </c>
      <c r="AA44" s="548"/>
      <c r="AB44" s="548"/>
      <c r="AC44" s="548"/>
    </row>
    <row r="45" spans="1:68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7"/>
      <c r="P45" s="554" t="s">
        <v>76</v>
      </c>
      <c r="Q45" s="550"/>
      <c r="R45" s="550"/>
      <c r="S45" s="550"/>
      <c r="T45" s="550"/>
      <c r="U45" s="550"/>
      <c r="V45" s="551"/>
      <c r="W45" s="37" t="s">
        <v>70</v>
      </c>
      <c r="X45" s="547">
        <f>IFERROR(SUM(X41:X43),"0")</f>
        <v>106.4</v>
      </c>
      <c r="Y45" s="547">
        <f>IFERROR(SUM(Y41:Y43),"0")</f>
        <v>114.4</v>
      </c>
      <c r="Z45" s="37"/>
      <c r="AA45" s="548"/>
      <c r="AB45" s="548"/>
      <c r="AC45" s="548"/>
    </row>
    <row r="46" spans="1:68" ht="14.25" customHeight="1" x14ac:dyDescent="0.25">
      <c r="A46" s="565" t="s">
        <v>78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52">
        <v>4680115884915</v>
      </c>
      <c r="E47" s="553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78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3"/>
      <c r="R47" s="563"/>
      <c r="S47" s="563"/>
      <c r="T47" s="564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55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7"/>
      <c r="P48" s="554" t="s">
        <v>76</v>
      </c>
      <c r="Q48" s="550"/>
      <c r="R48" s="550"/>
      <c r="S48" s="550"/>
      <c r="T48" s="550"/>
      <c r="U48" s="550"/>
      <c r="V48" s="551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7"/>
      <c r="P49" s="554" t="s">
        <v>76</v>
      </c>
      <c r="Q49" s="550"/>
      <c r="R49" s="550"/>
      <c r="S49" s="550"/>
      <c r="T49" s="550"/>
      <c r="U49" s="550"/>
      <c r="V49" s="551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76" t="s">
        <v>121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40"/>
      <c r="AB50" s="540"/>
      <c r="AC50" s="540"/>
    </row>
    <row r="51" spans="1:68" ht="14.25" customHeight="1" x14ac:dyDescent="0.25">
      <c r="A51" s="565" t="s">
        <v>105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52">
        <v>4680115885882</v>
      </c>
      <c r="E52" s="553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8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3"/>
      <c r="R52" s="563"/>
      <c r="S52" s="563"/>
      <c r="T52" s="564"/>
      <c r="U52" s="34"/>
      <c r="V52" s="34"/>
      <c r="W52" s="35" t="s">
        <v>70</v>
      </c>
      <c r="X52" s="545">
        <v>20</v>
      </c>
      <c r="Y52" s="546">
        <f t="shared" ref="Y52:Y57" si="0">IFERROR(IF(X52="",0,CEILING((X52/$H52),1)*$H52),"")</f>
        <v>22.4</v>
      </c>
      <c r="Z52" s="36">
        <f>IFERROR(IF(Y52=0,"",ROUNDUP(Y52/H52,0)*0.01898),"")</f>
        <v>3.7960000000000001E-2</v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20.732142857142858</v>
      </c>
      <c r="BN52" s="64">
        <f t="shared" ref="BN52:BN57" si="2">IFERROR(Y52*I52/H52,"0")</f>
        <v>23.22</v>
      </c>
      <c r="BO52" s="64">
        <f t="shared" ref="BO52:BO57" si="3">IFERROR(1/J52*(X52/H52),"0")</f>
        <v>2.7901785714285716E-2</v>
      </c>
      <c r="BP52" s="64">
        <f t="shared" ref="BP52:BP57" si="4">IFERROR(1/J52*(Y52/H52),"0")</f>
        <v>3.125E-2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52">
        <v>4680115881426</v>
      </c>
      <c r="E53" s="553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3"/>
      <c r="R53" s="563"/>
      <c r="S53" s="563"/>
      <c r="T53" s="564"/>
      <c r="U53" s="34"/>
      <c r="V53" s="34"/>
      <c r="W53" s="35" t="s">
        <v>70</v>
      </c>
      <c r="X53" s="545">
        <v>1030</v>
      </c>
      <c r="Y53" s="546">
        <f t="shared" si="0"/>
        <v>1036.8000000000002</v>
      </c>
      <c r="Z53" s="36">
        <f>IFERROR(IF(Y53=0,"",ROUNDUP(Y53/H53,0)*0.01898),"")</f>
        <v>1.8220800000000001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1069.101851851852</v>
      </c>
      <c r="BN53" s="64">
        <f t="shared" si="2"/>
        <v>1076.1600000000001</v>
      </c>
      <c r="BO53" s="64">
        <f t="shared" si="3"/>
        <v>1.490162037037037</v>
      </c>
      <c r="BP53" s="64">
        <f t="shared" si="4"/>
        <v>1.5000000000000002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52">
        <v>4680115880283</v>
      </c>
      <c r="E54" s="553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62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3"/>
      <c r="R54" s="563"/>
      <c r="S54" s="563"/>
      <c r="T54" s="564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131</v>
      </c>
      <c r="B55" s="54" t="s">
        <v>132</v>
      </c>
      <c r="C55" s="31">
        <v>4301011806</v>
      </c>
      <c r="D55" s="552">
        <v>4680115881525</v>
      </c>
      <c r="E55" s="553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78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3"/>
      <c r="R55" s="563"/>
      <c r="S55" s="563"/>
      <c r="T55" s="564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134</v>
      </c>
      <c r="B56" s="54" t="s">
        <v>135</v>
      </c>
      <c r="C56" s="31">
        <v>4301011589</v>
      </c>
      <c r="D56" s="552">
        <v>4680115885899</v>
      </c>
      <c r="E56" s="553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8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3"/>
      <c r="R56" s="563"/>
      <c r="S56" s="563"/>
      <c r="T56" s="564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52">
        <v>4680115881419</v>
      </c>
      <c r="E57" s="553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60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3"/>
      <c r="R57" s="563"/>
      <c r="S57" s="563"/>
      <c r="T57" s="564"/>
      <c r="U57" s="34"/>
      <c r="V57" s="34"/>
      <c r="W57" s="35" t="s">
        <v>70</v>
      </c>
      <c r="X57" s="545">
        <v>198</v>
      </c>
      <c r="Y57" s="546">
        <f t="shared" si="0"/>
        <v>198</v>
      </c>
      <c r="Z57" s="36">
        <f>IFERROR(IF(Y57=0,"",ROUNDUP(Y57/H57,0)*0.00902),"")</f>
        <v>0.39688000000000001</v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206.36</v>
      </c>
      <c r="BN57" s="64">
        <f t="shared" si="2"/>
        <v>206.36</v>
      </c>
      <c r="BO57" s="64">
        <f t="shared" si="3"/>
        <v>0.33333333333333337</v>
      </c>
      <c r="BP57" s="64">
        <f t="shared" si="4"/>
        <v>0.33333333333333337</v>
      </c>
    </row>
    <row r="58" spans="1:68" x14ac:dyDescent="0.2">
      <c r="A58" s="555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7"/>
      <c r="P58" s="554" t="s">
        <v>76</v>
      </c>
      <c r="Q58" s="550"/>
      <c r="R58" s="550"/>
      <c r="S58" s="550"/>
      <c r="T58" s="550"/>
      <c r="U58" s="550"/>
      <c r="V58" s="551"/>
      <c r="W58" s="37" t="s">
        <v>77</v>
      </c>
      <c r="X58" s="547">
        <f>IFERROR(X52/H52,"0")+IFERROR(X53/H53,"0")+IFERROR(X54/H54,"0")+IFERROR(X55/H55,"0")+IFERROR(X56/H56,"0")+IFERROR(X57/H57,"0")</f>
        <v>141.15608465608466</v>
      </c>
      <c r="Y58" s="547">
        <f>IFERROR(Y52/H52,"0")+IFERROR(Y53/H53,"0")+IFERROR(Y54/H54,"0")+IFERROR(Y55/H55,"0")+IFERROR(Y56/H56,"0")+IFERROR(Y57/H57,"0")</f>
        <v>142</v>
      </c>
      <c r="Z58" s="547">
        <f>IFERROR(IF(Z52="",0,Z52),"0")+IFERROR(IF(Z53="",0,Z53),"0")+IFERROR(IF(Z54="",0,Z54),"0")+IFERROR(IF(Z55="",0,Z55),"0")+IFERROR(IF(Z56="",0,Z56),"0")+IFERROR(IF(Z57="",0,Z57),"0")</f>
        <v>2.25692</v>
      </c>
      <c r="AA58" s="548"/>
      <c r="AB58" s="548"/>
      <c r="AC58" s="548"/>
    </row>
    <row r="59" spans="1:68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7"/>
      <c r="P59" s="554" t="s">
        <v>76</v>
      </c>
      <c r="Q59" s="550"/>
      <c r="R59" s="550"/>
      <c r="S59" s="550"/>
      <c r="T59" s="550"/>
      <c r="U59" s="550"/>
      <c r="V59" s="551"/>
      <c r="W59" s="37" t="s">
        <v>70</v>
      </c>
      <c r="X59" s="547">
        <f>IFERROR(SUM(X52:X57),"0")</f>
        <v>1248</v>
      </c>
      <c r="Y59" s="547">
        <f>IFERROR(SUM(Y52:Y57),"0")</f>
        <v>1257.2000000000003</v>
      </c>
      <c r="Z59" s="37"/>
      <c r="AA59" s="548"/>
      <c r="AB59" s="548"/>
      <c r="AC59" s="548"/>
    </row>
    <row r="60" spans="1:68" ht="14.25" customHeight="1" x14ac:dyDescent="0.25">
      <c r="A60" s="565" t="s">
        <v>140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52">
        <v>4680115881440</v>
      </c>
      <c r="E61" s="553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3"/>
      <c r="R61" s="563"/>
      <c r="S61" s="563"/>
      <c r="T61" s="564"/>
      <c r="U61" s="34"/>
      <c r="V61" s="34"/>
      <c r="W61" s="35" t="s">
        <v>70</v>
      </c>
      <c r="X61" s="545">
        <v>550</v>
      </c>
      <c r="Y61" s="546">
        <f>IFERROR(IF(X61="",0,CEILING((X61/$H61),1)*$H61),"")</f>
        <v>550.80000000000007</v>
      </c>
      <c r="Z61" s="36">
        <f>IFERROR(IF(Y61=0,"",ROUNDUP(Y61/H61,0)*0.01898),"")</f>
        <v>0.96798000000000006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570.87962962962968</v>
      </c>
      <c r="BN61" s="64">
        <f>IFERROR(Y61*I61/H61,"0")</f>
        <v>571.71000000000015</v>
      </c>
      <c r="BO61" s="64">
        <f>IFERROR(1/J61*(X61/H61),"0")</f>
        <v>0.79571759259259256</v>
      </c>
      <c r="BP61" s="64">
        <f>IFERROR(1/J61*(Y61/H61),"0")</f>
        <v>0.796875</v>
      </c>
    </row>
    <row r="62" spans="1:68" ht="16.5" customHeight="1" x14ac:dyDescent="0.25">
      <c r="A62" s="54" t="s">
        <v>144</v>
      </c>
      <c r="B62" s="54" t="s">
        <v>145</v>
      </c>
      <c r="C62" s="31">
        <v>4301020358</v>
      </c>
      <c r="D62" s="552">
        <v>4680115885950</v>
      </c>
      <c r="E62" s="553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6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3"/>
      <c r="R62" s="563"/>
      <c r="S62" s="563"/>
      <c r="T62" s="564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52">
        <v>4680115881433</v>
      </c>
      <c r="E63" s="553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79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3"/>
      <c r="R63" s="563"/>
      <c r="S63" s="563"/>
      <c r="T63" s="564"/>
      <c r="U63" s="34"/>
      <c r="V63" s="34"/>
      <c r="W63" s="35" t="s">
        <v>70</v>
      </c>
      <c r="X63" s="545">
        <v>85.5</v>
      </c>
      <c r="Y63" s="546">
        <f>IFERROR(IF(X63="",0,CEILING((X63/$H63),1)*$H63),"")</f>
        <v>86.4</v>
      </c>
      <c r="Z63" s="36">
        <f>IFERROR(IF(Y63=0,"",ROUNDUP(Y63/H63,0)*0.00651),"")</f>
        <v>0.20832000000000001</v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91.199999999999989</v>
      </c>
      <c r="BN63" s="64">
        <f>IFERROR(Y63*I63/H63,"0")</f>
        <v>92.16</v>
      </c>
      <c r="BO63" s="64">
        <f>IFERROR(1/J63*(X63/H63),"0")</f>
        <v>0.17399267399267399</v>
      </c>
      <c r="BP63" s="64">
        <f>IFERROR(1/J63*(Y63/H63),"0")</f>
        <v>0.17582417582417584</v>
      </c>
    </row>
    <row r="64" spans="1:68" x14ac:dyDescent="0.2">
      <c r="A64" s="555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7"/>
      <c r="P64" s="554" t="s">
        <v>76</v>
      </c>
      <c r="Q64" s="550"/>
      <c r="R64" s="550"/>
      <c r="S64" s="550"/>
      <c r="T64" s="550"/>
      <c r="U64" s="550"/>
      <c r="V64" s="551"/>
      <c r="W64" s="37" t="s">
        <v>77</v>
      </c>
      <c r="X64" s="547">
        <f>IFERROR(X61/H61,"0")+IFERROR(X62/H62,"0")+IFERROR(X63/H63,"0")</f>
        <v>82.592592592592581</v>
      </c>
      <c r="Y64" s="547">
        <f>IFERROR(Y61/H61,"0")+IFERROR(Y62/H62,"0")+IFERROR(Y63/H63,"0")</f>
        <v>83</v>
      </c>
      <c r="Z64" s="547">
        <f>IFERROR(IF(Z61="",0,Z61),"0")+IFERROR(IF(Z62="",0,Z62),"0")+IFERROR(IF(Z63="",0,Z63),"0")</f>
        <v>1.1763000000000001</v>
      </c>
      <c r="AA64" s="548"/>
      <c r="AB64" s="548"/>
      <c r="AC64" s="548"/>
    </row>
    <row r="65" spans="1:68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7"/>
      <c r="P65" s="554" t="s">
        <v>76</v>
      </c>
      <c r="Q65" s="550"/>
      <c r="R65" s="550"/>
      <c r="S65" s="550"/>
      <c r="T65" s="550"/>
      <c r="U65" s="550"/>
      <c r="V65" s="551"/>
      <c r="W65" s="37" t="s">
        <v>70</v>
      </c>
      <c r="X65" s="547">
        <f>IFERROR(SUM(X61:X63),"0")</f>
        <v>635.5</v>
      </c>
      <c r="Y65" s="547">
        <f>IFERROR(SUM(Y61:Y63),"0")</f>
        <v>637.20000000000005</v>
      </c>
      <c r="Z65" s="37"/>
      <c r="AA65" s="548"/>
      <c r="AB65" s="548"/>
      <c r="AC65" s="548"/>
    </row>
    <row r="66" spans="1:68" ht="14.25" customHeight="1" x14ac:dyDescent="0.25">
      <c r="A66" s="565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52">
        <v>4680115885073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60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3"/>
      <c r="R67" s="563"/>
      <c r="S67" s="563"/>
      <c r="T67" s="564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52">
        <v>4680115885059</v>
      </c>
      <c r="E68" s="553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5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3"/>
      <c r="R68" s="563"/>
      <c r="S68" s="563"/>
      <c r="T68" s="564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52">
        <v>4680115885097</v>
      </c>
      <c r="E69" s="553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3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3"/>
      <c r="R69" s="563"/>
      <c r="S69" s="563"/>
      <c r="T69" s="564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7"/>
      <c r="P70" s="554" t="s">
        <v>76</v>
      </c>
      <c r="Q70" s="550"/>
      <c r="R70" s="550"/>
      <c r="S70" s="550"/>
      <c r="T70" s="550"/>
      <c r="U70" s="550"/>
      <c r="V70" s="551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7"/>
      <c r="P71" s="554" t="s">
        <v>76</v>
      </c>
      <c r="Q71" s="550"/>
      <c r="R71" s="550"/>
      <c r="S71" s="550"/>
      <c r="T71" s="550"/>
      <c r="U71" s="550"/>
      <c r="V71" s="551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65" t="s">
        <v>78</v>
      </c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52">
        <v>4680115885769</v>
      </c>
      <c r="E73" s="553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3"/>
      <c r="R73" s="563"/>
      <c r="S73" s="563"/>
      <c r="T73" s="564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52">
        <v>4680115884311</v>
      </c>
      <c r="E74" s="553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3"/>
      <c r="R74" s="563"/>
      <c r="S74" s="563"/>
      <c r="T74" s="564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52">
        <v>4680115885929</v>
      </c>
      <c r="E75" s="553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6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3"/>
      <c r="R75" s="563"/>
      <c r="S75" s="563"/>
      <c r="T75" s="564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52">
        <v>4680115884403</v>
      </c>
      <c r="E76" s="553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4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3"/>
      <c r="R76" s="563"/>
      <c r="S76" s="563"/>
      <c r="T76" s="564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5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7"/>
      <c r="P77" s="554" t="s">
        <v>76</v>
      </c>
      <c r="Q77" s="550"/>
      <c r="R77" s="550"/>
      <c r="S77" s="550"/>
      <c r="T77" s="550"/>
      <c r="U77" s="550"/>
      <c r="V77" s="551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7"/>
      <c r="P78" s="554" t="s">
        <v>76</v>
      </c>
      <c r="Q78" s="550"/>
      <c r="R78" s="550"/>
      <c r="S78" s="550"/>
      <c r="T78" s="550"/>
      <c r="U78" s="550"/>
      <c r="V78" s="551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65" t="s">
        <v>168</v>
      </c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52">
        <v>4680115881532</v>
      </c>
      <c r="E80" s="553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6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3"/>
      <c r="R80" s="563"/>
      <c r="S80" s="563"/>
      <c r="T80" s="564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52">
        <v>4680115881464</v>
      </c>
      <c r="E81" s="553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84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3"/>
      <c r="R81" s="563"/>
      <c r="S81" s="563"/>
      <c r="T81" s="564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5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7"/>
      <c r="P82" s="554" t="s">
        <v>76</v>
      </c>
      <c r="Q82" s="550"/>
      <c r="R82" s="550"/>
      <c r="S82" s="550"/>
      <c r="T82" s="550"/>
      <c r="U82" s="550"/>
      <c r="V82" s="551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7"/>
      <c r="P83" s="554" t="s">
        <v>76</v>
      </c>
      <c r="Q83" s="550"/>
      <c r="R83" s="550"/>
      <c r="S83" s="550"/>
      <c r="T83" s="550"/>
      <c r="U83" s="550"/>
      <c r="V83" s="551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76" t="s">
        <v>175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40"/>
      <c r="AB84" s="540"/>
      <c r="AC84" s="540"/>
    </row>
    <row r="85" spans="1:68" ht="14.25" customHeight="1" x14ac:dyDescent="0.25">
      <c r="A85" s="565" t="s">
        <v>105</v>
      </c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52">
        <v>4680115881327</v>
      </c>
      <c r="E86" s="553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3"/>
      <c r="R86" s="563"/>
      <c r="S86" s="563"/>
      <c r="T86" s="564"/>
      <c r="U86" s="34"/>
      <c r="V86" s="34"/>
      <c r="W86" s="35" t="s">
        <v>70</v>
      </c>
      <c r="X86" s="545">
        <v>280</v>
      </c>
      <c r="Y86" s="546">
        <f>IFERROR(IF(X86="",0,CEILING((X86/$H86),1)*$H86),"")</f>
        <v>280.8</v>
      </c>
      <c r="Z86" s="36">
        <f>IFERROR(IF(Y86=0,"",ROUNDUP(Y86/H86,0)*0.01898),"")</f>
        <v>0.49348000000000003</v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290.62962962962962</v>
      </c>
      <c r="BN86" s="64">
        <f>IFERROR(Y86*I86/H86,"0")</f>
        <v>291.46000000000004</v>
      </c>
      <c r="BO86" s="64">
        <f>IFERROR(1/J86*(X86/H86),"0")</f>
        <v>0.40509259259259256</v>
      </c>
      <c r="BP86" s="64">
        <f>IFERROR(1/J86*(Y86/H86),"0")</f>
        <v>0.40625</v>
      </c>
    </row>
    <row r="87" spans="1:68" ht="27" customHeight="1" x14ac:dyDescent="0.25">
      <c r="A87" s="54" t="s">
        <v>179</v>
      </c>
      <c r="B87" s="54" t="s">
        <v>180</v>
      </c>
      <c r="C87" s="31">
        <v>4301011476</v>
      </c>
      <c r="D87" s="552">
        <v>4680115881518</v>
      </c>
      <c r="E87" s="553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2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3"/>
      <c r="R87" s="563"/>
      <c r="S87" s="563"/>
      <c r="T87" s="564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52">
        <v>4680115881303</v>
      </c>
      <c r="E88" s="553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2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3"/>
      <c r="R88" s="563"/>
      <c r="S88" s="563"/>
      <c r="T88" s="564"/>
      <c r="U88" s="34"/>
      <c r="V88" s="34"/>
      <c r="W88" s="35" t="s">
        <v>70</v>
      </c>
      <c r="X88" s="545">
        <v>94.5</v>
      </c>
      <c r="Y88" s="546">
        <f>IFERROR(IF(X88="",0,CEILING((X88/$H88),1)*$H88),"")</f>
        <v>94.5</v>
      </c>
      <c r="Z88" s="36">
        <f>IFERROR(IF(Y88=0,"",ROUNDUP(Y88/H88,0)*0.00902),"")</f>
        <v>0.18942000000000001</v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98.490000000000009</v>
      </c>
      <c r="BN88" s="64">
        <f>IFERROR(Y88*I88/H88,"0")</f>
        <v>98.490000000000009</v>
      </c>
      <c r="BO88" s="64">
        <f>IFERROR(1/J88*(X88/H88),"0")</f>
        <v>0.15909090909090909</v>
      </c>
      <c r="BP88" s="64">
        <f>IFERROR(1/J88*(Y88/H88),"0")</f>
        <v>0.15909090909090909</v>
      </c>
    </row>
    <row r="89" spans="1:68" x14ac:dyDescent="0.2">
      <c r="A89" s="555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7"/>
      <c r="P89" s="554" t="s">
        <v>76</v>
      </c>
      <c r="Q89" s="550"/>
      <c r="R89" s="550"/>
      <c r="S89" s="550"/>
      <c r="T89" s="550"/>
      <c r="U89" s="550"/>
      <c r="V89" s="551"/>
      <c r="W89" s="37" t="s">
        <v>77</v>
      </c>
      <c r="X89" s="547">
        <f>IFERROR(X86/H86,"0")+IFERROR(X87/H87,"0")+IFERROR(X88/H88,"0")</f>
        <v>46.925925925925924</v>
      </c>
      <c r="Y89" s="547">
        <f>IFERROR(Y86/H86,"0")+IFERROR(Y87/H87,"0")+IFERROR(Y88/H88,"0")</f>
        <v>47</v>
      </c>
      <c r="Z89" s="547">
        <f>IFERROR(IF(Z86="",0,Z86),"0")+IFERROR(IF(Z87="",0,Z87),"0")+IFERROR(IF(Z88="",0,Z88),"0")</f>
        <v>0.68290000000000006</v>
      </c>
      <c r="AA89" s="548"/>
      <c r="AB89" s="548"/>
      <c r="AC89" s="548"/>
    </row>
    <row r="90" spans="1:68" x14ac:dyDescent="0.2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7"/>
      <c r="P90" s="554" t="s">
        <v>76</v>
      </c>
      <c r="Q90" s="550"/>
      <c r="R90" s="550"/>
      <c r="S90" s="550"/>
      <c r="T90" s="550"/>
      <c r="U90" s="550"/>
      <c r="V90" s="551"/>
      <c r="W90" s="37" t="s">
        <v>70</v>
      </c>
      <c r="X90" s="547">
        <f>IFERROR(SUM(X86:X88),"0")</f>
        <v>374.5</v>
      </c>
      <c r="Y90" s="547">
        <f>IFERROR(SUM(Y86:Y88),"0")</f>
        <v>375.3</v>
      </c>
      <c r="Z90" s="37"/>
      <c r="AA90" s="548"/>
      <c r="AB90" s="548"/>
      <c r="AC90" s="548"/>
    </row>
    <row r="91" spans="1:68" ht="14.25" customHeight="1" x14ac:dyDescent="0.25">
      <c r="A91" s="565" t="s">
        <v>78</v>
      </c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52">
        <v>4607091386967</v>
      </c>
      <c r="E92" s="553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8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3"/>
      <c r="R92" s="563"/>
      <c r="S92" s="563"/>
      <c r="T92" s="564"/>
      <c r="U92" s="34"/>
      <c r="V92" s="34"/>
      <c r="W92" s="35" t="s">
        <v>70</v>
      </c>
      <c r="X92" s="545">
        <v>88</v>
      </c>
      <c r="Y92" s="546">
        <f>IFERROR(IF(X92="",0,CEILING((X92/$H92),1)*$H92),"")</f>
        <v>89.1</v>
      </c>
      <c r="Z92" s="36">
        <f>IFERROR(IF(Y92=0,"",ROUNDUP(Y92/H92,0)*0.01898),"")</f>
        <v>0.20877999999999999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93.366913580246916</v>
      </c>
      <c r="BN92" s="64">
        <f>IFERROR(Y92*I92/H92,"0")</f>
        <v>94.533999999999992</v>
      </c>
      <c r="BO92" s="64">
        <f>IFERROR(1/J92*(X92/H92),"0")</f>
        <v>0.16975308641975309</v>
      </c>
      <c r="BP92" s="64">
        <f>IFERROR(1/J92*(Y92/H92),"0")</f>
        <v>0.171875</v>
      </c>
    </row>
    <row r="93" spans="1:68" ht="27" customHeight="1" x14ac:dyDescent="0.25">
      <c r="A93" s="54" t="s">
        <v>186</v>
      </c>
      <c r="B93" s="54" t="s">
        <v>187</v>
      </c>
      <c r="C93" s="31">
        <v>4301051788</v>
      </c>
      <c r="D93" s="552">
        <v>4680115884953</v>
      </c>
      <c r="E93" s="553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68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3"/>
      <c r="R93" s="563"/>
      <c r="S93" s="563"/>
      <c r="T93" s="564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52">
        <v>4607091385731</v>
      </c>
      <c r="E94" s="553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8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3"/>
      <c r="R94" s="563"/>
      <c r="S94" s="563"/>
      <c r="T94" s="564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52">
        <v>4680115880894</v>
      </c>
      <c r="E95" s="553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8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3"/>
      <c r="R95" s="563"/>
      <c r="S95" s="563"/>
      <c r="T95" s="564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5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7"/>
      <c r="P96" s="554" t="s">
        <v>76</v>
      </c>
      <c r="Q96" s="550"/>
      <c r="R96" s="550"/>
      <c r="S96" s="550"/>
      <c r="T96" s="550"/>
      <c r="U96" s="550"/>
      <c r="V96" s="551"/>
      <c r="W96" s="37" t="s">
        <v>77</v>
      </c>
      <c r="X96" s="547">
        <f>IFERROR(X92/H92,"0")+IFERROR(X93/H93,"0")+IFERROR(X94/H94,"0")+IFERROR(X95/H95,"0")</f>
        <v>10.864197530864198</v>
      </c>
      <c r="Y96" s="547">
        <f>IFERROR(Y92/H92,"0")+IFERROR(Y93/H93,"0")+IFERROR(Y94/H94,"0")+IFERROR(Y95/H95,"0")</f>
        <v>11</v>
      </c>
      <c r="Z96" s="547">
        <f>IFERROR(IF(Z92="",0,Z92),"0")+IFERROR(IF(Z93="",0,Z93),"0")+IFERROR(IF(Z94="",0,Z94),"0")+IFERROR(IF(Z95="",0,Z95),"0")</f>
        <v>0.20877999999999999</v>
      </c>
      <c r="AA96" s="548"/>
      <c r="AB96" s="548"/>
      <c r="AC96" s="548"/>
    </row>
    <row r="97" spans="1:68" x14ac:dyDescent="0.2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7"/>
      <c r="P97" s="554" t="s">
        <v>76</v>
      </c>
      <c r="Q97" s="550"/>
      <c r="R97" s="550"/>
      <c r="S97" s="550"/>
      <c r="T97" s="550"/>
      <c r="U97" s="550"/>
      <c r="V97" s="551"/>
      <c r="W97" s="37" t="s">
        <v>70</v>
      </c>
      <c r="X97" s="547">
        <f>IFERROR(SUM(X92:X95),"0")</f>
        <v>88</v>
      </c>
      <c r="Y97" s="547">
        <f>IFERROR(SUM(Y92:Y95),"0")</f>
        <v>89.1</v>
      </c>
      <c r="Z97" s="37"/>
      <c r="AA97" s="548"/>
      <c r="AB97" s="548"/>
      <c r="AC97" s="548"/>
    </row>
    <row r="98" spans="1:68" ht="16.5" customHeight="1" x14ac:dyDescent="0.25">
      <c r="A98" s="576" t="s">
        <v>194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40"/>
      <c r="AB98" s="540"/>
      <c r="AC98" s="540"/>
    </row>
    <row r="99" spans="1:68" ht="14.25" customHeight="1" x14ac:dyDescent="0.25">
      <c r="A99" s="565" t="s">
        <v>105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52">
        <v>4680115882133</v>
      </c>
      <c r="E100" s="553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8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3"/>
      <c r="R100" s="563"/>
      <c r="S100" s="563"/>
      <c r="T100" s="564"/>
      <c r="U100" s="34"/>
      <c r="V100" s="34"/>
      <c r="W100" s="35" t="s">
        <v>70</v>
      </c>
      <c r="X100" s="545">
        <v>10</v>
      </c>
      <c r="Y100" s="546">
        <f>IFERROR(IF(X100="",0,CEILING((X100/$H100),1)*$H100),"")</f>
        <v>10.8</v>
      </c>
      <c r="Z100" s="36">
        <f>IFERROR(IF(Y100=0,"",ROUNDUP(Y100/H100,0)*0.01898),"")</f>
        <v>1.898E-2</v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10.37962962962963</v>
      </c>
      <c r="BN100" s="64">
        <f>IFERROR(Y100*I100/H100,"0")</f>
        <v>11.21</v>
      </c>
      <c r="BO100" s="64">
        <f>IFERROR(1/J100*(X100/H100),"0")</f>
        <v>1.4467592592592591E-2</v>
      </c>
      <c r="BP100" s="64">
        <f>IFERROR(1/J100*(Y100/H100),"0")</f>
        <v>1.5625E-2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6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3"/>
      <c r="R101" s="563"/>
      <c r="S101" s="563"/>
      <c r="T101" s="564"/>
      <c r="U101" s="34"/>
      <c r="V101" s="34"/>
      <c r="W101" s="35" t="s">
        <v>70</v>
      </c>
      <c r="X101" s="545">
        <v>18.75</v>
      </c>
      <c r="Y101" s="546">
        <f>IFERROR(IF(X101="",0,CEILING((X101/$H101),1)*$H101),"")</f>
        <v>18.75</v>
      </c>
      <c r="Z101" s="36">
        <f>IFERROR(IF(Y101=0,"",ROUNDUP(Y101/H101,0)*0.00902),"")</f>
        <v>4.5100000000000001E-2</v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19.7</v>
      </c>
      <c r="BN101" s="64">
        <f>IFERROR(Y101*I101/H101,"0")</f>
        <v>19.7</v>
      </c>
      <c r="BO101" s="64">
        <f>IFERROR(1/J101*(X101/H101),"0")</f>
        <v>3.787878787878788E-2</v>
      </c>
      <c r="BP101" s="64">
        <f>IFERROR(1/J101*(Y101/H101),"0")</f>
        <v>3.787878787878788E-2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69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3"/>
      <c r="R102" s="563"/>
      <c r="S102" s="563"/>
      <c r="T102" s="564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8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3"/>
      <c r="R103" s="563"/>
      <c r="S103" s="563"/>
      <c r="T103" s="564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5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7"/>
      <c r="P104" s="554" t="s">
        <v>76</v>
      </c>
      <c r="Q104" s="550"/>
      <c r="R104" s="550"/>
      <c r="S104" s="550"/>
      <c r="T104" s="550"/>
      <c r="U104" s="550"/>
      <c r="V104" s="551"/>
      <c r="W104" s="37" t="s">
        <v>77</v>
      </c>
      <c r="X104" s="547">
        <f>IFERROR(X100/H100,"0")+IFERROR(X101/H101,"0")+IFERROR(X102/H102,"0")+IFERROR(X103/H103,"0")</f>
        <v>5.9259259259259256</v>
      </c>
      <c r="Y104" s="547">
        <f>IFERROR(Y100/H100,"0")+IFERROR(Y101/H101,"0")+IFERROR(Y102/H102,"0")+IFERROR(Y103/H103,"0")</f>
        <v>6</v>
      </c>
      <c r="Z104" s="547">
        <f>IFERROR(IF(Z100="",0,Z100),"0")+IFERROR(IF(Z101="",0,Z101),"0")+IFERROR(IF(Z102="",0,Z102),"0")+IFERROR(IF(Z103="",0,Z103),"0")</f>
        <v>6.4079999999999998E-2</v>
      </c>
      <c r="AA104" s="548"/>
      <c r="AB104" s="548"/>
      <c r="AC104" s="548"/>
    </row>
    <row r="105" spans="1:68" x14ac:dyDescent="0.2">
      <c r="A105" s="556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7"/>
      <c r="P105" s="554" t="s">
        <v>76</v>
      </c>
      <c r="Q105" s="550"/>
      <c r="R105" s="550"/>
      <c r="S105" s="550"/>
      <c r="T105" s="550"/>
      <c r="U105" s="550"/>
      <c r="V105" s="551"/>
      <c r="W105" s="37" t="s">
        <v>70</v>
      </c>
      <c r="X105" s="547">
        <f>IFERROR(SUM(X100:X103),"0")</f>
        <v>28.75</v>
      </c>
      <c r="Y105" s="547">
        <f>IFERROR(SUM(Y100:Y103),"0")</f>
        <v>29.55</v>
      </c>
      <c r="Z105" s="37"/>
      <c r="AA105" s="548"/>
      <c r="AB105" s="548"/>
      <c r="AC105" s="548"/>
    </row>
    <row r="106" spans="1:68" ht="14.25" customHeight="1" x14ac:dyDescent="0.25">
      <c r="A106" s="565" t="s">
        <v>140</v>
      </c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65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3"/>
      <c r="R107" s="563"/>
      <c r="S107" s="563"/>
      <c r="T107" s="564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52">
        <v>4680115882775</v>
      </c>
      <c r="E108" s="553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69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63"/>
      <c r="R108" s="563"/>
      <c r="S108" s="563"/>
      <c r="T108" s="564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52">
        <v>4680115880658</v>
      </c>
      <c r="E109" s="553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6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63"/>
      <c r="R109" s="563"/>
      <c r="S109" s="563"/>
      <c r="T109" s="564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5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7"/>
      <c r="P110" s="554" t="s">
        <v>76</v>
      </c>
      <c r="Q110" s="550"/>
      <c r="R110" s="550"/>
      <c r="S110" s="550"/>
      <c r="T110" s="550"/>
      <c r="U110" s="550"/>
      <c r="V110" s="551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7"/>
      <c r="P111" s="554" t="s">
        <v>76</v>
      </c>
      <c r="Q111" s="550"/>
      <c r="R111" s="550"/>
      <c r="S111" s="550"/>
      <c r="T111" s="550"/>
      <c r="U111" s="550"/>
      <c r="V111" s="551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customHeight="1" x14ac:dyDescent="0.25">
      <c r="A112" s="565" t="s">
        <v>78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52">
        <v>4607091385168</v>
      </c>
      <c r="E113" s="553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63"/>
      <c r="R113" s="563"/>
      <c r="S113" s="563"/>
      <c r="T113" s="564"/>
      <c r="U113" s="34"/>
      <c r="V113" s="34"/>
      <c r="W113" s="35" t="s">
        <v>70</v>
      </c>
      <c r="X113" s="545">
        <v>40</v>
      </c>
      <c r="Y113" s="546">
        <f>IFERROR(IF(X113="",0,CEILING((X113/$H113),1)*$H113),"")</f>
        <v>40.5</v>
      </c>
      <c r="Z113" s="36">
        <f>IFERROR(IF(Y113=0,"",ROUNDUP(Y113/H113,0)*0.01898),"")</f>
        <v>9.4899999999999998E-2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42.409876543209876</v>
      </c>
      <c r="BN113" s="64">
        <f>IFERROR(Y113*I113/H113,"0")</f>
        <v>42.94</v>
      </c>
      <c r="BO113" s="64">
        <f>IFERROR(1/J113*(X113/H113),"0")</f>
        <v>7.7160493827160503E-2</v>
      </c>
      <c r="BP113" s="64">
        <f>IFERROR(1/J113*(Y113/H113),"0")</f>
        <v>7.8125E-2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52">
        <v>4607091383256</v>
      </c>
      <c r="E114" s="553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63"/>
      <c r="R114" s="563"/>
      <c r="S114" s="563"/>
      <c r="T114" s="564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52">
        <v>4607091385748</v>
      </c>
      <c r="E115" s="553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63"/>
      <c r="R115" s="563"/>
      <c r="S115" s="563"/>
      <c r="T115" s="564"/>
      <c r="U115" s="34"/>
      <c r="V115" s="34"/>
      <c r="W115" s="35" t="s">
        <v>70</v>
      </c>
      <c r="X115" s="545">
        <v>23.4</v>
      </c>
      <c r="Y115" s="546">
        <f>IFERROR(IF(X115="",0,CEILING((X115/$H115),1)*$H115),"")</f>
        <v>24.3</v>
      </c>
      <c r="Z115" s="36">
        <f>IFERROR(IF(Y115=0,"",ROUNDUP(Y115/H115,0)*0.00651),"")</f>
        <v>5.8590000000000003E-2</v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25.583999999999996</v>
      </c>
      <c r="BN115" s="64">
        <f>IFERROR(Y115*I115/H115,"0")</f>
        <v>26.567999999999998</v>
      </c>
      <c r="BO115" s="64">
        <f>IFERROR(1/J115*(X115/H115),"0")</f>
        <v>4.7619047619047616E-2</v>
      </c>
      <c r="BP115" s="64">
        <f>IFERROR(1/J115*(Y115/H115),"0")</f>
        <v>4.9450549450549455E-2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52">
        <v>4680115884533</v>
      </c>
      <c r="E116" s="553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79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63"/>
      <c r="R116" s="563"/>
      <c r="S116" s="563"/>
      <c r="T116" s="564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5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7"/>
      <c r="P117" s="554" t="s">
        <v>76</v>
      </c>
      <c r="Q117" s="550"/>
      <c r="R117" s="550"/>
      <c r="S117" s="550"/>
      <c r="T117" s="550"/>
      <c r="U117" s="550"/>
      <c r="V117" s="551"/>
      <c r="W117" s="37" t="s">
        <v>77</v>
      </c>
      <c r="X117" s="547">
        <f>IFERROR(X113/H113,"0")+IFERROR(X114/H114,"0")+IFERROR(X115/H115,"0")+IFERROR(X116/H116,"0")</f>
        <v>13.604938271604938</v>
      </c>
      <c r="Y117" s="547">
        <f>IFERROR(Y113/H113,"0")+IFERROR(Y114/H114,"0")+IFERROR(Y115/H115,"0")+IFERROR(Y116/H116,"0")</f>
        <v>14</v>
      </c>
      <c r="Z117" s="547">
        <f>IFERROR(IF(Z113="",0,Z113),"0")+IFERROR(IF(Z114="",0,Z114),"0")+IFERROR(IF(Z115="",0,Z115),"0")+IFERROR(IF(Z116="",0,Z116),"0")</f>
        <v>0.15349000000000002</v>
      </c>
      <c r="AA117" s="548"/>
      <c r="AB117" s="548"/>
      <c r="AC117" s="548"/>
    </row>
    <row r="118" spans="1:68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7"/>
      <c r="P118" s="554" t="s">
        <v>76</v>
      </c>
      <c r="Q118" s="550"/>
      <c r="R118" s="550"/>
      <c r="S118" s="550"/>
      <c r="T118" s="550"/>
      <c r="U118" s="550"/>
      <c r="V118" s="551"/>
      <c r="W118" s="37" t="s">
        <v>70</v>
      </c>
      <c r="X118" s="547">
        <f>IFERROR(SUM(X113:X116),"0")</f>
        <v>63.4</v>
      </c>
      <c r="Y118" s="547">
        <f>IFERROR(SUM(Y113:Y116),"0")</f>
        <v>64.8</v>
      </c>
      <c r="Z118" s="37"/>
      <c r="AA118" s="548"/>
      <c r="AB118" s="548"/>
      <c r="AC118" s="548"/>
    </row>
    <row r="119" spans="1:68" ht="14.25" customHeight="1" x14ac:dyDescent="0.25">
      <c r="A119" s="565" t="s">
        <v>168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52">
        <v>4680115880238</v>
      </c>
      <c r="E120" s="553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8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63"/>
      <c r="R120" s="563"/>
      <c r="S120" s="563"/>
      <c r="T120" s="564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5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7"/>
      <c r="P121" s="554" t="s">
        <v>76</v>
      </c>
      <c r="Q121" s="550"/>
      <c r="R121" s="550"/>
      <c r="S121" s="550"/>
      <c r="T121" s="550"/>
      <c r="U121" s="550"/>
      <c r="V121" s="551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7"/>
      <c r="P122" s="554" t="s">
        <v>76</v>
      </c>
      <c r="Q122" s="550"/>
      <c r="R122" s="550"/>
      <c r="S122" s="550"/>
      <c r="T122" s="550"/>
      <c r="U122" s="550"/>
      <c r="V122" s="551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customHeight="1" x14ac:dyDescent="0.25">
      <c r="A123" s="576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40"/>
      <c r="AB123" s="540"/>
      <c r="AC123" s="540"/>
    </row>
    <row r="124" spans="1:68" ht="14.25" customHeight="1" x14ac:dyDescent="0.25">
      <c r="A124" s="565" t="s">
        <v>105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52">
        <v>4680115882577</v>
      </c>
      <c r="E125" s="553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6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63"/>
      <c r="R125" s="563"/>
      <c r="S125" s="563"/>
      <c r="T125" s="564"/>
      <c r="U125" s="34"/>
      <c r="V125" s="34"/>
      <c r="W125" s="35" t="s">
        <v>70</v>
      </c>
      <c r="X125" s="545">
        <v>6.4</v>
      </c>
      <c r="Y125" s="546">
        <f>IFERROR(IF(X125="",0,CEILING((X125/$H125),1)*$H125),"")</f>
        <v>6.4</v>
      </c>
      <c r="Z125" s="36">
        <f>IFERROR(IF(Y125=0,"",ROUNDUP(Y125/H125,0)*0.00651),"")</f>
        <v>1.302E-2</v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6.76</v>
      </c>
      <c r="BN125" s="64">
        <f>IFERROR(Y125*I125/H125,"0")</f>
        <v>6.76</v>
      </c>
      <c r="BO125" s="64">
        <f>IFERROR(1/J125*(X125/H125),"0")</f>
        <v>1.098901098901099E-2</v>
      </c>
      <c r="BP125" s="64">
        <f>IFERROR(1/J125*(Y125/H125),"0")</f>
        <v>1.098901098901099E-2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56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63"/>
      <c r="R126" s="563"/>
      <c r="S126" s="563"/>
      <c r="T126" s="564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5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7"/>
      <c r="P127" s="554" t="s">
        <v>76</v>
      </c>
      <c r="Q127" s="550"/>
      <c r="R127" s="550"/>
      <c r="S127" s="550"/>
      <c r="T127" s="550"/>
      <c r="U127" s="550"/>
      <c r="V127" s="551"/>
      <c r="W127" s="37" t="s">
        <v>77</v>
      </c>
      <c r="X127" s="547">
        <f>IFERROR(X125/H125,"0")+IFERROR(X126/H126,"0")</f>
        <v>2</v>
      </c>
      <c r="Y127" s="547">
        <f>IFERROR(Y125/H125,"0")+IFERROR(Y126/H126,"0")</f>
        <v>2</v>
      </c>
      <c r="Z127" s="547">
        <f>IFERROR(IF(Z125="",0,Z125),"0")+IFERROR(IF(Z126="",0,Z126),"0")</f>
        <v>1.302E-2</v>
      </c>
      <c r="AA127" s="548"/>
      <c r="AB127" s="548"/>
      <c r="AC127" s="548"/>
    </row>
    <row r="128" spans="1:68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7"/>
      <c r="P128" s="554" t="s">
        <v>76</v>
      </c>
      <c r="Q128" s="550"/>
      <c r="R128" s="550"/>
      <c r="S128" s="550"/>
      <c r="T128" s="550"/>
      <c r="U128" s="550"/>
      <c r="V128" s="551"/>
      <c r="W128" s="37" t="s">
        <v>70</v>
      </c>
      <c r="X128" s="547">
        <f>IFERROR(SUM(X125:X126),"0")</f>
        <v>6.4</v>
      </c>
      <c r="Y128" s="547">
        <f>IFERROR(SUM(Y125:Y126),"0")</f>
        <v>6.4</v>
      </c>
      <c r="Z128" s="37"/>
      <c r="AA128" s="548"/>
      <c r="AB128" s="548"/>
      <c r="AC128" s="548"/>
    </row>
    <row r="129" spans="1:68" ht="14.25" customHeight="1" x14ac:dyDescent="0.25">
      <c r="A129" s="565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52">
        <v>4680115883444</v>
      </c>
      <c r="E130" s="553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6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63"/>
      <c r="R130" s="563"/>
      <c r="S130" s="563"/>
      <c r="T130" s="564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63"/>
      <c r="R131" s="563"/>
      <c r="S131" s="563"/>
      <c r="T131" s="564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5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7"/>
      <c r="P132" s="554" t="s">
        <v>76</v>
      </c>
      <c r="Q132" s="550"/>
      <c r="R132" s="550"/>
      <c r="S132" s="550"/>
      <c r="T132" s="550"/>
      <c r="U132" s="550"/>
      <c r="V132" s="551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7"/>
      <c r="P133" s="554" t="s">
        <v>76</v>
      </c>
      <c r="Q133" s="550"/>
      <c r="R133" s="550"/>
      <c r="S133" s="550"/>
      <c r="T133" s="550"/>
      <c r="U133" s="550"/>
      <c r="V133" s="551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customHeight="1" x14ac:dyDescent="0.25">
      <c r="A134" s="565" t="s">
        <v>78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52">
        <v>4680115882584</v>
      </c>
      <c r="E135" s="553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6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63"/>
      <c r="R135" s="563"/>
      <c r="S135" s="563"/>
      <c r="T135" s="564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5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63"/>
      <c r="R136" s="563"/>
      <c r="S136" s="563"/>
      <c r="T136" s="564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5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7"/>
      <c r="P137" s="554" t="s">
        <v>76</v>
      </c>
      <c r="Q137" s="550"/>
      <c r="R137" s="550"/>
      <c r="S137" s="550"/>
      <c r="T137" s="550"/>
      <c r="U137" s="550"/>
      <c r="V137" s="551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7"/>
      <c r="P138" s="554" t="s">
        <v>76</v>
      </c>
      <c r="Q138" s="550"/>
      <c r="R138" s="550"/>
      <c r="S138" s="550"/>
      <c r="T138" s="550"/>
      <c r="U138" s="550"/>
      <c r="V138" s="551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customHeight="1" x14ac:dyDescent="0.25">
      <c r="A139" s="576" t="s">
        <v>103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40"/>
      <c r="AB139" s="540"/>
      <c r="AC139" s="540"/>
    </row>
    <row r="140" spans="1:68" ht="14.25" customHeight="1" x14ac:dyDescent="0.25">
      <c r="A140" s="565" t="s">
        <v>105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52">
        <v>4680115887374</v>
      </c>
      <c r="E141" s="553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0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63"/>
      <c r="R141" s="563"/>
      <c r="S141" s="563"/>
      <c r="T141" s="564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52">
        <v>4607091384604</v>
      </c>
      <c r="E142" s="553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7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63"/>
      <c r="R142" s="563"/>
      <c r="S142" s="563"/>
      <c r="T142" s="564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5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7"/>
      <c r="P143" s="554" t="s">
        <v>76</v>
      </c>
      <c r="Q143" s="550"/>
      <c r="R143" s="550"/>
      <c r="S143" s="550"/>
      <c r="T143" s="550"/>
      <c r="U143" s="550"/>
      <c r="V143" s="551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7"/>
      <c r="P144" s="554" t="s">
        <v>76</v>
      </c>
      <c r="Q144" s="550"/>
      <c r="R144" s="550"/>
      <c r="S144" s="550"/>
      <c r="T144" s="550"/>
      <c r="U144" s="550"/>
      <c r="V144" s="551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customHeight="1" x14ac:dyDescent="0.25">
      <c r="A145" s="565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52">
        <v>4607091387667</v>
      </c>
      <c r="E146" s="553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61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63"/>
      <c r="R146" s="563"/>
      <c r="S146" s="563"/>
      <c r="T146" s="564"/>
      <c r="U146" s="34"/>
      <c r="V146" s="34"/>
      <c r="W146" s="35" t="s">
        <v>70</v>
      </c>
      <c r="X146" s="545">
        <v>20</v>
      </c>
      <c r="Y146" s="546">
        <f>IFERROR(IF(X146="",0,CEILING((X146/$H146),1)*$H146),"")</f>
        <v>27</v>
      </c>
      <c r="Z146" s="36">
        <f>IFERROR(IF(Y146=0,"",ROUNDUP(Y146/H146,0)*0.01898),"")</f>
        <v>5.6940000000000004E-2</v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21.244444444444447</v>
      </c>
      <c r="BN146" s="64">
        <f>IFERROR(Y146*I146/H146,"0")</f>
        <v>28.68</v>
      </c>
      <c r="BO146" s="64">
        <f>IFERROR(1/J146*(X146/H146),"0")</f>
        <v>3.4722222222222224E-2</v>
      </c>
      <c r="BP146" s="64">
        <f>IFERROR(1/J146*(Y146/H146),"0")</f>
        <v>4.6875E-2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52">
        <v>4607091387636</v>
      </c>
      <c r="E147" s="553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83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63"/>
      <c r="R147" s="563"/>
      <c r="S147" s="563"/>
      <c r="T147" s="564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52">
        <v>4607091382426</v>
      </c>
      <c r="E148" s="553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8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63"/>
      <c r="R148" s="563"/>
      <c r="S148" s="563"/>
      <c r="T148" s="564"/>
      <c r="U148" s="34"/>
      <c r="V148" s="34"/>
      <c r="W148" s="35" t="s">
        <v>70</v>
      </c>
      <c r="X148" s="545">
        <v>20</v>
      </c>
      <c r="Y148" s="546">
        <f>IFERROR(IF(X148="",0,CEILING((X148/$H148),1)*$H148),"")</f>
        <v>27</v>
      </c>
      <c r="Z148" s="36">
        <f>IFERROR(IF(Y148=0,"",ROUNDUP(Y148/H148,0)*0.01898),"")</f>
        <v>5.6940000000000004E-2</v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21.244444444444447</v>
      </c>
      <c r="BN148" s="64">
        <f>IFERROR(Y148*I148/H148,"0")</f>
        <v>28.68</v>
      </c>
      <c r="BO148" s="64">
        <f>IFERROR(1/J148*(X148/H148),"0")</f>
        <v>3.4722222222222224E-2</v>
      </c>
      <c r="BP148" s="64">
        <f>IFERROR(1/J148*(Y148/H148),"0")</f>
        <v>4.6875E-2</v>
      </c>
    </row>
    <row r="149" spans="1:68" x14ac:dyDescent="0.2">
      <c r="A149" s="555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7"/>
      <c r="P149" s="554" t="s">
        <v>76</v>
      </c>
      <c r="Q149" s="550"/>
      <c r="R149" s="550"/>
      <c r="S149" s="550"/>
      <c r="T149" s="550"/>
      <c r="U149" s="550"/>
      <c r="V149" s="551"/>
      <c r="W149" s="37" t="s">
        <v>77</v>
      </c>
      <c r="X149" s="547">
        <f>IFERROR(X146/H146,"0")+IFERROR(X147/H147,"0")+IFERROR(X148/H148,"0")</f>
        <v>4.4444444444444446</v>
      </c>
      <c r="Y149" s="547">
        <f>IFERROR(Y146/H146,"0")+IFERROR(Y147/H147,"0")+IFERROR(Y148/H148,"0")</f>
        <v>6</v>
      </c>
      <c r="Z149" s="547">
        <f>IFERROR(IF(Z146="",0,Z146),"0")+IFERROR(IF(Z147="",0,Z147),"0")+IFERROR(IF(Z148="",0,Z148),"0")</f>
        <v>0.11388000000000001</v>
      </c>
      <c r="AA149" s="548"/>
      <c r="AB149" s="548"/>
      <c r="AC149" s="548"/>
    </row>
    <row r="150" spans="1:68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7"/>
      <c r="P150" s="554" t="s">
        <v>76</v>
      </c>
      <c r="Q150" s="550"/>
      <c r="R150" s="550"/>
      <c r="S150" s="550"/>
      <c r="T150" s="550"/>
      <c r="U150" s="550"/>
      <c r="V150" s="551"/>
      <c r="W150" s="37" t="s">
        <v>70</v>
      </c>
      <c r="X150" s="547">
        <f>IFERROR(SUM(X146:X148),"0")</f>
        <v>40</v>
      </c>
      <c r="Y150" s="547">
        <f>IFERROR(SUM(Y146:Y148),"0")</f>
        <v>54</v>
      </c>
      <c r="Z150" s="37"/>
      <c r="AA150" s="548"/>
      <c r="AB150" s="548"/>
      <c r="AC150" s="548"/>
    </row>
    <row r="151" spans="1:68" ht="14.25" customHeight="1" x14ac:dyDescent="0.25">
      <c r="A151" s="565" t="s">
        <v>78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41"/>
      <c r="AB151" s="541"/>
      <c r="AC151" s="541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52">
        <v>4680115887459</v>
      </c>
      <c r="E152" s="553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8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63"/>
      <c r="R152" s="563"/>
      <c r="S152" s="563"/>
      <c r="T152" s="564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5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7"/>
      <c r="P153" s="554" t="s">
        <v>76</v>
      </c>
      <c r="Q153" s="550"/>
      <c r="R153" s="550"/>
      <c r="S153" s="550"/>
      <c r="T153" s="550"/>
      <c r="U153" s="550"/>
      <c r="V153" s="551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7"/>
      <c r="P154" s="554" t="s">
        <v>76</v>
      </c>
      <c r="Q154" s="550"/>
      <c r="R154" s="550"/>
      <c r="S154" s="550"/>
      <c r="T154" s="550"/>
      <c r="U154" s="550"/>
      <c r="V154" s="551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customHeight="1" x14ac:dyDescent="0.2">
      <c r="A155" s="636" t="s">
        <v>254</v>
      </c>
      <c r="B155" s="637"/>
      <c r="C155" s="637"/>
      <c r="D155" s="637"/>
      <c r="E155" s="637"/>
      <c r="F155" s="637"/>
      <c r="G155" s="637"/>
      <c r="H155" s="637"/>
      <c r="I155" s="637"/>
      <c r="J155" s="637"/>
      <c r="K155" s="637"/>
      <c r="L155" s="637"/>
      <c r="M155" s="637"/>
      <c r="N155" s="637"/>
      <c r="O155" s="637"/>
      <c r="P155" s="637"/>
      <c r="Q155" s="637"/>
      <c r="R155" s="637"/>
      <c r="S155" s="637"/>
      <c r="T155" s="637"/>
      <c r="U155" s="637"/>
      <c r="V155" s="637"/>
      <c r="W155" s="637"/>
      <c r="X155" s="637"/>
      <c r="Y155" s="637"/>
      <c r="Z155" s="637"/>
      <c r="AA155" s="48"/>
      <c r="AB155" s="48"/>
      <c r="AC155" s="48"/>
    </row>
    <row r="156" spans="1:68" ht="16.5" customHeight="1" x14ac:dyDescent="0.25">
      <c r="A156" s="576" t="s">
        <v>255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40"/>
      <c r="AB156" s="540"/>
      <c r="AC156" s="540"/>
    </row>
    <row r="157" spans="1:68" ht="14.25" customHeight="1" x14ac:dyDescent="0.25">
      <c r="A157" s="565" t="s">
        <v>140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52">
        <v>4680115886223</v>
      </c>
      <c r="E158" s="553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63"/>
      <c r="R158" s="563"/>
      <c r="S158" s="563"/>
      <c r="T158" s="564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5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7"/>
      <c r="P159" s="554" t="s">
        <v>76</v>
      </c>
      <c r="Q159" s="550"/>
      <c r="R159" s="550"/>
      <c r="S159" s="550"/>
      <c r="T159" s="550"/>
      <c r="U159" s="550"/>
      <c r="V159" s="551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7"/>
      <c r="P160" s="554" t="s">
        <v>76</v>
      </c>
      <c r="Q160" s="550"/>
      <c r="R160" s="550"/>
      <c r="S160" s="550"/>
      <c r="T160" s="550"/>
      <c r="U160" s="550"/>
      <c r="V160" s="551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customHeight="1" x14ac:dyDescent="0.25">
      <c r="A161" s="565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52">
        <v>4680115880993</v>
      </c>
      <c r="E162" s="553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67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63"/>
      <c r="R162" s="563"/>
      <c r="S162" s="563"/>
      <c r="T162" s="564"/>
      <c r="U162" s="34"/>
      <c r="V162" s="34"/>
      <c r="W162" s="35" t="s">
        <v>70</v>
      </c>
      <c r="X162" s="545">
        <v>15</v>
      </c>
      <c r="Y162" s="546">
        <f t="shared" ref="Y162:Y171" si="5">IFERROR(IF(X162="",0,CEILING((X162/$H162),1)*$H162),"")</f>
        <v>16.8</v>
      </c>
      <c r="Z162" s="36">
        <f>IFERROR(IF(Y162=0,"",ROUNDUP(Y162/H162,0)*0.00902),"")</f>
        <v>3.6080000000000001E-2</v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15.892857142857142</v>
      </c>
      <c r="BN162" s="64">
        <f t="shared" ref="BN162:BN171" si="7">IFERROR(Y162*I162/H162,"0")</f>
        <v>17.8</v>
      </c>
      <c r="BO162" s="64">
        <f t="shared" ref="BO162:BO171" si="8">IFERROR(1/J162*(X162/H162),"0")</f>
        <v>2.7056277056277056E-2</v>
      </c>
      <c r="BP162" s="64">
        <f t="shared" ref="BP162:BP171" si="9">IFERROR(1/J162*(Y162/H162),"0")</f>
        <v>3.0303030303030304E-2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52">
        <v>4680115881761</v>
      </c>
      <c r="E163" s="553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63"/>
      <c r="R163" s="563"/>
      <c r="S163" s="563"/>
      <c r="T163" s="564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52">
        <v>4680115881563</v>
      </c>
      <c r="E164" s="553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6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63"/>
      <c r="R164" s="563"/>
      <c r="S164" s="563"/>
      <c r="T164" s="564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52">
        <v>4680115880986</v>
      </c>
      <c r="E165" s="553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63"/>
      <c r="R165" s="563"/>
      <c r="S165" s="563"/>
      <c r="T165" s="564"/>
      <c r="U165" s="34"/>
      <c r="V165" s="34"/>
      <c r="W165" s="35" t="s">
        <v>70</v>
      </c>
      <c r="X165" s="545">
        <v>4.1999999999999993</v>
      </c>
      <c r="Y165" s="546">
        <f t="shared" si="5"/>
        <v>4.2</v>
      </c>
      <c r="Z165" s="36">
        <f>IFERROR(IF(Y165=0,"",ROUNDUP(Y165/H165,0)*0.00502),"")</f>
        <v>1.004E-2</v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4.4599999999999991</v>
      </c>
      <c r="BN165" s="64">
        <f t="shared" si="7"/>
        <v>4.46</v>
      </c>
      <c r="BO165" s="64">
        <f t="shared" si="8"/>
        <v>8.5470085470085461E-3</v>
      </c>
      <c r="BP165" s="64">
        <f t="shared" si="9"/>
        <v>8.5470085470085479E-3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52">
        <v>4680115887213</v>
      </c>
      <c r="E166" s="553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63"/>
      <c r="R166" s="563"/>
      <c r="S166" s="563"/>
      <c r="T166" s="564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52">
        <v>4680115881785</v>
      </c>
      <c r="E167" s="553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7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63"/>
      <c r="R167" s="563"/>
      <c r="S167" s="563"/>
      <c r="T167" s="564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52">
        <v>4680115886537</v>
      </c>
      <c r="E168" s="553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78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63"/>
      <c r="R168" s="563"/>
      <c r="S168" s="563"/>
      <c r="T168" s="564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52">
        <v>4680115881679</v>
      </c>
      <c r="E169" s="553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7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63"/>
      <c r="R169" s="563"/>
      <c r="S169" s="563"/>
      <c r="T169" s="564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52">
        <v>4680115880191</v>
      </c>
      <c r="E170" s="553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63"/>
      <c r="R170" s="563"/>
      <c r="S170" s="563"/>
      <c r="T170" s="564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52">
        <v>4680115883963</v>
      </c>
      <c r="E171" s="553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63"/>
      <c r="R171" s="563"/>
      <c r="S171" s="563"/>
      <c r="T171" s="564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5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7"/>
      <c r="P172" s="554" t="s">
        <v>76</v>
      </c>
      <c r="Q172" s="550"/>
      <c r="R172" s="550"/>
      <c r="S172" s="550"/>
      <c r="T172" s="550"/>
      <c r="U172" s="550"/>
      <c r="V172" s="551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5.5714285714285712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6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4.6120000000000001E-2</v>
      </c>
      <c r="AA172" s="548"/>
      <c r="AB172" s="548"/>
      <c r="AC172" s="548"/>
    </row>
    <row r="173" spans="1:68" x14ac:dyDescent="0.2">
      <c r="A173" s="556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7"/>
      <c r="P173" s="554" t="s">
        <v>76</v>
      </c>
      <c r="Q173" s="550"/>
      <c r="R173" s="550"/>
      <c r="S173" s="550"/>
      <c r="T173" s="550"/>
      <c r="U173" s="550"/>
      <c r="V173" s="551"/>
      <c r="W173" s="37" t="s">
        <v>70</v>
      </c>
      <c r="X173" s="547">
        <f>IFERROR(SUM(X162:X171),"0")</f>
        <v>19.2</v>
      </c>
      <c r="Y173" s="547">
        <f>IFERROR(SUM(Y162:Y171),"0")</f>
        <v>21</v>
      </c>
      <c r="Z173" s="37"/>
      <c r="AA173" s="548"/>
      <c r="AB173" s="548"/>
      <c r="AC173" s="548"/>
    </row>
    <row r="174" spans="1:68" ht="14.25" customHeight="1" x14ac:dyDescent="0.25">
      <c r="A174" s="565" t="s">
        <v>97</v>
      </c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52">
        <v>4680115886780</v>
      </c>
      <c r="E175" s="553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63"/>
      <c r="R175" s="563"/>
      <c r="S175" s="563"/>
      <c r="T175" s="564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52">
        <v>4680115886742</v>
      </c>
      <c r="E176" s="553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6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63"/>
      <c r="R176" s="563"/>
      <c r="S176" s="563"/>
      <c r="T176" s="564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52">
        <v>4680115886766</v>
      </c>
      <c r="E177" s="553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6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63"/>
      <c r="R177" s="563"/>
      <c r="S177" s="563"/>
      <c r="T177" s="564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5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7"/>
      <c r="P178" s="554" t="s">
        <v>76</v>
      </c>
      <c r="Q178" s="550"/>
      <c r="R178" s="550"/>
      <c r="S178" s="550"/>
      <c r="T178" s="550"/>
      <c r="U178" s="550"/>
      <c r="V178" s="551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7"/>
      <c r="P179" s="554" t="s">
        <v>76</v>
      </c>
      <c r="Q179" s="550"/>
      <c r="R179" s="550"/>
      <c r="S179" s="550"/>
      <c r="T179" s="550"/>
      <c r="U179" s="550"/>
      <c r="V179" s="551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customHeight="1" x14ac:dyDescent="0.25">
      <c r="A180" s="565" t="s">
        <v>296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52">
        <v>4680115886797</v>
      </c>
      <c r="E181" s="553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6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63"/>
      <c r="R181" s="563"/>
      <c r="S181" s="563"/>
      <c r="T181" s="564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5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7"/>
      <c r="P182" s="554" t="s">
        <v>76</v>
      </c>
      <c r="Q182" s="550"/>
      <c r="R182" s="550"/>
      <c r="S182" s="550"/>
      <c r="T182" s="550"/>
      <c r="U182" s="550"/>
      <c r="V182" s="551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x14ac:dyDescent="0.2">
      <c r="A183" s="556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7"/>
      <c r="P183" s="554" t="s">
        <v>76</v>
      </c>
      <c r="Q183" s="550"/>
      <c r="R183" s="550"/>
      <c r="S183" s="550"/>
      <c r="T183" s="550"/>
      <c r="U183" s="550"/>
      <c r="V183" s="551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customHeight="1" x14ac:dyDescent="0.25">
      <c r="A184" s="576" t="s">
        <v>299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40"/>
      <c r="AB184" s="540"/>
      <c r="AC184" s="540"/>
    </row>
    <row r="185" spans="1:68" ht="14.25" customHeight="1" x14ac:dyDescent="0.25">
      <c r="A185" s="565" t="s">
        <v>105</v>
      </c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52">
        <v>4680115881402</v>
      </c>
      <c r="E186" s="553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6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63"/>
      <c r="R186" s="563"/>
      <c r="S186" s="563"/>
      <c r="T186" s="564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52">
        <v>4680115881396</v>
      </c>
      <c r="E187" s="553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63"/>
      <c r="R187" s="563"/>
      <c r="S187" s="563"/>
      <c r="T187" s="564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5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7"/>
      <c r="P188" s="554" t="s">
        <v>76</v>
      </c>
      <c r="Q188" s="550"/>
      <c r="R188" s="550"/>
      <c r="S188" s="550"/>
      <c r="T188" s="550"/>
      <c r="U188" s="550"/>
      <c r="V188" s="551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7"/>
      <c r="P189" s="554" t="s">
        <v>76</v>
      </c>
      <c r="Q189" s="550"/>
      <c r="R189" s="550"/>
      <c r="S189" s="550"/>
      <c r="T189" s="550"/>
      <c r="U189" s="550"/>
      <c r="V189" s="551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customHeight="1" x14ac:dyDescent="0.25">
      <c r="A190" s="565" t="s">
        <v>140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41"/>
      <c r="AB190" s="541"/>
      <c r="AC190" s="541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52">
        <v>4680115882935</v>
      </c>
      <c r="E191" s="553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6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63"/>
      <c r="R191" s="563"/>
      <c r="S191" s="563"/>
      <c r="T191" s="564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52">
        <v>4680115880764</v>
      </c>
      <c r="E192" s="553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7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63"/>
      <c r="R192" s="563"/>
      <c r="S192" s="563"/>
      <c r="T192" s="564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5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7"/>
      <c r="P193" s="554" t="s">
        <v>76</v>
      </c>
      <c r="Q193" s="550"/>
      <c r="R193" s="550"/>
      <c r="S193" s="550"/>
      <c r="T193" s="550"/>
      <c r="U193" s="550"/>
      <c r="V193" s="551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7"/>
      <c r="P194" s="554" t="s">
        <v>76</v>
      </c>
      <c r="Q194" s="550"/>
      <c r="R194" s="550"/>
      <c r="S194" s="550"/>
      <c r="T194" s="550"/>
      <c r="U194" s="550"/>
      <c r="V194" s="551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65" t="s">
        <v>64</v>
      </c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52">
        <v>4680115882683</v>
      </c>
      <c r="E196" s="553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0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63"/>
      <c r="R196" s="563"/>
      <c r="S196" s="563"/>
      <c r="T196" s="564"/>
      <c r="U196" s="34"/>
      <c r="V196" s="34"/>
      <c r="W196" s="35" t="s">
        <v>70</v>
      </c>
      <c r="X196" s="545">
        <v>55</v>
      </c>
      <c r="Y196" s="546">
        <f t="shared" ref="Y196:Y203" si="10">IFERROR(IF(X196="",0,CEILING((X196/$H196),1)*$H196),"")</f>
        <v>59.400000000000006</v>
      </c>
      <c r="Z196" s="36">
        <f>IFERROR(IF(Y196=0,"",ROUNDUP(Y196/H196,0)*0.00902),"")</f>
        <v>9.9220000000000003E-2</v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56.935185185185176</v>
      </c>
      <c r="BN196" s="64">
        <f t="shared" ref="BN196:BN203" si="12">IFERROR(Y196*I196/H196,"0")</f>
        <v>61.49</v>
      </c>
      <c r="BO196" s="64">
        <f t="shared" ref="BO196:BO203" si="13">IFERROR(1/J196*(X196/H196),"0")</f>
        <v>7.716049382716049E-2</v>
      </c>
      <c r="BP196" s="64">
        <f t="shared" ref="BP196:BP203" si="14">IFERROR(1/J196*(Y196/H196),"0")</f>
        <v>8.3333333333333343E-2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52">
        <v>4680115882690</v>
      </c>
      <c r="E197" s="553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63"/>
      <c r="R197" s="563"/>
      <c r="S197" s="563"/>
      <c r="T197" s="564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52">
        <v>4680115882669</v>
      </c>
      <c r="E198" s="553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6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63"/>
      <c r="R198" s="563"/>
      <c r="S198" s="563"/>
      <c r="T198" s="564"/>
      <c r="U198" s="34"/>
      <c r="V198" s="34"/>
      <c r="W198" s="35" t="s">
        <v>70</v>
      </c>
      <c r="X198" s="545">
        <v>45</v>
      </c>
      <c r="Y198" s="546">
        <f t="shared" si="10"/>
        <v>48.6</v>
      </c>
      <c r="Z198" s="36">
        <f>IFERROR(IF(Y198=0,"",ROUNDUP(Y198/H198,0)*0.00902),"")</f>
        <v>8.1180000000000002E-2</v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46.583333333333329</v>
      </c>
      <c r="BN198" s="64">
        <f t="shared" si="12"/>
        <v>50.309999999999995</v>
      </c>
      <c r="BO198" s="64">
        <f t="shared" si="13"/>
        <v>6.3131313131313122E-2</v>
      </c>
      <c r="BP198" s="64">
        <f t="shared" si="14"/>
        <v>6.8181818181818177E-2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52">
        <v>4680115882676</v>
      </c>
      <c r="E199" s="553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5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63"/>
      <c r="R199" s="563"/>
      <c r="S199" s="563"/>
      <c r="T199" s="564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52">
        <v>4680115884014</v>
      </c>
      <c r="E200" s="553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5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63"/>
      <c r="R200" s="563"/>
      <c r="S200" s="563"/>
      <c r="T200" s="564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52">
        <v>4680115884007</v>
      </c>
      <c r="E201" s="553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6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63"/>
      <c r="R201" s="563"/>
      <c r="S201" s="563"/>
      <c r="T201" s="564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52">
        <v>4680115884038</v>
      </c>
      <c r="E202" s="553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57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63"/>
      <c r="R202" s="563"/>
      <c r="S202" s="563"/>
      <c r="T202" s="564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52">
        <v>4680115884021</v>
      </c>
      <c r="E203" s="553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63"/>
      <c r="R203" s="563"/>
      <c r="S203" s="563"/>
      <c r="T203" s="564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5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7"/>
      <c r="P204" s="554" t="s">
        <v>76</v>
      </c>
      <c r="Q204" s="550"/>
      <c r="R204" s="550"/>
      <c r="S204" s="550"/>
      <c r="T204" s="550"/>
      <c r="U204" s="550"/>
      <c r="V204" s="551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18.518518518518519</v>
      </c>
      <c r="Y204" s="547">
        <f>IFERROR(Y196/H196,"0")+IFERROR(Y197/H197,"0")+IFERROR(Y198/H198,"0")+IFERROR(Y199/H199,"0")+IFERROR(Y200/H200,"0")+IFERROR(Y201/H201,"0")+IFERROR(Y202/H202,"0")+IFERROR(Y203/H203,"0")</f>
        <v>20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0.1804</v>
      </c>
      <c r="AA204" s="548"/>
      <c r="AB204" s="548"/>
      <c r="AC204" s="548"/>
    </row>
    <row r="205" spans="1:68" x14ac:dyDescent="0.2">
      <c r="A205" s="556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7"/>
      <c r="P205" s="554" t="s">
        <v>76</v>
      </c>
      <c r="Q205" s="550"/>
      <c r="R205" s="550"/>
      <c r="S205" s="550"/>
      <c r="T205" s="550"/>
      <c r="U205" s="550"/>
      <c r="V205" s="551"/>
      <c r="W205" s="37" t="s">
        <v>70</v>
      </c>
      <c r="X205" s="547">
        <f>IFERROR(SUM(X196:X203),"0")</f>
        <v>100</v>
      </c>
      <c r="Y205" s="547">
        <f>IFERROR(SUM(Y196:Y203),"0")</f>
        <v>108</v>
      </c>
      <c r="Z205" s="37"/>
      <c r="AA205" s="548"/>
      <c r="AB205" s="548"/>
      <c r="AC205" s="548"/>
    </row>
    <row r="206" spans="1:68" ht="14.25" customHeight="1" x14ac:dyDescent="0.25">
      <c r="A206" s="565" t="s">
        <v>78</v>
      </c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52">
        <v>4680115881594</v>
      </c>
      <c r="E207" s="553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63"/>
      <c r="R207" s="563"/>
      <c r="S207" s="563"/>
      <c r="T207" s="564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52">
        <v>4680115881617</v>
      </c>
      <c r="E208" s="553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63"/>
      <c r="R208" s="563"/>
      <c r="S208" s="563"/>
      <c r="T208" s="564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52">
        <v>4680115880573</v>
      </c>
      <c r="E209" s="553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8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63"/>
      <c r="R209" s="563"/>
      <c r="S209" s="563"/>
      <c r="T209" s="564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52">
        <v>4680115882195</v>
      </c>
      <c r="E210" s="553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63"/>
      <c r="R210" s="563"/>
      <c r="S210" s="563"/>
      <c r="T210" s="564"/>
      <c r="U210" s="34"/>
      <c r="V210" s="34"/>
      <c r="W210" s="35" t="s">
        <v>70</v>
      </c>
      <c r="X210" s="545">
        <v>16.8</v>
      </c>
      <c r="Y210" s="546">
        <f t="shared" si="15"/>
        <v>16.8</v>
      </c>
      <c r="Z210" s="36">
        <f t="shared" ref="Z210:Z215" si="20">IFERROR(IF(Y210=0,"",ROUNDUP(Y210/H210,0)*0.00651),"")</f>
        <v>4.5569999999999999E-2</v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18.690000000000001</v>
      </c>
      <c r="BN210" s="64">
        <f t="shared" si="17"/>
        <v>18.690000000000001</v>
      </c>
      <c r="BO210" s="64">
        <f t="shared" si="18"/>
        <v>3.8461538461538471E-2</v>
      </c>
      <c r="BP210" s="64">
        <f t="shared" si="19"/>
        <v>3.8461538461538471E-2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52">
        <v>4680115882607</v>
      </c>
      <c r="E211" s="553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2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63"/>
      <c r="R211" s="563"/>
      <c r="S211" s="563"/>
      <c r="T211" s="564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52">
        <v>4680115880092</v>
      </c>
      <c r="E212" s="553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63"/>
      <c r="R212" s="563"/>
      <c r="S212" s="563"/>
      <c r="T212" s="564"/>
      <c r="U212" s="34"/>
      <c r="V212" s="34"/>
      <c r="W212" s="35" t="s">
        <v>70</v>
      </c>
      <c r="X212" s="545">
        <v>9</v>
      </c>
      <c r="Y212" s="546">
        <f t="shared" si="15"/>
        <v>9.6</v>
      </c>
      <c r="Z212" s="36">
        <f t="shared" si="20"/>
        <v>2.6040000000000001E-2</v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9.9450000000000021</v>
      </c>
      <c r="BN212" s="64">
        <f t="shared" si="17"/>
        <v>10.608000000000001</v>
      </c>
      <c r="BO212" s="64">
        <f t="shared" si="18"/>
        <v>2.0604395604395608E-2</v>
      </c>
      <c r="BP212" s="64">
        <f t="shared" si="19"/>
        <v>2.197802197802198E-2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52">
        <v>4680115880221</v>
      </c>
      <c r="E213" s="553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86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63"/>
      <c r="R213" s="563"/>
      <c r="S213" s="563"/>
      <c r="T213" s="564"/>
      <c r="U213" s="34"/>
      <c r="V213" s="34"/>
      <c r="W213" s="35" t="s">
        <v>70</v>
      </c>
      <c r="X213" s="545">
        <v>13.5</v>
      </c>
      <c r="Y213" s="546">
        <f t="shared" si="15"/>
        <v>14.399999999999999</v>
      </c>
      <c r="Z213" s="36">
        <f t="shared" si="20"/>
        <v>3.9059999999999997E-2</v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14.9175</v>
      </c>
      <c r="BN213" s="64">
        <f t="shared" si="17"/>
        <v>15.912000000000001</v>
      </c>
      <c r="BO213" s="64">
        <f t="shared" si="18"/>
        <v>3.0906593406593408E-2</v>
      </c>
      <c r="BP213" s="64">
        <f t="shared" si="19"/>
        <v>3.2967032967032968E-2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52">
        <v>4680115880504</v>
      </c>
      <c r="E214" s="553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63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63"/>
      <c r="R214" s="563"/>
      <c r="S214" s="563"/>
      <c r="T214" s="564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52">
        <v>4680115882164</v>
      </c>
      <c r="E215" s="553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8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63"/>
      <c r="R215" s="563"/>
      <c r="S215" s="563"/>
      <c r="T215" s="564"/>
      <c r="U215" s="34"/>
      <c r="V215" s="34"/>
      <c r="W215" s="35" t="s">
        <v>70</v>
      </c>
      <c r="X215" s="545">
        <v>12</v>
      </c>
      <c r="Y215" s="546">
        <f t="shared" si="15"/>
        <v>12</v>
      </c>
      <c r="Z215" s="36">
        <f t="shared" si="20"/>
        <v>3.2550000000000003E-2</v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13.290000000000001</v>
      </c>
      <c r="BN215" s="64">
        <f t="shared" si="17"/>
        <v>13.290000000000001</v>
      </c>
      <c r="BO215" s="64">
        <f t="shared" si="18"/>
        <v>2.7472527472527476E-2</v>
      </c>
      <c r="BP215" s="64">
        <f t="shared" si="19"/>
        <v>2.7472527472527476E-2</v>
      </c>
    </row>
    <row r="216" spans="1:68" x14ac:dyDescent="0.2">
      <c r="A216" s="555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7"/>
      <c r="P216" s="554" t="s">
        <v>76</v>
      </c>
      <c r="Q216" s="550"/>
      <c r="R216" s="550"/>
      <c r="S216" s="550"/>
      <c r="T216" s="550"/>
      <c r="U216" s="550"/>
      <c r="V216" s="551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21.375</v>
      </c>
      <c r="Y216" s="547">
        <f>IFERROR(Y207/H207,"0")+IFERROR(Y208/H208,"0")+IFERROR(Y209/H209,"0")+IFERROR(Y210/H210,"0")+IFERROR(Y211/H211,"0")+IFERROR(Y212/H212,"0")+IFERROR(Y213/H213,"0")+IFERROR(Y214/H214,"0")+IFERROR(Y215/H215,"0")</f>
        <v>22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0.14322000000000001</v>
      </c>
      <c r="AA216" s="548"/>
      <c r="AB216" s="548"/>
      <c r="AC216" s="548"/>
    </row>
    <row r="217" spans="1:68" x14ac:dyDescent="0.2">
      <c r="A217" s="556"/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7"/>
      <c r="P217" s="554" t="s">
        <v>76</v>
      </c>
      <c r="Q217" s="550"/>
      <c r="R217" s="550"/>
      <c r="S217" s="550"/>
      <c r="T217" s="550"/>
      <c r="U217" s="550"/>
      <c r="V217" s="551"/>
      <c r="W217" s="37" t="s">
        <v>70</v>
      </c>
      <c r="X217" s="547">
        <f>IFERROR(SUM(X207:X215),"0")</f>
        <v>51.3</v>
      </c>
      <c r="Y217" s="547">
        <f>IFERROR(SUM(Y207:Y215),"0")</f>
        <v>52.8</v>
      </c>
      <c r="Z217" s="37"/>
      <c r="AA217" s="548"/>
      <c r="AB217" s="548"/>
      <c r="AC217" s="548"/>
    </row>
    <row r="218" spans="1:68" ht="14.25" customHeight="1" x14ac:dyDescent="0.25">
      <c r="A218" s="565" t="s">
        <v>168</v>
      </c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52">
        <v>4680115880818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63"/>
      <c r="R219" s="563"/>
      <c r="S219" s="563"/>
      <c r="T219" s="564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52">
        <v>4680115880801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63"/>
      <c r="R220" s="563"/>
      <c r="S220" s="563"/>
      <c r="T220" s="564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5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7"/>
      <c r="P221" s="554" t="s">
        <v>76</v>
      </c>
      <c r="Q221" s="550"/>
      <c r="R221" s="550"/>
      <c r="S221" s="550"/>
      <c r="T221" s="550"/>
      <c r="U221" s="550"/>
      <c r="V221" s="551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x14ac:dyDescent="0.2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7"/>
      <c r="P222" s="554" t="s">
        <v>76</v>
      </c>
      <c r="Q222" s="550"/>
      <c r="R222" s="550"/>
      <c r="S222" s="550"/>
      <c r="T222" s="550"/>
      <c r="U222" s="550"/>
      <c r="V222" s="551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customHeight="1" x14ac:dyDescent="0.25">
      <c r="A223" s="576" t="s">
        <v>358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40"/>
      <c r="AB223" s="540"/>
      <c r="AC223" s="540"/>
    </row>
    <row r="224" spans="1:68" ht="14.25" customHeight="1" x14ac:dyDescent="0.25">
      <c r="A224" s="565" t="s">
        <v>105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41"/>
      <c r="AB224" s="541"/>
      <c r="AC224" s="541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52">
        <v>4680115884137</v>
      </c>
      <c r="E225" s="553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6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63"/>
      <c r="R225" s="563"/>
      <c r="S225" s="563"/>
      <c r="T225" s="564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52">
        <v>4680115884236</v>
      </c>
      <c r="E226" s="553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6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63"/>
      <c r="R226" s="563"/>
      <c r="S226" s="563"/>
      <c r="T226" s="564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52">
        <v>4680115884175</v>
      </c>
      <c r="E227" s="553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6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63"/>
      <c r="R227" s="563"/>
      <c r="S227" s="563"/>
      <c r="T227" s="564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52">
        <v>4680115884144</v>
      </c>
      <c r="E228" s="553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5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63"/>
      <c r="R228" s="563"/>
      <c r="S228" s="563"/>
      <c r="T228" s="564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52">
        <v>4680115884144</v>
      </c>
      <c r="E229" s="553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1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63"/>
      <c r="R229" s="563"/>
      <c r="S229" s="563"/>
      <c r="T229" s="564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52">
        <v>4680115886551</v>
      </c>
      <c r="E230" s="553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63"/>
      <c r="R230" s="563"/>
      <c r="S230" s="563"/>
      <c r="T230" s="564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52">
        <v>4680115884182</v>
      </c>
      <c r="E231" s="553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87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63"/>
      <c r="R231" s="563"/>
      <c r="S231" s="563"/>
      <c r="T231" s="564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52">
        <v>4680115887282</v>
      </c>
      <c r="E232" s="553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63"/>
      <c r="R232" s="563"/>
      <c r="S232" s="563"/>
      <c r="T232" s="564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52">
        <v>4680115884205</v>
      </c>
      <c r="E233" s="553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63"/>
      <c r="R233" s="563"/>
      <c r="S233" s="563"/>
      <c r="T233" s="564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52">
        <v>4680115884205</v>
      </c>
      <c r="E234" s="553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82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63"/>
      <c r="R234" s="563"/>
      <c r="S234" s="563"/>
      <c r="T234" s="564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5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7"/>
      <c r="P235" s="554" t="s">
        <v>76</v>
      </c>
      <c r="Q235" s="550"/>
      <c r="R235" s="550"/>
      <c r="S235" s="550"/>
      <c r="T235" s="550"/>
      <c r="U235" s="550"/>
      <c r="V235" s="551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x14ac:dyDescent="0.2">
      <c r="A236" s="556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7"/>
      <c r="P236" s="554" t="s">
        <v>76</v>
      </c>
      <c r="Q236" s="550"/>
      <c r="R236" s="550"/>
      <c r="S236" s="550"/>
      <c r="T236" s="550"/>
      <c r="U236" s="550"/>
      <c r="V236" s="551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customHeight="1" x14ac:dyDescent="0.25">
      <c r="A237" s="565" t="s">
        <v>140</v>
      </c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541"/>
      <c r="AB237" s="541"/>
      <c r="AC237" s="541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52">
        <v>4680115885981</v>
      </c>
      <c r="E238" s="553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1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63"/>
      <c r="R238" s="563"/>
      <c r="S238" s="563"/>
      <c r="T238" s="564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5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7"/>
      <c r="P239" s="554" t="s">
        <v>76</v>
      </c>
      <c r="Q239" s="550"/>
      <c r="R239" s="550"/>
      <c r="S239" s="550"/>
      <c r="T239" s="550"/>
      <c r="U239" s="550"/>
      <c r="V239" s="551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x14ac:dyDescent="0.2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7"/>
      <c r="P240" s="554" t="s">
        <v>76</v>
      </c>
      <c r="Q240" s="550"/>
      <c r="R240" s="550"/>
      <c r="S240" s="550"/>
      <c r="T240" s="550"/>
      <c r="U240" s="550"/>
      <c r="V240" s="551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customHeight="1" x14ac:dyDescent="0.25">
      <c r="A241" s="565" t="s">
        <v>384</v>
      </c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52">
        <v>4680115886803</v>
      </c>
      <c r="E242" s="553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8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63"/>
      <c r="R242" s="563"/>
      <c r="S242" s="563"/>
      <c r="T242" s="564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5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7"/>
      <c r="P243" s="554" t="s">
        <v>76</v>
      </c>
      <c r="Q243" s="550"/>
      <c r="R243" s="550"/>
      <c r="S243" s="550"/>
      <c r="T243" s="550"/>
      <c r="U243" s="550"/>
      <c r="V243" s="551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7"/>
      <c r="P244" s="554" t="s">
        <v>76</v>
      </c>
      <c r="Q244" s="550"/>
      <c r="R244" s="550"/>
      <c r="S244" s="550"/>
      <c r="T244" s="550"/>
      <c r="U244" s="550"/>
      <c r="V244" s="551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65" t="s">
        <v>388</v>
      </c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41"/>
      <c r="AB245" s="541"/>
      <c r="AC245" s="541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52">
        <v>4680115886704</v>
      </c>
      <c r="E246" s="553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76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63"/>
      <c r="R246" s="563"/>
      <c r="S246" s="563"/>
      <c r="T246" s="564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52">
        <v>4680115886681</v>
      </c>
      <c r="E247" s="553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6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63"/>
      <c r="R247" s="563"/>
      <c r="S247" s="563"/>
      <c r="T247" s="564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52">
        <v>4680115886735</v>
      </c>
      <c r="E248" s="553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1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63"/>
      <c r="R248" s="563"/>
      <c r="S248" s="563"/>
      <c r="T248" s="564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52">
        <v>4680115886728</v>
      </c>
      <c r="E249" s="553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86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63"/>
      <c r="R249" s="563"/>
      <c r="S249" s="563"/>
      <c r="T249" s="564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52">
        <v>4680115886711</v>
      </c>
      <c r="E250" s="553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79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63"/>
      <c r="R250" s="563"/>
      <c r="S250" s="563"/>
      <c r="T250" s="564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5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7"/>
      <c r="P251" s="554" t="s">
        <v>76</v>
      </c>
      <c r="Q251" s="550"/>
      <c r="R251" s="550"/>
      <c r="S251" s="550"/>
      <c r="T251" s="550"/>
      <c r="U251" s="550"/>
      <c r="V251" s="551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x14ac:dyDescent="0.2">
      <c r="A252" s="556"/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7"/>
      <c r="P252" s="554" t="s">
        <v>76</v>
      </c>
      <c r="Q252" s="550"/>
      <c r="R252" s="550"/>
      <c r="S252" s="550"/>
      <c r="T252" s="550"/>
      <c r="U252" s="550"/>
      <c r="V252" s="551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customHeight="1" x14ac:dyDescent="0.25">
      <c r="A253" s="576" t="s">
        <v>400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40"/>
      <c r="AB253" s="540"/>
      <c r="AC253" s="540"/>
    </row>
    <row r="254" spans="1:68" ht="14.25" customHeight="1" x14ac:dyDescent="0.25">
      <c r="A254" s="565" t="s">
        <v>105</v>
      </c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52">
        <v>4680115885837</v>
      </c>
      <c r="E255" s="553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63"/>
      <c r="R255" s="563"/>
      <c r="S255" s="563"/>
      <c r="T255" s="564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52">
        <v>4680115885851</v>
      </c>
      <c r="E256" s="553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69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63"/>
      <c r="R256" s="563"/>
      <c r="S256" s="563"/>
      <c r="T256" s="564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52">
        <v>4680115885806</v>
      </c>
      <c r="E257" s="553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6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63"/>
      <c r="R257" s="563"/>
      <c r="S257" s="563"/>
      <c r="T257" s="564"/>
      <c r="U257" s="34"/>
      <c r="V257" s="34"/>
      <c r="W257" s="35" t="s">
        <v>70</v>
      </c>
      <c r="X257" s="545">
        <v>190</v>
      </c>
      <c r="Y257" s="546">
        <f>IFERROR(IF(X257="",0,CEILING((X257/$H257),1)*$H257),"")</f>
        <v>194.4</v>
      </c>
      <c r="Z257" s="36">
        <f>IFERROR(IF(Y257=0,"",ROUNDUP(Y257/H257,0)*0.01898),"")</f>
        <v>0.34164</v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197.21296296296296</v>
      </c>
      <c r="BN257" s="64">
        <f>IFERROR(Y257*I257/H257,"0")</f>
        <v>201.78</v>
      </c>
      <c r="BO257" s="64">
        <f>IFERROR(1/J257*(X257/H257),"0")</f>
        <v>0.27488425925925924</v>
      </c>
      <c r="BP257" s="64">
        <f>IFERROR(1/J257*(Y257/H257),"0")</f>
        <v>0.28125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52">
        <v>4680115885844</v>
      </c>
      <c r="E258" s="553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80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63"/>
      <c r="R258" s="563"/>
      <c r="S258" s="563"/>
      <c r="T258" s="564"/>
      <c r="U258" s="34"/>
      <c r="V258" s="34"/>
      <c r="W258" s="35" t="s">
        <v>70</v>
      </c>
      <c r="X258" s="545">
        <v>20</v>
      </c>
      <c r="Y258" s="546">
        <f>IFERROR(IF(X258="",0,CEILING((X258/$H258),1)*$H258),"")</f>
        <v>20</v>
      </c>
      <c r="Z258" s="36">
        <f>IFERROR(IF(Y258=0,"",ROUNDUP(Y258/H258,0)*0.00902),"")</f>
        <v>4.5100000000000001E-2</v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20.950000000000003</v>
      </c>
      <c r="BN258" s="64">
        <f>IFERROR(Y258*I258/H258,"0")</f>
        <v>20.950000000000003</v>
      </c>
      <c r="BO258" s="64">
        <f>IFERROR(1/J258*(X258/H258),"0")</f>
        <v>3.787878787878788E-2</v>
      </c>
      <c r="BP258" s="64">
        <f>IFERROR(1/J258*(Y258/H258),"0")</f>
        <v>3.787878787878788E-2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52">
        <v>4680115885820</v>
      </c>
      <c r="E259" s="553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8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63"/>
      <c r="R259" s="563"/>
      <c r="S259" s="563"/>
      <c r="T259" s="564"/>
      <c r="U259" s="34"/>
      <c r="V259" s="34"/>
      <c r="W259" s="35" t="s">
        <v>70</v>
      </c>
      <c r="X259" s="545">
        <v>8</v>
      </c>
      <c r="Y259" s="546">
        <f>IFERROR(IF(X259="",0,CEILING((X259/$H259),1)*$H259),"")</f>
        <v>8</v>
      </c>
      <c r="Z259" s="36">
        <f>IFERROR(IF(Y259=0,"",ROUNDUP(Y259/H259,0)*0.00902),"")</f>
        <v>1.804E-2</v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8.3800000000000008</v>
      </c>
      <c r="BN259" s="64">
        <f>IFERROR(Y259*I259/H259,"0")</f>
        <v>8.3800000000000008</v>
      </c>
      <c r="BO259" s="64">
        <f>IFERROR(1/J259*(X259/H259),"0")</f>
        <v>1.5151515151515152E-2</v>
      </c>
      <c r="BP259" s="64">
        <f>IFERROR(1/J259*(Y259/H259),"0")</f>
        <v>1.5151515151515152E-2</v>
      </c>
    </row>
    <row r="260" spans="1:68" x14ac:dyDescent="0.2">
      <c r="A260" s="555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7"/>
      <c r="P260" s="554" t="s">
        <v>76</v>
      </c>
      <c r="Q260" s="550"/>
      <c r="R260" s="550"/>
      <c r="S260" s="550"/>
      <c r="T260" s="550"/>
      <c r="U260" s="550"/>
      <c r="V260" s="551"/>
      <c r="W260" s="37" t="s">
        <v>77</v>
      </c>
      <c r="X260" s="547">
        <f>IFERROR(X255/H255,"0")+IFERROR(X256/H256,"0")+IFERROR(X257/H257,"0")+IFERROR(X258/H258,"0")+IFERROR(X259/H259,"0")</f>
        <v>24.592592592592592</v>
      </c>
      <c r="Y260" s="547">
        <f>IFERROR(Y255/H255,"0")+IFERROR(Y256/H256,"0")+IFERROR(Y257/H257,"0")+IFERROR(Y258/H258,"0")+IFERROR(Y259/H259,"0")</f>
        <v>25</v>
      </c>
      <c r="Z260" s="547">
        <f>IFERROR(IF(Z255="",0,Z255),"0")+IFERROR(IF(Z256="",0,Z256),"0")+IFERROR(IF(Z257="",0,Z257),"0")+IFERROR(IF(Z258="",0,Z258),"0")+IFERROR(IF(Z259="",0,Z259),"0")</f>
        <v>0.40477999999999997</v>
      </c>
      <c r="AA260" s="548"/>
      <c r="AB260" s="548"/>
      <c r="AC260" s="548"/>
    </row>
    <row r="261" spans="1:68" x14ac:dyDescent="0.2">
      <c r="A261" s="556"/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7"/>
      <c r="P261" s="554" t="s">
        <v>76</v>
      </c>
      <c r="Q261" s="550"/>
      <c r="R261" s="550"/>
      <c r="S261" s="550"/>
      <c r="T261" s="550"/>
      <c r="U261" s="550"/>
      <c r="V261" s="551"/>
      <c r="W261" s="37" t="s">
        <v>70</v>
      </c>
      <c r="X261" s="547">
        <f>IFERROR(SUM(X255:X259),"0")</f>
        <v>218</v>
      </c>
      <c r="Y261" s="547">
        <f>IFERROR(SUM(Y255:Y259),"0")</f>
        <v>222.4</v>
      </c>
      <c r="Z261" s="37"/>
      <c r="AA261" s="548"/>
      <c r="AB261" s="548"/>
      <c r="AC261" s="548"/>
    </row>
    <row r="262" spans="1:68" ht="16.5" customHeight="1" x14ac:dyDescent="0.25">
      <c r="A262" s="576" t="s">
        <v>416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40"/>
      <c r="AB262" s="540"/>
      <c r="AC262" s="540"/>
    </row>
    <row r="263" spans="1:68" ht="14.25" customHeight="1" x14ac:dyDescent="0.25">
      <c r="A263" s="565" t="s">
        <v>105</v>
      </c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541"/>
      <c r="AB263" s="541"/>
      <c r="AC263" s="541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52">
        <v>4607091383423</v>
      </c>
      <c r="E264" s="553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63"/>
      <c r="R264" s="563"/>
      <c r="S264" s="563"/>
      <c r="T264" s="564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52">
        <v>4680115886957</v>
      </c>
      <c r="E265" s="553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8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63"/>
      <c r="R265" s="563"/>
      <c r="S265" s="563"/>
      <c r="T265" s="564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52">
        <v>4680115885660</v>
      </c>
      <c r="E266" s="553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82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63"/>
      <c r="R266" s="563"/>
      <c r="S266" s="563"/>
      <c r="T266" s="564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52">
        <v>4680115886773</v>
      </c>
      <c r="E267" s="553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3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63"/>
      <c r="R267" s="563"/>
      <c r="S267" s="563"/>
      <c r="T267" s="564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5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7"/>
      <c r="P268" s="554" t="s">
        <v>76</v>
      </c>
      <c r="Q268" s="550"/>
      <c r="R268" s="550"/>
      <c r="S268" s="550"/>
      <c r="T268" s="550"/>
      <c r="U268" s="550"/>
      <c r="V268" s="551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x14ac:dyDescent="0.2">
      <c r="A269" s="556"/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7"/>
      <c r="P269" s="554" t="s">
        <v>76</v>
      </c>
      <c r="Q269" s="550"/>
      <c r="R269" s="550"/>
      <c r="S269" s="550"/>
      <c r="T269" s="550"/>
      <c r="U269" s="550"/>
      <c r="V269" s="551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customHeight="1" x14ac:dyDescent="0.25">
      <c r="A270" s="576" t="s">
        <v>427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40"/>
      <c r="AB270" s="540"/>
      <c r="AC270" s="540"/>
    </row>
    <row r="271" spans="1:68" ht="14.25" customHeight="1" x14ac:dyDescent="0.25">
      <c r="A271" s="565" t="s">
        <v>78</v>
      </c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541"/>
      <c r="AB271" s="541"/>
      <c r="AC271" s="541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52">
        <v>4680115886186</v>
      </c>
      <c r="E272" s="553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63"/>
      <c r="R272" s="563"/>
      <c r="S272" s="563"/>
      <c r="T272" s="564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52">
        <v>4680115881228</v>
      </c>
      <c r="E273" s="553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80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63"/>
      <c r="R273" s="563"/>
      <c r="S273" s="563"/>
      <c r="T273" s="564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52">
        <v>4680115881211</v>
      </c>
      <c r="E274" s="553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63"/>
      <c r="R274" s="563"/>
      <c r="S274" s="563"/>
      <c r="T274" s="564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5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7"/>
      <c r="P275" s="554" t="s">
        <v>76</v>
      </c>
      <c r="Q275" s="550"/>
      <c r="R275" s="550"/>
      <c r="S275" s="550"/>
      <c r="T275" s="550"/>
      <c r="U275" s="550"/>
      <c r="V275" s="551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x14ac:dyDescent="0.2">
      <c r="A276" s="556"/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7"/>
      <c r="P276" s="554" t="s">
        <v>76</v>
      </c>
      <c r="Q276" s="550"/>
      <c r="R276" s="550"/>
      <c r="S276" s="550"/>
      <c r="T276" s="550"/>
      <c r="U276" s="550"/>
      <c r="V276" s="551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customHeight="1" x14ac:dyDescent="0.25">
      <c r="A277" s="576" t="s">
        <v>436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40"/>
      <c r="AB277" s="540"/>
      <c r="AC277" s="540"/>
    </row>
    <row r="278" spans="1:68" ht="14.25" customHeight="1" x14ac:dyDescent="0.25">
      <c r="A278" s="565" t="s">
        <v>64</v>
      </c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52">
        <v>4680115880344</v>
      </c>
      <c r="E279" s="553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6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63"/>
      <c r="R279" s="563"/>
      <c r="S279" s="563"/>
      <c r="T279" s="564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52">
        <v>4680115886919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78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63"/>
      <c r="R280" s="563"/>
      <c r="S280" s="563"/>
      <c r="T280" s="564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5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7"/>
      <c r="P281" s="554" t="s">
        <v>76</v>
      </c>
      <c r="Q281" s="550"/>
      <c r="R281" s="550"/>
      <c r="S281" s="550"/>
      <c r="T281" s="550"/>
      <c r="U281" s="550"/>
      <c r="V281" s="551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x14ac:dyDescent="0.2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7"/>
      <c r="P282" s="554" t="s">
        <v>76</v>
      </c>
      <c r="Q282" s="550"/>
      <c r="R282" s="550"/>
      <c r="S282" s="550"/>
      <c r="T282" s="550"/>
      <c r="U282" s="550"/>
      <c r="V282" s="551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customHeight="1" x14ac:dyDescent="0.25">
      <c r="A283" s="565" t="s">
        <v>78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52">
        <v>4680115884618</v>
      </c>
      <c r="E284" s="553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7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63"/>
      <c r="R284" s="563"/>
      <c r="S284" s="563"/>
      <c r="T284" s="564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52">
        <v>4680115887114</v>
      </c>
      <c r="E285" s="553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4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63"/>
      <c r="R285" s="563"/>
      <c r="S285" s="563"/>
      <c r="T285" s="564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5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7"/>
      <c r="P286" s="554" t="s">
        <v>76</v>
      </c>
      <c r="Q286" s="550"/>
      <c r="R286" s="550"/>
      <c r="S286" s="550"/>
      <c r="T286" s="550"/>
      <c r="U286" s="550"/>
      <c r="V286" s="551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7"/>
      <c r="P287" s="554" t="s">
        <v>76</v>
      </c>
      <c r="Q287" s="550"/>
      <c r="R287" s="550"/>
      <c r="S287" s="550"/>
      <c r="T287" s="550"/>
      <c r="U287" s="550"/>
      <c r="V287" s="551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customHeight="1" x14ac:dyDescent="0.25">
      <c r="A288" s="576" t="s">
        <v>449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40"/>
      <c r="AB288" s="540"/>
      <c r="AC288" s="540"/>
    </row>
    <row r="289" spans="1:68" ht="14.25" customHeight="1" x14ac:dyDescent="0.25">
      <c r="A289" s="565" t="s">
        <v>105</v>
      </c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52">
        <v>4607091386004</v>
      </c>
      <c r="E290" s="553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8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63"/>
      <c r="R290" s="563"/>
      <c r="S290" s="563"/>
      <c r="T290" s="564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52">
        <v>4680115885615</v>
      </c>
      <c r="E291" s="553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59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63"/>
      <c r="R291" s="563"/>
      <c r="S291" s="563"/>
      <c r="T291" s="564"/>
      <c r="U291" s="34"/>
      <c r="V291" s="34"/>
      <c r="W291" s="35" t="s">
        <v>70</v>
      </c>
      <c r="X291" s="545">
        <v>180</v>
      </c>
      <c r="Y291" s="546">
        <f t="shared" si="26"/>
        <v>183.60000000000002</v>
      </c>
      <c r="Z291" s="36">
        <f>IFERROR(IF(Y291=0,"",ROUNDUP(Y291/H291,0)*0.01898),"")</f>
        <v>0.32266</v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186.83333333333334</v>
      </c>
      <c r="BN291" s="64">
        <f t="shared" si="28"/>
        <v>190.57000000000002</v>
      </c>
      <c r="BO291" s="64">
        <f t="shared" si="29"/>
        <v>0.26041666666666663</v>
      </c>
      <c r="BP291" s="64">
        <f t="shared" si="30"/>
        <v>0.265625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52">
        <v>4680115885646</v>
      </c>
      <c r="E292" s="553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59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63"/>
      <c r="R292" s="563"/>
      <c r="S292" s="563"/>
      <c r="T292" s="564"/>
      <c r="U292" s="34"/>
      <c r="V292" s="34"/>
      <c r="W292" s="35" t="s">
        <v>70</v>
      </c>
      <c r="X292" s="545">
        <v>150</v>
      </c>
      <c r="Y292" s="546">
        <f t="shared" si="26"/>
        <v>151.20000000000002</v>
      </c>
      <c r="Z292" s="36">
        <f>IFERROR(IF(Y292=0,"",ROUNDUP(Y292/H292,0)*0.01898),"")</f>
        <v>0.26572000000000001</v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155.69444444444446</v>
      </c>
      <c r="BN292" s="64">
        <f t="shared" si="28"/>
        <v>156.94</v>
      </c>
      <c r="BO292" s="64">
        <f t="shared" si="29"/>
        <v>0.21701388888888887</v>
      </c>
      <c r="BP292" s="64">
        <f t="shared" si="30"/>
        <v>0.21875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52">
        <v>4680115885554</v>
      </c>
      <c r="E293" s="553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5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63"/>
      <c r="R293" s="563"/>
      <c r="S293" s="563"/>
      <c r="T293" s="564"/>
      <c r="U293" s="34"/>
      <c r="V293" s="34"/>
      <c r="W293" s="35" t="s">
        <v>70</v>
      </c>
      <c r="X293" s="545">
        <v>920</v>
      </c>
      <c r="Y293" s="546">
        <f t="shared" si="26"/>
        <v>928.80000000000007</v>
      </c>
      <c r="Z293" s="36">
        <f>IFERROR(IF(Y293=0,"",ROUNDUP(Y293/H293,0)*0.01898),"")</f>
        <v>1.63228</v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954.92592592592598</v>
      </c>
      <c r="BN293" s="64">
        <f t="shared" si="28"/>
        <v>964.06000000000006</v>
      </c>
      <c r="BO293" s="64">
        <f t="shared" si="29"/>
        <v>1.3310185185185184</v>
      </c>
      <c r="BP293" s="64">
        <f t="shared" si="30"/>
        <v>1.34375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52">
        <v>4680115885622</v>
      </c>
      <c r="E294" s="553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60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63"/>
      <c r="R294" s="563"/>
      <c r="S294" s="563"/>
      <c r="T294" s="564"/>
      <c r="U294" s="34"/>
      <c r="V294" s="34"/>
      <c r="W294" s="35" t="s">
        <v>70</v>
      </c>
      <c r="X294" s="545">
        <v>48</v>
      </c>
      <c r="Y294" s="546">
        <f t="shared" si="26"/>
        <v>48</v>
      </c>
      <c r="Z294" s="36">
        <f>IFERROR(IF(Y294=0,"",ROUNDUP(Y294/H294,0)*0.00902),"")</f>
        <v>0.10824</v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50.28</v>
      </c>
      <c r="BN294" s="64">
        <f t="shared" si="28"/>
        <v>50.28</v>
      </c>
      <c r="BO294" s="64">
        <f t="shared" si="29"/>
        <v>9.0909090909090912E-2</v>
      </c>
      <c r="BP294" s="64">
        <f t="shared" si="30"/>
        <v>9.0909090909090912E-2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52">
        <v>4680115885608</v>
      </c>
      <c r="E295" s="553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6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63"/>
      <c r="R295" s="563"/>
      <c r="S295" s="563"/>
      <c r="T295" s="564"/>
      <c r="U295" s="34"/>
      <c r="V295" s="34"/>
      <c r="W295" s="35" t="s">
        <v>70</v>
      </c>
      <c r="X295" s="545">
        <v>124</v>
      </c>
      <c r="Y295" s="546">
        <f t="shared" si="26"/>
        <v>124</v>
      </c>
      <c r="Z295" s="36">
        <f>IFERROR(IF(Y295=0,"",ROUNDUP(Y295/H295,0)*0.00902),"")</f>
        <v>0.27961999999999998</v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129.89000000000001</v>
      </c>
      <c r="BN295" s="64">
        <f t="shared" si="28"/>
        <v>129.89000000000001</v>
      </c>
      <c r="BO295" s="64">
        <f t="shared" si="29"/>
        <v>0.23484848484848486</v>
      </c>
      <c r="BP295" s="64">
        <f t="shared" si="30"/>
        <v>0.23484848484848486</v>
      </c>
    </row>
    <row r="296" spans="1:68" x14ac:dyDescent="0.2">
      <c r="A296" s="555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7"/>
      <c r="P296" s="554" t="s">
        <v>76</v>
      </c>
      <c r="Q296" s="550"/>
      <c r="R296" s="550"/>
      <c r="S296" s="550"/>
      <c r="T296" s="550"/>
      <c r="U296" s="550"/>
      <c r="V296" s="551"/>
      <c r="W296" s="37" t="s">
        <v>77</v>
      </c>
      <c r="X296" s="547">
        <f>IFERROR(X290/H290,"0")+IFERROR(X291/H291,"0")+IFERROR(X292/H292,"0")+IFERROR(X293/H293,"0")+IFERROR(X294/H294,"0")+IFERROR(X295/H295,"0")</f>
        <v>158.74074074074073</v>
      </c>
      <c r="Y296" s="547">
        <f>IFERROR(Y290/H290,"0")+IFERROR(Y291/H291,"0")+IFERROR(Y292/H292,"0")+IFERROR(Y293/H293,"0")+IFERROR(Y294/H294,"0")+IFERROR(Y295/H295,"0")</f>
        <v>160</v>
      </c>
      <c r="Z296" s="547">
        <f>IFERROR(IF(Z290="",0,Z290),"0")+IFERROR(IF(Z291="",0,Z291),"0")+IFERROR(IF(Z292="",0,Z292),"0")+IFERROR(IF(Z293="",0,Z293),"0")+IFERROR(IF(Z294="",0,Z294),"0")+IFERROR(IF(Z295="",0,Z295),"0")</f>
        <v>2.6085199999999999</v>
      </c>
      <c r="AA296" s="548"/>
      <c r="AB296" s="548"/>
      <c r="AC296" s="548"/>
    </row>
    <row r="297" spans="1:68" x14ac:dyDescent="0.2">
      <c r="A297" s="556"/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7"/>
      <c r="P297" s="554" t="s">
        <v>76</v>
      </c>
      <c r="Q297" s="550"/>
      <c r="R297" s="550"/>
      <c r="S297" s="550"/>
      <c r="T297" s="550"/>
      <c r="U297" s="550"/>
      <c r="V297" s="551"/>
      <c r="W297" s="37" t="s">
        <v>70</v>
      </c>
      <c r="X297" s="547">
        <f>IFERROR(SUM(X290:X295),"0")</f>
        <v>1422</v>
      </c>
      <c r="Y297" s="547">
        <f>IFERROR(SUM(Y290:Y295),"0")</f>
        <v>1435.6000000000001</v>
      </c>
      <c r="Z297" s="37"/>
      <c r="AA297" s="548"/>
      <c r="AB297" s="548"/>
      <c r="AC297" s="548"/>
    </row>
    <row r="298" spans="1:68" ht="14.25" customHeight="1" x14ac:dyDescent="0.25">
      <c r="A298" s="565" t="s">
        <v>64</v>
      </c>
      <c r="B298" s="556"/>
      <c r="C298" s="556"/>
      <c r="D298" s="556"/>
      <c r="E298" s="556"/>
      <c r="F298" s="556"/>
      <c r="G298" s="556"/>
      <c r="H298" s="556"/>
      <c r="I298" s="556"/>
      <c r="J298" s="556"/>
      <c r="K298" s="556"/>
      <c r="L298" s="556"/>
      <c r="M298" s="556"/>
      <c r="N298" s="556"/>
      <c r="O298" s="556"/>
      <c r="P298" s="556"/>
      <c r="Q298" s="556"/>
      <c r="R298" s="556"/>
      <c r="S298" s="556"/>
      <c r="T298" s="556"/>
      <c r="U298" s="556"/>
      <c r="V298" s="556"/>
      <c r="W298" s="556"/>
      <c r="X298" s="556"/>
      <c r="Y298" s="556"/>
      <c r="Z298" s="556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52">
        <v>4607091387193</v>
      </c>
      <c r="E299" s="553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63"/>
      <c r="R299" s="563"/>
      <c r="S299" s="563"/>
      <c r="T299" s="564"/>
      <c r="U299" s="34"/>
      <c r="V299" s="34"/>
      <c r="W299" s="35" t="s">
        <v>70</v>
      </c>
      <c r="X299" s="545">
        <v>111</v>
      </c>
      <c r="Y299" s="546">
        <f t="shared" ref="Y299:Y304" si="31">IFERROR(IF(X299="",0,CEILING((X299/$H299),1)*$H299),"")</f>
        <v>113.4</v>
      </c>
      <c r="Z299" s="36">
        <f>IFERROR(IF(Y299=0,"",ROUNDUP(Y299/H299,0)*0.00902),"")</f>
        <v>0.24354000000000001</v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117.60714285714286</v>
      </c>
      <c r="BN299" s="64">
        <f t="shared" ref="BN299:BN304" si="33">IFERROR(Y299*I299/H299,"0")</f>
        <v>120.15</v>
      </c>
      <c r="BO299" s="64">
        <f t="shared" ref="BO299:BO304" si="34">IFERROR(1/J299*(X299/H299),"0")</f>
        <v>0.20021645021645021</v>
      </c>
      <c r="BP299" s="64">
        <f t="shared" ref="BP299:BP304" si="35">IFERROR(1/J299*(Y299/H299),"0")</f>
        <v>0.20454545454545456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52">
        <v>4607091387230</v>
      </c>
      <c r="E300" s="553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76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63"/>
      <c r="R300" s="563"/>
      <c r="S300" s="563"/>
      <c r="T300" s="564"/>
      <c r="U300" s="34"/>
      <c r="V300" s="34"/>
      <c r="W300" s="35" t="s">
        <v>70</v>
      </c>
      <c r="X300" s="545">
        <v>236</v>
      </c>
      <c r="Y300" s="546">
        <f t="shared" si="31"/>
        <v>239.4</v>
      </c>
      <c r="Z300" s="36">
        <f>IFERROR(IF(Y300=0,"",ROUNDUP(Y300/H300,0)*0.00902),"")</f>
        <v>0.51414000000000004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250.04761904761904</v>
      </c>
      <c r="BN300" s="64">
        <f t="shared" si="33"/>
        <v>253.65000000000003</v>
      </c>
      <c r="BO300" s="64">
        <f t="shared" si="34"/>
        <v>0.42568542568542567</v>
      </c>
      <c r="BP300" s="64">
        <f t="shared" si="35"/>
        <v>0.43181818181818182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52">
        <v>4607091387292</v>
      </c>
      <c r="E301" s="553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6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63"/>
      <c r="R301" s="563"/>
      <c r="S301" s="563"/>
      <c r="T301" s="564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52">
        <v>4607091387285</v>
      </c>
      <c r="E302" s="553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63"/>
      <c r="R302" s="563"/>
      <c r="S302" s="563"/>
      <c r="T302" s="564"/>
      <c r="U302" s="34"/>
      <c r="V302" s="34"/>
      <c r="W302" s="35" t="s">
        <v>70</v>
      </c>
      <c r="X302" s="545">
        <v>47.599999999999987</v>
      </c>
      <c r="Y302" s="546">
        <f t="shared" si="31"/>
        <v>48.300000000000004</v>
      </c>
      <c r="Z302" s="36">
        <f>IFERROR(IF(Y302=0,"",ROUNDUP(Y302/H302,0)*0.00502),"")</f>
        <v>0.11546000000000001</v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50.546666666666653</v>
      </c>
      <c r="BN302" s="64">
        <f t="shared" si="33"/>
        <v>51.29</v>
      </c>
      <c r="BO302" s="64">
        <f t="shared" si="34"/>
        <v>9.6866096866096846E-2</v>
      </c>
      <c r="BP302" s="64">
        <f t="shared" si="35"/>
        <v>9.8290598290598302E-2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52">
        <v>4607091389845</v>
      </c>
      <c r="E303" s="553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63"/>
      <c r="R303" s="563"/>
      <c r="S303" s="563"/>
      <c r="T303" s="564"/>
      <c r="U303" s="34"/>
      <c r="V303" s="34"/>
      <c r="W303" s="35" t="s">
        <v>70</v>
      </c>
      <c r="X303" s="545">
        <v>6.3</v>
      </c>
      <c r="Y303" s="546">
        <f t="shared" si="31"/>
        <v>6.3000000000000007</v>
      </c>
      <c r="Z303" s="36">
        <f>IFERROR(IF(Y303=0,"",ROUNDUP(Y303/H303,0)*0.00502),"")</f>
        <v>1.506E-2</v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6.6000000000000005</v>
      </c>
      <c r="BN303" s="64">
        <f t="shared" si="33"/>
        <v>6.6000000000000014</v>
      </c>
      <c r="BO303" s="64">
        <f t="shared" si="34"/>
        <v>1.2820512820512822E-2</v>
      </c>
      <c r="BP303" s="64">
        <f t="shared" si="35"/>
        <v>1.2820512820512822E-2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52">
        <v>4607091383836</v>
      </c>
      <c r="E304" s="553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1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63"/>
      <c r="R304" s="563"/>
      <c r="S304" s="563"/>
      <c r="T304" s="564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5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7"/>
      <c r="P305" s="554" t="s">
        <v>76</v>
      </c>
      <c r="Q305" s="550"/>
      <c r="R305" s="550"/>
      <c r="S305" s="550"/>
      <c r="T305" s="550"/>
      <c r="U305" s="550"/>
      <c r="V305" s="551"/>
      <c r="W305" s="37" t="s">
        <v>77</v>
      </c>
      <c r="X305" s="547">
        <f>IFERROR(X299/H299,"0")+IFERROR(X300/H300,"0")+IFERROR(X301/H301,"0")+IFERROR(X302/H302,"0")+IFERROR(X303/H303,"0")+IFERROR(X304/H304,"0")</f>
        <v>108.28571428571428</v>
      </c>
      <c r="Y305" s="547">
        <f>IFERROR(Y299/H299,"0")+IFERROR(Y300/H300,"0")+IFERROR(Y301/H301,"0")+IFERROR(Y302/H302,"0")+IFERROR(Y303/H303,"0")+IFERROR(Y304/H304,"0")</f>
        <v>110</v>
      </c>
      <c r="Z305" s="547">
        <f>IFERROR(IF(Z299="",0,Z299),"0")+IFERROR(IF(Z300="",0,Z300),"0")+IFERROR(IF(Z301="",0,Z301),"0")+IFERROR(IF(Z302="",0,Z302),"0")+IFERROR(IF(Z303="",0,Z303),"0")+IFERROR(IF(Z304="",0,Z304),"0")</f>
        <v>0.88819999999999999</v>
      </c>
      <c r="AA305" s="548"/>
      <c r="AB305" s="548"/>
      <c r="AC305" s="548"/>
    </row>
    <row r="306" spans="1:68" x14ac:dyDescent="0.2">
      <c r="A306" s="556"/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7"/>
      <c r="P306" s="554" t="s">
        <v>76</v>
      </c>
      <c r="Q306" s="550"/>
      <c r="R306" s="550"/>
      <c r="S306" s="550"/>
      <c r="T306" s="550"/>
      <c r="U306" s="550"/>
      <c r="V306" s="551"/>
      <c r="W306" s="37" t="s">
        <v>70</v>
      </c>
      <c r="X306" s="547">
        <f>IFERROR(SUM(X299:X304),"0")</f>
        <v>400.9</v>
      </c>
      <c r="Y306" s="547">
        <f>IFERROR(SUM(Y299:Y304),"0")</f>
        <v>407.40000000000003</v>
      </c>
      <c r="Z306" s="37"/>
      <c r="AA306" s="548"/>
      <c r="AB306" s="548"/>
      <c r="AC306" s="548"/>
    </row>
    <row r="307" spans="1:68" ht="14.25" customHeight="1" x14ac:dyDescent="0.25">
      <c r="A307" s="565" t="s">
        <v>78</v>
      </c>
      <c r="B307" s="556"/>
      <c r="C307" s="556"/>
      <c r="D307" s="556"/>
      <c r="E307" s="556"/>
      <c r="F307" s="556"/>
      <c r="G307" s="556"/>
      <c r="H307" s="556"/>
      <c r="I307" s="556"/>
      <c r="J307" s="556"/>
      <c r="K307" s="556"/>
      <c r="L307" s="556"/>
      <c r="M307" s="556"/>
      <c r="N307" s="556"/>
      <c r="O307" s="556"/>
      <c r="P307" s="556"/>
      <c r="Q307" s="556"/>
      <c r="R307" s="556"/>
      <c r="S307" s="556"/>
      <c r="T307" s="556"/>
      <c r="U307" s="556"/>
      <c r="V307" s="556"/>
      <c r="W307" s="556"/>
      <c r="X307" s="556"/>
      <c r="Y307" s="556"/>
      <c r="Z307" s="556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52">
        <v>4607091387766</v>
      </c>
      <c r="E308" s="553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8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63"/>
      <c r="R308" s="563"/>
      <c r="S308" s="563"/>
      <c r="T308" s="564"/>
      <c r="U308" s="34"/>
      <c r="V308" s="34"/>
      <c r="W308" s="35" t="s">
        <v>70</v>
      </c>
      <c r="X308" s="545">
        <v>3380</v>
      </c>
      <c r="Y308" s="546">
        <f>IFERROR(IF(X308="",0,CEILING((X308/$H308),1)*$H308),"")</f>
        <v>3385.2</v>
      </c>
      <c r="Z308" s="36">
        <f>IFERROR(IF(Y308=0,"",ROUNDUP(Y308/H308,0)*0.01898),"")</f>
        <v>8.2373200000000004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3591.4666666666672</v>
      </c>
      <c r="BN308" s="64">
        <f>IFERROR(Y308*I308/H308,"0")</f>
        <v>3596.9920000000002</v>
      </c>
      <c r="BO308" s="64">
        <f>IFERROR(1/J308*(X308/H308),"0")</f>
        <v>6.7708333333333339</v>
      </c>
      <c r="BP308" s="64">
        <f>IFERROR(1/J308*(Y308/H308),"0")</f>
        <v>6.78125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52">
        <v>4607091387957</v>
      </c>
      <c r="E309" s="553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63"/>
      <c r="R309" s="563"/>
      <c r="S309" s="563"/>
      <c r="T309" s="564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52">
        <v>4607091387964</v>
      </c>
      <c r="E310" s="553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63"/>
      <c r="R310" s="563"/>
      <c r="S310" s="563"/>
      <c r="T310" s="564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52">
        <v>4680115884588</v>
      </c>
      <c r="E311" s="553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3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63"/>
      <c r="R311" s="563"/>
      <c r="S311" s="563"/>
      <c r="T311" s="564"/>
      <c r="U311" s="34"/>
      <c r="V311" s="34"/>
      <c r="W311" s="35" t="s">
        <v>70</v>
      </c>
      <c r="X311" s="545">
        <v>7.1999999999999993</v>
      </c>
      <c r="Y311" s="546">
        <f>IFERROR(IF(X311="",0,CEILING((X311/$H311),1)*$H311),"")</f>
        <v>9</v>
      </c>
      <c r="Z311" s="36">
        <f>IFERROR(IF(Y311=0,"",ROUNDUP(Y311/H311,0)*0.00651),"")</f>
        <v>1.9529999999999999E-2</v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7.7903999999999991</v>
      </c>
      <c r="BN311" s="64">
        <f>IFERROR(Y311*I311/H311,"0")</f>
        <v>9.7379999999999995</v>
      </c>
      <c r="BO311" s="64">
        <f>IFERROR(1/J311*(X311/H311),"0")</f>
        <v>1.3186813186813187E-2</v>
      </c>
      <c r="BP311" s="64">
        <f>IFERROR(1/J311*(Y311/H311),"0")</f>
        <v>1.6483516483516484E-2</v>
      </c>
    </row>
    <row r="312" spans="1:68" x14ac:dyDescent="0.2">
      <c r="A312" s="555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7"/>
      <c r="P312" s="554" t="s">
        <v>76</v>
      </c>
      <c r="Q312" s="550"/>
      <c r="R312" s="550"/>
      <c r="S312" s="550"/>
      <c r="T312" s="550"/>
      <c r="U312" s="550"/>
      <c r="V312" s="551"/>
      <c r="W312" s="37" t="s">
        <v>77</v>
      </c>
      <c r="X312" s="547">
        <f>IFERROR(X308/H308,"0")+IFERROR(X309/H309,"0")+IFERROR(X310/H310,"0")+IFERROR(X311/H311,"0")</f>
        <v>435.73333333333335</v>
      </c>
      <c r="Y312" s="547">
        <f>IFERROR(Y308/H308,"0")+IFERROR(Y309/H309,"0")+IFERROR(Y310/H310,"0")+IFERROR(Y311/H311,"0")</f>
        <v>437</v>
      </c>
      <c r="Z312" s="547">
        <f>IFERROR(IF(Z308="",0,Z308),"0")+IFERROR(IF(Z309="",0,Z309),"0")+IFERROR(IF(Z310="",0,Z310),"0")+IFERROR(IF(Z311="",0,Z311),"0")</f>
        <v>8.25685</v>
      </c>
      <c r="AA312" s="548"/>
      <c r="AB312" s="548"/>
      <c r="AC312" s="548"/>
    </row>
    <row r="313" spans="1:68" x14ac:dyDescent="0.2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7"/>
      <c r="P313" s="554" t="s">
        <v>76</v>
      </c>
      <c r="Q313" s="550"/>
      <c r="R313" s="550"/>
      <c r="S313" s="550"/>
      <c r="T313" s="550"/>
      <c r="U313" s="550"/>
      <c r="V313" s="551"/>
      <c r="W313" s="37" t="s">
        <v>70</v>
      </c>
      <c r="X313" s="547">
        <f>IFERROR(SUM(X308:X311),"0")</f>
        <v>3387.2</v>
      </c>
      <c r="Y313" s="547">
        <f>IFERROR(SUM(Y308:Y311),"0")</f>
        <v>3394.2</v>
      </c>
      <c r="Z313" s="37"/>
      <c r="AA313" s="548"/>
      <c r="AB313" s="548"/>
      <c r="AC313" s="548"/>
    </row>
    <row r="314" spans="1:68" ht="14.25" customHeight="1" x14ac:dyDescent="0.25">
      <c r="A314" s="565" t="s">
        <v>168</v>
      </c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52">
        <v>4607091380880</v>
      </c>
      <c r="E315" s="553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8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63"/>
      <c r="R315" s="563"/>
      <c r="S315" s="563"/>
      <c r="T315" s="564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52">
        <v>4607091384482</v>
      </c>
      <c r="E316" s="553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8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63"/>
      <c r="R316" s="563"/>
      <c r="S316" s="563"/>
      <c r="T316" s="564"/>
      <c r="U316" s="34"/>
      <c r="V316" s="34"/>
      <c r="W316" s="35" t="s">
        <v>70</v>
      </c>
      <c r="X316" s="545">
        <v>330</v>
      </c>
      <c r="Y316" s="546">
        <f>IFERROR(IF(X316="",0,CEILING((X316/$H316),1)*$H316),"")</f>
        <v>335.4</v>
      </c>
      <c r="Z316" s="36">
        <f>IFERROR(IF(Y316=0,"",ROUNDUP(Y316/H316,0)*0.01898),"")</f>
        <v>0.81613999999999998</v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350.9</v>
      </c>
      <c r="BN316" s="64">
        <f>IFERROR(Y316*I316/H316,"0")</f>
        <v>356.642</v>
      </c>
      <c r="BO316" s="64">
        <f>IFERROR(1/J316*(X316/H316),"0")</f>
        <v>0.66105769230769229</v>
      </c>
      <c r="BP316" s="64">
        <f>IFERROR(1/J316*(Y316/H316),"0")</f>
        <v>0.671875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52">
        <v>4607091380897</v>
      </c>
      <c r="E317" s="553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6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63"/>
      <c r="R317" s="563"/>
      <c r="S317" s="563"/>
      <c r="T317" s="564"/>
      <c r="U317" s="34"/>
      <c r="V317" s="34"/>
      <c r="W317" s="35" t="s">
        <v>70</v>
      </c>
      <c r="X317" s="545">
        <v>84</v>
      </c>
      <c r="Y317" s="546">
        <f>IFERROR(IF(X317="",0,CEILING((X317/$H317),1)*$H317),"")</f>
        <v>84</v>
      </c>
      <c r="Z317" s="36">
        <f>IFERROR(IF(Y317=0,"",ROUNDUP(Y317/H317,0)*0.01898),"")</f>
        <v>0.1898</v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88.94</v>
      </c>
      <c r="BN317" s="64">
        <f>IFERROR(Y317*I317/H317,"0")</f>
        <v>88.94</v>
      </c>
      <c r="BO317" s="64">
        <f>IFERROR(1/J317*(X317/H317),"0")</f>
        <v>0.15625</v>
      </c>
      <c r="BP317" s="64">
        <f>IFERROR(1/J317*(Y317/H317),"0")</f>
        <v>0.15625</v>
      </c>
    </row>
    <row r="318" spans="1:68" x14ac:dyDescent="0.2">
      <c r="A318" s="555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7"/>
      <c r="P318" s="554" t="s">
        <v>76</v>
      </c>
      <c r="Q318" s="550"/>
      <c r="R318" s="550"/>
      <c r="S318" s="550"/>
      <c r="T318" s="550"/>
      <c r="U318" s="550"/>
      <c r="V318" s="551"/>
      <c r="W318" s="37" t="s">
        <v>77</v>
      </c>
      <c r="X318" s="547">
        <f>IFERROR(X315/H315,"0")+IFERROR(X316/H316,"0")+IFERROR(X317/H317,"0")</f>
        <v>52.307692307692307</v>
      </c>
      <c r="Y318" s="547">
        <f>IFERROR(Y315/H315,"0")+IFERROR(Y316/H316,"0")+IFERROR(Y317/H317,"0")</f>
        <v>53</v>
      </c>
      <c r="Z318" s="547">
        <f>IFERROR(IF(Z315="",0,Z315),"0")+IFERROR(IF(Z316="",0,Z316),"0")+IFERROR(IF(Z317="",0,Z317),"0")</f>
        <v>1.0059400000000001</v>
      </c>
      <c r="AA318" s="548"/>
      <c r="AB318" s="548"/>
      <c r="AC318" s="548"/>
    </row>
    <row r="319" spans="1:68" x14ac:dyDescent="0.2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7"/>
      <c r="P319" s="554" t="s">
        <v>76</v>
      </c>
      <c r="Q319" s="550"/>
      <c r="R319" s="550"/>
      <c r="S319" s="550"/>
      <c r="T319" s="550"/>
      <c r="U319" s="550"/>
      <c r="V319" s="551"/>
      <c r="W319" s="37" t="s">
        <v>70</v>
      </c>
      <c r="X319" s="547">
        <f>IFERROR(SUM(X315:X317),"0")</f>
        <v>414</v>
      </c>
      <c r="Y319" s="547">
        <f>IFERROR(SUM(Y315:Y317),"0")</f>
        <v>419.4</v>
      </c>
      <c r="Z319" s="37"/>
      <c r="AA319" s="548"/>
      <c r="AB319" s="548"/>
      <c r="AC319" s="548"/>
    </row>
    <row r="320" spans="1:68" ht="14.25" customHeight="1" x14ac:dyDescent="0.25">
      <c r="A320" s="565" t="s">
        <v>97</v>
      </c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52">
        <v>4607091388381</v>
      </c>
      <c r="E321" s="553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6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63"/>
      <c r="R321" s="563"/>
      <c r="S321" s="563"/>
      <c r="T321" s="564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52">
        <v>4607091388374</v>
      </c>
      <c r="E322" s="553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63"/>
      <c r="R322" s="563"/>
      <c r="S322" s="563"/>
      <c r="T322" s="564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52">
        <v>4607091383102</v>
      </c>
      <c r="E323" s="553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6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63"/>
      <c r="R323" s="563"/>
      <c r="S323" s="563"/>
      <c r="T323" s="564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52">
        <v>4607091388404</v>
      </c>
      <c r="E324" s="553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63"/>
      <c r="R324" s="563"/>
      <c r="S324" s="563"/>
      <c r="T324" s="564"/>
      <c r="U324" s="34"/>
      <c r="V324" s="34"/>
      <c r="W324" s="35" t="s">
        <v>70</v>
      </c>
      <c r="X324" s="545">
        <v>5.1000000000000014</v>
      </c>
      <c r="Y324" s="546">
        <f>IFERROR(IF(X324="",0,CEILING((X324/$H324),1)*$H324),"")</f>
        <v>5.0999999999999996</v>
      </c>
      <c r="Z324" s="36">
        <f>IFERROR(IF(Y324=0,"",ROUNDUP(Y324/H324,0)*0.00651),"")</f>
        <v>1.302E-2</v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5.7600000000000025</v>
      </c>
      <c r="BN324" s="64">
        <f>IFERROR(Y324*I324/H324,"0")</f>
        <v>5.76</v>
      </c>
      <c r="BO324" s="64">
        <f>IFERROR(1/J324*(X324/H324),"0")</f>
        <v>1.0989010989010995E-2</v>
      </c>
      <c r="BP324" s="64">
        <f>IFERROR(1/J324*(Y324/H324),"0")</f>
        <v>1.098901098901099E-2</v>
      </c>
    </row>
    <row r="325" spans="1:68" x14ac:dyDescent="0.2">
      <c r="A325" s="555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7"/>
      <c r="P325" s="554" t="s">
        <v>76</v>
      </c>
      <c r="Q325" s="550"/>
      <c r="R325" s="550"/>
      <c r="S325" s="550"/>
      <c r="T325" s="550"/>
      <c r="U325" s="550"/>
      <c r="V325" s="551"/>
      <c r="W325" s="37" t="s">
        <v>77</v>
      </c>
      <c r="X325" s="547">
        <f>IFERROR(X321/H321,"0")+IFERROR(X322/H322,"0")+IFERROR(X323/H323,"0")+IFERROR(X324/H324,"0")</f>
        <v>2.0000000000000009</v>
      </c>
      <c r="Y325" s="547">
        <f>IFERROR(Y321/H321,"0")+IFERROR(Y322/H322,"0")+IFERROR(Y323/H323,"0")+IFERROR(Y324/H324,"0")</f>
        <v>2</v>
      </c>
      <c r="Z325" s="547">
        <f>IFERROR(IF(Z321="",0,Z321),"0")+IFERROR(IF(Z322="",0,Z322),"0")+IFERROR(IF(Z323="",0,Z323),"0")+IFERROR(IF(Z324="",0,Z324),"0")</f>
        <v>1.302E-2</v>
      </c>
      <c r="AA325" s="548"/>
      <c r="AB325" s="548"/>
      <c r="AC325" s="548"/>
    </row>
    <row r="326" spans="1:68" x14ac:dyDescent="0.2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7"/>
      <c r="P326" s="554" t="s">
        <v>76</v>
      </c>
      <c r="Q326" s="550"/>
      <c r="R326" s="550"/>
      <c r="S326" s="550"/>
      <c r="T326" s="550"/>
      <c r="U326" s="550"/>
      <c r="V326" s="551"/>
      <c r="W326" s="37" t="s">
        <v>70</v>
      </c>
      <c r="X326" s="547">
        <f>IFERROR(SUM(X321:X324),"0")</f>
        <v>5.1000000000000014</v>
      </c>
      <c r="Y326" s="547">
        <f>IFERROR(SUM(Y321:Y324),"0")</f>
        <v>5.0999999999999996</v>
      </c>
      <c r="Z326" s="37"/>
      <c r="AA326" s="548"/>
      <c r="AB326" s="548"/>
      <c r="AC326" s="548"/>
    </row>
    <row r="327" spans="1:68" ht="14.25" customHeight="1" x14ac:dyDescent="0.25">
      <c r="A327" s="565" t="s">
        <v>515</v>
      </c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52">
        <v>4680115881808</v>
      </c>
      <c r="E328" s="553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8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63"/>
      <c r="R328" s="563"/>
      <c r="S328" s="563"/>
      <c r="T328" s="564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52">
        <v>4680115881822</v>
      </c>
      <c r="E329" s="553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8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63"/>
      <c r="R329" s="563"/>
      <c r="S329" s="563"/>
      <c r="T329" s="564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52">
        <v>4680115880016</v>
      </c>
      <c r="E330" s="553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63"/>
      <c r="R330" s="563"/>
      <c r="S330" s="563"/>
      <c r="T330" s="564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5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7"/>
      <c r="P331" s="554" t="s">
        <v>76</v>
      </c>
      <c r="Q331" s="550"/>
      <c r="R331" s="550"/>
      <c r="S331" s="550"/>
      <c r="T331" s="550"/>
      <c r="U331" s="550"/>
      <c r="V331" s="551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x14ac:dyDescent="0.2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7"/>
      <c r="P332" s="554" t="s">
        <v>76</v>
      </c>
      <c r="Q332" s="550"/>
      <c r="R332" s="550"/>
      <c r="S332" s="550"/>
      <c r="T332" s="550"/>
      <c r="U332" s="550"/>
      <c r="V332" s="551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customHeight="1" x14ac:dyDescent="0.25">
      <c r="A333" s="576" t="s">
        <v>524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40"/>
      <c r="AB333" s="540"/>
      <c r="AC333" s="540"/>
    </row>
    <row r="334" spans="1:68" ht="14.25" customHeight="1" x14ac:dyDescent="0.25">
      <c r="A334" s="565" t="s">
        <v>78</v>
      </c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52">
        <v>4607091387919</v>
      </c>
      <c r="E335" s="553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63"/>
      <c r="R335" s="563"/>
      <c r="S335" s="563"/>
      <c r="T335" s="564"/>
      <c r="U335" s="34"/>
      <c r="V335" s="34"/>
      <c r="W335" s="35" t="s">
        <v>70</v>
      </c>
      <c r="X335" s="545">
        <v>36</v>
      </c>
      <c r="Y335" s="546">
        <f>IFERROR(IF(X335="",0,CEILING((X335/$H335),1)*$H335),"")</f>
        <v>40.5</v>
      </c>
      <c r="Z335" s="36">
        <f>IFERROR(IF(Y335=0,"",ROUNDUP(Y335/H335,0)*0.01898),"")</f>
        <v>9.4899999999999998E-2</v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38.195555555555551</v>
      </c>
      <c r="BN335" s="64">
        <f>IFERROR(Y335*I335/H335,"0")</f>
        <v>42.97</v>
      </c>
      <c r="BO335" s="64">
        <f>IFERROR(1/J335*(X335/H335),"0")</f>
        <v>6.9444444444444448E-2</v>
      </c>
      <c r="BP335" s="64">
        <f>IFERROR(1/J335*(Y335/H335),"0")</f>
        <v>7.8125E-2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52">
        <v>4680115883604</v>
      </c>
      <c r="E336" s="553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6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63"/>
      <c r="R336" s="563"/>
      <c r="S336" s="563"/>
      <c r="T336" s="564"/>
      <c r="U336" s="34"/>
      <c r="V336" s="34"/>
      <c r="W336" s="35" t="s">
        <v>70</v>
      </c>
      <c r="X336" s="545">
        <v>56</v>
      </c>
      <c r="Y336" s="546">
        <f>IFERROR(IF(X336="",0,CEILING((X336/$H336),1)*$H336),"")</f>
        <v>56.7</v>
      </c>
      <c r="Z336" s="36">
        <f>IFERROR(IF(Y336=0,"",ROUNDUP(Y336/H336,0)*0.00651),"")</f>
        <v>0.17577000000000001</v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62.719999999999992</v>
      </c>
      <c r="BN336" s="64">
        <f>IFERROR(Y336*I336/H336,"0")</f>
        <v>63.503999999999991</v>
      </c>
      <c r="BO336" s="64">
        <f>IFERROR(1/J336*(X336/H336),"0")</f>
        <v>0.14652014652014653</v>
      </c>
      <c r="BP336" s="64">
        <f>IFERROR(1/J336*(Y336/H336),"0")</f>
        <v>0.14835164835164835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52">
        <v>4680115883567</v>
      </c>
      <c r="E337" s="553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63"/>
      <c r="R337" s="563"/>
      <c r="S337" s="563"/>
      <c r="T337" s="564"/>
      <c r="U337" s="34"/>
      <c r="V337" s="34"/>
      <c r="W337" s="35" t="s">
        <v>70</v>
      </c>
      <c r="X337" s="545">
        <v>60.2</v>
      </c>
      <c r="Y337" s="546">
        <f>IFERROR(IF(X337="",0,CEILING((X337/$H337),1)*$H337),"")</f>
        <v>60.900000000000006</v>
      </c>
      <c r="Z337" s="36">
        <f>IFERROR(IF(Y337=0,"",ROUNDUP(Y337/H337,0)*0.00651),"")</f>
        <v>0.18879000000000001</v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67.08</v>
      </c>
      <c r="BN337" s="64">
        <f>IFERROR(Y337*I337/H337,"0")</f>
        <v>67.86</v>
      </c>
      <c r="BO337" s="64">
        <f>IFERROR(1/J337*(X337/H337),"0")</f>
        <v>0.15750915750915753</v>
      </c>
      <c r="BP337" s="64">
        <f>IFERROR(1/J337*(Y337/H337),"0")</f>
        <v>0.15934065934065936</v>
      </c>
    </row>
    <row r="338" spans="1:68" x14ac:dyDescent="0.2">
      <c r="A338" s="555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7"/>
      <c r="P338" s="554" t="s">
        <v>76</v>
      </c>
      <c r="Q338" s="550"/>
      <c r="R338" s="550"/>
      <c r="S338" s="550"/>
      <c r="T338" s="550"/>
      <c r="U338" s="550"/>
      <c r="V338" s="551"/>
      <c r="W338" s="37" t="s">
        <v>77</v>
      </c>
      <c r="X338" s="547">
        <f>IFERROR(X335/H335,"0")+IFERROR(X336/H336,"0")+IFERROR(X337/H337,"0")</f>
        <v>59.777777777777771</v>
      </c>
      <c r="Y338" s="547">
        <f>IFERROR(Y335/H335,"0")+IFERROR(Y336/H336,"0")+IFERROR(Y337/H337,"0")</f>
        <v>61</v>
      </c>
      <c r="Z338" s="547">
        <f>IFERROR(IF(Z335="",0,Z335),"0")+IFERROR(IF(Z336="",0,Z336),"0")+IFERROR(IF(Z337="",0,Z337),"0")</f>
        <v>0.45946000000000004</v>
      </c>
      <c r="AA338" s="548"/>
      <c r="AB338" s="548"/>
      <c r="AC338" s="548"/>
    </row>
    <row r="339" spans="1:68" x14ac:dyDescent="0.2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7"/>
      <c r="P339" s="554" t="s">
        <v>76</v>
      </c>
      <c r="Q339" s="550"/>
      <c r="R339" s="550"/>
      <c r="S339" s="550"/>
      <c r="T339" s="550"/>
      <c r="U339" s="550"/>
      <c r="V339" s="551"/>
      <c r="W339" s="37" t="s">
        <v>70</v>
      </c>
      <c r="X339" s="547">
        <f>IFERROR(SUM(X335:X337),"0")</f>
        <v>152.19999999999999</v>
      </c>
      <c r="Y339" s="547">
        <f>IFERROR(SUM(Y335:Y337),"0")</f>
        <v>158.10000000000002</v>
      </c>
      <c r="Z339" s="37"/>
      <c r="AA339" s="548"/>
      <c r="AB339" s="548"/>
      <c r="AC339" s="548"/>
    </row>
    <row r="340" spans="1:68" ht="27.75" customHeight="1" x14ac:dyDescent="0.2">
      <c r="A340" s="636" t="s">
        <v>534</v>
      </c>
      <c r="B340" s="637"/>
      <c r="C340" s="637"/>
      <c r="D340" s="637"/>
      <c r="E340" s="637"/>
      <c r="F340" s="637"/>
      <c r="G340" s="637"/>
      <c r="H340" s="637"/>
      <c r="I340" s="637"/>
      <c r="J340" s="637"/>
      <c r="K340" s="637"/>
      <c r="L340" s="637"/>
      <c r="M340" s="637"/>
      <c r="N340" s="637"/>
      <c r="O340" s="637"/>
      <c r="P340" s="637"/>
      <c r="Q340" s="637"/>
      <c r="R340" s="637"/>
      <c r="S340" s="637"/>
      <c r="T340" s="637"/>
      <c r="U340" s="637"/>
      <c r="V340" s="637"/>
      <c r="W340" s="637"/>
      <c r="X340" s="637"/>
      <c r="Y340" s="637"/>
      <c r="Z340" s="637"/>
      <c r="AA340" s="48"/>
      <c r="AB340" s="48"/>
      <c r="AC340" s="48"/>
    </row>
    <row r="341" spans="1:68" ht="16.5" customHeight="1" x14ac:dyDescent="0.25">
      <c r="A341" s="576" t="s">
        <v>535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40"/>
      <c r="AB341" s="540"/>
      <c r="AC341" s="540"/>
    </row>
    <row r="342" spans="1:68" ht="14.25" customHeight="1" x14ac:dyDescent="0.25">
      <c r="A342" s="565" t="s">
        <v>105</v>
      </c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52">
        <v>4680115884847</v>
      </c>
      <c r="E343" s="553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69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63"/>
      <c r="R343" s="563"/>
      <c r="S343" s="563"/>
      <c r="T343" s="564"/>
      <c r="U343" s="34"/>
      <c r="V343" s="34"/>
      <c r="W343" s="35" t="s">
        <v>70</v>
      </c>
      <c r="X343" s="545">
        <v>190</v>
      </c>
      <c r="Y343" s="546">
        <f t="shared" ref="Y343:Y349" si="36">IFERROR(IF(X343="",0,CEILING((X343/$H343),1)*$H343),"")</f>
        <v>195</v>
      </c>
      <c r="Z343" s="36">
        <f>IFERROR(IF(Y343=0,"",ROUNDUP(Y343/H343,0)*0.02175),"")</f>
        <v>0.28275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195.95333333333335</v>
      </c>
      <c r="BN343" s="64">
        <f t="shared" ref="BN343:BN349" si="38">IFERROR(Y343*I343/H343,"0")</f>
        <v>201.11</v>
      </c>
      <c r="BO343" s="64">
        <f t="shared" ref="BO343:BO349" si="39">IFERROR(1/J343*(X343/H343),"0")</f>
        <v>0.26388888888888884</v>
      </c>
      <c r="BP343" s="64">
        <f t="shared" ref="BP343:BP349" si="40">IFERROR(1/J343*(Y343/H343),"0")</f>
        <v>0.27083333333333331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52">
        <v>4680115884854</v>
      </c>
      <c r="E344" s="553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6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63"/>
      <c r="R344" s="563"/>
      <c r="S344" s="563"/>
      <c r="T344" s="564"/>
      <c r="U344" s="34"/>
      <c r="V344" s="34"/>
      <c r="W344" s="35" t="s">
        <v>70</v>
      </c>
      <c r="X344" s="545">
        <v>755</v>
      </c>
      <c r="Y344" s="546">
        <f t="shared" si="36"/>
        <v>765</v>
      </c>
      <c r="Z344" s="36">
        <f>IFERROR(IF(Y344=0,"",ROUNDUP(Y344/H344,0)*0.02175),"")</f>
        <v>1.1092499999999998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778.65666666666664</v>
      </c>
      <c r="BN344" s="64">
        <f t="shared" si="38"/>
        <v>788.97</v>
      </c>
      <c r="BO344" s="64">
        <f t="shared" si="39"/>
        <v>1.0486111111111112</v>
      </c>
      <c r="BP344" s="64">
        <f t="shared" si="40"/>
        <v>1.0625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52">
        <v>4680115884830</v>
      </c>
      <c r="E345" s="553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68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63"/>
      <c r="R345" s="563"/>
      <c r="S345" s="563"/>
      <c r="T345" s="564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52">
        <v>4680115887046</v>
      </c>
      <c r="E346" s="553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64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63"/>
      <c r="R346" s="563"/>
      <c r="S346" s="563"/>
      <c r="T346" s="564"/>
      <c r="U346" s="34"/>
      <c r="V346" s="34"/>
      <c r="W346" s="35" t="s">
        <v>70</v>
      </c>
      <c r="X346" s="545">
        <v>1150</v>
      </c>
      <c r="Y346" s="546">
        <f t="shared" si="36"/>
        <v>1155</v>
      </c>
      <c r="Z346" s="36">
        <f>IFERROR(IF(Y346=0,"",ROUNDUP(Y346/H346,0)*0.02175),"")</f>
        <v>1.67475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1186.0333333333333</v>
      </c>
      <c r="BN346" s="64">
        <f t="shared" si="38"/>
        <v>1191.19</v>
      </c>
      <c r="BO346" s="64">
        <f t="shared" si="39"/>
        <v>1.5972222222222223</v>
      </c>
      <c r="BP346" s="64">
        <f t="shared" si="40"/>
        <v>1.6041666666666665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52">
        <v>4680115882638</v>
      </c>
      <c r="E347" s="553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62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63"/>
      <c r="R347" s="563"/>
      <c r="S347" s="563"/>
      <c r="T347" s="564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52">
        <v>4680115884922</v>
      </c>
      <c r="E348" s="553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6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63"/>
      <c r="R348" s="563"/>
      <c r="S348" s="563"/>
      <c r="T348" s="564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52">
        <v>4680115884861</v>
      </c>
      <c r="E349" s="553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6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63"/>
      <c r="R349" s="563"/>
      <c r="S349" s="563"/>
      <c r="T349" s="564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5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7"/>
      <c r="P350" s="554" t="s">
        <v>76</v>
      </c>
      <c r="Q350" s="550"/>
      <c r="R350" s="550"/>
      <c r="S350" s="550"/>
      <c r="T350" s="550"/>
      <c r="U350" s="550"/>
      <c r="V350" s="551"/>
      <c r="W350" s="37" t="s">
        <v>77</v>
      </c>
      <c r="X350" s="547">
        <f>IFERROR(X343/H343,"0")+IFERROR(X344/H344,"0")+IFERROR(X345/H345,"0")+IFERROR(X346/H346,"0")+IFERROR(X347/H347,"0")+IFERROR(X348/H348,"0")+IFERROR(X349/H349,"0")</f>
        <v>139.66666666666669</v>
      </c>
      <c r="Y350" s="547">
        <f>IFERROR(Y343/H343,"0")+IFERROR(Y344/H344,"0")+IFERROR(Y345/H345,"0")+IFERROR(Y346/H346,"0")+IFERROR(Y347/H347,"0")+IFERROR(Y348/H348,"0")+IFERROR(Y349/H349,"0")</f>
        <v>141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3.0667499999999999</v>
      </c>
      <c r="AA350" s="548"/>
      <c r="AB350" s="548"/>
      <c r="AC350" s="548"/>
    </row>
    <row r="351" spans="1:68" x14ac:dyDescent="0.2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7"/>
      <c r="P351" s="554" t="s">
        <v>76</v>
      </c>
      <c r="Q351" s="550"/>
      <c r="R351" s="550"/>
      <c r="S351" s="550"/>
      <c r="T351" s="550"/>
      <c r="U351" s="550"/>
      <c r="V351" s="551"/>
      <c r="W351" s="37" t="s">
        <v>70</v>
      </c>
      <c r="X351" s="547">
        <f>IFERROR(SUM(X343:X349),"0")</f>
        <v>2095</v>
      </c>
      <c r="Y351" s="547">
        <f>IFERROR(SUM(Y343:Y349),"0")</f>
        <v>2115</v>
      </c>
      <c r="Z351" s="37"/>
      <c r="AA351" s="548"/>
      <c r="AB351" s="548"/>
      <c r="AC351" s="548"/>
    </row>
    <row r="352" spans="1:68" ht="14.25" customHeight="1" x14ac:dyDescent="0.25">
      <c r="A352" s="565" t="s">
        <v>140</v>
      </c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52">
        <v>4607091383980</v>
      </c>
      <c r="E353" s="553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63"/>
      <c r="R353" s="563"/>
      <c r="S353" s="563"/>
      <c r="T353" s="564"/>
      <c r="U353" s="34"/>
      <c r="V353" s="34"/>
      <c r="W353" s="35" t="s">
        <v>70</v>
      </c>
      <c r="X353" s="545">
        <v>1330</v>
      </c>
      <c r="Y353" s="546">
        <f>IFERROR(IF(X353="",0,CEILING((X353/$H353),1)*$H353),"")</f>
        <v>1335</v>
      </c>
      <c r="Z353" s="36">
        <f>IFERROR(IF(Y353=0,"",ROUNDUP(Y353/H353,0)*0.02175),"")</f>
        <v>1.9357499999999999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1371.6733333333334</v>
      </c>
      <c r="BN353" s="64">
        <f>IFERROR(Y353*I353/H353,"0")</f>
        <v>1376.8300000000002</v>
      </c>
      <c r="BO353" s="64">
        <f>IFERROR(1/J353*(X353/H353),"0")</f>
        <v>1.8472222222222223</v>
      </c>
      <c r="BP353" s="64">
        <f>IFERROR(1/J353*(Y353/H353),"0")</f>
        <v>1.8541666666666665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52">
        <v>4607091384178</v>
      </c>
      <c r="E354" s="553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6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63"/>
      <c r="R354" s="563"/>
      <c r="S354" s="563"/>
      <c r="T354" s="564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5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7"/>
      <c r="P355" s="554" t="s">
        <v>76</v>
      </c>
      <c r="Q355" s="550"/>
      <c r="R355" s="550"/>
      <c r="S355" s="550"/>
      <c r="T355" s="550"/>
      <c r="U355" s="550"/>
      <c r="V355" s="551"/>
      <c r="W355" s="37" t="s">
        <v>77</v>
      </c>
      <c r="X355" s="547">
        <f>IFERROR(X353/H353,"0")+IFERROR(X354/H354,"0")</f>
        <v>88.666666666666671</v>
      </c>
      <c r="Y355" s="547">
        <f>IFERROR(Y353/H353,"0")+IFERROR(Y354/H354,"0")</f>
        <v>89</v>
      </c>
      <c r="Z355" s="547">
        <f>IFERROR(IF(Z353="",0,Z353),"0")+IFERROR(IF(Z354="",0,Z354),"0")</f>
        <v>1.9357499999999999</v>
      </c>
      <c r="AA355" s="548"/>
      <c r="AB355" s="548"/>
      <c r="AC355" s="548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7"/>
      <c r="P356" s="554" t="s">
        <v>76</v>
      </c>
      <c r="Q356" s="550"/>
      <c r="R356" s="550"/>
      <c r="S356" s="550"/>
      <c r="T356" s="550"/>
      <c r="U356" s="550"/>
      <c r="V356" s="551"/>
      <c r="W356" s="37" t="s">
        <v>70</v>
      </c>
      <c r="X356" s="547">
        <f>IFERROR(SUM(X353:X354),"0")</f>
        <v>1330</v>
      </c>
      <c r="Y356" s="547">
        <f>IFERROR(SUM(Y353:Y354),"0")</f>
        <v>1335</v>
      </c>
      <c r="Z356" s="37"/>
      <c r="AA356" s="548"/>
      <c r="AB356" s="548"/>
      <c r="AC356" s="548"/>
    </row>
    <row r="357" spans="1:68" ht="14.25" customHeight="1" x14ac:dyDescent="0.25">
      <c r="A357" s="565" t="s">
        <v>78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52">
        <v>4607091383928</v>
      </c>
      <c r="E358" s="553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7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63"/>
      <c r="R358" s="563"/>
      <c r="S358" s="563"/>
      <c r="T358" s="564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52">
        <v>4607091384260</v>
      </c>
      <c r="E359" s="553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6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63"/>
      <c r="R359" s="563"/>
      <c r="S359" s="563"/>
      <c r="T359" s="564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5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7"/>
      <c r="P360" s="554" t="s">
        <v>76</v>
      </c>
      <c r="Q360" s="550"/>
      <c r="R360" s="550"/>
      <c r="S360" s="550"/>
      <c r="T360" s="550"/>
      <c r="U360" s="550"/>
      <c r="V360" s="551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7"/>
      <c r="P361" s="554" t="s">
        <v>76</v>
      </c>
      <c r="Q361" s="550"/>
      <c r="R361" s="550"/>
      <c r="S361" s="550"/>
      <c r="T361" s="550"/>
      <c r="U361" s="550"/>
      <c r="V361" s="551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65" t="s">
        <v>168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52">
        <v>4607091384673</v>
      </c>
      <c r="E363" s="553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5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63"/>
      <c r="R363" s="563"/>
      <c r="S363" s="563"/>
      <c r="T363" s="564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5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7"/>
      <c r="P364" s="554" t="s">
        <v>76</v>
      </c>
      <c r="Q364" s="550"/>
      <c r="R364" s="550"/>
      <c r="S364" s="550"/>
      <c r="T364" s="550"/>
      <c r="U364" s="550"/>
      <c r="V364" s="551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7"/>
      <c r="P365" s="554" t="s">
        <v>76</v>
      </c>
      <c r="Q365" s="550"/>
      <c r="R365" s="550"/>
      <c r="S365" s="550"/>
      <c r="T365" s="550"/>
      <c r="U365" s="550"/>
      <c r="V365" s="551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customHeight="1" x14ac:dyDescent="0.25">
      <c r="A366" s="576" t="s">
        <v>570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40"/>
      <c r="AB366" s="540"/>
      <c r="AC366" s="540"/>
    </row>
    <row r="367" spans="1:68" ht="14.25" customHeight="1" x14ac:dyDescent="0.25">
      <c r="A367" s="565" t="s">
        <v>105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41"/>
      <c r="AB367" s="541"/>
      <c r="AC367" s="541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52">
        <v>4680115884885</v>
      </c>
      <c r="E368" s="553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57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63"/>
      <c r="R368" s="563"/>
      <c r="S368" s="563"/>
      <c r="T368" s="564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52">
        <v>4680115884908</v>
      </c>
      <c r="E369" s="553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6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63"/>
      <c r="R369" s="563"/>
      <c r="S369" s="563"/>
      <c r="T369" s="564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5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7"/>
      <c r="P370" s="554" t="s">
        <v>76</v>
      </c>
      <c r="Q370" s="550"/>
      <c r="R370" s="550"/>
      <c r="S370" s="550"/>
      <c r="T370" s="550"/>
      <c r="U370" s="550"/>
      <c r="V370" s="551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x14ac:dyDescent="0.2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7"/>
      <c r="P371" s="554" t="s">
        <v>76</v>
      </c>
      <c r="Q371" s="550"/>
      <c r="R371" s="550"/>
      <c r="S371" s="550"/>
      <c r="T371" s="550"/>
      <c r="U371" s="550"/>
      <c r="V371" s="551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customHeight="1" x14ac:dyDescent="0.25">
      <c r="A372" s="565" t="s">
        <v>64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52">
        <v>4607091384802</v>
      </c>
      <c r="E373" s="553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57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63"/>
      <c r="R373" s="563"/>
      <c r="S373" s="563"/>
      <c r="T373" s="564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52">
        <v>4607091384802</v>
      </c>
      <c r="E374" s="553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63"/>
      <c r="R374" s="563"/>
      <c r="S374" s="563"/>
      <c r="T374" s="564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5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7"/>
      <c r="P375" s="554" t="s">
        <v>76</v>
      </c>
      <c r="Q375" s="550"/>
      <c r="R375" s="550"/>
      <c r="S375" s="550"/>
      <c r="T375" s="550"/>
      <c r="U375" s="550"/>
      <c r="V375" s="551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7"/>
      <c r="P376" s="554" t="s">
        <v>76</v>
      </c>
      <c r="Q376" s="550"/>
      <c r="R376" s="550"/>
      <c r="S376" s="550"/>
      <c r="T376" s="550"/>
      <c r="U376" s="550"/>
      <c r="V376" s="551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65" t="s">
        <v>78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52">
        <v>4607091384246</v>
      </c>
      <c r="E378" s="553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7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63"/>
      <c r="R378" s="563"/>
      <c r="S378" s="563"/>
      <c r="T378" s="564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52">
        <v>4607091384253</v>
      </c>
      <c r="E379" s="553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8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63"/>
      <c r="R379" s="563"/>
      <c r="S379" s="563"/>
      <c r="T379" s="564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584</v>
      </c>
      <c r="B380" s="54" t="s">
        <v>586</v>
      </c>
      <c r="C380" s="31">
        <v>4301052069</v>
      </c>
      <c r="D380" s="552">
        <v>4607091384253</v>
      </c>
      <c r="E380" s="553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63"/>
      <c r="R380" s="563"/>
      <c r="S380" s="563"/>
      <c r="T380" s="564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5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7"/>
      <c r="P381" s="554" t="s">
        <v>76</v>
      </c>
      <c r="Q381" s="550"/>
      <c r="R381" s="550"/>
      <c r="S381" s="550"/>
      <c r="T381" s="550"/>
      <c r="U381" s="550"/>
      <c r="V381" s="551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x14ac:dyDescent="0.2">
      <c r="A382" s="556"/>
      <c r="B382" s="556"/>
      <c r="C382" s="556"/>
      <c r="D382" s="556"/>
      <c r="E382" s="556"/>
      <c r="F382" s="556"/>
      <c r="G382" s="556"/>
      <c r="H382" s="556"/>
      <c r="I382" s="556"/>
      <c r="J382" s="556"/>
      <c r="K382" s="556"/>
      <c r="L382" s="556"/>
      <c r="M382" s="556"/>
      <c r="N382" s="556"/>
      <c r="O382" s="557"/>
      <c r="P382" s="554" t="s">
        <v>76</v>
      </c>
      <c r="Q382" s="550"/>
      <c r="R382" s="550"/>
      <c r="S382" s="550"/>
      <c r="T382" s="550"/>
      <c r="U382" s="550"/>
      <c r="V382" s="551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customHeight="1" x14ac:dyDescent="0.2">
      <c r="A383" s="636" t="s">
        <v>588</v>
      </c>
      <c r="B383" s="637"/>
      <c r="C383" s="637"/>
      <c r="D383" s="637"/>
      <c r="E383" s="637"/>
      <c r="F383" s="637"/>
      <c r="G383" s="637"/>
      <c r="H383" s="637"/>
      <c r="I383" s="637"/>
      <c r="J383" s="637"/>
      <c r="K383" s="637"/>
      <c r="L383" s="637"/>
      <c r="M383" s="637"/>
      <c r="N383" s="637"/>
      <c r="O383" s="637"/>
      <c r="P383" s="637"/>
      <c r="Q383" s="637"/>
      <c r="R383" s="637"/>
      <c r="S383" s="637"/>
      <c r="T383" s="637"/>
      <c r="U383" s="637"/>
      <c r="V383" s="637"/>
      <c r="W383" s="637"/>
      <c r="X383" s="637"/>
      <c r="Y383" s="637"/>
      <c r="Z383" s="637"/>
      <c r="AA383" s="48"/>
      <c r="AB383" s="48"/>
      <c r="AC383" s="48"/>
    </row>
    <row r="384" spans="1:68" ht="16.5" customHeight="1" x14ac:dyDescent="0.25">
      <c r="A384" s="576" t="s">
        <v>589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40"/>
      <c r="AB384" s="540"/>
      <c r="AC384" s="540"/>
    </row>
    <row r="385" spans="1:68" ht="14.25" customHeight="1" x14ac:dyDescent="0.25">
      <c r="A385" s="565" t="s">
        <v>64</v>
      </c>
      <c r="B385" s="556"/>
      <c r="C385" s="556"/>
      <c r="D385" s="556"/>
      <c r="E385" s="556"/>
      <c r="F385" s="556"/>
      <c r="G385" s="556"/>
      <c r="H385" s="556"/>
      <c r="I385" s="556"/>
      <c r="J385" s="556"/>
      <c r="K385" s="556"/>
      <c r="L385" s="556"/>
      <c r="M385" s="556"/>
      <c r="N385" s="556"/>
      <c r="O385" s="556"/>
      <c r="P385" s="556"/>
      <c r="Q385" s="556"/>
      <c r="R385" s="556"/>
      <c r="S385" s="556"/>
      <c r="T385" s="556"/>
      <c r="U385" s="556"/>
      <c r="V385" s="556"/>
      <c r="W385" s="556"/>
      <c r="X385" s="556"/>
      <c r="Y385" s="556"/>
      <c r="Z385" s="556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52">
        <v>4680115886100</v>
      </c>
      <c r="E386" s="553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63"/>
      <c r="R386" s="563"/>
      <c r="S386" s="563"/>
      <c r="T386" s="564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52">
        <v>4680115886117</v>
      </c>
      <c r="E387" s="553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63"/>
      <c r="R387" s="563"/>
      <c r="S387" s="563"/>
      <c r="T387" s="564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52">
        <v>4680115886124</v>
      </c>
      <c r="E388" s="553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63"/>
      <c r="R388" s="563"/>
      <c r="S388" s="563"/>
      <c r="T388" s="564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52">
        <v>4680115883147</v>
      </c>
      <c r="E389" s="553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86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63"/>
      <c r="R389" s="563"/>
      <c r="S389" s="563"/>
      <c r="T389" s="564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52">
        <v>4607091384338</v>
      </c>
      <c r="E390" s="553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63"/>
      <c r="R390" s="563"/>
      <c r="S390" s="563"/>
      <c r="T390" s="564"/>
      <c r="U390" s="34"/>
      <c r="V390" s="34"/>
      <c r="W390" s="35" t="s">
        <v>70</v>
      </c>
      <c r="X390" s="545">
        <v>6.3</v>
      </c>
      <c r="Y390" s="546">
        <f t="shared" si="41"/>
        <v>6.3000000000000007</v>
      </c>
      <c r="Z390" s="36">
        <f t="shared" si="46"/>
        <v>1.506E-2</v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6.6899999999999995</v>
      </c>
      <c r="BN390" s="64">
        <f t="shared" si="43"/>
        <v>6.69</v>
      </c>
      <c r="BO390" s="64">
        <f t="shared" si="44"/>
        <v>1.2820512820512822E-2</v>
      </c>
      <c r="BP390" s="64">
        <f t="shared" si="45"/>
        <v>1.2820512820512822E-2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52">
        <v>4607091389524</v>
      </c>
      <c r="E391" s="553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86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63"/>
      <c r="R391" s="563"/>
      <c r="S391" s="563"/>
      <c r="T391" s="564"/>
      <c r="U391" s="34"/>
      <c r="V391" s="34"/>
      <c r="W391" s="35" t="s">
        <v>70</v>
      </c>
      <c r="X391" s="545">
        <v>6.3</v>
      </c>
      <c r="Y391" s="546">
        <f t="shared" si="41"/>
        <v>6.3000000000000007</v>
      </c>
      <c r="Z391" s="36">
        <f t="shared" si="46"/>
        <v>1.506E-2</v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6.6899999999999995</v>
      </c>
      <c r="BN391" s="64">
        <f t="shared" si="43"/>
        <v>6.69</v>
      </c>
      <c r="BO391" s="64">
        <f t="shared" si="44"/>
        <v>1.2820512820512822E-2</v>
      </c>
      <c r="BP391" s="64">
        <f t="shared" si="45"/>
        <v>1.2820512820512822E-2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52">
        <v>4680115883161</v>
      </c>
      <c r="E392" s="553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85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63"/>
      <c r="R392" s="563"/>
      <c r="S392" s="563"/>
      <c r="T392" s="564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52">
        <v>4607091389531</v>
      </c>
      <c r="E393" s="553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0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63"/>
      <c r="R393" s="563"/>
      <c r="S393" s="563"/>
      <c r="T393" s="564"/>
      <c r="U393" s="34"/>
      <c r="V393" s="34"/>
      <c r="W393" s="35" t="s">
        <v>70</v>
      </c>
      <c r="X393" s="545">
        <v>4.1999999999999993</v>
      </c>
      <c r="Y393" s="546">
        <f t="shared" si="41"/>
        <v>4.2</v>
      </c>
      <c r="Z393" s="36">
        <f t="shared" si="46"/>
        <v>1.004E-2</v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4.4599999999999991</v>
      </c>
      <c r="BN393" s="64">
        <f t="shared" si="43"/>
        <v>4.46</v>
      </c>
      <c r="BO393" s="64">
        <f t="shared" si="44"/>
        <v>8.5470085470085461E-3</v>
      </c>
      <c r="BP393" s="64">
        <f t="shared" si="45"/>
        <v>8.5470085470085479E-3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52">
        <v>4607091384345</v>
      </c>
      <c r="E394" s="553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63"/>
      <c r="R394" s="563"/>
      <c r="S394" s="563"/>
      <c r="T394" s="564"/>
      <c r="U394" s="34"/>
      <c r="V394" s="34"/>
      <c r="W394" s="35" t="s">
        <v>70</v>
      </c>
      <c r="X394" s="545">
        <v>4.1999999999999993</v>
      </c>
      <c r="Y394" s="546">
        <f t="shared" si="41"/>
        <v>4.2</v>
      </c>
      <c r="Z394" s="36">
        <f t="shared" si="46"/>
        <v>1.004E-2</v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4.4599999999999991</v>
      </c>
      <c r="BN394" s="64">
        <f t="shared" si="43"/>
        <v>4.46</v>
      </c>
      <c r="BO394" s="64">
        <f t="shared" si="44"/>
        <v>8.5470085470085461E-3</v>
      </c>
      <c r="BP394" s="64">
        <f t="shared" si="45"/>
        <v>8.5470085470085479E-3</v>
      </c>
    </row>
    <row r="395" spans="1:68" x14ac:dyDescent="0.2">
      <c r="A395" s="555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7"/>
      <c r="P395" s="554" t="s">
        <v>76</v>
      </c>
      <c r="Q395" s="550"/>
      <c r="R395" s="550"/>
      <c r="S395" s="550"/>
      <c r="T395" s="550"/>
      <c r="U395" s="550"/>
      <c r="V395" s="551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10</v>
      </c>
      <c r="Y395" s="547">
        <f>IFERROR(Y386/H386,"0")+IFERROR(Y387/H387,"0")+IFERROR(Y388/H388,"0")+IFERROR(Y389/H389,"0")+IFERROR(Y390/H390,"0")+IFERROR(Y391/H391,"0")+IFERROR(Y392/H392,"0")+IFERROR(Y393/H393,"0")+IFERROR(Y394/H394,"0")</f>
        <v>10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5.0200000000000002E-2</v>
      </c>
      <c r="AA395" s="548"/>
      <c r="AB395" s="548"/>
      <c r="AC395" s="548"/>
    </row>
    <row r="396" spans="1:68" x14ac:dyDescent="0.2">
      <c r="A396" s="556"/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7"/>
      <c r="P396" s="554" t="s">
        <v>76</v>
      </c>
      <c r="Q396" s="550"/>
      <c r="R396" s="550"/>
      <c r="S396" s="550"/>
      <c r="T396" s="550"/>
      <c r="U396" s="550"/>
      <c r="V396" s="551"/>
      <c r="W396" s="37" t="s">
        <v>70</v>
      </c>
      <c r="X396" s="547">
        <f>IFERROR(SUM(X386:X394),"0")</f>
        <v>20.999999999999996</v>
      </c>
      <c r="Y396" s="547">
        <f>IFERROR(SUM(Y386:Y394),"0")</f>
        <v>21</v>
      </c>
      <c r="Z396" s="37"/>
      <c r="AA396" s="548"/>
      <c r="AB396" s="548"/>
      <c r="AC396" s="548"/>
    </row>
    <row r="397" spans="1:68" ht="14.25" customHeight="1" x14ac:dyDescent="0.25">
      <c r="A397" s="565" t="s">
        <v>78</v>
      </c>
      <c r="B397" s="556"/>
      <c r="C397" s="556"/>
      <c r="D397" s="556"/>
      <c r="E397" s="556"/>
      <c r="F397" s="556"/>
      <c r="G397" s="556"/>
      <c r="H397" s="556"/>
      <c r="I397" s="556"/>
      <c r="J397" s="556"/>
      <c r="K397" s="556"/>
      <c r="L397" s="556"/>
      <c r="M397" s="556"/>
      <c r="N397" s="556"/>
      <c r="O397" s="556"/>
      <c r="P397" s="556"/>
      <c r="Q397" s="556"/>
      <c r="R397" s="556"/>
      <c r="S397" s="556"/>
      <c r="T397" s="556"/>
      <c r="U397" s="556"/>
      <c r="V397" s="556"/>
      <c r="W397" s="556"/>
      <c r="X397" s="556"/>
      <c r="Y397" s="556"/>
      <c r="Z397" s="556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52">
        <v>4607091384352</v>
      </c>
      <c r="E398" s="553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6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63"/>
      <c r="R398" s="563"/>
      <c r="S398" s="563"/>
      <c r="T398" s="564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52">
        <v>4607091389654</v>
      </c>
      <c r="E399" s="553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63"/>
      <c r="R399" s="563"/>
      <c r="S399" s="563"/>
      <c r="T399" s="564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5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7"/>
      <c r="P400" s="554" t="s">
        <v>76</v>
      </c>
      <c r="Q400" s="550"/>
      <c r="R400" s="550"/>
      <c r="S400" s="550"/>
      <c r="T400" s="550"/>
      <c r="U400" s="550"/>
      <c r="V400" s="551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x14ac:dyDescent="0.2">
      <c r="A401" s="556"/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7"/>
      <c r="P401" s="554" t="s">
        <v>76</v>
      </c>
      <c r="Q401" s="550"/>
      <c r="R401" s="550"/>
      <c r="S401" s="550"/>
      <c r="T401" s="550"/>
      <c r="U401" s="550"/>
      <c r="V401" s="551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customHeight="1" x14ac:dyDescent="0.25">
      <c r="A402" s="576" t="s">
        <v>620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40"/>
      <c r="AB402" s="540"/>
      <c r="AC402" s="540"/>
    </row>
    <row r="403" spans="1:68" ht="14.25" customHeight="1" x14ac:dyDescent="0.25">
      <c r="A403" s="565" t="s">
        <v>140</v>
      </c>
      <c r="B403" s="556"/>
      <c r="C403" s="556"/>
      <c r="D403" s="556"/>
      <c r="E403" s="556"/>
      <c r="F403" s="556"/>
      <c r="G403" s="556"/>
      <c r="H403" s="556"/>
      <c r="I403" s="556"/>
      <c r="J403" s="556"/>
      <c r="K403" s="556"/>
      <c r="L403" s="556"/>
      <c r="M403" s="556"/>
      <c r="N403" s="556"/>
      <c r="O403" s="556"/>
      <c r="P403" s="556"/>
      <c r="Q403" s="556"/>
      <c r="R403" s="556"/>
      <c r="S403" s="556"/>
      <c r="T403" s="556"/>
      <c r="U403" s="556"/>
      <c r="V403" s="556"/>
      <c r="W403" s="556"/>
      <c r="X403" s="556"/>
      <c r="Y403" s="556"/>
      <c r="Z403" s="556"/>
      <c r="AA403" s="541"/>
      <c r="AB403" s="541"/>
      <c r="AC403" s="541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52">
        <v>4680115885240</v>
      </c>
      <c r="E404" s="553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84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63"/>
      <c r="R404" s="563"/>
      <c r="S404" s="563"/>
      <c r="T404" s="564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5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7"/>
      <c r="P405" s="554" t="s">
        <v>76</v>
      </c>
      <c r="Q405" s="550"/>
      <c r="R405" s="550"/>
      <c r="S405" s="550"/>
      <c r="T405" s="550"/>
      <c r="U405" s="550"/>
      <c r="V405" s="551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x14ac:dyDescent="0.2">
      <c r="A406" s="556"/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7"/>
      <c r="P406" s="554" t="s">
        <v>76</v>
      </c>
      <c r="Q406" s="550"/>
      <c r="R406" s="550"/>
      <c r="S406" s="550"/>
      <c r="T406" s="550"/>
      <c r="U406" s="550"/>
      <c r="V406" s="551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customHeight="1" x14ac:dyDescent="0.25">
      <c r="A407" s="565" t="s">
        <v>64</v>
      </c>
      <c r="B407" s="556"/>
      <c r="C407" s="556"/>
      <c r="D407" s="556"/>
      <c r="E407" s="556"/>
      <c r="F407" s="556"/>
      <c r="G407" s="556"/>
      <c r="H407" s="556"/>
      <c r="I407" s="556"/>
      <c r="J407" s="556"/>
      <c r="K407" s="556"/>
      <c r="L407" s="556"/>
      <c r="M407" s="556"/>
      <c r="N407" s="556"/>
      <c r="O407" s="556"/>
      <c r="P407" s="556"/>
      <c r="Q407" s="556"/>
      <c r="R407" s="556"/>
      <c r="S407" s="556"/>
      <c r="T407" s="556"/>
      <c r="U407" s="556"/>
      <c r="V407" s="556"/>
      <c r="W407" s="556"/>
      <c r="X407" s="556"/>
      <c r="Y407" s="556"/>
      <c r="Z407" s="556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52">
        <v>4680115886094</v>
      </c>
      <c r="E408" s="553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6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63"/>
      <c r="R408" s="563"/>
      <c r="S408" s="563"/>
      <c r="T408" s="564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52">
        <v>4607091389425</v>
      </c>
      <c r="E409" s="553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64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63"/>
      <c r="R409" s="563"/>
      <c r="S409" s="563"/>
      <c r="T409" s="564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52">
        <v>4680115880771</v>
      </c>
      <c r="E410" s="553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5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63"/>
      <c r="R410" s="563"/>
      <c r="S410" s="563"/>
      <c r="T410" s="564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52">
        <v>4607091389500</v>
      </c>
      <c r="E411" s="553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76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63"/>
      <c r="R411" s="563"/>
      <c r="S411" s="563"/>
      <c r="T411" s="564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5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7"/>
      <c r="P412" s="554" t="s">
        <v>76</v>
      </c>
      <c r="Q412" s="550"/>
      <c r="R412" s="550"/>
      <c r="S412" s="550"/>
      <c r="T412" s="550"/>
      <c r="U412" s="550"/>
      <c r="V412" s="551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x14ac:dyDescent="0.2">
      <c r="A413" s="556"/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7"/>
      <c r="P413" s="554" t="s">
        <v>76</v>
      </c>
      <c r="Q413" s="550"/>
      <c r="R413" s="550"/>
      <c r="S413" s="550"/>
      <c r="T413" s="550"/>
      <c r="U413" s="550"/>
      <c r="V413" s="551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customHeight="1" x14ac:dyDescent="0.25">
      <c r="A414" s="576" t="s">
        <v>635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40"/>
      <c r="AB414" s="540"/>
      <c r="AC414" s="540"/>
    </row>
    <row r="415" spans="1:68" ht="14.25" customHeight="1" x14ac:dyDescent="0.25">
      <c r="A415" s="565" t="s">
        <v>64</v>
      </c>
      <c r="B415" s="556"/>
      <c r="C415" s="556"/>
      <c r="D415" s="556"/>
      <c r="E415" s="556"/>
      <c r="F415" s="556"/>
      <c r="G415" s="556"/>
      <c r="H415" s="556"/>
      <c r="I415" s="556"/>
      <c r="J415" s="556"/>
      <c r="K415" s="556"/>
      <c r="L415" s="556"/>
      <c r="M415" s="556"/>
      <c r="N415" s="556"/>
      <c r="O415" s="556"/>
      <c r="P415" s="556"/>
      <c r="Q415" s="556"/>
      <c r="R415" s="556"/>
      <c r="S415" s="556"/>
      <c r="T415" s="556"/>
      <c r="U415" s="556"/>
      <c r="V415" s="556"/>
      <c r="W415" s="556"/>
      <c r="X415" s="556"/>
      <c r="Y415" s="556"/>
      <c r="Z415" s="556"/>
      <c r="AA415" s="541"/>
      <c r="AB415" s="541"/>
      <c r="AC415" s="541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52">
        <v>4680115885110</v>
      </c>
      <c r="E416" s="553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77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63"/>
      <c r="R416" s="563"/>
      <c r="S416" s="563"/>
      <c r="T416" s="564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5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7"/>
      <c r="P417" s="554" t="s">
        <v>76</v>
      </c>
      <c r="Q417" s="550"/>
      <c r="R417" s="550"/>
      <c r="S417" s="550"/>
      <c r="T417" s="550"/>
      <c r="U417" s="550"/>
      <c r="V417" s="551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x14ac:dyDescent="0.2">
      <c r="A418" s="556"/>
      <c r="B418" s="556"/>
      <c r="C418" s="556"/>
      <c r="D418" s="556"/>
      <c r="E418" s="556"/>
      <c r="F418" s="556"/>
      <c r="G418" s="556"/>
      <c r="H418" s="556"/>
      <c r="I418" s="556"/>
      <c r="J418" s="556"/>
      <c r="K418" s="556"/>
      <c r="L418" s="556"/>
      <c r="M418" s="556"/>
      <c r="N418" s="556"/>
      <c r="O418" s="557"/>
      <c r="P418" s="554" t="s">
        <v>76</v>
      </c>
      <c r="Q418" s="550"/>
      <c r="R418" s="550"/>
      <c r="S418" s="550"/>
      <c r="T418" s="550"/>
      <c r="U418" s="550"/>
      <c r="V418" s="551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customHeight="1" x14ac:dyDescent="0.2">
      <c r="A419" s="636" t="s">
        <v>639</v>
      </c>
      <c r="B419" s="637"/>
      <c r="C419" s="637"/>
      <c r="D419" s="637"/>
      <c r="E419" s="637"/>
      <c r="F419" s="637"/>
      <c r="G419" s="637"/>
      <c r="H419" s="637"/>
      <c r="I419" s="637"/>
      <c r="J419" s="637"/>
      <c r="K419" s="637"/>
      <c r="L419" s="637"/>
      <c r="M419" s="637"/>
      <c r="N419" s="637"/>
      <c r="O419" s="637"/>
      <c r="P419" s="637"/>
      <c r="Q419" s="637"/>
      <c r="R419" s="637"/>
      <c r="S419" s="637"/>
      <c r="T419" s="637"/>
      <c r="U419" s="637"/>
      <c r="V419" s="637"/>
      <c r="W419" s="637"/>
      <c r="X419" s="637"/>
      <c r="Y419" s="637"/>
      <c r="Z419" s="637"/>
      <c r="AA419" s="48"/>
      <c r="AB419" s="48"/>
      <c r="AC419" s="48"/>
    </row>
    <row r="420" spans="1:68" ht="16.5" customHeight="1" x14ac:dyDescent="0.25">
      <c r="A420" s="576" t="s">
        <v>639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40"/>
      <c r="AB420" s="540"/>
      <c r="AC420" s="540"/>
    </row>
    <row r="421" spans="1:68" ht="14.25" customHeight="1" x14ac:dyDescent="0.25">
      <c r="A421" s="565" t="s">
        <v>105</v>
      </c>
      <c r="B421" s="556"/>
      <c r="C421" s="556"/>
      <c r="D421" s="556"/>
      <c r="E421" s="556"/>
      <c r="F421" s="556"/>
      <c r="G421" s="556"/>
      <c r="H421" s="556"/>
      <c r="I421" s="556"/>
      <c r="J421" s="556"/>
      <c r="K421" s="556"/>
      <c r="L421" s="556"/>
      <c r="M421" s="556"/>
      <c r="N421" s="556"/>
      <c r="O421" s="556"/>
      <c r="P421" s="556"/>
      <c r="Q421" s="556"/>
      <c r="R421" s="556"/>
      <c r="S421" s="556"/>
      <c r="T421" s="556"/>
      <c r="U421" s="556"/>
      <c r="V421" s="556"/>
      <c r="W421" s="556"/>
      <c r="X421" s="556"/>
      <c r="Y421" s="556"/>
      <c r="Z421" s="556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52">
        <v>4607091389067</v>
      </c>
      <c r="E422" s="553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63"/>
      <c r="R422" s="563"/>
      <c r="S422" s="563"/>
      <c r="T422" s="564"/>
      <c r="U422" s="34"/>
      <c r="V422" s="34"/>
      <c r="W422" s="35" t="s">
        <v>70</v>
      </c>
      <c r="X422" s="545">
        <v>106</v>
      </c>
      <c r="Y422" s="546">
        <f t="shared" ref="Y422:Y433" si="47">IFERROR(IF(X422="",0,CEILING((X422/$H422),1)*$H422),"")</f>
        <v>110.88000000000001</v>
      </c>
      <c r="Z422" s="36">
        <f t="shared" ref="Z422:Z428" si="48">IFERROR(IF(Y422=0,"",ROUNDUP(Y422/H422,0)*0.01196),"")</f>
        <v>0.25115999999999999</v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113.02651515151514</v>
      </c>
      <c r="BN422" s="64">
        <f t="shared" ref="BN422:BN433" si="50">IFERROR(Y422*I422/H422,"0")</f>
        <v>118.23</v>
      </c>
      <c r="BO422" s="64">
        <f t="shared" ref="BO422:BO433" si="51">IFERROR(1/J422*(X422/H422),"0")</f>
        <v>0.19303613053613053</v>
      </c>
      <c r="BP422" s="64">
        <f t="shared" ref="BP422:BP433" si="52">IFERROR(1/J422*(Y422/H422),"0")</f>
        <v>0.20192307692307693</v>
      </c>
    </row>
    <row r="423" spans="1:68" ht="27" customHeight="1" x14ac:dyDescent="0.25">
      <c r="A423" s="54" t="s">
        <v>642</v>
      </c>
      <c r="B423" s="54" t="s">
        <v>643</v>
      </c>
      <c r="C423" s="31">
        <v>4301012210</v>
      </c>
      <c r="D423" s="552">
        <v>4607091383522</v>
      </c>
      <c r="E423" s="553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839" t="s">
        <v>644</v>
      </c>
      <c r="Q423" s="563"/>
      <c r="R423" s="563"/>
      <c r="S423" s="563"/>
      <c r="T423" s="564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52">
        <v>4607091383522</v>
      </c>
      <c r="E424" s="553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3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63"/>
      <c r="R424" s="563"/>
      <c r="S424" s="563"/>
      <c r="T424" s="564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52">
        <v>4680115885271</v>
      </c>
      <c r="E425" s="553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63"/>
      <c r="R425" s="563"/>
      <c r="S425" s="563"/>
      <c r="T425" s="564"/>
      <c r="U425" s="34"/>
      <c r="V425" s="34"/>
      <c r="W425" s="35" t="s">
        <v>70</v>
      </c>
      <c r="X425" s="545">
        <v>5</v>
      </c>
      <c r="Y425" s="546">
        <f t="shared" si="47"/>
        <v>5.28</v>
      </c>
      <c r="Z425" s="36">
        <f t="shared" si="48"/>
        <v>1.196E-2</v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5.3314393939393936</v>
      </c>
      <c r="BN425" s="64">
        <f t="shared" si="50"/>
        <v>5.63</v>
      </c>
      <c r="BO425" s="64">
        <f t="shared" si="51"/>
        <v>9.1054778554778559E-3</v>
      </c>
      <c r="BP425" s="64">
        <f t="shared" si="52"/>
        <v>9.6153846153846159E-3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52">
        <v>4680115885226</v>
      </c>
      <c r="E426" s="553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8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63"/>
      <c r="R426" s="563"/>
      <c r="S426" s="563"/>
      <c r="T426" s="564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customHeight="1" x14ac:dyDescent="0.25">
      <c r="A427" s="54" t="s">
        <v>653</v>
      </c>
      <c r="B427" s="54" t="s">
        <v>654</v>
      </c>
      <c r="C427" s="31">
        <v>4301011774</v>
      </c>
      <c r="D427" s="552">
        <v>4680115884502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8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63"/>
      <c r="R427" s="563"/>
      <c r="S427" s="563"/>
      <c r="T427" s="564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52">
        <v>4607091389104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83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63"/>
      <c r="R428" s="563"/>
      <c r="S428" s="563"/>
      <c r="T428" s="564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4301012125</v>
      </c>
      <c r="D429" s="552">
        <v>4680115886391</v>
      </c>
      <c r="E429" s="553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83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63"/>
      <c r="R429" s="563"/>
      <c r="S429" s="563"/>
      <c r="T429" s="564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52">
        <v>4680115880603</v>
      </c>
      <c r="E430" s="553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63"/>
      <c r="R430" s="563"/>
      <c r="S430" s="563"/>
      <c r="T430" s="564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4301012036</v>
      </c>
      <c r="D431" s="552">
        <v>4680115882782</v>
      </c>
      <c r="E431" s="553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7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63"/>
      <c r="R431" s="563"/>
      <c r="S431" s="563"/>
      <c r="T431" s="564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4301012050</v>
      </c>
      <c r="D432" s="552">
        <v>4680115885479</v>
      </c>
      <c r="E432" s="553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8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63"/>
      <c r="R432" s="563"/>
      <c r="S432" s="563"/>
      <c r="T432" s="564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52">
        <v>4607091389982</v>
      </c>
      <c r="E433" s="553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6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63"/>
      <c r="R433" s="563"/>
      <c r="S433" s="563"/>
      <c r="T433" s="564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55"/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7"/>
      <c r="P434" s="554" t="s">
        <v>76</v>
      </c>
      <c r="Q434" s="550"/>
      <c r="R434" s="550"/>
      <c r="S434" s="550"/>
      <c r="T434" s="550"/>
      <c r="U434" s="550"/>
      <c r="V434" s="551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21.02272727272727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22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0.26312000000000002</v>
      </c>
      <c r="AA434" s="548"/>
      <c r="AB434" s="548"/>
      <c r="AC434" s="548"/>
    </row>
    <row r="435" spans="1:68" x14ac:dyDescent="0.2">
      <c r="A435" s="556"/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7"/>
      <c r="P435" s="554" t="s">
        <v>76</v>
      </c>
      <c r="Q435" s="550"/>
      <c r="R435" s="550"/>
      <c r="S435" s="550"/>
      <c r="T435" s="550"/>
      <c r="U435" s="550"/>
      <c r="V435" s="551"/>
      <c r="W435" s="37" t="s">
        <v>70</v>
      </c>
      <c r="X435" s="547">
        <f>IFERROR(SUM(X422:X433),"0")</f>
        <v>111</v>
      </c>
      <c r="Y435" s="547">
        <f>IFERROR(SUM(Y422:Y433),"0")</f>
        <v>116.16000000000001</v>
      </c>
      <c r="Z435" s="37"/>
      <c r="AA435" s="548"/>
      <c r="AB435" s="548"/>
      <c r="AC435" s="548"/>
    </row>
    <row r="436" spans="1:68" ht="14.25" customHeight="1" x14ac:dyDescent="0.25">
      <c r="A436" s="565" t="s">
        <v>140</v>
      </c>
      <c r="B436" s="556"/>
      <c r="C436" s="556"/>
      <c r="D436" s="556"/>
      <c r="E436" s="556"/>
      <c r="F436" s="556"/>
      <c r="G436" s="556"/>
      <c r="H436" s="556"/>
      <c r="I436" s="556"/>
      <c r="J436" s="556"/>
      <c r="K436" s="556"/>
      <c r="L436" s="556"/>
      <c r="M436" s="556"/>
      <c r="N436" s="556"/>
      <c r="O436" s="556"/>
      <c r="P436" s="556"/>
      <c r="Q436" s="556"/>
      <c r="R436" s="556"/>
      <c r="S436" s="556"/>
      <c r="T436" s="556"/>
      <c r="U436" s="556"/>
      <c r="V436" s="556"/>
      <c r="W436" s="556"/>
      <c r="X436" s="556"/>
      <c r="Y436" s="556"/>
      <c r="Z436" s="556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52">
        <v>4607091388930</v>
      </c>
      <c r="E437" s="553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87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63"/>
      <c r="R437" s="563"/>
      <c r="S437" s="563"/>
      <c r="T437" s="564"/>
      <c r="U437" s="34"/>
      <c r="V437" s="34"/>
      <c r="W437" s="35" t="s">
        <v>70</v>
      </c>
      <c r="X437" s="545">
        <v>115</v>
      </c>
      <c r="Y437" s="546">
        <f>IFERROR(IF(X437="",0,CEILING((X437/$H437),1)*$H437),"")</f>
        <v>116.16000000000001</v>
      </c>
      <c r="Z437" s="36">
        <f>IFERROR(IF(Y437=0,"",ROUNDUP(Y437/H437,0)*0.01196),"")</f>
        <v>0.26312000000000002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122.62310606060605</v>
      </c>
      <c r="BN437" s="64">
        <f>IFERROR(Y437*I437/H437,"0")</f>
        <v>123.86</v>
      </c>
      <c r="BO437" s="64">
        <f>IFERROR(1/J437*(X437/H437),"0")</f>
        <v>0.20942599067599066</v>
      </c>
      <c r="BP437" s="64">
        <f>IFERROR(1/J437*(Y437/H437),"0")</f>
        <v>0.21153846153846156</v>
      </c>
    </row>
    <row r="438" spans="1:68" ht="16.5" customHeight="1" x14ac:dyDescent="0.25">
      <c r="A438" s="54" t="s">
        <v>673</v>
      </c>
      <c r="B438" s="54" t="s">
        <v>674</v>
      </c>
      <c r="C438" s="31">
        <v>4301020384</v>
      </c>
      <c r="D438" s="552">
        <v>4680115886407</v>
      </c>
      <c r="E438" s="553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63"/>
      <c r="R438" s="563"/>
      <c r="S438" s="563"/>
      <c r="T438" s="564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52">
        <v>4680115880054</v>
      </c>
      <c r="E439" s="553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5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63"/>
      <c r="R439" s="563"/>
      <c r="S439" s="563"/>
      <c r="T439" s="564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55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7"/>
      <c r="P440" s="554" t="s">
        <v>76</v>
      </c>
      <c r="Q440" s="550"/>
      <c r="R440" s="550"/>
      <c r="S440" s="550"/>
      <c r="T440" s="550"/>
      <c r="U440" s="550"/>
      <c r="V440" s="551"/>
      <c r="W440" s="37" t="s">
        <v>77</v>
      </c>
      <c r="X440" s="547">
        <f>IFERROR(X437/H437,"0")+IFERROR(X438/H438,"0")+IFERROR(X439/H439,"0")</f>
        <v>21.780303030303028</v>
      </c>
      <c r="Y440" s="547">
        <f>IFERROR(Y437/H437,"0")+IFERROR(Y438/H438,"0")+IFERROR(Y439/H439,"0")</f>
        <v>22</v>
      </c>
      <c r="Z440" s="547">
        <f>IFERROR(IF(Z437="",0,Z437),"0")+IFERROR(IF(Z438="",0,Z438),"0")+IFERROR(IF(Z439="",0,Z439),"0")</f>
        <v>0.26312000000000002</v>
      </c>
      <c r="AA440" s="548"/>
      <c r="AB440" s="548"/>
      <c r="AC440" s="548"/>
    </row>
    <row r="441" spans="1:68" x14ac:dyDescent="0.2">
      <c r="A441" s="556"/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7"/>
      <c r="P441" s="554" t="s">
        <v>76</v>
      </c>
      <c r="Q441" s="550"/>
      <c r="R441" s="550"/>
      <c r="S441" s="550"/>
      <c r="T441" s="550"/>
      <c r="U441" s="550"/>
      <c r="V441" s="551"/>
      <c r="W441" s="37" t="s">
        <v>70</v>
      </c>
      <c r="X441" s="547">
        <f>IFERROR(SUM(X437:X439),"0")</f>
        <v>115</v>
      </c>
      <c r="Y441" s="547">
        <f>IFERROR(SUM(Y437:Y439),"0")</f>
        <v>116.16000000000001</v>
      </c>
      <c r="Z441" s="37"/>
      <c r="AA441" s="548"/>
      <c r="AB441" s="548"/>
      <c r="AC441" s="548"/>
    </row>
    <row r="442" spans="1:68" ht="14.25" customHeight="1" x14ac:dyDescent="0.25">
      <c r="A442" s="565" t="s">
        <v>64</v>
      </c>
      <c r="B442" s="556"/>
      <c r="C442" s="556"/>
      <c r="D442" s="556"/>
      <c r="E442" s="556"/>
      <c r="F442" s="556"/>
      <c r="G442" s="556"/>
      <c r="H442" s="556"/>
      <c r="I442" s="556"/>
      <c r="J442" s="556"/>
      <c r="K442" s="556"/>
      <c r="L442" s="556"/>
      <c r="M442" s="556"/>
      <c r="N442" s="556"/>
      <c r="O442" s="556"/>
      <c r="P442" s="556"/>
      <c r="Q442" s="556"/>
      <c r="R442" s="556"/>
      <c r="S442" s="556"/>
      <c r="T442" s="556"/>
      <c r="U442" s="556"/>
      <c r="V442" s="556"/>
      <c r="W442" s="556"/>
      <c r="X442" s="556"/>
      <c r="Y442" s="556"/>
      <c r="Z442" s="556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52">
        <v>4680115883116</v>
      </c>
      <c r="E443" s="553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8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63"/>
      <c r="R443" s="563"/>
      <c r="S443" s="563"/>
      <c r="T443" s="564"/>
      <c r="U443" s="34"/>
      <c r="V443" s="34"/>
      <c r="W443" s="35" t="s">
        <v>70</v>
      </c>
      <c r="X443" s="545">
        <v>10</v>
      </c>
      <c r="Y443" s="546">
        <f t="shared" ref="Y443:Y448" si="53">IFERROR(IF(X443="",0,CEILING((X443/$H443),1)*$H443),"")</f>
        <v>10.56</v>
      </c>
      <c r="Z443" s="36">
        <f>IFERROR(IF(Y443=0,"",ROUNDUP(Y443/H443,0)*0.01196),"")</f>
        <v>2.392E-2</v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10.662878787878787</v>
      </c>
      <c r="BN443" s="64">
        <f t="shared" ref="BN443:BN448" si="55">IFERROR(Y443*I443/H443,"0")</f>
        <v>11.26</v>
      </c>
      <c r="BO443" s="64">
        <f t="shared" ref="BO443:BO448" si="56">IFERROR(1/J443*(X443/H443),"0")</f>
        <v>1.8210955710955712E-2</v>
      </c>
      <c r="BP443" s="64">
        <f t="shared" ref="BP443:BP448" si="57">IFERROR(1/J443*(Y443/H443),"0")</f>
        <v>1.9230769230769232E-2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52">
        <v>4680115883093</v>
      </c>
      <c r="E444" s="553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5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63"/>
      <c r="R444" s="563"/>
      <c r="S444" s="563"/>
      <c r="T444" s="564"/>
      <c r="U444" s="34"/>
      <c r="V444" s="34"/>
      <c r="W444" s="35" t="s">
        <v>70</v>
      </c>
      <c r="X444" s="545">
        <v>10</v>
      </c>
      <c r="Y444" s="546">
        <f t="shared" si="53"/>
        <v>10.56</v>
      </c>
      <c r="Z444" s="36">
        <f>IFERROR(IF(Y444=0,"",ROUNDUP(Y444/H444,0)*0.01196),"")</f>
        <v>2.392E-2</v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10.662878787878787</v>
      </c>
      <c r="BN444" s="64">
        <f t="shared" si="55"/>
        <v>11.26</v>
      </c>
      <c r="BO444" s="64">
        <f t="shared" si="56"/>
        <v>1.8210955710955712E-2</v>
      </c>
      <c r="BP444" s="64">
        <f t="shared" si="57"/>
        <v>1.9230769230769232E-2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52">
        <v>4680115883109</v>
      </c>
      <c r="E445" s="553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8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63"/>
      <c r="R445" s="563"/>
      <c r="S445" s="563"/>
      <c r="T445" s="564"/>
      <c r="U445" s="34"/>
      <c r="V445" s="34"/>
      <c r="W445" s="35" t="s">
        <v>70</v>
      </c>
      <c r="X445" s="545">
        <v>45</v>
      </c>
      <c r="Y445" s="546">
        <f t="shared" si="53"/>
        <v>47.52</v>
      </c>
      <c r="Z445" s="36">
        <f>IFERROR(IF(Y445=0,"",ROUNDUP(Y445/H445,0)*0.01196),"")</f>
        <v>0.10764</v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47.98295454545454</v>
      </c>
      <c r="BN445" s="64">
        <f t="shared" si="55"/>
        <v>50.669999999999995</v>
      </c>
      <c r="BO445" s="64">
        <f t="shared" si="56"/>
        <v>8.1949300699300689E-2</v>
      </c>
      <c r="BP445" s="64">
        <f t="shared" si="57"/>
        <v>8.6538461538461536E-2</v>
      </c>
    </row>
    <row r="446" spans="1:68" ht="27" customHeight="1" x14ac:dyDescent="0.25">
      <c r="A446" s="54" t="s">
        <v>686</v>
      </c>
      <c r="B446" s="54" t="s">
        <v>687</v>
      </c>
      <c r="C446" s="31">
        <v>4301031419</v>
      </c>
      <c r="D446" s="552">
        <v>4680115882072</v>
      </c>
      <c r="E446" s="553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63"/>
      <c r="R446" s="563"/>
      <c r="S446" s="563"/>
      <c r="T446" s="564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4301031418</v>
      </c>
      <c r="D447" s="552">
        <v>4680115882102</v>
      </c>
      <c r="E447" s="553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63"/>
      <c r="R447" s="563"/>
      <c r="S447" s="563"/>
      <c r="T447" s="564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customHeight="1" x14ac:dyDescent="0.25">
      <c r="A448" s="54" t="s">
        <v>690</v>
      </c>
      <c r="B448" s="54" t="s">
        <v>691</v>
      </c>
      <c r="C448" s="31">
        <v>4301031417</v>
      </c>
      <c r="D448" s="552">
        <v>4680115882096</v>
      </c>
      <c r="E448" s="553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0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63"/>
      <c r="R448" s="563"/>
      <c r="S448" s="563"/>
      <c r="T448" s="564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55"/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7"/>
      <c r="P449" s="554" t="s">
        <v>76</v>
      </c>
      <c r="Q449" s="550"/>
      <c r="R449" s="550"/>
      <c r="S449" s="550"/>
      <c r="T449" s="550"/>
      <c r="U449" s="550"/>
      <c r="V449" s="551"/>
      <c r="W449" s="37" t="s">
        <v>77</v>
      </c>
      <c r="X449" s="547">
        <f>IFERROR(X443/H443,"0")+IFERROR(X444/H444,"0")+IFERROR(X445/H445,"0")+IFERROR(X446/H446,"0")+IFERROR(X447/H447,"0")+IFERROR(X448/H448,"0")</f>
        <v>12.310606060606059</v>
      </c>
      <c r="Y449" s="547">
        <f>IFERROR(Y443/H443,"0")+IFERROR(Y444/H444,"0")+IFERROR(Y445/H445,"0")+IFERROR(Y446/H446,"0")+IFERROR(Y447/H447,"0")+IFERROR(Y448/H448,"0")</f>
        <v>13</v>
      </c>
      <c r="Z449" s="547">
        <f>IFERROR(IF(Z443="",0,Z443),"0")+IFERROR(IF(Z444="",0,Z444),"0")+IFERROR(IF(Z445="",0,Z445),"0")+IFERROR(IF(Z446="",0,Z446),"0")+IFERROR(IF(Z447="",0,Z447),"0")+IFERROR(IF(Z448="",0,Z448),"0")</f>
        <v>0.15548000000000001</v>
      </c>
      <c r="AA449" s="548"/>
      <c r="AB449" s="548"/>
      <c r="AC449" s="548"/>
    </row>
    <row r="450" spans="1:68" x14ac:dyDescent="0.2">
      <c r="A450" s="556"/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7"/>
      <c r="P450" s="554" t="s">
        <v>76</v>
      </c>
      <c r="Q450" s="550"/>
      <c r="R450" s="550"/>
      <c r="S450" s="550"/>
      <c r="T450" s="550"/>
      <c r="U450" s="550"/>
      <c r="V450" s="551"/>
      <c r="W450" s="37" t="s">
        <v>70</v>
      </c>
      <c r="X450" s="547">
        <f>IFERROR(SUM(X443:X448),"0")</f>
        <v>65</v>
      </c>
      <c r="Y450" s="547">
        <f>IFERROR(SUM(Y443:Y448),"0")</f>
        <v>68.64</v>
      </c>
      <c r="Z450" s="37"/>
      <c r="AA450" s="548"/>
      <c r="AB450" s="548"/>
      <c r="AC450" s="548"/>
    </row>
    <row r="451" spans="1:68" ht="14.25" customHeight="1" x14ac:dyDescent="0.25">
      <c r="A451" s="565" t="s">
        <v>78</v>
      </c>
      <c r="B451" s="556"/>
      <c r="C451" s="556"/>
      <c r="D451" s="556"/>
      <c r="E451" s="556"/>
      <c r="F451" s="556"/>
      <c r="G451" s="556"/>
      <c r="H451" s="556"/>
      <c r="I451" s="556"/>
      <c r="J451" s="556"/>
      <c r="K451" s="556"/>
      <c r="L451" s="556"/>
      <c r="M451" s="556"/>
      <c r="N451" s="556"/>
      <c r="O451" s="556"/>
      <c r="P451" s="556"/>
      <c r="Q451" s="556"/>
      <c r="R451" s="556"/>
      <c r="S451" s="556"/>
      <c r="T451" s="556"/>
      <c r="U451" s="556"/>
      <c r="V451" s="556"/>
      <c r="W451" s="556"/>
      <c r="X451" s="556"/>
      <c r="Y451" s="556"/>
      <c r="Z451" s="556"/>
      <c r="AA451" s="541"/>
      <c r="AB451" s="541"/>
      <c r="AC451" s="541"/>
    </row>
    <row r="452" spans="1:68" ht="16.5" customHeight="1" x14ac:dyDescent="0.25">
      <c r="A452" s="54" t="s">
        <v>692</v>
      </c>
      <c r="B452" s="54" t="s">
        <v>693</v>
      </c>
      <c r="C452" s="31">
        <v>4301051232</v>
      </c>
      <c r="D452" s="552">
        <v>4607091383409</v>
      </c>
      <c r="E452" s="553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63"/>
      <c r="R452" s="563"/>
      <c r="S452" s="563"/>
      <c r="T452" s="564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696</v>
      </c>
      <c r="B453" s="54" t="s">
        <v>697</v>
      </c>
      <c r="C453" s="31">
        <v>4301051233</v>
      </c>
      <c r="D453" s="552">
        <v>4607091383416</v>
      </c>
      <c r="E453" s="553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83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63"/>
      <c r="R453" s="563"/>
      <c r="S453" s="563"/>
      <c r="T453" s="564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699</v>
      </c>
      <c r="B454" s="54" t="s">
        <v>700</v>
      </c>
      <c r="C454" s="31">
        <v>4301051064</v>
      </c>
      <c r="D454" s="552">
        <v>4680115883536</v>
      </c>
      <c r="E454" s="553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8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63"/>
      <c r="R454" s="563"/>
      <c r="S454" s="563"/>
      <c r="T454" s="564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555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57"/>
      <c r="P455" s="554" t="s">
        <v>76</v>
      </c>
      <c r="Q455" s="550"/>
      <c r="R455" s="550"/>
      <c r="S455" s="550"/>
      <c r="T455" s="550"/>
      <c r="U455" s="550"/>
      <c r="V455" s="551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x14ac:dyDescent="0.2">
      <c r="A456" s="556"/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7"/>
      <c r="P456" s="554" t="s">
        <v>76</v>
      </c>
      <c r="Q456" s="550"/>
      <c r="R456" s="550"/>
      <c r="S456" s="550"/>
      <c r="T456" s="550"/>
      <c r="U456" s="550"/>
      <c r="V456" s="551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customHeight="1" x14ac:dyDescent="0.2">
      <c r="A457" s="636" t="s">
        <v>702</v>
      </c>
      <c r="B457" s="637"/>
      <c r="C457" s="637"/>
      <c r="D457" s="637"/>
      <c r="E457" s="637"/>
      <c r="F457" s="637"/>
      <c r="G457" s="637"/>
      <c r="H457" s="637"/>
      <c r="I457" s="637"/>
      <c r="J457" s="637"/>
      <c r="K457" s="637"/>
      <c r="L457" s="637"/>
      <c r="M457" s="637"/>
      <c r="N457" s="637"/>
      <c r="O457" s="637"/>
      <c r="P457" s="637"/>
      <c r="Q457" s="637"/>
      <c r="R457" s="637"/>
      <c r="S457" s="637"/>
      <c r="T457" s="637"/>
      <c r="U457" s="637"/>
      <c r="V457" s="637"/>
      <c r="W457" s="637"/>
      <c r="X457" s="637"/>
      <c r="Y457" s="637"/>
      <c r="Z457" s="637"/>
      <c r="AA457" s="48"/>
      <c r="AB457" s="48"/>
      <c r="AC457" s="48"/>
    </row>
    <row r="458" spans="1:68" ht="16.5" customHeight="1" x14ac:dyDescent="0.25">
      <c r="A458" s="576" t="s">
        <v>702</v>
      </c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540"/>
      <c r="AB458" s="540"/>
      <c r="AC458" s="540"/>
    </row>
    <row r="459" spans="1:68" ht="14.25" customHeight="1" x14ac:dyDescent="0.25">
      <c r="A459" s="565" t="s">
        <v>105</v>
      </c>
      <c r="B459" s="556"/>
      <c r="C459" s="556"/>
      <c r="D459" s="556"/>
      <c r="E459" s="556"/>
      <c r="F459" s="556"/>
      <c r="G459" s="556"/>
      <c r="H459" s="556"/>
      <c r="I459" s="556"/>
      <c r="J459" s="556"/>
      <c r="K459" s="556"/>
      <c r="L459" s="556"/>
      <c r="M459" s="556"/>
      <c r="N459" s="556"/>
      <c r="O459" s="556"/>
      <c r="P459" s="556"/>
      <c r="Q459" s="556"/>
      <c r="R459" s="556"/>
      <c r="S459" s="556"/>
      <c r="T459" s="556"/>
      <c r="U459" s="556"/>
      <c r="V459" s="556"/>
      <c r="W459" s="556"/>
      <c r="X459" s="556"/>
      <c r="Y459" s="556"/>
      <c r="Z459" s="556"/>
      <c r="AA459" s="541"/>
      <c r="AB459" s="541"/>
      <c r="AC459" s="541"/>
    </row>
    <row r="460" spans="1:68" ht="27" customHeight="1" x14ac:dyDescent="0.25">
      <c r="A460" s="54" t="s">
        <v>703</v>
      </c>
      <c r="B460" s="54" t="s">
        <v>704</v>
      </c>
      <c r="C460" s="31">
        <v>4301011763</v>
      </c>
      <c r="D460" s="552">
        <v>4640242181011</v>
      </c>
      <c r="E460" s="553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67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3"/>
      <c r="R460" s="563"/>
      <c r="S460" s="563"/>
      <c r="T460" s="564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4301011585</v>
      </c>
      <c r="D461" s="552">
        <v>4640242180441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66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3"/>
      <c r="R461" s="563"/>
      <c r="S461" s="563"/>
      <c r="T461" s="564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52">
        <v>4640242180564</v>
      </c>
      <c r="E462" s="553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6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3"/>
      <c r="R462" s="563"/>
      <c r="S462" s="563"/>
      <c r="T462" s="564"/>
      <c r="U462" s="34"/>
      <c r="V462" s="34"/>
      <c r="W462" s="35" t="s">
        <v>70</v>
      </c>
      <c r="X462" s="545">
        <v>30</v>
      </c>
      <c r="Y462" s="546">
        <f>IFERROR(IF(X462="",0,CEILING((X462/$H462),1)*$H462),"")</f>
        <v>36</v>
      </c>
      <c r="Z462" s="36">
        <f>IFERROR(IF(Y462=0,"",ROUNDUP(Y462/H462,0)*0.01898),"")</f>
        <v>5.6940000000000004E-2</v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31.025000000000002</v>
      </c>
      <c r="BN462" s="64">
        <f>IFERROR(Y462*I462/H462,"0")</f>
        <v>37.229999999999997</v>
      </c>
      <c r="BO462" s="64">
        <f>IFERROR(1/J462*(X462/H462),"0")</f>
        <v>3.90625E-2</v>
      </c>
      <c r="BP462" s="64">
        <f>IFERROR(1/J462*(Y462/H462),"0")</f>
        <v>4.6875E-2</v>
      </c>
    </row>
    <row r="463" spans="1:68" ht="27" customHeight="1" x14ac:dyDescent="0.25">
      <c r="A463" s="54" t="s">
        <v>712</v>
      </c>
      <c r="B463" s="54" t="s">
        <v>713</v>
      </c>
      <c r="C463" s="31">
        <v>4301011764</v>
      </c>
      <c r="D463" s="552">
        <v>4640242181189</v>
      </c>
      <c r="E463" s="553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63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3"/>
      <c r="R463" s="563"/>
      <c r="S463" s="563"/>
      <c r="T463" s="564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55"/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7"/>
      <c r="P464" s="554" t="s">
        <v>76</v>
      </c>
      <c r="Q464" s="550"/>
      <c r="R464" s="550"/>
      <c r="S464" s="550"/>
      <c r="T464" s="550"/>
      <c r="U464" s="550"/>
      <c r="V464" s="551"/>
      <c r="W464" s="37" t="s">
        <v>77</v>
      </c>
      <c r="X464" s="547">
        <f>IFERROR(X460/H460,"0")+IFERROR(X461/H461,"0")+IFERROR(X462/H462,"0")+IFERROR(X463/H463,"0")</f>
        <v>2.5</v>
      </c>
      <c r="Y464" s="547">
        <f>IFERROR(Y460/H460,"0")+IFERROR(Y461/H461,"0")+IFERROR(Y462/H462,"0")+IFERROR(Y463/H463,"0")</f>
        <v>3</v>
      </c>
      <c r="Z464" s="547">
        <f>IFERROR(IF(Z460="",0,Z460),"0")+IFERROR(IF(Z461="",0,Z461),"0")+IFERROR(IF(Z462="",0,Z462),"0")+IFERROR(IF(Z463="",0,Z463),"0")</f>
        <v>5.6940000000000004E-2</v>
      </c>
      <c r="AA464" s="548"/>
      <c r="AB464" s="548"/>
      <c r="AC464" s="548"/>
    </row>
    <row r="465" spans="1:68" x14ac:dyDescent="0.2">
      <c r="A465" s="556"/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7"/>
      <c r="P465" s="554" t="s">
        <v>76</v>
      </c>
      <c r="Q465" s="550"/>
      <c r="R465" s="550"/>
      <c r="S465" s="550"/>
      <c r="T465" s="550"/>
      <c r="U465" s="550"/>
      <c r="V465" s="551"/>
      <c r="W465" s="37" t="s">
        <v>70</v>
      </c>
      <c r="X465" s="547">
        <f>IFERROR(SUM(X460:X463),"0")</f>
        <v>30</v>
      </c>
      <c r="Y465" s="547">
        <f>IFERROR(SUM(Y460:Y463),"0")</f>
        <v>36</v>
      </c>
      <c r="Z465" s="37"/>
      <c r="AA465" s="548"/>
      <c r="AB465" s="548"/>
      <c r="AC465" s="548"/>
    </row>
    <row r="466" spans="1:68" ht="14.25" customHeight="1" x14ac:dyDescent="0.25">
      <c r="A466" s="565" t="s">
        <v>140</v>
      </c>
      <c r="B466" s="556"/>
      <c r="C466" s="556"/>
      <c r="D466" s="556"/>
      <c r="E466" s="556"/>
      <c r="F466" s="556"/>
      <c r="G466" s="556"/>
      <c r="H466" s="556"/>
      <c r="I466" s="556"/>
      <c r="J466" s="556"/>
      <c r="K466" s="556"/>
      <c r="L466" s="556"/>
      <c r="M466" s="556"/>
      <c r="N466" s="556"/>
      <c r="O466" s="556"/>
      <c r="P466" s="556"/>
      <c r="Q466" s="556"/>
      <c r="R466" s="556"/>
      <c r="S466" s="556"/>
      <c r="T466" s="556"/>
      <c r="U466" s="556"/>
      <c r="V466" s="556"/>
      <c r="W466" s="556"/>
      <c r="X466" s="556"/>
      <c r="Y466" s="556"/>
      <c r="Z466" s="556"/>
      <c r="AA466" s="541"/>
      <c r="AB466" s="541"/>
      <c r="AC466" s="541"/>
    </row>
    <row r="467" spans="1:68" ht="27" customHeight="1" x14ac:dyDescent="0.25">
      <c r="A467" s="54" t="s">
        <v>714</v>
      </c>
      <c r="B467" s="54" t="s">
        <v>715</v>
      </c>
      <c r="C467" s="31">
        <v>4301020400</v>
      </c>
      <c r="D467" s="552">
        <v>4640242180519</v>
      </c>
      <c r="E467" s="553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7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3"/>
      <c r="R467" s="563"/>
      <c r="S467" s="563"/>
      <c r="T467" s="564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4301020260</v>
      </c>
      <c r="D468" s="552">
        <v>4640242180526</v>
      </c>
      <c r="E468" s="553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84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63"/>
      <c r="R468" s="563"/>
      <c r="S468" s="563"/>
      <c r="T468" s="564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720</v>
      </c>
      <c r="B469" s="54" t="s">
        <v>721</v>
      </c>
      <c r="C469" s="31">
        <v>4301020295</v>
      </c>
      <c r="D469" s="552">
        <v>4640242181363</v>
      </c>
      <c r="E469" s="553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768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63"/>
      <c r="R469" s="563"/>
      <c r="S469" s="563"/>
      <c r="T469" s="564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55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7"/>
      <c r="P470" s="554" t="s">
        <v>76</v>
      </c>
      <c r="Q470" s="550"/>
      <c r="R470" s="550"/>
      <c r="S470" s="550"/>
      <c r="T470" s="550"/>
      <c r="U470" s="550"/>
      <c r="V470" s="551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x14ac:dyDescent="0.2">
      <c r="A471" s="556"/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7"/>
      <c r="P471" s="554" t="s">
        <v>76</v>
      </c>
      <c r="Q471" s="550"/>
      <c r="R471" s="550"/>
      <c r="S471" s="550"/>
      <c r="T471" s="550"/>
      <c r="U471" s="550"/>
      <c r="V471" s="551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customHeight="1" x14ac:dyDescent="0.25">
      <c r="A472" s="565" t="s">
        <v>64</v>
      </c>
      <c r="B472" s="556"/>
      <c r="C472" s="556"/>
      <c r="D472" s="556"/>
      <c r="E472" s="556"/>
      <c r="F472" s="556"/>
      <c r="G472" s="556"/>
      <c r="H472" s="556"/>
      <c r="I472" s="556"/>
      <c r="J472" s="556"/>
      <c r="K472" s="556"/>
      <c r="L472" s="556"/>
      <c r="M472" s="556"/>
      <c r="N472" s="556"/>
      <c r="O472" s="556"/>
      <c r="P472" s="556"/>
      <c r="Q472" s="556"/>
      <c r="R472" s="556"/>
      <c r="S472" s="556"/>
      <c r="T472" s="556"/>
      <c r="U472" s="556"/>
      <c r="V472" s="556"/>
      <c r="W472" s="556"/>
      <c r="X472" s="556"/>
      <c r="Y472" s="556"/>
      <c r="Z472" s="556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52">
        <v>4640242180816</v>
      </c>
      <c r="E473" s="553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82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63"/>
      <c r="R473" s="563"/>
      <c r="S473" s="563"/>
      <c r="T473" s="564"/>
      <c r="U473" s="34"/>
      <c r="V473" s="34"/>
      <c r="W473" s="35" t="s">
        <v>70</v>
      </c>
      <c r="X473" s="545">
        <v>60</v>
      </c>
      <c r="Y473" s="546">
        <f>IFERROR(IF(X473="",0,CEILING((X473/$H473),1)*$H473),"")</f>
        <v>63</v>
      </c>
      <c r="Z473" s="36">
        <f>IFERROR(IF(Y473=0,"",ROUNDUP(Y473/H473,0)*0.00902),"")</f>
        <v>0.1353</v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63.571428571428569</v>
      </c>
      <c r="BN473" s="64">
        <f>IFERROR(Y473*I473/H473,"0")</f>
        <v>66.75</v>
      </c>
      <c r="BO473" s="64">
        <f>IFERROR(1/J473*(X473/H473),"0")</f>
        <v>0.10822510822510822</v>
      </c>
      <c r="BP473" s="64">
        <f>IFERROR(1/J473*(Y473/H473),"0")</f>
        <v>0.11363636363636365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52">
        <v>4640242180595</v>
      </c>
      <c r="E474" s="553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80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63"/>
      <c r="R474" s="563"/>
      <c r="S474" s="563"/>
      <c r="T474" s="564"/>
      <c r="U474" s="34"/>
      <c r="V474" s="34"/>
      <c r="W474" s="35" t="s">
        <v>70</v>
      </c>
      <c r="X474" s="545">
        <v>90</v>
      </c>
      <c r="Y474" s="546">
        <f>IFERROR(IF(X474="",0,CEILING((X474/$H474),1)*$H474),"")</f>
        <v>92.4</v>
      </c>
      <c r="Z474" s="36">
        <f>IFERROR(IF(Y474=0,"",ROUNDUP(Y474/H474,0)*0.00902),"")</f>
        <v>0.19844000000000001</v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95.357142857142847</v>
      </c>
      <c r="BN474" s="64">
        <f>IFERROR(Y474*I474/H474,"0")</f>
        <v>97.9</v>
      </c>
      <c r="BO474" s="64">
        <f>IFERROR(1/J474*(X474/H474),"0")</f>
        <v>0.16233766233766234</v>
      </c>
      <c r="BP474" s="64">
        <f>IFERROR(1/J474*(Y474/H474),"0")</f>
        <v>0.16666666666666669</v>
      </c>
    </row>
    <row r="475" spans="1:68" x14ac:dyDescent="0.2">
      <c r="A475" s="555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7"/>
      <c r="P475" s="554" t="s">
        <v>76</v>
      </c>
      <c r="Q475" s="550"/>
      <c r="R475" s="550"/>
      <c r="S475" s="550"/>
      <c r="T475" s="550"/>
      <c r="U475" s="550"/>
      <c r="V475" s="551"/>
      <c r="W475" s="37" t="s">
        <v>77</v>
      </c>
      <c r="X475" s="547">
        <f>IFERROR(X473/H473,"0")+IFERROR(X474/H474,"0")</f>
        <v>35.714285714285708</v>
      </c>
      <c r="Y475" s="547">
        <f>IFERROR(Y473/H473,"0")+IFERROR(Y474/H474,"0")</f>
        <v>37</v>
      </c>
      <c r="Z475" s="547">
        <f>IFERROR(IF(Z473="",0,Z473),"0")+IFERROR(IF(Z474="",0,Z474),"0")</f>
        <v>0.33374000000000004</v>
      </c>
      <c r="AA475" s="548"/>
      <c r="AB475" s="548"/>
      <c r="AC475" s="548"/>
    </row>
    <row r="476" spans="1:68" x14ac:dyDescent="0.2">
      <c r="A476" s="556"/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7"/>
      <c r="P476" s="554" t="s">
        <v>76</v>
      </c>
      <c r="Q476" s="550"/>
      <c r="R476" s="550"/>
      <c r="S476" s="550"/>
      <c r="T476" s="550"/>
      <c r="U476" s="550"/>
      <c r="V476" s="551"/>
      <c r="W476" s="37" t="s">
        <v>70</v>
      </c>
      <c r="X476" s="547">
        <f>IFERROR(SUM(X473:X474),"0")</f>
        <v>150</v>
      </c>
      <c r="Y476" s="547">
        <f>IFERROR(SUM(Y473:Y474),"0")</f>
        <v>155.4</v>
      </c>
      <c r="Z476" s="37"/>
      <c r="AA476" s="548"/>
      <c r="AB476" s="548"/>
      <c r="AC476" s="548"/>
    </row>
    <row r="477" spans="1:68" ht="14.25" customHeight="1" x14ac:dyDescent="0.25">
      <c r="A477" s="565" t="s">
        <v>78</v>
      </c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6"/>
      <c r="P477" s="556"/>
      <c r="Q477" s="556"/>
      <c r="R477" s="556"/>
      <c r="S477" s="556"/>
      <c r="T477" s="556"/>
      <c r="U477" s="556"/>
      <c r="V477" s="556"/>
      <c r="W477" s="556"/>
      <c r="X477" s="556"/>
      <c r="Y477" s="556"/>
      <c r="Z477" s="556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52">
        <v>4640242180533</v>
      </c>
      <c r="E478" s="553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63"/>
      <c r="R478" s="563"/>
      <c r="S478" s="563"/>
      <c r="T478" s="564"/>
      <c r="U478" s="34"/>
      <c r="V478" s="34"/>
      <c r="W478" s="35" t="s">
        <v>70</v>
      </c>
      <c r="X478" s="545">
        <v>20</v>
      </c>
      <c r="Y478" s="546">
        <f>IFERROR(IF(X478="",0,CEILING((X478/$H478),1)*$H478),"")</f>
        <v>27</v>
      </c>
      <c r="Z478" s="36">
        <f>IFERROR(IF(Y478=0,"",ROUNDUP(Y478/H478,0)*0.01898),"")</f>
        <v>5.6940000000000004E-2</v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21.097777777777779</v>
      </c>
      <c r="BN478" s="64">
        <f>IFERROR(Y478*I478/H478,"0")</f>
        <v>28.481999999999996</v>
      </c>
      <c r="BO478" s="64">
        <f>IFERROR(1/J478*(X478/H478),"0")</f>
        <v>3.4722222222222224E-2</v>
      </c>
      <c r="BP478" s="64">
        <f>IFERROR(1/J478*(Y478/H478),"0")</f>
        <v>4.6875E-2</v>
      </c>
    </row>
    <row r="479" spans="1:68" x14ac:dyDescent="0.2">
      <c r="A479" s="555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7"/>
      <c r="P479" s="554" t="s">
        <v>76</v>
      </c>
      <c r="Q479" s="550"/>
      <c r="R479" s="550"/>
      <c r="S479" s="550"/>
      <c r="T479" s="550"/>
      <c r="U479" s="550"/>
      <c r="V479" s="551"/>
      <c r="W479" s="37" t="s">
        <v>77</v>
      </c>
      <c r="X479" s="547">
        <f>IFERROR(X478/H478,"0")</f>
        <v>2.2222222222222223</v>
      </c>
      <c r="Y479" s="547">
        <f>IFERROR(Y478/H478,"0")</f>
        <v>3</v>
      </c>
      <c r="Z479" s="547">
        <f>IFERROR(IF(Z478="",0,Z478),"0")</f>
        <v>5.6940000000000004E-2</v>
      </c>
      <c r="AA479" s="548"/>
      <c r="AB479" s="548"/>
      <c r="AC479" s="548"/>
    </row>
    <row r="480" spans="1:68" x14ac:dyDescent="0.2">
      <c r="A480" s="556"/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7"/>
      <c r="P480" s="554" t="s">
        <v>76</v>
      </c>
      <c r="Q480" s="550"/>
      <c r="R480" s="550"/>
      <c r="S480" s="550"/>
      <c r="T480" s="550"/>
      <c r="U480" s="550"/>
      <c r="V480" s="551"/>
      <c r="W480" s="37" t="s">
        <v>70</v>
      </c>
      <c r="X480" s="547">
        <f>IFERROR(SUM(X478:X478),"0")</f>
        <v>20</v>
      </c>
      <c r="Y480" s="547">
        <f>IFERROR(SUM(Y478:Y478),"0")</f>
        <v>27</v>
      </c>
      <c r="Z480" s="37"/>
      <c r="AA480" s="548"/>
      <c r="AB480" s="548"/>
      <c r="AC480" s="548"/>
    </row>
    <row r="481" spans="1:68" ht="14.25" customHeight="1" x14ac:dyDescent="0.25">
      <c r="A481" s="565" t="s">
        <v>168</v>
      </c>
      <c r="B481" s="556"/>
      <c r="C481" s="556"/>
      <c r="D481" s="556"/>
      <c r="E481" s="556"/>
      <c r="F481" s="556"/>
      <c r="G481" s="556"/>
      <c r="H481" s="556"/>
      <c r="I481" s="556"/>
      <c r="J481" s="556"/>
      <c r="K481" s="556"/>
      <c r="L481" s="556"/>
      <c r="M481" s="556"/>
      <c r="N481" s="556"/>
      <c r="O481" s="556"/>
      <c r="P481" s="556"/>
      <c r="Q481" s="556"/>
      <c r="R481" s="556"/>
      <c r="S481" s="556"/>
      <c r="T481" s="556"/>
      <c r="U481" s="556"/>
      <c r="V481" s="556"/>
      <c r="W481" s="556"/>
      <c r="X481" s="556"/>
      <c r="Y481" s="556"/>
      <c r="Z481" s="556"/>
      <c r="AA481" s="541"/>
      <c r="AB481" s="541"/>
      <c r="AC481" s="541"/>
    </row>
    <row r="482" spans="1:68" ht="27" customHeight="1" x14ac:dyDescent="0.25">
      <c r="A482" s="54" t="s">
        <v>732</v>
      </c>
      <c r="B482" s="54" t="s">
        <v>733</v>
      </c>
      <c r="C482" s="31">
        <v>4301060491</v>
      </c>
      <c r="D482" s="552">
        <v>4640242180120</v>
      </c>
      <c r="E482" s="553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83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63"/>
      <c r="R482" s="563"/>
      <c r="S482" s="563"/>
      <c r="T482" s="564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4301060493</v>
      </c>
      <c r="D483" s="552">
        <v>4640242180137</v>
      </c>
      <c r="E483" s="553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65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63"/>
      <c r="R483" s="563"/>
      <c r="S483" s="563"/>
      <c r="T483" s="564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55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7"/>
      <c r="P484" s="554" t="s">
        <v>76</v>
      </c>
      <c r="Q484" s="550"/>
      <c r="R484" s="550"/>
      <c r="S484" s="550"/>
      <c r="T484" s="550"/>
      <c r="U484" s="550"/>
      <c r="V484" s="551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6"/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7"/>
      <c r="P485" s="554" t="s">
        <v>76</v>
      </c>
      <c r="Q485" s="550"/>
      <c r="R485" s="550"/>
      <c r="S485" s="550"/>
      <c r="T485" s="550"/>
      <c r="U485" s="550"/>
      <c r="V485" s="551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76" t="s">
        <v>738</v>
      </c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40"/>
      <c r="AB486" s="540"/>
      <c r="AC486" s="540"/>
    </row>
    <row r="487" spans="1:68" ht="14.25" customHeight="1" x14ac:dyDescent="0.25">
      <c r="A487" s="565" t="s">
        <v>140</v>
      </c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6"/>
      <c r="P487" s="556"/>
      <c r="Q487" s="556"/>
      <c r="R487" s="556"/>
      <c r="S487" s="556"/>
      <c r="T487" s="556"/>
      <c r="U487" s="556"/>
      <c r="V487" s="556"/>
      <c r="W487" s="556"/>
      <c r="X487" s="556"/>
      <c r="Y487" s="556"/>
      <c r="Z487" s="556"/>
      <c r="AA487" s="541"/>
      <c r="AB487" s="541"/>
      <c r="AC487" s="541"/>
    </row>
    <row r="488" spans="1:68" ht="27" customHeight="1" x14ac:dyDescent="0.25">
      <c r="A488" s="54" t="s">
        <v>739</v>
      </c>
      <c r="B488" s="54" t="s">
        <v>740</v>
      </c>
      <c r="C488" s="31">
        <v>4301020314</v>
      </c>
      <c r="D488" s="552">
        <v>4640242180090</v>
      </c>
      <c r="E488" s="553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6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63"/>
      <c r="R488" s="563"/>
      <c r="S488" s="563"/>
      <c r="T488" s="564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55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57"/>
      <c r="P489" s="554" t="s">
        <v>76</v>
      </c>
      <c r="Q489" s="550"/>
      <c r="R489" s="550"/>
      <c r="S489" s="550"/>
      <c r="T489" s="550"/>
      <c r="U489" s="550"/>
      <c r="V489" s="551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557"/>
      <c r="P490" s="554" t="s">
        <v>76</v>
      </c>
      <c r="Q490" s="550"/>
      <c r="R490" s="550"/>
      <c r="S490" s="550"/>
      <c r="T490" s="550"/>
      <c r="U490" s="550"/>
      <c r="V490" s="551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588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589"/>
      <c r="P491" s="558" t="s">
        <v>742</v>
      </c>
      <c r="Q491" s="559"/>
      <c r="R491" s="559"/>
      <c r="S491" s="559"/>
      <c r="T491" s="559"/>
      <c r="U491" s="559"/>
      <c r="V491" s="560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12697.85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12842.31</v>
      </c>
      <c r="Z491" s="37"/>
      <c r="AA491" s="548"/>
      <c r="AB491" s="548"/>
      <c r="AC491" s="548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589"/>
      <c r="P492" s="558" t="s">
        <v>743</v>
      </c>
      <c r="Q492" s="559"/>
      <c r="R492" s="559"/>
      <c r="S492" s="559"/>
      <c r="T492" s="559"/>
      <c r="U492" s="559"/>
      <c r="V492" s="560"/>
      <c r="W492" s="37" t="s">
        <v>70</v>
      </c>
      <c r="X492" s="547">
        <f>IFERROR(SUM(BM22:BM488),"0")</f>
        <v>13297.265981369248</v>
      </c>
      <c r="Y492" s="547">
        <f>IFERROR(SUM(BN22:BN488),"0")</f>
        <v>13448.82</v>
      </c>
      <c r="Z492" s="37"/>
      <c r="AA492" s="548"/>
      <c r="AB492" s="548"/>
      <c r="AC492" s="548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589"/>
      <c r="P493" s="558" t="s">
        <v>744</v>
      </c>
      <c r="Q493" s="559"/>
      <c r="R493" s="559"/>
      <c r="S493" s="559"/>
      <c r="T493" s="559"/>
      <c r="U493" s="559"/>
      <c r="V493" s="560"/>
      <c r="W493" s="37" t="s">
        <v>745</v>
      </c>
      <c r="X493" s="38">
        <f>ROUNDUP(SUM(BO22:BO488),0)</f>
        <v>22</v>
      </c>
      <c r="Y493" s="38">
        <f>ROUNDUP(SUM(BP22:BP488),0)</f>
        <v>22</v>
      </c>
      <c r="Z493" s="37"/>
      <c r="AA493" s="548"/>
      <c r="AB493" s="548"/>
      <c r="AC493" s="548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589"/>
      <c r="P494" s="558" t="s">
        <v>746</v>
      </c>
      <c r="Q494" s="559"/>
      <c r="R494" s="559"/>
      <c r="S494" s="559"/>
      <c r="T494" s="559"/>
      <c r="U494" s="559"/>
      <c r="V494" s="560"/>
      <c r="W494" s="37" t="s">
        <v>70</v>
      </c>
      <c r="X494" s="547">
        <f>GrossWeightTotal+PalletQtyTotal*25</f>
        <v>13847.265981369248</v>
      </c>
      <c r="Y494" s="547">
        <f>GrossWeightTotalR+PalletQtyTotalR*25</f>
        <v>13998.82</v>
      </c>
      <c r="Z494" s="37"/>
      <c r="AA494" s="548"/>
      <c r="AB494" s="548"/>
      <c r="AC494" s="548"/>
    </row>
    <row r="495" spans="1:68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589"/>
      <c r="P495" s="558" t="s">
        <v>747</v>
      </c>
      <c r="Q495" s="559"/>
      <c r="R495" s="559"/>
      <c r="S495" s="559"/>
      <c r="T495" s="559"/>
      <c r="U495" s="559"/>
      <c r="V495" s="560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1542.307792516126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1562</v>
      </c>
      <c r="Z495" s="37"/>
      <c r="AA495" s="548"/>
      <c r="AB495" s="548"/>
      <c r="AC495" s="548"/>
    </row>
    <row r="496" spans="1:68" ht="14.25" customHeight="1" x14ac:dyDescent="0.2">
      <c r="A496" s="556"/>
      <c r="B496" s="556"/>
      <c r="C496" s="556"/>
      <c r="D496" s="556"/>
      <c r="E496" s="556"/>
      <c r="F496" s="556"/>
      <c r="G496" s="556"/>
      <c r="H496" s="556"/>
      <c r="I496" s="556"/>
      <c r="J496" s="556"/>
      <c r="K496" s="556"/>
      <c r="L496" s="556"/>
      <c r="M496" s="556"/>
      <c r="N496" s="556"/>
      <c r="O496" s="589"/>
      <c r="P496" s="558" t="s">
        <v>748</v>
      </c>
      <c r="Q496" s="559"/>
      <c r="R496" s="559"/>
      <c r="S496" s="559"/>
      <c r="T496" s="559"/>
      <c r="U496" s="559"/>
      <c r="V496" s="560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25.072899999999997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4" t="s">
        <v>103</v>
      </c>
      <c r="D498" s="758"/>
      <c r="E498" s="758"/>
      <c r="F498" s="758"/>
      <c r="G498" s="758"/>
      <c r="H498" s="759"/>
      <c r="I498" s="574" t="s">
        <v>254</v>
      </c>
      <c r="J498" s="758"/>
      <c r="K498" s="758"/>
      <c r="L498" s="758"/>
      <c r="M498" s="758"/>
      <c r="N498" s="758"/>
      <c r="O498" s="758"/>
      <c r="P498" s="758"/>
      <c r="Q498" s="758"/>
      <c r="R498" s="759"/>
      <c r="S498" s="574" t="s">
        <v>534</v>
      </c>
      <c r="T498" s="759"/>
      <c r="U498" s="574" t="s">
        <v>588</v>
      </c>
      <c r="V498" s="758"/>
      <c r="W498" s="759"/>
      <c r="X498" s="542" t="s">
        <v>639</v>
      </c>
      <c r="Y498" s="574" t="s">
        <v>702</v>
      </c>
      <c r="Z498" s="759"/>
      <c r="AB498" s="52"/>
      <c r="AC498" s="52"/>
      <c r="AF498" s="543"/>
    </row>
    <row r="499" spans="1:32" ht="14.25" customHeight="1" thickTop="1" x14ac:dyDescent="0.2">
      <c r="A499" s="590" t="s">
        <v>751</v>
      </c>
      <c r="B499" s="574" t="s">
        <v>63</v>
      </c>
      <c r="C499" s="574" t="s">
        <v>104</v>
      </c>
      <c r="D499" s="574" t="s">
        <v>121</v>
      </c>
      <c r="E499" s="574" t="s">
        <v>175</v>
      </c>
      <c r="F499" s="574" t="s">
        <v>194</v>
      </c>
      <c r="G499" s="574" t="s">
        <v>224</v>
      </c>
      <c r="H499" s="574" t="s">
        <v>103</v>
      </c>
      <c r="I499" s="574" t="s">
        <v>255</v>
      </c>
      <c r="J499" s="574" t="s">
        <v>299</v>
      </c>
      <c r="K499" s="574" t="s">
        <v>358</v>
      </c>
      <c r="L499" s="574" t="s">
        <v>400</v>
      </c>
      <c r="M499" s="574" t="s">
        <v>416</v>
      </c>
      <c r="N499" s="543"/>
      <c r="O499" s="574" t="s">
        <v>427</v>
      </c>
      <c r="P499" s="574" t="s">
        <v>436</v>
      </c>
      <c r="Q499" s="574" t="s">
        <v>449</v>
      </c>
      <c r="R499" s="574" t="s">
        <v>524</v>
      </c>
      <c r="S499" s="574" t="s">
        <v>535</v>
      </c>
      <c r="T499" s="574" t="s">
        <v>570</v>
      </c>
      <c r="U499" s="574" t="s">
        <v>589</v>
      </c>
      <c r="V499" s="574" t="s">
        <v>620</v>
      </c>
      <c r="W499" s="574" t="s">
        <v>635</v>
      </c>
      <c r="X499" s="574" t="s">
        <v>639</v>
      </c>
      <c r="Y499" s="574" t="s">
        <v>702</v>
      </c>
      <c r="Z499" s="574" t="s">
        <v>738</v>
      </c>
      <c r="AB499" s="52"/>
      <c r="AC499" s="52"/>
      <c r="AF499" s="543"/>
    </row>
    <row r="500" spans="1:32" ht="13.5" customHeight="1" thickBot="1" x14ac:dyDescent="0.25">
      <c r="A500" s="591"/>
      <c r="B500" s="575"/>
      <c r="C500" s="575"/>
      <c r="D500" s="575"/>
      <c r="E500" s="575"/>
      <c r="F500" s="575"/>
      <c r="G500" s="575"/>
      <c r="H500" s="575"/>
      <c r="I500" s="575"/>
      <c r="J500" s="575"/>
      <c r="K500" s="575"/>
      <c r="L500" s="575"/>
      <c r="M500" s="575"/>
      <c r="N500" s="543"/>
      <c r="O500" s="575"/>
      <c r="P500" s="575"/>
      <c r="Q500" s="575"/>
      <c r="R500" s="575"/>
      <c r="S500" s="575"/>
      <c r="T500" s="575"/>
      <c r="U500" s="575"/>
      <c r="V500" s="575"/>
      <c r="W500" s="575"/>
      <c r="X500" s="575"/>
      <c r="Y500" s="575"/>
      <c r="Z500" s="57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114.4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1894.4000000000005</v>
      </c>
      <c r="E501" s="46">
        <f>IFERROR(Y86*1,"0")+IFERROR(Y87*1,"0")+IFERROR(Y88*1,"0")+IFERROR(Y92*1,"0")+IFERROR(Y93*1,"0")+IFERROR(Y94*1,"0")+IFERROR(Y95*1,"0")</f>
        <v>464.4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94.35</v>
      </c>
      <c r="G501" s="46">
        <f>IFERROR(Y125*1,"0")+IFERROR(Y126*1,"0")+IFERROR(Y130*1,"0")+IFERROR(Y131*1,"0")+IFERROR(Y135*1,"0")+IFERROR(Y136*1,"0")</f>
        <v>6.4</v>
      </c>
      <c r="H501" s="46">
        <f>IFERROR(Y141*1,"0")+IFERROR(Y142*1,"0")+IFERROR(Y146*1,"0")+IFERROR(Y147*1,"0")+IFERROR(Y148*1,"0")+IFERROR(Y152*1,"0")</f>
        <v>54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21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160.80000000000001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222.4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5661.7</v>
      </c>
      <c r="R501" s="46">
        <f>IFERROR(Y335*1,"0")+IFERROR(Y336*1,"0")+IFERROR(Y337*1,"0")</f>
        <v>158.10000000000002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3450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21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300.96000000000004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218.4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A34:Z34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2025-12-08T10:20:49Z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