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2639483-6965-49D3-A5C5-E582014F55C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N198" i="1"/>
  <c r="BM198" i="1"/>
  <c r="Z198" i="1"/>
  <c r="Z200" i="1" s="1"/>
  <c r="Y198" i="1"/>
  <c r="P198" i="1"/>
  <c r="X196" i="1"/>
  <c r="Y195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Y179" i="1" s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Y134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B503" i="1" s="1"/>
  <c r="P22" i="1"/>
  <c r="H10" i="1"/>
  <c r="A9" i="1"/>
  <c r="F10" i="1" s="1"/>
  <c r="D7" i="1"/>
  <c r="Q6" i="1"/>
  <c r="P2" i="1"/>
  <c r="Z44" i="1" l="1"/>
  <c r="H9" i="1"/>
  <c r="A10" i="1"/>
  <c r="Y24" i="1"/>
  <c r="Y32" i="1"/>
  <c r="Y44" i="1"/>
  <c r="BP57" i="1"/>
  <c r="BN57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BP138" i="1"/>
  <c r="BN138" i="1"/>
  <c r="Z138" i="1"/>
  <c r="Z139" i="1" s="1"/>
  <c r="Y140" i="1"/>
  <c r="H503" i="1"/>
  <c r="Y146" i="1"/>
  <c r="BP143" i="1"/>
  <c r="BN143" i="1"/>
  <c r="Z143" i="1"/>
  <c r="Z145" i="1" s="1"/>
  <c r="BP149" i="1"/>
  <c r="BN149" i="1"/>
  <c r="Z149" i="1"/>
  <c r="BP152" i="1"/>
  <c r="BN152" i="1"/>
  <c r="Z152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Z241" i="1" s="1"/>
  <c r="Y241" i="1"/>
  <c r="BP253" i="1"/>
  <c r="BN253" i="1"/>
  <c r="Z253" i="1"/>
  <c r="Y257" i="1"/>
  <c r="BP262" i="1"/>
  <c r="BN262" i="1"/>
  <c r="Z262" i="1"/>
  <c r="Z266" i="1" s="1"/>
  <c r="Y266" i="1"/>
  <c r="Z274" i="1"/>
  <c r="BP271" i="1"/>
  <c r="BN271" i="1"/>
  <c r="Z271" i="1"/>
  <c r="Y275" i="1"/>
  <c r="BP280" i="1"/>
  <c r="BN280" i="1"/>
  <c r="Z280" i="1"/>
  <c r="Y282" i="1"/>
  <c r="P503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Z356" i="1"/>
  <c r="BP350" i="1"/>
  <c r="BN350" i="1"/>
  <c r="Z350" i="1"/>
  <c r="Y356" i="1"/>
  <c r="BP354" i="1"/>
  <c r="BN354" i="1"/>
  <c r="Z354" i="1"/>
  <c r="BP393" i="1"/>
  <c r="BN393" i="1"/>
  <c r="Z393" i="1"/>
  <c r="Z401" i="1" s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F9" i="1"/>
  <c r="J9" i="1"/>
  <c r="Z22" i="1"/>
  <c r="Z24" i="1" s="1"/>
  <c r="BN22" i="1"/>
  <c r="BP22" i="1"/>
  <c r="X497" i="1"/>
  <c r="Y25" i="1"/>
  <c r="Z28" i="1"/>
  <c r="Z32" i="1" s="1"/>
  <c r="BN28" i="1"/>
  <c r="Z30" i="1"/>
  <c r="BN30" i="1"/>
  <c r="C503" i="1"/>
  <c r="Z42" i="1"/>
  <c r="BN42" i="1"/>
  <c r="Y45" i="1"/>
  <c r="D503" i="1"/>
  <c r="Y58" i="1"/>
  <c r="Z53" i="1"/>
  <c r="Z58" i="1" s="1"/>
  <c r="BN53" i="1"/>
  <c r="Z55" i="1"/>
  <c r="BN55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BP94" i="1"/>
  <c r="BN94" i="1"/>
  <c r="Z94" i="1"/>
  <c r="BP103" i="1"/>
  <c r="BN103" i="1"/>
  <c r="Z103" i="1"/>
  <c r="Y112" i="1"/>
  <c r="BP111" i="1"/>
  <c r="BN111" i="1"/>
  <c r="Z111" i="1"/>
  <c r="Y113" i="1"/>
  <c r="Y120" i="1"/>
  <c r="BP115" i="1"/>
  <c r="BN115" i="1"/>
  <c r="Z115" i="1"/>
  <c r="Z119" i="1" s="1"/>
  <c r="Y119" i="1"/>
  <c r="BP128" i="1"/>
  <c r="BN128" i="1"/>
  <c r="Z128" i="1"/>
  <c r="Z129" i="1" s="1"/>
  <c r="Y130" i="1"/>
  <c r="Y135" i="1"/>
  <c r="BP132" i="1"/>
  <c r="BN132" i="1"/>
  <c r="Z132" i="1"/>
  <c r="Z134" i="1" s="1"/>
  <c r="Y139" i="1"/>
  <c r="Y145" i="1"/>
  <c r="Y155" i="1"/>
  <c r="BP148" i="1"/>
  <c r="BN148" i="1"/>
  <c r="Z148" i="1"/>
  <c r="BP150" i="1"/>
  <c r="BN150" i="1"/>
  <c r="Z150" i="1"/>
  <c r="Y154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503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Z211" i="1" s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Z257" i="1" s="1"/>
  <c r="L503" i="1"/>
  <c r="BP264" i="1"/>
  <c r="BN264" i="1"/>
  <c r="Z264" i="1"/>
  <c r="BP273" i="1"/>
  <c r="BN273" i="1"/>
  <c r="Z273" i="1"/>
  <c r="O503" i="1"/>
  <c r="Y281" i="1"/>
  <c r="BP278" i="1"/>
  <c r="BN278" i="1"/>
  <c r="Z278" i="1"/>
  <c r="Z281" i="1" s="1"/>
  <c r="BP291" i="1"/>
  <c r="BN291" i="1"/>
  <c r="Z291" i="1"/>
  <c r="Z292" i="1" s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503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Z387" i="1"/>
  <c r="BP385" i="1"/>
  <c r="BN385" i="1"/>
  <c r="Z385" i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Z486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55" i="1" l="1"/>
  <c r="Z179" i="1"/>
  <c r="Y494" i="1"/>
  <c r="Y496" i="1" s="1"/>
  <c r="Z96" i="1"/>
  <c r="Y497" i="1"/>
  <c r="Z223" i="1"/>
  <c r="Z318" i="1"/>
  <c r="Z154" i="1"/>
  <c r="Y493" i="1"/>
  <c r="Y495" i="1"/>
  <c r="Z418" i="1"/>
  <c r="Z337" i="1"/>
  <c r="Z498" i="1" s="1"/>
  <c r="Z185" i="1"/>
</calcChain>
</file>

<file path=xl/sharedStrings.xml><?xml version="1.0" encoding="utf-8"?>
<sst xmlns="http://schemas.openxmlformats.org/spreadsheetml/2006/main" count="2258" uniqueCount="777">
  <si>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</si>
  <si>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</si>
  <si>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</si>
  <si>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</si>
  <si>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</si>
  <si>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</si>
  <si>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</si>
  <si>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</si>
  <si>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</si>
  <si>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</si>
  <si>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</si>
  <si>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</si>
  <si>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</si>
  <si>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</si>
  <si>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</si>
  <si>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</si>
  <si>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</si>
  <si>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</si>
  <si>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</si>
  <si>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</si>
  <si>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</si>
  <si>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</si>
  <si>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</si>
  <si>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</si>
  <si>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</si>
  <si>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</si>
  <si>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</si>
  <si>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</si>
  <si>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</si>
  <si>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</si>
  <si>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</si>
  <si>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</si>
  <si>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</si>
  <si>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</si>
  <si>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</si>
  <si>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</si>
  <si>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</si>
  <si>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</si>
  <si>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</si>
  <si>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</si>
  <si>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</si>
  <si>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</si>
  <si>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</si>
  <si>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</si>
  <si>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</si>
  <si>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</si>
  <si>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</si>
  <si>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</si>
  <si>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</si>
  <si>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</si>
  <si>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</si>
  <si>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</si>
  <si>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</si>
  <si>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</si>
  <si>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</si>
  <si>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</si>
  <si>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</si>
  <si>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</si>
  <si>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</si>
  <si>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</si>
  <si>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</si>
  <si>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</si>
  <si>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</si>
  <si>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</si>
  <si>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</si>
  <si>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</si>
  <si>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</si>
  <si>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</si>
  <si>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</si>
  <si>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</si>
  <si>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</si>
  <si>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</si>
  <si>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</si>
  <si>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</si>
  <si>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</si>
  <si>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</si>
  <si>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</si>
  <si>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</si>
  <si>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</si>
  <si>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</si>
  <si>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</si>
  <si>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</si>
  <si>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Д-RU.РА08.В.78145/23, ЕАЭС N RU Д-RU.РА10.В.84355/25</t>
  </si>
  <si>
    <t>Короб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</si>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</sst>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31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2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2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3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1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6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8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1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81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2" customWidth="1"/>
    <col min="19" max="19" width="6.140625" style="54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2" customWidth="1"/>
    <col min="25" max="25" width="11" style="542" customWidth="1"/>
    <col min="26" max="26" width="10" style="542" customWidth="1"/>
    <col min="27" max="27" width="11.5703125" style="542" customWidth="1"/>
    <col min="28" max="28" width="10.42578125" style="542" customWidth="1"/>
    <col min="29" max="29" width="30" style="54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2" customWidth="1"/>
    <col min="34" max="34" width="9.140625" style="542" customWidth="1"/>
    <col min="35" max="16384" width="9.140625" style="542"/>
  </cols>
  <sheetData>
    <row r="1" spans="1:32" s="546" customFormat="1" ht="45" customHeight="1" x14ac:dyDescent="0.2">
      <c r="A1" s="41"/>
      <c r="B1" s="41"/>
      <c r="C1" s="41"/>
      <c r="D1" s="631" t="s">
        <v>0</v>
      </c>
      <c r="E1" s="580"/>
      <c r="F1" s="580"/>
      <c r="G1" s="12" t="s">
        <v>1</v>
      </c>
      <c r="H1" s="631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6" customFormat="1" ht="23.45" customHeight="1" x14ac:dyDescent="0.2">
      <c r="A5" s="671" t="s">
        <v>8</v>
      </c>
      <c r="B5" s="672"/>
      <c r="C5" s="673"/>
      <c r="D5" s="636"/>
      <c r="E5" s="637"/>
      <c r="F5" s="842" t="s">
        <v>9</v>
      </c>
      <c r="G5" s="673"/>
      <c r="H5" s="636"/>
      <c r="I5" s="785"/>
      <c r="J5" s="785"/>
      <c r="K5" s="785"/>
      <c r="L5" s="785"/>
      <c r="M5" s="637"/>
      <c r="N5" s="58"/>
      <c r="P5" s="24" t="s">
        <v>10</v>
      </c>
      <c r="Q5" s="853">
        <v>46012</v>
      </c>
      <c r="R5" s="669"/>
      <c r="T5" s="721" t="s">
        <v>11</v>
      </c>
      <c r="U5" s="722"/>
      <c r="V5" s="723" t="s">
        <v>12</v>
      </c>
      <c r="W5" s="669"/>
      <c r="AB5" s="51"/>
      <c r="AC5" s="51"/>
      <c r="AD5" s="51"/>
      <c r="AE5" s="51"/>
    </row>
    <row r="6" spans="1:32" s="546" customFormat="1" ht="24" customHeight="1" x14ac:dyDescent="0.2">
      <c r="A6" s="671" t="s">
        <v>13</v>
      </c>
      <c r="B6" s="672"/>
      <c r="C6" s="673"/>
      <c r="D6" s="787" t="s">
        <v>14</v>
      </c>
      <c r="E6" s="788"/>
      <c r="F6" s="788"/>
      <c r="G6" s="788"/>
      <c r="H6" s="788"/>
      <c r="I6" s="788"/>
      <c r="J6" s="788"/>
      <c r="K6" s="788"/>
      <c r="L6" s="788"/>
      <c r="M6" s="669"/>
      <c r="N6" s="59"/>
      <c r="P6" s="24" t="s">
        <v>15</v>
      </c>
      <c r="Q6" s="863" t="str">
        <f>IF(Q5=0," ",CHOOSE(WEEKDAY(Q5,2),"Понедельник","Вторник","Среда","Четверг","Пятница","Суббота","Воскресенье"))</f>
        <v>Воскресенье</v>
      </c>
      <c r="R6" s="565"/>
      <c r="T6" s="727" t="s">
        <v>16</v>
      </c>
      <c r="U6" s="722"/>
      <c r="V6" s="771" t="s">
        <v>17</v>
      </c>
      <c r="W6" s="602"/>
      <c r="AB6" s="51"/>
      <c r="AC6" s="51"/>
      <c r="AD6" s="51"/>
      <c r="AE6" s="51"/>
    </row>
    <row r="7" spans="1:32" s="546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62"/>
      <c r="U7" s="722"/>
      <c r="V7" s="772"/>
      <c r="W7" s="773"/>
      <c r="AB7" s="51"/>
      <c r="AC7" s="51"/>
      <c r="AD7" s="51"/>
      <c r="AE7" s="51"/>
    </row>
    <row r="8" spans="1:32" s="546" customFormat="1" ht="25.5" customHeight="1" x14ac:dyDescent="0.2">
      <c r="A8" s="871" t="s">
        <v>18</v>
      </c>
      <c r="B8" s="569"/>
      <c r="C8" s="57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81">
        <v>0.375</v>
      </c>
      <c r="R8" s="612"/>
      <c r="T8" s="562"/>
      <c r="U8" s="722"/>
      <c r="V8" s="772"/>
      <c r="W8" s="773"/>
      <c r="AB8" s="51"/>
      <c r="AC8" s="51"/>
      <c r="AD8" s="51"/>
      <c r="AE8" s="51"/>
    </row>
    <row r="9" spans="1:32" s="546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88"/>
      <c r="E9" s="57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66"/>
      <c r="R9" s="667"/>
      <c r="T9" s="562"/>
      <c r="U9" s="722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46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88"/>
      <c r="E10" s="57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2" t="str">
        <f>IFERROR(VLOOKUP($D$10,Proxy,2,FALSE),"")</f>
        <v/>
      </c>
      <c r="I10" s="562"/>
      <c r="J10" s="562"/>
      <c r="K10" s="562"/>
      <c r="L10" s="562"/>
      <c r="M10" s="562"/>
      <c r="N10" s="545"/>
      <c r="P10" s="26" t="s">
        <v>22</v>
      </c>
      <c r="Q10" s="728"/>
      <c r="R10" s="729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6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7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6" customFormat="1" ht="18.600000000000001" customHeight="1" x14ac:dyDescent="0.2">
      <c r="A12" s="713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1"/>
      <c r="R12" s="612"/>
      <c r="S12" s="23"/>
      <c r="U12" s="24"/>
      <c r="V12" s="580"/>
      <c r="W12" s="562"/>
      <c r="AB12" s="51"/>
      <c r="AC12" s="51"/>
      <c r="AD12" s="51"/>
      <c r="AE12" s="51"/>
    </row>
    <row r="13" spans="1:32" s="546" customFormat="1" ht="23.25" customHeight="1" x14ac:dyDescent="0.2">
      <c r="A13" s="713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7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6" customFormat="1" ht="18.600000000000001" customHeight="1" x14ac:dyDescent="0.2">
      <c r="A14" s="713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6" customFormat="1" ht="22.5" customHeight="1" x14ac:dyDescent="0.2">
      <c r="A15" s="740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1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86" t="s">
        <v>38</v>
      </c>
      <c r="D17" s="596" t="s">
        <v>39</v>
      </c>
      <c r="E17" s="654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3"/>
      <c r="R17" s="653"/>
      <c r="S17" s="653"/>
      <c r="T17" s="654"/>
      <c r="U17" s="868" t="s">
        <v>51</v>
      </c>
      <c r="V17" s="673"/>
      <c r="W17" s="596" t="s">
        <v>52</v>
      </c>
      <c r="X17" s="596" t="s">
        <v>53</v>
      </c>
      <c r="Y17" s="869" t="s">
        <v>54</v>
      </c>
      <c r="Z17" s="783" t="s">
        <v>55</v>
      </c>
      <c r="AA17" s="763" t="s">
        <v>56</v>
      </c>
      <c r="AB17" s="763" t="s">
        <v>57</v>
      </c>
      <c r="AC17" s="763" t="s">
        <v>58</v>
      </c>
      <c r="AD17" s="763" t="s">
        <v>59</v>
      </c>
      <c r="AE17" s="837"/>
      <c r="AF17" s="838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5"/>
      <c r="E18" s="65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5"/>
      <c r="Q18" s="656"/>
      <c r="R18" s="656"/>
      <c r="S18" s="656"/>
      <c r="T18" s="657"/>
      <c r="U18" s="67" t="s">
        <v>61</v>
      </c>
      <c r="V18" s="67" t="s">
        <v>62</v>
      </c>
      <c r="W18" s="597"/>
      <c r="X18" s="597"/>
      <c r="Y18" s="870"/>
      <c r="Z18" s="784"/>
      <c r="AA18" s="764"/>
      <c r="AB18" s="764"/>
      <c r="AC18" s="764"/>
      <c r="AD18" s="839"/>
      <c r="AE18" s="840"/>
      <c r="AF18" s="841"/>
      <c r="AG18" s="66"/>
      <c r="BD18" s="65"/>
    </row>
    <row r="19" spans="1:68" ht="27.75" customHeight="1" x14ac:dyDescent="0.2">
      <c r="A19" s="716" t="s">
        <v>63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48"/>
      <c r="AB19" s="48"/>
      <c r="AC19" s="48"/>
    </row>
    <row r="20" spans="1:68" ht="16.5" customHeight="1" x14ac:dyDescent="0.25">
      <c r="A20" s="567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3"/>
      <c r="AB20" s="543"/>
      <c r="AC20" s="543"/>
    </row>
    <row r="21" spans="1:68" ht="14.25" customHeight="1" x14ac:dyDescent="0.25">
      <c r="A21" s="566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4"/>
      <c r="AB21" s="544"/>
      <c r="AC21" s="544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6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4"/>
      <c r="AB26" s="544"/>
      <c r="AC26" s="544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84</v>
      </c>
      <c r="B28" s="54" t="s">
        <v>85</v>
      </c>
      <c r="C28" s="31">
        <v>4301051776</v>
      </c>
      <c r="D28" s="564">
        <v>4607091388237</v>
      </c>
      <c r="E28" s="565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64">
        <v>4680115887350</v>
      </c>
      <c r="E29" s="565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64">
        <v>4680115885905</v>
      </c>
      <c r="E30" s="565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58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1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66" t="s">
        <v>95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4"/>
      <c r="AB34" s="544"/>
      <c r="AC34" s="544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1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716" t="s">
        <v>101</v>
      </c>
      <c r="B38" s="717"/>
      <c r="C38" s="717"/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7"/>
      <c r="W38" s="717"/>
      <c r="X38" s="717"/>
      <c r="Y38" s="717"/>
      <c r="Z38" s="717"/>
      <c r="AA38" s="48"/>
      <c r="AB38" s="48"/>
      <c r="AC38" s="48"/>
    </row>
    <row r="39" spans="1:68" ht="16.5" customHeight="1" x14ac:dyDescent="0.25">
      <c r="A39" s="567" t="s">
        <v>102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3"/>
      <c r="AB39" s="543"/>
      <c r="AC39" s="543"/>
    </row>
    <row r="40" spans="1:68" ht="14.25" customHeight="1" x14ac:dyDescent="0.25">
      <c r="A40" s="566" t="s">
        <v>103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4"/>
      <c r="AB40" s="544"/>
      <c r="AC40" s="544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100</v>
      </c>
      <c r="Y41" s="550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109</v>
      </c>
      <c r="AG41" s="64"/>
      <c r="AJ41" s="68" t="s">
        <v>83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64">
        <v>4607091385687</v>
      </c>
      <c r="E42" s="565"/>
      <c r="F42" s="548">
        <v>0.4</v>
      </c>
      <c r="G42" s="32">
        <v>10</v>
      </c>
      <c r="H42" s="548">
        <v>4</v>
      </c>
      <c r="I42" s="548">
        <v>4.1900000000000004</v>
      </c>
      <c r="J42" s="32">
        <v>132</v>
      </c>
      <c r="K42" s="32" t="s">
        <v>112</v>
      </c>
      <c r="L42" s="32" t="s">
        <v>113</v>
      </c>
      <c r="M42" s="33" t="s">
        <v>81</v>
      </c>
      <c r="N42" s="33"/>
      <c r="O42" s="32">
        <v>50</v>
      </c>
      <c r="P42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 t="s">
        <v>83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64">
        <v>4680115882539</v>
      </c>
      <c r="E43" s="565"/>
      <c r="F43" s="548">
        <v>0.37</v>
      </c>
      <c r="G43" s="32">
        <v>10</v>
      </c>
      <c r="H43" s="548">
        <v>3.7</v>
      </c>
      <c r="I43" s="548">
        <v>3.89</v>
      </c>
      <c r="J43" s="32">
        <v>132</v>
      </c>
      <c r="K43" s="32" t="s">
        <v>112</v>
      </c>
      <c r="L43" s="32"/>
      <c r="M43" s="33" t="s">
        <v>81</v>
      </c>
      <c r="N43" s="33"/>
      <c r="O43" s="32">
        <v>50</v>
      </c>
      <c r="P43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4"/>
      <c r="R43" s="554"/>
      <c r="S43" s="554"/>
      <c r="T43" s="555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1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9.2592592592592595</v>
      </c>
      <c r="Y44" s="551">
        <f>IFERROR(Y41/H41,"0")+IFERROR(Y42/H42,"0")+IFERROR(Y43/H43,"0")</f>
        <v>10</v>
      </c>
      <c r="Z44" s="551">
        <f>IFERROR(IF(Z41="",0,Z41),"0")+IFERROR(IF(Z42="",0,Z42),"0")+IFERROR(IF(Z43="",0,Z43),"0")</f>
        <v>0.1898</v>
      </c>
      <c r="AA44" s="552"/>
      <c r="AB44" s="552"/>
      <c r="AC44" s="552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100</v>
      </c>
      <c r="Y45" s="551">
        <f>IFERROR(SUM(Y41:Y43),"0")</f>
        <v>108</v>
      </c>
      <c r="Z45" s="37"/>
      <c r="AA45" s="552"/>
      <c r="AB45" s="552"/>
      <c r="AC45" s="552"/>
    </row>
    <row r="46" spans="1:68" ht="14.25" customHeight="1" x14ac:dyDescent="0.25">
      <c r="A46" s="566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4"/>
      <c r="AB46" s="544"/>
      <c r="AC46" s="544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65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1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67" t="s">
        <v>119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3"/>
      <c r="AB50" s="543"/>
      <c r="AC50" s="543"/>
    </row>
    <row r="51" spans="1:68" ht="14.25" customHeight="1" x14ac:dyDescent="0.25">
      <c r="A51" s="566" t="s">
        <v>103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4"/>
      <c r="AB51" s="544"/>
      <c r="AC51" s="544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225</v>
      </c>
      <c r="Y53" s="550">
        <f t="shared" si="0"/>
        <v>226.8</v>
      </c>
      <c r="Z53" s="36">
        <f>IFERROR(IF(Y53=0,"",ROUNDUP(Y53/H53,0)*0.01898),"")</f>
        <v>0.39857999999999999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233.54166666666666</v>
      </c>
      <c r="BN53" s="64">
        <f t="shared" si="2"/>
        <v>235.41000000000003</v>
      </c>
      <c r="BO53" s="64">
        <f t="shared" si="3"/>
        <v>0.32552083333333331</v>
      </c>
      <c r="BP53" s="64">
        <f t="shared" si="4"/>
        <v>0.328125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 t="s">
        <v>113</v>
      </c>
      <c r="M57" s="33" t="s">
        <v>108</v>
      </c>
      <c r="N57" s="33"/>
      <c r="O57" s="32">
        <v>50</v>
      </c>
      <c r="P57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67.5</v>
      </c>
      <c r="Y57" s="550">
        <f t="shared" si="0"/>
        <v>67.5</v>
      </c>
      <c r="Z57" s="36">
        <f>IFERROR(IF(Y57=0,"",ROUNDUP(Y57/H57,0)*0.00902),"")</f>
        <v>0.1353</v>
      </c>
      <c r="AA57" s="56"/>
      <c r="AB57" s="57"/>
      <c r="AC57" s="103" t="s">
        <v>137</v>
      </c>
      <c r="AG57" s="64"/>
      <c r="AJ57" s="68" t="s">
        <v>83</v>
      </c>
      <c r="AK57" s="68">
        <v>54</v>
      </c>
      <c r="BB57" s="104" t="s">
        <v>1</v>
      </c>
      <c r="BM57" s="64">
        <f t="shared" si="1"/>
        <v>70.350000000000009</v>
      </c>
      <c r="BN57" s="64">
        <f t="shared" si="2"/>
        <v>70.350000000000009</v>
      </c>
      <c r="BO57" s="64">
        <f t="shared" si="3"/>
        <v>0.11363636363636365</v>
      </c>
      <c r="BP57" s="64">
        <f t="shared" si="4"/>
        <v>0.11363636363636365</v>
      </c>
    </row>
    <row r="58" spans="1:68" x14ac:dyDescent="0.2">
      <c r="A58" s="561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35.833333333333329</v>
      </c>
      <c r="Y58" s="551">
        <f>IFERROR(Y52/H52,"0")+IFERROR(Y53/H53,"0")+IFERROR(Y54/H54,"0")+IFERROR(Y55/H55,"0")+IFERROR(Y56/H56,"0")+IFERROR(Y57/H57,"0")</f>
        <v>36</v>
      </c>
      <c r="Z58" s="551">
        <f>IFERROR(IF(Z52="",0,Z52),"0")+IFERROR(IF(Z53="",0,Z53),"0")+IFERROR(IF(Z54="",0,Z54),"0")+IFERROR(IF(Z55="",0,Z55),"0")+IFERROR(IF(Z56="",0,Z56),"0")+IFERROR(IF(Z57="",0,Z57),"0")</f>
        <v>0.53388000000000002</v>
      </c>
      <c r="AA58" s="552"/>
      <c r="AB58" s="552"/>
      <c r="AC58" s="552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292.5</v>
      </c>
      <c r="Y59" s="551">
        <f>IFERROR(SUM(Y52:Y57),"0")</f>
        <v>294.3</v>
      </c>
      <c r="Z59" s="37"/>
      <c r="AA59" s="552"/>
      <c r="AB59" s="552"/>
      <c r="AC59" s="552"/>
    </row>
    <row r="60" spans="1:68" ht="14.25" customHeight="1" x14ac:dyDescent="0.25">
      <c r="A60" s="566" t="s">
        <v>138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4"/>
      <c r="AB60" s="544"/>
      <c r="AC60" s="544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/>
      <c r="M61" s="33" t="s">
        <v>108</v>
      </c>
      <c r="N61" s="33"/>
      <c r="O61" s="32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50</v>
      </c>
      <c r="Y61" s="550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141</v>
      </c>
      <c r="AG61" s="64"/>
      <c r="AJ61" s="68"/>
      <c r="AK61" s="68">
        <v>0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 t="s">
        <v>80</v>
      </c>
      <c r="M63" s="33" t="s">
        <v>108</v>
      </c>
      <c r="N63" s="33"/>
      <c r="O63" s="32">
        <v>50</v>
      </c>
      <c r="P63" s="6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 t="s">
        <v>83</v>
      </c>
      <c r="AK63" s="68">
        <v>37.799999999999997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4.6296296296296298</v>
      </c>
      <c r="Y64" s="551">
        <f>IFERROR(Y61/H61,"0")+IFERROR(Y62/H62,"0")+IFERROR(Y63/H63,"0")</f>
        <v>5</v>
      </c>
      <c r="Z64" s="551">
        <f>IFERROR(IF(Z61="",0,Z61),"0")+IFERROR(IF(Z62="",0,Z62),"0")+IFERROR(IF(Z63="",0,Z63),"0")</f>
        <v>9.4899999999999998E-2</v>
      </c>
      <c r="AA64" s="552"/>
      <c r="AB64" s="552"/>
      <c r="AC64" s="552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3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50</v>
      </c>
      <c r="Y65" s="551">
        <f>IFERROR(SUM(Y61:Y63),"0")</f>
        <v>54</v>
      </c>
      <c r="Z65" s="37"/>
      <c r="AA65" s="552"/>
      <c r="AB65" s="552"/>
      <c r="AC65" s="552"/>
    </row>
    <row r="66" spans="1:68" ht="14.25" customHeight="1" x14ac:dyDescent="0.25">
      <c r="A66" s="566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4"/>
      <c r="AB66" s="544"/>
      <c r="AC66" s="544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1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6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4"/>
      <c r="AB71" s="544"/>
      <c r="AC71" s="544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81</v>
      </c>
      <c r="N72" s="33"/>
      <c r="O72" s="32">
        <v>45</v>
      </c>
      <c r="P72" s="8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/>
      <c r="M73" s="33" t="s">
        <v>81</v>
      </c>
      <c r="N73" s="33"/>
      <c r="O73" s="32">
        <v>40</v>
      </c>
      <c r="P73" s="5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45</v>
      </c>
      <c r="P74" s="7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1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66" t="s">
        <v>163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4"/>
      <c r="AB78" s="544"/>
      <c r="AC78" s="544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/>
      <c r="M79" s="33" t="s">
        <v>88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/>
      <c r="M80" s="33" t="s">
        <v>81</v>
      </c>
      <c r="N80" s="33"/>
      <c r="O80" s="32">
        <v>30</v>
      </c>
      <c r="P80" s="7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1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67" t="s">
        <v>170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3"/>
      <c r="AB83" s="543"/>
      <c r="AC83" s="543"/>
    </row>
    <row r="84" spans="1:68" ht="14.25" customHeight="1" x14ac:dyDescent="0.25">
      <c r="A84" s="566" t="s">
        <v>103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4"/>
      <c r="AB84" s="544"/>
      <c r="AC84" s="544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88</v>
      </c>
      <c r="N85" s="33"/>
      <c r="O85" s="32">
        <v>50</v>
      </c>
      <c r="P85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50</v>
      </c>
      <c r="Y85" s="550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173</v>
      </c>
      <c r="AG85" s="64"/>
      <c r="AJ85" s="68" t="s">
        <v>83</v>
      </c>
      <c r="AK85" s="68">
        <v>86.4</v>
      </c>
      <c r="BB85" s="128" t="s">
        <v>1</v>
      </c>
      <c r="BM85" s="64">
        <f>IFERROR(X85*I85/H85,"0")</f>
        <v>51.898148148148145</v>
      </c>
      <c r="BN85" s="64">
        <f>IFERROR(Y85*I85/H85,"0")</f>
        <v>56.05</v>
      </c>
      <c r="BO85" s="64">
        <f>IFERROR(1/J85*(X85/H85),"0")</f>
        <v>7.2337962962962965E-2</v>
      </c>
      <c r="BP85" s="64">
        <f>IFERROR(1/J85*(Y85/H85),"0")</f>
        <v>7.8125E-2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113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54</v>
      </c>
      <c r="Y88" s="550">
        <f>IFERROR(IF(X88="",0,CEILING((X88/$H88),1)*$H88),"")</f>
        <v>54</v>
      </c>
      <c r="Z88" s="36">
        <f>IFERROR(IF(Y88=0,"",ROUNDUP(Y88/H88,0)*0.00902),"")</f>
        <v>0.10824</v>
      </c>
      <c r="AA88" s="56"/>
      <c r="AB88" s="57"/>
      <c r="AC88" s="133" t="s">
        <v>173</v>
      </c>
      <c r="AG88" s="64"/>
      <c r="AJ88" s="68" t="s">
        <v>83</v>
      </c>
      <c r="AK88" s="68">
        <v>54</v>
      </c>
      <c r="BB88" s="134" t="s">
        <v>1</v>
      </c>
      <c r="BM88" s="64">
        <f>IFERROR(X88*I88/H88,"0")</f>
        <v>56.28</v>
      </c>
      <c r="BN88" s="64">
        <f>IFERROR(Y88*I88/H88,"0")</f>
        <v>56.28</v>
      </c>
      <c r="BO88" s="64">
        <f>IFERROR(1/J88*(X88/H88),"0")</f>
        <v>9.0909090909090912E-2</v>
      </c>
      <c r="BP88" s="64">
        <f>IFERROR(1/J88*(Y88/H88),"0")</f>
        <v>9.0909090909090912E-2</v>
      </c>
    </row>
    <row r="89" spans="1:68" x14ac:dyDescent="0.2">
      <c r="A89" s="561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16.62962962962963</v>
      </c>
      <c r="Y89" s="551">
        <f>IFERROR(Y85/H85,"0")+IFERROR(Y86/H86,"0")+IFERROR(Y87/H87,"0")+IFERROR(Y88/H88,"0")</f>
        <v>17</v>
      </c>
      <c r="Z89" s="551">
        <f>IFERROR(IF(Z85="",0,Z85),"0")+IFERROR(IF(Z86="",0,Z86),"0")+IFERROR(IF(Z87="",0,Z87),"0")+IFERROR(IF(Z88="",0,Z88),"0")</f>
        <v>0.20313999999999999</v>
      </c>
      <c r="AA89" s="552"/>
      <c r="AB89" s="552"/>
      <c r="AC89" s="552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104</v>
      </c>
      <c r="Y90" s="551">
        <f>IFERROR(SUM(Y85:Y88),"0")</f>
        <v>108</v>
      </c>
      <c r="Z90" s="37"/>
      <c r="AA90" s="552"/>
      <c r="AB90" s="552"/>
      <c r="AC90" s="552"/>
    </row>
    <row r="91" spans="1:68" ht="14.25" customHeight="1" x14ac:dyDescent="0.25">
      <c r="A91" s="566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4"/>
      <c r="AB91" s="544"/>
      <c r="AC91" s="544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/>
      <c r="M92" s="33" t="s">
        <v>88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9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4">
        <v>4607091385731</v>
      </c>
      <c r="E94" s="565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4">
        <v>4680115880894</v>
      </c>
      <c r="E95" s="565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1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customHeight="1" x14ac:dyDescent="0.25">
      <c r="A98" s="567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3"/>
      <c r="AB98" s="543"/>
      <c r="AC98" s="543"/>
    </row>
    <row r="99" spans="1:68" ht="14.25" customHeight="1" x14ac:dyDescent="0.25">
      <c r="A99" s="566" t="s">
        <v>103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4"/>
      <c r="AB99" s="544"/>
      <c r="AC99" s="544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4">
        <v>4680115882133</v>
      </c>
      <c r="E100" s="565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83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4">
        <v>4680115887718</v>
      </c>
      <c r="E101" s="565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4">
        <v>4680115880269</v>
      </c>
      <c r="E102" s="565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/>
      <c r="M102" s="33" t="s">
        <v>81</v>
      </c>
      <c r="N102" s="33"/>
      <c r="O102" s="32">
        <v>50</v>
      </c>
      <c r="P102" s="8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4">
        <v>4680115880429</v>
      </c>
      <c r="E103" s="565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113</v>
      </c>
      <c r="M103" s="33" t="s">
        <v>81</v>
      </c>
      <c r="N103" s="33"/>
      <c r="O103" s="32">
        <v>50</v>
      </c>
      <c r="P103" s="6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83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4">
        <v>4680115881457</v>
      </c>
      <c r="E104" s="565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81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1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customHeight="1" x14ac:dyDescent="0.25">
      <c r="A107" s="566" t="s">
        <v>138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4"/>
      <c r="AB107" s="544"/>
      <c r="AC107" s="544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4">
        <v>4680115881488</v>
      </c>
      <c r="E108" s="565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6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4">
        <v>4680115887664</v>
      </c>
      <c r="E109" s="565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4">
        <v>4680115882775</v>
      </c>
      <c r="E110" s="565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4">
        <v>4680115880658</v>
      </c>
      <c r="E111" s="565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0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1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66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4"/>
      <c r="AB114" s="544"/>
      <c r="AC114" s="544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4">
        <v>4607091385168</v>
      </c>
      <c r="E115" s="565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/>
      <c r="M115" s="33" t="s">
        <v>88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80</v>
      </c>
      <c r="Y115" s="550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219</v>
      </c>
      <c r="AG115" s="64"/>
      <c r="AJ115" s="68"/>
      <c r="AK115" s="68">
        <v>0</v>
      </c>
      <c r="BB115" s="162" t="s">
        <v>1</v>
      </c>
      <c r="BM115" s="64">
        <f>IFERROR(X115*I115/H115,"0")</f>
        <v>84.819753086419752</v>
      </c>
      <c r="BN115" s="64">
        <f>IFERROR(Y115*I115/H115,"0")</f>
        <v>85.88</v>
      </c>
      <c r="BO115" s="64">
        <f>IFERROR(1/J115*(X115/H115),"0")</f>
        <v>0.15432098765432101</v>
      </c>
      <c r="BP115" s="64">
        <f>IFERROR(1/J115*(Y115/H115),"0")</f>
        <v>0.15625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4">
        <v>4607091383256</v>
      </c>
      <c r="E116" s="565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/>
      <c r="M116" s="33" t="s">
        <v>88</v>
      </c>
      <c r="N116" s="33"/>
      <c r="O116" s="32">
        <v>45</v>
      </c>
      <c r="P116" s="6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4">
        <v>4607091385748</v>
      </c>
      <c r="E117" s="565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/>
      <c r="M117" s="33" t="s">
        <v>88</v>
      </c>
      <c r="N117" s="33"/>
      <c r="O117" s="32">
        <v>45</v>
      </c>
      <c r="P117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10.8</v>
      </c>
      <c r="Y117" s="550">
        <f>IFERROR(IF(X117="",0,CEILING((X117/$H117),1)*$H117),"")</f>
        <v>10.8</v>
      </c>
      <c r="Z117" s="36">
        <f>IFERROR(IF(Y117=0,"",ROUNDUP(Y117/H117,0)*0.00651),"")</f>
        <v>2.6040000000000001E-2</v>
      </c>
      <c r="AA117" s="56"/>
      <c r="AB117" s="57"/>
      <c r="AC117" s="165" t="s">
        <v>219</v>
      </c>
      <c r="AG117" s="64"/>
      <c r="AJ117" s="68"/>
      <c r="AK117" s="68">
        <v>0</v>
      </c>
      <c r="BB117" s="166" t="s">
        <v>1</v>
      </c>
      <c r="BM117" s="64">
        <f>IFERROR(X117*I117/H117,"0")</f>
        <v>11.808</v>
      </c>
      <c r="BN117" s="64">
        <f>IFERROR(Y117*I117/H117,"0")</f>
        <v>11.808</v>
      </c>
      <c r="BO117" s="64">
        <f>IFERROR(1/J117*(X117/H117),"0")</f>
        <v>2.197802197802198E-2</v>
      </c>
      <c r="BP117" s="64">
        <f>IFERROR(1/J117*(Y117/H117),"0")</f>
        <v>2.197802197802198E-2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4">
        <v>4680115884533</v>
      </c>
      <c r="E118" s="565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80</v>
      </c>
      <c r="M118" s="33" t="s">
        <v>81</v>
      </c>
      <c r="N118" s="33"/>
      <c r="O118" s="32">
        <v>45</v>
      </c>
      <c r="P118" s="6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83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1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13.876543209876544</v>
      </c>
      <c r="Y119" s="551">
        <f>IFERROR(Y115/H115,"0")+IFERROR(Y116/H116,"0")+IFERROR(Y117/H117,"0")+IFERROR(Y118/H118,"0")</f>
        <v>14</v>
      </c>
      <c r="Z119" s="551">
        <f>IFERROR(IF(Z115="",0,Z115),"0")+IFERROR(IF(Z116="",0,Z116),"0")+IFERROR(IF(Z117="",0,Z117),"0")+IFERROR(IF(Z118="",0,Z118),"0")</f>
        <v>0.21584</v>
      </c>
      <c r="AA119" s="552"/>
      <c r="AB119" s="552"/>
      <c r="AC119" s="552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90.8</v>
      </c>
      <c r="Y120" s="551">
        <f>IFERROR(SUM(Y115:Y118),"0")</f>
        <v>91.8</v>
      </c>
      <c r="Z120" s="37"/>
      <c r="AA120" s="552"/>
      <c r="AB120" s="552"/>
      <c r="AC120" s="552"/>
    </row>
    <row r="121" spans="1:68" ht="14.25" customHeight="1" x14ac:dyDescent="0.25">
      <c r="A121" s="566" t="s">
        <v>163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4"/>
      <c r="AB121" s="544"/>
      <c r="AC121" s="544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4">
        <v>4680115880238</v>
      </c>
      <c r="E122" s="565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80</v>
      </c>
      <c r="M122" s="33" t="s">
        <v>81</v>
      </c>
      <c r="N122" s="33"/>
      <c r="O122" s="32">
        <v>40</v>
      </c>
      <c r="P122" s="7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83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1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67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3"/>
      <c r="AB125" s="543"/>
      <c r="AC125" s="543"/>
    </row>
    <row r="126" spans="1:68" ht="14.25" customHeight="1" x14ac:dyDescent="0.25">
      <c r="A126" s="566" t="s">
        <v>103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4"/>
      <c r="AB126" s="544"/>
      <c r="AC126" s="544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4">
        <v>4680115882577</v>
      </c>
      <c r="E127" s="565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98</v>
      </c>
      <c r="N127" s="33"/>
      <c r="O127" s="32">
        <v>90</v>
      </c>
      <c r="P127" s="82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4">
        <v>4680115882577</v>
      </c>
      <c r="E128" s="565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/>
      <c r="M128" s="33" t="s">
        <v>98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1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66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4"/>
      <c r="AB131" s="544"/>
      <c r="AC131" s="544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4">
        <v>4680115883444</v>
      </c>
      <c r="E132" s="565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98</v>
      </c>
      <c r="N132" s="33"/>
      <c r="O132" s="32">
        <v>90</v>
      </c>
      <c r="P132" s="6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4">
        <v>4680115883444</v>
      </c>
      <c r="E133" s="565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/>
      <c r="M133" s="33" t="s">
        <v>98</v>
      </c>
      <c r="N133" s="33"/>
      <c r="O133" s="32">
        <v>90</v>
      </c>
      <c r="P133" s="82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1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66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4"/>
      <c r="AB136" s="544"/>
      <c r="AC136" s="544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4">
        <v>4680115882584</v>
      </c>
      <c r="E137" s="565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4">
        <v>4680115882584</v>
      </c>
      <c r="E138" s="565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/>
      <c r="M138" s="33" t="s">
        <v>98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1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67" t="s">
        <v>101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3"/>
      <c r="AB141" s="543"/>
      <c r="AC141" s="543"/>
    </row>
    <row r="142" spans="1:68" ht="14.25" customHeight="1" x14ac:dyDescent="0.25">
      <c r="A142" s="566" t="s">
        <v>103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4"/>
      <c r="AB142" s="544"/>
      <c r="AC142" s="544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4">
        <v>4680115887374</v>
      </c>
      <c r="E143" s="565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4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4">
        <v>4607091384604</v>
      </c>
      <c r="E144" s="565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/>
      <c r="M144" s="33" t="s">
        <v>108</v>
      </c>
      <c r="N144" s="33"/>
      <c r="O144" s="32">
        <v>50</v>
      </c>
      <c r="P144" s="5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1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6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4"/>
      <c r="AB147" s="544"/>
      <c r="AC147" s="544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4">
        <v>4680115887428</v>
      </c>
      <c r="E148" s="565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41" t="s">
        <v>250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4">
        <v>4680115887336</v>
      </c>
      <c r="E149" s="565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66" t="s">
        <v>255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4">
        <v>4680115887398</v>
      </c>
      <c r="E150" s="565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582" t="s">
        <v>259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4">
        <v>4607091387667</v>
      </c>
      <c r="E151" s="565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/>
      <c r="M151" s="33" t="s">
        <v>108</v>
      </c>
      <c r="N151" s="33"/>
      <c r="O151" s="32">
        <v>40</v>
      </c>
      <c r="P151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4">
        <v>4607091387636</v>
      </c>
      <c r="E152" s="565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9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4">
        <v>4607091382426</v>
      </c>
      <c r="E153" s="565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/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1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customHeight="1" x14ac:dyDescent="0.25">
      <c r="A156" s="566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4"/>
      <c r="AB156" s="544"/>
      <c r="AC156" s="544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4">
        <v>4680115887459</v>
      </c>
      <c r="E157" s="565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81</v>
      </c>
      <c r="N157" s="33"/>
      <c r="O157" s="32">
        <v>45</v>
      </c>
      <c r="P157" s="57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1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716" t="s">
        <v>273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48"/>
      <c r="AB160" s="48"/>
      <c r="AC160" s="48"/>
    </row>
    <row r="161" spans="1:68" ht="16.5" customHeight="1" x14ac:dyDescent="0.25">
      <c r="A161" s="567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3"/>
      <c r="AB161" s="543"/>
      <c r="AC161" s="543"/>
    </row>
    <row r="162" spans="1:68" ht="14.25" customHeight="1" x14ac:dyDescent="0.25">
      <c r="A162" s="566" t="s">
        <v>138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4"/>
      <c r="AB162" s="544"/>
      <c r="AC162" s="544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4">
        <v>4680115886223</v>
      </c>
      <c r="E163" s="565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1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6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4"/>
      <c r="AB166" s="544"/>
      <c r="AC166" s="544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4">
        <v>4680115880993</v>
      </c>
      <c r="E167" s="565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83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4">
        <v>4680115881761</v>
      </c>
      <c r="E168" s="565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4">
        <v>4680115881563</v>
      </c>
      <c r="E169" s="565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113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25</v>
      </c>
      <c r="Y169" s="550">
        <f t="shared" si="10"/>
        <v>25.200000000000003</v>
      </c>
      <c r="Z169" s="36">
        <f>IFERROR(IF(Y169=0,"",ROUNDUP(Y169/H169,0)*0.00902),"")</f>
        <v>5.4120000000000001E-2</v>
      </c>
      <c r="AA169" s="56"/>
      <c r="AB169" s="57"/>
      <c r="AC169" s="207" t="s">
        <v>286</v>
      </c>
      <c r="AG169" s="64"/>
      <c r="AJ169" s="68" t="s">
        <v>83</v>
      </c>
      <c r="AK169" s="68">
        <v>50.4</v>
      </c>
      <c r="BB169" s="208" t="s">
        <v>1</v>
      </c>
      <c r="BM169" s="64">
        <f t="shared" si="11"/>
        <v>26.130952380952376</v>
      </c>
      <c r="BN169" s="64">
        <f t="shared" si="12"/>
        <v>26.34</v>
      </c>
      <c r="BO169" s="64">
        <f t="shared" si="13"/>
        <v>4.5093795093795096E-2</v>
      </c>
      <c r="BP169" s="64">
        <f t="shared" si="14"/>
        <v>4.5454545454545456E-2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4">
        <v>4680115887565</v>
      </c>
      <c r="E170" s="565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4">
        <v>4680115880986</v>
      </c>
      <c r="E171" s="565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4301031443</v>
      </c>
      <c r="D172" s="564">
        <v>4680115887213</v>
      </c>
      <c r="E172" s="565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8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294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4301031205</v>
      </c>
      <c r="D173" s="564">
        <v>4680115881785</v>
      </c>
      <c r="E173" s="565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297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83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4">
        <v>4680115886537</v>
      </c>
      <c r="E174" s="565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4">
        <v>4680115887596</v>
      </c>
      <c r="E175" s="565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4">
        <v>4680115881679</v>
      </c>
      <c r="E176" s="565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297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83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4">
        <v>4680115880191</v>
      </c>
      <c r="E177" s="565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4">
        <v>4680115883963</v>
      </c>
      <c r="E178" s="565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1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5.9523809523809526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6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5.4120000000000001E-2</v>
      </c>
      <c r="AA179" s="552"/>
      <c r="AB179" s="552"/>
      <c r="AC179" s="552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25</v>
      </c>
      <c r="Y180" s="551">
        <f>IFERROR(SUM(Y167:Y178),"0")</f>
        <v>25.200000000000003</v>
      </c>
      <c r="Z180" s="37"/>
      <c r="AA180" s="552"/>
      <c r="AB180" s="552"/>
      <c r="AC180" s="552"/>
    </row>
    <row r="181" spans="1:68" ht="14.25" customHeight="1" x14ac:dyDescent="0.25">
      <c r="A181" s="566" t="s">
        <v>95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4"/>
      <c r="AB181" s="544"/>
      <c r="AC181" s="544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4">
        <v>4680115886780</v>
      </c>
      <c r="E182" s="565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4">
        <v>4680115886742</v>
      </c>
      <c r="E183" s="565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4">
        <v>4680115886766</v>
      </c>
      <c r="E184" s="565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63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66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4"/>
      <c r="AB187" s="544"/>
      <c r="AC187" s="544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4">
        <v>4680115886797</v>
      </c>
      <c r="E188" s="565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1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67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3"/>
      <c r="AB191" s="543"/>
      <c r="AC191" s="543"/>
    </row>
    <row r="192" spans="1:68" ht="14.25" customHeight="1" x14ac:dyDescent="0.25">
      <c r="A192" s="566" t="s">
        <v>103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4">
        <v>4680115881402</v>
      </c>
      <c r="E193" s="565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4">
        <v>4680115881396</v>
      </c>
      <c r="E194" s="565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/>
      <c r="M194" s="33" t="s">
        <v>108</v>
      </c>
      <c r="N194" s="33"/>
      <c r="O194" s="32">
        <v>55</v>
      </c>
      <c r="P194" s="6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1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63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6" t="s">
        <v>138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4"/>
      <c r="AB197" s="544"/>
      <c r="AC197" s="544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4">
        <v>4680115882935</v>
      </c>
      <c r="E198" s="565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4">
        <v>4680115880764</v>
      </c>
      <c r="E199" s="565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1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63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6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4"/>
      <c r="AB202" s="544"/>
      <c r="AC202" s="544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4">
        <v>4680115882683</v>
      </c>
      <c r="E203" s="565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300</v>
      </c>
      <c r="Y203" s="550">
        <f t="shared" ref="Y203:Y210" si="15">IFERROR(IF(X203="",0,CEILING((X203/$H203),1)*$H203),"")</f>
        <v>302.40000000000003</v>
      </c>
      <c r="Z203" s="36">
        <f>IFERROR(IF(Y203=0,"",ROUNDUP(Y203/H203,0)*0.00902),"")</f>
        <v>0.50512000000000001</v>
      </c>
      <c r="AA203" s="56"/>
      <c r="AB203" s="57"/>
      <c r="AC203" s="243" t="s">
        <v>337</v>
      </c>
      <c r="AG203" s="64"/>
      <c r="AJ203" s="68" t="s">
        <v>83</v>
      </c>
      <c r="AK203" s="68">
        <v>64.8</v>
      </c>
      <c r="BB203" s="244" t="s">
        <v>1</v>
      </c>
      <c r="BM203" s="64">
        <f t="shared" ref="BM203:BM210" si="16">IFERROR(X203*I203/H203,"0")</f>
        <v>310.55555555555554</v>
      </c>
      <c r="BN203" s="64">
        <f t="shared" ref="BN203:BN210" si="17">IFERROR(Y203*I203/H203,"0")</f>
        <v>313.04000000000002</v>
      </c>
      <c r="BO203" s="64">
        <f t="shared" ref="BO203:BO210" si="18">IFERROR(1/J203*(X203/H203),"0")</f>
        <v>0.42087542087542085</v>
      </c>
      <c r="BP203" s="64">
        <f t="shared" ref="BP203:BP210" si="19">IFERROR(1/J203*(Y203/H203),"0")</f>
        <v>0.42424242424242425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4">
        <v>4680115882690</v>
      </c>
      <c r="E204" s="565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60</v>
      </c>
      <c r="Y204" s="550">
        <f t="shared" si="15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340</v>
      </c>
      <c r="AG204" s="64"/>
      <c r="AJ204" s="68" t="s">
        <v>83</v>
      </c>
      <c r="AK204" s="68">
        <v>64.8</v>
      </c>
      <c r="BB204" s="246" t="s">
        <v>1</v>
      </c>
      <c r="BM204" s="64">
        <f t="shared" si="16"/>
        <v>62.1111111111111</v>
      </c>
      <c r="BN204" s="64">
        <f t="shared" si="17"/>
        <v>67.08</v>
      </c>
      <c r="BO204" s="64">
        <f t="shared" si="18"/>
        <v>8.4175084175084181E-2</v>
      </c>
      <c r="BP204" s="64">
        <f t="shared" si="19"/>
        <v>9.0909090909090925E-2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4">
        <v>4680115882669</v>
      </c>
      <c r="E205" s="565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113</v>
      </c>
      <c r="M205" s="33" t="s">
        <v>68</v>
      </c>
      <c r="N205" s="33"/>
      <c r="O205" s="32">
        <v>40</v>
      </c>
      <c r="P205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120</v>
      </c>
      <c r="Y205" s="550">
        <f t="shared" si="15"/>
        <v>124.2</v>
      </c>
      <c r="Z205" s="36">
        <f>IFERROR(IF(Y205=0,"",ROUNDUP(Y205/H205,0)*0.00902),"")</f>
        <v>0.20746000000000001</v>
      </c>
      <c r="AA205" s="56"/>
      <c r="AB205" s="57"/>
      <c r="AC205" s="247" t="s">
        <v>343</v>
      </c>
      <c r="AG205" s="64"/>
      <c r="AJ205" s="68" t="s">
        <v>83</v>
      </c>
      <c r="AK205" s="68">
        <v>64.8</v>
      </c>
      <c r="BB205" s="248" t="s">
        <v>1</v>
      </c>
      <c r="BM205" s="64">
        <f t="shared" si="16"/>
        <v>124.2222222222222</v>
      </c>
      <c r="BN205" s="64">
        <f t="shared" si="17"/>
        <v>128.57</v>
      </c>
      <c r="BO205" s="64">
        <f t="shared" si="18"/>
        <v>0.16835016835016836</v>
      </c>
      <c r="BP205" s="64">
        <f t="shared" si="19"/>
        <v>0.17424242424242425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4">
        <v>4680115882676</v>
      </c>
      <c r="E206" s="565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113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90</v>
      </c>
      <c r="Y206" s="550">
        <f t="shared" si="15"/>
        <v>91.800000000000011</v>
      </c>
      <c r="Z206" s="36">
        <f>IFERROR(IF(Y206=0,"",ROUNDUP(Y206/H206,0)*0.00902),"")</f>
        <v>0.15334</v>
      </c>
      <c r="AA206" s="56"/>
      <c r="AB206" s="57"/>
      <c r="AC206" s="249" t="s">
        <v>346</v>
      </c>
      <c r="AG206" s="64"/>
      <c r="AJ206" s="68" t="s">
        <v>83</v>
      </c>
      <c r="AK206" s="68">
        <v>64.8</v>
      </c>
      <c r="BB206" s="250" t="s">
        <v>1</v>
      </c>
      <c r="BM206" s="64">
        <f t="shared" si="16"/>
        <v>93.166666666666657</v>
      </c>
      <c r="BN206" s="64">
        <f t="shared" si="17"/>
        <v>95.03</v>
      </c>
      <c r="BO206" s="64">
        <f t="shared" si="18"/>
        <v>0.12626262626262624</v>
      </c>
      <c r="BP206" s="64">
        <f t="shared" si="19"/>
        <v>0.12878787878787878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4">
        <v>4680115884014</v>
      </c>
      <c r="E207" s="565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4">
        <v>4680115884007</v>
      </c>
      <c r="E208" s="565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297</v>
      </c>
      <c r="M208" s="33" t="s">
        <v>68</v>
      </c>
      <c r="N208" s="33"/>
      <c r="O208" s="32">
        <v>40</v>
      </c>
      <c r="P208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83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4">
        <v>4680115884038</v>
      </c>
      <c r="E209" s="565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297</v>
      </c>
      <c r="M209" s="33" t="s">
        <v>68</v>
      </c>
      <c r="N209" s="33"/>
      <c r="O209" s="32">
        <v>40</v>
      </c>
      <c r="P209" s="6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 t="s">
        <v>83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4">
        <v>4680115884021</v>
      </c>
      <c r="E210" s="565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297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83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1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63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105.55555555555554</v>
      </c>
      <c r="Y211" s="551">
        <f>IFERROR(Y203/H203,"0")+IFERROR(Y204/H204,"0")+IFERROR(Y205/H205,"0")+IFERROR(Y206/H206,"0")+IFERROR(Y207/H207,"0")+IFERROR(Y208/H208,"0")+IFERROR(Y209/H209,"0")+IFERROR(Y210/H210,"0")</f>
        <v>108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0.97416000000000003</v>
      </c>
      <c r="AA211" s="552"/>
      <c r="AB211" s="552"/>
      <c r="AC211" s="552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570</v>
      </c>
      <c r="Y212" s="551">
        <f>IFERROR(SUM(Y203:Y210),"0")</f>
        <v>583.20000000000005</v>
      </c>
      <c r="Z212" s="37"/>
      <c r="AA212" s="552"/>
      <c r="AB212" s="552"/>
      <c r="AC212" s="552"/>
    </row>
    <row r="213" spans="1:68" ht="14.25" customHeight="1" x14ac:dyDescent="0.25">
      <c r="A213" s="566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4"/>
      <c r="AB213" s="544"/>
      <c r="AC213" s="544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4">
        <v>4680115881594</v>
      </c>
      <c r="E214" s="565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81</v>
      </c>
      <c r="N214" s="33"/>
      <c r="O214" s="32">
        <v>40</v>
      </c>
      <c r="P214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25</v>
      </c>
      <c r="Y214" s="550">
        <f t="shared" ref="Y214:Y222" si="20">IFERROR(IF(X214="",0,CEILING((X214/$H214),1)*$H214),"")</f>
        <v>32.4</v>
      </c>
      <c r="Z214" s="36">
        <f>IFERROR(IF(Y214=0,"",ROUNDUP(Y214/H214,0)*0.01898),"")</f>
        <v>7.5920000000000001E-2</v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26.524691358024693</v>
      </c>
      <c r="BN214" s="64">
        <f t="shared" ref="BN214:BN222" si="22">IFERROR(Y214*I214/H214,"0")</f>
        <v>34.375999999999998</v>
      </c>
      <c r="BO214" s="64">
        <f t="shared" ref="BO214:BO222" si="23">IFERROR(1/J214*(X214/H214),"0")</f>
        <v>4.8225308641975308E-2</v>
      </c>
      <c r="BP214" s="64">
        <f t="shared" ref="BP214:BP222" si="24">IFERROR(1/J214*(Y214/H214),"0")</f>
        <v>6.25E-2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4">
        <v>4680115881617</v>
      </c>
      <c r="E215" s="565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4">
        <v>4680115880573</v>
      </c>
      <c r="E216" s="565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81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83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4">
        <v>4680115882195</v>
      </c>
      <c r="E217" s="565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80</v>
      </c>
      <c r="M217" s="33" t="s">
        <v>81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83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4">
        <v>4680115882607</v>
      </c>
      <c r="E218" s="565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/>
      <c r="M218" s="33" t="s">
        <v>88</v>
      </c>
      <c r="N218" s="33"/>
      <c r="O218" s="32">
        <v>45</v>
      </c>
      <c r="P218" s="8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4">
        <v>4680115880092</v>
      </c>
      <c r="E219" s="565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80</v>
      </c>
      <c r="M219" s="33" t="s">
        <v>81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14.4</v>
      </c>
      <c r="Y219" s="550">
        <f t="shared" si="20"/>
        <v>14.399999999999999</v>
      </c>
      <c r="Z219" s="36">
        <f t="shared" si="25"/>
        <v>3.9059999999999997E-2</v>
      </c>
      <c r="AA219" s="56"/>
      <c r="AB219" s="57"/>
      <c r="AC219" s="269" t="s">
        <v>363</v>
      </c>
      <c r="AG219" s="64"/>
      <c r="AJ219" s="68" t="s">
        <v>83</v>
      </c>
      <c r="AK219" s="68">
        <v>33.6</v>
      </c>
      <c r="BB219" s="270" t="s">
        <v>1</v>
      </c>
      <c r="BM219" s="64">
        <f t="shared" si="21"/>
        <v>15.912000000000001</v>
      </c>
      <c r="BN219" s="64">
        <f t="shared" si="22"/>
        <v>15.912000000000001</v>
      </c>
      <c r="BO219" s="64">
        <f t="shared" si="23"/>
        <v>3.2967032967032968E-2</v>
      </c>
      <c r="BP219" s="64">
        <f t="shared" si="24"/>
        <v>3.2967032967032968E-2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4">
        <v>4680115880221</v>
      </c>
      <c r="E220" s="565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45</v>
      </c>
      <c r="P220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4">
        <v>4680115880504</v>
      </c>
      <c r="E221" s="565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80</v>
      </c>
      <c r="M221" s="33" t="s">
        <v>88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83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4">
        <v>4680115882164</v>
      </c>
      <c r="E222" s="565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80</v>
      </c>
      <c r="M222" s="33" t="s">
        <v>81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83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1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63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9.0864197530864192</v>
      </c>
      <c r="Y223" s="551">
        <f>IFERROR(Y214/H214,"0")+IFERROR(Y215/H215,"0")+IFERROR(Y216/H216,"0")+IFERROR(Y217/H217,"0")+IFERROR(Y218/H218,"0")+IFERROR(Y219/H219,"0")+IFERROR(Y220/H220,"0")+IFERROR(Y221/H221,"0")+IFERROR(Y222/H222,"0")</f>
        <v>10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0.11498</v>
      </c>
      <c r="AA223" s="552"/>
      <c r="AB223" s="552"/>
      <c r="AC223" s="552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39.4</v>
      </c>
      <c r="Y224" s="551">
        <f>IFERROR(SUM(Y214:Y222),"0")</f>
        <v>46.8</v>
      </c>
      <c r="Z224" s="37"/>
      <c r="AA224" s="552"/>
      <c r="AB224" s="552"/>
      <c r="AC224" s="552"/>
    </row>
    <row r="225" spans="1:68" ht="14.25" customHeight="1" x14ac:dyDescent="0.25">
      <c r="A225" s="566" t="s">
        <v>163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4"/>
      <c r="AB225" s="544"/>
      <c r="AC225" s="544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4">
        <v>4680115880818</v>
      </c>
      <c r="E226" s="565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80</v>
      </c>
      <c r="M226" s="33" t="s">
        <v>88</v>
      </c>
      <c r="N226" s="33"/>
      <c r="O226" s="32">
        <v>40</v>
      </c>
      <c r="P226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83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4">
        <v>4680115880801</v>
      </c>
      <c r="E227" s="565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80</v>
      </c>
      <c r="M227" s="33" t="s">
        <v>81</v>
      </c>
      <c r="N227" s="33"/>
      <c r="O227" s="32">
        <v>40</v>
      </c>
      <c r="P227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83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1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63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67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3"/>
      <c r="AB230" s="543"/>
      <c r="AC230" s="543"/>
    </row>
    <row r="231" spans="1:68" ht="14.25" customHeight="1" x14ac:dyDescent="0.25">
      <c r="A231" s="566" t="s">
        <v>103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4">
        <v>4680115884137</v>
      </c>
      <c r="E232" s="565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4">
        <v>4680115884236</v>
      </c>
      <c r="E233" s="565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4">
        <v>4680115884175</v>
      </c>
      <c r="E234" s="565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4301012196</v>
      </c>
      <c r="D235" s="564">
        <v>4680115884144</v>
      </c>
      <c r="E235" s="565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/>
      <c r="M235" s="33" t="s">
        <v>108</v>
      </c>
      <c r="N235" s="33"/>
      <c r="O235" s="32">
        <v>55</v>
      </c>
      <c r="P235" s="75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4301011824</v>
      </c>
      <c r="D236" s="564">
        <v>4680115884144</v>
      </c>
      <c r="E236" s="565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4">
        <v>4680115886551</v>
      </c>
      <c r="E237" s="565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4">
        <v>4680115887282</v>
      </c>
      <c r="E238" s="565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4301012195</v>
      </c>
      <c r="D239" s="564">
        <v>4680115884205</v>
      </c>
      <c r="E239" s="565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4301011722</v>
      </c>
      <c r="D240" s="564">
        <v>4680115884205</v>
      </c>
      <c r="E240" s="565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 t="s">
        <v>113</v>
      </c>
      <c r="M240" s="33" t="s">
        <v>108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 t="s">
        <v>83</v>
      </c>
      <c r="AK240" s="68">
        <v>48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1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63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66" t="s">
        <v>138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4"/>
      <c r="AB243" s="544"/>
      <c r="AC243" s="544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4">
        <v>4680115885981</v>
      </c>
      <c r="E244" s="565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81</v>
      </c>
      <c r="N244" s="33"/>
      <c r="O244" s="32">
        <v>50</v>
      </c>
      <c r="P244" s="55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1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3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66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4"/>
      <c r="AB247" s="544"/>
      <c r="AC247" s="544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4">
        <v>4680115886803</v>
      </c>
      <c r="E248" s="565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1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63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66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4"/>
      <c r="AB251" s="544"/>
      <c r="AC251" s="544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4">
        <v>4680115886704</v>
      </c>
      <c r="E252" s="565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4">
        <v>4680115886681</v>
      </c>
      <c r="E253" s="565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4">
        <v>4680115886735</v>
      </c>
      <c r="E254" s="565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4">
        <v>4680115886728</v>
      </c>
      <c r="E255" s="565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4">
        <v>4680115886711</v>
      </c>
      <c r="E256" s="565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63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67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3"/>
      <c r="AB259" s="543"/>
      <c r="AC259" s="543"/>
    </row>
    <row r="260" spans="1:68" ht="14.25" customHeight="1" x14ac:dyDescent="0.25">
      <c r="A260" s="566" t="s">
        <v>103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4">
        <v>4680115885837</v>
      </c>
      <c r="E261" s="565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/>
      <c r="M261" s="33" t="s">
        <v>108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4">
        <v>4680115885851</v>
      </c>
      <c r="E262" s="565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4">
        <v>4680115885806</v>
      </c>
      <c r="E263" s="565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/>
      <c r="M263" s="33" t="s">
        <v>108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100</v>
      </c>
      <c r="Y263" s="550">
        <f>IFERROR(IF(X263="",0,CEILING((X263/$H263),1)*$H263),"")</f>
        <v>108</v>
      </c>
      <c r="Z263" s="36">
        <f>IFERROR(IF(Y263=0,"",ROUNDUP(Y263/H263,0)*0.01898),"")</f>
        <v>0.1898</v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103.79629629629629</v>
      </c>
      <c r="BN263" s="64">
        <f>IFERROR(Y263*I263/H263,"0")</f>
        <v>112.1</v>
      </c>
      <c r="BO263" s="64">
        <f>IFERROR(1/J263*(X263/H263),"0")</f>
        <v>0.14467592592592593</v>
      </c>
      <c r="BP263" s="64">
        <f>IFERROR(1/J263*(Y263/H263),"0")</f>
        <v>0.15625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4">
        <v>4680115885844</v>
      </c>
      <c r="E264" s="565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4">
        <v>4680115885820</v>
      </c>
      <c r="E265" s="565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/>
      <c r="M265" s="33" t="s">
        <v>108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1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63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9.2592592592592595</v>
      </c>
      <c r="Y266" s="551">
        <f>IFERROR(Y261/H261,"0")+IFERROR(Y262/H262,"0")+IFERROR(Y263/H263,"0")+IFERROR(Y264/H264,"0")+IFERROR(Y265/H265,"0")</f>
        <v>10</v>
      </c>
      <c r="Z266" s="551">
        <f>IFERROR(IF(Z261="",0,Z261),"0")+IFERROR(IF(Z262="",0,Z262),"0")+IFERROR(IF(Z263="",0,Z263),"0")+IFERROR(IF(Z264="",0,Z264),"0")+IFERROR(IF(Z265="",0,Z265),"0")</f>
        <v>0.1898</v>
      </c>
      <c r="AA266" s="552"/>
      <c r="AB266" s="552"/>
      <c r="AC266" s="552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100</v>
      </c>
      <c r="Y267" s="551">
        <f>IFERROR(SUM(Y261:Y265),"0")</f>
        <v>108</v>
      </c>
      <c r="Z267" s="37"/>
      <c r="AA267" s="552"/>
      <c r="AB267" s="552"/>
      <c r="AC267" s="552"/>
    </row>
    <row r="268" spans="1:68" ht="16.5" customHeight="1" x14ac:dyDescent="0.25">
      <c r="A268" s="567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3"/>
      <c r="AB268" s="543"/>
      <c r="AC268" s="543"/>
    </row>
    <row r="269" spans="1:68" ht="14.25" customHeight="1" x14ac:dyDescent="0.25">
      <c r="A269" s="566" t="s">
        <v>103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4">
        <v>4607091383423</v>
      </c>
      <c r="E270" s="565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81</v>
      </c>
      <c r="N270" s="33"/>
      <c r="O270" s="32">
        <v>35</v>
      </c>
      <c r="P270" s="81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4">
        <v>4680115886957</v>
      </c>
      <c r="E271" s="565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81</v>
      </c>
      <c r="N271" s="33"/>
      <c r="O271" s="32">
        <v>30</v>
      </c>
      <c r="P271" s="6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4">
        <v>4680115885660</v>
      </c>
      <c r="E272" s="565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81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4">
        <v>4680115886773</v>
      </c>
      <c r="E273" s="565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4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1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3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7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3"/>
      <c r="AB276" s="543"/>
      <c r="AC276" s="543"/>
    </row>
    <row r="277" spans="1:68" ht="14.25" customHeight="1" x14ac:dyDescent="0.25">
      <c r="A277" s="566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4">
        <v>4680115886186</v>
      </c>
      <c r="E278" s="565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81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4">
        <v>4680115881228</v>
      </c>
      <c r="E279" s="565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 t="s">
        <v>80</v>
      </c>
      <c r="M279" s="33" t="s">
        <v>88</v>
      </c>
      <c r="N279" s="33"/>
      <c r="O279" s="32">
        <v>40</v>
      </c>
      <c r="P279" s="7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83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4">
        <v>4680115881211</v>
      </c>
      <c r="E280" s="565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/>
      <c r="M280" s="33" t="s">
        <v>81</v>
      </c>
      <c r="N280" s="33"/>
      <c r="O280" s="32">
        <v>45</v>
      </c>
      <c r="P280" s="6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1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customHeight="1" x14ac:dyDescent="0.25">
      <c r="A283" s="567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3"/>
      <c r="AB283" s="543"/>
      <c r="AC283" s="543"/>
    </row>
    <row r="284" spans="1:68" ht="14.25" customHeight="1" x14ac:dyDescent="0.25">
      <c r="A284" s="566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4">
        <v>4680115880344</v>
      </c>
      <c r="E285" s="565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4">
        <v>4680115886919</v>
      </c>
      <c r="E286" s="565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1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63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6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4"/>
      <c r="AB289" s="544"/>
      <c r="AC289" s="544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4">
        <v>4680115884618</v>
      </c>
      <c r="E290" s="565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/>
      <c r="M290" s="33" t="s">
        <v>81</v>
      </c>
      <c r="N290" s="33"/>
      <c r="O290" s="32">
        <v>45</v>
      </c>
      <c r="P290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4">
        <v>4680115887114</v>
      </c>
      <c r="E291" s="565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81</v>
      </c>
      <c r="N291" s="33"/>
      <c r="O291" s="32">
        <v>45</v>
      </c>
      <c r="P291" s="85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1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63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67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3"/>
      <c r="AB294" s="543"/>
      <c r="AC294" s="543"/>
    </row>
    <row r="295" spans="1:68" ht="14.25" customHeight="1" x14ac:dyDescent="0.25">
      <c r="A295" s="566" t="s">
        <v>103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4">
        <v>4607091386004</v>
      </c>
      <c r="E296" s="565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4">
        <v>4680115885615</v>
      </c>
      <c r="E297" s="565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/>
      <c r="M297" s="33" t="s">
        <v>81</v>
      </c>
      <c r="N297" s="33"/>
      <c r="O297" s="32">
        <v>55</v>
      </c>
      <c r="P297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4">
        <v>4680115885646</v>
      </c>
      <c r="E298" s="565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4">
        <v>4680115885554</v>
      </c>
      <c r="E299" s="565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81</v>
      </c>
      <c r="N299" s="33"/>
      <c r="O299" s="32">
        <v>55</v>
      </c>
      <c r="P299" s="7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4">
        <v>4680115885622</v>
      </c>
      <c r="E300" s="565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/>
      <c r="M300" s="33" t="s">
        <v>108</v>
      </c>
      <c r="N300" s="33"/>
      <c r="O300" s="32">
        <v>55</v>
      </c>
      <c r="P300" s="68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4">
        <v>4680115885608</v>
      </c>
      <c r="E301" s="565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/>
      <c r="M301" s="33" t="s">
        <v>108</v>
      </c>
      <c r="N301" s="33"/>
      <c r="O301" s="32">
        <v>55</v>
      </c>
      <c r="P301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8" t="s">
        <v>75</v>
      </c>
      <c r="Q302" s="569"/>
      <c r="R302" s="569"/>
      <c r="S302" s="569"/>
      <c r="T302" s="569"/>
      <c r="U302" s="569"/>
      <c r="V302" s="570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8" t="s">
        <v>75</v>
      </c>
      <c r="Q303" s="569"/>
      <c r="R303" s="569"/>
      <c r="S303" s="569"/>
      <c r="T303" s="569"/>
      <c r="U303" s="569"/>
      <c r="V303" s="570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customHeight="1" x14ac:dyDescent="0.25">
      <c r="A304" s="566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4"/>
      <c r="AB304" s="544"/>
      <c r="AC304" s="544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4">
        <v>4607091387193</v>
      </c>
      <c r="E305" s="565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/>
      <c r="M305" s="33" t="s">
        <v>68</v>
      </c>
      <c r="N305" s="33"/>
      <c r="O305" s="32">
        <v>35</v>
      </c>
      <c r="P305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60</v>
      </c>
      <c r="Y305" s="550">
        <f t="shared" ref="Y305:Y310" si="36">IFERROR(IF(X305="",0,CEILING((X305/$H305),1)*$H305),"")</f>
        <v>63</v>
      </c>
      <c r="Z305" s="36">
        <f>IFERROR(IF(Y305=0,"",ROUNDUP(Y305/H305,0)*0.00902),"")</f>
        <v>0.1353</v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ref="BM305:BM310" si="37">IFERROR(X305*I305/H305,"0")</f>
        <v>63.571428571428569</v>
      </c>
      <c r="BN305" s="64">
        <f t="shared" ref="BN305:BN310" si="38">IFERROR(Y305*I305/H305,"0")</f>
        <v>66.75</v>
      </c>
      <c r="BO305" s="64">
        <f t="shared" ref="BO305:BO310" si="39">IFERROR(1/J305*(X305/H305),"0")</f>
        <v>0.10822510822510822</v>
      </c>
      <c r="BP305" s="64">
        <f t="shared" ref="BP305:BP310" si="40">IFERROR(1/J305*(Y305/H305),"0")</f>
        <v>0.11363636363636365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4">
        <v>4607091387230</v>
      </c>
      <c r="E306" s="565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/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4">
        <v>4607091387292</v>
      </c>
      <c r="E307" s="565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4">
        <v>4607091387285</v>
      </c>
      <c r="E308" s="565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4">
        <v>4607091389845</v>
      </c>
      <c r="E309" s="565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297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83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4">
        <v>4607091383836</v>
      </c>
      <c r="E310" s="565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80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83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8" t="s">
        <v>75</v>
      </c>
      <c r="Q311" s="569"/>
      <c r="R311" s="569"/>
      <c r="S311" s="569"/>
      <c r="T311" s="569"/>
      <c r="U311" s="569"/>
      <c r="V311" s="570"/>
      <c r="W311" s="37" t="s">
        <v>76</v>
      </c>
      <c r="X311" s="551">
        <f>IFERROR(X305/H305,"0")+IFERROR(X306/H306,"0")+IFERROR(X307/H307,"0")+IFERROR(X308/H308,"0")+IFERROR(X309/H309,"0")+IFERROR(X310/H310,"0")</f>
        <v>14.285714285714285</v>
      </c>
      <c r="Y311" s="551">
        <f>IFERROR(Y305/H305,"0")+IFERROR(Y306/H306,"0")+IFERROR(Y307/H307,"0")+IFERROR(Y308/H308,"0")+IFERROR(Y309/H309,"0")+IFERROR(Y310/H310,"0")</f>
        <v>15</v>
      </c>
      <c r="Z311" s="551">
        <f>IFERROR(IF(Z305="",0,Z305),"0")+IFERROR(IF(Z306="",0,Z306),"0")+IFERROR(IF(Z307="",0,Z307),"0")+IFERROR(IF(Z308="",0,Z308),"0")+IFERROR(IF(Z309="",0,Z309),"0")+IFERROR(IF(Z310="",0,Z310),"0")</f>
        <v>0.1353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8" t="s">
        <v>75</v>
      </c>
      <c r="Q312" s="569"/>
      <c r="R312" s="569"/>
      <c r="S312" s="569"/>
      <c r="T312" s="569"/>
      <c r="U312" s="569"/>
      <c r="V312" s="570"/>
      <c r="W312" s="37" t="s">
        <v>69</v>
      </c>
      <c r="X312" s="551">
        <f>IFERROR(SUM(X305:X310),"0")</f>
        <v>60</v>
      </c>
      <c r="Y312" s="551">
        <f>IFERROR(SUM(Y305:Y310),"0")</f>
        <v>63</v>
      </c>
      <c r="Z312" s="37"/>
      <c r="AA312" s="552"/>
      <c r="AB312" s="552"/>
      <c r="AC312" s="552"/>
    </row>
    <row r="313" spans="1:68" ht="14.25" customHeight="1" x14ac:dyDescent="0.25">
      <c r="A313" s="566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4"/>
      <c r="AB313" s="544"/>
      <c r="AC313" s="544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4">
        <v>4607091387766</v>
      </c>
      <c r="E314" s="565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/>
      <c r="M314" s="33" t="s">
        <v>81</v>
      </c>
      <c r="N314" s="33"/>
      <c r="O314" s="32">
        <v>40</v>
      </c>
      <c r="P314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4">
        <v>4607091387957</v>
      </c>
      <c r="E315" s="565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81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4">
        <v>4607091387964</v>
      </c>
      <c r="E316" s="565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81</v>
      </c>
      <c r="N316" s="33"/>
      <c r="O316" s="32">
        <v>40</v>
      </c>
      <c r="P316" s="6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4">
        <v>4680115884588</v>
      </c>
      <c r="E317" s="565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81</v>
      </c>
      <c r="N317" s="33"/>
      <c r="O317" s="32">
        <v>40</v>
      </c>
      <c r="P317" s="8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8" t="s">
        <v>75</v>
      </c>
      <c r="Q318" s="569"/>
      <c r="R318" s="569"/>
      <c r="S318" s="569"/>
      <c r="T318" s="569"/>
      <c r="U318" s="569"/>
      <c r="V318" s="570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8" t="s">
        <v>75</v>
      </c>
      <c r="Q319" s="569"/>
      <c r="R319" s="569"/>
      <c r="S319" s="569"/>
      <c r="T319" s="569"/>
      <c r="U319" s="569"/>
      <c r="V319" s="570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6" t="s">
        <v>163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4"/>
      <c r="AB320" s="544"/>
      <c r="AC320" s="544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4">
        <v>4607091380880</v>
      </c>
      <c r="E321" s="565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81</v>
      </c>
      <c r="N321" s="33"/>
      <c r="O321" s="32">
        <v>30</v>
      </c>
      <c r="P321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83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4">
        <v>4607091384482</v>
      </c>
      <c r="E322" s="565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81</v>
      </c>
      <c r="N322" s="33"/>
      <c r="O322" s="32">
        <v>30</v>
      </c>
      <c r="P322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60</v>
      </c>
      <c r="Y322" s="550">
        <f>IFERROR(IF(X322="",0,CEILING((X322/$H322),1)*$H322),"")</f>
        <v>62.4</v>
      </c>
      <c r="Z322" s="36">
        <f>IFERROR(IF(Y322=0,"",ROUNDUP(Y322/H322,0)*0.01898),"")</f>
        <v>0.15184</v>
      </c>
      <c r="AA322" s="56"/>
      <c r="AB322" s="57"/>
      <c r="AC322" s="379" t="s">
        <v>524</v>
      </c>
      <c r="AG322" s="64"/>
      <c r="AJ322" s="68" t="s">
        <v>83</v>
      </c>
      <c r="AK322" s="68">
        <v>62.4</v>
      </c>
      <c r="BB322" s="380" t="s">
        <v>1</v>
      </c>
      <c r="BM322" s="64">
        <f>IFERROR(X322*I322/H322,"0")</f>
        <v>63.800000000000004</v>
      </c>
      <c r="BN322" s="64">
        <f>IFERROR(Y322*I322/H322,"0")</f>
        <v>66.352000000000004</v>
      </c>
      <c r="BO322" s="64">
        <f>IFERROR(1/J322*(X322/H322),"0")</f>
        <v>0.1201923076923077</v>
      </c>
      <c r="BP322" s="64">
        <f>IFERROR(1/J322*(Y322/H322),"0")</f>
        <v>0.125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4">
        <v>4607091380897</v>
      </c>
      <c r="E323" s="565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/>
      <c r="M323" s="33" t="s">
        <v>88</v>
      </c>
      <c r="N323" s="33"/>
      <c r="O323" s="32">
        <v>30</v>
      </c>
      <c r="P323" s="8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8" t="s">
        <v>75</v>
      </c>
      <c r="Q324" s="569"/>
      <c r="R324" s="569"/>
      <c r="S324" s="569"/>
      <c r="T324" s="569"/>
      <c r="U324" s="569"/>
      <c r="V324" s="570"/>
      <c r="W324" s="37" t="s">
        <v>76</v>
      </c>
      <c r="X324" s="551">
        <f>IFERROR(X321/H321,"0")+IFERROR(X322/H322,"0")+IFERROR(X323/H323,"0")</f>
        <v>7.6923076923076925</v>
      </c>
      <c r="Y324" s="551">
        <f>IFERROR(Y321/H321,"0")+IFERROR(Y322/H322,"0")+IFERROR(Y323/H323,"0")</f>
        <v>8</v>
      </c>
      <c r="Z324" s="551">
        <f>IFERROR(IF(Z321="",0,Z321),"0")+IFERROR(IF(Z322="",0,Z322),"0")+IFERROR(IF(Z323="",0,Z323),"0")</f>
        <v>0.15184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8" t="s">
        <v>75</v>
      </c>
      <c r="Q325" s="569"/>
      <c r="R325" s="569"/>
      <c r="S325" s="569"/>
      <c r="T325" s="569"/>
      <c r="U325" s="569"/>
      <c r="V325" s="570"/>
      <c r="W325" s="37" t="s">
        <v>69</v>
      </c>
      <c r="X325" s="551">
        <f>IFERROR(SUM(X321:X323),"0")</f>
        <v>60</v>
      </c>
      <c r="Y325" s="551">
        <f>IFERROR(SUM(Y321:Y323),"0")</f>
        <v>62.4</v>
      </c>
      <c r="Z325" s="37"/>
      <c r="AA325" s="552"/>
      <c r="AB325" s="552"/>
      <c r="AC325" s="552"/>
    </row>
    <row r="326" spans="1:68" ht="14.25" customHeight="1" x14ac:dyDescent="0.25">
      <c r="A326" s="566" t="s">
        <v>95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4"/>
      <c r="AB326" s="544"/>
      <c r="AC326" s="544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4">
        <v>4607091388381</v>
      </c>
      <c r="E327" s="565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4">
        <v>4607091388374</v>
      </c>
      <c r="E328" s="565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7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4">
        <v>4607091383102</v>
      </c>
      <c r="E329" s="565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80</v>
      </c>
      <c r="M329" s="33" t="s">
        <v>98</v>
      </c>
      <c r="N329" s="33"/>
      <c r="O329" s="32">
        <v>180</v>
      </c>
      <c r="P329" s="6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 t="s">
        <v>83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4">
        <v>4607091388404</v>
      </c>
      <c r="E330" s="565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/>
      <c r="M330" s="33" t="s">
        <v>98</v>
      </c>
      <c r="N330" s="33"/>
      <c r="O330" s="32">
        <v>180</v>
      </c>
      <c r="P330" s="7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8" t="s">
        <v>75</v>
      </c>
      <c r="Q331" s="569"/>
      <c r="R331" s="569"/>
      <c r="S331" s="569"/>
      <c r="T331" s="569"/>
      <c r="U331" s="569"/>
      <c r="V331" s="570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8" t="s">
        <v>75</v>
      </c>
      <c r="Q332" s="569"/>
      <c r="R332" s="569"/>
      <c r="S332" s="569"/>
      <c r="T332" s="569"/>
      <c r="U332" s="569"/>
      <c r="V332" s="570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6" t="s">
        <v>538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4"/>
      <c r="AB333" s="544"/>
      <c r="AC333" s="544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4">
        <v>4680115881808</v>
      </c>
      <c r="E334" s="565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4">
        <v>4680115881822</v>
      </c>
      <c r="E335" s="565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4">
        <v>4680115880016</v>
      </c>
      <c r="E336" s="565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8" t="s">
        <v>75</v>
      </c>
      <c r="Q337" s="569"/>
      <c r="R337" s="569"/>
      <c r="S337" s="569"/>
      <c r="T337" s="569"/>
      <c r="U337" s="569"/>
      <c r="V337" s="570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8" t="s">
        <v>75</v>
      </c>
      <c r="Q338" s="569"/>
      <c r="R338" s="569"/>
      <c r="S338" s="569"/>
      <c r="T338" s="569"/>
      <c r="U338" s="569"/>
      <c r="V338" s="570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67" t="s">
        <v>547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3"/>
      <c r="AB339" s="543"/>
      <c r="AC339" s="543"/>
    </row>
    <row r="340" spans="1:68" ht="14.25" customHeight="1" x14ac:dyDescent="0.25">
      <c r="A340" s="566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4"/>
      <c r="AB340" s="544"/>
      <c r="AC340" s="544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4">
        <v>4607091387919</v>
      </c>
      <c r="E341" s="565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/>
      <c r="M341" s="33" t="s">
        <v>88</v>
      </c>
      <c r="N341" s="33"/>
      <c r="O341" s="32">
        <v>45</v>
      </c>
      <c r="P341" s="8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4">
        <v>4680115883604</v>
      </c>
      <c r="E342" s="565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80</v>
      </c>
      <c r="M342" s="33" t="s">
        <v>81</v>
      </c>
      <c r="N342" s="33"/>
      <c r="O342" s="32">
        <v>45</v>
      </c>
      <c r="P342" s="8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12.6</v>
      </c>
      <c r="Y342" s="550">
        <f>IFERROR(IF(X342="",0,CEILING((X342/$H342),1)*$H342),"")</f>
        <v>12.600000000000001</v>
      </c>
      <c r="Z342" s="36">
        <f>IFERROR(IF(Y342=0,"",ROUNDUP(Y342/H342,0)*0.00651),"")</f>
        <v>3.9059999999999997E-2</v>
      </c>
      <c r="AA342" s="56"/>
      <c r="AB342" s="57"/>
      <c r="AC342" s="399" t="s">
        <v>553</v>
      </c>
      <c r="AG342" s="64"/>
      <c r="AJ342" s="68" t="s">
        <v>83</v>
      </c>
      <c r="AK342" s="68">
        <v>29.4</v>
      </c>
      <c r="BB342" s="400" t="s">
        <v>1</v>
      </c>
      <c r="BM342" s="64">
        <f>IFERROR(X342*I342/H342,"0")</f>
        <v>14.111999999999998</v>
      </c>
      <c r="BN342" s="64">
        <f>IFERROR(Y342*I342/H342,"0")</f>
        <v>14.112</v>
      </c>
      <c r="BO342" s="64">
        <f>IFERROR(1/J342*(X342/H342),"0")</f>
        <v>3.2967032967032968E-2</v>
      </c>
      <c r="BP342" s="64">
        <f>IFERROR(1/J342*(Y342/H342),"0")</f>
        <v>3.2967032967032968E-2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4">
        <v>4680115883567</v>
      </c>
      <c r="E343" s="565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80</v>
      </c>
      <c r="M343" s="33" t="s">
        <v>88</v>
      </c>
      <c r="N343" s="33"/>
      <c r="O343" s="32">
        <v>40</v>
      </c>
      <c r="P343" s="7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6.3</v>
      </c>
      <c r="Y343" s="550">
        <f>IFERROR(IF(X343="",0,CEILING((X343/$H343),1)*$H343),"")</f>
        <v>6.3000000000000007</v>
      </c>
      <c r="Z343" s="36">
        <f>IFERROR(IF(Y343=0,"",ROUNDUP(Y343/H343,0)*0.00651),"")</f>
        <v>1.9529999999999999E-2</v>
      </c>
      <c r="AA343" s="56"/>
      <c r="AB343" s="57"/>
      <c r="AC343" s="401" t="s">
        <v>556</v>
      </c>
      <c r="AG343" s="64"/>
      <c r="AJ343" s="68" t="s">
        <v>83</v>
      </c>
      <c r="AK343" s="68">
        <v>29.4</v>
      </c>
      <c r="BB343" s="402" t="s">
        <v>1</v>
      </c>
      <c r="BM343" s="64">
        <f>IFERROR(X343*I343/H343,"0")</f>
        <v>7.02</v>
      </c>
      <c r="BN343" s="64">
        <f>IFERROR(Y343*I343/H343,"0")</f>
        <v>7.0200000000000005</v>
      </c>
      <c r="BO343" s="64">
        <f>IFERROR(1/J343*(X343/H343),"0")</f>
        <v>1.6483516483516484E-2</v>
      </c>
      <c r="BP343" s="64">
        <f>IFERROR(1/J343*(Y343/H343),"0")</f>
        <v>1.6483516483516484E-2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8" t="s">
        <v>75</v>
      </c>
      <c r="Q344" s="569"/>
      <c r="R344" s="569"/>
      <c r="S344" s="569"/>
      <c r="T344" s="569"/>
      <c r="U344" s="569"/>
      <c r="V344" s="570"/>
      <c r="W344" s="37" t="s">
        <v>76</v>
      </c>
      <c r="X344" s="551">
        <f>IFERROR(X341/H341,"0")+IFERROR(X342/H342,"0")+IFERROR(X343/H343,"0")</f>
        <v>9</v>
      </c>
      <c r="Y344" s="551">
        <f>IFERROR(Y341/H341,"0")+IFERROR(Y342/H342,"0")+IFERROR(Y343/H343,"0")</f>
        <v>9</v>
      </c>
      <c r="Z344" s="551">
        <f>IFERROR(IF(Z341="",0,Z341),"0")+IFERROR(IF(Z342="",0,Z342),"0")+IFERROR(IF(Z343="",0,Z343),"0")</f>
        <v>5.8589999999999996E-2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8" t="s">
        <v>75</v>
      </c>
      <c r="Q345" s="569"/>
      <c r="R345" s="569"/>
      <c r="S345" s="569"/>
      <c r="T345" s="569"/>
      <c r="U345" s="569"/>
      <c r="V345" s="570"/>
      <c r="W345" s="37" t="s">
        <v>69</v>
      </c>
      <c r="X345" s="551">
        <f>IFERROR(SUM(X341:X343),"0")</f>
        <v>18.899999999999999</v>
      </c>
      <c r="Y345" s="551">
        <f>IFERROR(SUM(Y341:Y343),"0")</f>
        <v>18.900000000000002</v>
      </c>
      <c r="Z345" s="37"/>
      <c r="AA345" s="552"/>
      <c r="AB345" s="552"/>
      <c r="AC345" s="552"/>
    </row>
    <row r="346" spans="1:68" ht="27.75" customHeight="1" x14ac:dyDescent="0.2">
      <c r="A346" s="716" t="s">
        <v>557</v>
      </c>
      <c r="B346" s="717"/>
      <c r="C346" s="717"/>
      <c r="D346" s="717"/>
      <c r="E346" s="717"/>
      <c r="F346" s="717"/>
      <c r="G346" s="717"/>
      <c r="H346" s="717"/>
      <c r="I346" s="717"/>
      <c r="J346" s="717"/>
      <c r="K346" s="717"/>
      <c r="L346" s="717"/>
      <c r="M346" s="717"/>
      <c r="N346" s="717"/>
      <c r="O346" s="717"/>
      <c r="P346" s="717"/>
      <c r="Q346" s="717"/>
      <c r="R346" s="717"/>
      <c r="S346" s="717"/>
      <c r="T346" s="717"/>
      <c r="U346" s="717"/>
      <c r="V346" s="717"/>
      <c r="W346" s="717"/>
      <c r="X346" s="717"/>
      <c r="Y346" s="717"/>
      <c r="Z346" s="717"/>
      <c r="AA346" s="48"/>
      <c r="AB346" s="48"/>
      <c r="AC346" s="48"/>
    </row>
    <row r="347" spans="1:68" ht="16.5" customHeight="1" x14ac:dyDescent="0.25">
      <c r="A347" s="567" t="s">
        <v>558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3"/>
      <c r="AB347" s="543"/>
      <c r="AC347" s="543"/>
    </row>
    <row r="348" spans="1:68" ht="14.25" customHeight="1" x14ac:dyDescent="0.25">
      <c r="A348" s="566" t="s">
        <v>103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4"/>
      <c r="AB348" s="544"/>
      <c r="AC348" s="544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4">
        <v>4680115884847</v>
      </c>
      <c r="E349" s="565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 t="s">
        <v>107</v>
      </c>
      <c r="M349" s="33" t="s">
        <v>68</v>
      </c>
      <c r="N349" s="33"/>
      <c r="O349" s="32">
        <v>60</v>
      </c>
      <c r="P349" s="8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225</v>
      </c>
      <c r="Y349" s="550">
        <f t="shared" ref="Y349:Y355" si="41">IFERROR(IF(X349="",0,CEILING((X349/$H349),1)*$H349),"")</f>
        <v>225</v>
      </c>
      <c r="Z349" s="36">
        <f>IFERROR(IF(Y349=0,"",ROUNDUP(Y349/H349,0)*0.02175),"")</f>
        <v>0.32624999999999998</v>
      </c>
      <c r="AA349" s="56"/>
      <c r="AB349" s="57"/>
      <c r="AC349" s="403" t="s">
        <v>561</v>
      </c>
      <c r="AG349" s="64"/>
      <c r="AJ349" s="68" t="s">
        <v>83</v>
      </c>
      <c r="AK349" s="68">
        <v>120</v>
      </c>
      <c r="BB349" s="404" t="s">
        <v>1</v>
      </c>
      <c r="BM349" s="64">
        <f t="shared" ref="BM349:BM355" si="42">IFERROR(X349*I349/H349,"0")</f>
        <v>232.05</v>
      </c>
      <c r="BN349" s="64">
        <f t="shared" ref="BN349:BN355" si="43">IFERROR(Y349*I349/H349,"0")</f>
        <v>232.05</v>
      </c>
      <c r="BO349" s="64">
        <f t="shared" ref="BO349:BO355" si="44">IFERROR(1/J349*(X349/H349),"0")</f>
        <v>0.3125</v>
      </c>
      <c r="BP349" s="64">
        <f t="shared" ref="BP349:BP355" si="45">IFERROR(1/J349*(Y349/H349),"0")</f>
        <v>0.3125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4">
        <v>4680115884854</v>
      </c>
      <c r="E350" s="565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 t="s">
        <v>107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200</v>
      </c>
      <c r="Y350" s="550">
        <f t="shared" si="41"/>
        <v>210</v>
      </c>
      <c r="Z350" s="36">
        <f>IFERROR(IF(Y350=0,"",ROUNDUP(Y350/H350,0)*0.02175),"")</f>
        <v>0.30449999999999999</v>
      </c>
      <c r="AA350" s="56"/>
      <c r="AB350" s="57"/>
      <c r="AC350" s="405" t="s">
        <v>564</v>
      </c>
      <c r="AG350" s="64"/>
      <c r="AJ350" s="68" t="s">
        <v>83</v>
      </c>
      <c r="AK350" s="68">
        <v>120</v>
      </c>
      <c r="BB350" s="406" t="s">
        <v>1</v>
      </c>
      <c r="BM350" s="64">
        <f t="shared" si="42"/>
        <v>206.26666666666668</v>
      </c>
      <c r="BN350" s="64">
        <f t="shared" si="43"/>
        <v>216.58</v>
      </c>
      <c r="BO350" s="64">
        <f t="shared" si="44"/>
        <v>0.27777777777777779</v>
      </c>
      <c r="BP350" s="64">
        <f t="shared" si="45"/>
        <v>0.29166666666666663</v>
      </c>
    </row>
    <row r="351" spans="1:68" ht="37.5" customHeight="1" x14ac:dyDescent="0.25">
      <c r="A351" s="54" t="s">
        <v>565</v>
      </c>
      <c r="B351" s="54" t="s">
        <v>566</v>
      </c>
      <c r="C351" s="31">
        <v>4301011867</v>
      </c>
      <c r="D351" s="564">
        <v>4680115884830</v>
      </c>
      <c r="E351" s="565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 t="s">
        <v>107</v>
      </c>
      <c r="M351" s="33" t="s">
        <v>68</v>
      </c>
      <c r="N351" s="33"/>
      <c r="O351" s="32">
        <v>60</v>
      </c>
      <c r="P351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300</v>
      </c>
      <c r="Y351" s="550">
        <f t="shared" si="41"/>
        <v>300</v>
      </c>
      <c r="Z351" s="36">
        <f>IFERROR(IF(Y351=0,"",ROUNDUP(Y351/H351,0)*0.02175),"")</f>
        <v>0.43499999999999994</v>
      </c>
      <c r="AA351" s="56"/>
      <c r="AB351" s="57"/>
      <c r="AC351" s="407" t="s">
        <v>567</v>
      </c>
      <c r="AG351" s="64"/>
      <c r="AJ351" s="68" t="s">
        <v>83</v>
      </c>
      <c r="AK351" s="68">
        <v>120</v>
      </c>
      <c r="BB351" s="408" t="s">
        <v>1</v>
      </c>
      <c r="BM351" s="64">
        <f t="shared" si="42"/>
        <v>309.39999999999998</v>
      </c>
      <c r="BN351" s="64">
        <f t="shared" si="43"/>
        <v>309.39999999999998</v>
      </c>
      <c r="BO351" s="64">
        <f t="shared" si="44"/>
        <v>0.41666666666666663</v>
      </c>
      <c r="BP351" s="64">
        <f t="shared" si="45"/>
        <v>0.41666666666666663</v>
      </c>
    </row>
    <row r="352" spans="1:68" ht="27" customHeight="1" x14ac:dyDescent="0.25">
      <c r="A352" s="54" t="s">
        <v>568</v>
      </c>
      <c r="B352" s="54" t="s">
        <v>569</v>
      </c>
      <c r="C352" s="31">
        <v>4301012215</v>
      </c>
      <c r="D352" s="564">
        <v>4680115887046</v>
      </c>
      <c r="E352" s="565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88</v>
      </c>
      <c r="N352" s="33"/>
      <c r="O352" s="32">
        <v>60</v>
      </c>
      <c r="P352" s="66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4">
        <v>4680115882638</v>
      </c>
      <c r="E353" s="565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4">
        <v>4680115884922</v>
      </c>
      <c r="E354" s="565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4">
        <v>4680115884861</v>
      </c>
      <c r="E355" s="565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/>
      <c r="M355" s="33" t="s">
        <v>68</v>
      </c>
      <c r="N355" s="33"/>
      <c r="O355" s="32">
        <v>60</v>
      </c>
      <c r="P355" s="8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567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8" t="s">
        <v>75</v>
      </c>
      <c r="Q356" s="569"/>
      <c r="R356" s="569"/>
      <c r="S356" s="569"/>
      <c r="T356" s="569"/>
      <c r="U356" s="569"/>
      <c r="V356" s="570"/>
      <c r="W356" s="37" t="s">
        <v>76</v>
      </c>
      <c r="X356" s="551">
        <f>IFERROR(X349/H349,"0")+IFERROR(X350/H350,"0")+IFERROR(X351/H351,"0")+IFERROR(X352/H352,"0")+IFERROR(X353/H353,"0")+IFERROR(X354/H354,"0")+IFERROR(X355/H355,"0")</f>
        <v>48.333333333333336</v>
      </c>
      <c r="Y356" s="551">
        <f>IFERROR(Y349/H349,"0")+IFERROR(Y350/H350,"0")+IFERROR(Y351/H351,"0")+IFERROR(Y352/H352,"0")+IFERROR(Y353/H353,"0")+IFERROR(Y354/H354,"0")+IFERROR(Y355/H355,"0")</f>
        <v>49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1.06575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8" t="s">
        <v>75</v>
      </c>
      <c r="Q357" s="569"/>
      <c r="R357" s="569"/>
      <c r="S357" s="569"/>
      <c r="T357" s="569"/>
      <c r="U357" s="569"/>
      <c r="V357" s="570"/>
      <c r="W357" s="37" t="s">
        <v>69</v>
      </c>
      <c r="X357" s="551">
        <f>IFERROR(SUM(X349:X355),"0")</f>
        <v>725</v>
      </c>
      <c r="Y357" s="551">
        <f>IFERROR(SUM(Y349:Y355),"0")</f>
        <v>735</v>
      </c>
      <c r="Z357" s="37"/>
      <c r="AA357" s="552"/>
      <c r="AB357" s="552"/>
      <c r="AC357" s="552"/>
    </row>
    <row r="358" spans="1:68" ht="14.25" customHeight="1" x14ac:dyDescent="0.25">
      <c r="A358" s="566" t="s">
        <v>138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4"/>
      <c r="AB358" s="544"/>
      <c r="AC358" s="544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4">
        <v>4607091383980</v>
      </c>
      <c r="E359" s="565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 t="s">
        <v>107</v>
      </c>
      <c r="M359" s="33" t="s">
        <v>108</v>
      </c>
      <c r="N359" s="33"/>
      <c r="O359" s="32">
        <v>50</v>
      </c>
      <c r="P359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300</v>
      </c>
      <c r="Y359" s="550">
        <f>IFERROR(IF(X359="",0,CEILING((X359/$H359),1)*$H359),"")</f>
        <v>300</v>
      </c>
      <c r="Z359" s="36">
        <f>IFERROR(IF(Y359=0,"",ROUNDUP(Y359/H359,0)*0.02175),"")</f>
        <v>0.43499999999999994</v>
      </c>
      <c r="AA359" s="56"/>
      <c r="AB359" s="57"/>
      <c r="AC359" s="417" t="s">
        <v>580</v>
      </c>
      <c r="AG359" s="64"/>
      <c r="AJ359" s="68" t="s">
        <v>83</v>
      </c>
      <c r="AK359" s="68">
        <v>120</v>
      </c>
      <c r="BB359" s="418" t="s">
        <v>1</v>
      </c>
      <c r="BM359" s="64">
        <f>IFERROR(X359*I359/H359,"0")</f>
        <v>309.39999999999998</v>
      </c>
      <c r="BN359" s="64">
        <f>IFERROR(Y359*I359/H359,"0")</f>
        <v>309.39999999999998</v>
      </c>
      <c r="BO359" s="64">
        <f>IFERROR(1/J359*(X359/H359),"0")</f>
        <v>0.41666666666666663</v>
      </c>
      <c r="BP359" s="64">
        <f>IFERROR(1/J359*(Y359/H359),"0")</f>
        <v>0.41666666666666663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4">
        <v>4607091384178</v>
      </c>
      <c r="E360" s="565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8" t="s">
        <v>75</v>
      </c>
      <c r="Q361" s="569"/>
      <c r="R361" s="569"/>
      <c r="S361" s="569"/>
      <c r="T361" s="569"/>
      <c r="U361" s="569"/>
      <c r="V361" s="570"/>
      <c r="W361" s="37" t="s">
        <v>76</v>
      </c>
      <c r="X361" s="551">
        <f>IFERROR(X359/H359,"0")+IFERROR(X360/H360,"0")</f>
        <v>20</v>
      </c>
      <c r="Y361" s="551">
        <f>IFERROR(Y359/H359,"0")+IFERROR(Y360/H360,"0")</f>
        <v>20</v>
      </c>
      <c r="Z361" s="551">
        <f>IFERROR(IF(Z359="",0,Z359),"0")+IFERROR(IF(Z360="",0,Z360),"0")</f>
        <v>0.43499999999999994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8" t="s">
        <v>75</v>
      </c>
      <c r="Q362" s="569"/>
      <c r="R362" s="569"/>
      <c r="S362" s="569"/>
      <c r="T362" s="569"/>
      <c r="U362" s="569"/>
      <c r="V362" s="570"/>
      <c r="W362" s="37" t="s">
        <v>69</v>
      </c>
      <c r="X362" s="551">
        <f>IFERROR(SUM(X359:X360),"0")</f>
        <v>300</v>
      </c>
      <c r="Y362" s="551">
        <f>IFERROR(SUM(Y359:Y360),"0")</f>
        <v>300</v>
      </c>
      <c r="Z362" s="37"/>
      <c r="AA362" s="552"/>
      <c r="AB362" s="552"/>
      <c r="AC362" s="552"/>
    </row>
    <row r="363" spans="1:68" ht="14.25" customHeight="1" x14ac:dyDescent="0.25">
      <c r="A363" s="566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4"/>
      <c r="AB363" s="544"/>
      <c r="AC363" s="544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4">
        <v>4607091383928</v>
      </c>
      <c r="E364" s="565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/>
      <c r="M364" s="33" t="s">
        <v>81</v>
      </c>
      <c r="N364" s="33"/>
      <c r="O364" s="32">
        <v>40</v>
      </c>
      <c r="P364" s="83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4">
        <v>4607091384260</v>
      </c>
      <c r="E365" s="565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/>
      <c r="M365" s="33" t="s">
        <v>81</v>
      </c>
      <c r="N365" s="33"/>
      <c r="O365" s="32">
        <v>40</v>
      </c>
      <c r="P365" s="88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8" t="s">
        <v>75</v>
      </c>
      <c r="Q366" s="569"/>
      <c r="R366" s="569"/>
      <c r="S366" s="569"/>
      <c r="T366" s="569"/>
      <c r="U366" s="569"/>
      <c r="V366" s="570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8" t="s">
        <v>75</v>
      </c>
      <c r="Q367" s="569"/>
      <c r="R367" s="569"/>
      <c r="S367" s="569"/>
      <c r="T367" s="569"/>
      <c r="U367" s="569"/>
      <c r="V367" s="570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6" t="s">
        <v>163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4"/>
      <c r="AB368" s="544"/>
      <c r="AC368" s="544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4">
        <v>4607091384673</v>
      </c>
      <c r="E369" s="565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81</v>
      </c>
      <c r="N369" s="33"/>
      <c r="O369" s="32">
        <v>40</v>
      </c>
      <c r="P369" s="8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8" t="s">
        <v>75</v>
      </c>
      <c r="Q370" s="569"/>
      <c r="R370" s="569"/>
      <c r="S370" s="569"/>
      <c r="T370" s="569"/>
      <c r="U370" s="569"/>
      <c r="V370" s="570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8" t="s">
        <v>75</v>
      </c>
      <c r="Q371" s="569"/>
      <c r="R371" s="569"/>
      <c r="S371" s="569"/>
      <c r="T371" s="569"/>
      <c r="U371" s="569"/>
      <c r="V371" s="570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67" t="s">
        <v>593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3"/>
      <c r="AB372" s="543"/>
      <c r="AC372" s="543"/>
    </row>
    <row r="373" spans="1:68" ht="14.25" customHeight="1" x14ac:dyDescent="0.25">
      <c r="A373" s="566" t="s">
        <v>103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4"/>
      <c r="AB373" s="544"/>
      <c r="AC373" s="544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4">
        <v>4680115884885</v>
      </c>
      <c r="E374" s="565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/>
      <c r="M374" s="33" t="s">
        <v>68</v>
      </c>
      <c r="N374" s="33"/>
      <c r="O374" s="32">
        <v>60</v>
      </c>
      <c r="P374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50</v>
      </c>
      <c r="Y374" s="550">
        <f>IFERROR(IF(X374="",0,CEILING((X374/$H374),1)*$H374),"")</f>
        <v>60</v>
      </c>
      <c r="Z374" s="36">
        <f>IFERROR(IF(Y374=0,"",ROUNDUP(Y374/H374,0)*0.01898),"")</f>
        <v>9.4899999999999998E-2</v>
      </c>
      <c r="AA374" s="56"/>
      <c r="AB374" s="57"/>
      <c r="AC374" s="427" t="s">
        <v>596</v>
      </c>
      <c r="AG374" s="64"/>
      <c r="AJ374" s="68"/>
      <c r="AK374" s="68">
        <v>0</v>
      </c>
      <c r="BB374" s="428" t="s">
        <v>1</v>
      </c>
      <c r="BM374" s="64">
        <f>IFERROR(X374*I374/H374,"0")</f>
        <v>51.708333333333336</v>
      </c>
      <c r="BN374" s="64">
        <f>IFERROR(Y374*I374/H374,"0")</f>
        <v>62.050000000000004</v>
      </c>
      <c r="BO374" s="64">
        <f>IFERROR(1/J374*(X374/H374),"0")</f>
        <v>6.5104166666666671E-2</v>
      </c>
      <c r="BP374" s="64">
        <f>IFERROR(1/J374*(Y374/H374),"0")</f>
        <v>7.8125E-2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4">
        <v>4680115884908</v>
      </c>
      <c r="E375" s="565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/>
      <c r="M375" s="33" t="s">
        <v>68</v>
      </c>
      <c r="N375" s="33"/>
      <c r="O375" s="32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8" t="s">
        <v>75</v>
      </c>
      <c r="Q376" s="569"/>
      <c r="R376" s="569"/>
      <c r="S376" s="569"/>
      <c r="T376" s="569"/>
      <c r="U376" s="569"/>
      <c r="V376" s="570"/>
      <c r="W376" s="37" t="s">
        <v>76</v>
      </c>
      <c r="X376" s="551">
        <f>IFERROR(X374/H374,"0")+IFERROR(X375/H375,"0")</f>
        <v>4.166666666666667</v>
      </c>
      <c r="Y376" s="551">
        <f>IFERROR(Y374/H374,"0")+IFERROR(Y375/H375,"0")</f>
        <v>5</v>
      </c>
      <c r="Z376" s="551">
        <f>IFERROR(IF(Z374="",0,Z374),"0")+IFERROR(IF(Z375="",0,Z375),"0")</f>
        <v>9.4899999999999998E-2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8" t="s">
        <v>75</v>
      </c>
      <c r="Q377" s="569"/>
      <c r="R377" s="569"/>
      <c r="S377" s="569"/>
      <c r="T377" s="569"/>
      <c r="U377" s="569"/>
      <c r="V377" s="570"/>
      <c r="W377" s="37" t="s">
        <v>69</v>
      </c>
      <c r="X377" s="551">
        <f>IFERROR(SUM(X374:X375),"0")</f>
        <v>50</v>
      </c>
      <c r="Y377" s="551">
        <f>IFERROR(SUM(Y374:Y375),"0")</f>
        <v>60</v>
      </c>
      <c r="Z377" s="37"/>
      <c r="AA377" s="552"/>
      <c r="AB377" s="552"/>
      <c r="AC377" s="552"/>
    </row>
    <row r="378" spans="1:68" ht="14.25" customHeight="1" x14ac:dyDescent="0.25">
      <c r="A378" s="566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4"/>
      <c r="AB378" s="544"/>
      <c r="AC378" s="544"/>
    </row>
    <row r="379" spans="1:68" ht="27" customHeight="1" x14ac:dyDescent="0.25">
      <c r="A379" s="54" t="s">
        <v>599</v>
      </c>
      <c r="B379" s="54" t="s">
        <v>600</v>
      </c>
      <c r="C379" s="31">
        <v>4301031303</v>
      </c>
      <c r="D379" s="564">
        <v>4607091384802</v>
      </c>
      <c r="E379" s="565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35</v>
      </c>
      <c r="P379" s="60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4301031457</v>
      </c>
      <c r="D380" s="564">
        <v>4607091384802</v>
      </c>
      <c r="E380" s="565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112</v>
      </c>
      <c r="L380" s="32"/>
      <c r="M380" s="33" t="s">
        <v>68</v>
      </c>
      <c r="N380" s="33"/>
      <c r="O380" s="32">
        <v>50</v>
      </c>
      <c r="P380" s="7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8" t="s">
        <v>75</v>
      </c>
      <c r="Q381" s="569"/>
      <c r="R381" s="569"/>
      <c r="S381" s="569"/>
      <c r="T381" s="569"/>
      <c r="U381" s="569"/>
      <c r="V381" s="570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8" t="s">
        <v>75</v>
      </c>
      <c r="Q382" s="569"/>
      <c r="R382" s="569"/>
      <c r="S382" s="569"/>
      <c r="T382" s="569"/>
      <c r="U382" s="569"/>
      <c r="V382" s="570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6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4"/>
      <c r="AB383" s="544"/>
      <c r="AC383" s="544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4">
        <v>4607091384246</v>
      </c>
      <c r="E384" s="565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/>
      <c r="M384" s="33" t="s">
        <v>81</v>
      </c>
      <c r="N384" s="33"/>
      <c r="O384" s="32">
        <v>40</v>
      </c>
      <c r="P384" s="57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607</v>
      </c>
      <c r="B385" s="54" t="s">
        <v>608</v>
      </c>
      <c r="C385" s="31">
        <v>4301052069</v>
      </c>
      <c r="D385" s="564">
        <v>4607091384253</v>
      </c>
      <c r="E385" s="565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81</v>
      </c>
      <c r="N385" s="33"/>
      <c r="O385" s="32">
        <v>40</v>
      </c>
      <c r="P385" s="87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609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607</v>
      </c>
      <c r="B386" s="54" t="s">
        <v>610</v>
      </c>
      <c r="C386" s="31">
        <v>4301051660</v>
      </c>
      <c r="D386" s="564">
        <v>4607091384253</v>
      </c>
      <c r="E386" s="565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81</v>
      </c>
      <c r="N386" s="33"/>
      <c r="O386" s="32">
        <v>40</v>
      </c>
      <c r="P386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8" t="s">
        <v>75</v>
      </c>
      <c r="Q387" s="569"/>
      <c r="R387" s="569"/>
      <c r="S387" s="569"/>
      <c r="T387" s="569"/>
      <c r="U387" s="569"/>
      <c r="V387" s="570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8" t="s">
        <v>75</v>
      </c>
      <c r="Q388" s="569"/>
      <c r="R388" s="569"/>
      <c r="S388" s="569"/>
      <c r="T388" s="569"/>
      <c r="U388" s="569"/>
      <c r="V388" s="570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716" t="s">
        <v>611</v>
      </c>
      <c r="B389" s="717"/>
      <c r="C389" s="717"/>
      <c r="D389" s="717"/>
      <c r="E389" s="717"/>
      <c r="F389" s="717"/>
      <c r="G389" s="717"/>
      <c r="H389" s="717"/>
      <c r="I389" s="717"/>
      <c r="J389" s="717"/>
      <c r="K389" s="717"/>
      <c r="L389" s="717"/>
      <c r="M389" s="717"/>
      <c r="N389" s="717"/>
      <c r="O389" s="717"/>
      <c r="P389" s="717"/>
      <c r="Q389" s="717"/>
      <c r="R389" s="717"/>
      <c r="S389" s="717"/>
      <c r="T389" s="717"/>
      <c r="U389" s="717"/>
      <c r="V389" s="717"/>
      <c r="W389" s="717"/>
      <c r="X389" s="717"/>
      <c r="Y389" s="717"/>
      <c r="Z389" s="717"/>
      <c r="AA389" s="48"/>
      <c r="AB389" s="48"/>
      <c r="AC389" s="48"/>
    </row>
    <row r="390" spans="1:68" ht="16.5" customHeight="1" x14ac:dyDescent="0.25">
      <c r="A390" s="567" t="s">
        <v>612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3"/>
      <c r="AB390" s="543"/>
      <c r="AC390" s="543"/>
    </row>
    <row r="391" spans="1:68" ht="14.25" customHeight="1" x14ac:dyDescent="0.25">
      <c r="A391" s="566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4"/>
      <c r="AB391" s="544"/>
      <c r="AC391" s="544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4">
        <v>4680115886100</v>
      </c>
      <c r="E392" s="565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/>
      <c r="M392" s="33" t="s">
        <v>68</v>
      </c>
      <c r="N392" s="33"/>
      <c r="O392" s="32">
        <v>50</v>
      </c>
      <c r="P392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25</v>
      </c>
      <c r="Y392" s="550">
        <f t="shared" ref="Y392:Y400" si="46">IFERROR(IF(X392="",0,CEILING((X392/$H392),1)*$H392),"")</f>
        <v>27</v>
      </c>
      <c r="Z392" s="36">
        <f>IFERROR(IF(Y392=0,"",ROUNDUP(Y392/H392,0)*0.00902),"")</f>
        <v>4.5100000000000001E-2</v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ref="BM392:BM400" si="47">IFERROR(X392*I392/H392,"0")</f>
        <v>25.879629629629626</v>
      </c>
      <c r="BN392" s="64">
        <f t="shared" ref="BN392:BN400" si="48">IFERROR(Y392*I392/H392,"0")</f>
        <v>27.95</v>
      </c>
      <c r="BO392" s="64">
        <f t="shared" ref="BO392:BO400" si="49">IFERROR(1/J392*(X392/H392),"0")</f>
        <v>3.5072951739618406E-2</v>
      </c>
      <c r="BP392" s="64">
        <f t="shared" ref="BP392:BP400" si="50">IFERROR(1/J392*(Y392/H392),"0")</f>
        <v>3.787878787878788E-2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4">
        <v>4680115886117</v>
      </c>
      <c r="E393" s="565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4">
        <v>4680115886124</v>
      </c>
      <c r="E394" s="565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40</v>
      </c>
      <c r="Y394" s="550">
        <f t="shared" si="46"/>
        <v>43.2</v>
      </c>
      <c r="Z394" s="36">
        <f>IFERROR(IF(Y394=0,"",ROUNDUP(Y394/H394,0)*0.00902),"")</f>
        <v>7.2160000000000002E-2</v>
      </c>
      <c r="AA394" s="56"/>
      <c r="AB394" s="57"/>
      <c r="AC394" s="445" t="s">
        <v>621</v>
      </c>
      <c r="AG394" s="64"/>
      <c r="AJ394" s="68"/>
      <c r="AK394" s="68">
        <v>0</v>
      </c>
      <c r="BB394" s="446" t="s">
        <v>1</v>
      </c>
      <c r="BM394" s="64">
        <f t="shared" si="47"/>
        <v>41.407407407407405</v>
      </c>
      <c r="BN394" s="64">
        <f t="shared" si="48"/>
        <v>44.72</v>
      </c>
      <c r="BO394" s="64">
        <f t="shared" si="49"/>
        <v>5.6116722783389444E-2</v>
      </c>
      <c r="BP394" s="64">
        <f t="shared" si="50"/>
        <v>6.0606060606060608E-2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4">
        <v>4680115883147</v>
      </c>
      <c r="E395" s="565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4">
        <v>4607091384338</v>
      </c>
      <c r="E396" s="565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 t="s">
        <v>297</v>
      </c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 t="s">
        <v>83</v>
      </c>
      <c r="AK396" s="68">
        <v>37.799999999999997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4">
        <v>4607091389524</v>
      </c>
      <c r="E397" s="565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4">
        <v>4680115883161</v>
      </c>
      <c r="E398" s="565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4">
        <v>4607091389531</v>
      </c>
      <c r="E399" s="565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4">
        <v>4607091384345</v>
      </c>
      <c r="E400" s="565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8" t="s">
        <v>75</v>
      </c>
      <c r="Q401" s="569"/>
      <c r="R401" s="569"/>
      <c r="S401" s="569"/>
      <c r="T401" s="569"/>
      <c r="U401" s="569"/>
      <c r="V401" s="570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12.037037037037036</v>
      </c>
      <c r="Y401" s="551">
        <f>IFERROR(Y392/H392,"0")+IFERROR(Y393/H393,"0")+IFERROR(Y394/H394,"0")+IFERROR(Y395/H395,"0")+IFERROR(Y396/H396,"0")+IFERROR(Y397/H397,"0")+IFERROR(Y398/H398,"0")+IFERROR(Y399/H399,"0")+IFERROR(Y400/H400,"0")</f>
        <v>13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0.11726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8" t="s">
        <v>75</v>
      </c>
      <c r="Q402" s="569"/>
      <c r="R402" s="569"/>
      <c r="S402" s="569"/>
      <c r="T402" s="569"/>
      <c r="U402" s="569"/>
      <c r="V402" s="570"/>
      <c r="W402" s="37" t="s">
        <v>69</v>
      </c>
      <c r="X402" s="551">
        <f>IFERROR(SUM(X392:X400),"0")</f>
        <v>65</v>
      </c>
      <c r="Y402" s="551">
        <f>IFERROR(SUM(Y392:Y400),"0")</f>
        <v>70.2</v>
      </c>
      <c r="Z402" s="37"/>
      <c r="AA402" s="552"/>
      <c r="AB402" s="552"/>
      <c r="AC402" s="552"/>
    </row>
    <row r="403" spans="1:68" ht="14.25" customHeight="1" x14ac:dyDescent="0.25">
      <c r="A403" s="566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4"/>
      <c r="AB403" s="544"/>
      <c r="AC403" s="544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4">
        <v>4607091384352</v>
      </c>
      <c r="E404" s="565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/>
      <c r="M404" s="33" t="s">
        <v>81</v>
      </c>
      <c r="N404" s="33"/>
      <c r="O404" s="32">
        <v>45</v>
      </c>
      <c r="P404" s="5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4">
        <v>4607091389654</v>
      </c>
      <c r="E405" s="565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81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8" t="s">
        <v>75</v>
      </c>
      <c r="Q406" s="569"/>
      <c r="R406" s="569"/>
      <c r="S406" s="569"/>
      <c r="T406" s="569"/>
      <c r="U406" s="569"/>
      <c r="V406" s="570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8" t="s">
        <v>75</v>
      </c>
      <c r="Q407" s="569"/>
      <c r="R407" s="569"/>
      <c r="S407" s="569"/>
      <c r="T407" s="569"/>
      <c r="U407" s="569"/>
      <c r="V407" s="570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67" t="s">
        <v>643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3"/>
      <c r="AB408" s="543"/>
      <c r="AC408" s="543"/>
    </row>
    <row r="409" spans="1:68" ht="14.25" customHeight="1" x14ac:dyDescent="0.25">
      <c r="A409" s="566" t="s">
        <v>138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4"/>
      <c r="AB409" s="544"/>
      <c r="AC409" s="544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4">
        <v>4680115885240</v>
      </c>
      <c r="E410" s="565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8" t="s">
        <v>75</v>
      </c>
      <c r="Q411" s="569"/>
      <c r="R411" s="569"/>
      <c r="S411" s="569"/>
      <c r="T411" s="569"/>
      <c r="U411" s="569"/>
      <c r="V411" s="570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8" t="s">
        <v>75</v>
      </c>
      <c r="Q412" s="569"/>
      <c r="R412" s="569"/>
      <c r="S412" s="569"/>
      <c r="T412" s="569"/>
      <c r="U412" s="569"/>
      <c r="V412" s="570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6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4"/>
      <c r="AB413" s="544"/>
      <c r="AC413" s="544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4">
        <v>4680115886094</v>
      </c>
      <c r="E414" s="565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/>
      <c r="M414" s="33" t="s">
        <v>108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40</v>
      </c>
      <c r="Y414" s="550">
        <f>IFERROR(IF(X414="",0,CEILING((X414/$H414),1)*$H414),"")</f>
        <v>43.2</v>
      </c>
      <c r="Z414" s="36">
        <f>IFERROR(IF(Y414=0,"",ROUNDUP(Y414/H414,0)*0.00902),"")</f>
        <v>7.2160000000000002E-2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41.407407407407405</v>
      </c>
      <c r="BN414" s="64">
        <f>IFERROR(Y414*I414/H414,"0")</f>
        <v>44.72</v>
      </c>
      <c r="BO414" s="64">
        <f>IFERROR(1/J414*(X414/H414),"0")</f>
        <v>5.6116722783389444E-2</v>
      </c>
      <c r="BP414" s="64">
        <f>IFERROR(1/J414*(Y414/H414),"0")</f>
        <v>6.0606060606060608E-2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4">
        <v>4607091389425</v>
      </c>
      <c r="E415" s="565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4">
        <v>4680115880771</v>
      </c>
      <c r="E416" s="565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4">
        <v>4607091389500</v>
      </c>
      <c r="E417" s="565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8" t="s">
        <v>75</v>
      </c>
      <c r="Q418" s="569"/>
      <c r="R418" s="569"/>
      <c r="S418" s="569"/>
      <c r="T418" s="569"/>
      <c r="U418" s="569"/>
      <c r="V418" s="570"/>
      <c r="W418" s="37" t="s">
        <v>76</v>
      </c>
      <c r="X418" s="551">
        <f>IFERROR(X414/H414,"0")+IFERROR(X415/H415,"0")+IFERROR(X416/H416,"0")+IFERROR(X417/H417,"0")</f>
        <v>7.4074074074074066</v>
      </c>
      <c r="Y418" s="551">
        <f>IFERROR(Y414/H414,"0")+IFERROR(Y415/H415,"0")+IFERROR(Y416/H416,"0")+IFERROR(Y417/H417,"0")</f>
        <v>8</v>
      </c>
      <c r="Z418" s="551">
        <f>IFERROR(IF(Z414="",0,Z414),"0")+IFERROR(IF(Z415="",0,Z415),"0")+IFERROR(IF(Z416="",0,Z416),"0")+IFERROR(IF(Z417="",0,Z417),"0")</f>
        <v>7.2160000000000002E-2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8" t="s">
        <v>75</v>
      </c>
      <c r="Q419" s="569"/>
      <c r="R419" s="569"/>
      <c r="S419" s="569"/>
      <c r="T419" s="569"/>
      <c r="U419" s="569"/>
      <c r="V419" s="570"/>
      <c r="W419" s="37" t="s">
        <v>69</v>
      </c>
      <c r="X419" s="551">
        <f>IFERROR(SUM(X414:X417),"0")</f>
        <v>40</v>
      </c>
      <c r="Y419" s="551">
        <f>IFERROR(SUM(Y414:Y417),"0")</f>
        <v>43.2</v>
      </c>
      <c r="Z419" s="37"/>
      <c r="AA419" s="552"/>
      <c r="AB419" s="552"/>
      <c r="AC419" s="552"/>
    </row>
    <row r="420" spans="1:68" ht="16.5" customHeight="1" x14ac:dyDescent="0.25">
      <c r="A420" s="567" t="s">
        <v>658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3"/>
      <c r="AB420" s="543"/>
      <c r="AC420" s="543"/>
    </row>
    <row r="421" spans="1:68" ht="14.25" customHeight="1" x14ac:dyDescent="0.25">
      <c r="A421" s="566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4"/>
      <c r="AB421" s="544"/>
      <c r="AC421" s="544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4">
        <v>4680115885110</v>
      </c>
      <c r="E422" s="565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8" t="s">
        <v>75</v>
      </c>
      <c r="Q423" s="569"/>
      <c r="R423" s="569"/>
      <c r="S423" s="569"/>
      <c r="T423" s="569"/>
      <c r="U423" s="569"/>
      <c r="V423" s="570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8" t="s">
        <v>75</v>
      </c>
      <c r="Q424" s="569"/>
      <c r="R424" s="569"/>
      <c r="S424" s="569"/>
      <c r="T424" s="569"/>
      <c r="U424" s="569"/>
      <c r="V424" s="570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716" t="s">
        <v>662</v>
      </c>
      <c r="B425" s="717"/>
      <c r="C425" s="717"/>
      <c r="D425" s="717"/>
      <c r="E425" s="717"/>
      <c r="F425" s="717"/>
      <c r="G425" s="717"/>
      <c r="H425" s="717"/>
      <c r="I425" s="717"/>
      <c r="J425" s="717"/>
      <c r="K425" s="717"/>
      <c r="L425" s="717"/>
      <c r="M425" s="717"/>
      <c r="N425" s="717"/>
      <c r="O425" s="717"/>
      <c r="P425" s="717"/>
      <c r="Q425" s="717"/>
      <c r="R425" s="717"/>
      <c r="S425" s="717"/>
      <c r="T425" s="717"/>
      <c r="U425" s="717"/>
      <c r="V425" s="717"/>
      <c r="W425" s="717"/>
      <c r="X425" s="717"/>
      <c r="Y425" s="717"/>
      <c r="Z425" s="717"/>
      <c r="AA425" s="48"/>
      <c r="AB425" s="48"/>
      <c r="AC425" s="48"/>
    </row>
    <row r="426" spans="1:68" ht="16.5" customHeight="1" x14ac:dyDescent="0.25">
      <c r="A426" s="567" t="s">
        <v>662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3"/>
      <c r="AB426" s="543"/>
      <c r="AC426" s="543"/>
    </row>
    <row r="427" spans="1:68" ht="14.25" customHeight="1" x14ac:dyDescent="0.25">
      <c r="A427" s="566" t="s">
        <v>103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4"/>
      <c r="AB427" s="544"/>
      <c r="AC427" s="544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4">
        <v>4607091389067</v>
      </c>
      <c r="E428" s="565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45</v>
      </c>
      <c r="Y428" s="550">
        <f t="shared" ref="Y428:Y439" si="52">IFERROR(IF(X428="",0,CEILING((X428/$H428),1)*$H428),"")</f>
        <v>47.52</v>
      </c>
      <c r="Z428" s="36">
        <f t="shared" ref="Z428:Z434" si="53">IFERROR(IF(Y428=0,"",ROUNDUP(Y428/H428,0)*0.01196),"")</f>
        <v>0.10764</v>
      </c>
      <c r="AA428" s="56"/>
      <c r="AB428" s="57"/>
      <c r="AC428" s="475" t="s">
        <v>109</v>
      </c>
      <c r="AG428" s="64"/>
      <c r="AJ428" s="68" t="s">
        <v>83</v>
      </c>
      <c r="AK428" s="68">
        <v>42.24</v>
      </c>
      <c r="BB428" s="476" t="s">
        <v>1</v>
      </c>
      <c r="BM428" s="64">
        <f t="shared" ref="BM428:BM439" si="54">IFERROR(X428*I428/H428,"0")</f>
        <v>47.98295454545454</v>
      </c>
      <c r="BN428" s="64">
        <f t="shared" ref="BN428:BN439" si="55">IFERROR(Y428*I428/H428,"0")</f>
        <v>50.669999999999995</v>
      </c>
      <c r="BO428" s="64">
        <f t="shared" ref="BO428:BO439" si="56">IFERROR(1/J428*(X428/H428),"0")</f>
        <v>8.1949300699300689E-2</v>
      </c>
      <c r="BP428" s="64">
        <f t="shared" ref="BP428:BP439" si="57">IFERROR(1/J428*(Y428/H428),"0")</f>
        <v>8.6538461538461536E-2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4">
        <v>4607091383522</v>
      </c>
      <c r="E429" s="565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6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4">
        <v>4607091383522</v>
      </c>
      <c r="E430" s="565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4">
        <v>4680115885271</v>
      </c>
      <c r="E431" s="565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4">
        <v>4680115885226</v>
      </c>
      <c r="E432" s="565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81</v>
      </c>
      <c r="N432" s="33"/>
      <c r="O432" s="32">
        <v>60</v>
      </c>
      <c r="P432" s="5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225</v>
      </c>
      <c r="Y432" s="550">
        <f t="shared" si="52"/>
        <v>227.04000000000002</v>
      </c>
      <c r="Z432" s="36">
        <f t="shared" si="53"/>
        <v>0.51427999999999996</v>
      </c>
      <c r="AA432" s="56"/>
      <c r="AB432" s="57"/>
      <c r="AC432" s="483" t="s">
        <v>674</v>
      </c>
      <c r="AG432" s="64"/>
      <c r="AJ432" s="68" t="s">
        <v>83</v>
      </c>
      <c r="AK432" s="68">
        <v>42.24</v>
      </c>
      <c r="BB432" s="484" t="s">
        <v>1</v>
      </c>
      <c r="BM432" s="64">
        <f t="shared" si="54"/>
        <v>239.91477272727272</v>
      </c>
      <c r="BN432" s="64">
        <f t="shared" si="55"/>
        <v>242.09</v>
      </c>
      <c r="BO432" s="64">
        <f t="shared" si="56"/>
        <v>0.40974650349650349</v>
      </c>
      <c r="BP432" s="64">
        <f t="shared" si="57"/>
        <v>0.41346153846153849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4">
        <v>4680115884502</v>
      </c>
      <c r="E433" s="565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4">
        <v>4607091389104</v>
      </c>
      <c r="E434" s="565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200</v>
      </c>
      <c r="Y434" s="550">
        <f t="shared" si="52"/>
        <v>200.64000000000001</v>
      </c>
      <c r="Z434" s="36">
        <f t="shared" si="53"/>
        <v>0.45448</v>
      </c>
      <c r="AA434" s="56"/>
      <c r="AB434" s="57"/>
      <c r="AC434" s="487" t="s">
        <v>680</v>
      </c>
      <c r="AG434" s="64"/>
      <c r="AJ434" s="68" t="s">
        <v>83</v>
      </c>
      <c r="AK434" s="68">
        <v>42.24</v>
      </c>
      <c r="BB434" s="488" t="s">
        <v>1</v>
      </c>
      <c r="BM434" s="64">
        <f t="shared" si="54"/>
        <v>213.25757575757575</v>
      </c>
      <c r="BN434" s="64">
        <f t="shared" si="55"/>
        <v>213.94</v>
      </c>
      <c r="BO434" s="64">
        <f t="shared" si="56"/>
        <v>0.36421911421911418</v>
      </c>
      <c r="BP434" s="64">
        <f t="shared" si="57"/>
        <v>0.36538461538461542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4">
        <v>4680115886391</v>
      </c>
      <c r="E435" s="565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81</v>
      </c>
      <c r="N435" s="33"/>
      <c r="O435" s="32">
        <v>60</v>
      </c>
      <c r="P435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4">
        <v>4680115880603</v>
      </c>
      <c r="E436" s="565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4">
        <v>4680115882782</v>
      </c>
      <c r="E437" s="565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6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4">
        <v>4680115885479</v>
      </c>
      <c r="E438" s="565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2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4">
        <v>4607091389982</v>
      </c>
      <c r="E439" s="565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8" t="s">
        <v>75</v>
      </c>
      <c r="Q440" s="569"/>
      <c r="R440" s="569"/>
      <c r="S440" s="569"/>
      <c r="T440" s="569"/>
      <c r="U440" s="569"/>
      <c r="V440" s="570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89.015151515151501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90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1.0764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8" t="s">
        <v>75</v>
      </c>
      <c r="Q441" s="569"/>
      <c r="R441" s="569"/>
      <c r="S441" s="569"/>
      <c r="T441" s="569"/>
      <c r="U441" s="569"/>
      <c r="V441" s="570"/>
      <c r="W441" s="37" t="s">
        <v>69</v>
      </c>
      <c r="X441" s="551">
        <f>IFERROR(SUM(X428:X439),"0")</f>
        <v>470</v>
      </c>
      <c r="Y441" s="551">
        <f>IFERROR(SUM(Y428:Y439),"0")</f>
        <v>475.20000000000005</v>
      </c>
      <c r="Z441" s="37"/>
      <c r="AA441" s="552"/>
      <c r="AB441" s="552"/>
      <c r="AC441" s="552"/>
    </row>
    <row r="442" spans="1:68" ht="14.25" customHeight="1" x14ac:dyDescent="0.25">
      <c r="A442" s="566" t="s">
        <v>138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4"/>
      <c r="AB442" s="544"/>
      <c r="AC442" s="544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4">
        <v>4607091388930</v>
      </c>
      <c r="E443" s="565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/>
      <c r="M443" s="33" t="s">
        <v>81</v>
      </c>
      <c r="N443" s="33"/>
      <c r="O443" s="32">
        <v>70</v>
      </c>
      <c r="P443" s="60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225</v>
      </c>
      <c r="Y443" s="550">
        <f>IFERROR(IF(X443="",0,CEILING((X443/$H443),1)*$H443),"")</f>
        <v>227.04000000000002</v>
      </c>
      <c r="Z443" s="36">
        <f>IFERROR(IF(Y443=0,"",ROUNDUP(Y443/H443,0)*0.01196),"")</f>
        <v>0.51427999999999996</v>
      </c>
      <c r="AA443" s="56"/>
      <c r="AB443" s="57"/>
      <c r="AC443" s="499" t="s">
        <v>694</v>
      </c>
      <c r="AG443" s="64"/>
      <c r="AJ443" s="68"/>
      <c r="AK443" s="68">
        <v>0</v>
      </c>
      <c r="BB443" s="500" t="s">
        <v>1</v>
      </c>
      <c r="BM443" s="64">
        <f>IFERROR(X443*I443/H443,"0")</f>
        <v>239.91477272727272</v>
      </c>
      <c r="BN443" s="64">
        <f>IFERROR(Y443*I443/H443,"0")</f>
        <v>242.09</v>
      </c>
      <c r="BO443" s="64">
        <f>IFERROR(1/J443*(X443/H443),"0")</f>
        <v>0.40974650349650349</v>
      </c>
      <c r="BP443" s="64">
        <f>IFERROR(1/J443*(Y443/H443),"0")</f>
        <v>0.41346153846153849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4">
        <v>4680115886407</v>
      </c>
      <c r="E444" s="565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81</v>
      </c>
      <c r="N444" s="33"/>
      <c r="O444" s="32">
        <v>70</v>
      </c>
      <c r="P444" s="8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4">
        <v>4680115880054</v>
      </c>
      <c r="E445" s="565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8" t="s">
        <v>75</v>
      </c>
      <c r="Q446" s="569"/>
      <c r="R446" s="569"/>
      <c r="S446" s="569"/>
      <c r="T446" s="569"/>
      <c r="U446" s="569"/>
      <c r="V446" s="570"/>
      <c r="W446" s="37" t="s">
        <v>76</v>
      </c>
      <c r="X446" s="551">
        <f>IFERROR(X443/H443,"0")+IFERROR(X444/H444,"0")+IFERROR(X445/H445,"0")</f>
        <v>42.61363636363636</v>
      </c>
      <c r="Y446" s="551">
        <f>IFERROR(Y443/H443,"0")+IFERROR(Y444/H444,"0")+IFERROR(Y445/H445,"0")</f>
        <v>43</v>
      </c>
      <c r="Z446" s="551">
        <f>IFERROR(IF(Z443="",0,Z443),"0")+IFERROR(IF(Z444="",0,Z444),"0")+IFERROR(IF(Z445="",0,Z445),"0")</f>
        <v>0.51427999999999996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8" t="s">
        <v>75</v>
      </c>
      <c r="Q447" s="569"/>
      <c r="R447" s="569"/>
      <c r="S447" s="569"/>
      <c r="T447" s="569"/>
      <c r="U447" s="569"/>
      <c r="V447" s="570"/>
      <c r="W447" s="37" t="s">
        <v>69</v>
      </c>
      <c r="X447" s="551">
        <f>IFERROR(SUM(X443:X445),"0")</f>
        <v>225</v>
      </c>
      <c r="Y447" s="551">
        <f>IFERROR(SUM(Y443:Y445),"0")</f>
        <v>227.04000000000002</v>
      </c>
      <c r="Z447" s="37"/>
      <c r="AA447" s="552"/>
      <c r="AB447" s="552"/>
      <c r="AC447" s="552"/>
    </row>
    <row r="448" spans="1:68" ht="14.25" customHeight="1" x14ac:dyDescent="0.25">
      <c r="A448" s="566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4"/>
      <c r="AB448" s="544"/>
      <c r="AC448" s="544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4">
        <v>4680115883116</v>
      </c>
      <c r="E449" s="565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/>
      <c r="M449" s="33" t="s">
        <v>108</v>
      </c>
      <c r="N449" s="33"/>
      <c r="O449" s="32">
        <v>70</v>
      </c>
      <c r="P449" s="8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40</v>
      </c>
      <c r="Y449" s="550">
        <f t="shared" ref="Y449:Y454" si="58">IFERROR(IF(X449="",0,CEILING((X449/$H449),1)*$H449),"")</f>
        <v>42.24</v>
      </c>
      <c r="Z449" s="36">
        <f>IFERROR(IF(Y449=0,"",ROUNDUP(Y449/H449,0)*0.01196),"")</f>
        <v>9.5680000000000001E-2</v>
      </c>
      <c r="AA449" s="56"/>
      <c r="AB449" s="57"/>
      <c r="AC449" s="505" t="s">
        <v>701</v>
      </c>
      <c r="AG449" s="64"/>
      <c r="AJ449" s="68"/>
      <c r="AK449" s="68">
        <v>0</v>
      </c>
      <c r="BB449" s="506" t="s">
        <v>1</v>
      </c>
      <c r="BM449" s="64">
        <f t="shared" ref="BM449:BM454" si="59">IFERROR(X449*I449/H449,"0")</f>
        <v>42.651515151515149</v>
      </c>
      <c r="BN449" s="64">
        <f t="shared" ref="BN449:BN454" si="60">IFERROR(Y449*I449/H449,"0")</f>
        <v>45.04</v>
      </c>
      <c r="BO449" s="64">
        <f t="shared" ref="BO449:BO454" si="61">IFERROR(1/J449*(X449/H449),"0")</f>
        <v>7.2843822843822847E-2</v>
      </c>
      <c r="BP449" s="64">
        <f t="shared" ref="BP449:BP454" si="62">IFERROR(1/J449*(Y449/H449),"0")</f>
        <v>7.6923076923076927E-2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4">
        <v>4680115883093</v>
      </c>
      <c r="E450" s="565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100</v>
      </c>
      <c r="Y450" s="550">
        <f t="shared" si="58"/>
        <v>100.32000000000001</v>
      </c>
      <c r="Z450" s="36">
        <f>IFERROR(IF(Y450=0,"",ROUNDUP(Y450/H450,0)*0.01196),"")</f>
        <v>0.22724</v>
      </c>
      <c r="AA450" s="56"/>
      <c r="AB450" s="57"/>
      <c r="AC450" s="507" t="s">
        <v>704</v>
      </c>
      <c r="AG450" s="64"/>
      <c r="AJ450" s="68" t="s">
        <v>83</v>
      </c>
      <c r="AK450" s="68">
        <v>42.24</v>
      </c>
      <c r="BB450" s="508" t="s">
        <v>1</v>
      </c>
      <c r="BM450" s="64">
        <f t="shared" si="59"/>
        <v>106.62878787878788</v>
      </c>
      <c r="BN450" s="64">
        <f t="shared" si="60"/>
        <v>106.97</v>
      </c>
      <c r="BO450" s="64">
        <f t="shared" si="61"/>
        <v>0.18210955710955709</v>
      </c>
      <c r="BP450" s="64">
        <f t="shared" si="62"/>
        <v>0.18269230769230771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4">
        <v>4680115883109</v>
      </c>
      <c r="E451" s="565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100</v>
      </c>
      <c r="Y451" s="550">
        <f t="shared" si="58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707</v>
      </c>
      <c r="AG451" s="64"/>
      <c r="AJ451" s="68" t="s">
        <v>83</v>
      </c>
      <c r="AK451" s="68">
        <v>42.24</v>
      </c>
      <c r="BB451" s="510" t="s">
        <v>1</v>
      </c>
      <c r="BM451" s="64">
        <f t="shared" si="59"/>
        <v>106.62878787878788</v>
      </c>
      <c r="BN451" s="64">
        <f t="shared" si="60"/>
        <v>106.97</v>
      </c>
      <c r="BO451" s="64">
        <f t="shared" si="61"/>
        <v>0.18210955710955709</v>
      </c>
      <c r="BP451" s="64">
        <f t="shared" si="62"/>
        <v>0.18269230769230771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4">
        <v>4680115882072</v>
      </c>
      <c r="E452" s="565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4">
        <v>4680115882102</v>
      </c>
      <c r="E453" s="565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4">
        <v>4680115882096</v>
      </c>
      <c r="E454" s="565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8" t="s">
        <v>75</v>
      </c>
      <c r="Q455" s="569"/>
      <c r="R455" s="569"/>
      <c r="S455" s="569"/>
      <c r="T455" s="569"/>
      <c r="U455" s="569"/>
      <c r="V455" s="570"/>
      <c r="W455" s="37" t="s">
        <v>76</v>
      </c>
      <c r="X455" s="551">
        <f>IFERROR(X449/H449,"0")+IFERROR(X450/H450,"0")+IFERROR(X451/H451,"0")+IFERROR(X452/H452,"0")+IFERROR(X453/H453,"0")+IFERROR(X454/H454,"0")</f>
        <v>45.454545454545453</v>
      </c>
      <c r="Y455" s="551">
        <f>IFERROR(Y449/H449,"0")+IFERROR(Y450/H450,"0")+IFERROR(Y451/H451,"0")+IFERROR(Y452/H452,"0")+IFERROR(Y453/H453,"0")+IFERROR(Y454/H454,"0")</f>
        <v>46</v>
      </c>
      <c r="Z455" s="551">
        <f>IFERROR(IF(Z449="",0,Z449),"0")+IFERROR(IF(Z450="",0,Z450),"0")+IFERROR(IF(Z451="",0,Z451),"0")+IFERROR(IF(Z452="",0,Z452),"0")+IFERROR(IF(Z453="",0,Z453),"0")+IFERROR(IF(Z454="",0,Z454),"0")</f>
        <v>0.55015999999999998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8" t="s">
        <v>75</v>
      </c>
      <c r="Q456" s="569"/>
      <c r="R456" s="569"/>
      <c r="S456" s="569"/>
      <c r="T456" s="569"/>
      <c r="U456" s="569"/>
      <c r="V456" s="570"/>
      <c r="W456" s="37" t="s">
        <v>69</v>
      </c>
      <c r="X456" s="551">
        <f>IFERROR(SUM(X449:X454),"0")</f>
        <v>240</v>
      </c>
      <c r="Y456" s="551">
        <f>IFERROR(SUM(Y449:Y454),"0")</f>
        <v>242.88</v>
      </c>
      <c r="Z456" s="37"/>
      <c r="AA456" s="552"/>
      <c r="AB456" s="552"/>
      <c r="AC456" s="552"/>
    </row>
    <row r="457" spans="1:68" ht="14.25" customHeight="1" x14ac:dyDescent="0.25">
      <c r="A457" s="566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4"/>
      <c r="AB457" s="544"/>
      <c r="AC457" s="544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4">
        <v>4680115883536</v>
      </c>
      <c r="E458" s="565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81</v>
      </c>
      <c r="N458" s="33"/>
      <c r="O458" s="32">
        <v>45</v>
      </c>
      <c r="P458" s="62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8" t="s">
        <v>75</v>
      </c>
      <c r="Q459" s="569"/>
      <c r="R459" s="569"/>
      <c r="S459" s="569"/>
      <c r="T459" s="569"/>
      <c r="U459" s="569"/>
      <c r="V459" s="570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8" t="s">
        <v>75</v>
      </c>
      <c r="Q460" s="569"/>
      <c r="R460" s="569"/>
      <c r="S460" s="569"/>
      <c r="T460" s="569"/>
      <c r="U460" s="569"/>
      <c r="V460" s="570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716" t="s">
        <v>717</v>
      </c>
      <c r="B461" s="717"/>
      <c r="C461" s="717"/>
      <c r="D461" s="717"/>
      <c r="E461" s="717"/>
      <c r="F461" s="717"/>
      <c r="G461" s="717"/>
      <c r="H461" s="717"/>
      <c r="I461" s="717"/>
      <c r="J461" s="717"/>
      <c r="K461" s="717"/>
      <c r="L461" s="717"/>
      <c r="M461" s="717"/>
      <c r="N461" s="717"/>
      <c r="O461" s="717"/>
      <c r="P461" s="717"/>
      <c r="Q461" s="717"/>
      <c r="R461" s="717"/>
      <c r="S461" s="717"/>
      <c r="T461" s="717"/>
      <c r="U461" s="717"/>
      <c r="V461" s="717"/>
      <c r="W461" s="717"/>
      <c r="X461" s="717"/>
      <c r="Y461" s="717"/>
      <c r="Z461" s="717"/>
      <c r="AA461" s="48"/>
      <c r="AB461" s="48"/>
      <c r="AC461" s="48"/>
    </row>
    <row r="462" spans="1:68" ht="16.5" customHeight="1" x14ac:dyDescent="0.25">
      <c r="A462" s="567" t="s">
        <v>717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3"/>
      <c r="AB462" s="543"/>
      <c r="AC462" s="543"/>
    </row>
    <row r="463" spans="1:68" ht="14.25" customHeight="1" x14ac:dyDescent="0.25">
      <c r="A463" s="566" t="s">
        <v>103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4"/>
      <c r="AB463" s="544"/>
      <c r="AC463" s="544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4">
        <v>4640242181011</v>
      </c>
      <c r="E464" s="565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81</v>
      </c>
      <c r="N464" s="33"/>
      <c r="O464" s="32">
        <v>55</v>
      </c>
      <c r="P464" s="6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4">
        <v>4640242180441</v>
      </c>
      <c r="E465" s="565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81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4">
        <v>4640242180564</v>
      </c>
      <c r="E466" s="565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/>
      <c r="M466" s="33" t="s">
        <v>108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20</v>
      </c>
      <c r="Y466" s="550">
        <f>IFERROR(IF(X466="",0,CEILING((X466/$H466),1)*$H466),"")</f>
        <v>24</v>
      </c>
      <c r="Z466" s="36">
        <f>IFERROR(IF(Y466=0,"",ROUNDUP(Y466/H466,0)*0.01898),"")</f>
        <v>3.7960000000000001E-2</v>
      </c>
      <c r="AA466" s="56"/>
      <c r="AB466" s="57"/>
      <c r="AC466" s="523" t="s">
        <v>726</v>
      </c>
      <c r="AG466" s="64"/>
      <c r="AJ466" s="68"/>
      <c r="AK466" s="68">
        <v>0</v>
      </c>
      <c r="BB466" s="524" t="s">
        <v>1</v>
      </c>
      <c r="BM466" s="64">
        <f>IFERROR(X466*I466/H466,"0")</f>
        <v>20.683333333333334</v>
      </c>
      <c r="BN466" s="64">
        <f>IFERROR(Y466*I466/H466,"0")</f>
        <v>24.820000000000004</v>
      </c>
      <c r="BO466" s="64">
        <f>IFERROR(1/J466*(X466/H466),"0")</f>
        <v>2.6041666666666668E-2</v>
      </c>
      <c r="BP466" s="64">
        <f>IFERROR(1/J466*(Y466/H466),"0")</f>
        <v>3.125E-2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4">
        <v>4640242181189</v>
      </c>
      <c r="E467" s="565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81</v>
      </c>
      <c r="N467" s="33"/>
      <c r="O467" s="32">
        <v>55</v>
      </c>
      <c r="P467" s="6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8" t="s">
        <v>75</v>
      </c>
      <c r="Q468" s="569"/>
      <c r="R468" s="569"/>
      <c r="S468" s="569"/>
      <c r="T468" s="569"/>
      <c r="U468" s="569"/>
      <c r="V468" s="570"/>
      <c r="W468" s="37" t="s">
        <v>76</v>
      </c>
      <c r="X468" s="551">
        <f>IFERROR(X464/H464,"0")+IFERROR(X465/H465,"0")+IFERROR(X466/H466,"0")+IFERROR(X467/H467,"0")</f>
        <v>1.6666666666666667</v>
      </c>
      <c r="Y468" s="551">
        <f>IFERROR(Y464/H464,"0")+IFERROR(Y465/H465,"0")+IFERROR(Y466/H466,"0")+IFERROR(Y467/H467,"0")</f>
        <v>2</v>
      </c>
      <c r="Z468" s="551">
        <f>IFERROR(IF(Z464="",0,Z464),"0")+IFERROR(IF(Z465="",0,Z465),"0")+IFERROR(IF(Z466="",0,Z466),"0")+IFERROR(IF(Z467="",0,Z467),"0")</f>
        <v>3.7960000000000001E-2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8" t="s">
        <v>75</v>
      </c>
      <c r="Q469" s="569"/>
      <c r="R469" s="569"/>
      <c r="S469" s="569"/>
      <c r="T469" s="569"/>
      <c r="U469" s="569"/>
      <c r="V469" s="570"/>
      <c r="W469" s="37" t="s">
        <v>69</v>
      </c>
      <c r="X469" s="551">
        <f>IFERROR(SUM(X464:X467),"0")</f>
        <v>20</v>
      </c>
      <c r="Y469" s="551">
        <f>IFERROR(SUM(Y464:Y467),"0")</f>
        <v>24</v>
      </c>
      <c r="Z469" s="37"/>
      <c r="AA469" s="552"/>
      <c r="AB469" s="552"/>
      <c r="AC469" s="552"/>
    </row>
    <row r="470" spans="1:68" ht="14.25" customHeight="1" x14ac:dyDescent="0.25">
      <c r="A470" s="566" t="s">
        <v>138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4"/>
      <c r="AB470" s="544"/>
      <c r="AC470" s="544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4">
        <v>4640242180519</v>
      </c>
      <c r="E471" s="565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4">
        <v>4640242180526</v>
      </c>
      <c r="E472" s="565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8" t="s">
        <v>75</v>
      </c>
      <c r="Q473" s="569"/>
      <c r="R473" s="569"/>
      <c r="S473" s="569"/>
      <c r="T473" s="569"/>
      <c r="U473" s="569"/>
      <c r="V473" s="570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8" t="s">
        <v>75</v>
      </c>
      <c r="Q474" s="569"/>
      <c r="R474" s="569"/>
      <c r="S474" s="569"/>
      <c r="T474" s="569"/>
      <c r="U474" s="569"/>
      <c r="V474" s="570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6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4"/>
      <c r="AB475" s="544"/>
      <c r="AC475" s="544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4">
        <v>4640242180595</v>
      </c>
      <c r="E476" s="565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/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6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4"/>
      <c r="AB479" s="544"/>
      <c r="AC479" s="544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4">
        <v>4640242180533</v>
      </c>
      <c r="E480" s="565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/>
      <c r="M480" s="33" t="s">
        <v>88</v>
      </c>
      <c r="N480" s="33"/>
      <c r="O480" s="32">
        <v>45</v>
      </c>
      <c r="P48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150</v>
      </c>
      <c r="Y480" s="550">
        <f>IFERROR(IF(X480="",0,CEILING((X480/$H480),1)*$H480),"")</f>
        <v>153</v>
      </c>
      <c r="Z480" s="36">
        <f>IFERROR(IF(Y480=0,"",ROUNDUP(Y480/H480,0)*0.01898),"")</f>
        <v>0.32266</v>
      </c>
      <c r="AA480" s="56"/>
      <c r="AB480" s="57"/>
      <c r="AC480" s="533" t="s">
        <v>740</v>
      </c>
      <c r="AG480" s="64"/>
      <c r="AJ480" s="68"/>
      <c r="AK480" s="68">
        <v>0</v>
      </c>
      <c r="BB480" s="534" t="s">
        <v>1</v>
      </c>
      <c r="BM480" s="64">
        <f>IFERROR(X480*I480/H480,"0")</f>
        <v>158.23333333333332</v>
      </c>
      <c r="BN480" s="64">
        <f>IFERROR(Y480*I480/H480,"0")</f>
        <v>161.398</v>
      </c>
      <c r="BO480" s="64">
        <f>IFERROR(1/J480*(X480/H480),"0")</f>
        <v>0.26041666666666669</v>
      </c>
      <c r="BP480" s="64">
        <f>IFERROR(1/J480*(Y480/H480),"0")</f>
        <v>0.265625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16.666666666666668</v>
      </c>
      <c r="Y481" s="551">
        <f>IFERROR(Y480/H480,"0")</f>
        <v>17</v>
      </c>
      <c r="Z481" s="551">
        <f>IFERROR(IF(Z480="",0,Z480),"0")</f>
        <v>0.32266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150</v>
      </c>
      <c r="Y482" s="551">
        <f>IFERROR(SUM(Y480:Y480),"0")</f>
        <v>153</v>
      </c>
      <c r="Z482" s="37"/>
      <c r="AA482" s="552"/>
      <c r="AB482" s="552"/>
      <c r="AC482" s="552"/>
    </row>
    <row r="483" spans="1:68" ht="14.25" customHeight="1" x14ac:dyDescent="0.25">
      <c r="A483" s="566" t="s">
        <v>163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4"/>
      <c r="AB483" s="544"/>
      <c r="AC483" s="544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4">
        <v>4640242180120</v>
      </c>
      <c r="E484" s="565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81</v>
      </c>
      <c r="N484" s="33"/>
      <c r="O484" s="32">
        <v>40</v>
      </c>
      <c r="P484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4">
        <v>4640242180137</v>
      </c>
      <c r="E485" s="565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81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7" t="s">
        <v>747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3"/>
      <c r="AB488" s="543"/>
      <c r="AC488" s="543"/>
    </row>
    <row r="489" spans="1:68" ht="14.25" customHeight="1" x14ac:dyDescent="0.25">
      <c r="A489" s="566" t="s">
        <v>138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4"/>
      <c r="AB489" s="544"/>
      <c r="AC489" s="544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4">
        <v>4640242180090</v>
      </c>
      <c r="E490" s="565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8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2"/>
      <c r="P493" s="709" t="s">
        <v>751</v>
      </c>
      <c r="Q493" s="672"/>
      <c r="R493" s="672"/>
      <c r="S493" s="672"/>
      <c r="T493" s="672"/>
      <c r="U493" s="672"/>
      <c r="V493" s="673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3795.6000000000004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3894.12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2"/>
      <c r="P494" s="709" t="s">
        <v>752</v>
      </c>
      <c r="Q494" s="672"/>
      <c r="R494" s="672"/>
      <c r="S494" s="672"/>
      <c r="T494" s="672"/>
      <c r="U494" s="672"/>
      <c r="V494" s="673"/>
      <c r="W494" s="37" t="s">
        <v>69</v>
      </c>
      <c r="X494" s="551">
        <f>IFERROR(SUM(BM22:BM490),"0")</f>
        <v>3968.7302142857143</v>
      </c>
      <c r="Y494" s="551">
        <f>IFERROR(SUM(BN22:BN490),"0")</f>
        <v>4071.4679999999998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2"/>
      <c r="P495" s="709" t="s">
        <v>753</v>
      </c>
      <c r="Q495" s="672"/>
      <c r="R495" s="672"/>
      <c r="S495" s="672"/>
      <c r="T495" s="672"/>
      <c r="U495" s="672"/>
      <c r="V495" s="673"/>
      <c r="W495" s="37" t="s">
        <v>754</v>
      </c>
      <c r="X495" s="38">
        <f>ROUNDUP(SUM(BO22:BO490),0)</f>
        <v>6</v>
      </c>
      <c r="Y495" s="38">
        <f>ROUNDUP(SUM(BP22:BP490),0)</f>
        <v>7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2"/>
      <c r="P496" s="709" t="s">
        <v>755</v>
      </c>
      <c r="Q496" s="672"/>
      <c r="R496" s="672"/>
      <c r="S496" s="672"/>
      <c r="T496" s="672"/>
      <c r="U496" s="672"/>
      <c r="V496" s="673"/>
      <c r="W496" s="37" t="s">
        <v>69</v>
      </c>
      <c r="X496" s="551">
        <f>GrossWeightTotal+PalletQtyTotal*25</f>
        <v>4118.7302142857143</v>
      </c>
      <c r="Y496" s="551">
        <f>GrossWeightTotalR+PalletQtyTotalR*25</f>
        <v>4246.4679999999998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2"/>
      <c r="P497" s="709" t="s">
        <v>756</v>
      </c>
      <c r="Q497" s="672"/>
      <c r="R497" s="672"/>
      <c r="S497" s="672"/>
      <c r="T497" s="672"/>
      <c r="U497" s="672"/>
      <c r="V497" s="673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528.42114367114357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541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22"/>
      <c r="P498" s="709" t="s">
        <v>757</v>
      </c>
      <c r="Q498" s="672"/>
      <c r="R498" s="672"/>
      <c r="S498" s="672"/>
      <c r="T498" s="672"/>
      <c r="U498" s="672"/>
      <c r="V498" s="673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7.2028800000000004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1" t="s">
        <v>63</v>
      </c>
      <c r="C500" s="592" t="s">
        <v>101</v>
      </c>
      <c r="D500" s="744"/>
      <c r="E500" s="744"/>
      <c r="F500" s="744"/>
      <c r="G500" s="744"/>
      <c r="H500" s="745"/>
      <c r="I500" s="592" t="s">
        <v>273</v>
      </c>
      <c r="J500" s="744"/>
      <c r="K500" s="744"/>
      <c r="L500" s="744"/>
      <c r="M500" s="744"/>
      <c r="N500" s="744"/>
      <c r="O500" s="744"/>
      <c r="P500" s="744"/>
      <c r="Q500" s="744"/>
      <c r="R500" s="745"/>
      <c r="S500" s="592" t="s">
        <v>557</v>
      </c>
      <c r="T500" s="745"/>
      <c r="U500" s="592" t="s">
        <v>611</v>
      </c>
      <c r="V500" s="744"/>
      <c r="W500" s="745"/>
      <c r="X500" s="541" t="s">
        <v>662</v>
      </c>
      <c r="Y500" s="592" t="s">
        <v>717</v>
      </c>
      <c r="Z500" s="745"/>
      <c r="AB500" s="52"/>
      <c r="AC500" s="52"/>
      <c r="AF500" s="542"/>
    </row>
    <row r="501" spans="1:32" ht="14.25" customHeight="1" thickTop="1" x14ac:dyDescent="0.2">
      <c r="A501" s="796" t="s">
        <v>760</v>
      </c>
      <c r="B501" s="592" t="s">
        <v>63</v>
      </c>
      <c r="C501" s="592" t="s">
        <v>102</v>
      </c>
      <c r="D501" s="592" t="s">
        <v>119</v>
      </c>
      <c r="E501" s="592" t="s">
        <v>170</v>
      </c>
      <c r="F501" s="592" t="s">
        <v>193</v>
      </c>
      <c r="G501" s="592" t="s">
        <v>230</v>
      </c>
      <c r="H501" s="592" t="s">
        <v>101</v>
      </c>
      <c r="I501" s="592" t="s">
        <v>274</v>
      </c>
      <c r="J501" s="592" t="s">
        <v>324</v>
      </c>
      <c r="K501" s="592" t="s">
        <v>383</v>
      </c>
      <c r="L501" s="592" t="s">
        <v>423</v>
      </c>
      <c r="M501" s="592" t="s">
        <v>439</v>
      </c>
      <c r="N501" s="542"/>
      <c r="O501" s="592" t="s">
        <v>450</v>
      </c>
      <c r="P501" s="592" t="s">
        <v>459</v>
      </c>
      <c r="Q501" s="592" t="s">
        <v>472</v>
      </c>
      <c r="R501" s="592" t="s">
        <v>547</v>
      </c>
      <c r="S501" s="592" t="s">
        <v>558</v>
      </c>
      <c r="T501" s="592" t="s">
        <v>593</v>
      </c>
      <c r="U501" s="592" t="s">
        <v>612</v>
      </c>
      <c r="V501" s="592" t="s">
        <v>643</v>
      </c>
      <c r="W501" s="592" t="s">
        <v>658</v>
      </c>
      <c r="X501" s="592" t="s">
        <v>662</v>
      </c>
      <c r="Y501" s="592" t="s">
        <v>717</v>
      </c>
      <c r="Z501" s="592" t="s">
        <v>747</v>
      </c>
      <c r="AB501" s="52"/>
      <c r="AC501" s="52"/>
      <c r="AF501" s="542"/>
    </row>
    <row r="502" spans="1:32" ht="13.5" customHeight="1" thickBot="1" x14ac:dyDescent="0.25">
      <c r="A502" s="797"/>
      <c r="B502" s="593"/>
      <c r="C502" s="593"/>
      <c r="D502" s="593"/>
      <c r="E502" s="593"/>
      <c r="F502" s="593"/>
      <c r="G502" s="593"/>
      <c r="H502" s="593"/>
      <c r="I502" s="593"/>
      <c r="J502" s="593"/>
      <c r="K502" s="593"/>
      <c r="L502" s="593"/>
      <c r="M502" s="593"/>
      <c r="N502" s="542"/>
      <c r="O502" s="593"/>
      <c r="P502" s="593"/>
      <c r="Q502" s="593"/>
      <c r="R502" s="593"/>
      <c r="S502" s="593"/>
      <c r="T502" s="593"/>
      <c r="U502" s="593"/>
      <c r="V502" s="593"/>
      <c r="W502" s="593"/>
      <c r="X502" s="593"/>
      <c r="Y502" s="593"/>
      <c r="Z502" s="593"/>
      <c r="AB502" s="52"/>
      <c r="AC502" s="52"/>
      <c r="AF502" s="542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108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348.3</v>
      </c>
      <c r="E503" s="46">
        <f>IFERROR(Y85*1,"0")+IFERROR(Y86*1,"0")+IFERROR(Y87*1,"0")+IFERROR(Y88*1,"0")+IFERROR(Y92*1,"0")+IFERROR(Y93*1,"0")+IFERROR(Y94*1,"0")+IFERROR(Y95*1,"0")</f>
        <v>108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91.8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25.200000000000003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630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108</v>
      </c>
      <c r="M503" s="46">
        <f>IFERROR(Y270*1,"0")+IFERROR(Y271*1,"0")+IFERROR(Y272*1,"0")+IFERROR(Y273*1,"0")</f>
        <v>0</v>
      </c>
      <c r="N503" s="542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125.4</v>
      </c>
      <c r="R503" s="46">
        <f>IFERROR(Y341*1,"0")+IFERROR(Y342*1,"0")+IFERROR(Y343*1,"0")</f>
        <v>18.900000000000002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1035</v>
      </c>
      <c r="T503" s="46">
        <f>IFERROR(Y374*1,"0")+IFERROR(Y375*1,"0")+IFERROR(Y379*1,"0")+IFERROR(Y380*1,"0")+IFERROR(Y384*1,"0")+IFERROR(Y385*1,"0")+IFERROR(Y386*1,"0")</f>
        <v>60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70.2</v>
      </c>
      <c r="V503" s="46">
        <f>IFERROR(Y410*1,"0")+IFERROR(Y414*1,"0")+IFERROR(Y415*1,"0")+IFERROR(Y416*1,"0")+IFERROR(Y417*1,"0")</f>
        <v>43.2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945.12000000000012</v>
      </c>
      <c r="Y503" s="46">
        <f>IFERROR(Y464*1,"0")+IFERROR(Y465*1,"0")+IFERROR(Y466*1,"0")+IFERROR(Y467*1,"0")+IFERROR(Y471*1,"0")+IFERROR(Y472*1,"0")+IFERROR(Y476*1,"0")+IFERROR(Y480*1,"0")+IFERROR(Y484*1,"0")+IFERROR(Y485*1,"0")</f>
        <v>177</v>
      </c>
      <c r="Z503" s="46">
        <f>IFERROR(Y490*1,"0")</f>
        <v>0</v>
      </c>
      <c r="AB503" s="52"/>
      <c r="AC503" s="52"/>
      <c r="AF503" s="542"/>
    </row>
  </sheetData>
  <sheetProtection algorithmName="SHA-512" hashValue="RpGBYhBblRK3082e5UpuNebAqGbshddgzUCaTSQnjl1Gy0xuDxcxxovwPbNxy7LCVYw47ADVwlfXfxNZQ+HKsQ==" saltValue="FcMHyu3abYMWT4LHthche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S501:S502"/>
    <mergeCell ref="X17:X18"/>
    <mergeCell ref="P307:T307"/>
    <mergeCell ref="P444:T444"/>
    <mergeCell ref="D110:E110"/>
    <mergeCell ref="P365:T365"/>
    <mergeCell ref="P387:V387"/>
    <mergeCell ref="P496:V496"/>
    <mergeCell ref="J501:J502"/>
    <mergeCell ref="A426:Z426"/>
    <mergeCell ref="A10:C10"/>
    <mergeCell ref="D501:D502"/>
    <mergeCell ref="L501:L502"/>
    <mergeCell ref="P361:V361"/>
    <mergeCell ref="A413:Z413"/>
    <mergeCell ref="P218:T218"/>
    <mergeCell ref="P69:V69"/>
    <mergeCell ref="P140:V140"/>
    <mergeCell ref="A136:Z136"/>
    <mergeCell ref="A21:Z21"/>
    <mergeCell ref="A192:Z192"/>
    <mergeCell ref="P311:V311"/>
    <mergeCell ref="D184:E184"/>
    <mergeCell ref="A366:O367"/>
    <mergeCell ref="D42:E42"/>
    <mergeCell ref="A181:Z181"/>
    <mergeCell ref="P356:V356"/>
    <mergeCell ref="A468:O469"/>
    <mergeCell ref="D17:E18"/>
    <mergeCell ref="D173:E173"/>
    <mergeCell ref="A479:Z479"/>
    <mergeCell ref="A8:C8"/>
    <mergeCell ref="P385:T385"/>
    <mergeCell ref="D355:E355"/>
    <mergeCell ref="P410:T410"/>
    <mergeCell ref="P360:T360"/>
    <mergeCell ref="A477:O478"/>
    <mergeCell ref="P151:T151"/>
    <mergeCell ref="P76:V76"/>
    <mergeCell ref="D395:E395"/>
    <mergeCell ref="P449:T449"/>
    <mergeCell ref="D471:E471"/>
    <mergeCell ref="A131:Z131"/>
    <mergeCell ref="V12:W12"/>
    <mergeCell ref="A200:O201"/>
    <mergeCell ref="D458:E458"/>
    <mergeCell ref="D262:E262"/>
    <mergeCell ref="D433:E433"/>
    <mergeCell ref="D237:E237"/>
    <mergeCell ref="A39:Z39"/>
    <mergeCell ref="A44:O45"/>
    <mergeCell ref="P85:T85"/>
    <mergeCell ref="D291:E291"/>
    <mergeCell ref="D239:E239"/>
    <mergeCell ref="D95:E95"/>
    <mergeCell ref="P149:T149"/>
    <mergeCell ref="P174:T174"/>
    <mergeCell ref="A339:Z339"/>
    <mergeCell ref="U17:V17"/>
    <mergeCell ref="Y17:Y18"/>
    <mergeCell ref="A266:O267"/>
    <mergeCell ref="D57:E57"/>
    <mergeCell ref="N17:N18"/>
    <mergeCell ref="A58:O59"/>
    <mergeCell ref="Q5:R5"/>
    <mergeCell ref="F17:F18"/>
    <mergeCell ref="P72:T72"/>
    <mergeCell ref="P199:T199"/>
    <mergeCell ref="P297:T297"/>
    <mergeCell ref="P435:T435"/>
    <mergeCell ref="D278:E278"/>
    <mergeCell ref="D163:E163"/>
    <mergeCell ref="P291:T291"/>
    <mergeCell ref="D234:E234"/>
    <mergeCell ref="D405:E405"/>
    <mergeCell ref="A24:O25"/>
    <mergeCell ref="P263:T263"/>
    <mergeCell ref="P434:T434"/>
    <mergeCell ref="D244:E244"/>
    <mergeCell ref="D171:E171"/>
    <mergeCell ref="D342:E342"/>
    <mergeCell ref="P355:T355"/>
    <mergeCell ref="D336:E336"/>
    <mergeCell ref="Q6:R6"/>
    <mergeCell ref="A425:Z425"/>
    <mergeCell ref="A189:O190"/>
    <mergeCell ref="P495:V495"/>
    <mergeCell ref="A320:Z320"/>
    <mergeCell ref="A347:Z347"/>
    <mergeCell ref="A114:Z114"/>
    <mergeCell ref="A191:Z191"/>
    <mergeCell ref="P439:T439"/>
    <mergeCell ref="A51:Z51"/>
    <mergeCell ref="A107:Z107"/>
    <mergeCell ref="P262:T262"/>
    <mergeCell ref="P433:T433"/>
    <mergeCell ref="D170:E170"/>
    <mergeCell ref="D341:E341"/>
    <mergeCell ref="P303:V303"/>
    <mergeCell ref="P484:T484"/>
    <mergeCell ref="P436:T436"/>
    <mergeCell ref="D102:E102"/>
    <mergeCell ref="P81:V81"/>
    <mergeCell ref="A269:Z269"/>
    <mergeCell ref="P419:V419"/>
    <mergeCell ref="P145:V145"/>
    <mergeCell ref="D133:E133"/>
    <mergeCell ref="A231:Z231"/>
    <mergeCell ref="P381:V381"/>
    <mergeCell ref="A333:Z333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221:E221"/>
    <mergeCell ref="V11:W11"/>
    <mergeCell ref="A294:Z294"/>
    <mergeCell ref="D392:E392"/>
    <mergeCell ref="A370:O371"/>
    <mergeCell ref="P469:V469"/>
    <mergeCell ref="P57:T57"/>
    <mergeCell ref="P75:T75"/>
    <mergeCell ref="P342:T342"/>
    <mergeCell ref="P317:T317"/>
    <mergeCell ref="P2:W3"/>
    <mergeCell ref="P133:T133"/>
    <mergeCell ref="P498:V498"/>
    <mergeCell ref="P127:T127"/>
    <mergeCell ref="P298:T298"/>
    <mergeCell ref="P198:T198"/>
    <mergeCell ref="P369:T369"/>
    <mergeCell ref="P54:T54"/>
    <mergeCell ref="D437:E437"/>
    <mergeCell ref="D35:E35"/>
    <mergeCell ref="P312:V312"/>
    <mergeCell ref="A289:Z289"/>
    <mergeCell ref="D404:E404"/>
    <mergeCell ref="D10:E10"/>
    <mergeCell ref="F10:G10"/>
    <mergeCell ref="D305:E305"/>
    <mergeCell ref="D270:E270"/>
    <mergeCell ref="P349:T349"/>
    <mergeCell ref="D397:E397"/>
    <mergeCell ref="A344:O345"/>
    <mergeCell ref="P376:V376"/>
    <mergeCell ref="P128:T128"/>
    <mergeCell ref="D310:E310"/>
    <mergeCell ref="A245:O246"/>
    <mergeCell ref="B501:B502"/>
    <mergeCell ref="A247:Z247"/>
    <mergeCell ref="P189:V189"/>
    <mergeCell ref="P456:V456"/>
    <mergeCell ref="D177:E177"/>
    <mergeCell ref="P287:V287"/>
    <mergeCell ref="A483:Z483"/>
    <mergeCell ref="P281:V281"/>
    <mergeCell ref="P183:T183"/>
    <mergeCell ref="D226:E226"/>
    <mergeCell ref="P354:T354"/>
    <mergeCell ref="P364:T364"/>
    <mergeCell ref="U500:W500"/>
    <mergeCell ref="I501:I502"/>
    <mergeCell ref="D323:E323"/>
    <mergeCell ref="D394:E394"/>
    <mergeCell ref="D279:E279"/>
    <mergeCell ref="P406:V406"/>
    <mergeCell ref="D450:E450"/>
    <mergeCell ref="K501:K502"/>
    <mergeCell ref="D216:E216"/>
    <mergeCell ref="D265:E265"/>
    <mergeCell ref="P195:V195"/>
    <mergeCell ref="D252:E252"/>
    <mergeCell ref="M17:M18"/>
    <mergeCell ref="A409:Z409"/>
    <mergeCell ref="O17:O18"/>
    <mergeCell ref="P336:T336"/>
    <mergeCell ref="P258:V258"/>
    <mergeCell ref="P423:V423"/>
    <mergeCell ref="P223:V223"/>
    <mergeCell ref="P430:T430"/>
    <mergeCell ref="P494:V494"/>
    <mergeCell ref="P102:T102"/>
    <mergeCell ref="P417:T417"/>
    <mergeCell ref="P481:V481"/>
    <mergeCell ref="P62:T62"/>
    <mergeCell ref="D152:E152"/>
    <mergeCell ref="D29:E29"/>
    <mergeCell ref="D23:E23"/>
    <mergeCell ref="A134:O135"/>
    <mergeCell ref="A20:Z20"/>
    <mergeCell ref="A125:Z125"/>
    <mergeCell ref="P371:V371"/>
    <mergeCell ref="D452:E452"/>
    <mergeCell ref="P493:V493"/>
    <mergeCell ref="A411:O412"/>
    <mergeCell ref="P110:T110"/>
    <mergeCell ref="Y500:Z500"/>
    <mergeCell ref="P301:T301"/>
    <mergeCell ref="D385:E385"/>
    <mergeCell ref="P178:T178"/>
    <mergeCell ref="D86:E86"/>
    <mergeCell ref="P214:T214"/>
    <mergeCell ref="P270:T270"/>
    <mergeCell ref="P341:T341"/>
    <mergeCell ref="A64:O65"/>
    <mergeCell ref="D151:E151"/>
    <mergeCell ref="D384:E384"/>
    <mergeCell ref="A387:O388"/>
    <mergeCell ref="D449:E449"/>
    <mergeCell ref="A457:Z457"/>
    <mergeCell ref="D150:E150"/>
    <mergeCell ref="P278:T278"/>
    <mergeCell ref="P129:V129"/>
    <mergeCell ref="P101:T101"/>
    <mergeCell ref="D321:E321"/>
    <mergeCell ref="D215:E215"/>
    <mergeCell ref="D386:E386"/>
    <mergeCell ref="P465:T465"/>
    <mergeCell ref="P250:V250"/>
    <mergeCell ref="P492:V492"/>
    <mergeCell ref="V501:V502"/>
    <mergeCell ref="D436:E436"/>
    <mergeCell ref="P490:T490"/>
    <mergeCell ref="X501:X502"/>
    <mergeCell ref="A105:O106"/>
    <mergeCell ref="D227:E227"/>
    <mergeCell ref="A9:C9"/>
    <mergeCell ref="P321:T321"/>
    <mergeCell ref="P323:T323"/>
    <mergeCell ref="P70:V70"/>
    <mergeCell ref="A91:Z91"/>
    <mergeCell ref="P337:V337"/>
    <mergeCell ref="A389:Z389"/>
    <mergeCell ref="A156:Z156"/>
    <mergeCell ref="P32:V32"/>
    <mergeCell ref="P474:V474"/>
    <mergeCell ref="Q13:R13"/>
    <mergeCell ref="P97:V97"/>
    <mergeCell ref="P134:V134"/>
    <mergeCell ref="P401:V401"/>
    <mergeCell ref="I500:R500"/>
    <mergeCell ref="A391:Z391"/>
    <mergeCell ref="A318:O319"/>
    <mergeCell ref="A493:O498"/>
    <mergeCell ref="Y501:Y502"/>
    <mergeCell ref="A230:Z230"/>
    <mergeCell ref="D222:E222"/>
    <mergeCell ref="A501:A502"/>
    <mergeCell ref="P35:T35"/>
    <mergeCell ref="G17:G18"/>
    <mergeCell ref="A81:O82"/>
    <mergeCell ref="A295:Z295"/>
    <mergeCell ref="D314:E314"/>
    <mergeCell ref="P399:T399"/>
    <mergeCell ref="P242:V242"/>
    <mergeCell ref="P407:V407"/>
    <mergeCell ref="A403:Z403"/>
    <mergeCell ref="D80:E80"/>
    <mergeCell ref="P188:T188"/>
    <mergeCell ref="P357:V357"/>
    <mergeCell ref="P382:V382"/>
    <mergeCell ref="A225:Z225"/>
    <mergeCell ref="A461:Z461"/>
    <mergeCell ref="P123:V123"/>
    <mergeCell ref="D434:E434"/>
    <mergeCell ref="P482:V482"/>
    <mergeCell ref="A241:O242"/>
    <mergeCell ref="P111:T111"/>
    <mergeCell ref="H5:M5"/>
    <mergeCell ref="P473:V473"/>
    <mergeCell ref="P158:V158"/>
    <mergeCell ref="A228:O229"/>
    <mergeCell ref="D317:E317"/>
    <mergeCell ref="P396:T396"/>
    <mergeCell ref="A390:Z390"/>
    <mergeCell ref="D6:M6"/>
    <mergeCell ref="D439:E439"/>
    <mergeCell ref="P175:T175"/>
    <mergeCell ref="P266:V266"/>
    <mergeCell ref="A292:O293"/>
    <mergeCell ref="P331:V331"/>
    <mergeCell ref="D143:E143"/>
    <mergeCell ref="P227:T227"/>
    <mergeCell ref="P398:T398"/>
    <mergeCell ref="P177:T177"/>
    <mergeCell ref="A223:O224"/>
    <mergeCell ref="P93:T93"/>
    <mergeCell ref="P226:T226"/>
    <mergeCell ref="D85:E85"/>
    <mergeCell ref="D207:E207"/>
    <mergeCell ref="D256:E256"/>
    <mergeCell ref="P120:V120"/>
    <mergeCell ref="V6:W9"/>
    <mergeCell ref="A112:O113"/>
    <mergeCell ref="D128:E128"/>
    <mergeCell ref="D199:E199"/>
    <mergeCell ref="P256:T256"/>
    <mergeCell ref="P109:T109"/>
    <mergeCell ref="D364:E364"/>
    <mergeCell ref="D435:E435"/>
    <mergeCell ref="D217:E217"/>
    <mergeCell ref="P222:T222"/>
    <mergeCell ref="P22:T22"/>
    <mergeCell ref="P193:T193"/>
    <mergeCell ref="P314:T314"/>
    <mergeCell ref="D428:E428"/>
    <mergeCell ref="D415:E415"/>
    <mergeCell ref="A346:Z346"/>
    <mergeCell ref="P80:T80"/>
    <mergeCell ref="D194:E194"/>
    <mergeCell ref="Z17:Z18"/>
    <mergeCell ref="A283:Z283"/>
    <mergeCell ref="A277:Z277"/>
    <mergeCell ref="P44:V44"/>
    <mergeCell ref="P335:T335"/>
    <mergeCell ref="D299:E299"/>
    <mergeCell ref="P468:V468"/>
    <mergeCell ref="A160:Z160"/>
    <mergeCell ref="A489:Z489"/>
    <mergeCell ref="A141:Z141"/>
    <mergeCell ref="W501:W502"/>
    <mergeCell ref="H10:M10"/>
    <mergeCell ref="AA17:AA18"/>
    <mergeCell ref="AC17:AC18"/>
    <mergeCell ref="P485:T485"/>
    <mergeCell ref="P108:T108"/>
    <mergeCell ref="P279:T279"/>
    <mergeCell ref="D393:E393"/>
    <mergeCell ref="A420:Z420"/>
    <mergeCell ref="P472:T472"/>
    <mergeCell ref="P254:T254"/>
    <mergeCell ref="F501:F502"/>
    <mergeCell ref="P343:T343"/>
    <mergeCell ref="H501:H502"/>
    <mergeCell ref="D153:E153"/>
    <mergeCell ref="D484:E484"/>
    <mergeCell ref="A455:O456"/>
    <mergeCell ref="AB17:AB18"/>
    <mergeCell ref="A448:Z448"/>
    <mergeCell ref="S500:T500"/>
    <mergeCell ref="D465:E465"/>
    <mergeCell ref="D296:E296"/>
    <mergeCell ref="P275:V275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61:T61"/>
    <mergeCell ref="P359:T359"/>
    <mergeCell ref="P176:T176"/>
    <mergeCell ref="P41:T41"/>
    <mergeCell ref="D149:E149"/>
    <mergeCell ref="A284:Z284"/>
    <mergeCell ref="P415:T415"/>
    <mergeCell ref="A348:Z348"/>
    <mergeCell ref="D218:E218"/>
    <mergeCell ref="D54:E54"/>
    <mergeCell ref="P185:V185"/>
    <mergeCell ref="M501:M502"/>
    <mergeCell ref="O501:O502"/>
    <mergeCell ref="P58:V58"/>
    <mergeCell ref="A13:M13"/>
    <mergeCell ref="P380:T380"/>
    <mergeCell ref="Q501:Q502"/>
    <mergeCell ref="D61:E61"/>
    <mergeCell ref="P115:T115"/>
    <mergeCell ref="D254:E254"/>
    <mergeCell ref="A15:M15"/>
    <mergeCell ref="P238:T238"/>
    <mergeCell ref="P302:V302"/>
    <mergeCell ref="A427:Z427"/>
    <mergeCell ref="D490:E490"/>
    <mergeCell ref="P204:T204"/>
    <mergeCell ref="P375:T375"/>
    <mergeCell ref="D62:E62"/>
    <mergeCell ref="C500:H500"/>
    <mergeCell ref="D56:E56"/>
    <mergeCell ref="D193:E193"/>
    <mergeCell ref="D127:E127"/>
    <mergeCell ref="P206:T206"/>
    <mergeCell ref="P233:T233"/>
    <mergeCell ref="D176:E176"/>
    <mergeCell ref="D485:E485"/>
    <mergeCell ref="P447:V447"/>
    <mergeCell ref="D137:E137"/>
    <mergeCell ref="P216:T216"/>
    <mergeCell ref="P124:V124"/>
    <mergeCell ref="D422:E422"/>
    <mergeCell ref="D74:E74"/>
    <mergeCell ref="P87:T87"/>
    <mergeCell ref="D68:E68"/>
    <mergeCell ref="D335:E335"/>
    <mergeCell ref="P451:T451"/>
    <mergeCell ref="A470:Z470"/>
    <mergeCell ref="D188:E188"/>
    <mergeCell ref="A440:O441"/>
    <mergeCell ref="D286:E286"/>
    <mergeCell ref="P322:T322"/>
    <mergeCell ref="D132:E132"/>
    <mergeCell ref="D399:E399"/>
    <mergeCell ref="P309:T309"/>
    <mergeCell ref="D178:E178"/>
    <mergeCell ref="P88:T88"/>
    <mergeCell ref="D172:E172"/>
    <mergeCell ref="P153:T153"/>
    <mergeCell ref="P338:V338"/>
    <mergeCell ref="T5:U5"/>
    <mergeCell ref="V5:W5"/>
    <mergeCell ref="P203:T203"/>
    <mergeCell ref="P374:T374"/>
    <mergeCell ref="A491:O492"/>
    <mergeCell ref="D111:E111"/>
    <mergeCell ref="D233:E233"/>
    <mergeCell ref="P212:V212"/>
    <mergeCell ref="A142:Z142"/>
    <mergeCell ref="Q8:R8"/>
    <mergeCell ref="D183:E183"/>
    <mergeCell ref="P438:T438"/>
    <mergeCell ref="D444:E444"/>
    <mergeCell ref="D248:E248"/>
    <mergeCell ref="D219:E219"/>
    <mergeCell ref="D104:E104"/>
    <mergeCell ref="A257:O258"/>
    <mergeCell ref="T6:U9"/>
    <mergeCell ref="P319:V319"/>
    <mergeCell ref="Q10:R10"/>
    <mergeCell ref="A442:Z442"/>
    <mergeCell ref="D41:E41"/>
    <mergeCell ref="P296:T296"/>
    <mergeCell ref="A486:O487"/>
    <mergeCell ref="G501:G502"/>
    <mergeCell ref="A251:Z251"/>
    <mergeCell ref="P497:V497"/>
    <mergeCell ref="P122:T122"/>
    <mergeCell ref="P288:V288"/>
    <mergeCell ref="P43:T43"/>
    <mergeCell ref="P65:V65"/>
    <mergeCell ref="D157:E157"/>
    <mergeCell ref="P285:T285"/>
    <mergeCell ref="D328:E328"/>
    <mergeCell ref="A126:Z126"/>
    <mergeCell ref="A259:Z259"/>
    <mergeCell ref="P228:V228"/>
    <mergeCell ref="P293:V293"/>
    <mergeCell ref="D343:E343"/>
    <mergeCell ref="P397:T397"/>
    <mergeCell ref="P200:V200"/>
    <mergeCell ref="P74:T74"/>
    <mergeCell ref="D182:E182"/>
    <mergeCell ref="P292:V292"/>
    <mergeCell ref="P310:T310"/>
    <mergeCell ref="D109:E109"/>
    <mergeCell ref="P163:T163"/>
    <mergeCell ref="D280:E2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A69:O70"/>
    <mergeCell ref="P272:T272"/>
    <mergeCell ref="P210:T210"/>
    <mergeCell ref="D327:E327"/>
    <mergeCell ref="E501:E502"/>
    <mergeCell ref="A17:A18"/>
    <mergeCell ref="K17:K18"/>
    <mergeCell ref="P300:T300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68:T68"/>
    <mergeCell ref="P239:T239"/>
    <mergeCell ref="P186:V186"/>
    <mergeCell ref="A418:O419"/>
    <mergeCell ref="A185:O186"/>
    <mergeCell ref="A356:O357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398:E398"/>
    <mergeCell ref="P480:T480"/>
    <mergeCell ref="Q12:R12"/>
    <mergeCell ref="P280:T280"/>
    <mergeCell ref="P169:T169"/>
    <mergeCell ref="D261:E261"/>
    <mergeCell ref="A274:O275"/>
    <mergeCell ref="P467:T467"/>
    <mergeCell ref="P196:V196"/>
    <mergeCell ref="P491:V491"/>
    <mergeCell ref="D454:E454"/>
    <mergeCell ref="P308:T308"/>
    <mergeCell ref="D416:E416"/>
    <mergeCell ref="D93:E93"/>
    <mergeCell ref="D264:E264"/>
    <mergeCell ref="D220:E220"/>
    <mergeCell ref="P370:V370"/>
    <mergeCell ref="A12:M12"/>
    <mergeCell ref="A19:Z19"/>
    <mergeCell ref="A14:M14"/>
    <mergeCell ref="D480:E480"/>
    <mergeCell ref="D467:E467"/>
    <mergeCell ref="P138:T138"/>
    <mergeCell ref="P25:V25"/>
    <mergeCell ref="P318:V318"/>
    <mergeCell ref="A6:C6"/>
    <mergeCell ref="D309:E309"/>
    <mergeCell ref="P118:T118"/>
    <mergeCell ref="P416:T416"/>
    <mergeCell ref="D88:E88"/>
    <mergeCell ref="P167:T167"/>
    <mergeCell ref="D148:E148"/>
    <mergeCell ref="A161:Z161"/>
    <mergeCell ref="P117:T117"/>
    <mergeCell ref="P55:T55"/>
    <mergeCell ref="D115:E115"/>
    <mergeCell ref="A324:O325"/>
    <mergeCell ref="P182:T182"/>
    <mergeCell ref="D43:E43"/>
    <mergeCell ref="J9:M9"/>
    <mergeCell ref="P155:V155"/>
    <mergeCell ref="D285:E285"/>
    <mergeCell ref="A154:O155"/>
    <mergeCell ref="P143:T143"/>
    <mergeCell ref="A129:O130"/>
    <mergeCell ref="P248:T248"/>
    <mergeCell ref="P235:T235"/>
    <mergeCell ref="P306:T306"/>
    <mergeCell ref="D349:E349"/>
    <mergeCell ref="Q9:R9"/>
    <mergeCell ref="P267:V267"/>
    <mergeCell ref="D451:E451"/>
    <mergeCell ref="D255:E255"/>
    <mergeCell ref="P49:V49"/>
    <mergeCell ref="P36:V36"/>
    <mergeCell ref="P478:V478"/>
    <mergeCell ref="Q11:R11"/>
    <mergeCell ref="P205:T205"/>
    <mergeCell ref="D322:E322"/>
    <mergeCell ref="A195:O196"/>
    <mergeCell ref="D453:E453"/>
    <mergeCell ref="D476:E476"/>
    <mergeCell ref="A38:Z38"/>
    <mergeCell ref="P455:V455"/>
    <mergeCell ref="A147:Z147"/>
    <mergeCell ref="P207:T207"/>
    <mergeCell ref="P249:V249"/>
    <mergeCell ref="A302:O303"/>
    <mergeCell ref="A372:Z372"/>
    <mergeCell ref="P299:T299"/>
    <mergeCell ref="D138:E138"/>
    <mergeCell ref="A40:Z40"/>
    <mergeCell ref="P393:T393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D374:E374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22:E22"/>
    <mergeCell ref="D31:E31"/>
    <mergeCell ref="A166:Z166"/>
    <mergeCell ref="P286:T286"/>
    <mergeCell ref="D329:E329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D271:E271"/>
    <mergeCell ref="A26:Z26"/>
    <mergeCell ref="P103:T103"/>
    <mergeCell ref="P59:V59"/>
    <mergeCell ref="P130:V130"/>
    <mergeCell ref="P168:T168"/>
    <mergeCell ref="D1:F1"/>
    <mergeCell ref="P190:V190"/>
    <mergeCell ref="A71:Z71"/>
    <mergeCell ref="P466:T466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D443:E443"/>
    <mergeCell ref="D308:E308"/>
    <mergeCell ref="A46:Z46"/>
    <mergeCell ref="D87:E87"/>
    <mergeCell ref="D209:E209"/>
    <mergeCell ref="D380:E380"/>
    <mergeCell ref="P464:T464"/>
    <mergeCell ref="D445:E445"/>
    <mergeCell ref="D301:E301"/>
    <mergeCell ref="P116:T116"/>
    <mergeCell ref="D122:E122"/>
    <mergeCell ref="A423:O424"/>
    <mergeCell ref="P194:T194"/>
    <mergeCell ref="D438:E438"/>
    <mergeCell ref="U501:U502"/>
    <mergeCell ref="D67:E67"/>
    <mergeCell ref="D5:E5"/>
    <mergeCell ref="P453:T453"/>
    <mergeCell ref="P42:T42"/>
    <mergeCell ref="A32:O33"/>
    <mergeCell ref="D290:E290"/>
    <mergeCell ref="D94:E94"/>
    <mergeCell ref="D417:E417"/>
    <mergeCell ref="A401:O402"/>
    <mergeCell ref="P471:T471"/>
    <mergeCell ref="P148:T148"/>
    <mergeCell ref="P240:T240"/>
    <mergeCell ref="A96:O97"/>
    <mergeCell ref="D354:E354"/>
    <mergeCell ref="A475:Z475"/>
    <mergeCell ref="P460:V460"/>
    <mergeCell ref="P106:V106"/>
    <mergeCell ref="P33:V33"/>
    <mergeCell ref="P164:V164"/>
    <mergeCell ref="P273:T273"/>
    <mergeCell ref="D316:E316"/>
    <mergeCell ref="D272:E272"/>
    <mergeCell ref="A123:O124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432:E432"/>
    <mergeCell ref="D236:E236"/>
    <mergeCell ref="D117:E117"/>
    <mergeCell ref="D92:E92"/>
    <mergeCell ref="D55:E55"/>
    <mergeCell ref="D30:E30"/>
    <mergeCell ref="P171:T171"/>
    <mergeCell ref="A179:O180"/>
    <mergeCell ref="D353:E353"/>
    <mergeCell ref="D7:M7"/>
    <mergeCell ref="A373:Z373"/>
    <mergeCell ref="D365:E365"/>
    <mergeCell ref="P236:T236"/>
    <mergeCell ref="D79:E79"/>
    <mergeCell ref="P92:T92"/>
    <mergeCell ref="P334:T334"/>
    <mergeCell ref="D144:E144"/>
    <mergeCell ref="D315:E315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A211:O212"/>
    <mergeCell ref="D300:E300"/>
    <mergeCell ref="P237:T237"/>
    <mergeCell ref="P31:T31"/>
    <mergeCell ref="P329:T329"/>
    <mergeCell ref="P180:V180"/>
    <mergeCell ref="P45:V45"/>
    <mergeCell ref="D53:E53"/>
    <mergeCell ref="D47:E47"/>
    <mergeCell ref="A84:Z84"/>
    <mergeCell ref="P159:V159"/>
    <mergeCell ref="D351:E351"/>
    <mergeCell ref="A473:O474"/>
    <mergeCell ref="P209:T209"/>
    <mergeCell ref="P445:T445"/>
    <mergeCell ref="W17:W18"/>
    <mergeCell ref="A50:Z50"/>
    <mergeCell ref="P96:V96"/>
    <mergeCell ref="P90:V90"/>
    <mergeCell ref="P332:V332"/>
    <mergeCell ref="P388:V388"/>
    <mergeCell ref="A213:Z213"/>
    <mergeCell ref="A331:O332"/>
    <mergeCell ref="P459:V459"/>
    <mergeCell ref="A376:O377"/>
    <mergeCell ref="P234:T234"/>
    <mergeCell ref="P154:V154"/>
    <mergeCell ref="P325:V325"/>
    <mergeCell ref="P394:T394"/>
    <mergeCell ref="D429:E429"/>
    <mergeCell ref="D379:E379"/>
    <mergeCell ref="R501:R502"/>
    <mergeCell ref="P452:T452"/>
    <mergeCell ref="P377:V377"/>
    <mergeCell ref="A202:Z202"/>
    <mergeCell ref="T501:T502"/>
    <mergeCell ref="P37:V37"/>
    <mergeCell ref="P104:T104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113:V113"/>
    <mergeCell ref="R1:T1"/>
    <mergeCell ref="A158:O159"/>
    <mergeCell ref="P28:T28"/>
    <mergeCell ref="P150:T150"/>
    <mergeCell ref="P172:T172"/>
    <mergeCell ref="P221:T221"/>
    <mergeCell ref="P392:T392"/>
    <mergeCell ref="A145:O146"/>
    <mergeCell ref="P215:T215"/>
    <mergeCell ref="D307:E307"/>
    <mergeCell ref="A139:O140"/>
    <mergeCell ref="P386:T386"/>
    <mergeCell ref="A381:O382"/>
    <mergeCell ref="P229:V229"/>
    <mergeCell ref="A89:O90"/>
    <mergeCell ref="P30:T30"/>
    <mergeCell ref="D73:E73"/>
    <mergeCell ref="P77:V77"/>
    <mergeCell ref="A76:O77"/>
    <mergeCell ref="P152:T152"/>
    <mergeCell ref="P179:V179"/>
    <mergeCell ref="P290:T290"/>
    <mergeCell ref="A311:O312"/>
    <mergeCell ref="V10:W10"/>
    <mergeCell ref="A34:Z34"/>
    <mergeCell ref="A83:Z83"/>
    <mergeCell ref="A276:Z276"/>
    <mergeCell ref="D410:E410"/>
    <mergeCell ref="P245:V245"/>
    <mergeCell ref="A368:Z368"/>
    <mergeCell ref="H9:I9"/>
    <mergeCell ref="P224:V224"/>
    <mergeCell ref="P24:V24"/>
    <mergeCell ref="P89:V89"/>
    <mergeCell ref="P211:V211"/>
    <mergeCell ref="A383:Z383"/>
    <mergeCell ref="D297:E297"/>
    <mergeCell ref="A78:Z78"/>
    <mergeCell ref="P324:V324"/>
    <mergeCell ref="P220:T220"/>
    <mergeCell ref="D263:E263"/>
    <mergeCell ref="A363:Z363"/>
    <mergeCell ref="D238:E238"/>
    <mergeCell ref="P86:T86"/>
    <mergeCell ref="A287:O288"/>
    <mergeCell ref="P157:T157"/>
    <mergeCell ref="P328:T328"/>
    <mergeCell ref="A281:O282"/>
    <mergeCell ref="P79:T79"/>
    <mergeCell ref="P73:T73"/>
    <mergeCell ref="P244:T244"/>
    <mergeCell ref="P144:T144"/>
    <mergeCell ref="P315:T315"/>
    <mergeCell ref="P437:T437"/>
    <mergeCell ref="A361:O362"/>
    <mergeCell ref="D174:E174"/>
    <mergeCell ref="D472:E472"/>
    <mergeCell ref="P454:T454"/>
    <mergeCell ref="D205:E205"/>
    <mergeCell ref="A378:Z378"/>
    <mergeCell ref="P384:T384"/>
    <mergeCell ref="P432:T432"/>
    <mergeCell ref="P446:V446"/>
    <mergeCell ref="P402:V402"/>
    <mergeCell ref="P443:T443"/>
    <mergeCell ref="D253:E253"/>
    <mergeCell ref="P458:T458"/>
    <mergeCell ref="A459:O460"/>
    <mergeCell ref="A462:Z462"/>
    <mergeCell ref="A446:O447"/>
    <mergeCell ref="D210:E210"/>
    <mergeCell ref="P400:T40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1:X42 X57 X63 X85 X88 X100 X103 X118 X122 X167 X169 X173 X176 X203:X206 X208:X210 X216:X217 X219 X221:X222 X226:X227 X240 X279 X309:X310 X321:X322 X329 X342:X343 X349:X351 X359 X396 X428 X432 X434 X450:X451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NCWhixcse3t7Za5aSZ/ftl870sLcHMACZ1VGb3rXKpqOt+v2YUqdbBkyLDd6LdaC0ybTxeJzxbesQC62Y3JBhw==" saltValue="UmkjhOhJQEZFa1wyYmBdy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