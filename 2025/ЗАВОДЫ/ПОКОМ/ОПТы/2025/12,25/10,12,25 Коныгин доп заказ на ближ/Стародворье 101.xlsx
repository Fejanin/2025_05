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"/>
    </mc:Choice>
  </mc:AlternateContent>
  <xr:revisionPtr revIDLastSave="0" documentId="13_ncr:1_{678D9C29-0F44-4F28-86F0-7CF7FE16B9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Лист1!$I$1:$I$116</definedName>
    <definedName name="_xlnm._FilterDatabase" localSheetId="1">Лист2!$A$4:$A$101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5" i="1"/>
  <c r="I116" i="1"/>
  <c r="J116" i="1" l="1"/>
</calcChain>
</file>

<file path=xl/sharedStrings.xml><?xml version="1.0" encoding="utf-8"?>
<sst xmlns="http://schemas.openxmlformats.org/spreadsheetml/2006/main" count="522" uniqueCount="231">
  <si>
    <t>Продано, кг (ВП)</t>
  </si>
  <si>
    <t>Торговая Марка (SAP SKU)</t>
  </si>
  <si>
    <t>Наименование</t>
  </si>
  <si>
    <t>Баварушка</t>
  </si>
  <si>
    <t>Колбаса варено-копченая Салями Филейбургская зернистая ТМ Баварушка фиброуз в/у ф/в 0,35 кг срез УВС2 СК2</t>
  </si>
  <si>
    <t>Колбаса варено-копченая Сервелат Филейбургский с филе сочного окорока ТМ Баварушка фиброуз в/у ф/в 0,35 кг срез УВС2 СК2</t>
  </si>
  <si>
    <t>Баварушка Итог</t>
  </si>
  <si>
    <t>Вязанка</t>
  </si>
  <si>
    <t>Ветчина Сливушка с индейкой ТМ Вязанка полиамид 0,3 кг УВС СК1</t>
  </si>
  <si>
    <t>Ветчина Филейская ТМ Вязанка ТС Столичная полиамид вес НД СК3</t>
  </si>
  <si>
    <t>Ветчина Филейская ТМ Вязанка ТС Столичная полиамид ф/в 0,45 кг НД СК3</t>
  </si>
  <si>
    <t>Колбаса вареная Докторская ГОСТ ТМ Вязанка вектор вес СК3</t>
  </si>
  <si>
    <t>Колбаса вареная Докторская ГОСТ ТМ Вязанка вектор ф/в 0,4 кг СК3</t>
  </si>
  <si>
    <t>Колбаса вареная Докторский гарант ТМ Вязанка вектор ф/в 0,4 кг СК3</t>
  </si>
  <si>
    <t>Колбаса вареная Молокуша ТМ Вязанка полиамид вес СК3</t>
  </si>
  <si>
    <t>Колбаса вареная Молокуша ТМ Вязанка полиамид ф/в 0,45 кг СК3</t>
  </si>
  <si>
    <t>Колбаса вареная Мусульманская Халяль ТМ Вязанка вектор ф/в 0,4 кг АК</t>
  </si>
  <si>
    <t>Колбаса вареная Сливушка ТМ Вязанка полиамид 0,375 кг СК3</t>
  </si>
  <si>
    <t>Колбаса вареная Сливушка ТМ Вязанка полиамид 0,45 кг СК3</t>
  </si>
  <si>
    <t>Колбаса вареная Сливушка ТМ Вязанка полиамид вес СК3</t>
  </si>
  <si>
    <t>Колбаса вареная Филейская ТМ Вязанка ТС Классическая полиамид вес НД СК3</t>
  </si>
  <si>
    <t>Колбаса вареная Филейская ТМ Вязанка ТС Классическая полиамид ф/в 0,45 кг НД СК3</t>
  </si>
  <si>
    <t>Колбаса вареная Филейская ТМ Вязанка ТС Классическая полиамид ф/в 0,45 кг НД СК4</t>
  </si>
  <si>
    <t>Колбаса варено-копченая Балыковая ТМ Стародворские колбасы ТС Вязанка фиброуз в/у вес НД2 СК1</t>
  </si>
  <si>
    <t>Колбаса варено-копченая Сервелат Столичный ТМ Стародворские колбасы ТС Вязанка фиброуз в/у вес НД3 СК2</t>
  </si>
  <si>
    <t>Колбаса полукопченая Аль-Ислами ТМ Вязанка Халяль фиброуз в/у ф/в 0,35 кг АК</t>
  </si>
  <si>
    <t>Сосиски Восточные халяль ТМ Вязанка полиамид в/у ф/в 0,33 кг АК</t>
  </si>
  <si>
    <t>Сосиски Вязанка Молочные ТМ Вязанка амицел мгс вес УВС НД СК3</t>
  </si>
  <si>
    <t>Сосиски Вязанка Молочные ТМ Вязанка амицел мгс ф/в 0,45 кг УВС НД СК3</t>
  </si>
  <si>
    <t>Сосиски Вязанка Сливочные ТМ Вязанка амицел мгс вес УВС НД СК3</t>
  </si>
  <si>
    <t>Сосиски Вязанка Сливочные ТМ Вязанка амицел мгс ф/в 0,33 кг УВС НД СК3</t>
  </si>
  <si>
    <t>Сосиски Вязанка Сливочные ТМ Вязанка амицел мгс ф/в 0,45 кг УВС НД СК3</t>
  </si>
  <si>
    <t>Сосиски Молокуши миникушай ТМ Вязанка амицел мгс ф/в 0,33 кг УВС СК3</t>
  </si>
  <si>
    <t>Вязанка Итог</t>
  </si>
  <si>
    <t>Дугушка</t>
  </si>
  <si>
    <t>Ветчина Дугушка ТМ Стародворье ТС Дугушка диплекс вес УВС СК3</t>
  </si>
  <si>
    <t>Колбаса вареная Докторская ТМ Стародворье ТС Дугушка полиамид вес УВС СК3</t>
  </si>
  <si>
    <t>Колбаса вареная Докторская ТМ Стародворье ТС Дугушка полиамид ф/в 0,6 кг УВК СК3</t>
  </si>
  <si>
    <t>Колбаса вареная Молочная Дугушка ТМ Стародворье ТС Дугушка полиамид вес УВС СК1</t>
  </si>
  <si>
    <t>Колбаса вареная Молочная Дугушка ТМ Стародворье ТС Дугушка полиамид ф/в 0,4 кг СК1</t>
  </si>
  <si>
    <t>Колбаса варено-копченая Рубленая запеченная ТМ Стародворье ТС Дугушка вектор вес УВС5 СК1</t>
  </si>
  <si>
    <t>Колбаса варено-копченая Рубленая Запеченная ТМ Стародворье ТС Дугушка вектор ф/в 0,6 кг УВС1 СК1</t>
  </si>
  <si>
    <t>Колбаса варено-копченая Салями запеченная ТМ Стародворье ТС Дугушка вектор вес УВС3 СК2</t>
  </si>
  <si>
    <t>Колбаса варено-копченая Салями Запеченная ТМ Стародворье ТС Дугушка вектор ф/в 0,6 кг УВС1 СК2</t>
  </si>
  <si>
    <t>Колбаса варено-копченая Сервелат запеченный ТМ Стародворье ТС Дугушка вектор весовая УВС5 СК2</t>
  </si>
  <si>
    <t>Колбаса варено-копченая Сервелат Запеченный ТМ Стародворье ТС Дугушка вектор ф/в 0,6 кг УВС1 СК2</t>
  </si>
  <si>
    <t>Дугушка Итог</t>
  </si>
  <si>
    <t>Зареченские продукты</t>
  </si>
  <si>
    <t>Колбаса вареная Нежная ТМ Зареченские ТС Зареченские продукты полиамид вес НТУ НД СК1</t>
  </si>
  <si>
    <t>Колбаса варено-копченая из мяса птицы Сервелат Рижский ТМ Зареченские ТС Зареченские продукты фиброуз в/у вес НТУ НД СК2</t>
  </si>
  <si>
    <t>Колбаса варено-копченая Пражский ТМ Зареченские ТС Зареченские продукты фиброуз в/у вес НД СК2</t>
  </si>
  <si>
    <t>Зареченские продукты Итог</t>
  </si>
  <si>
    <t>Особый рецепт</t>
  </si>
  <si>
    <t>Ветчина вареная Нежная ТМ Особый рецепт полиамид вес большой батон СК3</t>
  </si>
  <si>
    <t>Ветчина Нежная ТМ Особый рецепт полиамид ф/в 0,4 кг СК1</t>
  </si>
  <si>
    <t>Колбаса вареная Докторская Особая ТМ Особый рецепт полиамид вес СК4</t>
  </si>
  <si>
    <t>Колбаса вареная Молочная ТМ Особый рецепт полиамид вес большой батон СК4</t>
  </si>
  <si>
    <t>Колбаса вареная Со шпиком ТМ Особый рецепт полиамид 0,5 кг СК1</t>
  </si>
  <si>
    <t>Колбаса вареная Со шпиком ТМ Особый рецепт полиамид вес большой батон СК1</t>
  </si>
  <si>
    <t>Колбаса вареная Филейная ТМ Особый рецепт полиамид вес большой батон СК4</t>
  </si>
  <si>
    <t>Колбаса вареная Филейная ТМ Особый рецепт полиамид ф/в 0,5 кг СК4</t>
  </si>
  <si>
    <t>Сардельки Сочные ТМ Особый рецепт полиамид мгс вес УВВ СК3</t>
  </si>
  <si>
    <t>Сосиски Молочные для завтрака ТМ Особый рецепт полиамид мгс вес УВВ НД2 СК4</t>
  </si>
  <si>
    <t>Сосиски Молочные для завтрака ТМ Особый рецепт полиамид мгс ф/в 0,4 кг НД2 СК3</t>
  </si>
  <si>
    <t>Особый рецепт Итог</t>
  </si>
  <si>
    <t>Стародворье</t>
  </si>
  <si>
    <t>Бекон Вяленый выдержанный ТМ Стародворье в/у ф/в 0,055 кг нарезка Топ-ЛКК, Дистр МЗР</t>
  </si>
  <si>
    <t>Бекон сырокопченый ТМ Стародворье в/у ф/в 0,12 кг нарезка УМК Топ-ЛКК, Дистр МЗР</t>
  </si>
  <si>
    <t>Грудинка копчено-вареная ТМ Стародворье в/у ф/в 0,12 кг нарезка УМК Топ-ЛКК, Дистр МЗР</t>
  </si>
  <si>
    <t>Колбаса вареная Молочная по-стародворски ТМ Стародворье полиамид вес СК2</t>
  </si>
  <si>
    <t>Колбаса вареная Молочная Традиционная ТМ Стародворье полиамид вес СК1</t>
  </si>
  <si>
    <t>Колбаса вареная Молочная Традиционная ТМ Стародворье полиамид ф/в 0,4 кг СК1</t>
  </si>
  <si>
    <t>Колбаса вареная Стародворская со шпиком ТМ Стародворье полиамид вес СК1</t>
  </si>
  <si>
    <t>Колбаса вареная Стародворская Традиционная со шпиком ТМ Стародворье полиамид вес СК1</t>
  </si>
  <si>
    <t>Колбаса вареная Стародворская Традиционная ТМ Стародворье полиамид вес СК2</t>
  </si>
  <si>
    <t>Колбаса вареная Стародворская Традиционная ТМ Стародворье полиамид ф/в 0,4 кг СК1</t>
  </si>
  <si>
    <t>Колбаса вареная Филедворская по-стародворски ТМ Стародворье полиамид вес СК2</t>
  </si>
  <si>
    <t>Колбаса варено-копченая Мясорубская ТМ Стародворье с рубленой грудинкой фиброуз в/у ф/в 0,35 кг срез СК2</t>
  </si>
  <si>
    <t>Колбаса варено-копченая Салями Мясорубская ТМ Стародворье с рубленым шпиком фиброуз в/у ф/в 0,35 кг срез СК2</t>
  </si>
  <si>
    <t>Колбаса варено-копченая Сервелат Зернистый ТМ Стародворье фиброуз в/у вес СК2</t>
  </si>
  <si>
    <t>Колбаса варено-копченая Сервелат Кремлевский ТМ Стародворье фиброуз в/у вес УВС СК2</t>
  </si>
  <si>
    <t>Колбаса варено-копченая Сервелат Кремлевский ТМ Стародворье фиброуз в/у ф/в 0,35 кг срез УВС СК2</t>
  </si>
  <si>
    <t>Колбаса варено-копченая Сервелат Мясорубский ТМ Стародворье с мелкорубленным окороком фиброуз в/у вес СК2</t>
  </si>
  <si>
    <t>Колбаса варено-копченая Сервелат Мясорубский ТМ Стародворье с мелкорубленным окороком фиброуз в/у ф/в 0,35 кг срез СК2</t>
  </si>
  <si>
    <t>Колбаса варено-копченая Сервелат Филедворский ТМ Стародворье фиброуз в/у ф/в 0,35 кг срез НД2 СК2</t>
  </si>
  <si>
    <t>Колбаса варено-копченая Сочинка по-европейски с сочной грудинкой ТМ Стародворье фиброуз в/у вес СК2</t>
  </si>
  <si>
    <t>Колбаса варено-копченая Сочинка по-европейски с сочной грудинкой ТМ Стародворье фиброуз в/у ф/в 0,3 кг срез СК2</t>
  </si>
  <si>
    <t>Колбаса варено-копченая Сочинка по-фински с сочным окороком ТМ Стародворье фиброуз в/у ф/в 0,3 кг срез СК2</t>
  </si>
  <si>
    <t>Колбаса полукопченая Кракушка пряная с сальцем ТМ Стародворье ТС Баварушка черева в/у ф/в 0,3 кг СК2</t>
  </si>
  <si>
    <t>Колбаса полукопченая Сочинка зернистая с сочной грудинкой ТМ Стародворье фиброуз в/у вес СК2</t>
  </si>
  <si>
    <t>Колбаса полукопченая Сочинка рубленая с сочным окороком ТМ Стародворье фиброуз в/у ф/в 0,3 кг срез СК2</t>
  </si>
  <si>
    <t>Колбаса сыровяленая Фуэт ТМ Стародворье в/у ф/в 0,07 кг нарезка Топ-ЛКК, Дистр МЗР</t>
  </si>
  <si>
    <t>Колбаса сырокопченая Баварская ТМ Стародворье б/о т/п ф/в 0,17 кг АК</t>
  </si>
  <si>
    <t>Колбаса сырокопченая Княжеская ТМ Стародворье белковой терм/п вес АК</t>
  </si>
  <si>
    <t>Колбаса сырокопченая Мраморная ТМ Стародворье в/у ф/в 0,07 кг нарезка Топ-ЛКК, Дистр МЗР</t>
  </si>
  <si>
    <t>Колбаса сырокопченая Сальчичон ТМ Стародворье в/у ф/в 0,07 кг нарезка Топ-ЛКК, Дистр МЗР</t>
  </si>
  <si>
    <t>Колбаса сырокопченая Салями Охотничья ТМ Стародворье бел/о терм/п вес АК</t>
  </si>
  <si>
    <t>Колбаса сырокопченая Сервелат Ореховый ТМ Стародворье в/у ф/в 0,07 кг нарезка Топ-ЛКК, Дистр МЗР</t>
  </si>
  <si>
    <t>Колбаса сырокопченая Швейцарская ТМ Стародворье фиброуз терм/п ф/в 0,17 кг АК</t>
  </si>
  <si>
    <t>Корейка Вяленая выдержанная ТМ Стародворье в/у ф/в 0,05 кг нарезка Топ-ЛКК, Дистр МЗР</t>
  </si>
  <si>
    <t>Окорок Прошутто сыровяленый выдержанный ТМ Стародворье в/у ф/в 0,055 кг нарезка Топ-ЛКК, Дистр МЗР</t>
  </si>
  <si>
    <t>Окорок Хамон Вяленый выдержанный ТМ Стародворье в/у ф/в 0,055 кг нарезка Топ-ЛКК, Дистр МЗР</t>
  </si>
  <si>
    <t>Паштет Любительский ТМ Стародворье ламистер ф/в 0,1 кг РК</t>
  </si>
  <si>
    <t>Паштет печеночный с морковью ТМ Стародворье ламистер ф/в 0,1 кг НКК, Топ-ЛКК, Дистр РК</t>
  </si>
  <si>
    <t>Паштет печеночный Со сливочным маслом ТМ Стародворье ламистер ф/в 0,1 кг РК</t>
  </si>
  <si>
    <t>Сардельки Нежные ТМ Стародворье NDX мгс вес НД2 СК3</t>
  </si>
  <si>
    <t>Сардельки Сочинки ТМ Стародворье полиамид мгс ф/в 0,4 кг НД СК4</t>
  </si>
  <si>
    <t>Сардельки Стародворские с говядиной ТМ Стародворье NDX мгс вес СК3</t>
  </si>
  <si>
    <t>Сосиски Баварские с сыром ТМ Стародворье айпил мгс ф/в 0,35 кг СК4</t>
  </si>
  <si>
    <t>Сосиски Баварские ТМ Стародворье айпил мгс ф/в 0,35 кг СК3</t>
  </si>
  <si>
    <t>Сосиски Ганноверские ТМ Стародворье амилюкс мгс вес УВС2 НД СК3</t>
  </si>
  <si>
    <t>Сосиски Ганноверские ТМ Стародворье амицел мгс ф/в 0,5 кг СК4</t>
  </si>
  <si>
    <t>Сосиски Сочинки Молочные ТМ Стародворье амицел мгс ф/в 0,4 кг СК4</t>
  </si>
  <si>
    <t>Сосиски Сочинки по-баварски с сыром ТМ Стародворье полиамид мгс ф/в 0,4 кг УВС СК4</t>
  </si>
  <si>
    <t>Сосиски Сочинки по-баварски ТМ Стародворье полиамид мгс ф/в 0,4 кг СК3</t>
  </si>
  <si>
    <t>Сосиски Сочинки Сливочные ТМ Стародворье амицел мгс ф/в 0,4 кг СК3</t>
  </si>
  <si>
    <t>Сосиски Сочинки ТМ Стародворье с сочной грудинкой полиамид мгс ф/в 0,4 кг УВС НД СК4</t>
  </si>
  <si>
    <t>Сосиски Сочинки ТМ Стародворье с сочным окороком полиамид мгс ф/в 0,4 кг УВС НД СК4</t>
  </si>
  <si>
    <t>Шпикачки Стародворские ТМ Стародворье NDX мгс вес НД4 СК4</t>
  </si>
  <si>
    <t>Стародворье Итог</t>
  </si>
  <si>
    <t>заказ</t>
  </si>
  <si>
    <t>шт</t>
  </si>
  <si>
    <t>кг</t>
  </si>
  <si>
    <t>Наименование в 1С</t>
  </si>
  <si>
    <t>Заказ, кг</t>
  </si>
  <si>
    <t xml:space="preserve"> 115  Колбаса Салями Филейбургская зернистая, в/у 0,35 кг срез, БАВАРУШКА ПОКОМ, шт</t>
  </si>
  <si>
    <t xml:space="preserve"> 118  Колбаса Сервелат Филейбургский с филе сочного окорока, в/у 0,35 кг срез, БАВАРУШКА ПОКОМ, шт</t>
  </si>
  <si>
    <t xml:space="preserve"> 413  Ветчина Сливушка с индейкой ТМ Вязанка  0,3 кг. ПОКОМ, шт</t>
  </si>
  <si>
    <t xml:space="preserve"> 312  Ветчина Филейская ВЕС ТМ  Вязанка ТС Столичная  ПОКОМ, кг</t>
  </si>
  <si>
    <t xml:space="preserve"> 324  Ветчина Филейская ТМ Вязанка Столичная 0,45 кг ПОКОМ, шт</t>
  </si>
  <si>
    <t xml:space="preserve"> 319  Колбаса вареная Филейская ТМ Вязанка ТС Классическая, 0,45 кг. ПОКОМ, шт</t>
  </si>
  <si>
    <t xml:space="preserve"> 330  Колбаса вареная Филейская ТМ Вязанка ТС Классическая ВЕС  ПОКОМ, кг</t>
  </si>
  <si>
    <t xml:space="preserve"> 005  Колбаса Докторская ГОСТ, Вязанка вектор,ВЕС. ПОКОМ, кг</t>
  </si>
  <si>
    <t xml:space="preserve"> 023  Колбаса Докторская ГОСТ, Вязанка вектор, 0,4 кг, ПОКОМ, шт</t>
  </si>
  <si>
    <t xml:space="preserve"> 279  Колбаса Докторский гарант, Вязанка вектор, 0,4 кг.  ПОКОМ, шт</t>
  </si>
  <si>
    <t xml:space="preserve"> 315  Колбаса вареная Молокуша ТМ Вязанка ВЕС, ПОКОМ, кг</t>
  </si>
  <si>
    <t xml:space="preserve"> 322  Колбаса вареная Молокуша 0,45кг ТМ Вязанка  ПОКОМ, шт</t>
  </si>
  <si>
    <t xml:space="preserve"> 387  Колбаса вареная Мусульманская Халяль ТМ Вязанка, 0,4 кг ПОКОМ, шт</t>
  </si>
  <si>
    <t>298  Колбаса Сливушка ТМ Вязанка, 0,375кг,  ПОКОМ, шт</t>
  </si>
  <si>
    <t xml:space="preserve"> 276  Колбаса Сливушка ТМ Вязанка в оболочке полиамид 0,45 кг  ПОКОМ, шт</t>
  </si>
  <si>
    <t xml:space="preserve"> 335  Колбаса Сливушка ТМ Вязанка. ВЕС.  ПОКОМ , кг</t>
  </si>
  <si>
    <t xml:space="preserve"> 333  Колбаса Балыковая, Вязанка фиброуз в/у, ВЕС ПОКОМ, кг</t>
  </si>
  <si>
    <t xml:space="preserve"> 012  Колбаса Сервелат Столичный, Вязанка фиброуз в/у, ПОКОМ, кг</t>
  </si>
  <si>
    <t xml:space="preserve"> 394 Колбаса полукопченая Аль-Ислами халяль ТМ Вязанка оболочка фиброуз в в/у 0,35 кг  ПОКОМ, шт</t>
  </si>
  <si>
    <t xml:space="preserve"> 388  Сосиски Восточные Халяль ТМ Вязанка 0,33 кг АК. ПОКОМ, шт</t>
  </si>
  <si>
    <t xml:space="preserve"> 016  Сосиски Вязанка Молочные, Вязанка вискофан  ВЕС.ПОКОМ, кг</t>
  </si>
  <si>
    <t xml:space="preserve"> 030  Сосиски Вязанка Молочные, Вязанка вискофан МГС, 0.45кг, ПОКОМ, шт</t>
  </si>
  <si>
    <t xml:space="preserve"> 017  Сосиски Вязанка Сливочные, Вязанка амицел ВЕС.ПОКОМ, кг</t>
  </si>
  <si>
    <t xml:space="preserve"> 031  Сосиски Вязанка Сливочные, Вязанка амицел МГС, 0.33кг, ТМ Стародворские колбасы, шт</t>
  </si>
  <si>
    <t xml:space="preserve"> 032  Сосиски Вязанка Сливочные, Вязанка амицел МГС, 0.45кг, ПОКОМ, шт</t>
  </si>
  <si>
    <t xml:space="preserve"> 291  Сосиски Молокуши миникушай ТМ Вязанка, 0.33кг, ПОКОМ, шт</t>
  </si>
  <si>
    <t xml:space="preserve"> 200  Ветчина Дугушка ТМ Стародворье, вектор в/у    ПОКОМ, кг</t>
  </si>
  <si>
    <t xml:space="preserve"> 215  Колбаса Докторская ГОСТ Дугушка, ВЕС, ТМ Стародворье ПОКОМ, кг</t>
  </si>
  <si>
    <t xml:space="preserve"> 376  Колбаса Докторская Дугушка 0,6кг ГОСТ ТМ Стародворье  ПОКОМ , шт</t>
  </si>
  <si>
    <t xml:space="preserve"> 229  Колбаса Молочная Дугушка, в/у, ВЕС, ТМ Стародворье   ПОКОМ, кг</t>
  </si>
  <si>
    <t xml:space="preserve"> 064  Колбаса Молочная Дугушка, вектор 0,4 кг, ТМ Стародворье  ПОКОМ, шт</t>
  </si>
  <si>
    <t xml:space="preserve"> 236  Колбаса Рубленая ЗАПЕЧ. Дугушка ТМ Стародворье, вектор, в/к    ПОКОМ, кг</t>
  </si>
  <si>
    <t xml:space="preserve"> 354  Колбаса Рубленая запеченная ТМ Стародворье,ТС Дугушка  0,6 кг ПОКОМ, шт</t>
  </si>
  <si>
    <t xml:space="preserve"> 239  Колбаса Салями запеч Дугушка, оболочка вектор, ВЕС, ТМ Стародворье  ПОКОМ, кг</t>
  </si>
  <si>
    <t xml:space="preserve"> 353  Колбаса Салями запеченная ТМ Стародворье ТС Дугушка. 0,6 кг ПОКОМ, шт</t>
  </si>
  <si>
    <t xml:space="preserve"> 242  Колбаса Сервелат ЗАПЕЧ.Дугушка ТМ Стародворье, вектор, в/к     ПОКОМ, кг</t>
  </si>
  <si>
    <t xml:space="preserve"> 355  Колбаса Сервелат запеченный ТМ Стародворье ТС Дугушка. 0,6 кг. ПОКОМ, шт</t>
  </si>
  <si>
    <t xml:space="preserve"> 316  Колбаса Нежная ТМ Зареченские ВЕС  ПОКОМ, кг</t>
  </si>
  <si>
    <t xml:space="preserve"> 317 Колбаса Сервелат Рижский ТМ Зареченские, ВЕС  ПОКОМ, кг</t>
  </si>
  <si>
    <t xml:space="preserve"> 321  Колбаса Сервелат Пражский ТМ Зареченские, ВЕС ПОКОМ, кг</t>
  </si>
  <si>
    <t xml:space="preserve"> 201  Ветчина Нежная ТМ Особый рецепт, (2,5кг), ПОКОМ, кг</t>
  </si>
  <si>
    <t xml:space="preserve"> 043  Ветчина Нежная ТМ Особый рецепт, п/а, 0,4кг    ПОКОМ, шт</t>
  </si>
  <si>
    <t xml:space="preserve"> 219  Колбаса Докторская Особая ТМ Особый рецепт, ВЕС  ПОКОМ, кг</t>
  </si>
  <si>
    <t xml:space="preserve"> 457  Колбаса Молочная ТМ Особый рецепт ВЕС большой батон  ПОКОМ, кг</t>
  </si>
  <si>
    <t xml:space="preserve"> 462  Колбаса Со шпиком ТМ Особый рецепт в оболочке полиамид 0,5 кг. ПОКОМ, шт</t>
  </si>
  <si>
    <t xml:space="preserve"> 452  Колбаса Со шпиком ВЕС большой батон ТМ Особый рецепт  ПОКОМ, кг</t>
  </si>
  <si>
    <t xml:space="preserve"> 456  Колбаса Филейная ТМ Особый рецепт ВЕС большой батон  ПОКОМ, кг</t>
  </si>
  <si>
    <t xml:space="preserve"> 467  Колбаса Филейная 0,5кг ТМ Особый рецепт  ПОКОМ, шт</t>
  </si>
  <si>
    <t xml:space="preserve"> 248  Сардельки Сочные ТМ Особый рецепт,   ПОКОМ, кг</t>
  </si>
  <si>
    <t xml:space="preserve"> 255  Сосиски Молочные для завтрака ТМ Особый рецепт, п/а МГС, ВЕС, ТМ Стародворье  ПОКОМ, кг</t>
  </si>
  <si>
    <t xml:space="preserve"> 281  Сосиски Молочные для завтрака ТМ Особый рецепт, 0,4кг  ПОКОМ, шт</t>
  </si>
  <si>
    <t xml:space="preserve"> 529  Бекон выдержанный нарезка 0,055кг ТМ Стародворье  ПОКОМ, шт</t>
  </si>
  <si>
    <t xml:space="preserve"> 521  Бекон ТМ Стародворье в вакуумной упаковке 0,12кг нарезка  ПОКОМ, шт</t>
  </si>
  <si>
    <t xml:space="preserve"> 519  Грудинка 0,12 кг нарезка ТМ Стародворье  ПОКОМ, шт</t>
  </si>
  <si>
    <t xml:space="preserve"> 485  Колбаса Молочная по-стародворски ТМ Стародворье в оболочке полиамид. ВЕС ПОКОМ , кг</t>
  </si>
  <si>
    <t xml:space="preserve"> 463  Колбаса Молочная Традиционнаяв оболочке полиамид.ТМ Стародворье. ВЕС ПОКОМ, кг</t>
  </si>
  <si>
    <t xml:space="preserve"> 483  Колбаса Молочная Традиционная ТМ Стародворье в оболочке полиамид 0,4 кг. ПОКОМ , шт</t>
  </si>
  <si>
    <t xml:space="preserve"> 433 Колбаса Стародворская со шпиком  в оболочке полиамид. ТМ Стародворье ВЕС ПОКОМ, кг</t>
  </si>
  <si>
    <t xml:space="preserve"> 464  Колбаса Стародворская Традиционная со шпиком оболочке полиамид ТМ Стародворье., кг</t>
  </si>
  <si>
    <t xml:space="preserve"> 460  Колбаса Стародворская Традиционная ВЕС ТМ Стародворье в оболочке полиамид. ПОКОМ, кг</t>
  </si>
  <si>
    <t xml:space="preserve"> 468  Колбаса Стародворская Традиционная ТМ Стародворье в оболочке полиамид 0,4 кг. ПОКОМ, шт</t>
  </si>
  <si>
    <t xml:space="preserve"> 469  Колбаса Филедворская по-стародворски ТМ Стародворье в оболочке полиамид.ВЕС  ПОКОМ , кг</t>
  </si>
  <si>
    <t xml:space="preserve"> 296  Колбаса Мясорубская с рубленой грудинкой 0,35кг срез ТМ Стародворье  ПОКОМ, шт</t>
  </si>
  <si>
    <t xml:space="preserve"> 306  Колбаса Салями Мясорубская с рубленым шпиком 0,35 кг срез ТМ Стародворье   Поком, шт</t>
  </si>
  <si>
    <t xml:space="preserve"> 243  Колбаса Сервелат Зернистый, ВЕС.  ПОКОМ, кг</t>
  </si>
  <si>
    <t xml:space="preserve"> 244  Колбаса Сервелат Кремлевский, ВЕС. ПОКОМ, кг</t>
  </si>
  <si>
    <t xml:space="preserve"> 079  Колбаса Сервелат Кремлевский,  0.35 кг, ПОКОМ, шт</t>
  </si>
  <si>
    <t xml:space="preserve"> 305  Колбаса Сервелат Мясорубский с мелкорубленным окороком в/у  ТМ Стародворье ВЕС   ПОКОМ, кг</t>
  </si>
  <si>
    <t xml:space="preserve"> 307  Колбаса Сервелат Мясорубский с мелкорубленным окороком 0,35 кг срез ТМ Стародворье   Поком, шт</t>
  </si>
  <si>
    <t xml:space="preserve"> 272  Колбаса Сервелат Филедворский, фиброуз, в/у 0,35 кг срез,  ПОКОМ, шт</t>
  </si>
  <si>
    <t xml:space="preserve"> 344  Колбаса Сочинка по-европейски с сочной грудинкой ТМ Стародворье, ВЕС ПОКОМ, кг</t>
  </si>
  <si>
    <t xml:space="preserve"> 495  Колбаса Сочинка по-европейски с сочной грудинкой 0,3кг ТМ Стародворье  ПОКОМ, шт</t>
  </si>
  <si>
    <t xml:space="preserve"> 496  Колбаса Сочинка по-фински с сочным окроком 0,3кг ТМ Стародворье  ПОКОМ, шт</t>
  </si>
  <si>
    <t xml:space="preserve"> 062  Колбаса Кракушка пряная с сальцем, 0.3кг в/у п/к, БАВАРУШКА ПОКОМ, шт</t>
  </si>
  <si>
    <t xml:space="preserve"> 346  Колбаса Сочинка зернистая с сочной грудинкой ТМ Стародворье.ВЕС ПОКОМ, кг</t>
  </si>
  <si>
    <t xml:space="preserve"> 498  Колбаса Сочинка рубленая с сочным окороком 0,3кг ТМ Стародворье  ПОКОМ, шт</t>
  </si>
  <si>
    <t xml:space="preserve"> 525  Колбаса Фуэт нарезка 0,07кг ТМ Стародворье  ПОКОМ, шт</t>
  </si>
  <si>
    <t xml:space="preserve"> 047  Кол Баварская, белков.обол. в термоусад. пакете 0.17 кг, ТМ Стародворье  ПОКОМ, шт</t>
  </si>
  <si>
    <t xml:space="preserve"> 226  Колбаса Княжеская, с/к белков.обол в термоусад. пакете, ВЕС, ТМ Стародворье ПОКОМ, кг</t>
  </si>
  <si>
    <t xml:space="preserve"> 520  Колбаса Мраморная ТМ Стародворье в вакуумной упаковке 0,07 кг нарезка  ПОКОМ, шт</t>
  </si>
  <si>
    <t>523  Колбаса Сальчичон нарезка 0,07кг ТМ Стародворье  ПОКОМ , шт</t>
  </si>
  <si>
    <t xml:space="preserve"> 240  Колбаса Салями охотничья, ВЕС. ПОКОМ, кг</t>
  </si>
  <si>
    <t>524  Колбаса Сервелат Ореховый нарезка 0,07кг ТМ Стародворье  ПОКОМ, шт</t>
  </si>
  <si>
    <t xml:space="preserve"> 083  Колбаса Швейцарская 0,17 кг., ШТ., сырокопченая   ПОКОМ, шт</t>
  </si>
  <si>
    <t xml:space="preserve"> 526  Корейка вяленая выдержанная нарезка 0,05кг ТМ Стародворье  ПОКОМ, шт</t>
  </si>
  <si>
    <t xml:space="preserve"> 527  Окорок Прошутто выдержанный нарезка 0,055кг ТМ Стародворье  ПОКОМ, шт</t>
  </si>
  <si>
    <t xml:space="preserve"> 530  Окорок Хамон выдержанный нарезка 0,055кг ТМ Стародворье  ПОКОМ, шт</t>
  </si>
  <si>
    <t xml:space="preserve"> 334  Паштет Любительский ТМ Стародворье ламистер 0,1 кг  ПОКОМ, шт</t>
  </si>
  <si>
    <t xml:space="preserve"> 338  Паштет печеночный с морковью ТМ Стародворье ламистер 0,1 кг.  ПОКОМ, шт</t>
  </si>
  <si>
    <t xml:space="preserve"> 285  Паштет печеночный со слив.маслом ТМ Стародворье ламистер 0,1 кг  ПОКОМ, шт</t>
  </si>
  <si>
    <t xml:space="preserve"> 247  Сардельки Нежные, ВЕС.  ПОКОМ, кг</t>
  </si>
  <si>
    <t xml:space="preserve"> 328  Сардельки Сочинки Стародворье ТМ  0,4 кг ПОКОМ, шт</t>
  </si>
  <si>
    <t xml:space="preserve"> 250  Сардельки стародворские с говядиной в обол. NDX, ВЕС. ПОКОМ, кг</t>
  </si>
  <si>
    <t xml:space="preserve"> 412  Сосиски Баварские ТМ Стародворье 0,35 кг ПОКОМ, шт</t>
  </si>
  <si>
    <t xml:space="preserve"> 410  Сосиски Баварские с сыром ТМ Стародворье 0,35 кг. ПОКОМ, шт</t>
  </si>
  <si>
    <t xml:space="preserve"> 253  Сосиски Ганноверские   ПОКОМ, кг</t>
  </si>
  <si>
    <t xml:space="preserve"> 466  Сосиски Ганноверские в оболочке амицел в модиф. газовой среде 0,5 кг ТМ Стародворье. ПОКОМ, шт</t>
  </si>
  <si>
    <t xml:space="preserve"> 342 Сосиски Сочинки Молочные ТМ Стародворье 0,4 кг ПОКОМ, шт</t>
  </si>
  <si>
    <t xml:space="preserve"> 301  Сосиски Сочинки по-баварски с сыром,  0.4кг, ТМ Стародворье  ПОКОМ, шт</t>
  </si>
  <si>
    <t xml:space="preserve"> 302  Сосиски Сочинки по-баварски,  0.4кг, ТМ Стародворье  ПОКОМ, шт</t>
  </si>
  <si>
    <t xml:space="preserve"> 343 Сосиски Сочинки Сливочные ТМ Стародворье  0,4 кг, шт</t>
  </si>
  <si>
    <t xml:space="preserve"> 273  Сосиски Сочинки с сочной грудинкой, МГС 0.4кг,   ПОКОМ, шт</t>
  </si>
  <si>
    <t xml:space="preserve"> 278  Сосиски Сочинки с сочным окороком, МГС 0.4кг,   ПОКОМ, шт</t>
  </si>
  <si>
    <t xml:space="preserve"> 263  Шпикачки Стародворские, ВЕС.  ПОКОМ, кг</t>
  </si>
  <si>
    <t>Заказ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</si>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</sst>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 &quot;#,##0.00&quot;р. &quot;;&quot;-&quot;#,##0.00&quot;р. &quot;;&quot; -&quot;#&quot;р. &quot;;@&quot; &quot;"/>
    <numFmt numFmtId="165" formatCode="[$-419]General"/>
    <numFmt numFmtId="166" formatCode="mmmm;@"/>
    <numFmt numFmtId="167" formatCode="[$-419]0%"/>
    <numFmt numFmtId="168" formatCode="&quot; &quot;#,##0.00&quot;    &quot;;&quot;-&quot;#,##0.00&quot;    &quot;;&quot; -&quot;#&quot;    &quot;;@&quot; &quot;"/>
    <numFmt numFmtId="169" formatCode="#,##0.00;&quot;-&quot;#,##0.00;;"/>
    <numFmt numFmtId="170" formatCode="#,##0.00&quot; &quot;[$руб.-419];[Red]&quot;-&quot;#,##0.00&quot; &quot;[$руб.-419]"/>
    <numFmt numFmtId="171" formatCode="#,##0.000"/>
  </numFmts>
  <fonts count="31">
    <font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color rgb="FFFF9900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003366"/>
      <name val="Cambria"/>
      <family val="1"/>
      <charset val="204"/>
    </font>
    <font>
      <sz val="11"/>
      <color rgb="FF993300"/>
      <name val="Calibri"/>
      <family val="2"/>
      <charset val="204"/>
    </font>
    <font>
      <sz val="10"/>
      <color rgb="FF000000"/>
      <name val="Arial Cyr1"/>
      <charset val="204"/>
    </font>
    <font>
      <sz val="11"/>
      <color rgb="FF000000"/>
      <name val="Calibri"/>
      <family val="2"/>
      <charset val="204"/>
    </font>
    <font>
      <sz val="8"/>
      <color rgb="FF000000"/>
      <name val="Arial"/>
      <family val="2"/>
      <charset val="204"/>
    </font>
    <font>
      <sz val="12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8"/>
      <color rgb="FF000000"/>
      <name val="Microsoft Sans Serif"/>
      <family val="2"/>
      <charset val="204"/>
    </font>
    <font>
      <sz val="10"/>
      <color rgb="FF000000"/>
      <name val="Arial"/>
      <family val="2"/>
      <charset val="204"/>
    </font>
    <font>
      <sz val="11"/>
      <color rgb="FF800080"/>
      <name val="Calibri"/>
      <family val="2"/>
      <charset val="204"/>
    </font>
    <font>
      <i/>
      <sz val="11"/>
      <color rgb="FF80808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0"/>
      <color rgb="FF000000"/>
      <name val="Times New Roman Cyr"/>
      <charset val="204"/>
    </font>
    <font>
      <b/>
      <i/>
      <sz val="16"/>
      <color rgb="FF000000"/>
      <name val="Arial"/>
      <family val="2"/>
      <charset val="204"/>
    </font>
    <font>
      <sz val="10"/>
      <color rgb="FF000000"/>
      <name val="MS Sans Serif"/>
      <charset val="204"/>
    </font>
    <font>
      <b/>
      <i/>
      <u/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6600"/>
        <bgColor rgb="FFFF6600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DEEBF7"/>
        <bgColor rgb="FFDEEB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double">
        <color rgb="FFFF99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533">
    <xf numFmtId="0" fontId="0" fillId="0" borderId="0"/>
    <xf numFmtId="0" fontId="2" fillId="2" borderId="0" applyNumberFormat="0" applyBorder="0" applyProtection="0"/>
    <xf numFmtId="0" fontId="2" fillId="3" borderId="0" applyNumberFormat="0" applyBorder="0" applyProtection="0"/>
    <xf numFmtId="0" fontId="2" fillId="4" borderId="0" applyNumberFormat="0" applyBorder="0" applyProtection="0"/>
    <xf numFmtId="0" fontId="2" fillId="5" borderId="0" applyNumberFormat="0" applyBorder="0" applyProtection="0"/>
    <xf numFmtId="0" fontId="2" fillId="6" borderId="0" applyNumberFormat="0" applyBorder="0" applyProtection="0"/>
    <xf numFmtId="0" fontId="2" fillId="7" borderId="0" applyNumberFormat="0" applyBorder="0" applyProtection="0"/>
    <xf numFmtId="0" fontId="3" fillId="8" borderId="1" applyNumberFormat="0" applyProtection="0"/>
    <xf numFmtId="0" fontId="4" fillId="9" borderId="2" applyNumberFormat="0" applyProtection="0"/>
    <xf numFmtId="0" fontId="5" fillId="9" borderId="1" applyNumberFormat="0" applyProtection="0"/>
    <xf numFmtId="164" fontId="1" fillId="0" borderId="0" applyFont="0" applyBorder="0" applyProtection="0"/>
    <xf numFmtId="164" fontId="1" fillId="0" borderId="0" applyFont="0" applyBorder="0" applyProtection="0"/>
    <xf numFmtId="164" fontId="1" fillId="0" borderId="0" applyFont="0" applyBorder="0" applyProtection="0"/>
    <xf numFmtId="164" fontId="1" fillId="0" borderId="0" applyFont="0" applyBorder="0" applyProtection="0"/>
    <xf numFmtId="0" fontId="6" fillId="0" borderId="3" applyNumberFormat="0" applyProtection="0"/>
    <xf numFmtId="0" fontId="7" fillId="0" borderId="4" applyNumberFormat="0" applyProtection="0"/>
    <xf numFmtId="0" fontId="8" fillId="0" borderId="5" applyNumberFormat="0" applyProtection="0"/>
    <xf numFmtId="0" fontId="8" fillId="0" borderId="0" applyNumberFormat="0" applyBorder="0" applyProtection="0"/>
    <xf numFmtId="0" fontId="9" fillId="0" borderId="6" applyNumberFormat="0" applyProtection="0"/>
    <xf numFmtId="0" fontId="10" fillId="10" borderId="7" applyNumberFormat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12" fillId="11" borderId="0" applyNumberFormat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5" fillId="0" borderId="0" applyBorder="0" applyProtection="0">
      <alignment horizontal="left"/>
    </xf>
    <xf numFmtId="165" fontId="13" fillId="0" borderId="0" applyBorder="0" applyProtection="0"/>
    <xf numFmtId="165" fontId="13" fillId="0" borderId="0" applyBorder="0" applyProtection="0"/>
    <xf numFmtId="165" fontId="16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7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5" fillId="0" borderId="0" applyBorder="0" applyProtection="0">
      <alignment horizontal="left"/>
    </xf>
    <xf numFmtId="165" fontId="17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8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8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9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6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7" fillId="0" borderId="0" applyBorder="0" applyProtection="0"/>
    <xf numFmtId="165" fontId="14" fillId="0" borderId="0" applyBorder="0" applyProtection="0"/>
    <xf numFmtId="165" fontId="17" fillId="0" borderId="0" applyBorder="0" applyProtection="0"/>
    <xf numFmtId="165" fontId="16" fillId="0" borderId="0" applyBorder="0" applyProtection="0"/>
    <xf numFmtId="165" fontId="16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6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9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4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0" fontId="20" fillId="12" borderId="0" applyNumberFormat="0" applyBorder="0" applyProtection="0"/>
    <xf numFmtId="0" fontId="21" fillId="0" borderId="0" applyNumberFormat="0" applyBorder="0" applyProtection="0"/>
    <xf numFmtId="0" fontId="1" fillId="13" borderId="8" applyNumberFormat="0" applyFont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0" fontId="22" fillId="0" borderId="9" applyNumberFormat="0" applyProtection="0"/>
    <xf numFmtId="0" fontId="23" fillId="0" borderId="0" applyNumberForma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0" fontId="24" fillId="14" borderId="0" applyNumberFormat="0" applyBorder="0" applyProtection="0"/>
    <xf numFmtId="165" fontId="25" fillId="0" borderId="0" applyBorder="0" applyProtection="0"/>
    <xf numFmtId="0" fontId="14" fillId="15" borderId="0" applyNumberFormat="0" applyBorder="0" applyProtection="0"/>
    <xf numFmtId="0" fontId="14" fillId="12" borderId="0" applyNumberFormat="0" applyBorder="0" applyProtection="0"/>
    <xf numFmtId="0" fontId="14" fillId="14" borderId="0" applyNumberFormat="0" applyBorder="0" applyProtection="0"/>
    <xf numFmtId="0" fontId="14" fillId="16" borderId="0" applyNumberFormat="0" applyBorder="0" applyProtection="0"/>
    <xf numFmtId="0" fontId="14" fillId="17" borderId="0" applyNumberFormat="0" applyBorder="0" applyProtection="0"/>
    <xf numFmtId="0" fontId="14" fillId="8" borderId="0" applyNumberFormat="0" applyBorder="0" applyProtection="0"/>
    <xf numFmtId="0" fontId="14" fillId="18" borderId="0" applyNumberFormat="0" applyBorder="0" applyProtection="0"/>
    <xf numFmtId="0" fontId="14" fillId="19" borderId="0" applyNumberFormat="0" applyBorder="0" applyProtection="0"/>
    <xf numFmtId="0" fontId="14" fillId="20" borderId="0" applyNumberFormat="0" applyBorder="0" applyProtection="0"/>
    <xf numFmtId="0" fontId="14" fillId="16" borderId="0" applyNumberFormat="0" applyBorder="0" applyProtection="0"/>
    <xf numFmtId="0" fontId="14" fillId="18" borderId="0" applyNumberFormat="0" applyBorder="0" applyProtection="0"/>
    <xf numFmtId="0" fontId="14" fillId="21" borderId="0" applyNumberFormat="0" applyBorder="0" applyProtection="0"/>
    <xf numFmtId="0" fontId="2" fillId="22" borderId="0" applyNumberFormat="0" applyBorder="0" applyProtection="0"/>
    <xf numFmtId="0" fontId="2" fillId="19" borderId="0" applyNumberFormat="0" applyBorder="0" applyProtection="0"/>
    <xf numFmtId="0" fontId="2" fillId="20" borderId="0" applyNumberFormat="0" applyBorder="0" applyProtection="0"/>
    <xf numFmtId="0" fontId="2" fillId="5" borderId="0" applyNumberFormat="0" applyBorder="0" applyProtection="0"/>
    <xf numFmtId="0" fontId="2" fillId="6" borderId="0" applyNumberFormat="0" applyBorder="0" applyProtection="0"/>
    <xf numFmtId="0" fontId="2" fillId="23" borderId="0" applyNumberForma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5" fontId="15" fillId="0" borderId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168" fontId="1" fillId="0" borderId="0" applyFont="0" applyBorder="0" applyProtection="0"/>
    <xf numFmtId="0" fontId="26" fillId="0" borderId="0" applyNumberFormat="0" applyBorder="0" applyProtection="0">
      <alignment horizontal="center"/>
    </xf>
    <xf numFmtId="0" fontId="26" fillId="0" borderId="0" applyNumberFormat="0" applyBorder="0" applyProtection="0">
      <alignment horizontal="center" textRotation="90"/>
    </xf>
    <xf numFmtId="165" fontId="27" fillId="0" borderId="0" applyBorder="0" applyProtection="0"/>
    <xf numFmtId="165" fontId="27" fillId="0" borderId="0" applyBorder="0" applyProtection="0"/>
    <xf numFmtId="165" fontId="18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4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5" fillId="0" borderId="0" applyBorder="0" applyProtection="0"/>
    <xf numFmtId="165" fontId="19" fillId="0" borderId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167" fontId="1" fillId="0" borderId="0" applyFont="0" applyBorder="0" applyProtection="0"/>
    <xf numFmtId="0" fontId="28" fillId="0" borderId="0" applyNumberFormat="0" applyBorder="0" applyProtection="0"/>
    <xf numFmtId="170" fontId="28" fillId="0" borderId="0" applyBorder="0" applyProtection="0"/>
  </cellStyleXfs>
  <cellXfs count="36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0" fillId="24" borderId="0" xfId="0" applyFill="1" applyAlignment="1">
      <alignment horizontal="center"/>
    </xf>
    <xf numFmtId="0" fontId="0" fillId="25" borderId="10" xfId="0" applyFill="1" applyBorder="1"/>
    <xf numFmtId="0" fontId="0" fillId="0" borderId="12" xfId="0" applyBorder="1"/>
    <xf numFmtId="0" fontId="0" fillId="0" borderId="11" xfId="0" applyBorder="1"/>
    <xf numFmtId="169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vertical="top" wrapText="1"/>
    </xf>
    <xf numFmtId="0" fontId="0" fillId="0" borderId="16" xfId="0" applyBorder="1"/>
    <xf numFmtId="0" fontId="0" fillId="0" borderId="17" xfId="0" applyBorder="1" applyAlignment="1">
      <alignment vertical="top" wrapText="1"/>
    </xf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169" fontId="0" fillId="0" borderId="22" xfId="0" applyNumberFormat="1" applyBorder="1"/>
    <xf numFmtId="171" fontId="29" fillId="26" borderId="26" xfId="0" applyNumberFormat="1" applyFont="1" applyFill="1" applyBorder="1"/>
    <xf numFmtId="4" fontId="29" fillId="26" borderId="27" xfId="0" applyNumberFormat="1" applyFont="1" applyFill="1" applyBorder="1"/>
    <xf numFmtId="4" fontId="29" fillId="26" borderId="28" xfId="0" applyNumberFormat="1" applyFont="1" applyFill="1" applyBorder="1"/>
    <xf numFmtId="0" fontId="0" fillId="0" borderId="29" xfId="0" applyBorder="1"/>
    <xf numFmtId="171" fontId="29" fillId="26" borderId="30" xfId="0" applyNumberFormat="1" applyFont="1" applyFill="1" applyBorder="1"/>
    <xf numFmtId="4" fontId="29" fillId="26" borderId="31" xfId="0" applyNumberFormat="1" applyFont="1" applyFill="1" applyBorder="1"/>
    <xf numFmtId="0" fontId="30" fillId="27" borderId="32" xfId="0" applyFont="1" applyFill="1" applyBorder="1"/>
    <xf numFmtId="0" fontId="30" fillId="27" borderId="33" xfId="0" applyFont="1" applyFill="1" applyBorder="1"/>
    <xf numFmtId="0" fontId="30" fillId="27" borderId="34" xfId="0" applyFont="1" applyFill="1" applyBorder="1"/>
    <xf numFmtId="0" fontId="30" fillId="27" borderId="35" xfId="0" applyFont="1" applyFill="1" applyBorder="1"/>
    <xf numFmtId="0" fontId="30" fillId="27" borderId="19" xfId="0" applyFont="1" applyFill="1" applyBorder="1"/>
    <xf numFmtId="0" fontId="30" fillId="27" borderId="25" xfId="0" applyFont="1" applyFill="1" applyBorder="1"/>
    <xf numFmtId="171" fontId="30" fillId="28" borderId="19" xfId="0" applyNumberFormat="1" applyFont="1" applyFill="1" applyBorder="1"/>
    <xf numFmtId="4" fontId="30" fillId="28" borderId="19" xfId="0" applyNumberFormat="1" applyFont="1" applyFill="1" applyBorder="1"/>
    <xf numFmtId="0" fontId="30" fillId="28" borderId="23" xfId="0" applyFont="1" applyFill="1" applyBorder="1" applyAlignment="1">
      <alignment horizontal="center"/>
    </xf>
    <xf numFmtId="0" fontId="30" fillId="28" borderId="24" xfId="0" applyFont="1" applyFill="1" applyBorder="1" applyAlignment="1">
      <alignment horizontal="center"/>
    </xf>
    <xf numFmtId="0" fontId="30" fillId="28" borderId="25" xfId="0" applyFont="1" applyFill="1" applyBorder="1" applyAlignment="1">
      <alignment horizontal="center"/>
    </xf>
  </cellXfs>
  <cellStyles count="533">
    <cellStyle name="0,0_x000a_NA_x000a_" xfId="470" xr:uid="{00000000-0005-0000-0000-000000000000}"/>
    <cellStyle name="20% - Акцент1 2" xfId="471" xr:uid="{00000000-0005-0000-0000-000001000000}"/>
    <cellStyle name="20% - Акцент2 2" xfId="472" xr:uid="{00000000-0005-0000-0000-000002000000}"/>
    <cellStyle name="20% - Акцент3 2" xfId="473" xr:uid="{00000000-0005-0000-0000-000003000000}"/>
    <cellStyle name="20% - Акцент4 2" xfId="474" xr:uid="{00000000-0005-0000-0000-000004000000}"/>
    <cellStyle name="20% - Акцент5 2" xfId="475" xr:uid="{00000000-0005-0000-0000-000005000000}"/>
    <cellStyle name="20% - Акцент6 2" xfId="476" xr:uid="{00000000-0005-0000-0000-000006000000}"/>
    <cellStyle name="40% - Акцент1 2" xfId="477" xr:uid="{00000000-0005-0000-0000-000007000000}"/>
    <cellStyle name="40% - Акцент2 2" xfId="478" xr:uid="{00000000-0005-0000-0000-000008000000}"/>
    <cellStyle name="40% - Акцент3 2" xfId="479" xr:uid="{00000000-0005-0000-0000-000009000000}"/>
    <cellStyle name="40% - Акцент4 2" xfId="480" xr:uid="{00000000-0005-0000-0000-00000A000000}"/>
    <cellStyle name="40% - Акцент5 2" xfId="481" xr:uid="{00000000-0005-0000-0000-00000B000000}"/>
    <cellStyle name="40% - Акцент6 2" xfId="482" xr:uid="{00000000-0005-0000-0000-00000C000000}"/>
    <cellStyle name="60% - Акцент1 2" xfId="483" xr:uid="{00000000-0005-0000-0000-00000D000000}"/>
    <cellStyle name="60% - Акцент2 2" xfId="484" xr:uid="{00000000-0005-0000-0000-00000E000000}"/>
    <cellStyle name="60% - Акцент3 2" xfId="485" xr:uid="{00000000-0005-0000-0000-00000F000000}"/>
    <cellStyle name="60% - Акцент4 2" xfId="486" xr:uid="{00000000-0005-0000-0000-000010000000}"/>
    <cellStyle name="60% - Акцент5 2" xfId="487" xr:uid="{00000000-0005-0000-0000-000011000000}"/>
    <cellStyle name="60% - Акцент6 2" xfId="488" xr:uid="{00000000-0005-0000-0000-000012000000}"/>
    <cellStyle name="Comma 2" xfId="489" xr:uid="{00000000-0005-0000-0000-000013000000}"/>
    <cellStyle name="Comma 2 2" xfId="490" xr:uid="{00000000-0005-0000-0000-000014000000}"/>
    <cellStyle name="Comma 2 2 2" xfId="491" xr:uid="{00000000-0005-0000-0000-000015000000}"/>
    <cellStyle name="Comma 2 3" xfId="492" xr:uid="{00000000-0005-0000-0000-000016000000}"/>
    <cellStyle name="Comma 3" xfId="493" xr:uid="{00000000-0005-0000-0000-000017000000}"/>
    <cellStyle name="Comma 4" xfId="494" xr:uid="{00000000-0005-0000-0000-000018000000}"/>
    <cellStyle name="Comma 4 2" xfId="495" xr:uid="{00000000-0005-0000-0000-000019000000}"/>
    <cellStyle name="Comma 5" xfId="496" xr:uid="{00000000-0005-0000-0000-00001A000000}"/>
    <cellStyle name="Comma 5 2" xfId="497" xr:uid="{00000000-0005-0000-0000-00001B000000}"/>
    <cellStyle name="Comma 5 2 2" xfId="498" xr:uid="{00000000-0005-0000-0000-00001C000000}"/>
    <cellStyle name="Comma 5 3" xfId="499" xr:uid="{00000000-0005-0000-0000-00001D000000}"/>
    <cellStyle name="Comma 5 3 2" xfId="500" xr:uid="{00000000-0005-0000-0000-00001E000000}"/>
    <cellStyle name="Comma 5 4" xfId="501" xr:uid="{00000000-0005-0000-0000-00001F000000}"/>
    <cellStyle name="Comma 5 4 2" xfId="502" xr:uid="{00000000-0005-0000-0000-000020000000}"/>
    <cellStyle name="Comma 5 5" xfId="503" xr:uid="{00000000-0005-0000-0000-000021000000}"/>
    <cellStyle name="Comma 6" xfId="504" xr:uid="{00000000-0005-0000-0000-000022000000}"/>
    <cellStyle name="Comma 6 2" xfId="505" xr:uid="{00000000-0005-0000-0000-000023000000}"/>
    <cellStyle name="Heading" xfId="506" xr:uid="{00000000-0005-0000-0000-000024000000}"/>
    <cellStyle name="Heading1" xfId="507" xr:uid="{00000000-0005-0000-0000-000025000000}"/>
    <cellStyle name="Legal 8? x 14 in" xfId="509" xr:uid="{00000000-0005-0000-0000-000026000000}"/>
    <cellStyle name="Legal 8½ x 14 in" xfId="508" xr:uid="{00000000-0005-0000-0000-000027000000}"/>
    <cellStyle name="Normal 2" xfId="510" xr:uid="{00000000-0005-0000-0000-000028000000}"/>
    <cellStyle name="Normal 2 2" xfId="511" xr:uid="{00000000-0005-0000-0000-000029000000}"/>
    <cellStyle name="Normal 2 3" xfId="512" xr:uid="{00000000-0005-0000-0000-00002A000000}"/>
    <cellStyle name="Normal 2 4" xfId="513" xr:uid="{00000000-0005-0000-0000-00002B000000}"/>
    <cellStyle name="Normal 3" xfId="514" xr:uid="{00000000-0005-0000-0000-00002C000000}"/>
    <cellStyle name="Normal 4" xfId="515" xr:uid="{00000000-0005-0000-0000-00002D000000}"/>
    <cellStyle name="Normal 4 2" xfId="516" xr:uid="{00000000-0005-0000-0000-00002E000000}"/>
    <cellStyle name="Normal 4 3" xfId="517" xr:uid="{00000000-0005-0000-0000-00002F000000}"/>
    <cellStyle name="Normal 4 4" xfId="518" xr:uid="{00000000-0005-0000-0000-000030000000}"/>
    <cellStyle name="Normal 5" xfId="519" xr:uid="{00000000-0005-0000-0000-000031000000}"/>
    <cellStyle name="Normal 6" xfId="520" xr:uid="{00000000-0005-0000-0000-000032000000}"/>
    <cellStyle name="Normal 6 2" xfId="521" xr:uid="{00000000-0005-0000-0000-000033000000}"/>
    <cellStyle name="Normal 6 3" xfId="522" xr:uid="{00000000-0005-0000-0000-000034000000}"/>
    <cellStyle name="Normal 7" xfId="523" xr:uid="{00000000-0005-0000-0000-000035000000}"/>
    <cellStyle name="Normal 8" xfId="524" xr:uid="{00000000-0005-0000-0000-000036000000}"/>
    <cellStyle name="Normal 8 2" xfId="525" xr:uid="{00000000-0005-0000-0000-000037000000}"/>
    <cellStyle name="Normal 8 3" xfId="526" xr:uid="{00000000-0005-0000-0000-000038000000}"/>
    <cellStyle name="Normal 9" xfId="527" xr:uid="{00000000-0005-0000-0000-000039000000}"/>
    <cellStyle name="Percent 2" xfId="528" xr:uid="{00000000-0005-0000-0000-00003A000000}"/>
    <cellStyle name="Percent 3" xfId="529" xr:uid="{00000000-0005-0000-0000-00003B000000}"/>
    <cellStyle name="Percent 4" xfId="530" xr:uid="{00000000-0005-0000-0000-00003C000000}"/>
    <cellStyle name="Result" xfId="531" xr:uid="{00000000-0005-0000-0000-00003D000000}"/>
    <cellStyle name="Result2" xfId="532" xr:uid="{00000000-0005-0000-0000-00003E000000}"/>
    <cellStyle name="Акцент1 2" xfId="1" xr:uid="{00000000-0005-0000-0000-00003F000000}"/>
    <cellStyle name="Акцент2 2" xfId="2" xr:uid="{00000000-0005-0000-0000-000040000000}"/>
    <cellStyle name="Акцент3 2" xfId="3" xr:uid="{00000000-0005-0000-0000-000041000000}"/>
    <cellStyle name="Акцент4 2" xfId="4" xr:uid="{00000000-0005-0000-0000-000042000000}"/>
    <cellStyle name="Акцент5 2" xfId="5" xr:uid="{00000000-0005-0000-0000-000043000000}"/>
    <cellStyle name="Акцент6 2" xfId="6" xr:uid="{00000000-0005-0000-0000-000044000000}"/>
    <cellStyle name="Ввод  2" xfId="7" xr:uid="{00000000-0005-0000-0000-000045000000}"/>
    <cellStyle name="Вывод 2" xfId="8" xr:uid="{00000000-0005-0000-0000-000046000000}"/>
    <cellStyle name="Вычисление 2" xfId="9" xr:uid="{00000000-0005-0000-0000-000047000000}"/>
    <cellStyle name="Денежный 2" xfId="10" xr:uid="{00000000-0005-0000-0000-000048000000}"/>
    <cellStyle name="Денежный 2 2" xfId="11" xr:uid="{00000000-0005-0000-0000-000049000000}"/>
    <cellStyle name="Денежный 2 3" xfId="12" xr:uid="{00000000-0005-0000-0000-00004A000000}"/>
    <cellStyle name="Денежный 2 4" xfId="13" xr:uid="{00000000-0005-0000-0000-00004B000000}"/>
    <cellStyle name="Заголовок 1 2" xfId="14" xr:uid="{00000000-0005-0000-0000-00004C000000}"/>
    <cellStyle name="Заголовок 2 2" xfId="15" xr:uid="{00000000-0005-0000-0000-00004D000000}"/>
    <cellStyle name="Заголовок 3 2" xfId="16" xr:uid="{00000000-0005-0000-0000-00004E000000}"/>
    <cellStyle name="Заголовок 4 2" xfId="17" xr:uid="{00000000-0005-0000-0000-00004F000000}"/>
    <cellStyle name="Итог 2" xfId="18" xr:uid="{00000000-0005-0000-0000-000050000000}"/>
    <cellStyle name="Контрольная ячейка 2" xfId="19" xr:uid="{00000000-0005-0000-0000-000051000000}"/>
    <cellStyle name="Название 2" xfId="20" xr:uid="{00000000-0005-0000-0000-000052000000}"/>
    <cellStyle name="Название 2 2" xfId="22" xr:uid="{00000000-0005-0000-0000-000053000000}"/>
    <cellStyle name="Название 2_Лист1" xfId="21" xr:uid="{00000000-0005-0000-0000-000054000000}"/>
    <cellStyle name="Нейтральный 2" xfId="23" xr:uid="{00000000-0005-0000-0000-000055000000}"/>
    <cellStyle name="Обычный" xfId="0" builtinId="0" customBuiltin="1"/>
    <cellStyle name="Обычный 10" xfId="24" xr:uid="{00000000-0005-0000-0000-000057000000}"/>
    <cellStyle name="Обычный 100" xfId="25" xr:uid="{00000000-0005-0000-0000-000058000000}"/>
    <cellStyle name="Обычный 101" xfId="26" xr:uid="{00000000-0005-0000-0000-000059000000}"/>
    <cellStyle name="Обычный 102" xfId="27" xr:uid="{00000000-0005-0000-0000-00005A000000}"/>
    <cellStyle name="Обычный 103" xfId="28" xr:uid="{00000000-0005-0000-0000-00005B000000}"/>
    <cellStyle name="Обычный 104" xfId="29" xr:uid="{00000000-0005-0000-0000-00005C000000}"/>
    <cellStyle name="Обычный 105" xfId="30" xr:uid="{00000000-0005-0000-0000-00005D000000}"/>
    <cellStyle name="Обычный 106" xfId="31" xr:uid="{00000000-0005-0000-0000-00005E000000}"/>
    <cellStyle name="Обычный 107" xfId="32" xr:uid="{00000000-0005-0000-0000-00005F000000}"/>
    <cellStyle name="Обычный 108" xfId="33" xr:uid="{00000000-0005-0000-0000-000060000000}"/>
    <cellStyle name="Обычный 109" xfId="34" xr:uid="{00000000-0005-0000-0000-000061000000}"/>
    <cellStyle name="Обычный 11" xfId="35" xr:uid="{00000000-0005-0000-0000-000062000000}"/>
    <cellStyle name="Обычный 110" xfId="36" xr:uid="{00000000-0005-0000-0000-000063000000}"/>
    <cellStyle name="Обычный 111" xfId="37" xr:uid="{00000000-0005-0000-0000-000064000000}"/>
    <cellStyle name="Обычный 112" xfId="38" xr:uid="{00000000-0005-0000-0000-000065000000}"/>
    <cellStyle name="Обычный 113" xfId="39" xr:uid="{00000000-0005-0000-0000-000066000000}"/>
    <cellStyle name="Обычный 114" xfId="40" xr:uid="{00000000-0005-0000-0000-000067000000}"/>
    <cellStyle name="Обычный 115" xfId="41" xr:uid="{00000000-0005-0000-0000-000068000000}"/>
    <cellStyle name="Обычный 116" xfId="42" xr:uid="{00000000-0005-0000-0000-000069000000}"/>
    <cellStyle name="Обычный 117" xfId="43" xr:uid="{00000000-0005-0000-0000-00006A000000}"/>
    <cellStyle name="Обычный 118" xfId="44" xr:uid="{00000000-0005-0000-0000-00006B000000}"/>
    <cellStyle name="Обычный 119" xfId="45" xr:uid="{00000000-0005-0000-0000-00006C000000}"/>
    <cellStyle name="Обычный 12" xfId="46" xr:uid="{00000000-0005-0000-0000-00006D000000}"/>
    <cellStyle name="Обычный 120" xfId="47" xr:uid="{00000000-0005-0000-0000-00006E000000}"/>
    <cellStyle name="Обычный 121" xfId="48" xr:uid="{00000000-0005-0000-0000-00006F000000}"/>
    <cellStyle name="Обычный 122" xfId="49" xr:uid="{00000000-0005-0000-0000-000070000000}"/>
    <cellStyle name="Обычный 123" xfId="50" xr:uid="{00000000-0005-0000-0000-000071000000}"/>
    <cellStyle name="Обычный 124" xfId="51" xr:uid="{00000000-0005-0000-0000-000072000000}"/>
    <cellStyle name="Обычный 125" xfId="52" xr:uid="{00000000-0005-0000-0000-000073000000}"/>
    <cellStyle name="Обычный 126" xfId="53" xr:uid="{00000000-0005-0000-0000-000074000000}"/>
    <cellStyle name="Обычный 127" xfId="54" xr:uid="{00000000-0005-0000-0000-000075000000}"/>
    <cellStyle name="Обычный 128" xfId="55" xr:uid="{00000000-0005-0000-0000-000076000000}"/>
    <cellStyle name="Обычный 129" xfId="56" xr:uid="{00000000-0005-0000-0000-000077000000}"/>
    <cellStyle name="Обычный 13" xfId="57" xr:uid="{00000000-0005-0000-0000-000078000000}"/>
    <cellStyle name="Обычный 130" xfId="58" xr:uid="{00000000-0005-0000-0000-000079000000}"/>
    <cellStyle name="Обычный 131" xfId="59" xr:uid="{00000000-0005-0000-0000-00007A000000}"/>
    <cellStyle name="Обычный 132" xfId="60" xr:uid="{00000000-0005-0000-0000-00007B000000}"/>
    <cellStyle name="Обычный 133" xfId="61" xr:uid="{00000000-0005-0000-0000-00007C000000}"/>
    <cellStyle name="Обычный 134" xfId="62" xr:uid="{00000000-0005-0000-0000-00007D000000}"/>
    <cellStyle name="Обычный 135" xfId="63" xr:uid="{00000000-0005-0000-0000-00007E000000}"/>
    <cellStyle name="Обычный 136" xfId="64" xr:uid="{00000000-0005-0000-0000-00007F000000}"/>
    <cellStyle name="Обычный 137" xfId="65" xr:uid="{00000000-0005-0000-0000-000080000000}"/>
    <cellStyle name="Обычный 138" xfId="66" xr:uid="{00000000-0005-0000-0000-000081000000}"/>
    <cellStyle name="Обычный 139" xfId="67" xr:uid="{00000000-0005-0000-0000-000082000000}"/>
    <cellStyle name="Обычный 14" xfId="68" xr:uid="{00000000-0005-0000-0000-000083000000}"/>
    <cellStyle name="Обычный 140" xfId="69" xr:uid="{00000000-0005-0000-0000-000084000000}"/>
    <cellStyle name="Обычный 141" xfId="70" xr:uid="{00000000-0005-0000-0000-000085000000}"/>
    <cellStyle name="Обычный 142" xfId="71" xr:uid="{00000000-0005-0000-0000-000086000000}"/>
    <cellStyle name="Обычный 143" xfId="72" xr:uid="{00000000-0005-0000-0000-000087000000}"/>
    <cellStyle name="Обычный 144" xfId="73" xr:uid="{00000000-0005-0000-0000-000088000000}"/>
    <cellStyle name="Обычный 145" xfId="74" xr:uid="{00000000-0005-0000-0000-000089000000}"/>
    <cellStyle name="Обычный 146" xfId="75" xr:uid="{00000000-0005-0000-0000-00008A000000}"/>
    <cellStyle name="Обычный 147" xfId="76" xr:uid="{00000000-0005-0000-0000-00008B000000}"/>
    <cellStyle name="Обычный 148" xfId="77" xr:uid="{00000000-0005-0000-0000-00008C000000}"/>
    <cellStyle name="Обычный 149" xfId="78" xr:uid="{00000000-0005-0000-0000-00008D000000}"/>
    <cellStyle name="Обычный 15" xfId="79" xr:uid="{00000000-0005-0000-0000-00008E000000}"/>
    <cellStyle name="Обычный 150" xfId="80" xr:uid="{00000000-0005-0000-0000-00008F000000}"/>
    <cellStyle name="Обычный 151" xfId="81" xr:uid="{00000000-0005-0000-0000-000090000000}"/>
    <cellStyle name="Обычный 152" xfId="82" xr:uid="{00000000-0005-0000-0000-000091000000}"/>
    <cellStyle name="Обычный 153" xfId="83" xr:uid="{00000000-0005-0000-0000-000092000000}"/>
    <cellStyle name="Обычный 154" xfId="84" xr:uid="{00000000-0005-0000-0000-000093000000}"/>
    <cellStyle name="Обычный 155" xfId="85" xr:uid="{00000000-0005-0000-0000-000094000000}"/>
    <cellStyle name="Обычный 156" xfId="86" xr:uid="{00000000-0005-0000-0000-000095000000}"/>
    <cellStyle name="Обычный 157" xfId="87" xr:uid="{00000000-0005-0000-0000-000096000000}"/>
    <cellStyle name="Обычный 158" xfId="88" xr:uid="{00000000-0005-0000-0000-000097000000}"/>
    <cellStyle name="Обычный 159" xfId="89" xr:uid="{00000000-0005-0000-0000-000098000000}"/>
    <cellStyle name="Обычный 16" xfId="90" xr:uid="{00000000-0005-0000-0000-000099000000}"/>
    <cellStyle name="Обычный 160" xfId="91" xr:uid="{00000000-0005-0000-0000-00009A000000}"/>
    <cellStyle name="Обычный 161" xfId="92" xr:uid="{00000000-0005-0000-0000-00009B000000}"/>
    <cellStyle name="Обычный 162" xfId="93" xr:uid="{00000000-0005-0000-0000-00009C000000}"/>
    <cellStyle name="Обычный 163" xfId="94" xr:uid="{00000000-0005-0000-0000-00009D000000}"/>
    <cellStyle name="Обычный 164" xfId="95" xr:uid="{00000000-0005-0000-0000-00009E000000}"/>
    <cellStyle name="Обычный 165" xfId="96" xr:uid="{00000000-0005-0000-0000-00009F000000}"/>
    <cellStyle name="Обычный 166" xfId="97" xr:uid="{00000000-0005-0000-0000-0000A0000000}"/>
    <cellStyle name="Обычный 167" xfId="98" xr:uid="{00000000-0005-0000-0000-0000A1000000}"/>
    <cellStyle name="Обычный 168" xfId="99" xr:uid="{00000000-0005-0000-0000-0000A2000000}"/>
    <cellStyle name="Обычный 169" xfId="100" xr:uid="{00000000-0005-0000-0000-0000A3000000}"/>
    <cellStyle name="Обычный 17" xfId="101" xr:uid="{00000000-0005-0000-0000-0000A4000000}"/>
    <cellStyle name="Обычный 170" xfId="102" xr:uid="{00000000-0005-0000-0000-0000A5000000}"/>
    <cellStyle name="Обычный 171" xfId="103" xr:uid="{00000000-0005-0000-0000-0000A6000000}"/>
    <cellStyle name="Обычный 172" xfId="104" xr:uid="{00000000-0005-0000-0000-0000A7000000}"/>
    <cellStyle name="Обычный 173" xfId="105" xr:uid="{00000000-0005-0000-0000-0000A8000000}"/>
    <cellStyle name="Обычный 174" xfId="106" xr:uid="{00000000-0005-0000-0000-0000A9000000}"/>
    <cellStyle name="Обычный 175" xfId="107" xr:uid="{00000000-0005-0000-0000-0000AA000000}"/>
    <cellStyle name="Обычный 176" xfId="108" xr:uid="{00000000-0005-0000-0000-0000AB000000}"/>
    <cellStyle name="Обычный 177" xfId="109" xr:uid="{00000000-0005-0000-0000-0000AC000000}"/>
    <cellStyle name="Обычный 178" xfId="110" xr:uid="{00000000-0005-0000-0000-0000AD000000}"/>
    <cellStyle name="Обычный 179" xfId="111" xr:uid="{00000000-0005-0000-0000-0000AE000000}"/>
    <cellStyle name="Обычный 18" xfId="112" xr:uid="{00000000-0005-0000-0000-0000AF000000}"/>
    <cellStyle name="Обычный 180" xfId="113" xr:uid="{00000000-0005-0000-0000-0000B0000000}"/>
    <cellStyle name="Обычный 181" xfId="114" xr:uid="{00000000-0005-0000-0000-0000B1000000}"/>
    <cellStyle name="Обычный 182" xfId="115" xr:uid="{00000000-0005-0000-0000-0000B2000000}"/>
    <cellStyle name="Обычный 183" xfId="116" xr:uid="{00000000-0005-0000-0000-0000B3000000}"/>
    <cellStyle name="Обычный 184" xfId="117" xr:uid="{00000000-0005-0000-0000-0000B4000000}"/>
    <cellStyle name="Обычный 185" xfId="118" xr:uid="{00000000-0005-0000-0000-0000B5000000}"/>
    <cellStyle name="Обычный 186" xfId="119" xr:uid="{00000000-0005-0000-0000-0000B6000000}"/>
    <cellStyle name="Обычный 187" xfId="120" xr:uid="{00000000-0005-0000-0000-0000B7000000}"/>
    <cellStyle name="Обычный 188" xfId="121" xr:uid="{00000000-0005-0000-0000-0000B8000000}"/>
    <cellStyle name="Обычный 189" xfId="122" xr:uid="{00000000-0005-0000-0000-0000B9000000}"/>
    <cellStyle name="Обычный 19" xfId="123" xr:uid="{00000000-0005-0000-0000-0000BA000000}"/>
    <cellStyle name="Обычный 190" xfId="124" xr:uid="{00000000-0005-0000-0000-0000BB000000}"/>
    <cellStyle name="Обычный 191" xfId="125" xr:uid="{00000000-0005-0000-0000-0000BC000000}"/>
    <cellStyle name="Обычный 192" xfId="126" xr:uid="{00000000-0005-0000-0000-0000BD000000}"/>
    <cellStyle name="Обычный 193" xfId="127" xr:uid="{00000000-0005-0000-0000-0000BE000000}"/>
    <cellStyle name="Обычный 194" xfId="128" xr:uid="{00000000-0005-0000-0000-0000BF000000}"/>
    <cellStyle name="Обычный 195" xfId="129" xr:uid="{00000000-0005-0000-0000-0000C0000000}"/>
    <cellStyle name="Обычный 196" xfId="130" xr:uid="{00000000-0005-0000-0000-0000C1000000}"/>
    <cellStyle name="Обычный 197" xfId="131" xr:uid="{00000000-0005-0000-0000-0000C2000000}"/>
    <cellStyle name="Обычный 198" xfId="132" xr:uid="{00000000-0005-0000-0000-0000C3000000}"/>
    <cellStyle name="Обычный 199" xfId="133" xr:uid="{00000000-0005-0000-0000-0000C4000000}"/>
    <cellStyle name="Обычный 2" xfId="134" xr:uid="{00000000-0005-0000-0000-0000C5000000}"/>
    <cellStyle name="Обычный 2 10" xfId="135" xr:uid="{00000000-0005-0000-0000-0000C6000000}"/>
    <cellStyle name="Обычный 2 10 2" xfId="136" xr:uid="{00000000-0005-0000-0000-0000C7000000}"/>
    <cellStyle name="Обычный 2 10 2 2" xfId="137" xr:uid="{00000000-0005-0000-0000-0000C8000000}"/>
    <cellStyle name="Обычный 2 10 2 3" xfId="138" xr:uid="{00000000-0005-0000-0000-0000C9000000}"/>
    <cellStyle name="Обычный 2 10 2 3 2" xfId="139" xr:uid="{00000000-0005-0000-0000-0000CA000000}"/>
    <cellStyle name="Обычный 2 10 2 4" xfId="140" xr:uid="{00000000-0005-0000-0000-0000CB000000}"/>
    <cellStyle name="Обычный 2 11" xfId="141" xr:uid="{00000000-0005-0000-0000-0000CC000000}"/>
    <cellStyle name="Обычный 2 11 2" xfId="142" xr:uid="{00000000-0005-0000-0000-0000CD000000}"/>
    <cellStyle name="Обычный 2 12" xfId="143" xr:uid="{00000000-0005-0000-0000-0000CE000000}"/>
    <cellStyle name="Обычный 2 13" xfId="144" xr:uid="{00000000-0005-0000-0000-0000CF000000}"/>
    <cellStyle name="Обычный 2 2" xfId="145" xr:uid="{00000000-0005-0000-0000-0000D0000000}"/>
    <cellStyle name="Обычный 2 2 2" xfId="146" xr:uid="{00000000-0005-0000-0000-0000D1000000}"/>
    <cellStyle name="Обычный 2 2 3" xfId="147" xr:uid="{00000000-0005-0000-0000-0000D2000000}"/>
    <cellStyle name="Обычный 2 2 3 2" xfId="148" xr:uid="{00000000-0005-0000-0000-0000D3000000}"/>
    <cellStyle name="Обычный 2 2 3 3" xfId="149" xr:uid="{00000000-0005-0000-0000-0000D4000000}"/>
    <cellStyle name="Обычный 2 2 4" xfId="150" xr:uid="{00000000-0005-0000-0000-0000D5000000}"/>
    <cellStyle name="Обычный 2 2 5" xfId="151" xr:uid="{00000000-0005-0000-0000-0000D6000000}"/>
    <cellStyle name="Обычный 2 3" xfId="152" xr:uid="{00000000-0005-0000-0000-0000D7000000}"/>
    <cellStyle name="Обычный 2 3 2" xfId="153" xr:uid="{00000000-0005-0000-0000-0000D8000000}"/>
    <cellStyle name="Обычный 2 3 2 2" xfId="154" xr:uid="{00000000-0005-0000-0000-0000D9000000}"/>
    <cellStyle name="Обычный 2 3 3" xfId="155" xr:uid="{00000000-0005-0000-0000-0000DA000000}"/>
    <cellStyle name="Обычный 2 3 4" xfId="156" xr:uid="{00000000-0005-0000-0000-0000DB000000}"/>
    <cellStyle name="Обычный 2 3 5" xfId="157" xr:uid="{00000000-0005-0000-0000-0000DC000000}"/>
    <cellStyle name="Обычный 2 3 6" xfId="158" xr:uid="{00000000-0005-0000-0000-0000DD000000}"/>
    <cellStyle name="Обычный 2 4" xfId="159" xr:uid="{00000000-0005-0000-0000-0000DE000000}"/>
    <cellStyle name="Обычный 2 4 2" xfId="160" xr:uid="{00000000-0005-0000-0000-0000DF000000}"/>
    <cellStyle name="Обычный 2 4 2 2" xfId="161" xr:uid="{00000000-0005-0000-0000-0000E0000000}"/>
    <cellStyle name="Обычный 2 4 3" xfId="162" xr:uid="{00000000-0005-0000-0000-0000E1000000}"/>
    <cellStyle name="Обычный 2 4 4" xfId="163" xr:uid="{00000000-0005-0000-0000-0000E2000000}"/>
    <cellStyle name="Обычный 2 5" xfId="164" xr:uid="{00000000-0005-0000-0000-0000E3000000}"/>
    <cellStyle name="Обычный 2 5 2" xfId="165" xr:uid="{00000000-0005-0000-0000-0000E4000000}"/>
    <cellStyle name="Обычный 2 5 2 2" xfId="166" xr:uid="{00000000-0005-0000-0000-0000E5000000}"/>
    <cellStyle name="Обычный 2 5 3" xfId="167" xr:uid="{00000000-0005-0000-0000-0000E6000000}"/>
    <cellStyle name="Обычный 2 6" xfId="168" xr:uid="{00000000-0005-0000-0000-0000E7000000}"/>
    <cellStyle name="Обычный 2 6 2" xfId="169" xr:uid="{00000000-0005-0000-0000-0000E8000000}"/>
    <cellStyle name="Обычный 2 6 2 2" xfId="170" xr:uid="{00000000-0005-0000-0000-0000E9000000}"/>
    <cellStyle name="Обычный 2 6 3" xfId="171" xr:uid="{00000000-0005-0000-0000-0000EA000000}"/>
    <cellStyle name="Обычный 2 6 4" xfId="172" xr:uid="{00000000-0005-0000-0000-0000EB000000}"/>
    <cellStyle name="Обычный 2 7" xfId="173" xr:uid="{00000000-0005-0000-0000-0000EC000000}"/>
    <cellStyle name="Обычный 2 7 2" xfId="174" xr:uid="{00000000-0005-0000-0000-0000ED000000}"/>
    <cellStyle name="Обычный 2 7 2 2" xfId="175" xr:uid="{00000000-0005-0000-0000-0000EE000000}"/>
    <cellStyle name="Обычный 2 7 3" xfId="176" xr:uid="{00000000-0005-0000-0000-0000EF000000}"/>
    <cellStyle name="Обычный 2 8" xfId="177" xr:uid="{00000000-0005-0000-0000-0000F0000000}"/>
    <cellStyle name="Обычный 2 8 2" xfId="178" xr:uid="{00000000-0005-0000-0000-0000F1000000}"/>
    <cellStyle name="Обычный 2 8 2 2" xfId="179" xr:uid="{00000000-0005-0000-0000-0000F2000000}"/>
    <cellStyle name="Обычный 2 8 2 2 2" xfId="180" xr:uid="{00000000-0005-0000-0000-0000F3000000}"/>
    <cellStyle name="Обычный 2 8 2 3" xfId="181" xr:uid="{00000000-0005-0000-0000-0000F4000000}"/>
    <cellStyle name="Обычный 2 8 3" xfId="182" xr:uid="{00000000-0005-0000-0000-0000F5000000}"/>
    <cellStyle name="Обычный 2 9" xfId="183" xr:uid="{00000000-0005-0000-0000-0000F6000000}"/>
    <cellStyle name="Обычный 2 9 2" xfId="184" xr:uid="{00000000-0005-0000-0000-0000F7000000}"/>
    <cellStyle name="Обычный 2 9 3" xfId="185" xr:uid="{00000000-0005-0000-0000-0000F8000000}"/>
    <cellStyle name="Обычный 2 9 3 2" xfId="186" xr:uid="{00000000-0005-0000-0000-0000F9000000}"/>
    <cellStyle name="Обычный 2 9 3 3" xfId="187" xr:uid="{00000000-0005-0000-0000-0000FA000000}"/>
    <cellStyle name="Обычный 2 9 4" xfId="188" xr:uid="{00000000-0005-0000-0000-0000FB000000}"/>
    <cellStyle name="Обычный 20" xfId="189" xr:uid="{00000000-0005-0000-0000-0000FC000000}"/>
    <cellStyle name="Обычный 200" xfId="190" xr:uid="{00000000-0005-0000-0000-0000FD000000}"/>
    <cellStyle name="Обычный 201" xfId="191" xr:uid="{00000000-0005-0000-0000-0000FE000000}"/>
    <cellStyle name="Обычный 202" xfId="192" xr:uid="{00000000-0005-0000-0000-0000FF000000}"/>
    <cellStyle name="Обычный 203" xfId="193" xr:uid="{00000000-0005-0000-0000-000000010000}"/>
    <cellStyle name="Обычный 204" xfId="194" xr:uid="{00000000-0005-0000-0000-000001010000}"/>
    <cellStyle name="Обычный 205" xfId="195" xr:uid="{00000000-0005-0000-0000-000002010000}"/>
    <cellStyle name="Обычный 206" xfId="196" xr:uid="{00000000-0005-0000-0000-000003010000}"/>
    <cellStyle name="Обычный 207" xfId="197" xr:uid="{00000000-0005-0000-0000-000004010000}"/>
    <cellStyle name="Обычный 208" xfId="198" xr:uid="{00000000-0005-0000-0000-000005010000}"/>
    <cellStyle name="Обычный 209" xfId="199" xr:uid="{00000000-0005-0000-0000-000006010000}"/>
    <cellStyle name="Обычный 21" xfId="200" xr:uid="{00000000-0005-0000-0000-000007010000}"/>
    <cellStyle name="Обычный 210" xfId="201" xr:uid="{00000000-0005-0000-0000-000008010000}"/>
    <cellStyle name="Обычный 211" xfId="202" xr:uid="{00000000-0005-0000-0000-000009010000}"/>
    <cellStyle name="Обычный 212" xfId="203" xr:uid="{00000000-0005-0000-0000-00000A010000}"/>
    <cellStyle name="Обычный 213" xfId="204" xr:uid="{00000000-0005-0000-0000-00000B010000}"/>
    <cellStyle name="Обычный 214" xfId="205" xr:uid="{00000000-0005-0000-0000-00000C010000}"/>
    <cellStyle name="Обычный 215" xfId="206" xr:uid="{00000000-0005-0000-0000-00000D010000}"/>
    <cellStyle name="Обычный 216" xfId="207" xr:uid="{00000000-0005-0000-0000-00000E010000}"/>
    <cellStyle name="Обычный 217" xfId="208" xr:uid="{00000000-0005-0000-0000-00000F010000}"/>
    <cellStyle name="Обычный 218" xfId="209" xr:uid="{00000000-0005-0000-0000-000010010000}"/>
    <cellStyle name="Обычный 219" xfId="210" xr:uid="{00000000-0005-0000-0000-000011010000}"/>
    <cellStyle name="Обычный 22" xfId="211" xr:uid="{00000000-0005-0000-0000-000012010000}"/>
    <cellStyle name="Обычный 220" xfId="212" xr:uid="{00000000-0005-0000-0000-000013010000}"/>
    <cellStyle name="Обычный 221" xfId="213" xr:uid="{00000000-0005-0000-0000-000014010000}"/>
    <cellStyle name="Обычный 222" xfId="214" xr:uid="{00000000-0005-0000-0000-000015010000}"/>
    <cellStyle name="Обычный 223" xfId="215" xr:uid="{00000000-0005-0000-0000-000016010000}"/>
    <cellStyle name="Обычный 224" xfId="216" xr:uid="{00000000-0005-0000-0000-000017010000}"/>
    <cellStyle name="Обычный 225" xfId="217" xr:uid="{00000000-0005-0000-0000-000018010000}"/>
    <cellStyle name="Обычный 226" xfId="218" xr:uid="{00000000-0005-0000-0000-000019010000}"/>
    <cellStyle name="Обычный 227" xfId="219" xr:uid="{00000000-0005-0000-0000-00001A010000}"/>
    <cellStyle name="Обычный 228" xfId="220" xr:uid="{00000000-0005-0000-0000-00001B010000}"/>
    <cellStyle name="Обычный 229" xfId="221" xr:uid="{00000000-0005-0000-0000-00001C010000}"/>
    <cellStyle name="Обычный 23" xfId="222" xr:uid="{00000000-0005-0000-0000-00001D010000}"/>
    <cellStyle name="Обычный 230" xfId="223" xr:uid="{00000000-0005-0000-0000-00001E010000}"/>
    <cellStyle name="Обычный 231" xfId="224" xr:uid="{00000000-0005-0000-0000-00001F010000}"/>
    <cellStyle name="Обычный 232" xfId="225" xr:uid="{00000000-0005-0000-0000-000020010000}"/>
    <cellStyle name="Обычный 233" xfId="226" xr:uid="{00000000-0005-0000-0000-000021010000}"/>
    <cellStyle name="Обычный 234" xfId="227" xr:uid="{00000000-0005-0000-0000-000022010000}"/>
    <cellStyle name="Обычный 235" xfId="228" xr:uid="{00000000-0005-0000-0000-000023010000}"/>
    <cellStyle name="Обычный 236" xfId="229" xr:uid="{00000000-0005-0000-0000-000024010000}"/>
    <cellStyle name="Обычный 237" xfId="230" xr:uid="{00000000-0005-0000-0000-000025010000}"/>
    <cellStyle name="Обычный 238" xfId="231" xr:uid="{00000000-0005-0000-0000-000026010000}"/>
    <cellStyle name="Обычный 239" xfId="232" xr:uid="{00000000-0005-0000-0000-000027010000}"/>
    <cellStyle name="Обычный 24" xfId="233" xr:uid="{00000000-0005-0000-0000-000028010000}"/>
    <cellStyle name="Обычный 240" xfId="234" xr:uid="{00000000-0005-0000-0000-000029010000}"/>
    <cellStyle name="Обычный 241" xfId="235" xr:uid="{00000000-0005-0000-0000-00002A010000}"/>
    <cellStyle name="Обычный 242" xfId="236" xr:uid="{00000000-0005-0000-0000-00002B010000}"/>
    <cellStyle name="Обычный 243" xfId="237" xr:uid="{00000000-0005-0000-0000-00002C010000}"/>
    <cellStyle name="Обычный 244" xfId="238" xr:uid="{00000000-0005-0000-0000-00002D010000}"/>
    <cellStyle name="Обычный 245" xfId="239" xr:uid="{00000000-0005-0000-0000-00002E010000}"/>
    <cellStyle name="Обычный 25" xfId="240" xr:uid="{00000000-0005-0000-0000-00002F010000}"/>
    <cellStyle name="Обычный 26" xfId="241" xr:uid="{00000000-0005-0000-0000-000030010000}"/>
    <cellStyle name="Обычный 27" xfId="242" xr:uid="{00000000-0005-0000-0000-000031010000}"/>
    <cellStyle name="Обычный 28" xfId="243" xr:uid="{00000000-0005-0000-0000-000032010000}"/>
    <cellStyle name="Обычный 29" xfId="244" xr:uid="{00000000-0005-0000-0000-000033010000}"/>
    <cellStyle name="Обычный 3" xfId="245" xr:uid="{00000000-0005-0000-0000-000034010000}"/>
    <cellStyle name="Обычный 3 2" xfId="246" xr:uid="{00000000-0005-0000-0000-000035010000}"/>
    <cellStyle name="Обычный 3 2 2" xfId="247" xr:uid="{00000000-0005-0000-0000-000036010000}"/>
    <cellStyle name="Обычный 3 2 2 2" xfId="248" xr:uid="{00000000-0005-0000-0000-000037010000}"/>
    <cellStyle name="Обычный 3 2 2 2 2" xfId="249" xr:uid="{00000000-0005-0000-0000-000038010000}"/>
    <cellStyle name="Обычный 3 2 2 3" xfId="250" xr:uid="{00000000-0005-0000-0000-000039010000}"/>
    <cellStyle name="Обычный 3 2 3" xfId="251" xr:uid="{00000000-0005-0000-0000-00003A010000}"/>
    <cellStyle name="Обычный 3 2 3 2" xfId="252" xr:uid="{00000000-0005-0000-0000-00003B010000}"/>
    <cellStyle name="Обычный 3 2 3 3" xfId="253" xr:uid="{00000000-0005-0000-0000-00003C010000}"/>
    <cellStyle name="Обычный 3 2 4" xfId="254" xr:uid="{00000000-0005-0000-0000-00003D010000}"/>
    <cellStyle name="Обычный 3 2 5" xfId="255" xr:uid="{00000000-0005-0000-0000-00003E010000}"/>
    <cellStyle name="Обычный 3 3" xfId="256" xr:uid="{00000000-0005-0000-0000-00003F010000}"/>
    <cellStyle name="Обычный 3 3 2" xfId="257" xr:uid="{00000000-0005-0000-0000-000040010000}"/>
    <cellStyle name="Обычный 3 4" xfId="258" xr:uid="{00000000-0005-0000-0000-000041010000}"/>
    <cellStyle name="Обычный 3 5" xfId="259" xr:uid="{00000000-0005-0000-0000-000042010000}"/>
    <cellStyle name="Обычный 3 5 2" xfId="260" xr:uid="{00000000-0005-0000-0000-000043010000}"/>
    <cellStyle name="Обычный 3 5 3" xfId="261" xr:uid="{00000000-0005-0000-0000-000044010000}"/>
    <cellStyle name="Обычный 3 6" xfId="262" xr:uid="{00000000-0005-0000-0000-000045010000}"/>
    <cellStyle name="Обычный 3 6 2" xfId="263" xr:uid="{00000000-0005-0000-0000-000046010000}"/>
    <cellStyle name="Обычный 3 6 3" xfId="264" xr:uid="{00000000-0005-0000-0000-000047010000}"/>
    <cellStyle name="Обычный 3 7" xfId="265" xr:uid="{00000000-0005-0000-0000-000048010000}"/>
    <cellStyle name="Обычный 3 7 2" xfId="266" xr:uid="{00000000-0005-0000-0000-000049010000}"/>
    <cellStyle name="Обычный 3 8" xfId="267" xr:uid="{00000000-0005-0000-0000-00004A010000}"/>
    <cellStyle name="Обычный 30" xfId="268" xr:uid="{00000000-0005-0000-0000-00004B010000}"/>
    <cellStyle name="Обычный 31" xfId="269" xr:uid="{00000000-0005-0000-0000-00004C010000}"/>
    <cellStyle name="Обычный 32" xfId="270" xr:uid="{00000000-0005-0000-0000-00004D010000}"/>
    <cellStyle name="Обычный 33" xfId="271" xr:uid="{00000000-0005-0000-0000-00004E010000}"/>
    <cellStyle name="Обычный 34" xfId="272" xr:uid="{00000000-0005-0000-0000-00004F010000}"/>
    <cellStyle name="Обычный 35" xfId="273" xr:uid="{00000000-0005-0000-0000-000050010000}"/>
    <cellStyle name="Обычный 36" xfId="274" xr:uid="{00000000-0005-0000-0000-000051010000}"/>
    <cellStyle name="Обычный 37" xfId="275" xr:uid="{00000000-0005-0000-0000-000052010000}"/>
    <cellStyle name="Обычный 38" xfId="276" xr:uid="{00000000-0005-0000-0000-000053010000}"/>
    <cellStyle name="Обычный 39" xfId="277" xr:uid="{00000000-0005-0000-0000-000054010000}"/>
    <cellStyle name="Обычный 4" xfId="278" xr:uid="{00000000-0005-0000-0000-000055010000}"/>
    <cellStyle name="Обычный 4 2" xfId="279" xr:uid="{00000000-0005-0000-0000-000056010000}"/>
    <cellStyle name="Обычный 4 2 2" xfId="280" xr:uid="{00000000-0005-0000-0000-000057010000}"/>
    <cellStyle name="Обычный 4 3" xfId="281" xr:uid="{00000000-0005-0000-0000-000058010000}"/>
    <cellStyle name="Обычный 40" xfId="282" xr:uid="{00000000-0005-0000-0000-000059010000}"/>
    <cellStyle name="Обычный 41" xfId="283" xr:uid="{00000000-0005-0000-0000-00005A010000}"/>
    <cellStyle name="Обычный 42" xfId="284" xr:uid="{00000000-0005-0000-0000-00005B010000}"/>
    <cellStyle name="Обычный 43" xfId="285" xr:uid="{00000000-0005-0000-0000-00005C010000}"/>
    <cellStyle name="Обычный 44" xfId="286" xr:uid="{00000000-0005-0000-0000-00005D010000}"/>
    <cellStyle name="Обычный 45" xfId="287" xr:uid="{00000000-0005-0000-0000-00005E010000}"/>
    <cellStyle name="Обычный 46" xfId="288" xr:uid="{00000000-0005-0000-0000-00005F010000}"/>
    <cellStyle name="Обычный 47" xfId="289" xr:uid="{00000000-0005-0000-0000-000060010000}"/>
    <cellStyle name="Обычный 48" xfId="290" xr:uid="{00000000-0005-0000-0000-000061010000}"/>
    <cellStyle name="Обычный 49" xfId="291" xr:uid="{00000000-0005-0000-0000-000062010000}"/>
    <cellStyle name="Обычный 5" xfId="292" xr:uid="{00000000-0005-0000-0000-000063010000}"/>
    <cellStyle name="Обычный 5 2" xfId="293" xr:uid="{00000000-0005-0000-0000-000064010000}"/>
    <cellStyle name="Обычный 5 2 2" xfId="294" xr:uid="{00000000-0005-0000-0000-000065010000}"/>
    <cellStyle name="Обычный 5 3" xfId="295" xr:uid="{00000000-0005-0000-0000-000066010000}"/>
    <cellStyle name="Обычный 5 4" xfId="296" xr:uid="{00000000-0005-0000-0000-000067010000}"/>
    <cellStyle name="Обычный 5 5" xfId="297" xr:uid="{00000000-0005-0000-0000-000068010000}"/>
    <cellStyle name="Обычный 50" xfId="298" xr:uid="{00000000-0005-0000-0000-000069010000}"/>
    <cellStyle name="Обычный 51" xfId="299" xr:uid="{00000000-0005-0000-0000-00006A010000}"/>
    <cellStyle name="Обычный 52" xfId="300" xr:uid="{00000000-0005-0000-0000-00006B010000}"/>
    <cellStyle name="Обычный 53" xfId="301" xr:uid="{00000000-0005-0000-0000-00006C010000}"/>
    <cellStyle name="Обычный 54" xfId="302" xr:uid="{00000000-0005-0000-0000-00006D010000}"/>
    <cellStyle name="Обычный 55" xfId="303" xr:uid="{00000000-0005-0000-0000-00006E010000}"/>
    <cellStyle name="Обычный 56" xfId="304" xr:uid="{00000000-0005-0000-0000-00006F010000}"/>
    <cellStyle name="Обычный 57" xfId="305" xr:uid="{00000000-0005-0000-0000-000070010000}"/>
    <cellStyle name="Обычный 58" xfId="306" xr:uid="{00000000-0005-0000-0000-000071010000}"/>
    <cellStyle name="Обычный 59" xfId="307" xr:uid="{00000000-0005-0000-0000-000072010000}"/>
    <cellStyle name="Обычный 6" xfId="308" xr:uid="{00000000-0005-0000-0000-000073010000}"/>
    <cellStyle name="Обычный 6 2" xfId="309" xr:uid="{00000000-0005-0000-0000-000074010000}"/>
    <cellStyle name="Обычный 6 2 2" xfId="310" xr:uid="{00000000-0005-0000-0000-000075010000}"/>
    <cellStyle name="Обычный 6 3" xfId="311" xr:uid="{00000000-0005-0000-0000-000076010000}"/>
    <cellStyle name="Обычный 6 4" xfId="312" xr:uid="{00000000-0005-0000-0000-000077010000}"/>
    <cellStyle name="Обычный 60" xfId="313" xr:uid="{00000000-0005-0000-0000-000078010000}"/>
    <cellStyle name="Обычный 61" xfId="314" xr:uid="{00000000-0005-0000-0000-000079010000}"/>
    <cellStyle name="Обычный 62" xfId="315" xr:uid="{00000000-0005-0000-0000-00007A010000}"/>
    <cellStyle name="Обычный 63" xfId="316" xr:uid="{00000000-0005-0000-0000-00007B010000}"/>
    <cellStyle name="Обычный 64" xfId="317" xr:uid="{00000000-0005-0000-0000-00007C010000}"/>
    <cellStyle name="Обычный 65" xfId="318" xr:uid="{00000000-0005-0000-0000-00007D010000}"/>
    <cellStyle name="Обычный 66" xfId="319" xr:uid="{00000000-0005-0000-0000-00007E010000}"/>
    <cellStyle name="Обычный 67" xfId="320" xr:uid="{00000000-0005-0000-0000-00007F010000}"/>
    <cellStyle name="Обычный 68" xfId="321" xr:uid="{00000000-0005-0000-0000-000080010000}"/>
    <cellStyle name="Обычный 69" xfId="322" xr:uid="{00000000-0005-0000-0000-000081010000}"/>
    <cellStyle name="Обычный 7" xfId="323" xr:uid="{00000000-0005-0000-0000-000082010000}"/>
    <cellStyle name="Обычный 7 2" xfId="324" xr:uid="{00000000-0005-0000-0000-000083010000}"/>
    <cellStyle name="Обычный 7 4" xfId="325" xr:uid="{00000000-0005-0000-0000-000084010000}"/>
    <cellStyle name="Обычный 70" xfId="326" xr:uid="{00000000-0005-0000-0000-000085010000}"/>
    <cellStyle name="Обычный 71" xfId="327" xr:uid="{00000000-0005-0000-0000-000086010000}"/>
    <cellStyle name="Обычный 72" xfId="328" xr:uid="{00000000-0005-0000-0000-000087010000}"/>
    <cellStyle name="Обычный 73" xfId="329" xr:uid="{00000000-0005-0000-0000-000088010000}"/>
    <cellStyle name="Обычный 74" xfId="330" xr:uid="{00000000-0005-0000-0000-000089010000}"/>
    <cellStyle name="Обычный 75" xfId="331" xr:uid="{00000000-0005-0000-0000-00008A010000}"/>
    <cellStyle name="Обычный 76" xfId="332" xr:uid="{00000000-0005-0000-0000-00008B010000}"/>
    <cellStyle name="Обычный 77" xfId="333" xr:uid="{00000000-0005-0000-0000-00008C010000}"/>
    <cellStyle name="Обычный 78" xfId="334" xr:uid="{00000000-0005-0000-0000-00008D010000}"/>
    <cellStyle name="Обычный 79" xfId="335" xr:uid="{00000000-0005-0000-0000-00008E010000}"/>
    <cellStyle name="Обычный 8" xfId="336" xr:uid="{00000000-0005-0000-0000-00008F010000}"/>
    <cellStyle name="Обычный 80" xfId="337" xr:uid="{00000000-0005-0000-0000-000090010000}"/>
    <cellStyle name="Обычный 81" xfId="338" xr:uid="{00000000-0005-0000-0000-000091010000}"/>
    <cellStyle name="Обычный 82" xfId="339" xr:uid="{00000000-0005-0000-0000-000092010000}"/>
    <cellStyle name="Обычный 83" xfId="340" xr:uid="{00000000-0005-0000-0000-000093010000}"/>
    <cellStyle name="Обычный 84" xfId="341" xr:uid="{00000000-0005-0000-0000-000094010000}"/>
    <cellStyle name="Обычный 85" xfId="342" xr:uid="{00000000-0005-0000-0000-000095010000}"/>
    <cellStyle name="Обычный 86" xfId="343" xr:uid="{00000000-0005-0000-0000-000096010000}"/>
    <cellStyle name="Обычный 87" xfId="344" xr:uid="{00000000-0005-0000-0000-000097010000}"/>
    <cellStyle name="Обычный 88" xfId="345" xr:uid="{00000000-0005-0000-0000-000098010000}"/>
    <cellStyle name="Обычный 89" xfId="346" xr:uid="{00000000-0005-0000-0000-000099010000}"/>
    <cellStyle name="Обычный 9" xfId="347" xr:uid="{00000000-0005-0000-0000-00009A010000}"/>
    <cellStyle name="Обычный 90" xfId="348" xr:uid="{00000000-0005-0000-0000-00009B010000}"/>
    <cellStyle name="Обычный 91" xfId="349" xr:uid="{00000000-0005-0000-0000-00009C010000}"/>
    <cellStyle name="Обычный 92" xfId="350" xr:uid="{00000000-0005-0000-0000-00009D010000}"/>
    <cellStyle name="Обычный 93" xfId="351" xr:uid="{00000000-0005-0000-0000-00009E010000}"/>
    <cellStyle name="Обычный 94" xfId="352" xr:uid="{00000000-0005-0000-0000-00009F010000}"/>
    <cellStyle name="Обычный 95" xfId="353" xr:uid="{00000000-0005-0000-0000-0000A0010000}"/>
    <cellStyle name="Обычный 96" xfId="354" xr:uid="{00000000-0005-0000-0000-0000A1010000}"/>
    <cellStyle name="Обычный 97" xfId="355" xr:uid="{00000000-0005-0000-0000-0000A2010000}"/>
    <cellStyle name="Обычный 98" xfId="356" xr:uid="{00000000-0005-0000-0000-0000A3010000}"/>
    <cellStyle name="Обычный 99" xfId="357" xr:uid="{00000000-0005-0000-0000-0000A4010000}"/>
    <cellStyle name="Плохой 2" xfId="358" xr:uid="{00000000-0005-0000-0000-0000A5010000}"/>
    <cellStyle name="Пояснение 2" xfId="359" xr:uid="{00000000-0005-0000-0000-0000A6010000}"/>
    <cellStyle name="Примечание 2" xfId="360" xr:uid="{00000000-0005-0000-0000-0000A7010000}"/>
    <cellStyle name="Процентный 2" xfId="361" xr:uid="{00000000-0005-0000-0000-0000A8010000}"/>
    <cellStyle name="Процентный 2 2" xfId="362" xr:uid="{00000000-0005-0000-0000-0000A9010000}"/>
    <cellStyle name="Процентный 2 2 2" xfId="363" xr:uid="{00000000-0005-0000-0000-0000AA010000}"/>
    <cellStyle name="Процентный 2 2 2 2" xfId="364" xr:uid="{00000000-0005-0000-0000-0000AB010000}"/>
    <cellStyle name="Процентный 2 2 3" xfId="365" xr:uid="{00000000-0005-0000-0000-0000AC010000}"/>
    <cellStyle name="Процентный 2 2 3 2" xfId="366" xr:uid="{00000000-0005-0000-0000-0000AD010000}"/>
    <cellStyle name="Процентный 2 3" xfId="367" xr:uid="{00000000-0005-0000-0000-0000AE010000}"/>
    <cellStyle name="Процентный 2 3 2" xfId="368" xr:uid="{00000000-0005-0000-0000-0000AF010000}"/>
    <cellStyle name="Процентный 2 4" xfId="369" xr:uid="{00000000-0005-0000-0000-0000B0010000}"/>
    <cellStyle name="Процентный 2 4 2" xfId="370" xr:uid="{00000000-0005-0000-0000-0000B1010000}"/>
    <cellStyle name="Процентный 2 5" xfId="371" xr:uid="{00000000-0005-0000-0000-0000B2010000}"/>
    <cellStyle name="Процентный 3" xfId="372" xr:uid="{00000000-0005-0000-0000-0000B3010000}"/>
    <cellStyle name="Процентный 4" xfId="373" xr:uid="{00000000-0005-0000-0000-0000B4010000}"/>
    <cellStyle name="Процентный 4 2" xfId="374" xr:uid="{00000000-0005-0000-0000-0000B5010000}"/>
    <cellStyle name="Процентный 5" xfId="375" xr:uid="{00000000-0005-0000-0000-0000B6010000}"/>
    <cellStyle name="Процентный 6" xfId="376" xr:uid="{00000000-0005-0000-0000-0000B7010000}"/>
    <cellStyle name="Процентный 7" xfId="377" xr:uid="{00000000-0005-0000-0000-0000B8010000}"/>
    <cellStyle name="Процентный 8" xfId="378" xr:uid="{00000000-0005-0000-0000-0000B9010000}"/>
    <cellStyle name="Связанная ячейка 2" xfId="379" xr:uid="{00000000-0005-0000-0000-0000BA010000}"/>
    <cellStyle name="Текст предупреждения 2" xfId="380" xr:uid="{00000000-0005-0000-0000-0000BB010000}"/>
    <cellStyle name="Финансовый 2" xfId="381" xr:uid="{00000000-0005-0000-0000-0000BC010000}"/>
    <cellStyle name="Финансовый 2 2" xfId="382" xr:uid="{00000000-0005-0000-0000-0000BD010000}"/>
    <cellStyle name="Финансовый 2 2 2" xfId="383" xr:uid="{00000000-0005-0000-0000-0000BE010000}"/>
    <cellStyle name="Финансовый 2 2 2 2" xfId="384" xr:uid="{00000000-0005-0000-0000-0000BF010000}"/>
    <cellStyle name="Финансовый 2 2 2 3" xfId="385" xr:uid="{00000000-0005-0000-0000-0000C0010000}"/>
    <cellStyle name="Финансовый 2 2 2 4" xfId="386" xr:uid="{00000000-0005-0000-0000-0000C1010000}"/>
    <cellStyle name="Финансовый 2 2 3" xfId="387" xr:uid="{00000000-0005-0000-0000-0000C2010000}"/>
    <cellStyle name="Финансовый 2 2 4" xfId="388" xr:uid="{00000000-0005-0000-0000-0000C3010000}"/>
    <cellStyle name="Финансовый 2 2 5" xfId="389" xr:uid="{00000000-0005-0000-0000-0000C4010000}"/>
    <cellStyle name="Финансовый 2 2 6" xfId="390" xr:uid="{00000000-0005-0000-0000-0000C5010000}"/>
    <cellStyle name="Финансовый 2 3" xfId="391" xr:uid="{00000000-0005-0000-0000-0000C6010000}"/>
    <cellStyle name="Финансовый 2 3 2" xfId="392" xr:uid="{00000000-0005-0000-0000-0000C7010000}"/>
    <cellStyle name="Финансовый 2 3 2 2" xfId="393" xr:uid="{00000000-0005-0000-0000-0000C8010000}"/>
    <cellStyle name="Финансовый 2 3 2 3" xfId="394" xr:uid="{00000000-0005-0000-0000-0000C9010000}"/>
    <cellStyle name="Финансовый 2 3 2 4" xfId="395" xr:uid="{00000000-0005-0000-0000-0000CA010000}"/>
    <cellStyle name="Финансовый 2 3 3" xfId="396" xr:uid="{00000000-0005-0000-0000-0000CB010000}"/>
    <cellStyle name="Финансовый 2 3 3 2" xfId="397" xr:uid="{00000000-0005-0000-0000-0000CC010000}"/>
    <cellStyle name="Финансовый 2 3 4" xfId="398" xr:uid="{00000000-0005-0000-0000-0000CD010000}"/>
    <cellStyle name="Финансовый 2 3 4 2" xfId="399" xr:uid="{00000000-0005-0000-0000-0000CE010000}"/>
    <cellStyle name="Финансовый 2 3 4 3" xfId="400" xr:uid="{00000000-0005-0000-0000-0000CF010000}"/>
    <cellStyle name="Финансовый 2 3 4 4" xfId="401" xr:uid="{00000000-0005-0000-0000-0000D0010000}"/>
    <cellStyle name="Финансовый 2 3 5" xfId="402" xr:uid="{00000000-0005-0000-0000-0000D1010000}"/>
    <cellStyle name="Финансовый 2 3 6" xfId="403" xr:uid="{00000000-0005-0000-0000-0000D2010000}"/>
    <cellStyle name="Финансовый 2 3 7" xfId="404" xr:uid="{00000000-0005-0000-0000-0000D3010000}"/>
    <cellStyle name="Финансовый 2 4" xfId="405" xr:uid="{00000000-0005-0000-0000-0000D4010000}"/>
    <cellStyle name="Финансовый 2 4 2" xfId="406" xr:uid="{00000000-0005-0000-0000-0000D5010000}"/>
    <cellStyle name="Финансовый 2 4 3" xfId="407" xr:uid="{00000000-0005-0000-0000-0000D6010000}"/>
    <cellStyle name="Финансовый 2 4 4" xfId="408" xr:uid="{00000000-0005-0000-0000-0000D7010000}"/>
    <cellStyle name="Финансовый 2 5" xfId="409" xr:uid="{00000000-0005-0000-0000-0000D8010000}"/>
    <cellStyle name="Финансовый 2 6" xfId="410" xr:uid="{00000000-0005-0000-0000-0000D9010000}"/>
    <cellStyle name="Финансовый 2 7" xfId="411" xr:uid="{00000000-0005-0000-0000-0000DA010000}"/>
    <cellStyle name="Финансовый 2 8" xfId="412" xr:uid="{00000000-0005-0000-0000-0000DB010000}"/>
    <cellStyle name="Финансовый 3" xfId="413" xr:uid="{00000000-0005-0000-0000-0000DC010000}"/>
    <cellStyle name="Финансовый 3 2" xfId="414" xr:uid="{00000000-0005-0000-0000-0000DD010000}"/>
    <cellStyle name="Финансовый 3 2 2" xfId="415" xr:uid="{00000000-0005-0000-0000-0000DE010000}"/>
    <cellStyle name="Финансовый 3 2 2 2" xfId="416" xr:uid="{00000000-0005-0000-0000-0000DF010000}"/>
    <cellStyle name="Финансовый 3 2 2 2 2" xfId="417" xr:uid="{00000000-0005-0000-0000-0000E0010000}"/>
    <cellStyle name="Финансовый 3 2 2 2 3" xfId="418" xr:uid="{00000000-0005-0000-0000-0000E1010000}"/>
    <cellStyle name="Финансовый 3 2 2 2 4" xfId="419" xr:uid="{00000000-0005-0000-0000-0000E2010000}"/>
    <cellStyle name="Финансовый 3 2 2 3" xfId="420" xr:uid="{00000000-0005-0000-0000-0000E3010000}"/>
    <cellStyle name="Финансовый 3 2 2 4" xfId="421" xr:uid="{00000000-0005-0000-0000-0000E4010000}"/>
    <cellStyle name="Финансовый 3 2 2 5" xfId="422" xr:uid="{00000000-0005-0000-0000-0000E5010000}"/>
    <cellStyle name="Финансовый 3 2 3" xfId="423" xr:uid="{00000000-0005-0000-0000-0000E6010000}"/>
    <cellStyle name="Финансовый 3 2 3 2" xfId="424" xr:uid="{00000000-0005-0000-0000-0000E7010000}"/>
    <cellStyle name="Финансовый 3 2 3 3" xfId="425" xr:uid="{00000000-0005-0000-0000-0000E8010000}"/>
    <cellStyle name="Финансовый 3 2 3 4" xfId="426" xr:uid="{00000000-0005-0000-0000-0000E9010000}"/>
    <cellStyle name="Финансовый 3 2 4" xfId="427" xr:uid="{00000000-0005-0000-0000-0000EA010000}"/>
    <cellStyle name="Финансовый 3 2 5" xfId="428" xr:uid="{00000000-0005-0000-0000-0000EB010000}"/>
    <cellStyle name="Финансовый 3 2 6" xfId="429" xr:uid="{00000000-0005-0000-0000-0000EC010000}"/>
    <cellStyle name="Финансовый 3 2 7" xfId="430" xr:uid="{00000000-0005-0000-0000-0000ED010000}"/>
    <cellStyle name="Финансовый 3 3" xfId="431" xr:uid="{00000000-0005-0000-0000-0000EE010000}"/>
    <cellStyle name="Финансовый 3 3 2" xfId="432" xr:uid="{00000000-0005-0000-0000-0000EF010000}"/>
    <cellStyle name="Финансовый 3 3 2 2" xfId="433" xr:uid="{00000000-0005-0000-0000-0000F0010000}"/>
    <cellStyle name="Финансовый 3 3 2 3" xfId="434" xr:uid="{00000000-0005-0000-0000-0000F1010000}"/>
    <cellStyle name="Финансовый 3 3 2 4" xfId="435" xr:uid="{00000000-0005-0000-0000-0000F2010000}"/>
    <cellStyle name="Финансовый 3 3 3" xfId="436" xr:uid="{00000000-0005-0000-0000-0000F3010000}"/>
    <cellStyle name="Финансовый 3 3 4" xfId="437" xr:uid="{00000000-0005-0000-0000-0000F4010000}"/>
    <cellStyle name="Финансовый 3 3 5" xfId="438" xr:uid="{00000000-0005-0000-0000-0000F5010000}"/>
    <cellStyle name="Финансовый 3 4" xfId="439" xr:uid="{00000000-0005-0000-0000-0000F6010000}"/>
    <cellStyle name="Финансовый 3 4 2" xfId="440" xr:uid="{00000000-0005-0000-0000-0000F7010000}"/>
    <cellStyle name="Финансовый 3 4 3" xfId="441" xr:uid="{00000000-0005-0000-0000-0000F8010000}"/>
    <cellStyle name="Финансовый 3 4 4" xfId="442" xr:uid="{00000000-0005-0000-0000-0000F9010000}"/>
    <cellStyle name="Финансовый 3 5" xfId="443" xr:uid="{00000000-0005-0000-0000-0000FA010000}"/>
    <cellStyle name="Финансовый 3 6" xfId="444" xr:uid="{00000000-0005-0000-0000-0000FB010000}"/>
    <cellStyle name="Финансовый 3 7" xfId="445" xr:uid="{00000000-0005-0000-0000-0000FC010000}"/>
    <cellStyle name="Финансовый 3 8" xfId="446" xr:uid="{00000000-0005-0000-0000-0000FD010000}"/>
    <cellStyle name="Финансовый 4" xfId="447" xr:uid="{00000000-0005-0000-0000-0000FE010000}"/>
    <cellStyle name="Финансовый 4 2" xfId="448" xr:uid="{00000000-0005-0000-0000-0000FF010000}"/>
    <cellStyle name="Финансовый 4 2 2" xfId="449" xr:uid="{00000000-0005-0000-0000-000000020000}"/>
    <cellStyle name="Финансовый 4 2 2 2" xfId="450" xr:uid="{00000000-0005-0000-0000-000001020000}"/>
    <cellStyle name="Финансовый 4 2 2 3" xfId="451" xr:uid="{00000000-0005-0000-0000-000002020000}"/>
    <cellStyle name="Финансовый 4 2 2 4" xfId="452" xr:uid="{00000000-0005-0000-0000-000003020000}"/>
    <cellStyle name="Финансовый 4 2 3" xfId="453" xr:uid="{00000000-0005-0000-0000-000004020000}"/>
    <cellStyle name="Финансовый 4 2 4" xfId="454" xr:uid="{00000000-0005-0000-0000-000005020000}"/>
    <cellStyle name="Финансовый 4 2 5" xfId="455" xr:uid="{00000000-0005-0000-0000-000006020000}"/>
    <cellStyle name="Финансовый 4 3" xfId="456" xr:uid="{00000000-0005-0000-0000-000007020000}"/>
    <cellStyle name="Финансовый 4 3 2" xfId="457" xr:uid="{00000000-0005-0000-0000-000008020000}"/>
    <cellStyle name="Финансовый 4 3 3" xfId="458" xr:uid="{00000000-0005-0000-0000-000009020000}"/>
    <cellStyle name="Финансовый 4 3 4" xfId="459" xr:uid="{00000000-0005-0000-0000-00000A020000}"/>
    <cellStyle name="Финансовый 4 4" xfId="460" xr:uid="{00000000-0005-0000-0000-00000B020000}"/>
    <cellStyle name="Финансовый 4 5" xfId="461" xr:uid="{00000000-0005-0000-0000-00000C020000}"/>
    <cellStyle name="Финансовый 4 6" xfId="462" xr:uid="{00000000-0005-0000-0000-00000D020000}"/>
    <cellStyle name="Финансовый 5" xfId="463" xr:uid="{00000000-0005-0000-0000-00000E020000}"/>
    <cellStyle name="Финансовый 5 2" xfId="464" xr:uid="{00000000-0005-0000-0000-00000F020000}"/>
    <cellStyle name="Финансовый 5 3" xfId="465" xr:uid="{00000000-0005-0000-0000-000010020000}"/>
    <cellStyle name="Финансовый 5 4" xfId="466" xr:uid="{00000000-0005-0000-0000-000011020000}"/>
    <cellStyle name="Финансовый 8" xfId="467" xr:uid="{00000000-0005-0000-0000-000012020000}"/>
    <cellStyle name="Финансовый 8 2" xfId="468" xr:uid="{00000000-0005-0000-0000-000013020000}"/>
    <cellStyle name="Хороший 2" xfId="469" xr:uid="{00000000-0005-0000-0000-000014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xlnm._FilterDatabase_1" displayName="__xlnm._FilterDatabase_1" ref="A4:A101" totalsRowShown="0">
  <autoFilter ref="A4:A101" xr:uid="{00000000-0009-0000-0100-000001000000}"/>
  <tableColumns count="1">
    <tableColumn id="1" xr3:uid="{00000000-0010-0000-0000-000001000000}" name="Наименование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topLeftCell="A103" workbookViewId="0">
      <selection activeCell="M113" sqref="M113"/>
    </sheetView>
  </sheetViews>
  <sheetFormatPr defaultRowHeight="14.25"/>
  <cols>
    <col min="1" max="1" width="17.375" customWidth="1"/>
    <col min="2" max="3" width="44.25" customWidth="1"/>
    <col min="4" max="4" width="14" hidden="1" customWidth="1"/>
    <col min="5" max="5" width="13.125" customWidth="1"/>
    <col min="6" max="8" width="8.125" customWidth="1"/>
    <col min="9" max="9" width="15.25" customWidth="1"/>
    <col min="10" max="10" width="12.875" customWidth="1"/>
    <col min="11" max="1027" width="8.125" customWidth="1"/>
    <col min="1028" max="1028" width="9" customWidth="1"/>
  </cols>
  <sheetData>
    <row r="1" spans="1:10" ht="15" thickBot="1"/>
    <row r="2" spans="1:10" ht="18.75" thickBot="1">
      <c r="A2" s="25" t="s">
        <v>0</v>
      </c>
      <c r="B2" s="27"/>
      <c r="C2" s="29" t="s">
        <v>123</v>
      </c>
      <c r="D2" s="28"/>
      <c r="E2" s="26"/>
      <c r="F2" s="26"/>
      <c r="G2" s="26"/>
      <c r="H2" s="27"/>
      <c r="I2" s="29" t="s">
        <v>229</v>
      </c>
      <c r="J2" s="30" t="s">
        <v>124</v>
      </c>
    </row>
    <row r="3" spans="1:10" ht="15">
      <c r="A3" s="9"/>
      <c r="B3" s="9"/>
      <c r="C3" s="9"/>
      <c r="D3" s="22"/>
      <c r="E3" s="9"/>
      <c r="F3" s="9"/>
      <c r="G3" s="9"/>
      <c r="H3" s="14"/>
      <c r="I3" s="23"/>
      <c r="J3" s="24"/>
    </row>
    <row r="4" spans="1:10" ht="15">
      <c r="A4" s="1" t="s">
        <v>1</v>
      </c>
      <c r="B4" s="1" t="s">
        <v>2</v>
      </c>
      <c r="C4" s="11"/>
      <c r="D4" s="6"/>
      <c r="E4" s="15"/>
      <c r="F4" s="1"/>
      <c r="G4" s="1"/>
      <c r="H4" s="5"/>
      <c r="I4" s="19"/>
      <c r="J4" s="20"/>
    </row>
    <row r="5" spans="1:10" ht="28.5">
      <c r="A5" s="1" t="s">
        <v>3</v>
      </c>
      <c r="B5" s="5" t="s">
        <v>4</v>
      </c>
      <c r="C5" s="12" t="s">
        <v>125</v>
      </c>
      <c r="D5" s="10">
        <v>0.35</v>
      </c>
      <c r="E5" s="7">
        <v>10.85</v>
      </c>
      <c r="F5" s="1"/>
      <c r="G5" s="1"/>
      <c r="H5" s="5"/>
      <c r="I5" s="19">
        <v>10</v>
      </c>
      <c r="J5" s="20">
        <f>I5*D5</f>
        <v>3.5</v>
      </c>
    </row>
    <row r="6" spans="1:10" ht="42.75">
      <c r="A6" s="1" t="s">
        <v>3</v>
      </c>
      <c r="B6" s="5" t="s">
        <v>5</v>
      </c>
      <c r="C6" s="12" t="s">
        <v>126</v>
      </c>
      <c r="D6" s="10">
        <v>0.35</v>
      </c>
      <c r="E6" s="7">
        <v>-1.05</v>
      </c>
      <c r="F6" s="1"/>
      <c r="G6" s="1"/>
      <c r="H6" s="5"/>
      <c r="I6" s="19"/>
      <c r="J6" s="20">
        <f t="shared" ref="J6:J69" si="0">I6*D6</f>
        <v>0</v>
      </c>
    </row>
    <row r="7" spans="1:10" ht="15">
      <c r="A7" s="1" t="s">
        <v>6</v>
      </c>
      <c r="B7" s="5"/>
      <c r="C7" s="13"/>
      <c r="D7" s="6"/>
      <c r="E7" s="7">
        <v>9.1</v>
      </c>
      <c r="F7" s="1"/>
      <c r="G7" s="1"/>
      <c r="H7" s="5"/>
      <c r="I7" s="19"/>
      <c r="J7" s="20">
        <f t="shared" si="0"/>
        <v>0</v>
      </c>
    </row>
    <row r="8" spans="1:10" ht="28.5">
      <c r="A8" s="1" t="s">
        <v>7</v>
      </c>
      <c r="B8" s="5" t="s">
        <v>8</v>
      </c>
      <c r="C8" s="12" t="s">
        <v>127</v>
      </c>
      <c r="D8" s="10">
        <v>0.3</v>
      </c>
      <c r="E8" s="7">
        <v>51</v>
      </c>
      <c r="F8" s="1"/>
      <c r="G8" s="1"/>
      <c r="H8" s="5"/>
      <c r="I8" s="19">
        <v>40</v>
      </c>
      <c r="J8" s="20">
        <f t="shared" si="0"/>
        <v>12</v>
      </c>
    </row>
    <row r="9" spans="1:10" ht="28.5">
      <c r="A9" s="1" t="s">
        <v>7</v>
      </c>
      <c r="B9" s="5" t="s">
        <v>9</v>
      </c>
      <c r="C9" s="12" t="s">
        <v>128</v>
      </c>
      <c r="D9" s="10">
        <v>1</v>
      </c>
      <c r="E9" s="7">
        <v>696.19</v>
      </c>
      <c r="F9" s="1"/>
      <c r="G9" s="1"/>
      <c r="H9" s="5"/>
      <c r="I9" s="19">
        <v>120</v>
      </c>
      <c r="J9" s="20">
        <f t="shared" si="0"/>
        <v>120</v>
      </c>
    </row>
    <row r="10" spans="1:10" ht="28.5">
      <c r="A10" s="1" t="s">
        <v>7</v>
      </c>
      <c r="B10" s="5" t="s">
        <v>10</v>
      </c>
      <c r="C10" s="12" t="s">
        <v>129</v>
      </c>
      <c r="D10" s="10">
        <v>0.45</v>
      </c>
      <c r="E10" s="7">
        <v>459.45</v>
      </c>
      <c r="F10" s="1"/>
      <c r="G10" s="1"/>
      <c r="H10" s="5"/>
      <c r="I10" s="19">
        <v>230</v>
      </c>
      <c r="J10" s="20">
        <f t="shared" si="0"/>
        <v>103.5</v>
      </c>
    </row>
    <row r="11" spans="1:10" ht="28.5">
      <c r="A11" s="1" t="s">
        <v>7</v>
      </c>
      <c r="B11" s="5" t="s">
        <v>11</v>
      </c>
      <c r="C11" s="12" t="s">
        <v>132</v>
      </c>
      <c r="D11" s="10">
        <v>1</v>
      </c>
      <c r="E11" s="7">
        <v>714.79300000000001</v>
      </c>
      <c r="F11" s="1"/>
      <c r="G11" s="1"/>
      <c r="H11" s="5"/>
      <c r="I11" s="19">
        <v>100</v>
      </c>
      <c r="J11" s="20">
        <f t="shared" si="0"/>
        <v>100</v>
      </c>
    </row>
    <row r="12" spans="1:10" ht="28.5">
      <c r="A12" s="1" t="s">
        <v>7</v>
      </c>
      <c r="B12" s="5" t="s">
        <v>12</v>
      </c>
      <c r="C12" s="12" t="s">
        <v>133</v>
      </c>
      <c r="D12" s="10">
        <v>0.4</v>
      </c>
      <c r="E12" s="7">
        <v>729.2</v>
      </c>
      <c r="F12" s="1"/>
      <c r="G12" s="1"/>
      <c r="H12" s="5"/>
      <c r="I12" s="19">
        <v>450</v>
      </c>
      <c r="J12" s="20">
        <f t="shared" si="0"/>
        <v>180</v>
      </c>
    </row>
    <row r="13" spans="1:10" ht="28.5">
      <c r="A13" s="1" t="s">
        <v>7</v>
      </c>
      <c r="B13" s="5" t="s">
        <v>13</v>
      </c>
      <c r="C13" s="12" t="s">
        <v>134</v>
      </c>
      <c r="D13" s="10">
        <v>0.4</v>
      </c>
      <c r="E13" s="7">
        <v>498.8</v>
      </c>
      <c r="F13" s="1"/>
      <c r="G13" s="1"/>
      <c r="H13" s="5"/>
      <c r="I13" s="19">
        <v>300</v>
      </c>
      <c r="J13" s="20">
        <f t="shared" si="0"/>
        <v>120</v>
      </c>
    </row>
    <row r="14" spans="1:10" ht="28.5">
      <c r="A14" s="1" t="s">
        <v>7</v>
      </c>
      <c r="B14" s="5" t="s">
        <v>14</v>
      </c>
      <c r="C14" s="12" t="s">
        <v>135</v>
      </c>
      <c r="D14" s="10">
        <v>1</v>
      </c>
      <c r="E14" s="7">
        <v>440.714</v>
      </c>
      <c r="F14" s="1"/>
      <c r="G14" s="1"/>
      <c r="H14" s="5"/>
      <c r="I14" s="19">
        <v>110</v>
      </c>
      <c r="J14" s="20">
        <f t="shared" si="0"/>
        <v>110</v>
      </c>
    </row>
    <row r="15" spans="1:10" ht="28.5">
      <c r="A15" s="1" t="s">
        <v>7</v>
      </c>
      <c r="B15" s="5" t="s">
        <v>15</v>
      </c>
      <c r="C15" s="12" t="s">
        <v>136</v>
      </c>
      <c r="D15" s="10">
        <v>0.45</v>
      </c>
      <c r="E15" s="7">
        <v>908.1</v>
      </c>
      <c r="F15" s="1"/>
      <c r="G15" s="1"/>
      <c r="H15" s="5"/>
      <c r="I15" s="19">
        <v>450</v>
      </c>
      <c r="J15" s="20">
        <f t="shared" si="0"/>
        <v>202.5</v>
      </c>
    </row>
    <row r="16" spans="1:10" ht="28.5">
      <c r="A16" s="1" t="s">
        <v>7</v>
      </c>
      <c r="B16" s="5" t="s">
        <v>16</v>
      </c>
      <c r="C16" s="12" t="s">
        <v>137</v>
      </c>
      <c r="D16" s="10">
        <v>0.4</v>
      </c>
      <c r="E16" s="7">
        <v>213.2</v>
      </c>
      <c r="F16" s="1"/>
      <c r="G16" s="1"/>
      <c r="H16" s="5"/>
      <c r="I16" s="19">
        <v>130</v>
      </c>
      <c r="J16" s="20">
        <f t="shared" si="0"/>
        <v>52</v>
      </c>
    </row>
    <row r="17" spans="1:10" ht="28.5">
      <c r="A17" s="1" t="s">
        <v>7</v>
      </c>
      <c r="B17" s="5" t="s">
        <v>17</v>
      </c>
      <c r="C17" s="12" t="s">
        <v>138</v>
      </c>
      <c r="D17" s="10">
        <v>0.375</v>
      </c>
      <c r="E17" s="7">
        <v>375.75</v>
      </c>
      <c r="F17" s="1"/>
      <c r="G17" s="1"/>
      <c r="H17" s="5"/>
      <c r="I17" s="19">
        <v>220</v>
      </c>
      <c r="J17" s="20">
        <f t="shared" si="0"/>
        <v>82.5</v>
      </c>
    </row>
    <row r="18" spans="1:10" ht="28.5">
      <c r="A18" s="1" t="s">
        <v>7</v>
      </c>
      <c r="B18" s="5" t="s">
        <v>18</v>
      </c>
      <c r="C18" s="12" t="s">
        <v>139</v>
      </c>
      <c r="D18" s="10">
        <v>0.45</v>
      </c>
      <c r="E18" s="7">
        <v>316.8</v>
      </c>
      <c r="F18" s="1"/>
      <c r="G18" s="1"/>
      <c r="H18" s="5"/>
      <c r="I18" s="19">
        <v>160</v>
      </c>
      <c r="J18" s="20">
        <f t="shared" si="0"/>
        <v>72</v>
      </c>
    </row>
    <row r="19" spans="1:10" ht="28.5">
      <c r="A19" s="1" t="s">
        <v>7</v>
      </c>
      <c r="B19" s="5" t="s">
        <v>19</v>
      </c>
      <c r="C19" s="12" t="s">
        <v>140</v>
      </c>
      <c r="D19" s="10">
        <v>1</v>
      </c>
      <c r="E19" s="7">
        <v>220.71700000000001</v>
      </c>
      <c r="F19" s="1"/>
      <c r="G19" s="1"/>
      <c r="H19" s="5"/>
      <c r="I19" s="19">
        <v>55</v>
      </c>
      <c r="J19" s="20">
        <f t="shared" si="0"/>
        <v>55</v>
      </c>
    </row>
    <row r="20" spans="1:10" ht="28.5">
      <c r="A20" s="1" t="s">
        <v>7</v>
      </c>
      <c r="B20" s="5" t="s">
        <v>20</v>
      </c>
      <c r="C20" s="12" t="s">
        <v>131</v>
      </c>
      <c r="D20" s="10">
        <v>1</v>
      </c>
      <c r="E20" s="7">
        <v>759.702</v>
      </c>
      <c r="F20" s="1"/>
      <c r="G20" s="1"/>
      <c r="H20" s="5"/>
      <c r="I20" s="19">
        <v>190</v>
      </c>
      <c r="J20" s="20">
        <f t="shared" si="0"/>
        <v>190</v>
      </c>
    </row>
    <row r="21" spans="1:10" ht="28.5">
      <c r="A21" s="1" t="s">
        <v>7</v>
      </c>
      <c r="B21" s="5" t="s">
        <v>21</v>
      </c>
      <c r="C21" s="12" t="s">
        <v>130</v>
      </c>
      <c r="D21" s="10">
        <v>0.45</v>
      </c>
      <c r="E21" s="7">
        <v>686.25</v>
      </c>
      <c r="F21" s="1"/>
      <c r="G21" s="1"/>
      <c r="H21" s="5"/>
      <c r="I21" s="19">
        <v>700</v>
      </c>
      <c r="J21" s="20">
        <f t="shared" si="0"/>
        <v>315</v>
      </c>
    </row>
    <row r="22" spans="1:10" ht="28.5">
      <c r="A22" s="1" t="s">
        <v>7</v>
      </c>
      <c r="B22" s="5" t="s">
        <v>22</v>
      </c>
      <c r="C22" s="12" t="s">
        <v>130</v>
      </c>
      <c r="D22" s="10">
        <v>0.45</v>
      </c>
      <c r="E22" s="7">
        <v>700.2</v>
      </c>
      <c r="F22" s="1"/>
      <c r="G22" s="1"/>
      <c r="H22" s="5"/>
      <c r="I22" s="19"/>
      <c r="J22" s="20">
        <f t="shared" si="0"/>
        <v>0</v>
      </c>
    </row>
    <row r="23" spans="1:10" ht="28.5">
      <c r="A23" s="1" t="s">
        <v>7</v>
      </c>
      <c r="B23" s="5" t="s">
        <v>23</v>
      </c>
      <c r="C23" s="12" t="s">
        <v>141</v>
      </c>
      <c r="D23" s="10">
        <v>1</v>
      </c>
      <c r="E23" s="7">
        <v>72.162999999999997</v>
      </c>
      <c r="F23" s="1"/>
      <c r="G23" s="1"/>
      <c r="H23" s="5"/>
      <c r="I23" s="19">
        <v>15</v>
      </c>
      <c r="J23" s="20">
        <f t="shared" si="0"/>
        <v>15</v>
      </c>
    </row>
    <row r="24" spans="1:10" ht="28.5">
      <c r="A24" s="1" t="s">
        <v>7</v>
      </c>
      <c r="B24" s="5" t="s">
        <v>24</v>
      </c>
      <c r="C24" s="12" t="s">
        <v>142</v>
      </c>
      <c r="D24" s="10">
        <v>1</v>
      </c>
      <c r="E24" s="7">
        <v>-0.86099999999999999</v>
      </c>
      <c r="F24" s="1"/>
      <c r="G24" s="1"/>
      <c r="H24" s="5"/>
      <c r="I24" s="19"/>
      <c r="J24" s="20">
        <f t="shared" si="0"/>
        <v>0</v>
      </c>
    </row>
    <row r="25" spans="1:10" ht="42.75">
      <c r="A25" s="1" t="s">
        <v>7</v>
      </c>
      <c r="B25" s="5" t="s">
        <v>25</v>
      </c>
      <c r="C25" s="12" t="s">
        <v>143</v>
      </c>
      <c r="D25" s="10">
        <v>0.35</v>
      </c>
      <c r="E25" s="7">
        <v>194.25</v>
      </c>
      <c r="F25" s="1"/>
      <c r="G25" s="1"/>
      <c r="H25" s="5"/>
      <c r="I25" s="19">
        <v>130</v>
      </c>
      <c r="J25" s="20">
        <f t="shared" si="0"/>
        <v>45.5</v>
      </c>
    </row>
    <row r="26" spans="1:10" ht="28.5">
      <c r="A26" s="1" t="s">
        <v>7</v>
      </c>
      <c r="B26" s="5" t="s">
        <v>26</v>
      </c>
      <c r="C26" s="12" t="s">
        <v>144</v>
      </c>
      <c r="D26" s="10">
        <v>0.33</v>
      </c>
      <c r="E26" s="7">
        <v>206.58</v>
      </c>
      <c r="F26" s="1"/>
      <c r="G26" s="1"/>
      <c r="H26" s="5"/>
      <c r="I26" s="19">
        <v>150</v>
      </c>
      <c r="J26" s="20">
        <f t="shared" si="0"/>
        <v>49.5</v>
      </c>
    </row>
    <row r="27" spans="1:10" ht="28.5">
      <c r="A27" s="1" t="s">
        <v>7</v>
      </c>
      <c r="B27" s="5" t="s">
        <v>27</v>
      </c>
      <c r="C27" s="12" t="s">
        <v>145</v>
      </c>
      <c r="D27" s="10">
        <v>1</v>
      </c>
      <c r="E27" s="7">
        <v>413.06400000000002</v>
      </c>
      <c r="F27" s="1"/>
      <c r="G27" s="1"/>
      <c r="H27" s="5"/>
      <c r="I27" s="19">
        <v>80</v>
      </c>
      <c r="J27" s="20">
        <f t="shared" si="0"/>
        <v>80</v>
      </c>
    </row>
    <row r="28" spans="1:10" ht="28.5">
      <c r="A28" s="1" t="s">
        <v>7</v>
      </c>
      <c r="B28" s="5" t="s">
        <v>28</v>
      </c>
      <c r="C28" s="12" t="s">
        <v>146</v>
      </c>
      <c r="D28" s="10">
        <v>0.45</v>
      </c>
      <c r="E28" s="7">
        <v>484.65</v>
      </c>
      <c r="F28" s="1"/>
      <c r="G28" s="1"/>
      <c r="H28" s="5"/>
      <c r="I28" s="19">
        <v>250</v>
      </c>
      <c r="J28" s="20">
        <f t="shared" si="0"/>
        <v>112.5</v>
      </c>
    </row>
    <row r="29" spans="1:10" ht="28.5">
      <c r="A29" s="1" t="s">
        <v>7</v>
      </c>
      <c r="B29" s="5" t="s">
        <v>29</v>
      </c>
      <c r="C29" s="12" t="s">
        <v>147</v>
      </c>
      <c r="D29" s="10">
        <v>1</v>
      </c>
      <c r="E29" s="7">
        <v>338.42200000000003</v>
      </c>
      <c r="F29" s="1"/>
      <c r="G29" s="1"/>
      <c r="H29" s="5"/>
      <c r="I29" s="19">
        <v>80</v>
      </c>
      <c r="J29" s="20">
        <f t="shared" si="0"/>
        <v>80</v>
      </c>
    </row>
    <row r="30" spans="1:10" ht="42.75">
      <c r="A30" s="1" t="s">
        <v>7</v>
      </c>
      <c r="B30" s="5" t="s">
        <v>30</v>
      </c>
      <c r="C30" s="12" t="s">
        <v>148</v>
      </c>
      <c r="D30" s="10">
        <v>0.33</v>
      </c>
      <c r="E30" s="7">
        <v>418.77</v>
      </c>
      <c r="F30" s="1"/>
      <c r="G30" s="1"/>
      <c r="H30" s="5"/>
      <c r="I30" s="19">
        <v>300</v>
      </c>
      <c r="J30" s="20">
        <f t="shared" si="0"/>
        <v>99</v>
      </c>
    </row>
    <row r="31" spans="1:10" ht="28.5">
      <c r="A31" s="1" t="s">
        <v>7</v>
      </c>
      <c r="B31" s="5" t="s">
        <v>31</v>
      </c>
      <c r="C31" s="12" t="s">
        <v>149</v>
      </c>
      <c r="D31" s="10">
        <v>0.45</v>
      </c>
      <c r="E31" s="7">
        <v>334.8</v>
      </c>
      <c r="F31" s="1"/>
      <c r="G31" s="1"/>
      <c r="H31" s="5"/>
      <c r="I31" s="19">
        <v>180</v>
      </c>
      <c r="J31" s="20">
        <f t="shared" si="0"/>
        <v>81</v>
      </c>
    </row>
    <row r="32" spans="1:10" ht="28.5">
      <c r="A32" s="1" t="s">
        <v>7</v>
      </c>
      <c r="B32" s="5" t="s">
        <v>32</v>
      </c>
      <c r="C32" s="12" t="s">
        <v>150</v>
      </c>
      <c r="D32" s="10">
        <v>0.33</v>
      </c>
      <c r="E32" s="7">
        <v>266.64</v>
      </c>
      <c r="F32" s="1"/>
      <c r="G32" s="1"/>
      <c r="H32" s="5"/>
      <c r="I32" s="19">
        <v>200</v>
      </c>
      <c r="J32" s="20">
        <f t="shared" si="0"/>
        <v>66</v>
      </c>
    </row>
    <row r="33" spans="1:10" ht="15">
      <c r="A33" s="1" t="s">
        <v>33</v>
      </c>
      <c r="B33" s="5"/>
      <c r="C33" s="13"/>
      <c r="D33" s="6"/>
      <c r="E33" s="7">
        <v>10499.343999999999</v>
      </c>
      <c r="F33" s="1"/>
      <c r="G33" s="1"/>
      <c r="H33" s="5"/>
      <c r="I33" s="19"/>
      <c r="J33" s="20">
        <f t="shared" si="0"/>
        <v>0</v>
      </c>
    </row>
    <row r="34" spans="1:10" ht="28.5">
      <c r="A34" s="1" t="s">
        <v>34</v>
      </c>
      <c r="B34" s="5" t="s">
        <v>35</v>
      </c>
      <c r="C34" s="12" t="s">
        <v>151</v>
      </c>
      <c r="D34" s="10">
        <v>1</v>
      </c>
      <c r="E34" s="7">
        <v>144.608</v>
      </c>
      <c r="F34" s="1"/>
      <c r="G34" s="1"/>
      <c r="H34" s="5"/>
      <c r="I34" s="19"/>
      <c r="J34" s="20">
        <f t="shared" si="0"/>
        <v>0</v>
      </c>
    </row>
    <row r="35" spans="1:10" ht="28.5">
      <c r="A35" s="1" t="s">
        <v>34</v>
      </c>
      <c r="B35" s="5" t="s">
        <v>36</v>
      </c>
      <c r="C35" s="12" t="s">
        <v>152</v>
      </c>
      <c r="D35" s="10">
        <v>1</v>
      </c>
      <c r="E35" s="7">
        <v>95.527000000000001</v>
      </c>
      <c r="F35" s="1"/>
      <c r="G35" s="1"/>
      <c r="H35" s="5"/>
      <c r="I35" s="19"/>
      <c r="J35" s="20">
        <f t="shared" si="0"/>
        <v>0</v>
      </c>
    </row>
    <row r="36" spans="1:10" ht="28.5">
      <c r="A36" s="1" t="s">
        <v>34</v>
      </c>
      <c r="B36" s="5" t="s">
        <v>37</v>
      </c>
      <c r="C36" s="12" t="s">
        <v>153</v>
      </c>
      <c r="D36" s="10">
        <v>0.6</v>
      </c>
      <c r="E36" s="7">
        <v>35.4</v>
      </c>
      <c r="F36" s="1"/>
      <c r="G36" s="1"/>
      <c r="H36" s="5"/>
      <c r="I36" s="19">
        <v>15</v>
      </c>
      <c r="J36" s="20">
        <f t="shared" si="0"/>
        <v>9</v>
      </c>
    </row>
    <row r="37" spans="1:10" ht="28.5">
      <c r="A37" s="1" t="s">
        <v>34</v>
      </c>
      <c r="B37" s="5" t="s">
        <v>38</v>
      </c>
      <c r="C37" s="12" t="s">
        <v>154</v>
      </c>
      <c r="D37" s="10">
        <v>1</v>
      </c>
      <c r="E37" s="7">
        <v>62.26</v>
      </c>
      <c r="F37" s="1"/>
      <c r="G37" s="1"/>
      <c r="H37" s="5"/>
      <c r="I37" s="19">
        <v>15</v>
      </c>
      <c r="J37" s="20">
        <f t="shared" si="0"/>
        <v>15</v>
      </c>
    </row>
    <row r="38" spans="1:10" ht="28.5">
      <c r="A38" s="1" t="s">
        <v>34</v>
      </c>
      <c r="B38" s="5" t="s">
        <v>39</v>
      </c>
      <c r="C38" s="12" t="s">
        <v>155</v>
      </c>
      <c r="D38" s="10">
        <v>0.4</v>
      </c>
      <c r="E38" s="7">
        <v>18.399999999999999</v>
      </c>
      <c r="F38" s="1"/>
      <c r="G38" s="1"/>
      <c r="H38" s="5"/>
      <c r="I38" s="19">
        <v>10</v>
      </c>
      <c r="J38" s="20">
        <f t="shared" si="0"/>
        <v>4</v>
      </c>
    </row>
    <row r="39" spans="1:10" ht="28.5">
      <c r="A39" s="1" t="s">
        <v>34</v>
      </c>
      <c r="B39" s="5" t="s">
        <v>40</v>
      </c>
      <c r="C39" s="12" t="s">
        <v>156</v>
      </c>
      <c r="D39" s="10">
        <v>1</v>
      </c>
      <c r="E39" s="7">
        <v>54.215000000000003</v>
      </c>
      <c r="F39" s="1"/>
      <c r="G39" s="1"/>
      <c r="H39" s="5"/>
      <c r="I39" s="19">
        <v>15</v>
      </c>
      <c r="J39" s="20">
        <f t="shared" si="0"/>
        <v>15</v>
      </c>
    </row>
    <row r="40" spans="1:10" ht="28.5">
      <c r="A40" s="1" t="s">
        <v>34</v>
      </c>
      <c r="B40" s="5" t="s">
        <v>41</v>
      </c>
      <c r="C40" s="12" t="s">
        <v>157</v>
      </c>
      <c r="D40" s="10">
        <v>0.6</v>
      </c>
      <c r="E40" s="7">
        <v>39.6</v>
      </c>
      <c r="F40" s="1"/>
      <c r="G40" s="1"/>
      <c r="H40" s="5"/>
      <c r="I40" s="19">
        <v>15</v>
      </c>
      <c r="J40" s="20">
        <f t="shared" si="0"/>
        <v>9</v>
      </c>
    </row>
    <row r="41" spans="1:10" ht="28.5">
      <c r="A41" s="1" t="s">
        <v>34</v>
      </c>
      <c r="B41" s="5" t="s">
        <v>42</v>
      </c>
      <c r="C41" s="12" t="s">
        <v>158</v>
      </c>
      <c r="D41" s="10">
        <v>1</v>
      </c>
      <c r="E41" s="7">
        <v>39.311</v>
      </c>
      <c r="F41" s="1"/>
      <c r="G41" s="1"/>
      <c r="H41" s="5"/>
      <c r="I41" s="19">
        <v>10</v>
      </c>
      <c r="J41" s="20">
        <f t="shared" si="0"/>
        <v>10</v>
      </c>
    </row>
    <row r="42" spans="1:10" ht="28.5">
      <c r="A42" s="1" t="s">
        <v>34</v>
      </c>
      <c r="B42" s="5" t="s">
        <v>43</v>
      </c>
      <c r="C42" s="12" t="s">
        <v>159</v>
      </c>
      <c r="D42" s="10">
        <v>0.6</v>
      </c>
      <c r="E42" s="7">
        <v>24.6</v>
      </c>
      <c r="F42" s="1"/>
      <c r="G42" s="1"/>
      <c r="H42" s="5"/>
      <c r="I42" s="19">
        <v>10</v>
      </c>
      <c r="J42" s="20">
        <f t="shared" si="0"/>
        <v>6</v>
      </c>
    </row>
    <row r="43" spans="1:10" ht="28.5">
      <c r="A43" s="1" t="s">
        <v>34</v>
      </c>
      <c r="B43" s="5" t="s">
        <v>44</v>
      </c>
      <c r="C43" s="12" t="s">
        <v>160</v>
      </c>
      <c r="D43" s="10">
        <v>1</v>
      </c>
      <c r="E43" s="7">
        <v>175.94</v>
      </c>
      <c r="F43" s="1"/>
      <c r="G43" s="1"/>
      <c r="H43" s="5"/>
      <c r="I43" s="19">
        <v>40</v>
      </c>
      <c r="J43" s="20">
        <f t="shared" si="0"/>
        <v>40</v>
      </c>
    </row>
    <row r="44" spans="1:10" ht="28.5">
      <c r="A44" s="1" t="s">
        <v>34</v>
      </c>
      <c r="B44" s="5" t="s">
        <v>45</v>
      </c>
      <c r="C44" s="12" t="s">
        <v>161</v>
      </c>
      <c r="D44" s="10">
        <v>0.6</v>
      </c>
      <c r="E44" s="7">
        <v>33.6</v>
      </c>
      <c r="F44" s="1"/>
      <c r="G44" s="1"/>
      <c r="H44" s="5"/>
      <c r="I44" s="19">
        <v>10</v>
      </c>
      <c r="J44" s="20">
        <f t="shared" si="0"/>
        <v>6</v>
      </c>
    </row>
    <row r="45" spans="1:10" ht="15">
      <c r="A45" s="1" t="s">
        <v>46</v>
      </c>
      <c r="B45" s="5"/>
      <c r="C45" s="13"/>
      <c r="D45" s="6"/>
      <c r="E45" s="7">
        <v>723.46100000000001</v>
      </c>
      <c r="F45" s="1"/>
      <c r="G45" s="1"/>
      <c r="H45" s="5"/>
      <c r="I45" s="19"/>
      <c r="J45" s="20">
        <f t="shared" si="0"/>
        <v>0</v>
      </c>
    </row>
    <row r="46" spans="1:10" ht="28.5">
      <c r="A46" s="1" t="s">
        <v>47</v>
      </c>
      <c r="B46" s="5" t="s">
        <v>48</v>
      </c>
      <c r="C46" s="12" t="s">
        <v>162</v>
      </c>
      <c r="D46" s="10">
        <v>1</v>
      </c>
      <c r="E46" s="7">
        <v>38.308</v>
      </c>
      <c r="F46" s="1"/>
      <c r="G46" s="1"/>
      <c r="H46" s="5"/>
      <c r="I46" s="19"/>
      <c r="J46" s="20">
        <f t="shared" si="0"/>
        <v>0</v>
      </c>
    </row>
    <row r="47" spans="1:10" ht="28.5">
      <c r="A47" s="1" t="s">
        <v>47</v>
      </c>
      <c r="B47" s="5" t="s">
        <v>49</v>
      </c>
      <c r="C47" s="12" t="s">
        <v>163</v>
      </c>
      <c r="D47" s="10">
        <v>1</v>
      </c>
      <c r="E47" s="7">
        <v>65.405000000000001</v>
      </c>
      <c r="F47" s="1"/>
      <c r="G47" s="1"/>
      <c r="H47" s="5"/>
      <c r="I47" s="19">
        <v>15</v>
      </c>
      <c r="J47" s="20">
        <f t="shared" si="0"/>
        <v>15</v>
      </c>
    </row>
    <row r="48" spans="1:10" ht="28.5">
      <c r="A48" s="1" t="s">
        <v>47</v>
      </c>
      <c r="B48" s="5" t="s">
        <v>50</v>
      </c>
      <c r="C48" s="12" t="s">
        <v>164</v>
      </c>
      <c r="D48" s="10">
        <v>1</v>
      </c>
      <c r="E48" s="7">
        <v>30.181000000000001</v>
      </c>
      <c r="F48" s="1"/>
      <c r="G48" s="1"/>
      <c r="H48" s="5"/>
      <c r="I48" s="19">
        <v>8</v>
      </c>
      <c r="J48" s="20">
        <f t="shared" si="0"/>
        <v>8</v>
      </c>
    </row>
    <row r="49" spans="1:10" ht="15">
      <c r="A49" s="1" t="s">
        <v>51</v>
      </c>
      <c r="B49" s="5"/>
      <c r="C49" s="13"/>
      <c r="D49" s="6"/>
      <c r="E49" s="7">
        <v>133.89400000000001</v>
      </c>
      <c r="F49" s="1"/>
      <c r="G49" s="1"/>
      <c r="H49" s="5"/>
      <c r="I49" s="19"/>
      <c r="J49" s="20">
        <f t="shared" si="0"/>
        <v>0</v>
      </c>
    </row>
    <row r="50" spans="1:10" ht="28.5">
      <c r="A50" s="1" t="s">
        <v>52</v>
      </c>
      <c r="B50" s="5" t="s">
        <v>53</v>
      </c>
      <c r="C50" s="12" t="s">
        <v>165</v>
      </c>
      <c r="D50" s="10">
        <v>1</v>
      </c>
      <c r="E50" s="7">
        <v>2421.08</v>
      </c>
      <c r="F50" s="1"/>
      <c r="G50" s="1"/>
      <c r="H50" s="5"/>
      <c r="I50" s="19">
        <v>500</v>
      </c>
      <c r="J50" s="20">
        <f t="shared" si="0"/>
        <v>500</v>
      </c>
    </row>
    <row r="51" spans="1:10" ht="28.5">
      <c r="A51" s="1" t="s">
        <v>52</v>
      </c>
      <c r="B51" s="5" t="s">
        <v>54</v>
      </c>
      <c r="C51" s="12" t="s">
        <v>166</v>
      </c>
      <c r="D51" s="10">
        <v>0.4</v>
      </c>
      <c r="E51" s="7">
        <v>52.8</v>
      </c>
      <c r="F51" s="1"/>
      <c r="G51" s="1"/>
      <c r="H51" s="5"/>
      <c r="I51" s="19">
        <v>30</v>
      </c>
      <c r="J51" s="20">
        <f t="shared" si="0"/>
        <v>12</v>
      </c>
    </row>
    <row r="52" spans="1:10" ht="28.5">
      <c r="A52" s="1" t="s">
        <v>52</v>
      </c>
      <c r="B52" s="5" t="s">
        <v>55</v>
      </c>
      <c r="C52" s="12" t="s">
        <v>167</v>
      </c>
      <c r="D52" s="10">
        <v>1</v>
      </c>
      <c r="E52" s="7">
        <v>2974.9839999999999</v>
      </c>
      <c r="F52" s="1"/>
      <c r="G52" s="1"/>
      <c r="H52" s="5"/>
      <c r="I52" s="19">
        <v>660</v>
      </c>
      <c r="J52" s="20">
        <f t="shared" si="0"/>
        <v>660</v>
      </c>
    </row>
    <row r="53" spans="1:10" ht="28.5">
      <c r="A53" s="1" t="s">
        <v>52</v>
      </c>
      <c r="B53" s="5" t="s">
        <v>56</v>
      </c>
      <c r="C53" s="12" t="s">
        <v>168</v>
      </c>
      <c r="D53" s="10">
        <v>1</v>
      </c>
      <c r="E53" s="7">
        <v>835.6</v>
      </c>
      <c r="F53" s="1"/>
      <c r="G53" s="1"/>
      <c r="H53" s="5"/>
      <c r="I53" s="19">
        <v>200</v>
      </c>
      <c r="J53" s="20">
        <f t="shared" si="0"/>
        <v>200</v>
      </c>
    </row>
    <row r="54" spans="1:10" ht="28.5">
      <c r="A54" s="1" t="s">
        <v>52</v>
      </c>
      <c r="B54" s="5" t="s">
        <v>57</v>
      </c>
      <c r="C54" s="12" t="s">
        <v>169</v>
      </c>
      <c r="D54" s="10">
        <v>0.5</v>
      </c>
      <c r="E54" s="7">
        <v>101.5</v>
      </c>
      <c r="F54" s="1"/>
      <c r="G54" s="1"/>
      <c r="H54" s="5"/>
      <c r="I54" s="19">
        <v>50</v>
      </c>
      <c r="J54" s="20">
        <f t="shared" si="0"/>
        <v>25</v>
      </c>
    </row>
    <row r="55" spans="1:10" ht="28.5">
      <c r="A55" s="1" t="s">
        <v>52</v>
      </c>
      <c r="B55" s="5" t="s">
        <v>58</v>
      </c>
      <c r="C55" s="12" t="s">
        <v>170</v>
      </c>
      <c r="D55" s="10">
        <v>1</v>
      </c>
      <c r="E55" s="7">
        <v>1673.442</v>
      </c>
      <c r="F55" s="1"/>
      <c r="G55" s="1"/>
      <c r="H55" s="5"/>
      <c r="I55" s="19">
        <v>350</v>
      </c>
      <c r="J55" s="20">
        <f t="shared" si="0"/>
        <v>350</v>
      </c>
    </row>
    <row r="56" spans="1:10" ht="28.5">
      <c r="A56" s="1" t="s">
        <v>52</v>
      </c>
      <c r="B56" s="5" t="s">
        <v>59</v>
      </c>
      <c r="C56" s="12" t="s">
        <v>171</v>
      </c>
      <c r="D56" s="10">
        <v>1</v>
      </c>
      <c r="E56" s="7">
        <v>231.69499999999999</v>
      </c>
      <c r="F56" s="1"/>
      <c r="G56" s="1"/>
      <c r="H56" s="5"/>
      <c r="I56" s="19"/>
      <c r="J56" s="20">
        <f t="shared" si="0"/>
        <v>0</v>
      </c>
    </row>
    <row r="57" spans="1:10" ht="28.5">
      <c r="A57" s="1" t="s">
        <v>52</v>
      </c>
      <c r="B57" s="5" t="s">
        <v>60</v>
      </c>
      <c r="C57" s="12" t="s">
        <v>172</v>
      </c>
      <c r="D57" s="10">
        <v>0.5</v>
      </c>
      <c r="E57" s="7">
        <v>155.5</v>
      </c>
      <c r="F57" s="1"/>
      <c r="G57" s="1"/>
      <c r="H57" s="5"/>
      <c r="I57" s="19">
        <v>70</v>
      </c>
      <c r="J57" s="20">
        <f t="shared" si="0"/>
        <v>35</v>
      </c>
    </row>
    <row r="58" spans="1:10" ht="28.5">
      <c r="A58" s="1" t="s">
        <v>52</v>
      </c>
      <c r="B58" s="5" t="s">
        <v>61</v>
      </c>
      <c r="C58" s="12" t="s">
        <v>173</v>
      </c>
      <c r="D58" s="10">
        <v>1</v>
      </c>
      <c r="E58" s="7">
        <v>-3.085</v>
      </c>
      <c r="F58" s="1"/>
      <c r="G58" s="1"/>
      <c r="H58" s="5"/>
      <c r="I58" s="19"/>
      <c r="J58" s="20">
        <f t="shared" si="0"/>
        <v>0</v>
      </c>
    </row>
    <row r="59" spans="1:10" ht="42.75">
      <c r="A59" s="1" t="s">
        <v>52</v>
      </c>
      <c r="B59" s="5" t="s">
        <v>62</v>
      </c>
      <c r="C59" s="12" t="s">
        <v>174</v>
      </c>
      <c r="D59" s="10">
        <v>1</v>
      </c>
      <c r="E59" s="7">
        <v>249.923</v>
      </c>
      <c r="F59" s="1"/>
      <c r="G59" s="1"/>
      <c r="H59" s="5"/>
      <c r="I59" s="19">
        <v>60</v>
      </c>
      <c r="J59" s="20">
        <f t="shared" si="0"/>
        <v>60</v>
      </c>
    </row>
    <row r="60" spans="1:10" ht="28.5">
      <c r="A60" s="1" t="s">
        <v>52</v>
      </c>
      <c r="B60" s="5" t="s">
        <v>63</v>
      </c>
      <c r="C60" s="12" t="s">
        <v>175</v>
      </c>
      <c r="D60" s="10">
        <v>0.4</v>
      </c>
      <c r="E60" s="7">
        <v>267.60000000000002</v>
      </c>
      <c r="F60" s="1"/>
      <c r="G60" s="1"/>
      <c r="H60" s="5"/>
      <c r="I60" s="19">
        <v>160</v>
      </c>
      <c r="J60" s="20">
        <f t="shared" si="0"/>
        <v>64</v>
      </c>
    </row>
    <row r="61" spans="1:10" ht="15">
      <c r="A61" s="1" t="s">
        <v>64</v>
      </c>
      <c r="B61" s="5"/>
      <c r="C61" s="13"/>
      <c r="D61" s="6"/>
      <c r="E61" s="7">
        <v>8961.0390000000007</v>
      </c>
      <c r="F61" s="1"/>
      <c r="G61" s="1"/>
      <c r="H61" s="5"/>
      <c r="I61" s="19"/>
      <c r="J61" s="20">
        <f t="shared" si="0"/>
        <v>0</v>
      </c>
    </row>
    <row r="62" spans="1:10" ht="28.5">
      <c r="A62" s="1" t="s">
        <v>65</v>
      </c>
      <c r="B62" s="5" t="s">
        <v>66</v>
      </c>
      <c r="C62" s="12" t="s">
        <v>176</v>
      </c>
      <c r="D62" s="10">
        <v>5.5E-2</v>
      </c>
      <c r="E62" s="7">
        <v>10.78</v>
      </c>
      <c r="F62" s="1"/>
      <c r="G62" s="1"/>
      <c r="H62" s="5"/>
      <c r="I62" s="19">
        <v>50</v>
      </c>
      <c r="J62" s="20">
        <f t="shared" si="0"/>
        <v>2.75</v>
      </c>
    </row>
    <row r="63" spans="1:10" ht="28.5">
      <c r="A63" s="1" t="s">
        <v>65</v>
      </c>
      <c r="B63" s="5" t="s">
        <v>67</v>
      </c>
      <c r="C63" s="12" t="s">
        <v>177</v>
      </c>
      <c r="D63" s="10">
        <v>0.12</v>
      </c>
      <c r="E63" s="7">
        <v>14.16</v>
      </c>
      <c r="F63" s="1"/>
      <c r="G63" s="1"/>
      <c r="H63" s="5"/>
      <c r="I63" s="19">
        <v>30</v>
      </c>
      <c r="J63" s="20">
        <f t="shared" si="0"/>
        <v>3.5999999999999996</v>
      </c>
    </row>
    <row r="64" spans="1:10" ht="28.5">
      <c r="A64" s="1" t="s">
        <v>65</v>
      </c>
      <c r="B64" s="5" t="s">
        <v>68</v>
      </c>
      <c r="C64" s="12" t="s">
        <v>178</v>
      </c>
      <c r="D64" s="10">
        <v>0.12</v>
      </c>
      <c r="E64" s="7">
        <v>26.04</v>
      </c>
      <c r="F64" s="1"/>
      <c r="G64" s="1"/>
      <c r="H64" s="5"/>
      <c r="I64" s="19">
        <v>50</v>
      </c>
      <c r="J64" s="20">
        <f t="shared" si="0"/>
        <v>6</v>
      </c>
    </row>
    <row r="65" spans="1:10" ht="42.75">
      <c r="A65" s="1" t="s">
        <v>65</v>
      </c>
      <c r="B65" s="5" t="s">
        <v>69</v>
      </c>
      <c r="C65" s="12" t="s">
        <v>179</v>
      </c>
      <c r="D65" s="10">
        <v>1</v>
      </c>
      <c r="E65" s="7">
        <v>195.697</v>
      </c>
      <c r="F65" s="1"/>
      <c r="G65" s="1"/>
      <c r="H65" s="5"/>
      <c r="I65" s="19">
        <v>50</v>
      </c>
      <c r="J65" s="20">
        <f t="shared" si="0"/>
        <v>50</v>
      </c>
    </row>
    <row r="66" spans="1:10" ht="42.75">
      <c r="A66" s="1" t="s">
        <v>65</v>
      </c>
      <c r="B66" s="5" t="s">
        <v>70</v>
      </c>
      <c r="C66" s="12" t="s">
        <v>180</v>
      </c>
      <c r="D66" s="10">
        <v>1</v>
      </c>
      <c r="E66" s="7">
        <v>341.214</v>
      </c>
      <c r="F66" s="1"/>
      <c r="G66" s="1"/>
      <c r="H66" s="5"/>
      <c r="I66" s="19">
        <v>80</v>
      </c>
      <c r="J66" s="20">
        <f t="shared" si="0"/>
        <v>80</v>
      </c>
    </row>
    <row r="67" spans="1:10" ht="42.75">
      <c r="A67" s="1" t="s">
        <v>65</v>
      </c>
      <c r="B67" s="5" t="s">
        <v>71</v>
      </c>
      <c r="C67" s="12" t="s">
        <v>181</v>
      </c>
      <c r="D67" s="10">
        <v>0.4</v>
      </c>
      <c r="E67" s="7">
        <v>100</v>
      </c>
      <c r="F67" s="1"/>
      <c r="G67" s="1"/>
      <c r="H67" s="5"/>
      <c r="I67" s="19">
        <v>60</v>
      </c>
      <c r="J67" s="20">
        <f t="shared" si="0"/>
        <v>24</v>
      </c>
    </row>
    <row r="68" spans="1:10" ht="42.75">
      <c r="A68" s="1" t="s">
        <v>65</v>
      </c>
      <c r="B68" s="5" t="s">
        <v>72</v>
      </c>
      <c r="C68" s="12" t="s">
        <v>182</v>
      </c>
      <c r="D68" s="10">
        <v>1</v>
      </c>
      <c r="E68" s="7">
        <v>-1.3380000000000001</v>
      </c>
      <c r="F68" s="1"/>
      <c r="G68" s="1"/>
      <c r="H68" s="5"/>
      <c r="I68" s="19"/>
      <c r="J68" s="20">
        <f t="shared" si="0"/>
        <v>0</v>
      </c>
    </row>
    <row r="69" spans="1:10" ht="28.5">
      <c r="A69" s="1" t="s">
        <v>65</v>
      </c>
      <c r="B69" s="5" t="s">
        <v>73</v>
      </c>
      <c r="C69" s="12" t="s">
        <v>183</v>
      </c>
      <c r="D69" s="10">
        <v>1</v>
      </c>
      <c r="E69" s="7">
        <v>358.512</v>
      </c>
      <c r="F69" s="1"/>
      <c r="G69" s="1"/>
      <c r="H69" s="5"/>
      <c r="I69" s="19">
        <v>90</v>
      </c>
      <c r="J69" s="20">
        <f t="shared" si="0"/>
        <v>90</v>
      </c>
    </row>
    <row r="70" spans="1:10" ht="42.75">
      <c r="A70" s="1" t="s">
        <v>65</v>
      </c>
      <c r="B70" s="5" t="s">
        <v>74</v>
      </c>
      <c r="C70" s="12" t="s">
        <v>184</v>
      </c>
      <c r="D70" s="10">
        <v>1</v>
      </c>
      <c r="E70" s="7">
        <v>1156.604</v>
      </c>
      <c r="F70" s="1"/>
      <c r="G70" s="1"/>
      <c r="H70" s="5"/>
      <c r="I70" s="19">
        <v>290</v>
      </c>
      <c r="J70" s="20">
        <f t="shared" ref="J70:J115" si="1">I70*D70</f>
        <v>290</v>
      </c>
    </row>
    <row r="71" spans="1:10" ht="42.75">
      <c r="A71" s="1" t="s">
        <v>65</v>
      </c>
      <c r="B71" s="5" t="s">
        <v>75</v>
      </c>
      <c r="C71" s="12" t="s">
        <v>185</v>
      </c>
      <c r="D71" s="10">
        <v>0.4</v>
      </c>
      <c r="E71" s="7">
        <v>122.4</v>
      </c>
      <c r="F71" s="1"/>
      <c r="G71" s="1"/>
      <c r="H71" s="5"/>
      <c r="I71" s="19">
        <v>70</v>
      </c>
      <c r="J71" s="20">
        <f t="shared" si="1"/>
        <v>28</v>
      </c>
    </row>
    <row r="72" spans="1:10" ht="42.75">
      <c r="A72" s="1" t="s">
        <v>65</v>
      </c>
      <c r="B72" s="5" t="s">
        <v>76</v>
      </c>
      <c r="C72" s="12" t="s">
        <v>186</v>
      </c>
      <c r="D72" s="10">
        <v>1</v>
      </c>
      <c r="E72" s="7">
        <v>623.49199999999996</v>
      </c>
      <c r="F72" s="1"/>
      <c r="G72" s="1"/>
      <c r="H72" s="5"/>
      <c r="I72" s="19">
        <v>150</v>
      </c>
      <c r="J72" s="20">
        <f t="shared" si="1"/>
        <v>150</v>
      </c>
    </row>
    <row r="73" spans="1:10" ht="42.75">
      <c r="A73" s="1" t="s">
        <v>65</v>
      </c>
      <c r="B73" s="5" t="s">
        <v>77</v>
      </c>
      <c r="C73" s="12" t="s">
        <v>187</v>
      </c>
      <c r="D73" s="10">
        <v>0.35</v>
      </c>
      <c r="E73" s="7">
        <v>344.05</v>
      </c>
      <c r="F73" s="1"/>
      <c r="G73" s="1"/>
      <c r="H73" s="5"/>
      <c r="I73" s="19">
        <v>240</v>
      </c>
      <c r="J73" s="20">
        <f t="shared" si="1"/>
        <v>84</v>
      </c>
    </row>
    <row r="74" spans="1:10" ht="28.5">
      <c r="A74" s="1" t="s">
        <v>65</v>
      </c>
      <c r="B74" s="5" t="s">
        <v>78</v>
      </c>
      <c r="C74" s="12" t="s">
        <v>188</v>
      </c>
      <c r="D74" s="10">
        <v>0.35</v>
      </c>
      <c r="E74" s="7">
        <v>289.8</v>
      </c>
      <c r="F74" s="1"/>
      <c r="G74" s="1"/>
      <c r="H74" s="5"/>
      <c r="I74" s="19">
        <v>200</v>
      </c>
      <c r="J74" s="20">
        <f t="shared" si="1"/>
        <v>70</v>
      </c>
    </row>
    <row r="75" spans="1:10" ht="28.5">
      <c r="A75" s="1" t="s">
        <v>65</v>
      </c>
      <c r="B75" s="5" t="s">
        <v>79</v>
      </c>
      <c r="C75" s="12" t="s">
        <v>189</v>
      </c>
      <c r="D75" s="10">
        <v>1</v>
      </c>
      <c r="E75" s="7">
        <v>448.54199999999997</v>
      </c>
      <c r="F75" s="1"/>
      <c r="G75" s="1"/>
      <c r="H75" s="5"/>
      <c r="I75" s="19">
        <v>90</v>
      </c>
      <c r="J75" s="20">
        <f t="shared" si="1"/>
        <v>90</v>
      </c>
    </row>
    <row r="76" spans="1:10" ht="28.5">
      <c r="A76" s="1" t="s">
        <v>65</v>
      </c>
      <c r="B76" s="5" t="s">
        <v>80</v>
      </c>
      <c r="C76" s="12" t="s">
        <v>190</v>
      </c>
      <c r="D76" s="10">
        <v>1</v>
      </c>
      <c r="E76" s="7">
        <v>234.51300000000001</v>
      </c>
      <c r="F76" s="1"/>
      <c r="G76" s="1"/>
      <c r="H76" s="5"/>
      <c r="I76" s="19">
        <v>50</v>
      </c>
      <c r="J76" s="20">
        <f t="shared" si="1"/>
        <v>50</v>
      </c>
    </row>
    <row r="77" spans="1:10" ht="28.5">
      <c r="A77" s="1" t="s">
        <v>65</v>
      </c>
      <c r="B77" s="5" t="s">
        <v>81</v>
      </c>
      <c r="C77" s="12" t="s">
        <v>191</v>
      </c>
      <c r="D77" s="10">
        <v>0.35</v>
      </c>
      <c r="E77" s="7">
        <v>78.05</v>
      </c>
      <c r="F77" s="1"/>
      <c r="G77" s="1"/>
      <c r="H77" s="5"/>
      <c r="I77" s="19">
        <v>55</v>
      </c>
      <c r="J77" s="20">
        <f t="shared" si="1"/>
        <v>19.25</v>
      </c>
    </row>
    <row r="78" spans="1:10" ht="42.75">
      <c r="A78" s="1" t="s">
        <v>65</v>
      </c>
      <c r="B78" s="5" t="s">
        <v>82</v>
      </c>
      <c r="C78" s="12" t="s">
        <v>192</v>
      </c>
      <c r="D78" s="10">
        <v>1</v>
      </c>
      <c r="E78" s="7">
        <v>363.61</v>
      </c>
      <c r="F78" s="1"/>
      <c r="G78" s="1"/>
      <c r="H78" s="5"/>
      <c r="I78" s="19">
        <v>90</v>
      </c>
      <c r="J78" s="20">
        <f t="shared" si="1"/>
        <v>90</v>
      </c>
    </row>
    <row r="79" spans="1:10" ht="42.75">
      <c r="A79" s="1" t="s">
        <v>65</v>
      </c>
      <c r="B79" s="5" t="s">
        <v>83</v>
      </c>
      <c r="C79" s="12" t="s">
        <v>193</v>
      </c>
      <c r="D79" s="10">
        <v>0.35</v>
      </c>
      <c r="E79" s="7">
        <v>529.9</v>
      </c>
      <c r="F79" s="1"/>
      <c r="G79" s="1"/>
      <c r="H79" s="5"/>
      <c r="I79" s="19">
        <v>380</v>
      </c>
      <c r="J79" s="20">
        <f t="shared" si="1"/>
        <v>133</v>
      </c>
    </row>
    <row r="80" spans="1:10" ht="28.5">
      <c r="A80" s="1" t="s">
        <v>65</v>
      </c>
      <c r="B80" s="5" t="s">
        <v>84</v>
      </c>
      <c r="C80" s="12" t="s">
        <v>194</v>
      </c>
      <c r="D80" s="10">
        <v>0.35</v>
      </c>
      <c r="E80" s="7">
        <v>176.75</v>
      </c>
      <c r="F80" s="1"/>
      <c r="G80" s="1"/>
      <c r="H80" s="5"/>
      <c r="I80" s="19">
        <v>130</v>
      </c>
      <c r="J80" s="20">
        <f t="shared" si="1"/>
        <v>45.5</v>
      </c>
    </row>
    <row r="81" spans="1:10" ht="28.5">
      <c r="A81" s="1" t="s">
        <v>65</v>
      </c>
      <c r="B81" s="5" t="s">
        <v>85</v>
      </c>
      <c r="C81" s="12" t="s">
        <v>195</v>
      </c>
      <c r="D81" s="10">
        <v>1</v>
      </c>
      <c r="E81" s="7">
        <v>73.635999999999996</v>
      </c>
      <c r="F81" s="1"/>
      <c r="G81" s="1"/>
      <c r="H81" s="5"/>
      <c r="I81" s="19">
        <v>20</v>
      </c>
      <c r="J81" s="20">
        <f t="shared" si="1"/>
        <v>20</v>
      </c>
    </row>
    <row r="82" spans="1:10" ht="28.5">
      <c r="A82" s="1" t="s">
        <v>65</v>
      </c>
      <c r="B82" s="5" t="s">
        <v>86</v>
      </c>
      <c r="C82" s="12" t="s">
        <v>196</v>
      </c>
      <c r="D82" s="10">
        <v>0.3</v>
      </c>
      <c r="E82" s="7">
        <v>343.5</v>
      </c>
      <c r="F82" s="1"/>
      <c r="G82" s="1"/>
      <c r="H82" s="5"/>
      <c r="I82" s="19">
        <v>290</v>
      </c>
      <c r="J82" s="20">
        <f t="shared" si="1"/>
        <v>87</v>
      </c>
    </row>
    <row r="83" spans="1:10" ht="28.5">
      <c r="A83" s="1" t="s">
        <v>65</v>
      </c>
      <c r="B83" s="5" t="s">
        <v>87</v>
      </c>
      <c r="C83" s="12" t="s">
        <v>197</v>
      </c>
      <c r="D83" s="10">
        <v>0.3</v>
      </c>
      <c r="E83" s="7">
        <v>188.7</v>
      </c>
      <c r="F83" s="1"/>
      <c r="G83" s="1"/>
      <c r="H83" s="5"/>
      <c r="I83" s="19">
        <v>150</v>
      </c>
      <c r="J83" s="20">
        <f t="shared" si="1"/>
        <v>45</v>
      </c>
    </row>
    <row r="84" spans="1:10" ht="28.5">
      <c r="A84" s="1" t="s">
        <v>65</v>
      </c>
      <c r="B84" s="5" t="s">
        <v>88</v>
      </c>
      <c r="C84" s="12" t="s">
        <v>198</v>
      </c>
      <c r="D84" s="10">
        <v>0.3</v>
      </c>
      <c r="E84" s="7">
        <v>281.7</v>
      </c>
      <c r="F84" s="1"/>
      <c r="G84" s="1"/>
      <c r="H84" s="5"/>
      <c r="I84" s="19">
        <v>230</v>
      </c>
      <c r="J84" s="20">
        <f t="shared" si="1"/>
        <v>69</v>
      </c>
    </row>
    <row r="85" spans="1:10" ht="28.5">
      <c r="A85" s="1" t="s">
        <v>65</v>
      </c>
      <c r="B85" s="5" t="s">
        <v>89</v>
      </c>
      <c r="C85" s="12" t="s">
        <v>199</v>
      </c>
      <c r="D85" s="10">
        <v>1</v>
      </c>
      <c r="E85" s="7">
        <v>551.27599999999995</v>
      </c>
      <c r="F85" s="1"/>
      <c r="G85" s="1"/>
      <c r="H85" s="5"/>
      <c r="I85" s="19">
        <v>140</v>
      </c>
      <c r="J85" s="20">
        <f t="shared" si="1"/>
        <v>140</v>
      </c>
    </row>
    <row r="86" spans="1:10" ht="28.5">
      <c r="A86" s="1" t="s">
        <v>65</v>
      </c>
      <c r="B86" s="5" t="s">
        <v>90</v>
      </c>
      <c r="C86" s="12" t="s">
        <v>200</v>
      </c>
      <c r="D86" s="10">
        <v>0.3</v>
      </c>
      <c r="E86" s="7">
        <v>94.8</v>
      </c>
      <c r="F86" s="1"/>
      <c r="G86" s="1"/>
      <c r="H86" s="5"/>
      <c r="I86" s="19">
        <v>80</v>
      </c>
      <c r="J86" s="20">
        <f t="shared" si="1"/>
        <v>24</v>
      </c>
    </row>
    <row r="87" spans="1:10" ht="28.5">
      <c r="A87" s="1" t="s">
        <v>65</v>
      </c>
      <c r="B87" s="5" t="s">
        <v>91</v>
      </c>
      <c r="C87" s="12" t="s">
        <v>201</v>
      </c>
      <c r="D87" s="10">
        <v>7.0000000000000007E-2</v>
      </c>
      <c r="E87" s="7">
        <v>28.63</v>
      </c>
      <c r="F87" s="1"/>
      <c r="G87" s="1"/>
      <c r="H87" s="5"/>
      <c r="I87" s="19">
        <v>100</v>
      </c>
      <c r="J87" s="20">
        <f t="shared" si="1"/>
        <v>7.0000000000000009</v>
      </c>
    </row>
    <row r="88" spans="1:10" ht="28.5">
      <c r="A88" s="1" t="s">
        <v>65</v>
      </c>
      <c r="B88" s="5" t="s">
        <v>92</v>
      </c>
      <c r="C88" s="12" t="s">
        <v>202</v>
      </c>
      <c r="D88" s="10">
        <v>0.17</v>
      </c>
      <c r="E88" s="7">
        <v>47.43</v>
      </c>
      <c r="F88" s="1"/>
      <c r="G88" s="1"/>
      <c r="H88" s="5"/>
      <c r="I88" s="19">
        <v>70</v>
      </c>
      <c r="J88" s="20">
        <f t="shared" si="1"/>
        <v>11.9</v>
      </c>
    </row>
    <row r="89" spans="1:10" ht="42.75">
      <c r="A89" s="1" t="s">
        <v>65</v>
      </c>
      <c r="B89" s="5" t="s">
        <v>93</v>
      </c>
      <c r="C89" s="12" t="s">
        <v>203</v>
      </c>
      <c r="D89" s="10">
        <v>1</v>
      </c>
      <c r="E89" s="7">
        <v>16.710999999999999</v>
      </c>
      <c r="F89" s="1"/>
      <c r="G89" s="1"/>
      <c r="H89" s="5"/>
      <c r="I89" s="19">
        <v>4</v>
      </c>
      <c r="J89" s="20">
        <f t="shared" si="1"/>
        <v>4</v>
      </c>
    </row>
    <row r="90" spans="1:10" ht="28.5">
      <c r="A90" s="1" t="s">
        <v>65</v>
      </c>
      <c r="B90" s="5" t="s">
        <v>94</v>
      </c>
      <c r="C90" s="12" t="s">
        <v>204</v>
      </c>
      <c r="D90" s="10">
        <v>7.0000000000000007E-2</v>
      </c>
      <c r="E90" s="7">
        <v>21.7</v>
      </c>
      <c r="F90" s="1"/>
      <c r="G90" s="1"/>
      <c r="H90" s="5"/>
      <c r="I90" s="19">
        <v>80</v>
      </c>
      <c r="J90" s="20">
        <f t="shared" si="1"/>
        <v>5.6000000000000005</v>
      </c>
    </row>
    <row r="91" spans="1:10" ht="28.5">
      <c r="A91" s="1" t="s">
        <v>65</v>
      </c>
      <c r="B91" s="5" t="s">
        <v>95</v>
      </c>
      <c r="C91" s="12" t="s">
        <v>205</v>
      </c>
      <c r="D91" s="10">
        <v>7.0000000000000007E-2</v>
      </c>
      <c r="E91" s="7">
        <v>44.52</v>
      </c>
      <c r="F91" s="1"/>
      <c r="G91" s="1"/>
      <c r="H91" s="5"/>
      <c r="I91" s="19">
        <v>160</v>
      </c>
      <c r="J91" s="20">
        <f t="shared" si="1"/>
        <v>11.200000000000001</v>
      </c>
    </row>
    <row r="92" spans="1:10" ht="28.5">
      <c r="A92" s="1" t="s">
        <v>65</v>
      </c>
      <c r="B92" s="5" t="s">
        <v>96</v>
      </c>
      <c r="C92" s="12" t="s">
        <v>206</v>
      </c>
      <c r="D92" s="10">
        <v>1</v>
      </c>
      <c r="E92" s="7">
        <v>30.326000000000001</v>
      </c>
      <c r="F92" s="1"/>
      <c r="G92" s="1"/>
      <c r="H92" s="5"/>
      <c r="I92" s="19">
        <v>8</v>
      </c>
      <c r="J92" s="20">
        <f t="shared" si="1"/>
        <v>8</v>
      </c>
    </row>
    <row r="93" spans="1:10" ht="28.5">
      <c r="A93" s="1" t="s">
        <v>65</v>
      </c>
      <c r="B93" s="5" t="s">
        <v>97</v>
      </c>
      <c r="C93" s="12" t="s">
        <v>207</v>
      </c>
      <c r="D93" s="10">
        <v>7.0000000000000007E-2</v>
      </c>
      <c r="E93" s="7">
        <v>40.950000000000003</v>
      </c>
      <c r="F93" s="1"/>
      <c r="G93" s="1"/>
      <c r="H93" s="5"/>
      <c r="I93" s="19">
        <v>140</v>
      </c>
      <c r="J93" s="20">
        <f t="shared" si="1"/>
        <v>9.8000000000000007</v>
      </c>
    </row>
    <row r="94" spans="1:10" ht="28.5">
      <c r="A94" s="1" t="s">
        <v>65</v>
      </c>
      <c r="B94" s="5" t="s">
        <v>98</v>
      </c>
      <c r="C94" s="12" t="s">
        <v>208</v>
      </c>
      <c r="D94" s="10">
        <v>0.17</v>
      </c>
      <c r="E94" s="7">
        <v>84.32</v>
      </c>
      <c r="F94" s="1"/>
      <c r="G94" s="1"/>
      <c r="H94" s="5"/>
      <c r="I94" s="19">
        <v>120</v>
      </c>
      <c r="J94" s="20">
        <f t="shared" si="1"/>
        <v>20.400000000000002</v>
      </c>
    </row>
    <row r="95" spans="1:10" ht="28.5">
      <c r="A95" s="1" t="s">
        <v>65</v>
      </c>
      <c r="B95" s="5" t="s">
        <v>99</v>
      </c>
      <c r="C95" s="12" t="s">
        <v>209</v>
      </c>
      <c r="D95" s="10">
        <v>0.05</v>
      </c>
      <c r="E95" s="7">
        <v>11.3</v>
      </c>
      <c r="F95" s="1"/>
      <c r="G95" s="1"/>
      <c r="H95" s="5"/>
      <c r="I95" s="19">
        <v>60</v>
      </c>
      <c r="J95" s="20">
        <f t="shared" si="1"/>
        <v>3</v>
      </c>
    </row>
    <row r="96" spans="1:10" ht="28.5">
      <c r="A96" s="1" t="s">
        <v>65</v>
      </c>
      <c r="B96" s="5" t="s">
        <v>100</v>
      </c>
      <c r="C96" s="12" t="s">
        <v>210</v>
      </c>
      <c r="D96" s="10">
        <v>5.5E-2</v>
      </c>
      <c r="E96" s="7">
        <v>5.72</v>
      </c>
      <c r="F96" s="1"/>
      <c r="G96" s="1"/>
      <c r="H96" s="5"/>
      <c r="I96" s="19">
        <v>30</v>
      </c>
      <c r="J96" s="20">
        <f t="shared" si="1"/>
        <v>1.65</v>
      </c>
    </row>
    <row r="97" spans="1:10" ht="28.5">
      <c r="A97" s="1" t="s">
        <v>65</v>
      </c>
      <c r="B97" s="5" t="s">
        <v>101</v>
      </c>
      <c r="C97" s="12" t="s">
        <v>211</v>
      </c>
      <c r="D97" s="10">
        <v>5.5E-2</v>
      </c>
      <c r="E97" s="7">
        <v>11.33</v>
      </c>
      <c r="F97" s="1"/>
      <c r="G97" s="1"/>
      <c r="H97" s="5"/>
      <c r="I97" s="19">
        <v>50</v>
      </c>
      <c r="J97" s="20">
        <f t="shared" si="1"/>
        <v>2.75</v>
      </c>
    </row>
    <row r="98" spans="1:10" ht="28.5">
      <c r="A98" s="1" t="s">
        <v>65</v>
      </c>
      <c r="B98" s="5" t="s">
        <v>102</v>
      </c>
      <c r="C98" s="12" t="s">
        <v>212</v>
      </c>
      <c r="D98" s="10">
        <v>0.1</v>
      </c>
      <c r="E98" s="7">
        <v>85.9</v>
      </c>
      <c r="F98" s="1"/>
      <c r="G98" s="1"/>
      <c r="H98" s="5"/>
      <c r="I98" s="19">
        <v>210</v>
      </c>
      <c r="J98" s="20">
        <f t="shared" si="1"/>
        <v>21</v>
      </c>
    </row>
    <row r="99" spans="1:10" ht="28.5">
      <c r="A99" s="1" t="s">
        <v>65</v>
      </c>
      <c r="B99" s="5" t="s">
        <v>103</v>
      </c>
      <c r="C99" s="12" t="s">
        <v>213</v>
      </c>
      <c r="D99" s="10">
        <v>0.1</v>
      </c>
      <c r="E99" s="7">
        <v>65</v>
      </c>
      <c r="F99" s="1"/>
      <c r="G99" s="1"/>
      <c r="H99" s="5"/>
      <c r="I99" s="19">
        <v>160</v>
      </c>
      <c r="J99" s="20">
        <f t="shared" si="1"/>
        <v>16</v>
      </c>
    </row>
    <row r="100" spans="1:10" ht="28.5">
      <c r="A100" s="1" t="s">
        <v>65</v>
      </c>
      <c r="B100" s="5" t="s">
        <v>104</v>
      </c>
      <c r="C100" s="12" t="s">
        <v>214</v>
      </c>
      <c r="D100" s="10">
        <v>0.1</v>
      </c>
      <c r="E100" s="7">
        <v>118.3</v>
      </c>
      <c r="F100" s="1"/>
      <c r="G100" s="1"/>
      <c r="H100" s="5"/>
      <c r="I100" s="19">
        <v>290</v>
      </c>
      <c r="J100" s="20">
        <f t="shared" si="1"/>
        <v>29</v>
      </c>
    </row>
    <row r="101" spans="1:10" ht="15">
      <c r="A101" s="1" t="s">
        <v>65</v>
      </c>
      <c r="B101" s="5" t="s">
        <v>105</v>
      </c>
      <c r="C101" s="12" t="s">
        <v>215</v>
      </c>
      <c r="D101" s="10">
        <v>1</v>
      </c>
      <c r="E101" s="7">
        <v>639.12900000000002</v>
      </c>
      <c r="F101" s="1"/>
      <c r="G101" s="1"/>
      <c r="H101" s="5"/>
      <c r="I101" s="19">
        <v>80</v>
      </c>
      <c r="J101" s="20">
        <f t="shared" si="1"/>
        <v>80</v>
      </c>
    </row>
    <row r="102" spans="1:10" ht="28.5">
      <c r="A102" s="1" t="s">
        <v>65</v>
      </c>
      <c r="B102" s="5" t="s">
        <v>106</v>
      </c>
      <c r="C102" s="12" t="s">
        <v>216</v>
      </c>
      <c r="D102" s="10">
        <v>0.4</v>
      </c>
      <c r="E102" s="7">
        <v>88.8</v>
      </c>
      <c r="F102" s="1"/>
      <c r="G102" s="1"/>
      <c r="H102" s="5"/>
      <c r="I102" s="19">
        <v>60</v>
      </c>
      <c r="J102" s="20">
        <f t="shared" si="1"/>
        <v>24</v>
      </c>
    </row>
    <row r="103" spans="1:10" ht="28.5">
      <c r="A103" s="1" t="s">
        <v>65</v>
      </c>
      <c r="B103" s="5" t="s">
        <v>107</v>
      </c>
      <c r="C103" s="12" t="s">
        <v>217</v>
      </c>
      <c r="D103" s="10">
        <v>1</v>
      </c>
      <c r="E103" s="7">
        <v>382.505</v>
      </c>
      <c r="F103" s="1"/>
      <c r="G103" s="1"/>
      <c r="H103" s="5"/>
      <c r="I103" s="19">
        <v>100</v>
      </c>
      <c r="J103" s="20">
        <f t="shared" si="1"/>
        <v>100</v>
      </c>
    </row>
    <row r="104" spans="1:10" ht="28.5">
      <c r="A104" s="1" t="s">
        <v>65</v>
      </c>
      <c r="B104" s="5" t="s">
        <v>108</v>
      </c>
      <c r="C104" s="12" t="s">
        <v>219</v>
      </c>
      <c r="D104" s="10">
        <v>0.35</v>
      </c>
      <c r="E104" s="7">
        <v>375.55</v>
      </c>
      <c r="F104" s="1"/>
      <c r="G104" s="1"/>
      <c r="H104" s="5"/>
      <c r="I104" s="19">
        <v>270</v>
      </c>
      <c r="J104" s="20">
        <f t="shared" si="1"/>
        <v>94.5</v>
      </c>
    </row>
    <row r="105" spans="1:10" ht="28.5">
      <c r="A105" s="1" t="s">
        <v>65</v>
      </c>
      <c r="B105" s="5" t="s">
        <v>109</v>
      </c>
      <c r="C105" s="12" t="s">
        <v>218</v>
      </c>
      <c r="D105" s="10">
        <v>0.35</v>
      </c>
      <c r="E105" s="7">
        <v>1207.1500000000001</v>
      </c>
      <c r="F105" s="1"/>
      <c r="G105" s="1"/>
      <c r="H105" s="5"/>
      <c r="I105" s="19">
        <v>860</v>
      </c>
      <c r="J105" s="20">
        <f t="shared" si="1"/>
        <v>301</v>
      </c>
    </row>
    <row r="106" spans="1:10" ht="15">
      <c r="A106" s="1" t="s">
        <v>65</v>
      </c>
      <c r="B106" s="5" t="s">
        <v>110</v>
      </c>
      <c r="C106" s="12" t="s">
        <v>220</v>
      </c>
      <c r="D106" s="10">
        <v>1</v>
      </c>
      <c r="E106" s="7">
        <v>5386.2060000000001</v>
      </c>
      <c r="F106" s="1"/>
      <c r="G106" s="1"/>
      <c r="H106" s="5"/>
      <c r="I106" s="19">
        <v>500</v>
      </c>
      <c r="J106" s="20">
        <f t="shared" si="1"/>
        <v>500</v>
      </c>
    </row>
    <row r="107" spans="1:10" ht="42.75">
      <c r="A107" s="1" t="s">
        <v>65</v>
      </c>
      <c r="B107" s="5" t="s">
        <v>111</v>
      </c>
      <c r="C107" s="12" t="s">
        <v>221</v>
      </c>
      <c r="D107" s="10">
        <v>0.5</v>
      </c>
      <c r="E107" s="7">
        <v>481</v>
      </c>
      <c r="F107" s="1"/>
      <c r="G107" s="1"/>
      <c r="H107" s="5"/>
      <c r="I107" s="19">
        <v>240</v>
      </c>
      <c r="J107" s="20">
        <f t="shared" si="1"/>
        <v>120</v>
      </c>
    </row>
    <row r="108" spans="1:10" ht="28.5">
      <c r="A108" s="1" t="s">
        <v>65</v>
      </c>
      <c r="B108" s="5" t="s">
        <v>112</v>
      </c>
      <c r="C108" s="12" t="s">
        <v>222</v>
      </c>
      <c r="D108" s="10">
        <v>0.4</v>
      </c>
      <c r="E108" s="7">
        <v>469.6</v>
      </c>
      <c r="F108" s="1"/>
      <c r="G108" s="1"/>
      <c r="H108" s="5"/>
      <c r="I108" s="19">
        <v>290</v>
      </c>
      <c r="J108" s="20">
        <f t="shared" si="1"/>
        <v>116</v>
      </c>
    </row>
    <row r="109" spans="1:10" ht="28.5">
      <c r="A109" s="1" t="s">
        <v>65</v>
      </c>
      <c r="B109" s="5" t="s">
        <v>113</v>
      </c>
      <c r="C109" s="12" t="s">
        <v>223</v>
      </c>
      <c r="D109" s="10">
        <v>0.4</v>
      </c>
      <c r="E109" s="7">
        <v>59.6</v>
      </c>
      <c r="F109" s="1"/>
      <c r="G109" s="1"/>
      <c r="H109" s="5"/>
      <c r="I109" s="19">
        <v>40</v>
      </c>
      <c r="J109" s="20">
        <f t="shared" si="1"/>
        <v>16</v>
      </c>
    </row>
    <row r="110" spans="1:10" ht="28.5">
      <c r="A110" s="1" t="s">
        <v>65</v>
      </c>
      <c r="B110" s="5" t="s">
        <v>114</v>
      </c>
      <c r="C110" s="12" t="s">
        <v>224</v>
      </c>
      <c r="D110" s="10">
        <v>0.4</v>
      </c>
      <c r="E110" s="7">
        <v>78</v>
      </c>
      <c r="F110" s="1"/>
      <c r="G110" s="1"/>
      <c r="H110" s="5"/>
      <c r="I110" s="19">
        <v>50</v>
      </c>
      <c r="J110" s="20">
        <f t="shared" si="1"/>
        <v>20</v>
      </c>
    </row>
    <row r="111" spans="1:10" ht="28.5">
      <c r="A111" s="1" t="s">
        <v>65</v>
      </c>
      <c r="B111" s="5" t="s">
        <v>115</v>
      </c>
      <c r="C111" s="12" t="s">
        <v>225</v>
      </c>
      <c r="D111" s="10">
        <v>0.4</v>
      </c>
      <c r="E111" s="7">
        <v>397.2</v>
      </c>
      <c r="F111" s="1"/>
      <c r="G111" s="1"/>
      <c r="H111" s="5"/>
      <c r="I111" s="19">
        <v>250</v>
      </c>
      <c r="J111" s="20">
        <f t="shared" si="1"/>
        <v>100</v>
      </c>
    </row>
    <row r="112" spans="1:10" ht="28.5">
      <c r="A112" s="1" t="s">
        <v>65</v>
      </c>
      <c r="B112" s="5" t="s">
        <v>116</v>
      </c>
      <c r="C112" s="12" t="s">
        <v>226</v>
      </c>
      <c r="D112" s="10">
        <v>0.4</v>
      </c>
      <c r="E112" s="7">
        <v>778.8</v>
      </c>
      <c r="F112" s="1"/>
      <c r="G112" s="1"/>
      <c r="H112" s="5"/>
      <c r="I112" s="19">
        <v>490</v>
      </c>
      <c r="J112" s="20">
        <f t="shared" si="1"/>
        <v>196</v>
      </c>
    </row>
    <row r="113" spans="1:10" ht="28.5">
      <c r="A113" s="1" t="s">
        <v>65</v>
      </c>
      <c r="B113" s="5" t="s">
        <v>117</v>
      </c>
      <c r="C113" s="12" t="s">
        <v>227</v>
      </c>
      <c r="D113" s="10">
        <v>0.4</v>
      </c>
      <c r="E113" s="7">
        <v>723.99999999999898</v>
      </c>
      <c r="F113" s="1"/>
      <c r="G113" s="1"/>
      <c r="H113" s="5"/>
      <c r="I113" s="19">
        <v>450</v>
      </c>
      <c r="J113" s="20">
        <f t="shared" si="1"/>
        <v>180</v>
      </c>
    </row>
    <row r="114" spans="1:10" ht="15">
      <c r="A114" s="1" t="s">
        <v>65</v>
      </c>
      <c r="B114" s="5" t="s">
        <v>118</v>
      </c>
      <c r="C114" s="12" t="s">
        <v>228</v>
      </c>
      <c r="D114" s="10">
        <v>1</v>
      </c>
      <c r="E114" s="7">
        <v>359.77499999999998</v>
      </c>
      <c r="F114" s="1"/>
      <c r="G114" s="1"/>
      <c r="H114" s="5"/>
      <c r="I114" s="19">
        <v>90</v>
      </c>
      <c r="J114" s="20">
        <f t="shared" si="1"/>
        <v>90</v>
      </c>
    </row>
    <row r="115" spans="1:10" ht="15.75" thickBot="1">
      <c r="A115" s="8" t="s">
        <v>119</v>
      </c>
      <c r="B115" s="8"/>
      <c r="C115" s="16"/>
      <c r="D115" s="17"/>
      <c r="E115" s="18">
        <v>18985.84</v>
      </c>
      <c r="F115" s="8"/>
      <c r="G115" s="8"/>
      <c r="H115" s="11"/>
      <c r="I115" s="19"/>
      <c r="J115" s="21">
        <f t="shared" si="1"/>
        <v>0</v>
      </c>
    </row>
    <row r="116" spans="1:10" ht="18.75" thickBot="1">
      <c r="A116" s="33" t="s">
        <v>230</v>
      </c>
      <c r="B116" s="34"/>
      <c r="C116" s="34"/>
      <c r="D116" s="34"/>
      <c r="E116" s="34"/>
      <c r="F116" s="34"/>
      <c r="G116" s="34"/>
      <c r="H116" s="35"/>
      <c r="I116" s="31">
        <f>SUM(I3:I115)</f>
        <v>15210</v>
      </c>
      <c r="J116" s="32">
        <f>SUM(J3:J115)</f>
        <v>8169.4</v>
      </c>
    </row>
  </sheetData>
  <mergeCells count="1">
    <mergeCell ref="A116:H116"/>
  </mergeCells>
  <pageMargins left="0.70000000000000007" right="0.70000000000000007" top="1.1437007874015752" bottom="1.1437007874015752" header="0.75000000000000011" footer="0.75000000000000011"/>
  <pageSetup paperSize="9" fitToWidth="0" fitToHeight="0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01"/>
  <sheetViews>
    <sheetView workbookViewId="0"/>
  </sheetViews>
  <sheetFormatPr defaultRowHeight="14.25"/>
  <cols>
    <col min="1" max="1" width="120" customWidth="1"/>
    <col min="2" max="2" width="10.875" customWidth="1"/>
    <col min="3" max="1024" width="8.125" customWidth="1"/>
    <col min="1025" max="1025" width="9" customWidth="1"/>
  </cols>
  <sheetData>
    <row r="2" spans="1:3">
      <c r="A2" s="1"/>
    </row>
    <row r="3" spans="1:3">
      <c r="A3" s="1"/>
    </row>
    <row r="4" spans="1:3">
      <c r="A4" s="1" t="s">
        <v>2</v>
      </c>
      <c r="B4" s="2" t="s">
        <v>120</v>
      </c>
    </row>
    <row r="5" spans="1:3">
      <c r="A5" s="1" t="s">
        <v>4</v>
      </c>
      <c r="B5" s="2">
        <v>10</v>
      </c>
      <c r="C5" s="2" t="s">
        <v>121</v>
      </c>
    </row>
    <row r="6" spans="1:3">
      <c r="A6" s="1" t="s">
        <v>11</v>
      </c>
      <c r="B6" s="2">
        <v>100</v>
      </c>
      <c r="C6" s="2" t="s">
        <v>122</v>
      </c>
    </row>
    <row r="7" spans="1:3">
      <c r="A7" s="1" t="s">
        <v>12</v>
      </c>
      <c r="B7" s="2">
        <v>450</v>
      </c>
      <c r="C7" s="2" t="s">
        <v>121</v>
      </c>
    </row>
    <row r="8" spans="1:3">
      <c r="A8" s="1" t="s">
        <v>13</v>
      </c>
      <c r="B8" s="2">
        <v>300</v>
      </c>
      <c r="C8" s="2" t="s">
        <v>121</v>
      </c>
    </row>
    <row r="9" spans="1:3">
      <c r="A9" s="1" t="s">
        <v>14</v>
      </c>
      <c r="B9" s="2">
        <v>110</v>
      </c>
      <c r="C9" s="2" t="s">
        <v>122</v>
      </c>
    </row>
    <row r="10" spans="1:3">
      <c r="A10" s="1" t="s">
        <v>15</v>
      </c>
      <c r="B10" s="2">
        <v>450</v>
      </c>
      <c r="C10" s="2" t="s">
        <v>121</v>
      </c>
    </row>
    <row r="11" spans="1:3">
      <c r="A11" s="1" t="s">
        <v>16</v>
      </c>
      <c r="B11" s="2">
        <v>130</v>
      </c>
      <c r="C11" s="2" t="s">
        <v>121</v>
      </c>
    </row>
    <row r="12" spans="1:3">
      <c r="A12" s="1" t="s">
        <v>17</v>
      </c>
      <c r="B12" s="2">
        <v>220</v>
      </c>
      <c r="C12" s="2" t="s">
        <v>121</v>
      </c>
    </row>
    <row r="13" spans="1:3">
      <c r="A13" s="1" t="s">
        <v>18</v>
      </c>
      <c r="B13" s="2">
        <v>160</v>
      </c>
      <c r="C13" s="2" t="s">
        <v>121</v>
      </c>
    </row>
    <row r="14" spans="1:3">
      <c r="A14" s="1" t="s">
        <v>19</v>
      </c>
      <c r="B14" s="2">
        <v>55</v>
      </c>
      <c r="C14" s="2" t="s">
        <v>122</v>
      </c>
    </row>
    <row r="15" spans="1:3">
      <c r="A15" s="1" t="s">
        <v>20</v>
      </c>
      <c r="B15" s="2">
        <v>190</v>
      </c>
      <c r="C15" s="2" t="s">
        <v>122</v>
      </c>
    </row>
    <row r="16" spans="1:3">
      <c r="A16" s="1" t="s">
        <v>21</v>
      </c>
      <c r="B16" s="2">
        <v>700</v>
      </c>
      <c r="C16" s="2" t="s">
        <v>121</v>
      </c>
    </row>
    <row r="17" spans="1:3">
      <c r="A17" s="1" t="s">
        <v>8</v>
      </c>
      <c r="B17" s="2">
        <v>40</v>
      </c>
      <c r="C17" s="2" t="s">
        <v>121</v>
      </c>
    </row>
    <row r="18" spans="1:3">
      <c r="A18" s="1" t="s">
        <v>9</v>
      </c>
      <c r="B18" s="2">
        <v>120</v>
      </c>
      <c r="C18" s="2" t="s">
        <v>122</v>
      </c>
    </row>
    <row r="19" spans="1:3">
      <c r="A19" s="1" t="s">
        <v>10</v>
      </c>
      <c r="B19" s="2">
        <v>230</v>
      </c>
      <c r="C19" s="2" t="s">
        <v>121</v>
      </c>
    </row>
    <row r="20" spans="1:3">
      <c r="A20" s="1" t="s">
        <v>23</v>
      </c>
      <c r="B20" s="2">
        <v>15</v>
      </c>
      <c r="C20" s="2" t="s">
        <v>122</v>
      </c>
    </row>
    <row r="21" spans="1:3">
      <c r="A21" s="1" t="s">
        <v>25</v>
      </c>
      <c r="B21" s="2">
        <v>130</v>
      </c>
      <c r="C21" s="2" t="s">
        <v>121</v>
      </c>
    </row>
    <row r="22" spans="1:3">
      <c r="A22" s="1" t="s">
        <v>26</v>
      </c>
      <c r="B22" s="2">
        <v>150</v>
      </c>
      <c r="C22" s="2" t="s">
        <v>121</v>
      </c>
    </row>
    <row r="23" spans="1:3">
      <c r="A23" s="1" t="s">
        <v>27</v>
      </c>
      <c r="B23" s="2">
        <v>80</v>
      </c>
      <c r="C23" s="2" t="s">
        <v>122</v>
      </c>
    </row>
    <row r="24" spans="1:3">
      <c r="A24" s="1" t="s">
        <v>28</v>
      </c>
      <c r="B24" s="2">
        <v>250</v>
      </c>
      <c r="C24" s="2" t="s">
        <v>121</v>
      </c>
    </row>
    <row r="25" spans="1:3">
      <c r="A25" s="1" t="s">
        <v>29</v>
      </c>
      <c r="B25" s="2">
        <v>80</v>
      </c>
      <c r="C25" s="2" t="s">
        <v>122</v>
      </c>
    </row>
    <row r="26" spans="1:3">
      <c r="A26" s="1" t="s">
        <v>30</v>
      </c>
      <c r="B26" s="2">
        <v>300</v>
      </c>
      <c r="C26" s="2" t="s">
        <v>121</v>
      </c>
    </row>
    <row r="27" spans="1:3">
      <c r="A27" s="1" t="s">
        <v>31</v>
      </c>
      <c r="B27" s="2">
        <v>180</v>
      </c>
      <c r="C27" s="2" t="s">
        <v>121</v>
      </c>
    </row>
    <row r="28" spans="1:3">
      <c r="A28" s="1" t="s">
        <v>32</v>
      </c>
      <c r="B28" s="2">
        <v>200</v>
      </c>
      <c r="C28" s="2" t="s">
        <v>121</v>
      </c>
    </row>
    <row r="29" spans="1:3">
      <c r="A29" s="1" t="s">
        <v>37</v>
      </c>
      <c r="B29" s="2">
        <v>15</v>
      </c>
      <c r="C29" s="2" t="s">
        <v>121</v>
      </c>
    </row>
    <row r="30" spans="1:3">
      <c r="A30" s="1" t="s">
        <v>38</v>
      </c>
      <c r="B30" s="2">
        <v>15</v>
      </c>
      <c r="C30" s="2" t="s">
        <v>122</v>
      </c>
    </row>
    <row r="31" spans="1:3">
      <c r="A31" s="1" t="s">
        <v>39</v>
      </c>
      <c r="B31" s="2">
        <v>10</v>
      </c>
      <c r="C31" s="2" t="s">
        <v>121</v>
      </c>
    </row>
    <row r="32" spans="1:3">
      <c r="A32" s="1" t="s">
        <v>40</v>
      </c>
      <c r="B32" s="2">
        <v>15</v>
      </c>
      <c r="C32" s="2" t="s">
        <v>122</v>
      </c>
    </row>
    <row r="33" spans="1:3">
      <c r="A33" s="1" t="s">
        <v>41</v>
      </c>
      <c r="B33" s="2">
        <v>15</v>
      </c>
      <c r="C33" s="2" t="s">
        <v>121</v>
      </c>
    </row>
    <row r="34" spans="1:3">
      <c r="A34" s="1" t="s">
        <v>42</v>
      </c>
      <c r="B34" s="2">
        <v>10</v>
      </c>
      <c r="C34" s="2" t="s">
        <v>122</v>
      </c>
    </row>
    <row r="35" spans="1:3">
      <c r="A35" s="1" t="s">
        <v>43</v>
      </c>
      <c r="B35" s="2">
        <v>10</v>
      </c>
      <c r="C35" s="2" t="s">
        <v>121</v>
      </c>
    </row>
    <row r="36" spans="1:3">
      <c r="A36" s="1" t="s">
        <v>44</v>
      </c>
      <c r="B36" s="2">
        <v>40</v>
      </c>
      <c r="C36" s="2" t="s">
        <v>122</v>
      </c>
    </row>
    <row r="37" spans="1:3">
      <c r="A37" s="1" t="s">
        <v>45</v>
      </c>
      <c r="B37" s="2">
        <v>10</v>
      </c>
      <c r="C37" s="2" t="s">
        <v>122</v>
      </c>
    </row>
    <row r="38" spans="1:3">
      <c r="A38" s="1" t="s">
        <v>49</v>
      </c>
      <c r="B38" s="2">
        <v>15</v>
      </c>
      <c r="C38" s="2" t="s">
        <v>122</v>
      </c>
    </row>
    <row r="39" spans="1:3">
      <c r="A39" s="1" t="s">
        <v>50</v>
      </c>
      <c r="B39" s="2">
        <v>8</v>
      </c>
      <c r="C39" s="2" t="s">
        <v>122</v>
      </c>
    </row>
    <row r="40" spans="1:3">
      <c r="A40" s="1" t="s">
        <v>55</v>
      </c>
      <c r="B40" s="2">
        <v>660</v>
      </c>
      <c r="C40" s="2" t="s">
        <v>122</v>
      </c>
    </row>
    <row r="41" spans="1:3">
      <c r="A41" s="1" t="s">
        <v>56</v>
      </c>
      <c r="B41" s="2">
        <v>200</v>
      </c>
      <c r="C41" s="2" t="s">
        <v>122</v>
      </c>
    </row>
    <row r="42" spans="1:3">
      <c r="A42" s="1" t="s">
        <v>57</v>
      </c>
      <c r="B42" s="2">
        <v>50</v>
      </c>
      <c r="C42" s="2" t="s">
        <v>121</v>
      </c>
    </row>
    <row r="43" spans="1:3">
      <c r="A43" s="1" t="s">
        <v>58</v>
      </c>
      <c r="B43" s="2">
        <v>350</v>
      </c>
      <c r="C43" s="2" t="s">
        <v>122</v>
      </c>
    </row>
    <row r="44" spans="1:3">
      <c r="A44" s="1" t="s">
        <v>60</v>
      </c>
      <c r="B44" s="2">
        <v>70</v>
      </c>
      <c r="C44" s="2" t="s">
        <v>121</v>
      </c>
    </row>
    <row r="45" spans="1:3">
      <c r="A45" s="1" t="s">
        <v>53</v>
      </c>
      <c r="B45" s="2">
        <v>500</v>
      </c>
      <c r="C45" s="2" t="s">
        <v>122</v>
      </c>
    </row>
    <row r="46" spans="1:3">
      <c r="A46" s="1" t="s">
        <v>54</v>
      </c>
      <c r="B46" s="2">
        <v>30</v>
      </c>
      <c r="C46" s="2" t="s">
        <v>122</v>
      </c>
    </row>
    <row r="47" spans="1:3">
      <c r="A47" s="1" t="s">
        <v>62</v>
      </c>
      <c r="B47" s="2">
        <v>60</v>
      </c>
      <c r="C47" s="2" t="s">
        <v>122</v>
      </c>
    </row>
    <row r="48" spans="1:3">
      <c r="A48" s="1" t="s">
        <v>63</v>
      </c>
      <c r="B48" s="2">
        <v>160</v>
      </c>
      <c r="C48" s="2" t="s">
        <v>121</v>
      </c>
    </row>
    <row r="49" spans="1:3">
      <c r="A49" s="1" t="s">
        <v>69</v>
      </c>
      <c r="B49" s="2">
        <v>50</v>
      </c>
      <c r="C49" s="2" t="s">
        <v>122</v>
      </c>
    </row>
    <row r="50" spans="1:3">
      <c r="A50" s="1" t="s">
        <v>70</v>
      </c>
      <c r="B50" s="2">
        <v>80</v>
      </c>
      <c r="C50" s="2" t="s">
        <v>122</v>
      </c>
    </row>
    <row r="51" spans="1:3">
      <c r="A51" s="1" t="s">
        <v>71</v>
      </c>
      <c r="B51" s="2">
        <v>60</v>
      </c>
      <c r="C51" s="2" t="s">
        <v>121</v>
      </c>
    </row>
    <row r="52" spans="1:3">
      <c r="A52" s="1" t="s">
        <v>73</v>
      </c>
      <c r="B52" s="2">
        <v>90</v>
      </c>
      <c r="C52" s="2" t="s">
        <v>122</v>
      </c>
    </row>
    <row r="53" spans="1:3">
      <c r="A53" s="1" t="s">
        <v>74</v>
      </c>
      <c r="B53" s="2">
        <v>290</v>
      </c>
      <c r="C53" s="2" t="s">
        <v>122</v>
      </c>
    </row>
    <row r="54" spans="1:3">
      <c r="A54" s="1" t="s">
        <v>75</v>
      </c>
      <c r="B54" s="2">
        <v>70</v>
      </c>
      <c r="C54" s="2" t="s">
        <v>121</v>
      </c>
    </row>
    <row r="55" spans="1:3">
      <c r="A55" s="1" t="s">
        <v>76</v>
      </c>
      <c r="B55" s="2">
        <v>150</v>
      </c>
      <c r="C55" s="2" t="s">
        <v>122</v>
      </c>
    </row>
    <row r="56" spans="1:3">
      <c r="A56" s="1" t="s">
        <v>68</v>
      </c>
      <c r="B56" s="2">
        <v>50</v>
      </c>
      <c r="C56" s="2" t="s">
        <v>121</v>
      </c>
    </row>
    <row r="57" spans="1:3">
      <c r="A57" s="1" t="s">
        <v>66</v>
      </c>
      <c r="B57" s="2">
        <v>50</v>
      </c>
      <c r="C57" s="2" t="s">
        <v>121</v>
      </c>
    </row>
    <row r="58" spans="1:3">
      <c r="A58" s="1" t="s">
        <v>67</v>
      </c>
      <c r="B58" s="2">
        <v>30</v>
      </c>
      <c r="C58" s="2" t="s">
        <v>121</v>
      </c>
    </row>
    <row r="59" spans="1:3">
      <c r="A59" s="1" t="s">
        <v>99</v>
      </c>
      <c r="B59" s="2">
        <v>60</v>
      </c>
      <c r="C59" s="2" t="s">
        <v>121</v>
      </c>
    </row>
    <row r="60" spans="1:3">
      <c r="A60" s="1" t="s">
        <v>100</v>
      </c>
      <c r="B60" s="2">
        <v>30</v>
      </c>
      <c r="C60" s="2" t="s">
        <v>121</v>
      </c>
    </row>
    <row r="61" spans="1:3">
      <c r="A61" s="1" t="s">
        <v>101</v>
      </c>
      <c r="B61" s="2">
        <v>50</v>
      </c>
      <c r="C61" s="2" t="s">
        <v>121</v>
      </c>
    </row>
    <row r="62" spans="1:3">
      <c r="A62" s="1" t="s">
        <v>77</v>
      </c>
      <c r="B62" s="2">
        <v>240</v>
      </c>
      <c r="C62" s="2" t="s">
        <v>121</v>
      </c>
    </row>
    <row r="63" spans="1:3">
      <c r="A63" s="1" t="s">
        <v>78</v>
      </c>
      <c r="B63" s="2">
        <v>200</v>
      </c>
      <c r="C63" s="2" t="s">
        <v>121</v>
      </c>
    </row>
    <row r="64" spans="1:3">
      <c r="A64" s="1" t="s">
        <v>79</v>
      </c>
      <c r="B64" s="2">
        <v>90</v>
      </c>
      <c r="C64" s="2" t="s">
        <v>122</v>
      </c>
    </row>
    <row r="65" spans="1:3">
      <c r="A65" s="1" t="s">
        <v>80</v>
      </c>
      <c r="B65" s="2">
        <v>50</v>
      </c>
      <c r="C65" s="2" t="s">
        <v>122</v>
      </c>
    </row>
    <row r="66" spans="1:3">
      <c r="A66" s="1" t="s">
        <v>81</v>
      </c>
      <c r="B66" s="2">
        <v>55</v>
      </c>
      <c r="C66" s="2" t="s">
        <v>121</v>
      </c>
    </row>
    <row r="67" spans="1:3">
      <c r="A67" s="1" t="s">
        <v>82</v>
      </c>
      <c r="B67" s="2">
        <v>90</v>
      </c>
      <c r="C67" s="2" t="s">
        <v>122</v>
      </c>
    </row>
    <row r="68" spans="1:3">
      <c r="A68" s="1" t="s">
        <v>83</v>
      </c>
      <c r="B68" s="2">
        <v>380</v>
      </c>
      <c r="C68" s="2" t="s">
        <v>121</v>
      </c>
    </row>
    <row r="69" spans="1:3">
      <c r="A69" s="1" t="s">
        <v>84</v>
      </c>
      <c r="B69" s="2">
        <v>130</v>
      </c>
      <c r="C69" s="2" t="s">
        <v>121</v>
      </c>
    </row>
    <row r="70" spans="1:3">
      <c r="A70" s="1" t="s">
        <v>85</v>
      </c>
      <c r="B70" s="2">
        <v>20</v>
      </c>
      <c r="C70" s="2" t="s">
        <v>122</v>
      </c>
    </row>
    <row r="71" spans="1:3">
      <c r="A71" s="1" t="s">
        <v>86</v>
      </c>
      <c r="B71" s="2">
        <v>290</v>
      </c>
      <c r="C71" s="2" t="s">
        <v>121</v>
      </c>
    </row>
    <row r="72" spans="1:3">
      <c r="A72" s="1" t="s">
        <v>87</v>
      </c>
      <c r="B72" s="2">
        <v>150</v>
      </c>
      <c r="C72" s="2" t="s">
        <v>121</v>
      </c>
    </row>
    <row r="73" spans="1:3">
      <c r="A73" s="1" t="s">
        <v>88</v>
      </c>
      <c r="B73" s="2">
        <v>230</v>
      </c>
      <c r="C73" s="2" t="s">
        <v>121</v>
      </c>
    </row>
    <row r="74" spans="1:3">
      <c r="A74" s="1" t="s">
        <v>89</v>
      </c>
      <c r="B74" s="2">
        <v>140</v>
      </c>
      <c r="C74" s="2" t="s">
        <v>122</v>
      </c>
    </row>
    <row r="75" spans="1:3">
      <c r="A75" s="1" t="s">
        <v>90</v>
      </c>
      <c r="B75" s="2">
        <v>80</v>
      </c>
      <c r="C75" s="2" t="s">
        <v>121</v>
      </c>
    </row>
    <row r="76" spans="1:3">
      <c r="A76" s="1" t="s">
        <v>102</v>
      </c>
      <c r="B76" s="2">
        <v>210</v>
      </c>
      <c r="C76" s="2" t="s">
        <v>121</v>
      </c>
    </row>
    <row r="77" spans="1:3">
      <c r="A77" s="1" t="s">
        <v>103</v>
      </c>
      <c r="B77" s="2">
        <v>160</v>
      </c>
      <c r="C77" s="2" t="s">
        <v>121</v>
      </c>
    </row>
    <row r="78" spans="1:3">
      <c r="A78" s="1" t="s">
        <v>104</v>
      </c>
      <c r="B78" s="2">
        <v>290</v>
      </c>
      <c r="C78" s="2" t="s">
        <v>121</v>
      </c>
    </row>
    <row r="79" spans="1:3">
      <c r="A79" s="1" t="s">
        <v>105</v>
      </c>
      <c r="B79" s="3">
        <v>80</v>
      </c>
      <c r="C79" s="2" t="s">
        <v>122</v>
      </c>
    </row>
    <row r="80" spans="1:3">
      <c r="A80" s="1" t="s">
        <v>106</v>
      </c>
      <c r="B80" s="2">
        <v>60</v>
      </c>
      <c r="C80" s="2" t="s">
        <v>121</v>
      </c>
    </row>
    <row r="81" spans="1:3">
      <c r="A81" s="1" t="s">
        <v>107</v>
      </c>
      <c r="B81" s="2">
        <v>100</v>
      </c>
      <c r="C81" s="2" t="s">
        <v>122</v>
      </c>
    </row>
    <row r="82" spans="1:3">
      <c r="A82" s="1" t="s">
        <v>118</v>
      </c>
      <c r="B82" s="2">
        <v>90</v>
      </c>
      <c r="C82" s="2" t="s">
        <v>122</v>
      </c>
    </row>
    <row r="83" spans="1:3">
      <c r="A83" s="1" t="s">
        <v>108</v>
      </c>
      <c r="B83" s="2">
        <v>270</v>
      </c>
      <c r="C83" s="2" t="s">
        <v>121</v>
      </c>
    </row>
    <row r="84" spans="1:3">
      <c r="A84" s="1" t="s">
        <v>109</v>
      </c>
      <c r="B84" s="2">
        <v>860</v>
      </c>
      <c r="C84" s="2" t="s">
        <v>121</v>
      </c>
    </row>
    <row r="85" spans="1:3">
      <c r="A85" s="1" t="s">
        <v>110</v>
      </c>
      <c r="B85" s="2">
        <v>500</v>
      </c>
      <c r="C85" s="2" t="s">
        <v>122</v>
      </c>
    </row>
    <row r="86" spans="1:3">
      <c r="A86" s="1" t="s">
        <v>111</v>
      </c>
      <c r="B86" s="2">
        <v>240</v>
      </c>
      <c r="C86" s="2" t="s">
        <v>121</v>
      </c>
    </row>
    <row r="87" spans="1:3">
      <c r="A87" s="1" t="s">
        <v>112</v>
      </c>
      <c r="B87" s="2">
        <v>290</v>
      </c>
      <c r="C87" s="2" t="s">
        <v>121</v>
      </c>
    </row>
    <row r="88" spans="1:3">
      <c r="A88" s="1" t="s">
        <v>113</v>
      </c>
      <c r="B88" s="2">
        <v>40</v>
      </c>
      <c r="C88" s="2" t="s">
        <v>121</v>
      </c>
    </row>
    <row r="89" spans="1:3">
      <c r="A89" s="1" t="s">
        <v>114</v>
      </c>
      <c r="B89" s="2">
        <v>50</v>
      </c>
      <c r="C89" s="2" t="s">
        <v>121</v>
      </c>
    </row>
    <row r="90" spans="1:3">
      <c r="A90" s="1" t="s">
        <v>115</v>
      </c>
      <c r="B90" s="2">
        <v>250</v>
      </c>
      <c r="C90" s="2" t="s">
        <v>121</v>
      </c>
    </row>
    <row r="91" spans="1:3">
      <c r="A91" s="1" t="s">
        <v>116</v>
      </c>
      <c r="B91" s="2">
        <v>490</v>
      </c>
      <c r="C91" s="2" t="s">
        <v>121</v>
      </c>
    </row>
    <row r="92" spans="1:3">
      <c r="A92" s="1" t="s">
        <v>117</v>
      </c>
      <c r="B92" s="2">
        <v>450</v>
      </c>
      <c r="C92" s="2" t="s">
        <v>121</v>
      </c>
    </row>
    <row r="93" spans="1:3">
      <c r="A93" s="1" t="s">
        <v>91</v>
      </c>
      <c r="B93" s="2">
        <v>100</v>
      </c>
      <c r="C93" s="2" t="s">
        <v>121</v>
      </c>
    </row>
    <row r="94" spans="1:3">
      <c r="A94" s="1" t="s">
        <v>92</v>
      </c>
      <c r="B94" s="2">
        <v>70</v>
      </c>
      <c r="C94" s="2" t="s">
        <v>121</v>
      </c>
    </row>
    <row r="95" spans="1:3">
      <c r="A95" s="1" t="s">
        <v>93</v>
      </c>
      <c r="B95" s="2">
        <v>4</v>
      </c>
      <c r="C95" s="2" t="s">
        <v>122</v>
      </c>
    </row>
    <row r="96" spans="1:3">
      <c r="A96" s="1" t="s">
        <v>94</v>
      </c>
      <c r="B96" s="2">
        <v>80</v>
      </c>
      <c r="C96" s="2" t="s">
        <v>121</v>
      </c>
    </row>
    <row r="97" spans="1:3">
      <c r="A97" s="1" t="s">
        <v>95</v>
      </c>
      <c r="B97" s="2">
        <v>160</v>
      </c>
      <c r="C97" s="2" t="s">
        <v>121</v>
      </c>
    </row>
    <row r="98" spans="1:3">
      <c r="A98" s="1" t="s">
        <v>96</v>
      </c>
      <c r="B98" s="2">
        <v>8</v>
      </c>
      <c r="C98" s="2" t="s">
        <v>122</v>
      </c>
    </row>
    <row r="99" spans="1:3">
      <c r="A99" s="1" t="s">
        <v>97</v>
      </c>
      <c r="B99" s="2">
        <v>140</v>
      </c>
      <c r="C99" s="2" t="s">
        <v>121</v>
      </c>
    </row>
    <row r="100" spans="1:3">
      <c r="A100" s="1" t="s">
        <v>98</v>
      </c>
      <c r="B100" s="2">
        <v>120</v>
      </c>
      <c r="C100" s="2" t="s">
        <v>121</v>
      </c>
    </row>
    <row r="101" spans="1:3">
      <c r="A101" s="4"/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Лист2!_ФильтрБазыДанных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revision>2</cp:revision>
  <dcterms:created xsi:type="dcterms:W3CDTF">2025-12-10T10:00:23Z</dcterms:created>
  <dcterms:modified xsi:type="dcterms:W3CDTF">2025-12-10T10:52:48Z</dcterms:modified>
</cp:coreProperties>
</file>