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7C4BDD96-48C0-471F-B0EA-0827CDCC09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заказа'!$X$266:$X$266</definedName>
    <definedName name="GrossWeightTotalR">'Бланк заказа'!$Y$266:$Y$266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заказа'!$X$267:$X$267</definedName>
    <definedName name="PalletQtyTotalR">'Бланк заказа'!$Y$267:$Y$267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заказа'!$B$178:$B$178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заказа'!$B$210:$B$210</definedName>
    <definedName name="ProductId73">'Бланк заказа'!$B$216:$B$216</definedName>
    <definedName name="ProductId74">'Бланк заказа'!$B$222:$B$222</definedName>
    <definedName name="ProductId75">'Бланк заказа'!$B$228:$B$228</definedName>
    <definedName name="ProductId76">'Бланк заказа'!$B$232:$B$232</definedName>
    <definedName name="ProductId77">'Бланк заказа'!$B$238:$B$238</definedName>
    <definedName name="ProductId78">'Бланк заказа'!$B$239:$B$239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заказа'!$X$178:$X$178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заказа'!$X$210:$X$210</definedName>
    <definedName name="SalesQty73">'Бланк заказа'!$X$216:$X$216</definedName>
    <definedName name="SalesQty74">'Бланк заказа'!$X$222:$X$222</definedName>
    <definedName name="SalesQty75">'Бланк заказа'!$X$228:$X$228</definedName>
    <definedName name="SalesQty76">'Бланк заказа'!$X$232:$X$232</definedName>
    <definedName name="SalesQty77">'Бланк заказа'!$X$238:$X$238</definedName>
    <definedName name="SalesQty78">'Бланк заказа'!$X$239:$X$239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заказа'!$Y$178:$Y$178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заказа'!$Y$210:$Y$210</definedName>
    <definedName name="SalesRoundBox73">'Бланк заказа'!$Y$216:$Y$216</definedName>
    <definedName name="SalesRoundBox74">'Бланк заказа'!$Y$222:$Y$222</definedName>
    <definedName name="SalesRoundBox75">'Бланк заказа'!$Y$228:$Y$228</definedName>
    <definedName name="SalesRoundBox76">'Бланк заказа'!$Y$232:$Y$232</definedName>
    <definedName name="SalesRoundBox77">'Бланк заказа'!$Y$238:$Y$238</definedName>
    <definedName name="SalesRoundBox78">'Бланк заказа'!$Y$239:$Y$239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заказа'!$W$178:$W$178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заказа'!$W$210:$W$210</definedName>
    <definedName name="UnitOfMeasure73">'Бланк заказа'!$W$216:$W$216</definedName>
    <definedName name="UnitOfMeasure74">'Бланк заказа'!$W$222:$W$222</definedName>
    <definedName name="UnitOfMeasure75">'Бланк заказа'!$W$228:$W$228</definedName>
    <definedName name="UnitOfMeasure76">'Бланк заказа'!$W$232:$W$232</definedName>
    <definedName name="UnitOfMeasure77">'Бланк заказа'!$W$238:$W$238</definedName>
    <definedName name="UnitOfMeasure78">'Бланк заказа'!$W$239:$W$239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5" i="1" l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64" i="1"/>
  <c r="X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63" i="1" s="1"/>
  <c r="Y253" i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Y248" i="1"/>
  <c r="P248" i="1"/>
  <c r="BP247" i="1"/>
  <c r="BO247" i="1"/>
  <c r="BN247" i="1"/>
  <c r="BM247" i="1"/>
  <c r="Z247" i="1"/>
  <c r="Z250" i="1" s="1"/>
  <c r="Y247" i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41" i="1"/>
  <c r="X240" i="1"/>
  <c r="BP239" i="1"/>
  <c r="BO239" i="1"/>
  <c r="BN239" i="1"/>
  <c r="BM239" i="1"/>
  <c r="Z239" i="1"/>
  <c r="Y239" i="1"/>
  <c r="P239" i="1"/>
  <c r="BO238" i="1"/>
  <c r="BM238" i="1"/>
  <c r="Z238" i="1"/>
  <c r="Y238" i="1"/>
  <c r="P238" i="1"/>
  <c r="Y234" i="1"/>
  <c r="X234" i="1"/>
  <c r="Z233" i="1"/>
  <c r="X233" i="1"/>
  <c r="BO232" i="1"/>
  <c r="BM232" i="1"/>
  <c r="Z232" i="1"/>
  <c r="Y232" i="1"/>
  <c r="P232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8" i="1"/>
  <c r="Z217" i="1"/>
  <c r="X217" i="1"/>
  <c r="BO216" i="1"/>
  <c r="BM216" i="1"/>
  <c r="Z216" i="1"/>
  <c r="Y216" i="1"/>
  <c r="P216" i="1"/>
  <c r="Y212" i="1"/>
  <c r="X212" i="1"/>
  <c r="Z211" i="1"/>
  <c r="X211" i="1"/>
  <c r="BO210" i="1"/>
  <c r="BM210" i="1"/>
  <c r="Z210" i="1"/>
  <c r="Y210" i="1"/>
  <c r="P210" i="1"/>
  <c r="BP209" i="1"/>
  <c r="BO209" i="1"/>
  <c r="BN209" i="1"/>
  <c r="BM209" i="1"/>
  <c r="Z209" i="1"/>
  <c r="Y209" i="1"/>
  <c r="Y211" i="1" s="1"/>
  <c r="P209" i="1"/>
  <c r="X206" i="1"/>
  <c r="Y205" i="1"/>
  <c r="X205" i="1"/>
  <c r="BP204" i="1"/>
  <c r="BO204" i="1"/>
  <c r="BN204" i="1"/>
  <c r="BM204" i="1"/>
  <c r="Z204" i="1"/>
  <c r="Z205" i="1" s="1"/>
  <c r="Y204" i="1"/>
  <c r="Y206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Z200" i="1" s="1"/>
  <c r="Y195" i="1"/>
  <c r="Y201" i="1" s="1"/>
  <c r="P195" i="1"/>
  <c r="X193" i="1"/>
  <c r="Y192" i="1"/>
  <c r="X192" i="1"/>
  <c r="BP191" i="1"/>
  <c r="BO191" i="1"/>
  <c r="BN191" i="1"/>
  <c r="BM191" i="1"/>
  <c r="Z191" i="1"/>
  <c r="Z192" i="1" s="1"/>
  <c r="Y191" i="1"/>
  <c r="Y193" i="1" s="1"/>
  <c r="P191" i="1"/>
  <c r="X187" i="1"/>
  <c r="Y186" i="1"/>
  <c r="X186" i="1"/>
  <c r="BP185" i="1"/>
  <c r="BO185" i="1"/>
  <c r="BN185" i="1"/>
  <c r="BM185" i="1"/>
  <c r="Z185" i="1"/>
  <c r="Z186" i="1" s="1"/>
  <c r="Y185" i="1"/>
  <c r="Y187" i="1" s="1"/>
  <c r="X183" i="1"/>
  <c r="X182" i="1"/>
  <c r="BO181" i="1"/>
  <c r="BM181" i="1"/>
  <c r="Z181" i="1"/>
  <c r="Y181" i="1"/>
  <c r="P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BP178" i="1"/>
  <c r="BO178" i="1"/>
  <c r="BN178" i="1"/>
  <c r="BM178" i="1"/>
  <c r="Z178" i="1"/>
  <c r="Z182" i="1" s="1"/>
  <c r="Y178" i="1"/>
  <c r="P178" i="1"/>
  <c r="X174" i="1"/>
  <c r="X173" i="1"/>
  <c r="BP172" i="1"/>
  <c r="BO172" i="1"/>
  <c r="BN172" i="1"/>
  <c r="BM172" i="1"/>
  <c r="Z172" i="1"/>
  <c r="Y172" i="1"/>
  <c r="P172" i="1"/>
  <c r="BO171" i="1"/>
  <c r="BM171" i="1"/>
  <c r="Z171" i="1"/>
  <c r="Y171" i="1"/>
  <c r="P171" i="1"/>
  <c r="Y167" i="1"/>
  <c r="X167" i="1"/>
  <c r="Z166" i="1"/>
  <c r="X166" i="1"/>
  <c r="BO165" i="1"/>
  <c r="BM165" i="1"/>
  <c r="Z165" i="1"/>
  <c r="Y165" i="1"/>
  <c r="P165" i="1"/>
  <c r="X162" i="1"/>
  <c r="Z161" i="1"/>
  <c r="X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X152" i="1"/>
  <c r="Z151" i="1"/>
  <c r="X151" i="1"/>
  <c r="BO150" i="1"/>
  <c r="BM150" i="1"/>
  <c r="Z150" i="1"/>
  <c r="Y150" i="1"/>
  <c r="P150" i="1"/>
  <c r="Y147" i="1"/>
  <c r="X147" i="1"/>
  <c r="Z146" i="1"/>
  <c r="X146" i="1"/>
  <c r="BO145" i="1"/>
  <c r="BM145" i="1"/>
  <c r="Z145" i="1"/>
  <c r="Y145" i="1"/>
  <c r="P145" i="1"/>
  <c r="BP144" i="1"/>
  <c r="BO144" i="1"/>
  <c r="BN144" i="1"/>
  <c r="BM144" i="1"/>
  <c r="Z144" i="1"/>
  <c r="Y144" i="1"/>
  <c r="Y146" i="1" s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Z140" i="1" s="1"/>
  <c r="Y138" i="1"/>
  <c r="P138" i="1"/>
  <c r="X135" i="1"/>
  <c r="X134" i="1"/>
  <c r="BO133" i="1"/>
  <c r="BN133" i="1"/>
  <c r="BM133" i="1"/>
  <c r="Z133" i="1"/>
  <c r="Y133" i="1"/>
  <c r="BP133" i="1" s="1"/>
  <c r="P133" i="1"/>
  <c r="BO132" i="1"/>
  <c r="BM132" i="1"/>
  <c r="Z132" i="1"/>
  <c r="Z134" i="1" s="1"/>
  <c r="Y132" i="1"/>
  <c r="Y134" i="1" s="1"/>
  <c r="P132" i="1"/>
  <c r="X129" i="1"/>
  <c r="Z128" i="1"/>
  <c r="X128" i="1"/>
  <c r="BO127" i="1"/>
  <c r="BM127" i="1"/>
  <c r="Z127" i="1"/>
  <c r="Y127" i="1"/>
  <c r="Y128" i="1" s="1"/>
  <c r="P127" i="1"/>
  <c r="X125" i="1"/>
  <c r="Z124" i="1"/>
  <c r="X124" i="1"/>
  <c r="BO123" i="1"/>
  <c r="BM123" i="1"/>
  <c r="Z123" i="1"/>
  <c r="Y123" i="1"/>
  <c r="Y124" i="1" s="1"/>
  <c r="P123" i="1"/>
  <c r="X121" i="1"/>
  <c r="X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Z120" i="1" s="1"/>
  <c r="Y114" i="1"/>
  <c r="P114" i="1"/>
  <c r="BO113" i="1"/>
  <c r="BM113" i="1"/>
  <c r="Z113" i="1"/>
  <c r="Y113" i="1"/>
  <c r="Y120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69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Z270" i="1" l="1"/>
  <c r="Y29" i="1"/>
  <c r="Y34" i="1"/>
  <c r="Y269" i="1" s="1"/>
  <c r="Y42" i="1"/>
  <c r="Y49" i="1"/>
  <c r="Y56" i="1"/>
  <c r="Y71" i="1"/>
  <c r="Y77" i="1"/>
  <c r="Y82" i="1"/>
  <c r="Y94" i="1"/>
  <c r="Y103" i="1"/>
  <c r="Y110" i="1"/>
  <c r="Y121" i="1"/>
  <c r="Y125" i="1"/>
  <c r="Y129" i="1"/>
  <c r="Y151" i="1"/>
  <c r="BP150" i="1"/>
  <c r="BN150" i="1"/>
  <c r="Y161" i="1"/>
  <c r="BP160" i="1"/>
  <c r="BN160" i="1"/>
  <c r="Y174" i="1"/>
  <c r="BP171" i="1"/>
  <c r="BN171" i="1"/>
  <c r="Y173" i="1"/>
  <c r="BP179" i="1"/>
  <c r="BN179" i="1"/>
  <c r="BP181" i="1"/>
  <c r="BN181" i="1"/>
  <c r="Y217" i="1"/>
  <c r="BP216" i="1"/>
  <c r="BN216" i="1"/>
  <c r="Y229" i="1"/>
  <c r="BP228" i="1"/>
  <c r="BN228" i="1"/>
  <c r="Y241" i="1"/>
  <c r="BP238" i="1"/>
  <c r="BN238" i="1"/>
  <c r="Y240" i="1"/>
  <c r="BP248" i="1"/>
  <c r="BN248" i="1"/>
  <c r="Y250" i="1"/>
  <c r="BP254" i="1"/>
  <c r="BN254" i="1"/>
  <c r="BP256" i="1"/>
  <c r="BN256" i="1"/>
  <c r="BP258" i="1"/>
  <c r="BN258" i="1"/>
  <c r="BP260" i="1"/>
  <c r="BN260" i="1"/>
  <c r="BP262" i="1"/>
  <c r="BN262" i="1"/>
  <c r="H9" i="1"/>
  <c r="X266" i="1"/>
  <c r="X268" i="1" s="1"/>
  <c r="X267" i="1"/>
  <c r="BN23" i="1"/>
  <c r="Y266" i="1" s="1"/>
  <c r="BN25" i="1"/>
  <c r="BN27" i="1"/>
  <c r="X265" i="1"/>
  <c r="BN32" i="1"/>
  <c r="BP32" i="1"/>
  <c r="BN40" i="1"/>
  <c r="BN45" i="1"/>
  <c r="BP45" i="1"/>
  <c r="Y267" i="1" s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27" i="1"/>
  <c r="BP127" i="1"/>
  <c r="BN132" i="1"/>
  <c r="BP132" i="1"/>
  <c r="Y135" i="1"/>
  <c r="Y141" i="1"/>
  <c r="BP138" i="1"/>
  <c r="BN138" i="1"/>
  <c r="Y140" i="1"/>
  <c r="BP145" i="1"/>
  <c r="BN145" i="1"/>
  <c r="Y152" i="1"/>
  <c r="Y156" i="1"/>
  <c r="BP155" i="1"/>
  <c r="BN155" i="1"/>
  <c r="Y162" i="1"/>
  <c r="Y166" i="1"/>
  <c r="BP165" i="1"/>
  <c r="BN165" i="1"/>
  <c r="Z173" i="1"/>
  <c r="Y182" i="1"/>
  <c r="Y183" i="1"/>
  <c r="BP196" i="1"/>
  <c r="BN196" i="1"/>
  <c r="BP198" i="1"/>
  <c r="BN198" i="1"/>
  <c r="Y200" i="1"/>
  <c r="BP210" i="1"/>
  <c r="BN210" i="1"/>
  <c r="Y218" i="1"/>
  <c r="Y223" i="1"/>
  <c r="BP222" i="1"/>
  <c r="BN222" i="1"/>
  <c r="Y230" i="1"/>
  <c r="Y233" i="1"/>
  <c r="BP232" i="1"/>
  <c r="BN232" i="1"/>
  <c r="Z240" i="1"/>
  <c r="Y251" i="1"/>
  <c r="Y263" i="1"/>
  <c r="Y264" i="1"/>
  <c r="Y268" i="1" l="1"/>
  <c r="Y265" i="1"/>
  <c r="A278" i="1" l="1"/>
  <c r="B278" i="1"/>
  <c r="C278" i="1"/>
</calcChain>
</file>

<file path=xl/sharedStrings.xml><?xml version="1.0" encoding="utf-8"?>
<sst xmlns="http://schemas.openxmlformats.org/spreadsheetml/2006/main" count="1198" uniqueCount="389">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</sst>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3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1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1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2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8"/>
  <sheetViews>
    <sheetView showGridLines="0" tabSelected="1" topLeftCell="A260" zoomScaleNormal="100" zoomScaleSheetLayoutView="100" workbookViewId="0">
      <selection activeCell="AA271" sqref="AA271"/>
    </sheetView>
  </sheetViews>
  <sheetFormatPr defaultColWidth="9.140625" defaultRowHeight="12.75" x14ac:dyDescent="0.2"/>
  <cols>
    <col min="1" max="1" width="9.140625" style="26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2" customWidth="1"/>
    <col min="19" max="19" width="6.140625" style="26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2" customWidth="1"/>
    <col min="25" max="25" width="11" style="262" customWidth="1"/>
    <col min="26" max="26" width="10" style="262" customWidth="1"/>
    <col min="27" max="27" width="11.5703125" style="262" customWidth="1"/>
    <col min="28" max="28" width="10.42578125" style="262" customWidth="1"/>
    <col min="29" max="29" width="30" style="26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2" customWidth="1"/>
    <col min="34" max="34" width="9.140625" style="262" customWidth="1"/>
    <col min="35" max="16384" width="9.140625" style="262"/>
  </cols>
  <sheetData>
    <row r="1" spans="1:32" s="258" customFormat="1" ht="45" customHeight="1" x14ac:dyDescent="0.2">
      <c r="A1" s="41"/>
      <c r="B1" s="41"/>
      <c r="C1" s="41"/>
      <c r="D1" s="315" t="s">
        <v>0</v>
      </c>
      <c r="E1" s="294"/>
      <c r="F1" s="294"/>
      <c r="G1" s="12" t="s">
        <v>1</v>
      </c>
      <c r="H1" s="315" t="s">
        <v>2</v>
      </c>
      <c r="I1" s="294"/>
      <c r="J1" s="294"/>
      <c r="K1" s="294"/>
      <c r="L1" s="294"/>
      <c r="M1" s="294"/>
      <c r="N1" s="294"/>
      <c r="O1" s="294"/>
      <c r="P1" s="294"/>
      <c r="Q1" s="294"/>
      <c r="R1" s="293" t="s">
        <v>3</v>
      </c>
      <c r="S1" s="294"/>
      <c r="T1" s="29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5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5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5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58" customFormat="1" ht="23.45" customHeight="1" x14ac:dyDescent="0.2">
      <c r="A5" s="341" t="s">
        <v>8</v>
      </c>
      <c r="B5" s="321"/>
      <c r="C5" s="322"/>
      <c r="D5" s="317"/>
      <c r="E5" s="318"/>
      <c r="F5" s="435" t="s">
        <v>9</v>
      </c>
      <c r="G5" s="322"/>
      <c r="H5" s="317"/>
      <c r="I5" s="408"/>
      <c r="J5" s="408"/>
      <c r="K5" s="408"/>
      <c r="L5" s="408"/>
      <c r="M5" s="318"/>
      <c r="N5" s="61"/>
      <c r="P5" s="24" t="s">
        <v>10</v>
      </c>
      <c r="Q5" s="441">
        <v>46041</v>
      </c>
      <c r="R5" s="340"/>
      <c r="T5" s="367" t="s">
        <v>11</v>
      </c>
      <c r="U5" s="358"/>
      <c r="V5" s="368" t="s">
        <v>12</v>
      </c>
      <c r="W5" s="340"/>
      <c r="AB5" s="51"/>
      <c r="AC5" s="51"/>
      <c r="AD5" s="51"/>
      <c r="AE5" s="51"/>
    </row>
    <row r="6" spans="1:32" s="258" customFormat="1" ht="24" customHeight="1" x14ac:dyDescent="0.2">
      <c r="A6" s="341" t="s">
        <v>13</v>
      </c>
      <c r="B6" s="321"/>
      <c r="C6" s="322"/>
      <c r="D6" s="410" t="s">
        <v>14</v>
      </c>
      <c r="E6" s="411"/>
      <c r="F6" s="411"/>
      <c r="G6" s="411"/>
      <c r="H6" s="411"/>
      <c r="I6" s="411"/>
      <c r="J6" s="411"/>
      <c r="K6" s="411"/>
      <c r="L6" s="411"/>
      <c r="M6" s="340"/>
      <c r="N6" s="62"/>
      <c r="P6" s="24" t="s">
        <v>15</v>
      </c>
      <c r="Q6" s="444" t="str">
        <f>IF(Q5=0," ",CHOOSE(WEEKDAY(Q5,2),"Понедельник","Вторник","Среда","Четверг","Пятница","Суббота","Воскресенье"))</f>
        <v>Понедельник</v>
      </c>
      <c r="R6" s="269"/>
      <c r="T6" s="370" t="s">
        <v>16</v>
      </c>
      <c r="U6" s="358"/>
      <c r="V6" s="396" t="s">
        <v>17</v>
      </c>
      <c r="W6" s="301"/>
      <c r="AB6" s="51"/>
      <c r="AC6" s="51"/>
      <c r="AD6" s="51"/>
      <c r="AE6" s="51"/>
    </row>
    <row r="7" spans="1:32" s="258" customFormat="1" ht="21.75" hidden="1" customHeight="1" x14ac:dyDescent="0.2">
      <c r="A7" s="55"/>
      <c r="B7" s="55"/>
      <c r="C7" s="55"/>
      <c r="D7" s="307" t="str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63"/>
      <c r="P7" s="24"/>
      <c r="Q7" s="42"/>
      <c r="R7" s="42"/>
      <c r="T7" s="287"/>
      <c r="U7" s="358"/>
      <c r="V7" s="397"/>
      <c r="W7" s="398"/>
      <c r="AB7" s="51"/>
      <c r="AC7" s="51"/>
      <c r="AD7" s="51"/>
      <c r="AE7" s="51"/>
    </row>
    <row r="8" spans="1:32" s="258" customFormat="1" ht="25.5" customHeight="1" x14ac:dyDescent="0.2">
      <c r="A8" s="451" t="s">
        <v>18</v>
      </c>
      <c r="B8" s="275"/>
      <c r="C8" s="276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46">
        <v>0.41666666666666669</v>
      </c>
      <c r="R8" s="309"/>
      <c r="T8" s="287"/>
      <c r="U8" s="358"/>
      <c r="V8" s="397"/>
      <c r="W8" s="398"/>
      <c r="AB8" s="51"/>
      <c r="AC8" s="51"/>
      <c r="AD8" s="51"/>
      <c r="AE8" s="51"/>
    </row>
    <row r="9" spans="1:32" s="258" customFormat="1" ht="39.950000000000003" customHeight="1" x14ac:dyDescent="0.2">
      <c r="A9" s="3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0"/>
      <c r="E9" s="278"/>
      <c r="F9" s="3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7" t="str">
        <f>IF(AND($A$9="Тип доверенности/получателя при получении в адресе перегруза:",$D$9="Разовая доверенность"),"Введите ФИО","")</f>
        <v/>
      </c>
      <c r="I9" s="278"/>
      <c r="J9" s="2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8"/>
      <c r="L9" s="278"/>
      <c r="M9" s="278"/>
      <c r="N9" s="256"/>
      <c r="P9" s="26" t="s">
        <v>21</v>
      </c>
      <c r="Q9" s="337"/>
      <c r="R9" s="338"/>
      <c r="T9" s="287"/>
      <c r="U9" s="358"/>
      <c r="V9" s="399"/>
      <c r="W9" s="400"/>
      <c r="X9" s="43"/>
      <c r="Y9" s="43"/>
      <c r="Z9" s="43"/>
      <c r="AA9" s="43"/>
      <c r="AB9" s="51"/>
      <c r="AC9" s="51"/>
      <c r="AD9" s="51"/>
      <c r="AE9" s="51"/>
    </row>
    <row r="10" spans="1:32" s="258" customFormat="1" ht="26.45" customHeight="1" x14ac:dyDescent="0.2">
      <c r="A10" s="3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0"/>
      <c r="E10" s="278"/>
      <c r="F10" s="3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1" t="str">
        <f>IFERROR(VLOOKUP($D$10,Proxy,2,FALSE),"")</f>
        <v/>
      </c>
      <c r="I10" s="287"/>
      <c r="J10" s="287"/>
      <c r="K10" s="287"/>
      <c r="L10" s="287"/>
      <c r="M10" s="287"/>
      <c r="N10" s="257"/>
      <c r="P10" s="26" t="s">
        <v>22</v>
      </c>
      <c r="Q10" s="371"/>
      <c r="R10" s="372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5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9"/>
      <c r="R11" s="340"/>
      <c r="U11" s="24" t="s">
        <v>27</v>
      </c>
      <c r="V11" s="414" t="s">
        <v>28</v>
      </c>
      <c r="W11" s="338"/>
      <c r="X11" s="45"/>
      <c r="Y11" s="45"/>
      <c r="Z11" s="45"/>
      <c r="AA11" s="45"/>
      <c r="AB11" s="51"/>
      <c r="AC11" s="51"/>
      <c r="AD11" s="51"/>
      <c r="AE11" s="51"/>
    </row>
    <row r="12" spans="1:32" s="258" customFormat="1" ht="18.600000000000001" customHeight="1" x14ac:dyDescent="0.2">
      <c r="A12" s="364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46"/>
      <c r="R12" s="309"/>
      <c r="S12" s="23"/>
      <c r="U12" s="24"/>
      <c r="V12" s="294"/>
      <c r="W12" s="287"/>
      <c r="AB12" s="51"/>
      <c r="AC12" s="51"/>
      <c r="AD12" s="51"/>
      <c r="AE12" s="51"/>
    </row>
    <row r="13" spans="1:32" s="258" customFormat="1" ht="23.25" customHeight="1" x14ac:dyDescent="0.2">
      <c r="A13" s="364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14"/>
      <c r="R13" s="33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58" customFormat="1" ht="18.600000000000001" customHeight="1" x14ac:dyDescent="0.2">
      <c r="A14" s="364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58" customFormat="1" ht="22.5" customHeight="1" x14ac:dyDescent="0.2">
      <c r="A15" s="378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59" t="s">
        <v>35</v>
      </c>
      <c r="Q15" s="294"/>
      <c r="R15" s="294"/>
      <c r="S15" s="294"/>
      <c r="T15" s="29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0"/>
      <c r="Q16" s="360"/>
      <c r="R16" s="360"/>
      <c r="S16" s="360"/>
      <c r="T16" s="3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49" t="s">
        <v>38</v>
      </c>
      <c r="D17" s="297" t="s">
        <v>39</v>
      </c>
      <c r="E17" s="331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0"/>
      <c r="R17" s="330"/>
      <c r="S17" s="330"/>
      <c r="T17" s="331"/>
      <c r="U17" s="448" t="s">
        <v>51</v>
      </c>
      <c r="V17" s="322"/>
      <c r="W17" s="297" t="s">
        <v>52</v>
      </c>
      <c r="X17" s="297" t="s">
        <v>53</v>
      </c>
      <c r="Y17" s="449" t="s">
        <v>54</v>
      </c>
      <c r="Z17" s="406" t="s">
        <v>55</v>
      </c>
      <c r="AA17" s="389" t="s">
        <v>56</v>
      </c>
      <c r="AB17" s="389" t="s">
        <v>57</v>
      </c>
      <c r="AC17" s="389" t="s">
        <v>58</v>
      </c>
      <c r="AD17" s="389" t="s">
        <v>59</v>
      </c>
      <c r="AE17" s="430"/>
      <c r="AF17" s="431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2"/>
      <c r="E18" s="334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2"/>
      <c r="Q18" s="333"/>
      <c r="R18" s="333"/>
      <c r="S18" s="333"/>
      <c r="T18" s="334"/>
      <c r="U18" s="70" t="s">
        <v>61</v>
      </c>
      <c r="V18" s="70" t="s">
        <v>62</v>
      </c>
      <c r="W18" s="298"/>
      <c r="X18" s="298"/>
      <c r="Y18" s="450"/>
      <c r="Z18" s="407"/>
      <c r="AA18" s="390"/>
      <c r="AB18" s="390"/>
      <c r="AC18" s="390"/>
      <c r="AD18" s="432"/>
      <c r="AE18" s="433"/>
      <c r="AF18" s="434"/>
      <c r="AG18" s="69"/>
      <c r="BD18" s="68"/>
    </row>
    <row r="19" spans="1:68" ht="27.75" customHeight="1" x14ac:dyDescent="0.2">
      <c r="A19" s="283" t="s">
        <v>63</v>
      </c>
      <c r="B19" s="284"/>
      <c r="C19" s="284"/>
      <c r="D19" s="284"/>
      <c r="E19" s="284"/>
      <c r="F19" s="284"/>
      <c r="G19" s="284"/>
      <c r="H19" s="284"/>
      <c r="I19" s="284"/>
      <c r="J19" s="284"/>
      <c r="K19" s="284"/>
      <c r="L19" s="284"/>
      <c r="M19" s="284"/>
      <c r="N19" s="284"/>
      <c r="O19" s="284"/>
      <c r="P19" s="284"/>
      <c r="Q19" s="284"/>
      <c r="R19" s="284"/>
      <c r="S19" s="284"/>
      <c r="T19" s="284"/>
      <c r="U19" s="284"/>
      <c r="V19" s="284"/>
      <c r="W19" s="284"/>
      <c r="X19" s="284"/>
      <c r="Y19" s="284"/>
      <c r="Z19" s="284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59"/>
      <c r="AB20" s="259"/>
      <c r="AC20" s="259"/>
    </row>
    <row r="21" spans="1:68" ht="14.25" customHeight="1" x14ac:dyDescent="0.25">
      <c r="A21" s="305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0"/>
      <c r="AB21" s="260"/>
      <c r="AC21" s="260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68">
        <v>4607111035912</v>
      </c>
      <c r="E22" s="269"/>
      <c r="F22" s="263">
        <v>0.43</v>
      </c>
      <c r="G22" s="32">
        <v>16</v>
      </c>
      <c r="H22" s="263">
        <v>6.88</v>
      </c>
      <c r="I22" s="26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1"/>
      <c r="R22" s="271"/>
      <c r="S22" s="271"/>
      <c r="T22" s="272"/>
      <c r="U22" s="34"/>
      <c r="V22" s="34"/>
      <c r="W22" s="35" t="s">
        <v>70</v>
      </c>
      <c r="X22" s="264">
        <v>0</v>
      </c>
      <c r="Y22" s="265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68">
        <v>4607111035103</v>
      </c>
      <c r="E23" s="269"/>
      <c r="F23" s="263">
        <v>0.43</v>
      </c>
      <c r="G23" s="32">
        <v>16</v>
      </c>
      <c r="H23" s="263">
        <v>6.88</v>
      </c>
      <c r="I23" s="26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1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1"/>
      <c r="R23" s="271"/>
      <c r="S23" s="271"/>
      <c r="T23" s="272"/>
      <c r="U23" s="34"/>
      <c r="V23" s="34"/>
      <c r="W23" s="35" t="s">
        <v>70</v>
      </c>
      <c r="X23" s="264">
        <v>0</v>
      </c>
      <c r="Y23" s="26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68">
        <v>4607111035929</v>
      </c>
      <c r="E24" s="269"/>
      <c r="F24" s="263">
        <v>0.9</v>
      </c>
      <c r="G24" s="32">
        <v>8</v>
      </c>
      <c r="H24" s="263">
        <v>7.2</v>
      </c>
      <c r="I24" s="26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1"/>
      <c r="R24" s="271"/>
      <c r="S24" s="271"/>
      <c r="T24" s="272"/>
      <c r="U24" s="34"/>
      <c r="V24" s="34"/>
      <c r="W24" s="35" t="s">
        <v>70</v>
      </c>
      <c r="X24" s="264">
        <v>0</v>
      </c>
      <c r="Y24" s="26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68">
        <v>4607111035882</v>
      </c>
      <c r="E25" s="269"/>
      <c r="F25" s="263">
        <v>0.43</v>
      </c>
      <c r="G25" s="32">
        <v>16</v>
      </c>
      <c r="H25" s="263">
        <v>6.88</v>
      </c>
      <c r="I25" s="263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1"/>
      <c r="R25" s="271"/>
      <c r="S25" s="271"/>
      <c r="T25" s="272"/>
      <c r="U25" s="34"/>
      <c r="V25" s="34"/>
      <c r="W25" s="35" t="s">
        <v>70</v>
      </c>
      <c r="X25" s="264">
        <v>0</v>
      </c>
      <c r="Y25" s="265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68">
        <v>4607111035110</v>
      </c>
      <c r="E26" s="269"/>
      <c r="F26" s="263">
        <v>0.9</v>
      </c>
      <c r="G26" s="32">
        <v>8</v>
      </c>
      <c r="H26" s="263">
        <v>7.2</v>
      </c>
      <c r="I26" s="263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1"/>
      <c r="R26" s="271"/>
      <c r="S26" s="271"/>
      <c r="T26" s="272"/>
      <c r="U26" s="34"/>
      <c r="V26" s="34"/>
      <c r="W26" s="35" t="s">
        <v>70</v>
      </c>
      <c r="X26" s="264">
        <v>0</v>
      </c>
      <c r="Y26" s="26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68">
        <v>4607111035905</v>
      </c>
      <c r="E27" s="269"/>
      <c r="F27" s="263">
        <v>0.9</v>
      </c>
      <c r="G27" s="32">
        <v>8</v>
      </c>
      <c r="H27" s="263">
        <v>7.2</v>
      </c>
      <c r="I27" s="26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1"/>
      <c r="R27" s="271"/>
      <c r="S27" s="271"/>
      <c r="T27" s="272"/>
      <c r="U27" s="34"/>
      <c r="V27" s="34"/>
      <c r="W27" s="35" t="s">
        <v>70</v>
      </c>
      <c r="X27" s="264">
        <v>0</v>
      </c>
      <c r="Y27" s="26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8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89"/>
      <c r="P28" s="274" t="s">
        <v>83</v>
      </c>
      <c r="Q28" s="275"/>
      <c r="R28" s="275"/>
      <c r="S28" s="275"/>
      <c r="T28" s="275"/>
      <c r="U28" s="275"/>
      <c r="V28" s="276"/>
      <c r="W28" s="37" t="s">
        <v>70</v>
      </c>
      <c r="X28" s="266">
        <f>IFERROR(SUM(X22:X27),"0")</f>
        <v>0</v>
      </c>
      <c r="Y28" s="266">
        <f>IFERROR(SUM(Y22:Y27),"0")</f>
        <v>0</v>
      </c>
      <c r="Z28" s="266">
        <f>IFERROR(IF(Z22="",0,Z22),"0")+IFERROR(IF(Z23="",0,Z23),"0")+IFERROR(IF(Z24="",0,Z24),"0")+IFERROR(IF(Z25="",0,Z25),"0")+IFERROR(IF(Z26="",0,Z26),"0")+IFERROR(IF(Z27="",0,Z27),"0")</f>
        <v>0</v>
      </c>
      <c r="AA28" s="267"/>
      <c r="AB28" s="267"/>
      <c r="AC28" s="267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9"/>
      <c r="P29" s="274" t="s">
        <v>83</v>
      </c>
      <c r="Q29" s="275"/>
      <c r="R29" s="275"/>
      <c r="S29" s="275"/>
      <c r="T29" s="275"/>
      <c r="U29" s="275"/>
      <c r="V29" s="276"/>
      <c r="W29" s="37" t="s">
        <v>84</v>
      </c>
      <c r="X29" s="266">
        <f>IFERROR(SUMPRODUCT(X22:X27*H22:H27),"0")</f>
        <v>0</v>
      </c>
      <c r="Y29" s="266">
        <f>IFERROR(SUMPRODUCT(Y22:Y27*H22:H27),"0")</f>
        <v>0</v>
      </c>
      <c r="Z29" s="37"/>
      <c r="AA29" s="267"/>
      <c r="AB29" s="267"/>
      <c r="AC29" s="267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59"/>
      <c r="AB30" s="259"/>
      <c r="AC30" s="259"/>
    </row>
    <row r="31" spans="1:68" ht="14.25" customHeight="1" x14ac:dyDescent="0.25">
      <c r="A31" s="305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0"/>
      <c r="AB31" s="260"/>
      <c r="AC31" s="260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68">
        <v>4607111039019</v>
      </c>
      <c r="E32" s="269"/>
      <c r="F32" s="263">
        <v>0.43</v>
      </c>
      <c r="G32" s="32">
        <v>16</v>
      </c>
      <c r="H32" s="263">
        <v>6.88</v>
      </c>
      <c r="I32" s="263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1"/>
      <c r="R32" s="271"/>
      <c r="S32" s="271"/>
      <c r="T32" s="272"/>
      <c r="U32" s="34"/>
      <c r="V32" s="34"/>
      <c r="W32" s="35" t="s">
        <v>70</v>
      </c>
      <c r="X32" s="264">
        <v>0</v>
      </c>
      <c r="Y32" s="265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68">
        <v>4607111038708</v>
      </c>
      <c r="E33" s="269"/>
      <c r="F33" s="263">
        <v>0.8</v>
      </c>
      <c r="G33" s="32">
        <v>8</v>
      </c>
      <c r="H33" s="263">
        <v>6.4</v>
      </c>
      <c r="I33" s="263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1"/>
      <c r="R33" s="271"/>
      <c r="S33" s="271"/>
      <c r="T33" s="272"/>
      <c r="U33" s="34"/>
      <c r="V33" s="34"/>
      <c r="W33" s="35" t="s">
        <v>70</v>
      </c>
      <c r="X33" s="264">
        <v>0</v>
      </c>
      <c r="Y33" s="265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8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89"/>
      <c r="P34" s="274" t="s">
        <v>83</v>
      </c>
      <c r="Q34" s="275"/>
      <c r="R34" s="275"/>
      <c r="S34" s="275"/>
      <c r="T34" s="275"/>
      <c r="U34" s="275"/>
      <c r="V34" s="276"/>
      <c r="W34" s="37" t="s">
        <v>70</v>
      </c>
      <c r="X34" s="266">
        <f>IFERROR(SUM(X32:X33),"0")</f>
        <v>0</v>
      </c>
      <c r="Y34" s="266">
        <f>IFERROR(SUM(Y32:Y33),"0")</f>
        <v>0</v>
      </c>
      <c r="Z34" s="266">
        <f>IFERROR(IF(Z32="",0,Z32),"0")+IFERROR(IF(Z33="",0,Z33),"0")</f>
        <v>0</v>
      </c>
      <c r="AA34" s="267"/>
      <c r="AB34" s="267"/>
      <c r="AC34" s="267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89"/>
      <c r="P35" s="274" t="s">
        <v>83</v>
      </c>
      <c r="Q35" s="275"/>
      <c r="R35" s="275"/>
      <c r="S35" s="275"/>
      <c r="T35" s="275"/>
      <c r="U35" s="275"/>
      <c r="V35" s="276"/>
      <c r="W35" s="37" t="s">
        <v>84</v>
      </c>
      <c r="X35" s="266">
        <f>IFERROR(SUMPRODUCT(X32:X33*H32:H33),"0")</f>
        <v>0</v>
      </c>
      <c r="Y35" s="266">
        <f>IFERROR(SUMPRODUCT(Y32:Y33*H32:H33),"0")</f>
        <v>0</v>
      </c>
      <c r="Z35" s="37"/>
      <c r="AA35" s="267"/>
      <c r="AB35" s="267"/>
      <c r="AC35" s="267"/>
    </row>
    <row r="36" spans="1:68" ht="27.75" customHeight="1" x14ac:dyDescent="0.2">
      <c r="A36" s="283" t="s">
        <v>91</v>
      </c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4"/>
      <c r="V36" s="284"/>
      <c r="W36" s="284"/>
      <c r="X36" s="284"/>
      <c r="Y36" s="284"/>
      <c r="Z36" s="284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59"/>
      <c r="AB37" s="259"/>
      <c r="AC37" s="259"/>
    </row>
    <row r="38" spans="1:68" ht="14.25" customHeight="1" x14ac:dyDescent="0.25">
      <c r="A38" s="305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0"/>
      <c r="AB38" s="260"/>
      <c r="AC38" s="260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68">
        <v>4607111036537</v>
      </c>
      <c r="E39" s="269"/>
      <c r="F39" s="263">
        <v>0.25</v>
      </c>
      <c r="G39" s="32">
        <v>6</v>
      </c>
      <c r="H39" s="263">
        <v>1.5</v>
      </c>
      <c r="I39" s="263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1"/>
      <c r="R39" s="271"/>
      <c r="S39" s="271"/>
      <c r="T39" s="272"/>
      <c r="U39" s="34"/>
      <c r="V39" s="34"/>
      <c r="W39" s="35" t="s">
        <v>70</v>
      </c>
      <c r="X39" s="264">
        <v>0</v>
      </c>
      <c r="Y39" s="265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68">
        <v>4607111036605</v>
      </c>
      <c r="E40" s="269"/>
      <c r="F40" s="263">
        <v>0.25</v>
      </c>
      <c r="G40" s="32">
        <v>6</v>
      </c>
      <c r="H40" s="263">
        <v>1.5</v>
      </c>
      <c r="I40" s="263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40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1"/>
      <c r="R40" s="271"/>
      <c r="S40" s="271"/>
      <c r="T40" s="272"/>
      <c r="U40" s="34"/>
      <c r="V40" s="34"/>
      <c r="W40" s="35" t="s">
        <v>70</v>
      </c>
      <c r="X40" s="264">
        <v>0</v>
      </c>
      <c r="Y40" s="265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8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9"/>
      <c r="P41" s="274" t="s">
        <v>83</v>
      </c>
      <c r="Q41" s="275"/>
      <c r="R41" s="275"/>
      <c r="S41" s="275"/>
      <c r="T41" s="275"/>
      <c r="U41" s="275"/>
      <c r="V41" s="276"/>
      <c r="W41" s="37" t="s">
        <v>70</v>
      </c>
      <c r="X41" s="266">
        <f>IFERROR(SUM(X39:X40),"0")</f>
        <v>0</v>
      </c>
      <c r="Y41" s="266">
        <f>IFERROR(SUM(Y39:Y40),"0")</f>
        <v>0</v>
      </c>
      <c r="Z41" s="266">
        <f>IFERROR(IF(Z39="",0,Z39),"0")+IFERROR(IF(Z40="",0,Z40),"0")</f>
        <v>0</v>
      </c>
      <c r="AA41" s="267"/>
      <c r="AB41" s="267"/>
      <c r="AC41" s="267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9"/>
      <c r="P42" s="274" t="s">
        <v>83</v>
      </c>
      <c r="Q42" s="275"/>
      <c r="R42" s="275"/>
      <c r="S42" s="275"/>
      <c r="T42" s="275"/>
      <c r="U42" s="275"/>
      <c r="V42" s="276"/>
      <c r="W42" s="37" t="s">
        <v>84</v>
      </c>
      <c r="X42" s="266">
        <f>IFERROR(SUMPRODUCT(X39:X40*H39:H40),"0")</f>
        <v>0</v>
      </c>
      <c r="Y42" s="266">
        <f>IFERROR(SUMPRODUCT(Y39:Y40*H39:H40),"0")</f>
        <v>0</v>
      </c>
      <c r="Z42" s="37"/>
      <c r="AA42" s="267"/>
      <c r="AB42" s="267"/>
      <c r="AC42" s="267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59"/>
      <c r="AB43" s="259"/>
      <c r="AC43" s="259"/>
    </row>
    <row r="44" spans="1:68" ht="14.25" customHeight="1" x14ac:dyDescent="0.25">
      <c r="A44" s="305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0"/>
      <c r="AB44" s="260"/>
      <c r="AC44" s="260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68">
        <v>4620207490075</v>
      </c>
      <c r="E45" s="269"/>
      <c r="F45" s="263">
        <v>0.7</v>
      </c>
      <c r="G45" s="32">
        <v>8</v>
      </c>
      <c r="H45" s="263">
        <v>5.6</v>
      </c>
      <c r="I45" s="263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1"/>
      <c r="R45" s="271"/>
      <c r="S45" s="271"/>
      <c r="T45" s="272"/>
      <c r="U45" s="34"/>
      <c r="V45" s="34"/>
      <c r="W45" s="35" t="s">
        <v>70</v>
      </c>
      <c r="X45" s="264">
        <v>0</v>
      </c>
      <c r="Y45" s="265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68">
        <v>4620207490174</v>
      </c>
      <c r="E46" s="269"/>
      <c r="F46" s="263">
        <v>0.7</v>
      </c>
      <c r="G46" s="32">
        <v>8</v>
      </c>
      <c r="H46" s="263">
        <v>5.6</v>
      </c>
      <c r="I46" s="263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1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1"/>
      <c r="R46" s="271"/>
      <c r="S46" s="271"/>
      <c r="T46" s="272"/>
      <c r="U46" s="34"/>
      <c r="V46" s="34"/>
      <c r="W46" s="35" t="s">
        <v>70</v>
      </c>
      <c r="X46" s="264">
        <v>0</v>
      </c>
      <c r="Y46" s="26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68">
        <v>4620207490044</v>
      </c>
      <c r="E47" s="269"/>
      <c r="F47" s="263">
        <v>0.7</v>
      </c>
      <c r="G47" s="32">
        <v>8</v>
      </c>
      <c r="H47" s="263">
        <v>5.6</v>
      </c>
      <c r="I47" s="263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2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1"/>
      <c r="R47" s="271"/>
      <c r="S47" s="271"/>
      <c r="T47" s="272"/>
      <c r="U47" s="34"/>
      <c r="V47" s="34"/>
      <c r="W47" s="35" t="s">
        <v>70</v>
      </c>
      <c r="X47" s="264">
        <v>0</v>
      </c>
      <c r="Y47" s="265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8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9"/>
      <c r="P48" s="274" t="s">
        <v>83</v>
      </c>
      <c r="Q48" s="275"/>
      <c r="R48" s="275"/>
      <c r="S48" s="275"/>
      <c r="T48" s="275"/>
      <c r="U48" s="275"/>
      <c r="V48" s="276"/>
      <c r="W48" s="37" t="s">
        <v>70</v>
      </c>
      <c r="X48" s="266">
        <f>IFERROR(SUM(X45:X47),"0")</f>
        <v>0</v>
      </c>
      <c r="Y48" s="266">
        <f>IFERROR(SUM(Y45:Y47),"0")</f>
        <v>0</v>
      </c>
      <c r="Z48" s="266">
        <f>IFERROR(IF(Z45="",0,Z45),"0")+IFERROR(IF(Z46="",0,Z46),"0")+IFERROR(IF(Z47="",0,Z47),"0")</f>
        <v>0</v>
      </c>
      <c r="AA48" s="267"/>
      <c r="AB48" s="267"/>
      <c r="AC48" s="267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9"/>
      <c r="P49" s="274" t="s">
        <v>83</v>
      </c>
      <c r="Q49" s="275"/>
      <c r="R49" s="275"/>
      <c r="S49" s="275"/>
      <c r="T49" s="275"/>
      <c r="U49" s="275"/>
      <c r="V49" s="276"/>
      <c r="W49" s="37" t="s">
        <v>84</v>
      </c>
      <c r="X49" s="266">
        <f>IFERROR(SUMPRODUCT(X45:X47*H45:H47),"0")</f>
        <v>0</v>
      </c>
      <c r="Y49" s="266">
        <f>IFERROR(SUMPRODUCT(Y45:Y47*H45:H47),"0")</f>
        <v>0</v>
      </c>
      <c r="Z49" s="37"/>
      <c r="AA49" s="267"/>
      <c r="AB49" s="267"/>
      <c r="AC49" s="267"/>
    </row>
    <row r="50" spans="1:68" ht="16.5" customHeight="1" x14ac:dyDescent="0.25">
      <c r="A50" s="286" t="s">
        <v>113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59"/>
      <c r="AB50" s="259"/>
      <c r="AC50" s="259"/>
    </row>
    <row r="51" spans="1:68" ht="14.25" customHeight="1" x14ac:dyDescent="0.25">
      <c r="A51" s="305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0"/>
      <c r="AB51" s="260"/>
      <c r="AC51" s="260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68">
        <v>4607111039385</v>
      </c>
      <c r="E52" s="269"/>
      <c r="F52" s="263">
        <v>0.7</v>
      </c>
      <c r="G52" s="32">
        <v>10</v>
      </c>
      <c r="H52" s="263">
        <v>7</v>
      </c>
      <c r="I52" s="263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3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1"/>
      <c r="R52" s="271"/>
      <c r="S52" s="271"/>
      <c r="T52" s="272"/>
      <c r="U52" s="34"/>
      <c r="V52" s="34"/>
      <c r="W52" s="35" t="s">
        <v>70</v>
      </c>
      <c r="X52" s="264">
        <v>0</v>
      </c>
      <c r="Y52" s="265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68">
        <v>4607111038982</v>
      </c>
      <c r="E53" s="269"/>
      <c r="F53" s="263">
        <v>0.7</v>
      </c>
      <c r="G53" s="32">
        <v>10</v>
      </c>
      <c r="H53" s="263">
        <v>7</v>
      </c>
      <c r="I53" s="263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1"/>
      <c r="R53" s="271"/>
      <c r="S53" s="271"/>
      <c r="T53" s="272"/>
      <c r="U53" s="34"/>
      <c r="V53" s="34"/>
      <c r="W53" s="35" t="s">
        <v>70</v>
      </c>
      <c r="X53" s="264">
        <v>0</v>
      </c>
      <c r="Y53" s="265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68">
        <v>4607111039354</v>
      </c>
      <c r="E54" s="269"/>
      <c r="F54" s="263">
        <v>0.4</v>
      </c>
      <c r="G54" s="32">
        <v>16</v>
      </c>
      <c r="H54" s="263">
        <v>6.4</v>
      </c>
      <c r="I54" s="263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1"/>
      <c r="R54" s="271"/>
      <c r="S54" s="271"/>
      <c r="T54" s="272"/>
      <c r="U54" s="34"/>
      <c r="V54" s="34"/>
      <c r="W54" s="35" t="s">
        <v>70</v>
      </c>
      <c r="X54" s="264">
        <v>0</v>
      </c>
      <c r="Y54" s="265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68">
        <v>4607111039330</v>
      </c>
      <c r="E55" s="269"/>
      <c r="F55" s="263">
        <v>0.7</v>
      </c>
      <c r="G55" s="32">
        <v>10</v>
      </c>
      <c r="H55" s="263">
        <v>7</v>
      </c>
      <c r="I55" s="263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4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1"/>
      <c r="R55" s="271"/>
      <c r="S55" s="271"/>
      <c r="T55" s="272"/>
      <c r="U55" s="34"/>
      <c r="V55" s="34"/>
      <c r="W55" s="35" t="s">
        <v>70</v>
      </c>
      <c r="X55" s="264">
        <v>0</v>
      </c>
      <c r="Y55" s="26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8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9"/>
      <c r="P56" s="274" t="s">
        <v>83</v>
      </c>
      <c r="Q56" s="275"/>
      <c r="R56" s="275"/>
      <c r="S56" s="275"/>
      <c r="T56" s="275"/>
      <c r="U56" s="275"/>
      <c r="V56" s="276"/>
      <c r="W56" s="37" t="s">
        <v>70</v>
      </c>
      <c r="X56" s="266">
        <f>IFERROR(SUM(X52:X55),"0")</f>
        <v>0</v>
      </c>
      <c r="Y56" s="266">
        <f>IFERROR(SUM(Y52:Y55),"0")</f>
        <v>0</v>
      </c>
      <c r="Z56" s="266">
        <f>IFERROR(IF(Z52="",0,Z52),"0")+IFERROR(IF(Z53="",0,Z53),"0")+IFERROR(IF(Z54="",0,Z54),"0")+IFERROR(IF(Z55="",0,Z55),"0")</f>
        <v>0</v>
      </c>
      <c r="AA56" s="267"/>
      <c r="AB56" s="267"/>
      <c r="AC56" s="267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9"/>
      <c r="P57" s="274" t="s">
        <v>83</v>
      </c>
      <c r="Q57" s="275"/>
      <c r="R57" s="275"/>
      <c r="S57" s="275"/>
      <c r="T57" s="275"/>
      <c r="U57" s="275"/>
      <c r="V57" s="276"/>
      <c r="W57" s="37" t="s">
        <v>84</v>
      </c>
      <c r="X57" s="266">
        <f>IFERROR(SUMPRODUCT(X52:X55*H52:H55),"0")</f>
        <v>0</v>
      </c>
      <c r="Y57" s="266">
        <f>IFERROR(SUMPRODUCT(Y52:Y55*H52:H55),"0")</f>
        <v>0</v>
      </c>
      <c r="Z57" s="37"/>
      <c r="AA57" s="267"/>
      <c r="AB57" s="267"/>
      <c r="AC57" s="267"/>
    </row>
    <row r="58" spans="1:68" ht="16.5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59"/>
      <c r="AB58" s="259"/>
      <c r="AC58" s="259"/>
    </row>
    <row r="59" spans="1:68" ht="14.25" customHeight="1" x14ac:dyDescent="0.25">
      <c r="A59" s="305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0"/>
      <c r="AB59" s="260"/>
      <c r="AC59" s="260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68">
        <v>4620207490822</v>
      </c>
      <c r="E60" s="269"/>
      <c r="F60" s="263">
        <v>0.43</v>
      </c>
      <c r="G60" s="32">
        <v>8</v>
      </c>
      <c r="H60" s="263">
        <v>3.44</v>
      </c>
      <c r="I60" s="263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1"/>
      <c r="R60" s="271"/>
      <c r="S60" s="271"/>
      <c r="T60" s="272"/>
      <c r="U60" s="34"/>
      <c r="V60" s="34"/>
      <c r="W60" s="35" t="s">
        <v>70</v>
      </c>
      <c r="X60" s="264">
        <v>0</v>
      </c>
      <c r="Y60" s="265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8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9"/>
      <c r="P61" s="274" t="s">
        <v>83</v>
      </c>
      <c r="Q61" s="275"/>
      <c r="R61" s="275"/>
      <c r="S61" s="275"/>
      <c r="T61" s="275"/>
      <c r="U61" s="275"/>
      <c r="V61" s="276"/>
      <c r="W61" s="37" t="s">
        <v>70</v>
      </c>
      <c r="X61" s="266">
        <f>IFERROR(SUM(X60:X60),"0")</f>
        <v>0</v>
      </c>
      <c r="Y61" s="266">
        <f>IFERROR(SUM(Y60:Y60),"0")</f>
        <v>0</v>
      </c>
      <c r="Z61" s="266">
        <f>IFERROR(IF(Z60="",0,Z60),"0")</f>
        <v>0</v>
      </c>
      <c r="AA61" s="267"/>
      <c r="AB61" s="267"/>
      <c r="AC61" s="267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9"/>
      <c r="P62" s="274" t="s">
        <v>83</v>
      </c>
      <c r="Q62" s="275"/>
      <c r="R62" s="275"/>
      <c r="S62" s="275"/>
      <c r="T62" s="275"/>
      <c r="U62" s="275"/>
      <c r="V62" s="276"/>
      <c r="W62" s="37" t="s">
        <v>84</v>
      </c>
      <c r="X62" s="266">
        <f>IFERROR(SUMPRODUCT(X60:X60*H60:H60),"0")</f>
        <v>0</v>
      </c>
      <c r="Y62" s="266">
        <f>IFERROR(SUMPRODUCT(Y60:Y60*H60:H60),"0")</f>
        <v>0</v>
      </c>
      <c r="Z62" s="37"/>
      <c r="AA62" s="267"/>
      <c r="AB62" s="267"/>
      <c r="AC62" s="267"/>
    </row>
    <row r="63" spans="1:68" ht="14.25" customHeight="1" x14ac:dyDescent="0.25">
      <c r="A63" s="305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0"/>
      <c r="AB63" s="260"/>
      <c r="AC63" s="260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68">
        <v>4607111039712</v>
      </c>
      <c r="E64" s="269"/>
      <c r="F64" s="263">
        <v>0.2</v>
      </c>
      <c r="G64" s="32">
        <v>6</v>
      </c>
      <c r="H64" s="263">
        <v>1.2</v>
      </c>
      <c r="I64" s="263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1"/>
      <c r="R64" s="271"/>
      <c r="S64" s="271"/>
      <c r="T64" s="272"/>
      <c r="U64" s="34"/>
      <c r="V64" s="34"/>
      <c r="W64" s="35" t="s">
        <v>70</v>
      </c>
      <c r="X64" s="264">
        <v>0</v>
      </c>
      <c r="Y64" s="265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8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9"/>
      <c r="P65" s="274" t="s">
        <v>83</v>
      </c>
      <c r="Q65" s="275"/>
      <c r="R65" s="275"/>
      <c r="S65" s="275"/>
      <c r="T65" s="275"/>
      <c r="U65" s="275"/>
      <c r="V65" s="276"/>
      <c r="W65" s="37" t="s">
        <v>70</v>
      </c>
      <c r="X65" s="266">
        <f>IFERROR(SUM(X64:X64),"0")</f>
        <v>0</v>
      </c>
      <c r="Y65" s="266">
        <f>IFERROR(SUM(Y64:Y64),"0")</f>
        <v>0</v>
      </c>
      <c r="Z65" s="266">
        <f>IFERROR(IF(Z64="",0,Z64),"0")</f>
        <v>0</v>
      </c>
      <c r="AA65" s="267"/>
      <c r="AB65" s="267"/>
      <c r="AC65" s="267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9"/>
      <c r="P66" s="274" t="s">
        <v>83</v>
      </c>
      <c r="Q66" s="275"/>
      <c r="R66" s="275"/>
      <c r="S66" s="275"/>
      <c r="T66" s="275"/>
      <c r="U66" s="275"/>
      <c r="V66" s="276"/>
      <c r="W66" s="37" t="s">
        <v>84</v>
      </c>
      <c r="X66" s="266">
        <f>IFERROR(SUMPRODUCT(X64:X64*H64:H64),"0")</f>
        <v>0</v>
      </c>
      <c r="Y66" s="266">
        <f>IFERROR(SUMPRODUCT(Y64:Y64*H64:H64),"0")</f>
        <v>0</v>
      </c>
      <c r="Z66" s="37"/>
      <c r="AA66" s="267"/>
      <c r="AB66" s="267"/>
      <c r="AC66" s="267"/>
    </row>
    <row r="67" spans="1:68" ht="14.25" customHeight="1" x14ac:dyDescent="0.25">
      <c r="A67" s="305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0"/>
      <c r="AB67" s="260"/>
      <c r="AC67" s="260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68">
        <v>4607111037008</v>
      </c>
      <c r="E68" s="269"/>
      <c r="F68" s="263">
        <v>0.36</v>
      </c>
      <c r="G68" s="32">
        <v>4</v>
      </c>
      <c r="H68" s="263">
        <v>1.44</v>
      </c>
      <c r="I68" s="263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1"/>
      <c r="R68" s="271"/>
      <c r="S68" s="271"/>
      <c r="T68" s="272"/>
      <c r="U68" s="34"/>
      <c r="V68" s="34"/>
      <c r="W68" s="35" t="s">
        <v>70</v>
      </c>
      <c r="X68" s="264">
        <v>0</v>
      </c>
      <c r="Y68" s="265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68">
        <v>4607111037398</v>
      </c>
      <c r="E69" s="269"/>
      <c r="F69" s="263">
        <v>0.09</v>
      </c>
      <c r="G69" s="32">
        <v>24</v>
      </c>
      <c r="H69" s="263">
        <v>2.16</v>
      </c>
      <c r="I69" s="263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1"/>
      <c r="R69" s="271"/>
      <c r="S69" s="271"/>
      <c r="T69" s="272"/>
      <c r="U69" s="34"/>
      <c r="V69" s="34"/>
      <c r="W69" s="35" t="s">
        <v>70</v>
      </c>
      <c r="X69" s="264">
        <v>0</v>
      </c>
      <c r="Y69" s="265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8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9"/>
      <c r="P70" s="274" t="s">
        <v>83</v>
      </c>
      <c r="Q70" s="275"/>
      <c r="R70" s="275"/>
      <c r="S70" s="275"/>
      <c r="T70" s="275"/>
      <c r="U70" s="275"/>
      <c r="V70" s="276"/>
      <c r="W70" s="37" t="s">
        <v>70</v>
      </c>
      <c r="X70" s="266">
        <f>IFERROR(SUM(X68:X69),"0")</f>
        <v>0</v>
      </c>
      <c r="Y70" s="266">
        <f>IFERROR(SUM(Y68:Y69),"0")</f>
        <v>0</v>
      </c>
      <c r="Z70" s="266">
        <f>IFERROR(IF(Z68="",0,Z68),"0")+IFERROR(IF(Z69="",0,Z69),"0")</f>
        <v>0</v>
      </c>
      <c r="AA70" s="267"/>
      <c r="AB70" s="267"/>
      <c r="AC70" s="267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9"/>
      <c r="P71" s="274" t="s">
        <v>83</v>
      </c>
      <c r="Q71" s="275"/>
      <c r="R71" s="275"/>
      <c r="S71" s="275"/>
      <c r="T71" s="275"/>
      <c r="U71" s="275"/>
      <c r="V71" s="276"/>
      <c r="W71" s="37" t="s">
        <v>84</v>
      </c>
      <c r="X71" s="266">
        <f>IFERROR(SUMPRODUCT(X68:X69*H68:H69),"0")</f>
        <v>0</v>
      </c>
      <c r="Y71" s="266">
        <f>IFERROR(SUMPRODUCT(Y68:Y69*H68:H69),"0")</f>
        <v>0</v>
      </c>
      <c r="Z71" s="37"/>
      <c r="AA71" s="267"/>
      <c r="AB71" s="267"/>
      <c r="AC71" s="267"/>
    </row>
    <row r="72" spans="1:68" ht="14.25" customHeight="1" x14ac:dyDescent="0.25">
      <c r="A72" s="305" t="s">
        <v>137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0"/>
      <c r="AB72" s="260"/>
      <c r="AC72" s="260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68">
        <v>4607111039705</v>
      </c>
      <c r="E73" s="269"/>
      <c r="F73" s="263">
        <v>0.2</v>
      </c>
      <c r="G73" s="32">
        <v>6</v>
      </c>
      <c r="H73" s="263">
        <v>1.2</v>
      </c>
      <c r="I73" s="263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1"/>
      <c r="R73" s="271"/>
      <c r="S73" s="271"/>
      <c r="T73" s="272"/>
      <c r="U73" s="34"/>
      <c r="V73" s="34"/>
      <c r="W73" s="35" t="s">
        <v>70</v>
      </c>
      <c r="X73" s="264">
        <v>0</v>
      </c>
      <c r="Y73" s="265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68">
        <v>4607111039729</v>
      </c>
      <c r="E74" s="269"/>
      <c r="F74" s="263">
        <v>0.2</v>
      </c>
      <c r="G74" s="32">
        <v>6</v>
      </c>
      <c r="H74" s="263">
        <v>1.2</v>
      </c>
      <c r="I74" s="263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1"/>
      <c r="R74" s="271"/>
      <c r="S74" s="271"/>
      <c r="T74" s="272"/>
      <c r="U74" s="34"/>
      <c r="V74" s="34"/>
      <c r="W74" s="35" t="s">
        <v>70</v>
      </c>
      <c r="X74" s="264">
        <v>0</v>
      </c>
      <c r="Y74" s="26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68">
        <v>4620207490228</v>
      </c>
      <c r="E75" s="269"/>
      <c r="F75" s="263">
        <v>0.2</v>
      </c>
      <c r="G75" s="32">
        <v>6</v>
      </c>
      <c r="H75" s="263">
        <v>1.2</v>
      </c>
      <c r="I75" s="263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3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1"/>
      <c r="R75" s="271"/>
      <c r="S75" s="271"/>
      <c r="T75" s="272"/>
      <c r="U75" s="34"/>
      <c r="V75" s="34"/>
      <c r="W75" s="35" t="s">
        <v>70</v>
      </c>
      <c r="X75" s="264">
        <v>0</v>
      </c>
      <c r="Y75" s="265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8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9"/>
      <c r="P76" s="274" t="s">
        <v>83</v>
      </c>
      <c r="Q76" s="275"/>
      <c r="R76" s="275"/>
      <c r="S76" s="275"/>
      <c r="T76" s="275"/>
      <c r="U76" s="275"/>
      <c r="V76" s="276"/>
      <c r="W76" s="37" t="s">
        <v>70</v>
      </c>
      <c r="X76" s="266">
        <f>IFERROR(SUM(X73:X75),"0")</f>
        <v>0</v>
      </c>
      <c r="Y76" s="266">
        <f>IFERROR(SUM(Y73:Y75),"0")</f>
        <v>0</v>
      </c>
      <c r="Z76" s="266">
        <f>IFERROR(IF(Z73="",0,Z73),"0")+IFERROR(IF(Z74="",0,Z74),"0")+IFERROR(IF(Z75="",0,Z75),"0")</f>
        <v>0</v>
      </c>
      <c r="AA76" s="267"/>
      <c r="AB76" s="267"/>
      <c r="AC76" s="267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9"/>
      <c r="P77" s="274" t="s">
        <v>83</v>
      </c>
      <c r="Q77" s="275"/>
      <c r="R77" s="275"/>
      <c r="S77" s="275"/>
      <c r="T77" s="275"/>
      <c r="U77" s="275"/>
      <c r="V77" s="276"/>
      <c r="W77" s="37" t="s">
        <v>84</v>
      </c>
      <c r="X77" s="266">
        <f>IFERROR(SUMPRODUCT(X73:X75*H73:H75),"0")</f>
        <v>0</v>
      </c>
      <c r="Y77" s="266">
        <f>IFERROR(SUMPRODUCT(Y73:Y75*H73:H75),"0")</f>
        <v>0</v>
      </c>
      <c r="Z77" s="37"/>
      <c r="AA77" s="267"/>
      <c r="AB77" s="267"/>
      <c r="AC77" s="267"/>
    </row>
    <row r="78" spans="1:68" ht="16.5" customHeight="1" x14ac:dyDescent="0.25">
      <c r="A78" s="286" t="s">
        <v>145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59"/>
      <c r="AB78" s="259"/>
      <c r="AC78" s="259"/>
    </row>
    <row r="79" spans="1:68" ht="14.25" customHeight="1" x14ac:dyDescent="0.25">
      <c r="A79" s="305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0"/>
      <c r="AB79" s="260"/>
      <c r="AC79" s="260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68">
        <v>4607111037411</v>
      </c>
      <c r="E80" s="269"/>
      <c r="F80" s="263">
        <v>2.7</v>
      </c>
      <c r="G80" s="32">
        <v>1</v>
      </c>
      <c r="H80" s="263">
        <v>2.7</v>
      </c>
      <c r="I80" s="263">
        <v>2.8132000000000001</v>
      </c>
      <c r="J80" s="32">
        <v>234</v>
      </c>
      <c r="K80" s="32" t="s">
        <v>148</v>
      </c>
      <c r="L80" s="32" t="s">
        <v>97</v>
      </c>
      <c r="M80" s="33" t="s">
        <v>69</v>
      </c>
      <c r="N80" s="33"/>
      <c r="O80" s="32">
        <v>180</v>
      </c>
      <c r="P80" s="40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1"/>
      <c r="R80" s="271"/>
      <c r="S80" s="271"/>
      <c r="T80" s="272"/>
      <c r="U80" s="34"/>
      <c r="V80" s="34"/>
      <c r="W80" s="35" t="s">
        <v>70</v>
      </c>
      <c r="X80" s="264">
        <v>0</v>
      </c>
      <c r="Y80" s="265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68">
        <v>4607111036728</v>
      </c>
      <c r="E81" s="269"/>
      <c r="F81" s="263">
        <v>5</v>
      </c>
      <c r="G81" s="32">
        <v>1</v>
      </c>
      <c r="H81" s="263">
        <v>5</v>
      </c>
      <c r="I81" s="263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1"/>
      <c r="R81" s="271"/>
      <c r="S81" s="271"/>
      <c r="T81" s="272"/>
      <c r="U81" s="34"/>
      <c r="V81" s="34"/>
      <c r="W81" s="35" t="s">
        <v>70</v>
      </c>
      <c r="X81" s="264">
        <v>0</v>
      </c>
      <c r="Y81" s="265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8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9"/>
      <c r="P82" s="274" t="s">
        <v>83</v>
      </c>
      <c r="Q82" s="275"/>
      <c r="R82" s="275"/>
      <c r="S82" s="275"/>
      <c r="T82" s="275"/>
      <c r="U82" s="275"/>
      <c r="V82" s="276"/>
      <c r="W82" s="37" t="s">
        <v>70</v>
      </c>
      <c r="X82" s="266">
        <f>IFERROR(SUM(X80:X81),"0")</f>
        <v>0</v>
      </c>
      <c r="Y82" s="266">
        <f>IFERROR(SUM(Y80:Y81),"0")</f>
        <v>0</v>
      </c>
      <c r="Z82" s="266">
        <f>IFERROR(IF(Z80="",0,Z80),"0")+IFERROR(IF(Z81="",0,Z81),"0")</f>
        <v>0</v>
      </c>
      <c r="AA82" s="267"/>
      <c r="AB82" s="267"/>
      <c r="AC82" s="267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9"/>
      <c r="P83" s="274" t="s">
        <v>83</v>
      </c>
      <c r="Q83" s="275"/>
      <c r="R83" s="275"/>
      <c r="S83" s="275"/>
      <c r="T83" s="275"/>
      <c r="U83" s="275"/>
      <c r="V83" s="276"/>
      <c r="W83" s="37" t="s">
        <v>84</v>
      </c>
      <c r="X83" s="266">
        <f>IFERROR(SUMPRODUCT(X80:X81*H80:H81),"0")</f>
        <v>0</v>
      </c>
      <c r="Y83" s="266">
        <f>IFERROR(SUMPRODUCT(Y80:Y81*H80:H81),"0")</f>
        <v>0</v>
      </c>
      <c r="Z83" s="37"/>
      <c r="AA83" s="267"/>
      <c r="AB83" s="267"/>
      <c r="AC83" s="267"/>
    </row>
    <row r="84" spans="1:68" ht="16.5" customHeight="1" x14ac:dyDescent="0.25">
      <c r="A84" s="286" t="s">
        <v>152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59"/>
      <c r="AB84" s="259"/>
      <c r="AC84" s="259"/>
    </row>
    <row r="85" spans="1:68" ht="14.25" customHeight="1" x14ac:dyDescent="0.25">
      <c r="A85" s="305" t="s">
        <v>137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0"/>
      <c r="AB85" s="260"/>
      <c r="AC85" s="260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68">
        <v>4607111033659</v>
      </c>
      <c r="E86" s="269"/>
      <c r="F86" s="263">
        <v>0.3</v>
      </c>
      <c r="G86" s="32">
        <v>12</v>
      </c>
      <c r="H86" s="263">
        <v>3.6</v>
      </c>
      <c r="I86" s="263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1"/>
      <c r="R86" s="271"/>
      <c r="S86" s="271"/>
      <c r="T86" s="272"/>
      <c r="U86" s="34"/>
      <c r="V86" s="34"/>
      <c r="W86" s="35" t="s">
        <v>70</v>
      </c>
      <c r="X86" s="264">
        <v>0</v>
      </c>
      <c r="Y86" s="265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8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9"/>
      <c r="P87" s="274" t="s">
        <v>83</v>
      </c>
      <c r="Q87" s="275"/>
      <c r="R87" s="275"/>
      <c r="S87" s="275"/>
      <c r="T87" s="275"/>
      <c r="U87" s="275"/>
      <c r="V87" s="276"/>
      <c r="W87" s="37" t="s">
        <v>70</v>
      </c>
      <c r="X87" s="266">
        <f>IFERROR(SUM(X86:X86),"0")</f>
        <v>0</v>
      </c>
      <c r="Y87" s="266">
        <f>IFERROR(SUM(Y86:Y86),"0")</f>
        <v>0</v>
      </c>
      <c r="Z87" s="266">
        <f>IFERROR(IF(Z86="",0,Z86),"0")</f>
        <v>0</v>
      </c>
      <c r="AA87" s="267"/>
      <c r="AB87" s="267"/>
      <c r="AC87" s="267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9"/>
      <c r="P88" s="274" t="s">
        <v>83</v>
      </c>
      <c r="Q88" s="275"/>
      <c r="R88" s="275"/>
      <c r="S88" s="275"/>
      <c r="T88" s="275"/>
      <c r="U88" s="275"/>
      <c r="V88" s="276"/>
      <c r="W88" s="37" t="s">
        <v>84</v>
      </c>
      <c r="X88" s="266">
        <f>IFERROR(SUMPRODUCT(X86:X86*H86:H86),"0")</f>
        <v>0</v>
      </c>
      <c r="Y88" s="266">
        <f>IFERROR(SUMPRODUCT(Y86:Y86*H86:H86),"0")</f>
        <v>0</v>
      </c>
      <c r="Z88" s="37"/>
      <c r="AA88" s="267"/>
      <c r="AB88" s="267"/>
      <c r="AC88" s="267"/>
    </row>
    <row r="89" spans="1:68" ht="16.5" customHeight="1" x14ac:dyDescent="0.25">
      <c r="A89" s="286" t="s">
        <v>156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59"/>
      <c r="AB89" s="259"/>
      <c r="AC89" s="259"/>
    </row>
    <row r="90" spans="1:68" ht="14.25" customHeight="1" x14ac:dyDescent="0.25">
      <c r="A90" s="305" t="s">
        <v>157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0"/>
      <c r="AB90" s="260"/>
      <c r="AC90" s="260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68">
        <v>4607111034120</v>
      </c>
      <c r="E91" s="269"/>
      <c r="F91" s="263">
        <v>0.3</v>
      </c>
      <c r="G91" s="32">
        <v>12</v>
      </c>
      <c r="H91" s="263">
        <v>3.6</v>
      </c>
      <c r="I91" s="263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1"/>
      <c r="R91" s="271"/>
      <c r="S91" s="271"/>
      <c r="T91" s="272"/>
      <c r="U91" s="34"/>
      <c r="V91" s="34"/>
      <c r="W91" s="35" t="s">
        <v>70</v>
      </c>
      <c r="X91" s="264">
        <v>0</v>
      </c>
      <c r="Y91" s="265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68">
        <v>4607111034137</v>
      </c>
      <c r="E92" s="269"/>
      <c r="F92" s="263">
        <v>0.3</v>
      </c>
      <c r="G92" s="32">
        <v>12</v>
      </c>
      <c r="H92" s="263">
        <v>3.6</v>
      </c>
      <c r="I92" s="263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1"/>
      <c r="R92" s="271"/>
      <c r="S92" s="271"/>
      <c r="T92" s="272"/>
      <c r="U92" s="34"/>
      <c r="V92" s="34"/>
      <c r="W92" s="35" t="s">
        <v>70</v>
      </c>
      <c r="X92" s="264">
        <v>0</v>
      </c>
      <c r="Y92" s="265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8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9"/>
      <c r="P93" s="274" t="s">
        <v>83</v>
      </c>
      <c r="Q93" s="275"/>
      <c r="R93" s="275"/>
      <c r="S93" s="275"/>
      <c r="T93" s="275"/>
      <c r="U93" s="275"/>
      <c r="V93" s="276"/>
      <c r="W93" s="37" t="s">
        <v>70</v>
      </c>
      <c r="X93" s="266">
        <f>IFERROR(SUM(X91:X92),"0")</f>
        <v>0</v>
      </c>
      <c r="Y93" s="266">
        <f>IFERROR(SUM(Y91:Y92),"0")</f>
        <v>0</v>
      </c>
      <c r="Z93" s="266">
        <f>IFERROR(IF(Z91="",0,Z91),"0")+IFERROR(IF(Z92="",0,Z92),"0")</f>
        <v>0</v>
      </c>
      <c r="AA93" s="267"/>
      <c r="AB93" s="267"/>
      <c r="AC93" s="267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9"/>
      <c r="P94" s="274" t="s">
        <v>83</v>
      </c>
      <c r="Q94" s="275"/>
      <c r="R94" s="275"/>
      <c r="S94" s="275"/>
      <c r="T94" s="275"/>
      <c r="U94" s="275"/>
      <c r="V94" s="276"/>
      <c r="W94" s="37" t="s">
        <v>84</v>
      </c>
      <c r="X94" s="266">
        <f>IFERROR(SUMPRODUCT(X91:X92*H91:H92),"0")</f>
        <v>0</v>
      </c>
      <c r="Y94" s="266">
        <f>IFERROR(SUMPRODUCT(Y91:Y92*H91:H92),"0")</f>
        <v>0</v>
      </c>
      <c r="Z94" s="37"/>
      <c r="AA94" s="267"/>
      <c r="AB94" s="267"/>
      <c r="AC94" s="267"/>
    </row>
    <row r="95" spans="1:68" ht="16.5" customHeight="1" x14ac:dyDescent="0.25">
      <c r="A95" s="286" t="s">
        <v>164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59"/>
      <c r="AB95" s="259"/>
      <c r="AC95" s="259"/>
    </row>
    <row r="96" spans="1:68" ht="14.25" customHeight="1" x14ac:dyDescent="0.25">
      <c r="A96" s="305" t="s">
        <v>137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0"/>
      <c r="AB96" s="260"/>
      <c r="AC96" s="260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68">
        <v>4620207491027</v>
      </c>
      <c r="E97" s="269"/>
      <c r="F97" s="263">
        <v>0.24</v>
      </c>
      <c r="G97" s="32">
        <v>12</v>
      </c>
      <c r="H97" s="263">
        <v>2.88</v>
      </c>
      <c r="I97" s="263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1"/>
      <c r="R97" s="271"/>
      <c r="S97" s="271"/>
      <c r="T97" s="272"/>
      <c r="U97" s="34"/>
      <c r="V97" s="34"/>
      <c r="W97" s="35" t="s">
        <v>70</v>
      </c>
      <c r="X97" s="264">
        <v>0</v>
      </c>
      <c r="Y97" s="265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68">
        <v>4620207491003</v>
      </c>
      <c r="E98" s="269"/>
      <c r="F98" s="263">
        <v>0.24</v>
      </c>
      <c r="G98" s="32">
        <v>12</v>
      </c>
      <c r="H98" s="263">
        <v>2.88</v>
      </c>
      <c r="I98" s="263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0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1"/>
      <c r="R98" s="271"/>
      <c r="S98" s="271"/>
      <c r="T98" s="272"/>
      <c r="U98" s="34"/>
      <c r="V98" s="34"/>
      <c r="W98" s="35" t="s">
        <v>70</v>
      </c>
      <c r="X98" s="264">
        <v>0</v>
      </c>
      <c r="Y98" s="265">
        <f t="shared" si="6"/>
        <v>0</v>
      </c>
      <c r="Z98" s="36">
        <f t="shared" si="7"/>
        <v>0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68">
        <v>4620207491034</v>
      </c>
      <c r="E99" s="269"/>
      <c r="F99" s="263">
        <v>0.24</v>
      </c>
      <c r="G99" s="32">
        <v>12</v>
      </c>
      <c r="H99" s="263">
        <v>2.88</v>
      </c>
      <c r="I99" s="263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1"/>
      <c r="R99" s="271"/>
      <c r="S99" s="271"/>
      <c r="T99" s="272"/>
      <c r="U99" s="34"/>
      <c r="V99" s="34"/>
      <c r="W99" s="35" t="s">
        <v>70</v>
      </c>
      <c r="X99" s="264">
        <v>0</v>
      </c>
      <c r="Y99" s="265">
        <f t="shared" si="6"/>
        <v>0</v>
      </c>
      <c r="Z99" s="36">
        <f t="shared" si="7"/>
        <v>0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68">
        <v>4620207491010</v>
      </c>
      <c r="E100" s="269"/>
      <c r="F100" s="263">
        <v>0.24</v>
      </c>
      <c r="G100" s="32">
        <v>12</v>
      </c>
      <c r="H100" s="263">
        <v>2.88</v>
      </c>
      <c r="I100" s="263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1"/>
      <c r="R100" s="271"/>
      <c r="S100" s="271"/>
      <c r="T100" s="272"/>
      <c r="U100" s="34"/>
      <c r="V100" s="34"/>
      <c r="W100" s="35" t="s">
        <v>70</v>
      </c>
      <c r="X100" s="264">
        <v>0</v>
      </c>
      <c r="Y100" s="265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68">
        <v>4607111035028</v>
      </c>
      <c r="E101" s="269"/>
      <c r="F101" s="263">
        <v>0.48</v>
      </c>
      <c r="G101" s="32">
        <v>8</v>
      </c>
      <c r="H101" s="263">
        <v>3.84</v>
      </c>
      <c r="I101" s="263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42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1"/>
      <c r="R101" s="271"/>
      <c r="S101" s="271"/>
      <c r="T101" s="272"/>
      <c r="U101" s="34"/>
      <c r="V101" s="34"/>
      <c r="W101" s="35" t="s">
        <v>70</v>
      </c>
      <c r="X101" s="264">
        <v>0</v>
      </c>
      <c r="Y101" s="265">
        <f t="shared" si="6"/>
        <v>0</v>
      </c>
      <c r="Z101" s="36">
        <f t="shared" si="7"/>
        <v>0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68">
        <v>4607111036407</v>
      </c>
      <c r="E102" s="269"/>
      <c r="F102" s="263">
        <v>0.3</v>
      </c>
      <c r="G102" s="32">
        <v>14</v>
      </c>
      <c r="H102" s="263">
        <v>4.2</v>
      </c>
      <c r="I102" s="263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2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1"/>
      <c r="R102" s="271"/>
      <c r="S102" s="271"/>
      <c r="T102" s="272"/>
      <c r="U102" s="34"/>
      <c r="V102" s="34"/>
      <c r="W102" s="35" t="s">
        <v>70</v>
      </c>
      <c r="X102" s="264">
        <v>0</v>
      </c>
      <c r="Y102" s="265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8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9"/>
      <c r="P103" s="274" t="s">
        <v>83</v>
      </c>
      <c r="Q103" s="275"/>
      <c r="R103" s="275"/>
      <c r="S103" s="275"/>
      <c r="T103" s="275"/>
      <c r="U103" s="275"/>
      <c r="V103" s="276"/>
      <c r="W103" s="37" t="s">
        <v>70</v>
      </c>
      <c r="X103" s="266">
        <f>IFERROR(SUM(X97:X102),"0")</f>
        <v>0</v>
      </c>
      <c r="Y103" s="266">
        <f>IFERROR(SUM(Y97:Y102),"0")</f>
        <v>0</v>
      </c>
      <c r="Z103" s="266">
        <f>IFERROR(IF(Z97="",0,Z97),"0")+IFERROR(IF(Z98="",0,Z98),"0")+IFERROR(IF(Z99="",0,Z99),"0")+IFERROR(IF(Z100="",0,Z100),"0")+IFERROR(IF(Z101="",0,Z101),"0")+IFERROR(IF(Z102="",0,Z102),"0")</f>
        <v>0</v>
      </c>
      <c r="AA103" s="267"/>
      <c r="AB103" s="267"/>
      <c r="AC103" s="267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9"/>
      <c r="P104" s="274" t="s">
        <v>83</v>
      </c>
      <c r="Q104" s="275"/>
      <c r="R104" s="275"/>
      <c r="S104" s="275"/>
      <c r="T104" s="275"/>
      <c r="U104" s="275"/>
      <c r="V104" s="276"/>
      <c r="W104" s="37" t="s">
        <v>84</v>
      </c>
      <c r="X104" s="266">
        <f>IFERROR(SUMPRODUCT(X97:X102*H97:H102),"0")</f>
        <v>0</v>
      </c>
      <c r="Y104" s="266">
        <f>IFERROR(SUMPRODUCT(Y97:Y102*H97:H102),"0")</f>
        <v>0</v>
      </c>
      <c r="Z104" s="37"/>
      <c r="AA104" s="267"/>
      <c r="AB104" s="267"/>
      <c r="AC104" s="267"/>
    </row>
    <row r="105" spans="1:68" ht="16.5" customHeight="1" x14ac:dyDescent="0.25">
      <c r="A105" s="286" t="s">
        <v>179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59"/>
      <c r="AB105" s="259"/>
      <c r="AC105" s="259"/>
    </row>
    <row r="106" spans="1:68" ht="14.25" customHeight="1" x14ac:dyDescent="0.25">
      <c r="A106" s="305" t="s">
        <v>131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0"/>
      <c r="AB106" s="260"/>
      <c r="AC106" s="260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68">
        <v>4607025784012</v>
      </c>
      <c r="E107" s="269"/>
      <c r="F107" s="263">
        <v>0.09</v>
      </c>
      <c r="G107" s="32">
        <v>24</v>
      </c>
      <c r="H107" s="263">
        <v>2.16</v>
      </c>
      <c r="I107" s="263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41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1"/>
      <c r="R107" s="271"/>
      <c r="S107" s="271"/>
      <c r="T107" s="272"/>
      <c r="U107" s="34"/>
      <c r="V107" s="34"/>
      <c r="W107" s="35" t="s">
        <v>70</v>
      </c>
      <c r="X107" s="264">
        <v>0</v>
      </c>
      <c r="Y107" s="265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68">
        <v>4607025784319</v>
      </c>
      <c r="E108" s="269"/>
      <c r="F108" s="263">
        <v>0.36</v>
      </c>
      <c r="G108" s="32">
        <v>10</v>
      </c>
      <c r="H108" s="263">
        <v>3.6</v>
      </c>
      <c r="I108" s="263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1"/>
      <c r="R108" s="271"/>
      <c r="S108" s="271"/>
      <c r="T108" s="272"/>
      <c r="U108" s="34"/>
      <c r="V108" s="34"/>
      <c r="W108" s="35" t="s">
        <v>70</v>
      </c>
      <c r="X108" s="264">
        <v>0</v>
      </c>
      <c r="Y108" s="265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8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9"/>
      <c r="P109" s="274" t="s">
        <v>83</v>
      </c>
      <c r="Q109" s="275"/>
      <c r="R109" s="275"/>
      <c r="S109" s="275"/>
      <c r="T109" s="275"/>
      <c r="U109" s="275"/>
      <c r="V109" s="276"/>
      <c r="W109" s="37" t="s">
        <v>70</v>
      </c>
      <c r="X109" s="266">
        <f>IFERROR(SUM(X107:X108),"0")</f>
        <v>0</v>
      </c>
      <c r="Y109" s="266">
        <f>IFERROR(SUM(Y107:Y108),"0")</f>
        <v>0</v>
      </c>
      <c r="Z109" s="266">
        <f>IFERROR(IF(Z107="",0,Z107),"0")+IFERROR(IF(Z108="",0,Z108),"0")</f>
        <v>0</v>
      </c>
      <c r="AA109" s="267"/>
      <c r="AB109" s="267"/>
      <c r="AC109" s="267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9"/>
      <c r="P110" s="274" t="s">
        <v>83</v>
      </c>
      <c r="Q110" s="275"/>
      <c r="R110" s="275"/>
      <c r="S110" s="275"/>
      <c r="T110" s="275"/>
      <c r="U110" s="275"/>
      <c r="V110" s="276"/>
      <c r="W110" s="37" t="s">
        <v>84</v>
      </c>
      <c r="X110" s="266">
        <f>IFERROR(SUMPRODUCT(X107:X108*H107:H108),"0")</f>
        <v>0</v>
      </c>
      <c r="Y110" s="266">
        <f>IFERROR(SUMPRODUCT(Y107:Y108*H107:H108),"0")</f>
        <v>0</v>
      </c>
      <c r="Z110" s="37"/>
      <c r="AA110" s="267"/>
      <c r="AB110" s="267"/>
      <c r="AC110" s="267"/>
    </row>
    <row r="111" spans="1:68" ht="16.5" customHeight="1" x14ac:dyDescent="0.25">
      <c r="A111" s="286" t="s">
        <v>185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59"/>
      <c r="AB111" s="259"/>
      <c r="AC111" s="259"/>
    </row>
    <row r="112" spans="1:68" ht="14.25" customHeight="1" x14ac:dyDescent="0.25">
      <c r="A112" s="305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0"/>
      <c r="AB112" s="260"/>
      <c r="AC112" s="260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68">
        <v>4620207491157</v>
      </c>
      <c r="E113" s="269"/>
      <c r="F113" s="263">
        <v>0.7</v>
      </c>
      <c r="G113" s="32">
        <v>10</v>
      </c>
      <c r="H113" s="263">
        <v>7</v>
      </c>
      <c r="I113" s="263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2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1"/>
      <c r="R113" s="271"/>
      <c r="S113" s="271"/>
      <c r="T113" s="272"/>
      <c r="U113" s="34"/>
      <c r="V113" s="34"/>
      <c r="W113" s="35" t="s">
        <v>70</v>
      </c>
      <c r="X113" s="264">
        <v>0</v>
      </c>
      <c r="Y113" s="265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68">
        <v>4620207491393</v>
      </c>
      <c r="E114" s="269"/>
      <c r="F114" s="263">
        <v>0.4</v>
      </c>
      <c r="G114" s="32">
        <v>16</v>
      </c>
      <c r="H114" s="263">
        <v>6.4</v>
      </c>
      <c r="I114" s="263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1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1"/>
      <c r="R114" s="271"/>
      <c r="S114" s="271"/>
      <c r="T114" s="272"/>
      <c r="U114" s="34"/>
      <c r="V114" s="34"/>
      <c r="W114" s="35" t="s">
        <v>70</v>
      </c>
      <c r="X114" s="264">
        <v>0</v>
      </c>
      <c r="Y114" s="265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68">
        <v>4607111039262</v>
      </c>
      <c r="E115" s="269"/>
      <c r="F115" s="263">
        <v>0.4</v>
      </c>
      <c r="G115" s="32">
        <v>16</v>
      </c>
      <c r="H115" s="263">
        <v>6.4</v>
      </c>
      <c r="I115" s="263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1"/>
      <c r="R115" s="271"/>
      <c r="S115" s="271"/>
      <c r="T115" s="272"/>
      <c r="U115" s="34"/>
      <c r="V115" s="34"/>
      <c r="W115" s="35" t="s">
        <v>70</v>
      </c>
      <c r="X115" s="264">
        <v>0</v>
      </c>
      <c r="Y115" s="265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68">
        <v>4607111039248</v>
      </c>
      <c r="E116" s="269"/>
      <c r="F116" s="263">
        <v>0.7</v>
      </c>
      <c r="G116" s="32">
        <v>10</v>
      </c>
      <c r="H116" s="263">
        <v>7</v>
      </c>
      <c r="I116" s="263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1"/>
      <c r="R116" s="271"/>
      <c r="S116" s="271"/>
      <c r="T116" s="272"/>
      <c r="U116" s="34"/>
      <c r="V116" s="34"/>
      <c r="W116" s="35" t="s">
        <v>70</v>
      </c>
      <c r="X116" s="264">
        <v>0</v>
      </c>
      <c r="Y116" s="265">
        <f t="shared" si="12"/>
        <v>0</v>
      </c>
      <c r="Z116" s="36">
        <f t="shared" si="13"/>
        <v>0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68">
        <v>4607111037145</v>
      </c>
      <c r="E117" s="269"/>
      <c r="F117" s="263">
        <v>0.8</v>
      </c>
      <c r="G117" s="32">
        <v>8</v>
      </c>
      <c r="H117" s="263">
        <v>6.4</v>
      </c>
      <c r="I117" s="263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4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1"/>
      <c r="R117" s="271"/>
      <c r="S117" s="271"/>
      <c r="T117" s="272"/>
      <c r="U117" s="34"/>
      <c r="V117" s="34"/>
      <c r="W117" s="35" t="s">
        <v>70</v>
      </c>
      <c r="X117" s="264">
        <v>0</v>
      </c>
      <c r="Y117" s="265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68">
        <v>4607111039293</v>
      </c>
      <c r="E118" s="269"/>
      <c r="F118" s="263">
        <v>0.4</v>
      </c>
      <c r="G118" s="32">
        <v>16</v>
      </c>
      <c r="H118" s="263">
        <v>6.4</v>
      </c>
      <c r="I118" s="263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1"/>
      <c r="R118" s="271"/>
      <c r="S118" s="271"/>
      <c r="T118" s="272"/>
      <c r="U118" s="34"/>
      <c r="V118" s="34"/>
      <c r="W118" s="35" t="s">
        <v>70</v>
      </c>
      <c r="X118" s="264">
        <v>0</v>
      </c>
      <c r="Y118" s="265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68">
        <v>4607111039279</v>
      </c>
      <c r="E119" s="269"/>
      <c r="F119" s="263">
        <v>0.7</v>
      </c>
      <c r="G119" s="32">
        <v>10</v>
      </c>
      <c r="H119" s="263">
        <v>7</v>
      </c>
      <c r="I119" s="263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4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1"/>
      <c r="R119" s="271"/>
      <c r="S119" s="271"/>
      <c r="T119" s="272"/>
      <c r="U119" s="34"/>
      <c r="V119" s="34"/>
      <c r="W119" s="35" t="s">
        <v>70</v>
      </c>
      <c r="X119" s="264">
        <v>0</v>
      </c>
      <c r="Y119" s="265">
        <f t="shared" si="12"/>
        <v>0</v>
      </c>
      <c r="Z119" s="36">
        <f t="shared" si="13"/>
        <v>0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x14ac:dyDescent="0.2">
      <c r="A120" s="288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9"/>
      <c r="P120" s="274" t="s">
        <v>83</v>
      </c>
      <c r="Q120" s="275"/>
      <c r="R120" s="275"/>
      <c r="S120" s="275"/>
      <c r="T120" s="275"/>
      <c r="U120" s="275"/>
      <c r="V120" s="276"/>
      <c r="W120" s="37" t="s">
        <v>70</v>
      </c>
      <c r="X120" s="266">
        <f>IFERROR(SUM(X113:X119),"0")</f>
        <v>0</v>
      </c>
      <c r="Y120" s="266">
        <f>IFERROR(SUM(Y113:Y119),"0")</f>
        <v>0</v>
      </c>
      <c r="Z120" s="266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267"/>
      <c r="AB120" s="267"/>
      <c r="AC120" s="267"/>
    </row>
    <row r="121" spans="1:68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9"/>
      <c r="P121" s="274" t="s">
        <v>83</v>
      </c>
      <c r="Q121" s="275"/>
      <c r="R121" s="275"/>
      <c r="S121" s="275"/>
      <c r="T121" s="275"/>
      <c r="U121" s="275"/>
      <c r="V121" s="276"/>
      <c r="W121" s="37" t="s">
        <v>84</v>
      </c>
      <c r="X121" s="266">
        <f>IFERROR(SUMPRODUCT(X113:X119*H113:H119),"0")</f>
        <v>0</v>
      </c>
      <c r="Y121" s="266">
        <f>IFERROR(SUMPRODUCT(Y113:Y119*H113:H119),"0")</f>
        <v>0</v>
      </c>
      <c r="Z121" s="37"/>
      <c r="AA121" s="267"/>
      <c r="AB121" s="267"/>
      <c r="AC121" s="267"/>
    </row>
    <row r="122" spans="1:68" ht="14.25" customHeight="1" x14ac:dyDescent="0.25">
      <c r="A122" s="305" t="s">
        <v>137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60"/>
      <c r="AB122" s="260"/>
      <c r="AC122" s="260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68">
        <v>4620207490983</v>
      </c>
      <c r="E123" s="269"/>
      <c r="F123" s="263">
        <v>0.22</v>
      </c>
      <c r="G123" s="32">
        <v>12</v>
      </c>
      <c r="H123" s="263">
        <v>2.64</v>
      </c>
      <c r="I123" s="263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71"/>
      <c r="R123" s="271"/>
      <c r="S123" s="271"/>
      <c r="T123" s="272"/>
      <c r="U123" s="34"/>
      <c r="V123" s="34"/>
      <c r="W123" s="35" t="s">
        <v>70</v>
      </c>
      <c r="X123" s="264">
        <v>0</v>
      </c>
      <c r="Y123" s="265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88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9"/>
      <c r="P124" s="274" t="s">
        <v>83</v>
      </c>
      <c r="Q124" s="275"/>
      <c r="R124" s="275"/>
      <c r="S124" s="275"/>
      <c r="T124" s="275"/>
      <c r="U124" s="275"/>
      <c r="V124" s="276"/>
      <c r="W124" s="37" t="s">
        <v>70</v>
      </c>
      <c r="X124" s="266">
        <f>IFERROR(SUM(X123:X123),"0")</f>
        <v>0</v>
      </c>
      <c r="Y124" s="266">
        <f>IFERROR(SUM(Y123:Y123),"0")</f>
        <v>0</v>
      </c>
      <c r="Z124" s="266">
        <f>IFERROR(IF(Z123="",0,Z123),"0")</f>
        <v>0</v>
      </c>
      <c r="AA124" s="267"/>
      <c r="AB124" s="267"/>
      <c r="AC124" s="267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9"/>
      <c r="P125" s="274" t="s">
        <v>83</v>
      </c>
      <c r="Q125" s="275"/>
      <c r="R125" s="275"/>
      <c r="S125" s="275"/>
      <c r="T125" s="275"/>
      <c r="U125" s="275"/>
      <c r="V125" s="276"/>
      <c r="W125" s="37" t="s">
        <v>84</v>
      </c>
      <c r="X125" s="266">
        <f>IFERROR(SUMPRODUCT(X123:X123*H123:H123),"0")</f>
        <v>0</v>
      </c>
      <c r="Y125" s="266">
        <f>IFERROR(SUMPRODUCT(Y123:Y123*H123:H123),"0")</f>
        <v>0</v>
      </c>
      <c r="Z125" s="37"/>
      <c r="AA125" s="267"/>
      <c r="AB125" s="267"/>
      <c r="AC125" s="267"/>
    </row>
    <row r="126" spans="1:68" ht="14.25" customHeight="1" x14ac:dyDescent="0.25">
      <c r="A126" s="305" t="s">
        <v>206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0"/>
      <c r="AB126" s="260"/>
      <c r="AC126" s="260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68">
        <v>4620207491140</v>
      </c>
      <c r="E127" s="269"/>
      <c r="F127" s="263">
        <v>0.6</v>
      </c>
      <c r="G127" s="32">
        <v>10</v>
      </c>
      <c r="H127" s="263">
        <v>6</v>
      </c>
      <c r="I127" s="263">
        <v>6.28</v>
      </c>
      <c r="J127" s="32">
        <v>84</v>
      </c>
      <c r="K127" s="32" t="s">
        <v>67</v>
      </c>
      <c r="L127" s="32" t="s">
        <v>68</v>
      </c>
      <c r="M127" s="33" t="s">
        <v>69</v>
      </c>
      <c r="N127" s="33"/>
      <c r="O127" s="32">
        <v>180</v>
      </c>
      <c r="P127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71"/>
      <c r="R127" s="271"/>
      <c r="S127" s="271"/>
      <c r="T127" s="272"/>
      <c r="U127" s="34"/>
      <c r="V127" s="34"/>
      <c r="W127" s="35" t="s">
        <v>70</v>
      </c>
      <c r="X127" s="264">
        <v>0</v>
      </c>
      <c r="Y127" s="265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72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88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9"/>
      <c r="P128" s="274" t="s">
        <v>83</v>
      </c>
      <c r="Q128" s="275"/>
      <c r="R128" s="275"/>
      <c r="S128" s="275"/>
      <c r="T128" s="275"/>
      <c r="U128" s="275"/>
      <c r="V128" s="276"/>
      <c r="W128" s="37" t="s">
        <v>70</v>
      </c>
      <c r="X128" s="266">
        <f>IFERROR(SUM(X127:X127),"0")</f>
        <v>0</v>
      </c>
      <c r="Y128" s="266">
        <f>IFERROR(SUM(Y127:Y127),"0")</f>
        <v>0</v>
      </c>
      <c r="Z128" s="266">
        <f>IFERROR(IF(Z127="",0,Z127),"0")</f>
        <v>0</v>
      </c>
      <c r="AA128" s="267"/>
      <c r="AB128" s="267"/>
      <c r="AC128" s="267"/>
    </row>
    <row r="129" spans="1:68" x14ac:dyDescent="0.2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9"/>
      <c r="P129" s="274" t="s">
        <v>83</v>
      </c>
      <c r="Q129" s="275"/>
      <c r="R129" s="275"/>
      <c r="S129" s="275"/>
      <c r="T129" s="275"/>
      <c r="U129" s="275"/>
      <c r="V129" s="276"/>
      <c r="W129" s="37" t="s">
        <v>84</v>
      </c>
      <c r="X129" s="266">
        <f>IFERROR(SUMPRODUCT(X127:X127*H127:H127),"0")</f>
        <v>0</v>
      </c>
      <c r="Y129" s="266">
        <f>IFERROR(SUMPRODUCT(Y127:Y127*H127:H127),"0")</f>
        <v>0</v>
      </c>
      <c r="Z129" s="37"/>
      <c r="AA129" s="267"/>
      <c r="AB129" s="267"/>
      <c r="AC129" s="267"/>
    </row>
    <row r="130" spans="1:68" ht="16.5" customHeight="1" x14ac:dyDescent="0.25">
      <c r="A130" s="286" t="s">
        <v>210</v>
      </c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59"/>
      <c r="AB130" s="259"/>
      <c r="AC130" s="259"/>
    </row>
    <row r="131" spans="1:68" ht="14.25" customHeight="1" x14ac:dyDescent="0.25">
      <c r="A131" s="305" t="s">
        <v>137</v>
      </c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60"/>
      <c r="AB131" s="260"/>
      <c r="AC131" s="260"/>
    </row>
    <row r="132" spans="1:68" ht="27" customHeight="1" x14ac:dyDescent="0.25">
      <c r="A132" s="54" t="s">
        <v>211</v>
      </c>
      <c r="B132" s="54" t="s">
        <v>212</v>
      </c>
      <c r="C132" s="31">
        <v>4301135555</v>
      </c>
      <c r="D132" s="268">
        <v>4607111034014</v>
      </c>
      <c r="E132" s="269"/>
      <c r="F132" s="263">
        <v>0.25</v>
      </c>
      <c r="G132" s="32">
        <v>12</v>
      </c>
      <c r="H132" s="263">
        <v>3</v>
      </c>
      <c r="I132" s="263">
        <v>3.7035999999999998</v>
      </c>
      <c r="J132" s="32">
        <v>70</v>
      </c>
      <c r="K132" s="32" t="s">
        <v>96</v>
      </c>
      <c r="L132" s="32" t="s">
        <v>97</v>
      </c>
      <c r="M132" s="33" t="s">
        <v>69</v>
      </c>
      <c r="N132" s="33"/>
      <c r="O132" s="32">
        <v>180</v>
      </c>
      <c r="P132" s="35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271"/>
      <c r="R132" s="271"/>
      <c r="S132" s="271"/>
      <c r="T132" s="272"/>
      <c r="U132" s="34"/>
      <c r="V132" s="34"/>
      <c r="W132" s="35" t="s">
        <v>70</v>
      </c>
      <c r="X132" s="264">
        <v>0</v>
      </c>
      <c r="Y132" s="265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213</v>
      </c>
      <c r="AG132" s="67"/>
      <c r="AJ132" s="71" t="s">
        <v>99</v>
      </c>
      <c r="AK132" s="71">
        <v>14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214</v>
      </c>
      <c r="B133" s="54" t="s">
        <v>215</v>
      </c>
      <c r="C133" s="31">
        <v>4301135532</v>
      </c>
      <c r="D133" s="268">
        <v>4607111033994</v>
      </c>
      <c r="E133" s="269"/>
      <c r="F133" s="263">
        <v>0.25</v>
      </c>
      <c r="G133" s="32">
        <v>12</v>
      </c>
      <c r="H133" s="263">
        <v>3</v>
      </c>
      <c r="I133" s="263">
        <v>3.7035999999999998</v>
      </c>
      <c r="J133" s="32">
        <v>70</v>
      </c>
      <c r="K133" s="32" t="s">
        <v>96</v>
      </c>
      <c r="L133" s="32" t="s">
        <v>216</v>
      </c>
      <c r="M133" s="33" t="s">
        <v>69</v>
      </c>
      <c r="N133" s="33"/>
      <c r="O133" s="32">
        <v>180</v>
      </c>
      <c r="P133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271"/>
      <c r="R133" s="271"/>
      <c r="S133" s="271"/>
      <c r="T133" s="272"/>
      <c r="U133" s="34"/>
      <c r="V133" s="34"/>
      <c r="W133" s="35" t="s">
        <v>70</v>
      </c>
      <c r="X133" s="264">
        <v>0</v>
      </c>
      <c r="Y133" s="265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155</v>
      </c>
      <c r="AG133" s="67"/>
      <c r="AJ133" s="71" t="s">
        <v>217</v>
      </c>
      <c r="AK133" s="71">
        <v>70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x14ac:dyDescent="0.2">
      <c r="A134" s="288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9"/>
      <c r="P134" s="274" t="s">
        <v>83</v>
      </c>
      <c r="Q134" s="275"/>
      <c r="R134" s="275"/>
      <c r="S134" s="275"/>
      <c r="T134" s="275"/>
      <c r="U134" s="275"/>
      <c r="V134" s="276"/>
      <c r="W134" s="37" t="s">
        <v>70</v>
      </c>
      <c r="X134" s="266">
        <f>IFERROR(SUM(X132:X133),"0")</f>
        <v>0</v>
      </c>
      <c r="Y134" s="266">
        <f>IFERROR(SUM(Y132:Y133),"0")</f>
        <v>0</v>
      </c>
      <c r="Z134" s="266">
        <f>IFERROR(IF(Z132="",0,Z132),"0")+IFERROR(IF(Z133="",0,Z133),"0")</f>
        <v>0</v>
      </c>
      <c r="AA134" s="267"/>
      <c r="AB134" s="267"/>
      <c r="AC134" s="267"/>
    </row>
    <row r="135" spans="1:68" x14ac:dyDescent="0.2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9"/>
      <c r="P135" s="274" t="s">
        <v>83</v>
      </c>
      <c r="Q135" s="275"/>
      <c r="R135" s="275"/>
      <c r="S135" s="275"/>
      <c r="T135" s="275"/>
      <c r="U135" s="275"/>
      <c r="V135" s="276"/>
      <c r="W135" s="37" t="s">
        <v>84</v>
      </c>
      <c r="X135" s="266">
        <f>IFERROR(SUMPRODUCT(X132:X133*H132:H133),"0")</f>
        <v>0</v>
      </c>
      <c r="Y135" s="266">
        <f>IFERROR(SUMPRODUCT(Y132:Y133*H132:H133),"0")</f>
        <v>0</v>
      </c>
      <c r="Z135" s="37"/>
      <c r="AA135" s="267"/>
      <c r="AB135" s="267"/>
      <c r="AC135" s="267"/>
    </row>
    <row r="136" spans="1:68" ht="16.5" customHeight="1" x14ac:dyDescent="0.25">
      <c r="A136" s="286" t="s">
        <v>218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59"/>
      <c r="AB136" s="259"/>
      <c r="AC136" s="259"/>
    </row>
    <row r="137" spans="1:68" ht="14.25" customHeight="1" x14ac:dyDescent="0.25">
      <c r="A137" s="305" t="s">
        <v>137</v>
      </c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60"/>
      <c r="AB137" s="260"/>
      <c r="AC137" s="260"/>
    </row>
    <row r="138" spans="1:68" ht="27" customHeight="1" x14ac:dyDescent="0.25">
      <c r="A138" s="54" t="s">
        <v>219</v>
      </c>
      <c r="B138" s="54" t="s">
        <v>220</v>
      </c>
      <c r="C138" s="31">
        <v>4301135824</v>
      </c>
      <c r="D138" s="268">
        <v>4607111039095</v>
      </c>
      <c r="E138" s="269"/>
      <c r="F138" s="263">
        <v>0.25</v>
      </c>
      <c r="G138" s="32">
        <v>12</v>
      </c>
      <c r="H138" s="263">
        <v>3</v>
      </c>
      <c r="I138" s="263">
        <v>3.7480000000000002</v>
      </c>
      <c r="J138" s="32">
        <v>70</v>
      </c>
      <c r="K138" s="32" t="s">
        <v>96</v>
      </c>
      <c r="L138" s="32" t="s">
        <v>68</v>
      </c>
      <c r="M138" s="33" t="s">
        <v>69</v>
      </c>
      <c r="N138" s="33"/>
      <c r="O138" s="32">
        <v>180</v>
      </c>
      <c r="P138" s="36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271"/>
      <c r="R138" s="271"/>
      <c r="S138" s="271"/>
      <c r="T138" s="272"/>
      <c r="U138" s="34"/>
      <c r="V138" s="34"/>
      <c r="W138" s="35" t="s">
        <v>70</v>
      </c>
      <c r="X138" s="264">
        <v>0</v>
      </c>
      <c r="Y138" s="265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72</v>
      </c>
      <c r="AK138" s="71">
        <v>1</v>
      </c>
      <c r="BB138" s="169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16.5" customHeight="1" x14ac:dyDescent="0.25">
      <c r="A139" s="54" t="s">
        <v>222</v>
      </c>
      <c r="B139" s="54" t="s">
        <v>223</v>
      </c>
      <c r="C139" s="31">
        <v>4301135550</v>
      </c>
      <c r="D139" s="268">
        <v>4607111034199</v>
      </c>
      <c r="E139" s="269"/>
      <c r="F139" s="263">
        <v>0.25</v>
      </c>
      <c r="G139" s="32">
        <v>12</v>
      </c>
      <c r="H139" s="263">
        <v>3</v>
      </c>
      <c r="I139" s="263">
        <v>3.7035999999999998</v>
      </c>
      <c r="J139" s="32">
        <v>70</v>
      </c>
      <c r="K139" s="32" t="s">
        <v>96</v>
      </c>
      <c r="L139" s="32" t="s">
        <v>97</v>
      </c>
      <c r="M139" s="33" t="s">
        <v>69</v>
      </c>
      <c r="N139" s="33"/>
      <c r="O139" s="32">
        <v>180</v>
      </c>
      <c r="P139" s="41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271"/>
      <c r="R139" s="271"/>
      <c r="S139" s="271"/>
      <c r="T139" s="272"/>
      <c r="U139" s="34"/>
      <c r="V139" s="34"/>
      <c r="W139" s="35" t="s">
        <v>70</v>
      </c>
      <c r="X139" s="264">
        <v>0</v>
      </c>
      <c r="Y139" s="265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99</v>
      </c>
      <c r="AK139" s="71">
        <v>14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88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9"/>
      <c r="P140" s="274" t="s">
        <v>83</v>
      </c>
      <c r="Q140" s="275"/>
      <c r="R140" s="275"/>
      <c r="S140" s="275"/>
      <c r="T140" s="275"/>
      <c r="U140" s="275"/>
      <c r="V140" s="276"/>
      <c r="W140" s="37" t="s">
        <v>70</v>
      </c>
      <c r="X140" s="266">
        <f>IFERROR(SUM(X138:X139),"0")</f>
        <v>0</v>
      </c>
      <c r="Y140" s="266">
        <f>IFERROR(SUM(Y138:Y139),"0")</f>
        <v>0</v>
      </c>
      <c r="Z140" s="266">
        <f>IFERROR(IF(Z138="",0,Z138),"0")+IFERROR(IF(Z139="",0,Z139),"0")</f>
        <v>0</v>
      </c>
      <c r="AA140" s="267"/>
      <c r="AB140" s="267"/>
      <c r="AC140" s="267"/>
    </row>
    <row r="141" spans="1:68" x14ac:dyDescent="0.2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9"/>
      <c r="P141" s="274" t="s">
        <v>83</v>
      </c>
      <c r="Q141" s="275"/>
      <c r="R141" s="275"/>
      <c r="S141" s="275"/>
      <c r="T141" s="275"/>
      <c r="U141" s="275"/>
      <c r="V141" s="276"/>
      <c r="W141" s="37" t="s">
        <v>84</v>
      </c>
      <c r="X141" s="266">
        <f>IFERROR(SUMPRODUCT(X138:X139*H138:H139),"0")</f>
        <v>0</v>
      </c>
      <c r="Y141" s="266">
        <f>IFERROR(SUMPRODUCT(Y138:Y139*H138:H139),"0")</f>
        <v>0</v>
      </c>
      <c r="Z141" s="37"/>
      <c r="AA141" s="267"/>
      <c r="AB141" s="267"/>
      <c r="AC141" s="267"/>
    </row>
    <row r="142" spans="1:68" ht="16.5" customHeight="1" x14ac:dyDescent="0.25">
      <c r="A142" s="286" t="s">
        <v>225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59"/>
      <c r="AB142" s="259"/>
      <c r="AC142" s="259"/>
    </row>
    <row r="143" spans="1:68" ht="14.25" customHeight="1" x14ac:dyDescent="0.25">
      <c r="A143" s="305" t="s">
        <v>137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0"/>
      <c r="AB143" s="260"/>
      <c r="AC143" s="260"/>
    </row>
    <row r="144" spans="1:68" ht="27" customHeight="1" x14ac:dyDescent="0.25">
      <c r="A144" s="54" t="s">
        <v>226</v>
      </c>
      <c r="B144" s="54" t="s">
        <v>227</v>
      </c>
      <c r="C144" s="31">
        <v>4301135753</v>
      </c>
      <c r="D144" s="268">
        <v>4620207490914</v>
      </c>
      <c r="E144" s="269"/>
      <c r="F144" s="263">
        <v>0.2</v>
      </c>
      <c r="G144" s="32">
        <v>12</v>
      </c>
      <c r="H144" s="263">
        <v>2.4</v>
      </c>
      <c r="I144" s="263">
        <v>2.68</v>
      </c>
      <c r="J144" s="32">
        <v>70</v>
      </c>
      <c r="K144" s="32" t="s">
        <v>96</v>
      </c>
      <c r="L144" s="32" t="s">
        <v>68</v>
      </c>
      <c r="M144" s="33" t="s">
        <v>69</v>
      </c>
      <c r="N144" s="33"/>
      <c r="O144" s="32">
        <v>180</v>
      </c>
      <c r="P144" s="27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271"/>
      <c r="R144" s="271"/>
      <c r="S144" s="271"/>
      <c r="T144" s="272"/>
      <c r="U144" s="34"/>
      <c r="V144" s="34"/>
      <c r="W144" s="35" t="s">
        <v>70</v>
      </c>
      <c r="X144" s="264">
        <v>0</v>
      </c>
      <c r="Y144" s="265">
        <f>IFERROR(IF(X144="","",X144),"")</f>
        <v>0</v>
      </c>
      <c r="Z144" s="36">
        <f>IFERROR(IF(X144="","",X144*0.01788),"")</f>
        <v>0</v>
      </c>
      <c r="AA144" s="56"/>
      <c r="AB144" s="57"/>
      <c r="AC144" s="172" t="s">
        <v>213</v>
      </c>
      <c r="AG144" s="67"/>
      <c r="AJ144" s="71" t="s">
        <v>72</v>
      </c>
      <c r="AK144" s="71">
        <v>1</v>
      </c>
      <c r="BB144" s="173" t="s">
        <v>100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customHeight="1" x14ac:dyDescent="0.25">
      <c r="A145" s="54" t="s">
        <v>228</v>
      </c>
      <c r="B145" s="54" t="s">
        <v>229</v>
      </c>
      <c r="C145" s="31">
        <v>4301135778</v>
      </c>
      <c r="D145" s="268">
        <v>4620207490853</v>
      </c>
      <c r="E145" s="269"/>
      <c r="F145" s="263">
        <v>0.2</v>
      </c>
      <c r="G145" s="32">
        <v>12</v>
      </c>
      <c r="H145" s="263">
        <v>2.4</v>
      </c>
      <c r="I145" s="263">
        <v>2.68</v>
      </c>
      <c r="J145" s="32">
        <v>70</v>
      </c>
      <c r="K145" s="32" t="s">
        <v>96</v>
      </c>
      <c r="L145" s="32" t="s">
        <v>97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271"/>
      <c r="R145" s="271"/>
      <c r="S145" s="271"/>
      <c r="T145" s="272"/>
      <c r="U145" s="34"/>
      <c r="V145" s="34"/>
      <c r="W145" s="35" t="s">
        <v>70</v>
      </c>
      <c r="X145" s="264">
        <v>0</v>
      </c>
      <c r="Y145" s="265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213</v>
      </c>
      <c r="AG145" s="67"/>
      <c r="AJ145" s="71" t="s">
        <v>99</v>
      </c>
      <c r="AK145" s="71">
        <v>14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8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9"/>
      <c r="P146" s="274" t="s">
        <v>83</v>
      </c>
      <c r="Q146" s="275"/>
      <c r="R146" s="275"/>
      <c r="S146" s="275"/>
      <c r="T146" s="275"/>
      <c r="U146" s="275"/>
      <c r="V146" s="276"/>
      <c r="W146" s="37" t="s">
        <v>70</v>
      </c>
      <c r="X146" s="266">
        <f>IFERROR(SUM(X144:X145),"0")</f>
        <v>0</v>
      </c>
      <c r="Y146" s="266">
        <f>IFERROR(SUM(Y144:Y145),"0")</f>
        <v>0</v>
      </c>
      <c r="Z146" s="266">
        <f>IFERROR(IF(Z144="",0,Z144),"0")+IFERROR(IF(Z145="",0,Z145),"0")</f>
        <v>0</v>
      </c>
      <c r="AA146" s="267"/>
      <c r="AB146" s="267"/>
      <c r="AC146" s="267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9"/>
      <c r="P147" s="274" t="s">
        <v>83</v>
      </c>
      <c r="Q147" s="275"/>
      <c r="R147" s="275"/>
      <c r="S147" s="275"/>
      <c r="T147" s="275"/>
      <c r="U147" s="275"/>
      <c r="V147" s="276"/>
      <c r="W147" s="37" t="s">
        <v>84</v>
      </c>
      <c r="X147" s="266">
        <f>IFERROR(SUMPRODUCT(X144:X145*H144:H145),"0")</f>
        <v>0</v>
      </c>
      <c r="Y147" s="266">
        <f>IFERROR(SUMPRODUCT(Y144:Y145*H144:H145),"0")</f>
        <v>0</v>
      </c>
      <c r="Z147" s="37"/>
      <c r="AA147" s="267"/>
      <c r="AB147" s="267"/>
      <c r="AC147" s="267"/>
    </row>
    <row r="148" spans="1:68" ht="16.5" customHeight="1" x14ac:dyDescent="0.25">
      <c r="A148" s="286" t="s">
        <v>230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59"/>
      <c r="AB148" s="259"/>
      <c r="AC148" s="259"/>
    </row>
    <row r="149" spans="1:68" ht="14.25" customHeight="1" x14ac:dyDescent="0.25">
      <c r="A149" s="305" t="s">
        <v>137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0"/>
      <c r="AB149" s="260"/>
      <c r="AC149" s="260"/>
    </row>
    <row r="150" spans="1:68" ht="27" customHeight="1" x14ac:dyDescent="0.25">
      <c r="A150" s="54" t="s">
        <v>231</v>
      </c>
      <c r="B150" s="54" t="s">
        <v>232</v>
      </c>
      <c r="C150" s="31">
        <v>4301135570</v>
      </c>
      <c r="D150" s="268">
        <v>4607111035806</v>
      </c>
      <c r="E150" s="269"/>
      <c r="F150" s="263">
        <v>0.25</v>
      </c>
      <c r="G150" s="32">
        <v>12</v>
      </c>
      <c r="H150" s="263">
        <v>3</v>
      </c>
      <c r="I150" s="263">
        <v>3.7035999999999998</v>
      </c>
      <c r="J150" s="32">
        <v>70</v>
      </c>
      <c r="K150" s="32" t="s">
        <v>96</v>
      </c>
      <c r="L150" s="32" t="s">
        <v>97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271"/>
      <c r="R150" s="271"/>
      <c r="S150" s="271"/>
      <c r="T150" s="272"/>
      <c r="U150" s="34"/>
      <c r="V150" s="34"/>
      <c r="W150" s="35" t="s">
        <v>70</v>
      </c>
      <c r="X150" s="264">
        <v>0</v>
      </c>
      <c r="Y150" s="265">
        <f>IFERROR(IF(X150="","",X150),"")</f>
        <v>0</v>
      </c>
      <c r="Z150" s="36">
        <f>IFERROR(IF(X150="","",X150*0.01788),"")</f>
        <v>0</v>
      </c>
      <c r="AA150" s="56"/>
      <c r="AB150" s="57"/>
      <c r="AC150" s="176" t="s">
        <v>233</v>
      </c>
      <c r="AG150" s="67"/>
      <c r="AJ150" s="71" t="s">
        <v>99</v>
      </c>
      <c r="AK150" s="71">
        <v>14</v>
      </c>
      <c r="BB150" s="177" t="s">
        <v>100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8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9"/>
      <c r="P151" s="274" t="s">
        <v>83</v>
      </c>
      <c r="Q151" s="275"/>
      <c r="R151" s="275"/>
      <c r="S151" s="275"/>
      <c r="T151" s="275"/>
      <c r="U151" s="275"/>
      <c r="V151" s="276"/>
      <c r="W151" s="37" t="s">
        <v>70</v>
      </c>
      <c r="X151" s="266">
        <f>IFERROR(SUM(X150:X150),"0")</f>
        <v>0</v>
      </c>
      <c r="Y151" s="266">
        <f>IFERROR(SUM(Y150:Y150),"0")</f>
        <v>0</v>
      </c>
      <c r="Z151" s="266">
        <f>IFERROR(IF(Z150="",0,Z150),"0")</f>
        <v>0</v>
      </c>
      <c r="AA151" s="267"/>
      <c r="AB151" s="267"/>
      <c r="AC151" s="26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9"/>
      <c r="P152" s="274" t="s">
        <v>83</v>
      </c>
      <c r="Q152" s="275"/>
      <c r="R152" s="275"/>
      <c r="S152" s="275"/>
      <c r="T152" s="275"/>
      <c r="U152" s="275"/>
      <c r="V152" s="276"/>
      <c r="W152" s="37" t="s">
        <v>84</v>
      </c>
      <c r="X152" s="266">
        <f>IFERROR(SUMPRODUCT(X150:X150*H150:H150),"0")</f>
        <v>0</v>
      </c>
      <c r="Y152" s="266">
        <f>IFERROR(SUMPRODUCT(Y150:Y150*H150:H150),"0")</f>
        <v>0</v>
      </c>
      <c r="Z152" s="37"/>
      <c r="AA152" s="267"/>
      <c r="AB152" s="267"/>
      <c r="AC152" s="267"/>
    </row>
    <row r="153" spans="1:68" ht="16.5" customHeight="1" x14ac:dyDescent="0.25">
      <c r="A153" s="286" t="s">
        <v>234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59"/>
      <c r="AB153" s="259"/>
      <c r="AC153" s="259"/>
    </row>
    <row r="154" spans="1:68" ht="14.25" customHeight="1" x14ac:dyDescent="0.25">
      <c r="A154" s="305" t="s">
        <v>137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0"/>
      <c r="AB154" s="260"/>
      <c r="AC154" s="260"/>
    </row>
    <row r="155" spans="1:68" ht="16.5" customHeight="1" x14ac:dyDescent="0.25">
      <c r="A155" s="54" t="s">
        <v>235</v>
      </c>
      <c r="B155" s="54" t="s">
        <v>236</v>
      </c>
      <c r="C155" s="31">
        <v>4301135607</v>
      </c>
      <c r="D155" s="268">
        <v>4607111039613</v>
      </c>
      <c r="E155" s="269"/>
      <c r="F155" s="263">
        <v>0.09</v>
      </c>
      <c r="G155" s="32">
        <v>30</v>
      </c>
      <c r="H155" s="263">
        <v>2.7</v>
      </c>
      <c r="I155" s="263">
        <v>3.09</v>
      </c>
      <c r="J155" s="32">
        <v>126</v>
      </c>
      <c r="K155" s="32" t="s">
        <v>96</v>
      </c>
      <c r="L155" s="32" t="s">
        <v>97</v>
      </c>
      <c r="M155" s="33" t="s">
        <v>69</v>
      </c>
      <c r="N155" s="33"/>
      <c r="O155" s="32">
        <v>180</v>
      </c>
      <c r="P155" s="28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271"/>
      <c r="R155" s="271"/>
      <c r="S155" s="271"/>
      <c r="T155" s="272"/>
      <c r="U155" s="34"/>
      <c r="V155" s="34"/>
      <c r="W155" s="35" t="s">
        <v>70</v>
      </c>
      <c r="X155" s="264">
        <v>0</v>
      </c>
      <c r="Y155" s="265">
        <f>IFERROR(IF(X155="","",X155),"")</f>
        <v>0</v>
      </c>
      <c r="Z155" s="36">
        <f>IFERROR(IF(X155="","",X155*0.00936),"")</f>
        <v>0</v>
      </c>
      <c r="AA155" s="56"/>
      <c r="AB155" s="57"/>
      <c r="AC155" s="178" t="s">
        <v>221</v>
      </c>
      <c r="AG155" s="67"/>
      <c r="AJ155" s="71" t="s">
        <v>99</v>
      </c>
      <c r="AK155" s="71">
        <v>14</v>
      </c>
      <c r="BB155" s="179" t="s">
        <v>100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8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9"/>
      <c r="P156" s="274" t="s">
        <v>83</v>
      </c>
      <c r="Q156" s="275"/>
      <c r="R156" s="275"/>
      <c r="S156" s="275"/>
      <c r="T156" s="275"/>
      <c r="U156" s="275"/>
      <c r="V156" s="276"/>
      <c r="W156" s="37" t="s">
        <v>70</v>
      </c>
      <c r="X156" s="266">
        <f>IFERROR(SUM(X155:X155),"0")</f>
        <v>0</v>
      </c>
      <c r="Y156" s="266">
        <f>IFERROR(SUM(Y155:Y155),"0")</f>
        <v>0</v>
      </c>
      <c r="Z156" s="266">
        <f>IFERROR(IF(Z155="",0,Z155),"0")</f>
        <v>0</v>
      </c>
      <c r="AA156" s="267"/>
      <c r="AB156" s="267"/>
      <c r="AC156" s="267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9"/>
      <c r="P157" s="274" t="s">
        <v>83</v>
      </c>
      <c r="Q157" s="275"/>
      <c r="R157" s="275"/>
      <c r="S157" s="275"/>
      <c r="T157" s="275"/>
      <c r="U157" s="275"/>
      <c r="V157" s="276"/>
      <c r="W157" s="37" t="s">
        <v>84</v>
      </c>
      <c r="X157" s="266">
        <f>IFERROR(SUMPRODUCT(X155:X155*H155:H155),"0")</f>
        <v>0</v>
      </c>
      <c r="Y157" s="266">
        <f>IFERROR(SUMPRODUCT(Y155:Y155*H155:H155),"0")</f>
        <v>0</v>
      </c>
      <c r="Z157" s="37"/>
      <c r="AA157" s="267"/>
      <c r="AB157" s="267"/>
      <c r="AC157" s="267"/>
    </row>
    <row r="158" spans="1:68" ht="16.5" customHeight="1" x14ac:dyDescent="0.25">
      <c r="A158" s="286" t="s">
        <v>237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59"/>
      <c r="AB158" s="259"/>
      <c r="AC158" s="259"/>
    </row>
    <row r="159" spans="1:68" ht="14.25" customHeight="1" x14ac:dyDescent="0.25">
      <c r="A159" s="305" t="s">
        <v>206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0"/>
      <c r="AB159" s="260"/>
      <c r="AC159" s="260"/>
    </row>
    <row r="160" spans="1:68" ht="27" customHeight="1" x14ac:dyDescent="0.25">
      <c r="A160" s="54" t="s">
        <v>238</v>
      </c>
      <c r="B160" s="54" t="s">
        <v>239</v>
      </c>
      <c r="C160" s="31">
        <v>4301135540</v>
      </c>
      <c r="D160" s="268">
        <v>4607111035646</v>
      </c>
      <c r="E160" s="269"/>
      <c r="F160" s="263">
        <v>0.2</v>
      </c>
      <c r="G160" s="32">
        <v>8</v>
      </c>
      <c r="H160" s="263">
        <v>1.6</v>
      </c>
      <c r="I160" s="263">
        <v>2.12</v>
      </c>
      <c r="J160" s="32">
        <v>72</v>
      </c>
      <c r="K160" s="32" t="s">
        <v>240</v>
      </c>
      <c r="L160" s="32" t="s">
        <v>68</v>
      </c>
      <c r="M160" s="33" t="s">
        <v>69</v>
      </c>
      <c r="N160" s="33"/>
      <c r="O160" s="32">
        <v>180</v>
      </c>
      <c r="P160" s="3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271"/>
      <c r="R160" s="271"/>
      <c r="S160" s="271"/>
      <c r="T160" s="272"/>
      <c r="U160" s="34"/>
      <c r="V160" s="34"/>
      <c r="W160" s="35" t="s">
        <v>70</v>
      </c>
      <c r="X160" s="264">
        <v>0</v>
      </c>
      <c r="Y160" s="265">
        <f>IFERROR(IF(X160="","",X160),"")</f>
        <v>0</v>
      </c>
      <c r="Z160" s="36">
        <f>IFERROR(IF(X160="","",X160*0.01157),"")</f>
        <v>0</v>
      </c>
      <c r="AA160" s="56"/>
      <c r="AB160" s="57"/>
      <c r="AC160" s="180" t="s">
        <v>241</v>
      </c>
      <c r="AG160" s="67"/>
      <c r="AJ160" s="71" t="s">
        <v>72</v>
      </c>
      <c r="AK160" s="71">
        <v>1</v>
      </c>
      <c r="BB160" s="181" t="s">
        <v>100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x14ac:dyDescent="0.2">
      <c r="A161" s="288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9"/>
      <c r="P161" s="274" t="s">
        <v>83</v>
      </c>
      <c r="Q161" s="275"/>
      <c r="R161" s="275"/>
      <c r="S161" s="275"/>
      <c r="T161" s="275"/>
      <c r="U161" s="275"/>
      <c r="V161" s="276"/>
      <c r="W161" s="37" t="s">
        <v>70</v>
      </c>
      <c r="X161" s="266">
        <f>IFERROR(SUM(X160:X160),"0")</f>
        <v>0</v>
      </c>
      <c r="Y161" s="266">
        <f>IFERROR(SUM(Y160:Y160),"0")</f>
        <v>0</v>
      </c>
      <c r="Z161" s="266">
        <f>IFERROR(IF(Z160="",0,Z160),"0")</f>
        <v>0</v>
      </c>
      <c r="AA161" s="267"/>
      <c r="AB161" s="267"/>
      <c r="AC161" s="267"/>
    </row>
    <row r="162" spans="1:68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9"/>
      <c r="P162" s="274" t="s">
        <v>83</v>
      </c>
      <c r="Q162" s="275"/>
      <c r="R162" s="275"/>
      <c r="S162" s="275"/>
      <c r="T162" s="275"/>
      <c r="U162" s="275"/>
      <c r="V162" s="276"/>
      <c r="W162" s="37" t="s">
        <v>84</v>
      </c>
      <c r="X162" s="266">
        <f>IFERROR(SUMPRODUCT(X160:X160*H160:H160),"0")</f>
        <v>0</v>
      </c>
      <c r="Y162" s="266">
        <f>IFERROR(SUMPRODUCT(Y160:Y160*H160:H160),"0")</f>
        <v>0</v>
      </c>
      <c r="Z162" s="37"/>
      <c r="AA162" s="267"/>
      <c r="AB162" s="267"/>
      <c r="AC162" s="267"/>
    </row>
    <row r="163" spans="1:68" ht="16.5" customHeight="1" x14ac:dyDescent="0.25">
      <c r="A163" s="286" t="s">
        <v>242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59"/>
      <c r="AB163" s="259"/>
      <c r="AC163" s="259"/>
    </row>
    <row r="164" spans="1:68" ht="14.25" customHeight="1" x14ac:dyDescent="0.25">
      <c r="A164" s="305" t="s">
        <v>137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60"/>
      <c r="AB164" s="260"/>
      <c r="AC164" s="260"/>
    </row>
    <row r="165" spans="1:68" ht="27" customHeight="1" x14ac:dyDescent="0.25">
      <c r="A165" s="54" t="s">
        <v>243</v>
      </c>
      <c r="B165" s="54" t="s">
        <v>244</v>
      </c>
      <c r="C165" s="31">
        <v>4301135591</v>
      </c>
      <c r="D165" s="268">
        <v>4607111036568</v>
      </c>
      <c r="E165" s="269"/>
      <c r="F165" s="263">
        <v>0.28000000000000003</v>
      </c>
      <c r="G165" s="32">
        <v>6</v>
      </c>
      <c r="H165" s="263">
        <v>1.68</v>
      </c>
      <c r="I165" s="263">
        <v>2.1017999999999999</v>
      </c>
      <c r="J165" s="32">
        <v>140</v>
      </c>
      <c r="K165" s="32" t="s">
        <v>96</v>
      </c>
      <c r="L165" s="32" t="s">
        <v>97</v>
      </c>
      <c r="M165" s="33" t="s">
        <v>69</v>
      </c>
      <c r="N165" s="33"/>
      <c r="O165" s="32">
        <v>180</v>
      </c>
      <c r="P165" s="29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271"/>
      <c r="R165" s="271"/>
      <c r="S165" s="271"/>
      <c r="T165" s="272"/>
      <c r="U165" s="34"/>
      <c r="V165" s="34"/>
      <c r="W165" s="35" t="s">
        <v>70</v>
      </c>
      <c r="X165" s="264">
        <v>0</v>
      </c>
      <c r="Y165" s="265">
        <f>IFERROR(IF(X165="","",X165),"")</f>
        <v>0</v>
      </c>
      <c r="Z165" s="36">
        <f>IFERROR(IF(X165="","",X165*0.00941),"")</f>
        <v>0</v>
      </c>
      <c r="AA165" s="56"/>
      <c r="AB165" s="57"/>
      <c r="AC165" s="182" t="s">
        <v>245</v>
      </c>
      <c r="AG165" s="67"/>
      <c r="AJ165" s="71" t="s">
        <v>99</v>
      </c>
      <c r="AK165" s="71">
        <v>14</v>
      </c>
      <c r="BB165" s="183" t="s">
        <v>100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288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9"/>
      <c r="P166" s="274" t="s">
        <v>83</v>
      </c>
      <c r="Q166" s="275"/>
      <c r="R166" s="275"/>
      <c r="S166" s="275"/>
      <c r="T166" s="275"/>
      <c r="U166" s="275"/>
      <c r="V166" s="276"/>
      <c r="W166" s="37" t="s">
        <v>70</v>
      </c>
      <c r="X166" s="266">
        <f>IFERROR(SUM(X165:X165),"0")</f>
        <v>0</v>
      </c>
      <c r="Y166" s="266">
        <f>IFERROR(SUM(Y165:Y165),"0")</f>
        <v>0</v>
      </c>
      <c r="Z166" s="266">
        <f>IFERROR(IF(Z165="",0,Z165),"0")</f>
        <v>0</v>
      </c>
      <c r="AA166" s="267"/>
      <c r="AB166" s="267"/>
      <c r="AC166" s="267"/>
    </row>
    <row r="167" spans="1:68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9"/>
      <c r="P167" s="274" t="s">
        <v>83</v>
      </c>
      <c r="Q167" s="275"/>
      <c r="R167" s="275"/>
      <c r="S167" s="275"/>
      <c r="T167" s="275"/>
      <c r="U167" s="275"/>
      <c r="V167" s="276"/>
      <c r="W167" s="37" t="s">
        <v>84</v>
      </c>
      <c r="X167" s="266">
        <f>IFERROR(SUMPRODUCT(X165:X165*H165:H165),"0")</f>
        <v>0</v>
      </c>
      <c r="Y167" s="266">
        <f>IFERROR(SUMPRODUCT(Y165:Y165*H165:H165),"0")</f>
        <v>0</v>
      </c>
      <c r="Z167" s="37"/>
      <c r="AA167" s="267"/>
      <c r="AB167" s="267"/>
      <c r="AC167" s="267"/>
    </row>
    <row r="168" spans="1:68" ht="27.75" customHeight="1" x14ac:dyDescent="0.2">
      <c r="A168" s="283" t="s">
        <v>246</v>
      </c>
      <c r="B168" s="284"/>
      <c r="C168" s="284"/>
      <c r="D168" s="284"/>
      <c r="E168" s="284"/>
      <c r="F168" s="284"/>
      <c r="G168" s="284"/>
      <c r="H168" s="284"/>
      <c r="I168" s="284"/>
      <c r="J168" s="284"/>
      <c r="K168" s="284"/>
      <c r="L168" s="284"/>
      <c r="M168" s="284"/>
      <c r="N168" s="284"/>
      <c r="O168" s="284"/>
      <c r="P168" s="284"/>
      <c r="Q168" s="284"/>
      <c r="R168" s="284"/>
      <c r="S168" s="284"/>
      <c r="T168" s="284"/>
      <c r="U168" s="284"/>
      <c r="V168" s="284"/>
      <c r="W168" s="284"/>
      <c r="X168" s="284"/>
      <c r="Y168" s="284"/>
      <c r="Z168" s="284"/>
      <c r="AA168" s="48"/>
      <c r="AB168" s="48"/>
      <c r="AC168" s="48"/>
    </row>
    <row r="169" spans="1:68" ht="16.5" customHeight="1" x14ac:dyDescent="0.25">
      <c r="A169" s="286" t="s">
        <v>247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59"/>
      <c r="AB169" s="259"/>
      <c r="AC169" s="259"/>
    </row>
    <row r="170" spans="1:68" ht="14.25" customHeight="1" x14ac:dyDescent="0.25">
      <c r="A170" s="305" t="s">
        <v>64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60"/>
      <c r="AB170" s="260"/>
      <c r="AC170" s="260"/>
    </row>
    <row r="171" spans="1:68" ht="16.5" customHeight="1" x14ac:dyDescent="0.25">
      <c r="A171" s="54" t="s">
        <v>248</v>
      </c>
      <c r="B171" s="54" t="s">
        <v>249</v>
      </c>
      <c r="C171" s="31">
        <v>4301071062</v>
      </c>
      <c r="D171" s="268">
        <v>4607111036384</v>
      </c>
      <c r="E171" s="269"/>
      <c r="F171" s="263">
        <v>5</v>
      </c>
      <c r="G171" s="32">
        <v>1</v>
      </c>
      <c r="H171" s="263">
        <v>5</v>
      </c>
      <c r="I171" s="263">
        <v>5.2106000000000003</v>
      </c>
      <c r="J171" s="32">
        <v>144</v>
      </c>
      <c r="K171" s="32" t="s">
        <v>67</v>
      </c>
      <c r="L171" s="32" t="s">
        <v>68</v>
      </c>
      <c r="M171" s="33" t="s">
        <v>69</v>
      </c>
      <c r="N171" s="33"/>
      <c r="O171" s="32">
        <v>180</v>
      </c>
      <c r="P171" s="3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271"/>
      <c r="R171" s="271"/>
      <c r="S171" s="271"/>
      <c r="T171" s="272"/>
      <c r="U171" s="34"/>
      <c r="V171" s="34"/>
      <c r="W171" s="35" t="s">
        <v>70</v>
      </c>
      <c r="X171" s="264">
        <v>0</v>
      </c>
      <c r="Y171" s="265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250</v>
      </c>
      <c r="AG171" s="67"/>
      <c r="AJ171" s="71" t="s">
        <v>72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251</v>
      </c>
      <c r="B172" s="54" t="s">
        <v>252</v>
      </c>
      <c r="C172" s="31">
        <v>4301071050</v>
      </c>
      <c r="D172" s="268">
        <v>4607111036216</v>
      </c>
      <c r="E172" s="269"/>
      <c r="F172" s="263">
        <v>5</v>
      </c>
      <c r="G172" s="32">
        <v>1</v>
      </c>
      <c r="H172" s="263">
        <v>5</v>
      </c>
      <c r="I172" s="263">
        <v>5.2131999999999996</v>
      </c>
      <c r="J172" s="32">
        <v>144</v>
      </c>
      <c r="K172" s="32" t="s">
        <v>67</v>
      </c>
      <c r="L172" s="32" t="s">
        <v>97</v>
      </c>
      <c r="M172" s="33" t="s">
        <v>69</v>
      </c>
      <c r="N172" s="33"/>
      <c r="O172" s="32">
        <v>180</v>
      </c>
      <c r="P172" s="29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271"/>
      <c r="R172" s="271"/>
      <c r="S172" s="271"/>
      <c r="T172" s="272"/>
      <c r="U172" s="34"/>
      <c r="V172" s="34"/>
      <c r="W172" s="35" t="s">
        <v>70</v>
      </c>
      <c r="X172" s="264">
        <v>0</v>
      </c>
      <c r="Y172" s="265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99</v>
      </c>
      <c r="AK172" s="71">
        <v>12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x14ac:dyDescent="0.2">
      <c r="A173" s="288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9"/>
      <c r="P173" s="274" t="s">
        <v>83</v>
      </c>
      <c r="Q173" s="275"/>
      <c r="R173" s="275"/>
      <c r="S173" s="275"/>
      <c r="T173" s="275"/>
      <c r="U173" s="275"/>
      <c r="V173" s="276"/>
      <c r="W173" s="37" t="s">
        <v>70</v>
      </c>
      <c r="X173" s="266">
        <f>IFERROR(SUM(X171:X172),"0")</f>
        <v>0</v>
      </c>
      <c r="Y173" s="266">
        <f>IFERROR(SUM(Y171:Y172),"0")</f>
        <v>0</v>
      </c>
      <c r="Z173" s="266">
        <f>IFERROR(IF(Z171="",0,Z171),"0")+IFERROR(IF(Z172="",0,Z172),"0")</f>
        <v>0</v>
      </c>
      <c r="AA173" s="267"/>
      <c r="AB173" s="267"/>
      <c r="AC173" s="267"/>
    </row>
    <row r="174" spans="1:68" x14ac:dyDescent="0.2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9"/>
      <c r="P174" s="274" t="s">
        <v>83</v>
      </c>
      <c r="Q174" s="275"/>
      <c r="R174" s="275"/>
      <c r="S174" s="275"/>
      <c r="T174" s="275"/>
      <c r="U174" s="275"/>
      <c r="V174" s="276"/>
      <c r="W174" s="37" t="s">
        <v>84</v>
      </c>
      <c r="X174" s="266">
        <f>IFERROR(SUMPRODUCT(X171:X172*H171:H172),"0")</f>
        <v>0</v>
      </c>
      <c r="Y174" s="266">
        <f>IFERROR(SUMPRODUCT(Y171:Y172*H171:H172),"0")</f>
        <v>0</v>
      </c>
      <c r="Z174" s="37"/>
      <c r="AA174" s="267"/>
      <c r="AB174" s="267"/>
      <c r="AC174" s="267"/>
    </row>
    <row r="175" spans="1:68" ht="27.75" customHeight="1" x14ac:dyDescent="0.2">
      <c r="A175" s="283" t="s">
        <v>254</v>
      </c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4"/>
      <c r="P175" s="284"/>
      <c r="Q175" s="284"/>
      <c r="R175" s="284"/>
      <c r="S175" s="284"/>
      <c r="T175" s="284"/>
      <c r="U175" s="284"/>
      <c r="V175" s="284"/>
      <c r="W175" s="284"/>
      <c r="X175" s="284"/>
      <c r="Y175" s="284"/>
      <c r="Z175" s="284"/>
      <c r="AA175" s="48"/>
      <c r="AB175" s="48"/>
      <c r="AC175" s="48"/>
    </row>
    <row r="176" spans="1:68" ht="16.5" customHeight="1" x14ac:dyDescent="0.25">
      <c r="A176" s="286" t="s">
        <v>255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59"/>
      <c r="AB176" s="259"/>
      <c r="AC176" s="259"/>
    </row>
    <row r="177" spans="1:68" ht="14.25" customHeight="1" x14ac:dyDescent="0.25">
      <c r="A177" s="305" t="s">
        <v>93</v>
      </c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60"/>
      <c r="AB177" s="260"/>
      <c r="AC177" s="260"/>
    </row>
    <row r="178" spans="1:68" ht="16.5" customHeight="1" x14ac:dyDescent="0.25">
      <c r="A178" s="54" t="s">
        <v>256</v>
      </c>
      <c r="B178" s="54" t="s">
        <v>257</v>
      </c>
      <c r="C178" s="31">
        <v>4301132179</v>
      </c>
      <c r="D178" s="268">
        <v>4607111035691</v>
      </c>
      <c r="E178" s="269"/>
      <c r="F178" s="263">
        <v>0.25</v>
      </c>
      <c r="G178" s="32">
        <v>12</v>
      </c>
      <c r="H178" s="263">
        <v>3</v>
      </c>
      <c r="I178" s="263">
        <v>3.3879999999999999</v>
      </c>
      <c r="J178" s="32">
        <v>70</v>
      </c>
      <c r="K178" s="32" t="s">
        <v>96</v>
      </c>
      <c r="L178" s="32" t="s">
        <v>97</v>
      </c>
      <c r="M178" s="33" t="s">
        <v>69</v>
      </c>
      <c r="N178" s="33"/>
      <c r="O178" s="32">
        <v>365</v>
      </c>
      <c r="P178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8" s="271"/>
      <c r="R178" s="271"/>
      <c r="S178" s="271"/>
      <c r="T178" s="272"/>
      <c r="U178" s="34"/>
      <c r="V178" s="34"/>
      <c r="W178" s="35" t="s">
        <v>70</v>
      </c>
      <c r="X178" s="264">
        <v>0</v>
      </c>
      <c r="Y178" s="265">
        <f>IFERROR(IF(X178="","",X178),"")</f>
        <v>0</v>
      </c>
      <c r="Z178" s="36">
        <f>IFERROR(IF(X178="","",X178*0.01788),"")</f>
        <v>0</v>
      </c>
      <c r="AA178" s="56"/>
      <c r="AB178" s="57"/>
      <c r="AC178" s="188" t="s">
        <v>258</v>
      </c>
      <c r="AG178" s="67"/>
      <c r="AJ178" s="71" t="s">
        <v>99</v>
      </c>
      <c r="AK178" s="71">
        <v>14</v>
      </c>
      <c r="BB178" s="189" t="s">
        <v>100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259</v>
      </c>
      <c r="B179" s="54" t="s">
        <v>260</v>
      </c>
      <c r="C179" s="31">
        <v>4301132182</v>
      </c>
      <c r="D179" s="268">
        <v>4607111035721</v>
      </c>
      <c r="E179" s="269"/>
      <c r="F179" s="263">
        <v>0.25</v>
      </c>
      <c r="G179" s="32">
        <v>12</v>
      </c>
      <c r="H179" s="263">
        <v>3</v>
      </c>
      <c r="I179" s="263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79" s="271"/>
      <c r="R179" s="271"/>
      <c r="S179" s="271"/>
      <c r="T179" s="272"/>
      <c r="U179" s="34"/>
      <c r="V179" s="34"/>
      <c r="W179" s="35" t="s">
        <v>70</v>
      </c>
      <c r="X179" s="264">
        <v>0</v>
      </c>
      <c r="Y179" s="265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4301132170</v>
      </c>
      <c r="D180" s="268">
        <v>4607111038487</v>
      </c>
      <c r="E180" s="269"/>
      <c r="F180" s="263">
        <v>0.25</v>
      </c>
      <c r="G180" s="32">
        <v>12</v>
      </c>
      <c r="H180" s="263">
        <v>3</v>
      </c>
      <c r="I180" s="263">
        <v>3.7360000000000002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180</v>
      </c>
      <c r="P180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0" s="271"/>
      <c r="R180" s="271"/>
      <c r="S180" s="271"/>
      <c r="T180" s="272"/>
      <c r="U180" s="34"/>
      <c r="V180" s="34"/>
      <c r="W180" s="35" t="s">
        <v>70</v>
      </c>
      <c r="X180" s="264">
        <v>0</v>
      </c>
      <c r="Y180" s="265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customHeight="1" x14ac:dyDescent="0.25">
      <c r="A181" s="54" t="s">
        <v>265</v>
      </c>
      <c r="B181" s="54" t="s">
        <v>266</v>
      </c>
      <c r="C181" s="31">
        <v>4301132243</v>
      </c>
      <c r="D181" s="268">
        <v>4620207491195</v>
      </c>
      <c r="E181" s="269"/>
      <c r="F181" s="263">
        <v>0.23</v>
      </c>
      <c r="G181" s="32">
        <v>12</v>
      </c>
      <c r="H181" s="263">
        <v>2.76</v>
      </c>
      <c r="I181" s="263">
        <v>3.1480000000000001</v>
      </c>
      <c r="J181" s="32">
        <v>70</v>
      </c>
      <c r="K181" s="32" t="s">
        <v>96</v>
      </c>
      <c r="L181" s="32" t="s">
        <v>68</v>
      </c>
      <c r="M181" s="33" t="s">
        <v>69</v>
      </c>
      <c r="N181" s="33"/>
      <c r="O181" s="32">
        <v>180</v>
      </c>
      <c r="P181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1" s="271"/>
      <c r="R181" s="271"/>
      <c r="S181" s="271"/>
      <c r="T181" s="272"/>
      <c r="U181" s="34"/>
      <c r="V181" s="34"/>
      <c r="W181" s="35" t="s">
        <v>70</v>
      </c>
      <c r="X181" s="264">
        <v>0</v>
      </c>
      <c r="Y181" s="265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72</v>
      </c>
      <c r="AK181" s="71">
        <v>1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8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9"/>
      <c r="P182" s="274" t="s">
        <v>83</v>
      </c>
      <c r="Q182" s="275"/>
      <c r="R182" s="275"/>
      <c r="S182" s="275"/>
      <c r="T182" s="275"/>
      <c r="U182" s="275"/>
      <c r="V182" s="276"/>
      <c r="W182" s="37" t="s">
        <v>70</v>
      </c>
      <c r="X182" s="266">
        <f>IFERROR(SUM(X178:X181),"0")</f>
        <v>0</v>
      </c>
      <c r="Y182" s="266">
        <f>IFERROR(SUM(Y178:Y181),"0")</f>
        <v>0</v>
      </c>
      <c r="Z182" s="266">
        <f>IFERROR(IF(Z178="",0,Z178),"0")+IFERROR(IF(Z179="",0,Z179),"0")+IFERROR(IF(Z180="",0,Z180),"0")+IFERROR(IF(Z181="",0,Z181),"0")</f>
        <v>0</v>
      </c>
      <c r="AA182" s="267"/>
      <c r="AB182" s="267"/>
      <c r="AC182" s="267"/>
    </row>
    <row r="183" spans="1:68" x14ac:dyDescent="0.2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9"/>
      <c r="P183" s="274" t="s">
        <v>83</v>
      </c>
      <c r="Q183" s="275"/>
      <c r="R183" s="275"/>
      <c r="S183" s="275"/>
      <c r="T183" s="275"/>
      <c r="U183" s="275"/>
      <c r="V183" s="276"/>
      <c r="W183" s="37" t="s">
        <v>84</v>
      </c>
      <c r="X183" s="266">
        <f>IFERROR(SUMPRODUCT(X178:X181*H178:H181),"0")</f>
        <v>0</v>
      </c>
      <c r="Y183" s="266">
        <f>IFERROR(SUMPRODUCT(Y178:Y181*H178:H181),"0")</f>
        <v>0</v>
      </c>
      <c r="Z183" s="37"/>
      <c r="AA183" s="267"/>
      <c r="AB183" s="267"/>
      <c r="AC183" s="267"/>
    </row>
    <row r="184" spans="1:68" ht="14.25" customHeight="1" x14ac:dyDescent="0.25">
      <c r="A184" s="305" t="s">
        <v>268</v>
      </c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60"/>
      <c r="AB184" s="260"/>
      <c r="AC184" s="260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68">
        <v>4680115885875</v>
      </c>
      <c r="E185" s="269"/>
      <c r="F185" s="263">
        <v>1</v>
      </c>
      <c r="G185" s="32">
        <v>9</v>
      </c>
      <c r="H185" s="263">
        <v>9</v>
      </c>
      <c r="I185" s="263">
        <v>9.41</v>
      </c>
      <c r="J185" s="32">
        <v>64</v>
      </c>
      <c r="K185" s="32" t="s">
        <v>271</v>
      </c>
      <c r="L185" s="32" t="s">
        <v>68</v>
      </c>
      <c r="M185" s="33" t="s">
        <v>272</v>
      </c>
      <c r="N185" s="33"/>
      <c r="O185" s="32">
        <v>365</v>
      </c>
      <c r="P185" s="363" t="s">
        <v>273</v>
      </c>
      <c r="Q185" s="271"/>
      <c r="R185" s="271"/>
      <c r="S185" s="271"/>
      <c r="T185" s="272"/>
      <c r="U185" s="34"/>
      <c r="V185" s="34"/>
      <c r="W185" s="35" t="s">
        <v>70</v>
      </c>
      <c r="X185" s="264">
        <v>0</v>
      </c>
      <c r="Y185" s="265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72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8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9"/>
      <c r="P186" s="274" t="s">
        <v>83</v>
      </c>
      <c r="Q186" s="275"/>
      <c r="R186" s="275"/>
      <c r="S186" s="275"/>
      <c r="T186" s="275"/>
      <c r="U186" s="275"/>
      <c r="V186" s="276"/>
      <c r="W186" s="37" t="s">
        <v>70</v>
      </c>
      <c r="X186" s="266">
        <f>IFERROR(SUM(X185:X185),"0")</f>
        <v>0</v>
      </c>
      <c r="Y186" s="266">
        <f>IFERROR(SUM(Y185:Y185),"0")</f>
        <v>0</v>
      </c>
      <c r="Z186" s="266">
        <f>IFERROR(IF(Z185="",0,Z185),"0")</f>
        <v>0</v>
      </c>
      <c r="AA186" s="267"/>
      <c r="AB186" s="267"/>
      <c r="AC186" s="267"/>
    </row>
    <row r="187" spans="1:68" x14ac:dyDescent="0.2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9"/>
      <c r="P187" s="274" t="s">
        <v>83</v>
      </c>
      <c r="Q187" s="275"/>
      <c r="R187" s="275"/>
      <c r="S187" s="275"/>
      <c r="T187" s="275"/>
      <c r="U187" s="275"/>
      <c r="V187" s="276"/>
      <c r="W187" s="37" t="s">
        <v>84</v>
      </c>
      <c r="X187" s="266">
        <f>IFERROR(SUMPRODUCT(X185:X185*H185:H185),"0")</f>
        <v>0</v>
      </c>
      <c r="Y187" s="266">
        <f>IFERROR(SUMPRODUCT(Y185:Y185*H185:H185),"0")</f>
        <v>0</v>
      </c>
      <c r="Z187" s="37"/>
      <c r="AA187" s="267"/>
      <c r="AB187" s="267"/>
      <c r="AC187" s="267"/>
    </row>
    <row r="188" spans="1:68" ht="27.75" customHeight="1" x14ac:dyDescent="0.2">
      <c r="A188" s="283" t="s">
        <v>276</v>
      </c>
      <c r="B188" s="284"/>
      <c r="C188" s="284"/>
      <c r="D188" s="284"/>
      <c r="E188" s="284"/>
      <c r="F188" s="284"/>
      <c r="G188" s="284"/>
      <c r="H188" s="284"/>
      <c r="I188" s="284"/>
      <c r="J188" s="284"/>
      <c r="K188" s="284"/>
      <c r="L188" s="284"/>
      <c r="M188" s="284"/>
      <c r="N188" s="284"/>
      <c r="O188" s="284"/>
      <c r="P188" s="284"/>
      <c r="Q188" s="284"/>
      <c r="R188" s="284"/>
      <c r="S188" s="284"/>
      <c r="T188" s="284"/>
      <c r="U188" s="284"/>
      <c r="V188" s="284"/>
      <c r="W188" s="284"/>
      <c r="X188" s="284"/>
      <c r="Y188" s="284"/>
      <c r="Z188" s="284"/>
      <c r="AA188" s="48"/>
      <c r="AB188" s="48"/>
      <c r="AC188" s="48"/>
    </row>
    <row r="189" spans="1:68" ht="16.5" customHeight="1" x14ac:dyDescent="0.25">
      <c r="A189" s="286" t="s">
        <v>277</v>
      </c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59"/>
      <c r="AB189" s="259"/>
      <c r="AC189" s="259"/>
    </row>
    <row r="190" spans="1:68" ht="14.25" customHeight="1" x14ac:dyDescent="0.25">
      <c r="A190" s="305" t="s">
        <v>93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0"/>
      <c r="AB190" s="260"/>
      <c r="AC190" s="260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68">
        <v>4620207491133</v>
      </c>
      <c r="E191" s="269"/>
      <c r="F191" s="263">
        <v>0.23</v>
      </c>
      <c r="G191" s="32">
        <v>12</v>
      </c>
      <c r="H191" s="263">
        <v>2.76</v>
      </c>
      <c r="I191" s="263">
        <v>2.98</v>
      </c>
      <c r="J191" s="32">
        <v>70</v>
      </c>
      <c r="K191" s="32" t="s">
        <v>96</v>
      </c>
      <c r="L191" s="32" t="s">
        <v>97</v>
      </c>
      <c r="M191" s="33" t="s">
        <v>69</v>
      </c>
      <c r="N191" s="33"/>
      <c r="O191" s="32">
        <v>180</v>
      </c>
      <c r="P191" s="4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1"/>
      <c r="R191" s="271"/>
      <c r="S191" s="271"/>
      <c r="T191" s="272"/>
      <c r="U191" s="34"/>
      <c r="V191" s="34"/>
      <c r="W191" s="35" t="s">
        <v>70</v>
      </c>
      <c r="X191" s="264">
        <v>0</v>
      </c>
      <c r="Y191" s="265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99</v>
      </c>
      <c r="AK191" s="71">
        <v>14</v>
      </c>
      <c r="BB191" s="199" t="s">
        <v>100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8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9"/>
      <c r="P192" s="274" t="s">
        <v>83</v>
      </c>
      <c r="Q192" s="275"/>
      <c r="R192" s="275"/>
      <c r="S192" s="275"/>
      <c r="T192" s="275"/>
      <c r="U192" s="275"/>
      <c r="V192" s="276"/>
      <c r="W192" s="37" t="s">
        <v>70</v>
      </c>
      <c r="X192" s="266">
        <f>IFERROR(SUM(X191:X191),"0")</f>
        <v>0</v>
      </c>
      <c r="Y192" s="266">
        <f>IFERROR(SUM(Y191:Y191),"0")</f>
        <v>0</v>
      </c>
      <c r="Z192" s="266">
        <f>IFERROR(IF(Z191="",0,Z191),"0")</f>
        <v>0</v>
      </c>
      <c r="AA192" s="267"/>
      <c r="AB192" s="267"/>
      <c r="AC192" s="267"/>
    </row>
    <row r="193" spans="1:68" x14ac:dyDescent="0.2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9"/>
      <c r="P193" s="274" t="s">
        <v>83</v>
      </c>
      <c r="Q193" s="275"/>
      <c r="R193" s="275"/>
      <c r="S193" s="275"/>
      <c r="T193" s="275"/>
      <c r="U193" s="275"/>
      <c r="V193" s="276"/>
      <c r="W193" s="37" t="s">
        <v>84</v>
      </c>
      <c r="X193" s="266">
        <f>IFERROR(SUMPRODUCT(X191:X191*H191:H191),"0")</f>
        <v>0</v>
      </c>
      <c r="Y193" s="266">
        <f>IFERROR(SUMPRODUCT(Y191:Y191*H191:H191),"0")</f>
        <v>0</v>
      </c>
      <c r="Z193" s="37"/>
      <c r="AA193" s="267"/>
      <c r="AB193" s="267"/>
      <c r="AC193" s="267"/>
    </row>
    <row r="194" spans="1:68" ht="14.25" customHeight="1" x14ac:dyDescent="0.25">
      <c r="A194" s="305" t="s">
        <v>137</v>
      </c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60"/>
      <c r="AB194" s="260"/>
      <c r="AC194" s="260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68">
        <v>4620207491188</v>
      </c>
      <c r="E195" s="269"/>
      <c r="F195" s="263">
        <v>0.2</v>
      </c>
      <c r="G195" s="32">
        <v>12</v>
      </c>
      <c r="H195" s="263">
        <v>2.4</v>
      </c>
      <c r="I195" s="263">
        <v>3.1036000000000001</v>
      </c>
      <c r="J195" s="32">
        <v>70</v>
      </c>
      <c r="K195" s="32" t="s">
        <v>96</v>
      </c>
      <c r="L195" s="32" t="s">
        <v>68</v>
      </c>
      <c r="M195" s="33" t="s">
        <v>69</v>
      </c>
      <c r="N195" s="33"/>
      <c r="O195" s="32">
        <v>180</v>
      </c>
      <c r="P195" s="34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1"/>
      <c r="R195" s="271"/>
      <c r="S195" s="271"/>
      <c r="T195" s="272"/>
      <c r="U195" s="34"/>
      <c r="V195" s="34"/>
      <c r="W195" s="35" t="s">
        <v>70</v>
      </c>
      <c r="X195" s="264">
        <v>0</v>
      </c>
      <c r="Y195" s="265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72</v>
      </c>
      <c r="AK195" s="71">
        <v>1</v>
      </c>
      <c r="BB195" s="201" t="s">
        <v>100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68">
        <v>4620207490198</v>
      </c>
      <c r="E196" s="269"/>
      <c r="F196" s="263">
        <v>0.2</v>
      </c>
      <c r="G196" s="32">
        <v>12</v>
      </c>
      <c r="H196" s="263">
        <v>2.4</v>
      </c>
      <c r="I196" s="263">
        <v>3.1036000000000001</v>
      </c>
      <c r="J196" s="32">
        <v>70</v>
      </c>
      <c r="K196" s="32" t="s">
        <v>96</v>
      </c>
      <c r="L196" s="32" t="s">
        <v>97</v>
      </c>
      <c r="M196" s="33" t="s">
        <v>69</v>
      </c>
      <c r="N196" s="33"/>
      <c r="O196" s="32">
        <v>180</v>
      </c>
      <c r="P196" s="42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1"/>
      <c r="R196" s="271"/>
      <c r="S196" s="271"/>
      <c r="T196" s="272"/>
      <c r="U196" s="34"/>
      <c r="V196" s="34"/>
      <c r="W196" s="35" t="s">
        <v>70</v>
      </c>
      <c r="X196" s="264">
        <v>0</v>
      </c>
      <c r="Y196" s="265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99</v>
      </c>
      <c r="AK196" s="71">
        <v>14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68">
        <v>4620207490235</v>
      </c>
      <c r="E197" s="269"/>
      <c r="F197" s="263">
        <v>0.2</v>
      </c>
      <c r="G197" s="32">
        <v>12</v>
      </c>
      <c r="H197" s="263">
        <v>2.4</v>
      </c>
      <c r="I197" s="263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1"/>
      <c r="R197" s="271"/>
      <c r="S197" s="271"/>
      <c r="T197" s="272"/>
      <c r="U197" s="34"/>
      <c r="V197" s="34"/>
      <c r="W197" s="35" t="s">
        <v>70</v>
      </c>
      <c r="X197" s="264">
        <v>0</v>
      </c>
      <c r="Y197" s="265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68">
        <v>4620207490259</v>
      </c>
      <c r="E198" s="269"/>
      <c r="F198" s="263">
        <v>0.2</v>
      </c>
      <c r="G198" s="32">
        <v>12</v>
      </c>
      <c r="H198" s="263">
        <v>2.4</v>
      </c>
      <c r="I198" s="263">
        <v>3.1036000000000001</v>
      </c>
      <c r="J198" s="32">
        <v>70</v>
      </c>
      <c r="K198" s="32" t="s">
        <v>96</v>
      </c>
      <c r="L198" s="32" t="s">
        <v>97</v>
      </c>
      <c r="M198" s="33" t="s">
        <v>69</v>
      </c>
      <c r="N198" s="33"/>
      <c r="O198" s="32">
        <v>180</v>
      </c>
      <c r="P198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1"/>
      <c r="R198" s="271"/>
      <c r="S198" s="271"/>
      <c r="T198" s="272"/>
      <c r="U198" s="34"/>
      <c r="V198" s="34"/>
      <c r="W198" s="35" t="s">
        <v>70</v>
      </c>
      <c r="X198" s="264">
        <v>0</v>
      </c>
      <c r="Y198" s="265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99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68">
        <v>4620207490143</v>
      </c>
      <c r="E199" s="269"/>
      <c r="F199" s="263">
        <v>0.22</v>
      </c>
      <c r="G199" s="32">
        <v>12</v>
      </c>
      <c r="H199" s="263">
        <v>2.64</v>
      </c>
      <c r="I199" s="263">
        <v>3.3435999999999999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1"/>
      <c r="R199" s="271"/>
      <c r="S199" s="271"/>
      <c r="T199" s="272"/>
      <c r="U199" s="34"/>
      <c r="V199" s="34"/>
      <c r="W199" s="35" t="s">
        <v>70</v>
      </c>
      <c r="X199" s="264">
        <v>0</v>
      </c>
      <c r="Y199" s="265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8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9"/>
      <c r="P200" s="274" t="s">
        <v>83</v>
      </c>
      <c r="Q200" s="275"/>
      <c r="R200" s="275"/>
      <c r="S200" s="275"/>
      <c r="T200" s="275"/>
      <c r="U200" s="275"/>
      <c r="V200" s="276"/>
      <c r="W200" s="37" t="s">
        <v>70</v>
      </c>
      <c r="X200" s="266">
        <f>IFERROR(SUM(X195:X199),"0")</f>
        <v>0</v>
      </c>
      <c r="Y200" s="266">
        <f>IFERROR(SUM(Y195:Y199),"0")</f>
        <v>0</v>
      </c>
      <c r="Z200" s="266">
        <f>IFERROR(IF(Z195="",0,Z195),"0")+IFERROR(IF(Z196="",0,Z196),"0")+IFERROR(IF(Z197="",0,Z197),"0")+IFERROR(IF(Z198="",0,Z198),"0")+IFERROR(IF(Z199="",0,Z199),"0")</f>
        <v>0</v>
      </c>
      <c r="AA200" s="267"/>
      <c r="AB200" s="267"/>
      <c r="AC200" s="267"/>
    </row>
    <row r="201" spans="1:68" x14ac:dyDescent="0.2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9"/>
      <c r="P201" s="274" t="s">
        <v>83</v>
      </c>
      <c r="Q201" s="275"/>
      <c r="R201" s="275"/>
      <c r="S201" s="275"/>
      <c r="T201" s="275"/>
      <c r="U201" s="275"/>
      <c r="V201" s="276"/>
      <c r="W201" s="37" t="s">
        <v>84</v>
      </c>
      <c r="X201" s="266">
        <f>IFERROR(SUMPRODUCT(X195:X199*H195:H199),"0")</f>
        <v>0</v>
      </c>
      <c r="Y201" s="266">
        <f>IFERROR(SUMPRODUCT(Y195:Y199*H195:H199),"0")</f>
        <v>0</v>
      </c>
      <c r="Z201" s="37"/>
      <c r="AA201" s="267"/>
      <c r="AB201" s="267"/>
      <c r="AC201" s="267"/>
    </row>
    <row r="202" spans="1:68" ht="16.5" customHeight="1" x14ac:dyDescent="0.25">
      <c r="A202" s="286" t="s">
        <v>295</v>
      </c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59"/>
      <c r="AB202" s="259"/>
      <c r="AC202" s="259"/>
    </row>
    <row r="203" spans="1:68" ht="14.25" customHeight="1" x14ac:dyDescent="0.25">
      <c r="A203" s="305" t="s">
        <v>64</v>
      </c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60"/>
      <c r="AB203" s="260"/>
      <c r="AC203" s="260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68">
        <v>4620207491096</v>
      </c>
      <c r="E204" s="269"/>
      <c r="F204" s="263">
        <v>1</v>
      </c>
      <c r="G204" s="32">
        <v>5</v>
      </c>
      <c r="H204" s="263">
        <v>5</v>
      </c>
      <c r="I204" s="263">
        <v>5.23</v>
      </c>
      <c r="J204" s="32">
        <v>84</v>
      </c>
      <c r="K204" s="32" t="s">
        <v>67</v>
      </c>
      <c r="L204" s="32" t="s">
        <v>97</v>
      </c>
      <c r="M204" s="33" t="s">
        <v>69</v>
      </c>
      <c r="N204" s="33"/>
      <c r="O204" s="32">
        <v>180</v>
      </c>
      <c r="P204" s="38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1"/>
      <c r="R204" s="271"/>
      <c r="S204" s="271"/>
      <c r="T204" s="272"/>
      <c r="U204" s="34"/>
      <c r="V204" s="34"/>
      <c r="W204" s="35" t="s">
        <v>70</v>
      </c>
      <c r="X204" s="264">
        <v>0</v>
      </c>
      <c r="Y204" s="265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99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8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9"/>
      <c r="P205" s="274" t="s">
        <v>83</v>
      </c>
      <c r="Q205" s="275"/>
      <c r="R205" s="275"/>
      <c r="S205" s="275"/>
      <c r="T205" s="275"/>
      <c r="U205" s="275"/>
      <c r="V205" s="276"/>
      <c r="W205" s="37" t="s">
        <v>70</v>
      </c>
      <c r="X205" s="266">
        <f>IFERROR(SUM(X204:X204),"0")</f>
        <v>0</v>
      </c>
      <c r="Y205" s="266">
        <f>IFERROR(SUM(Y204:Y204),"0")</f>
        <v>0</v>
      </c>
      <c r="Z205" s="266">
        <f>IFERROR(IF(Z204="",0,Z204),"0")</f>
        <v>0</v>
      </c>
      <c r="AA205" s="267"/>
      <c r="AB205" s="267"/>
      <c r="AC205" s="267"/>
    </row>
    <row r="206" spans="1:68" x14ac:dyDescent="0.2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9"/>
      <c r="P206" s="274" t="s">
        <v>83</v>
      </c>
      <c r="Q206" s="275"/>
      <c r="R206" s="275"/>
      <c r="S206" s="275"/>
      <c r="T206" s="275"/>
      <c r="U206" s="275"/>
      <c r="V206" s="276"/>
      <c r="W206" s="37" t="s">
        <v>84</v>
      </c>
      <c r="X206" s="266">
        <f>IFERROR(SUMPRODUCT(X204:X204*H204:H204),"0")</f>
        <v>0</v>
      </c>
      <c r="Y206" s="266">
        <f>IFERROR(SUMPRODUCT(Y204:Y204*H204:H204),"0")</f>
        <v>0</v>
      </c>
      <c r="Z206" s="37"/>
      <c r="AA206" s="267"/>
      <c r="AB206" s="267"/>
      <c r="AC206" s="267"/>
    </row>
    <row r="207" spans="1:68" ht="16.5" customHeight="1" x14ac:dyDescent="0.25">
      <c r="A207" s="286" t="s">
        <v>299</v>
      </c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59"/>
      <c r="AB207" s="259"/>
      <c r="AC207" s="259"/>
    </row>
    <row r="208" spans="1:68" ht="14.25" customHeight="1" x14ac:dyDescent="0.25">
      <c r="A208" s="305" t="s">
        <v>137</v>
      </c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60"/>
      <c r="AB208" s="260"/>
      <c r="AC208" s="260"/>
    </row>
    <row r="209" spans="1:68" ht="27" customHeight="1" x14ac:dyDescent="0.25">
      <c r="A209" s="54" t="s">
        <v>300</v>
      </c>
      <c r="B209" s="54" t="s">
        <v>301</v>
      </c>
      <c r="C209" s="31">
        <v>4301135691</v>
      </c>
      <c r="D209" s="268">
        <v>4620207490549</v>
      </c>
      <c r="E209" s="269"/>
      <c r="F209" s="263">
        <v>0.2</v>
      </c>
      <c r="G209" s="32">
        <v>12</v>
      </c>
      <c r="H209" s="263">
        <v>2.4</v>
      </c>
      <c r="I209" s="263">
        <v>3.1036000000000001</v>
      </c>
      <c r="J209" s="32">
        <v>70</v>
      </c>
      <c r="K209" s="32" t="s">
        <v>96</v>
      </c>
      <c r="L209" s="32" t="s">
        <v>68</v>
      </c>
      <c r="M209" s="33" t="s">
        <v>69</v>
      </c>
      <c r="N209" s="33"/>
      <c r="O209" s="32">
        <v>180</v>
      </c>
      <c r="P209" s="3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09" s="271"/>
      <c r="R209" s="271"/>
      <c r="S209" s="271"/>
      <c r="T209" s="272"/>
      <c r="U209" s="34"/>
      <c r="V209" s="34"/>
      <c r="W209" s="35" t="s">
        <v>70</v>
      </c>
      <c r="X209" s="264">
        <v>0</v>
      </c>
      <c r="Y209" s="265">
        <f>IFERROR(IF(X209="","",X209),"")</f>
        <v>0</v>
      </c>
      <c r="Z209" s="36">
        <f>IFERROR(IF(X209="","",X209*0.01788),"")</f>
        <v>0</v>
      </c>
      <c r="AA209" s="56"/>
      <c r="AB209" s="57"/>
      <c r="AC209" s="212" t="s">
        <v>302</v>
      </c>
      <c r="AG209" s="67"/>
      <c r="AJ209" s="71" t="s">
        <v>72</v>
      </c>
      <c r="AK209" s="71">
        <v>1</v>
      </c>
      <c r="BB209" s="213" t="s">
        <v>100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303</v>
      </c>
      <c r="B210" s="54" t="s">
        <v>304</v>
      </c>
      <c r="C210" s="31">
        <v>4301135694</v>
      </c>
      <c r="D210" s="268">
        <v>4620207490501</v>
      </c>
      <c r="E210" s="269"/>
      <c r="F210" s="263">
        <v>0.2</v>
      </c>
      <c r="G210" s="32">
        <v>12</v>
      </c>
      <c r="H210" s="263">
        <v>2.4</v>
      </c>
      <c r="I210" s="263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0" s="271"/>
      <c r="R210" s="271"/>
      <c r="S210" s="271"/>
      <c r="T210" s="272"/>
      <c r="U210" s="34"/>
      <c r="V210" s="34"/>
      <c r="W210" s="35" t="s">
        <v>70</v>
      </c>
      <c r="X210" s="264">
        <v>0</v>
      </c>
      <c r="Y210" s="265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302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8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9"/>
      <c r="P211" s="274" t="s">
        <v>83</v>
      </c>
      <c r="Q211" s="275"/>
      <c r="R211" s="275"/>
      <c r="S211" s="275"/>
      <c r="T211" s="275"/>
      <c r="U211" s="275"/>
      <c r="V211" s="276"/>
      <c r="W211" s="37" t="s">
        <v>70</v>
      </c>
      <c r="X211" s="266">
        <f>IFERROR(SUM(X209:X210),"0")</f>
        <v>0</v>
      </c>
      <c r="Y211" s="266">
        <f>IFERROR(SUM(Y209:Y210),"0")</f>
        <v>0</v>
      </c>
      <c r="Z211" s="266">
        <f>IFERROR(IF(Z209="",0,Z209),"0")+IFERROR(IF(Z210="",0,Z210),"0")</f>
        <v>0</v>
      </c>
      <c r="AA211" s="267"/>
      <c r="AB211" s="267"/>
      <c r="AC211" s="267"/>
    </row>
    <row r="212" spans="1:68" x14ac:dyDescent="0.2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9"/>
      <c r="P212" s="274" t="s">
        <v>83</v>
      </c>
      <c r="Q212" s="275"/>
      <c r="R212" s="275"/>
      <c r="S212" s="275"/>
      <c r="T212" s="275"/>
      <c r="U212" s="275"/>
      <c r="V212" s="276"/>
      <c r="W212" s="37" t="s">
        <v>84</v>
      </c>
      <c r="X212" s="266">
        <f>IFERROR(SUMPRODUCT(X209:X210*H209:H210),"0")</f>
        <v>0</v>
      </c>
      <c r="Y212" s="266">
        <f>IFERROR(SUMPRODUCT(Y209:Y210*H209:H210),"0")</f>
        <v>0</v>
      </c>
      <c r="Z212" s="37"/>
      <c r="AA212" s="267"/>
      <c r="AB212" s="267"/>
      <c r="AC212" s="267"/>
    </row>
    <row r="213" spans="1:68" ht="27.75" customHeight="1" x14ac:dyDescent="0.2">
      <c r="A213" s="283" t="s">
        <v>305</v>
      </c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4"/>
      <c r="P213" s="284"/>
      <c r="Q213" s="284"/>
      <c r="R213" s="284"/>
      <c r="S213" s="284"/>
      <c r="T213" s="284"/>
      <c r="U213" s="284"/>
      <c r="V213" s="284"/>
      <c r="W213" s="284"/>
      <c r="X213" s="284"/>
      <c r="Y213" s="284"/>
      <c r="Z213" s="284"/>
      <c r="AA213" s="48"/>
      <c r="AB213" s="48"/>
      <c r="AC213" s="48"/>
    </row>
    <row r="214" spans="1:68" ht="16.5" customHeight="1" x14ac:dyDescent="0.25">
      <c r="A214" s="286" t="s">
        <v>306</v>
      </c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59"/>
      <c r="AB214" s="259"/>
      <c r="AC214" s="259"/>
    </row>
    <row r="215" spans="1:68" ht="14.25" customHeight="1" x14ac:dyDescent="0.25">
      <c r="A215" s="305" t="s">
        <v>64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0"/>
      <c r="AB215" s="260"/>
      <c r="AC215" s="260"/>
    </row>
    <row r="216" spans="1:68" ht="27" customHeight="1" x14ac:dyDescent="0.25">
      <c r="A216" s="54" t="s">
        <v>307</v>
      </c>
      <c r="B216" s="54" t="s">
        <v>308</v>
      </c>
      <c r="C216" s="31">
        <v>4301071036</v>
      </c>
      <c r="D216" s="268">
        <v>4607111036162</v>
      </c>
      <c r="E216" s="269"/>
      <c r="F216" s="263">
        <v>0.8</v>
      </c>
      <c r="G216" s="32">
        <v>8</v>
      </c>
      <c r="H216" s="263">
        <v>6.4</v>
      </c>
      <c r="I216" s="263">
        <v>6.6811999999999996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90</v>
      </c>
      <c r="P216" s="37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6" s="271"/>
      <c r="R216" s="271"/>
      <c r="S216" s="271"/>
      <c r="T216" s="272"/>
      <c r="U216" s="34"/>
      <c r="V216" s="34"/>
      <c r="W216" s="35" t="s">
        <v>70</v>
      </c>
      <c r="X216" s="264">
        <v>0</v>
      </c>
      <c r="Y216" s="265">
        <f>IFERROR(IF(X216="","",X216),"")</f>
        <v>0</v>
      </c>
      <c r="Z216" s="36">
        <f>IFERROR(IF(X216="","",X216*0.0155),"")</f>
        <v>0</v>
      </c>
      <c r="AA216" s="56"/>
      <c r="AB216" s="57"/>
      <c r="AC216" s="216" t="s">
        <v>309</v>
      </c>
      <c r="AG216" s="67"/>
      <c r="AJ216" s="71" t="s">
        <v>72</v>
      </c>
      <c r="AK216" s="71">
        <v>1</v>
      </c>
      <c r="BB216" s="217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88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9"/>
      <c r="P217" s="274" t="s">
        <v>83</v>
      </c>
      <c r="Q217" s="275"/>
      <c r="R217" s="275"/>
      <c r="S217" s="275"/>
      <c r="T217" s="275"/>
      <c r="U217" s="275"/>
      <c r="V217" s="276"/>
      <c r="W217" s="37" t="s">
        <v>70</v>
      </c>
      <c r="X217" s="266">
        <f>IFERROR(SUM(X216:X216),"0")</f>
        <v>0</v>
      </c>
      <c r="Y217" s="266">
        <f>IFERROR(SUM(Y216:Y216),"0")</f>
        <v>0</v>
      </c>
      <c r="Z217" s="266">
        <f>IFERROR(IF(Z216="",0,Z216),"0")</f>
        <v>0</v>
      </c>
      <c r="AA217" s="267"/>
      <c r="AB217" s="267"/>
      <c r="AC217" s="267"/>
    </row>
    <row r="218" spans="1:68" x14ac:dyDescent="0.2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9"/>
      <c r="P218" s="274" t="s">
        <v>83</v>
      </c>
      <c r="Q218" s="275"/>
      <c r="R218" s="275"/>
      <c r="S218" s="275"/>
      <c r="T218" s="275"/>
      <c r="U218" s="275"/>
      <c r="V218" s="276"/>
      <c r="W218" s="37" t="s">
        <v>84</v>
      </c>
      <c r="X218" s="266">
        <f>IFERROR(SUMPRODUCT(X216:X216*H216:H216),"0")</f>
        <v>0</v>
      </c>
      <c r="Y218" s="266">
        <f>IFERROR(SUMPRODUCT(Y216:Y216*H216:H216),"0")</f>
        <v>0</v>
      </c>
      <c r="Z218" s="37"/>
      <c r="AA218" s="267"/>
      <c r="AB218" s="267"/>
      <c r="AC218" s="267"/>
    </row>
    <row r="219" spans="1:68" ht="27.75" customHeight="1" x14ac:dyDescent="0.2">
      <c r="A219" s="283" t="s">
        <v>310</v>
      </c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4"/>
      <c r="P219" s="284"/>
      <c r="Q219" s="284"/>
      <c r="R219" s="284"/>
      <c r="S219" s="284"/>
      <c r="T219" s="284"/>
      <c r="U219" s="284"/>
      <c r="V219" s="284"/>
      <c r="W219" s="284"/>
      <c r="X219" s="284"/>
      <c r="Y219" s="284"/>
      <c r="Z219" s="284"/>
      <c r="AA219" s="48"/>
      <c r="AB219" s="48"/>
      <c r="AC219" s="48"/>
    </row>
    <row r="220" spans="1:68" ht="16.5" customHeight="1" x14ac:dyDescent="0.25">
      <c r="A220" s="286" t="s">
        <v>311</v>
      </c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59"/>
      <c r="AB220" s="259"/>
      <c r="AC220" s="259"/>
    </row>
    <row r="221" spans="1:68" ht="14.25" customHeight="1" x14ac:dyDescent="0.25">
      <c r="A221" s="305" t="s">
        <v>64</v>
      </c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60"/>
      <c r="AB221" s="260"/>
      <c r="AC221" s="260"/>
    </row>
    <row r="222" spans="1:68" ht="27" customHeight="1" x14ac:dyDescent="0.25">
      <c r="A222" s="54" t="s">
        <v>312</v>
      </c>
      <c r="B222" s="54" t="s">
        <v>313</v>
      </c>
      <c r="C222" s="31">
        <v>4301071029</v>
      </c>
      <c r="D222" s="268">
        <v>4607111035899</v>
      </c>
      <c r="E222" s="269"/>
      <c r="F222" s="263">
        <v>1</v>
      </c>
      <c r="G222" s="32">
        <v>5</v>
      </c>
      <c r="H222" s="263">
        <v>5</v>
      </c>
      <c r="I222" s="263">
        <v>5.2619999999999996</v>
      </c>
      <c r="J222" s="32">
        <v>84</v>
      </c>
      <c r="K222" s="32" t="s">
        <v>67</v>
      </c>
      <c r="L222" s="32" t="s">
        <v>68</v>
      </c>
      <c r="M222" s="33" t="s">
        <v>69</v>
      </c>
      <c r="N222" s="33"/>
      <c r="O222" s="32">
        <v>180</v>
      </c>
      <c r="P222" s="40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2" s="271"/>
      <c r="R222" s="271"/>
      <c r="S222" s="271"/>
      <c r="T222" s="272"/>
      <c r="U222" s="34"/>
      <c r="V222" s="34"/>
      <c r="W222" s="35" t="s">
        <v>70</v>
      </c>
      <c r="X222" s="264">
        <v>0</v>
      </c>
      <c r="Y222" s="265">
        <f>IFERROR(IF(X222="","",X222),"")</f>
        <v>0</v>
      </c>
      <c r="Z222" s="36">
        <f>IFERROR(IF(X222="","",X222*0.0155),"")</f>
        <v>0</v>
      </c>
      <c r="AA222" s="56"/>
      <c r="AB222" s="57"/>
      <c r="AC222" s="218" t="s">
        <v>253</v>
      </c>
      <c r="AG222" s="67"/>
      <c r="AJ222" s="71" t="s">
        <v>72</v>
      </c>
      <c r="AK222" s="71">
        <v>1</v>
      </c>
      <c r="BB222" s="219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88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9"/>
      <c r="P223" s="274" t="s">
        <v>83</v>
      </c>
      <c r="Q223" s="275"/>
      <c r="R223" s="275"/>
      <c r="S223" s="275"/>
      <c r="T223" s="275"/>
      <c r="U223" s="275"/>
      <c r="V223" s="276"/>
      <c r="W223" s="37" t="s">
        <v>70</v>
      </c>
      <c r="X223" s="266">
        <f>IFERROR(SUM(X222:X222),"0")</f>
        <v>0</v>
      </c>
      <c r="Y223" s="266">
        <f>IFERROR(SUM(Y222:Y222),"0")</f>
        <v>0</v>
      </c>
      <c r="Z223" s="266">
        <f>IFERROR(IF(Z222="",0,Z222),"0")</f>
        <v>0</v>
      </c>
      <c r="AA223" s="267"/>
      <c r="AB223" s="267"/>
      <c r="AC223" s="267"/>
    </row>
    <row r="224" spans="1:68" x14ac:dyDescent="0.2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9"/>
      <c r="P224" s="274" t="s">
        <v>83</v>
      </c>
      <c r="Q224" s="275"/>
      <c r="R224" s="275"/>
      <c r="S224" s="275"/>
      <c r="T224" s="275"/>
      <c r="U224" s="275"/>
      <c r="V224" s="276"/>
      <c r="W224" s="37" t="s">
        <v>84</v>
      </c>
      <c r="X224" s="266">
        <f>IFERROR(SUMPRODUCT(X222:X222*H222:H222),"0")</f>
        <v>0</v>
      </c>
      <c r="Y224" s="266">
        <f>IFERROR(SUMPRODUCT(Y222:Y222*H222:H222),"0")</f>
        <v>0</v>
      </c>
      <c r="Z224" s="37"/>
      <c r="AA224" s="267"/>
      <c r="AB224" s="267"/>
      <c r="AC224" s="267"/>
    </row>
    <row r="225" spans="1:68" ht="27.75" customHeight="1" x14ac:dyDescent="0.2">
      <c r="A225" s="283" t="s">
        <v>314</v>
      </c>
      <c r="B225" s="284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4"/>
      <c r="P225" s="284"/>
      <c r="Q225" s="284"/>
      <c r="R225" s="284"/>
      <c r="S225" s="284"/>
      <c r="T225" s="284"/>
      <c r="U225" s="284"/>
      <c r="V225" s="284"/>
      <c r="W225" s="284"/>
      <c r="X225" s="284"/>
      <c r="Y225" s="284"/>
      <c r="Z225" s="284"/>
      <c r="AA225" s="48"/>
      <c r="AB225" s="48"/>
      <c r="AC225" s="48"/>
    </row>
    <row r="226" spans="1:68" ht="16.5" customHeight="1" x14ac:dyDescent="0.25">
      <c r="A226" s="286" t="s">
        <v>315</v>
      </c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59"/>
      <c r="AB226" s="259"/>
      <c r="AC226" s="259"/>
    </row>
    <row r="227" spans="1:68" ht="14.25" customHeight="1" x14ac:dyDescent="0.25">
      <c r="A227" s="305" t="s">
        <v>316</v>
      </c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60"/>
      <c r="AB227" s="260"/>
      <c r="AC227" s="260"/>
    </row>
    <row r="228" spans="1:68" ht="27" customHeight="1" x14ac:dyDescent="0.25">
      <c r="A228" s="54" t="s">
        <v>317</v>
      </c>
      <c r="B228" s="54" t="s">
        <v>318</v>
      </c>
      <c r="C228" s="31">
        <v>4301133004</v>
      </c>
      <c r="D228" s="268">
        <v>4607111039774</v>
      </c>
      <c r="E228" s="269"/>
      <c r="F228" s="263">
        <v>0.25</v>
      </c>
      <c r="G228" s="32">
        <v>12</v>
      </c>
      <c r="H228" s="263">
        <v>3</v>
      </c>
      <c r="I228" s="263">
        <v>3.22</v>
      </c>
      <c r="J228" s="32">
        <v>70</v>
      </c>
      <c r="K228" s="32" t="s">
        <v>96</v>
      </c>
      <c r="L228" s="32" t="s">
        <v>68</v>
      </c>
      <c r="M228" s="33" t="s">
        <v>69</v>
      </c>
      <c r="N228" s="33"/>
      <c r="O228" s="32">
        <v>180</v>
      </c>
      <c r="P228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8" s="271"/>
      <c r="R228" s="271"/>
      <c r="S228" s="271"/>
      <c r="T228" s="272"/>
      <c r="U228" s="34"/>
      <c r="V228" s="34"/>
      <c r="W228" s="35" t="s">
        <v>70</v>
      </c>
      <c r="X228" s="264">
        <v>0</v>
      </c>
      <c r="Y228" s="265">
        <f>IFERROR(IF(X228="","",X228),"")</f>
        <v>0</v>
      </c>
      <c r="Z228" s="36">
        <f>IFERROR(IF(X228="","",X228*0.01788),"")</f>
        <v>0</v>
      </c>
      <c r="AA228" s="56"/>
      <c r="AB228" s="57"/>
      <c r="AC228" s="220" t="s">
        <v>319</v>
      </c>
      <c r="AG228" s="67"/>
      <c r="AJ228" s="71" t="s">
        <v>72</v>
      </c>
      <c r="AK228" s="71">
        <v>1</v>
      </c>
      <c r="BB228" s="221" t="s">
        <v>100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88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9"/>
      <c r="P229" s="274" t="s">
        <v>83</v>
      </c>
      <c r="Q229" s="275"/>
      <c r="R229" s="275"/>
      <c r="S229" s="275"/>
      <c r="T229" s="275"/>
      <c r="U229" s="275"/>
      <c r="V229" s="276"/>
      <c r="W229" s="37" t="s">
        <v>70</v>
      </c>
      <c r="X229" s="266">
        <f>IFERROR(SUM(X228:X228),"0")</f>
        <v>0</v>
      </c>
      <c r="Y229" s="266">
        <f>IFERROR(SUM(Y228:Y228),"0")</f>
        <v>0</v>
      </c>
      <c r="Z229" s="266">
        <f>IFERROR(IF(Z228="",0,Z228),"0")</f>
        <v>0</v>
      </c>
      <c r="AA229" s="267"/>
      <c r="AB229" s="267"/>
      <c r="AC229" s="267"/>
    </row>
    <row r="230" spans="1:68" x14ac:dyDescent="0.2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9"/>
      <c r="P230" s="274" t="s">
        <v>83</v>
      </c>
      <c r="Q230" s="275"/>
      <c r="R230" s="275"/>
      <c r="S230" s="275"/>
      <c r="T230" s="275"/>
      <c r="U230" s="275"/>
      <c r="V230" s="276"/>
      <c r="W230" s="37" t="s">
        <v>84</v>
      </c>
      <c r="X230" s="266">
        <f>IFERROR(SUMPRODUCT(X228:X228*H228:H228),"0")</f>
        <v>0</v>
      </c>
      <c r="Y230" s="266">
        <f>IFERROR(SUMPRODUCT(Y228:Y228*H228:H228),"0")</f>
        <v>0</v>
      </c>
      <c r="Z230" s="37"/>
      <c r="AA230" s="267"/>
      <c r="AB230" s="267"/>
      <c r="AC230" s="267"/>
    </row>
    <row r="231" spans="1:68" ht="14.25" customHeight="1" x14ac:dyDescent="0.25">
      <c r="A231" s="305" t="s">
        <v>137</v>
      </c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60"/>
      <c r="AB231" s="260"/>
      <c r="AC231" s="260"/>
    </row>
    <row r="232" spans="1:68" ht="37.5" customHeight="1" x14ac:dyDescent="0.25">
      <c r="A232" s="54" t="s">
        <v>320</v>
      </c>
      <c r="B232" s="54" t="s">
        <v>321</v>
      </c>
      <c r="C232" s="31">
        <v>4301135400</v>
      </c>
      <c r="D232" s="268">
        <v>4607111039361</v>
      </c>
      <c r="E232" s="269"/>
      <c r="F232" s="263">
        <v>0.25</v>
      </c>
      <c r="G232" s="32">
        <v>12</v>
      </c>
      <c r="H232" s="263">
        <v>3</v>
      </c>
      <c r="I232" s="263">
        <v>3.7035999999999998</v>
      </c>
      <c r="J232" s="32">
        <v>70</v>
      </c>
      <c r="K232" s="32" t="s">
        <v>96</v>
      </c>
      <c r="L232" s="32" t="s">
        <v>68</v>
      </c>
      <c r="M232" s="33" t="s">
        <v>69</v>
      </c>
      <c r="N232" s="33"/>
      <c r="O232" s="32">
        <v>180</v>
      </c>
      <c r="P232" s="38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2" s="271"/>
      <c r="R232" s="271"/>
      <c r="S232" s="271"/>
      <c r="T232" s="272"/>
      <c r="U232" s="34"/>
      <c r="V232" s="34"/>
      <c r="W232" s="35" t="s">
        <v>70</v>
      </c>
      <c r="X232" s="264">
        <v>0</v>
      </c>
      <c r="Y232" s="265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319</v>
      </c>
      <c r="AG232" s="67"/>
      <c r="AJ232" s="71" t="s">
        <v>72</v>
      </c>
      <c r="AK232" s="71">
        <v>1</v>
      </c>
      <c r="BB232" s="223" t="s">
        <v>100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8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9"/>
      <c r="P233" s="274" t="s">
        <v>83</v>
      </c>
      <c r="Q233" s="275"/>
      <c r="R233" s="275"/>
      <c r="S233" s="275"/>
      <c r="T233" s="275"/>
      <c r="U233" s="275"/>
      <c r="V233" s="276"/>
      <c r="W233" s="37" t="s">
        <v>70</v>
      </c>
      <c r="X233" s="266">
        <f>IFERROR(SUM(X232:X232),"0")</f>
        <v>0</v>
      </c>
      <c r="Y233" s="266">
        <f>IFERROR(SUM(Y232:Y232),"0")</f>
        <v>0</v>
      </c>
      <c r="Z233" s="266">
        <f>IFERROR(IF(Z232="",0,Z232),"0")</f>
        <v>0</v>
      </c>
      <c r="AA233" s="267"/>
      <c r="AB233" s="267"/>
      <c r="AC233" s="267"/>
    </row>
    <row r="234" spans="1:68" x14ac:dyDescent="0.2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9"/>
      <c r="P234" s="274" t="s">
        <v>83</v>
      </c>
      <c r="Q234" s="275"/>
      <c r="R234" s="275"/>
      <c r="S234" s="275"/>
      <c r="T234" s="275"/>
      <c r="U234" s="275"/>
      <c r="V234" s="276"/>
      <c r="W234" s="37" t="s">
        <v>84</v>
      </c>
      <c r="X234" s="266">
        <f>IFERROR(SUMPRODUCT(X232:X232*H232:H232),"0")</f>
        <v>0</v>
      </c>
      <c r="Y234" s="266">
        <f>IFERROR(SUMPRODUCT(Y232:Y232*H232:H232),"0")</f>
        <v>0</v>
      </c>
      <c r="Z234" s="37"/>
      <c r="AA234" s="267"/>
      <c r="AB234" s="267"/>
      <c r="AC234" s="267"/>
    </row>
    <row r="235" spans="1:68" ht="27.75" customHeight="1" x14ac:dyDescent="0.2">
      <c r="A235" s="283" t="s">
        <v>322</v>
      </c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4"/>
      <c r="P235" s="284"/>
      <c r="Q235" s="284"/>
      <c r="R235" s="284"/>
      <c r="S235" s="284"/>
      <c r="T235" s="284"/>
      <c r="U235" s="284"/>
      <c r="V235" s="284"/>
      <c r="W235" s="284"/>
      <c r="X235" s="284"/>
      <c r="Y235" s="284"/>
      <c r="Z235" s="284"/>
      <c r="AA235" s="48"/>
      <c r="AB235" s="48"/>
      <c r="AC235" s="48"/>
    </row>
    <row r="236" spans="1:68" ht="16.5" customHeight="1" x14ac:dyDescent="0.25">
      <c r="A236" s="286" t="s">
        <v>322</v>
      </c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59"/>
      <c r="AB236" s="259"/>
      <c r="AC236" s="259"/>
    </row>
    <row r="237" spans="1:68" ht="14.25" customHeight="1" x14ac:dyDescent="0.25">
      <c r="A237" s="305" t="s">
        <v>64</v>
      </c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60"/>
      <c r="AB237" s="260"/>
      <c r="AC237" s="260"/>
    </row>
    <row r="238" spans="1:68" ht="27" customHeight="1" x14ac:dyDescent="0.25">
      <c r="A238" s="54" t="s">
        <v>323</v>
      </c>
      <c r="B238" s="54" t="s">
        <v>324</v>
      </c>
      <c r="C238" s="31">
        <v>4301071014</v>
      </c>
      <c r="D238" s="268">
        <v>4640242181264</v>
      </c>
      <c r="E238" s="269"/>
      <c r="F238" s="263">
        <v>0.7</v>
      </c>
      <c r="G238" s="32">
        <v>10</v>
      </c>
      <c r="H238" s="263">
        <v>7</v>
      </c>
      <c r="I238" s="263">
        <v>7.28</v>
      </c>
      <c r="J238" s="32">
        <v>84</v>
      </c>
      <c r="K238" s="32" t="s">
        <v>67</v>
      </c>
      <c r="L238" s="32" t="s">
        <v>68</v>
      </c>
      <c r="M238" s="33" t="s">
        <v>69</v>
      </c>
      <c r="N238" s="33"/>
      <c r="O238" s="32">
        <v>180</v>
      </c>
      <c r="P238" s="37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8" s="271"/>
      <c r="R238" s="271"/>
      <c r="S238" s="271"/>
      <c r="T238" s="272"/>
      <c r="U238" s="34"/>
      <c r="V238" s="34"/>
      <c r="W238" s="35" t="s">
        <v>70</v>
      </c>
      <c r="X238" s="264">
        <v>0</v>
      </c>
      <c r="Y238" s="265">
        <f>IFERROR(IF(X238="","",X238),"")</f>
        <v>0</v>
      </c>
      <c r="Z238" s="36">
        <f>IFERROR(IF(X238="","",X238*0.0155),"")</f>
        <v>0</v>
      </c>
      <c r="AA238" s="56"/>
      <c r="AB238" s="57"/>
      <c r="AC238" s="224" t="s">
        <v>325</v>
      </c>
      <c r="AG238" s="67"/>
      <c r="AJ238" s="71" t="s">
        <v>72</v>
      </c>
      <c r="AK238" s="71">
        <v>1</v>
      </c>
      <c r="BB238" s="225" t="s">
        <v>1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t="27" customHeight="1" x14ac:dyDescent="0.25">
      <c r="A239" s="54" t="s">
        <v>326</v>
      </c>
      <c r="B239" s="54" t="s">
        <v>327</v>
      </c>
      <c r="C239" s="31">
        <v>4301071021</v>
      </c>
      <c r="D239" s="268">
        <v>4640242181325</v>
      </c>
      <c r="E239" s="269"/>
      <c r="F239" s="263">
        <v>0.7</v>
      </c>
      <c r="G239" s="32">
        <v>10</v>
      </c>
      <c r="H239" s="263">
        <v>7</v>
      </c>
      <c r="I239" s="263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39" s="271"/>
      <c r="R239" s="271"/>
      <c r="S239" s="271"/>
      <c r="T239" s="272"/>
      <c r="U239" s="34"/>
      <c r="V239" s="34"/>
      <c r="W239" s="35" t="s">
        <v>70</v>
      </c>
      <c r="X239" s="264">
        <v>0</v>
      </c>
      <c r="Y239" s="265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325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8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9"/>
      <c r="P240" s="274" t="s">
        <v>83</v>
      </c>
      <c r="Q240" s="275"/>
      <c r="R240" s="275"/>
      <c r="S240" s="275"/>
      <c r="T240" s="275"/>
      <c r="U240" s="275"/>
      <c r="V240" s="276"/>
      <c r="W240" s="37" t="s">
        <v>70</v>
      </c>
      <c r="X240" s="266">
        <f>IFERROR(SUM(X238:X239),"0")</f>
        <v>0</v>
      </c>
      <c r="Y240" s="266">
        <f>IFERROR(SUM(Y238:Y239),"0")</f>
        <v>0</v>
      </c>
      <c r="Z240" s="266">
        <f>IFERROR(IF(Z238="",0,Z238),"0")+IFERROR(IF(Z239="",0,Z239),"0")</f>
        <v>0</v>
      </c>
      <c r="AA240" s="267"/>
      <c r="AB240" s="267"/>
      <c r="AC240" s="267"/>
    </row>
    <row r="241" spans="1:68" x14ac:dyDescent="0.2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9"/>
      <c r="P241" s="274" t="s">
        <v>83</v>
      </c>
      <c r="Q241" s="275"/>
      <c r="R241" s="275"/>
      <c r="S241" s="275"/>
      <c r="T241" s="275"/>
      <c r="U241" s="275"/>
      <c r="V241" s="276"/>
      <c r="W241" s="37" t="s">
        <v>84</v>
      </c>
      <c r="X241" s="266">
        <f>IFERROR(SUMPRODUCT(X238:X239*H238:H239),"0")</f>
        <v>0</v>
      </c>
      <c r="Y241" s="266">
        <f>IFERROR(SUMPRODUCT(Y238:Y239*H238:H239),"0")</f>
        <v>0</v>
      </c>
      <c r="Z241" s="37"/>
      <c r="AA241" s="267"/>
      <c r="AB241" s="267"/>
      <c r="AC241" s="267"/>
    </row>
    <row r="242" spans="1:68" ht="14.25" customHeight="1" x14ac:dyDescent="0.25">
      <c r="A242" s="305" t="s">
        <v>93</v>
      </c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60"/>
      <c r="AB242" s="260"/>
      <c r="AC242" s="260"/>
    </row>
    <row r="243" spans="1:68" ht="27" customHeight="1" x14ac:dyDescent="0.25">
      <c r="A243" s="54" t="s">
        <v>328</v>
      </c>
      <c r="B243" s="54" t="s">
        <v>329</v>
      </c>
      <c r="C243" s="31">
        <v>4301132080</v>
      </c>
      <c r="D243" s="268">
        <v>4640242180397</v>
      </c>
      <c r="E243" s="269"/>
      <c r="F243" s="263">
        <v>1</v>
      </c>
      <c r="G243" s="32">
        <v>6</v>
      </c>
      <c r="H243" s="263">
        <v>6</v>
      </c>
      <c r="I243" s="263">
        <v>6.26</v>
      </c>
      <c r="J243" s="32">
        <v>84</v>
      </c>
      <c r="K243" s="32" t="s">
        <v>67</v>
      </c>
      <c r="L243" s="32" t="s">
        <v>97</v>
      </c>
      <c r="M243" s="33" t="s">
        <v>69</v>
      </c>
      <c r="N243" s="33"/>
      <c r="O243" s="32">
        <v>180</v>
      </c>
      <c r="P243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3" s="271"/>
      <c r="R243" s="271"/>
      <c r="S243" s="271"/>
      <c r="T243" s="272"/>
      <c r="U243" s="34"/>
      <c r="V243" s="34"/>
      <c r="W243" s="35" t="s">
        <v>70</v>
      </c>
      <c r="X243" s="264">
        <v>0</v>
      </c>
      <c r="Y243" s="265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330</v>
      </c>
      <c r="AG243" s="67"/>
      <c r="AJ243" s="71" t="s">
        <v>99</v>
      </c>
      <c r="AK243" s="71">
        <v>12</v>
      </c>
      <c r="BB243" s="229" t="s">
        <v>100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8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9"/>
      <c r="P244" s="274" t="s">
        <v>83</v>
      </c>
      <c r="Q244" s="275"/>
      <c r="R244" s="275"/>
      <c r="S244" s="275"/>
      <c r="T244" s="275"/>
      <c r="U244" s="275"/>
      <c r="V244" s="276"/>
      <c r="W244" s="37" t="s">
        <v>70</v>
      </c>
      <c r="X244" s="266">
        <f>IFERROR(SUM(X243:X243),"0")</f>
        <v>0</v>
      </c>
      <c r="Y244" s="266">
        <f>IFERROR(SUM(Y243:Y243),"0")</f>
        <v>0</v>
      </c>
      <c r="Z244" s="266">
        <f>IFERROR(IF(Z243="",0,Z243),"0")</f>
        <v>0</v>
      </c>
      <c r="AA244" s="267"/>
      <c r="AB244" s="267"/>
      <c r="AC244" s="267"/>
    </row>
    <row r="245" spans="1:68" x14ac:dyDescent="0.2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9"/>
      <c r="P245" s="274" t="s">
        <v>83</v>
      </c>
      <c r="Q245" s="275"/>
      <c r="R245" s="275"/>
      <c r="S245" s="275"/>
      <c r="T245" s="275"/>
      <c r="U245" s="275"/>
      <c r="V245" s="276"/>
      <c r="W245" s="37" t="s">
        <v>84</v>
      </c>
      <c r="X245" s="266">
        <f>IFERROR(SUMPRODUCT(X243:X243*H243:H243),"0")</f>
        <v>0</v>
      </c>
      <c r="Y245" s="266">
        <f>IFERROR(SUMPRODUCT(Y243:Y243*H243:H243),"0")</f>
        <v>0</v>
      </c>
      <c r="Z245" s="37"/>
      <c r="AA245" s="267"/>
      <c r="AB245" s="267"/>
      <c r="AC245" s="267"/>
    </row>
    <row r="246" spans="1:68" ht="14.25" customHeight="1" x14ac:dyDescent="0.25">
      <c r="A246" s="305" t="s">
        <v>131</v>
      </c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60"/>
      <c r="AB246" s="260"/>
      <c r="AC246" s="260"/>
    </row>
    <row r="247" spans="1:68" ht="27" customHeight="1" x14ac:dyDescent="0.25">
      <c r="A247" s="54" t="s">
        <v>331</v>
      </c>
      <c r="B247" s="54" t="s">
        <v>332</v>
      </c>
      <c r="C247" s="31">
        <v>4301136051</v>
      </c>
      <c r="D247" s="268">
        <v>4640242180304</v>
      </c>
      <c r="E247" s="269"/>
      <c r="F247" s="263">
        <v>2.7</v>
      </c>
      <c r="G247" s="32">
        <v>1</v>
      </c>
      <c r="H247" s="263">
        <v>2.7</v>
      </c>
      <c r="I247" s="263">
        <v>2.8906000000000001</v>
      </c>
      <c r="J247" s="32">
        <v>126</v>
      </c>
      <c r="K247" s="32" t="s">
        <v>96</v>
      </c>
      <c r="L247" s="32" t="s">
        <v>97</v>
      </c>
      <c r="M247" s="33" t="s">
        <v>69</v>
      </c>
      <c r="N247" s="33"/>
      <c r="O247" s="32">
        <v>180</v>
      </c>
      <c r="P24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7" s="271"/>
      <c r="R247" s="271"/>
      <c r="S247" s="271"/>
      <c r="T247" s="272"/>
      <c r="U247" s="34"/>
      <c r="V247" s="34"/>
      <c r="W247" s="35" t="s">
        <v>70</v>
      </c>
      <c r="X247" s="264">
        <v>0</v>
      </c>
      <c r="Y247" s="265">
        <f>IFERROR(IF(X247="","",X247),"")</f>
        <v>0</v>
      </c>
      <c r="Z247" s="36">
        <f>IFERROR(IF(X247="","",X247*0.00936),"")</f>
        <v>0</v>
      </c>
      <c r="AA247" s="56"/>
      <c r="AB247" s="57"/>
      <c r="AC247" s="230" t="s">
        <v>333</v>
      </c>
      <c r="AG247" s="67"/>
      <c r="AJ247" s="71" t="s">
        <v>99</v>
      </c>
      <c r="AK247" s="71">
        <v>14</v>
      </c>
      <c r="BB247" s="231" t="s">
        <v>100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334</v>
      </c>
      <c r="B248" s="54" t="s">
        <v>335</v>
      </c>
      <c r="C248" s="31">
        <v>4301136053</v>
      </c>
      <c r="D248" s="268">
        <v>4640242180236</v>
      </c>
      <c r="E248" s="269"/>
      <c r="F248" s="263">
        <v>5</v>
      </c>
      <c r="G248" s="32">
        <v>1</v>
      </c>
      <c r="H248" s="263">
        <v>5</v>
      </c>
      <c r="I248" s="263">
        <v>5.2350000000000003</v>
      </c>
      <c r="J248" s="32">
        <v>84</v>
      </c>
      <c r="K248" s="32" t="s">
        <v>67</v>
      </c>
      <c r="L248" s="32" t="s">
        <v>97</v>
      </c>
      <c r="M248" s="33" t="s">
        <v>69</v>
      </c>
      <c r="N248" s="33"/>
      <c r="O248" s="32">
        <v>180</v>
      </c>
      <c r="P248" s="38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8" s="271"/>
      <c r="R248" s="271"/>
      <c r="S248" s="271"/>
      <c r="T248" s="272"/>
      <c r="U248" s="34"/>
      <c r="V248" s="34"/>
      <c r="W248" s="35" t="s">
        <v>70</v>
      </c>
      <c r="X248" s="264">
        <v>0</v>
      </c>
      <c r="Y248" s="265">
        <f>IFERROR(IF(X248="","",X248),"")</f>
        <v>0</v>
      </c>
      <c r="Z248" s="36">
        <f>IFERROR(IF(X248="","",X248*0.0155),"")</f>
        <v>0</v>
      </c>
      <c r="AA248" s="56"/>
      <c r="AB248" s="57"/>
      <c r="AC248" s="232" t="s">
        <v>333</v>
      </c>
      <c r="AG248" s="67"/>
      <c r="AJ248" s="71" t="s">
        <v>99</v>
      </c>
      <c r="AK248" s="71">
        <v>12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336</v>
      </c>
      <c r="B249" s="54" t="s">
        <v>337</v>
      </c>
      <c r="C249" s="31">
        <v>4301136052</v>
      </c>
      <c r="D249" s="268">
        <v>4640242180410</v>
      </c>
      <c r="E249" s="269"/>
      <c r="F249" s="263">
        <v>2.2400000000000002</v>
      </c>
      <c r="G249" s="32">
        <v>1</v>
      </c>
      <c r="H249" s="263">
        <v>2.2400000000000002</v>
      </c>
      <c r="I249" s="263">
        <v>2.4319999999999999</v>
      </c>
      <c r="J249" s="32">
        <v>126</v>
      </c>
      <c r="K249" s="32" t="s">
        <v>96</v>
      </c>
      <c r="L249" s="32" t="s">
        <v>68</v>
      </c>
      <c r="M249" s="33" t="s">
        <v>69</v>
      </c>
      <c r="N249" s="33"/>
      <c r="O249" s="32">
        <v>180</v>
      </c>
      <c r="P249" s="29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49" s="271"/>
      <c r="R249" s="271"/>
      <c r="S249" s="271"/>
      <c r="T249" s="272"/>
      <c r="U249" s="34"/>
      <c r="V249" s="34"/>
      <c r="W249" s="35" t="s">
        <v>70</v>
      </c>
      <c r="X249" s="264">
        <v>0</v>
      </c>
      <c r="Y249" s="265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333</v>
      </c>
      <c r="AG249" s="67"/>
      <c r="AJ249" s="71" t="s">
        <v>72</v>
      </c>
      <c r="AK249" s="71">
        <v>1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8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9"/>
      <c r="P250" s="274" t="s">
        <v>83</v>
      </c>
      <c r="Q250" s="275"/>
      <c r="R250" s="275"/>
      <c r="S250" s="275"/>
      <c r="T250" s="275"/>
      <c r="U250" s="275"/>
      <c r="V250" s="276"/>
      <c r="W250" s="37" t="s">
        <v>70</v>
      </c>
      <c r="X250" s="266">
        <f>IFERROR(SUM(X247:X249),"0")</f>
        <v>0</v>
      </c>
      <c r="Y250" s="266">
        <f>IFERROR(SUM(Y247:Y249),"0")</f>
        <v>0</v>
      </c>
      <c r="Z250" s="266">
        <f>IFERROR(IF(Z247="",0,Z247),"0")+IFERROR(IF(Z248="",0,Z248),"0")+IFERROR(IF(Z249="",0,Z249),"0")</f>
        <v>0</v>
      </c>
      <c r="AA250" s="267"/>
      <c r="AB250" s="267"/>
      <c r="AC250" s="267"/>
    </row>
    <row r="251" spans="1:68" x14ac:dyDescent="0.2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9"/>
      <c r="P251" s="274" t="s">
        <v>83</v>
      </c>
      <c r="Q251" s="275"/>
      <c r="R251" s="275"/>
      <c r="S251" s="275"/>
      <c r="T251" s="275"/>
      <c r="U251" s="275"/>
      <c r="V251" s="276"/>
      <c r="W251" s="37" t="s">
        <v>84</v>
      </c>
      <c r="X251" s="266">
        <f>IFERROR(SUMPRODUCT(X247:X249*H247:H249),"0")</f>
        <v>0</v>
      </c>
      <c r="Y251" s="266">
        <f>IFERROR(SUMPRODUCT(Y247:Y249*H247:H249),"0")</f>
        <v>0</v>
      </c>
      <c r="Z251" s="37"/>
      <c r="AA251" s="267"/>
      <c r="AB251" s="267"/>
      <c r="AC251" s="267"/>
    </row>
    <row r="252" spans="1:68" ht="14.25" customHeight="1" x14ac:dyDescent="0.25">
      <c r="A252" s="305" t="s">
        <v>137</v>
      </c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60"/>
      <c r="AB252" s="260"/>
      <c r="AC252" s="260"/>
    </row>
    <row r="253" spans="1:68" ht="37.5" customHeight="1" x14ac:dyDescent="0.25">
      <c r="A253" s="54" t="s">
        <v>338</v>
      </c>
      <c r="B253" s="54" t="s">
        <v>339</v>
      </c>
      <c r="C253" s="31">
        <v>4301135504</v>
      </c>
      <c r="D253" s="268">
        <v>4640242181554</v>
      </c>
      <c r="E253" s="269"/>
      <c r="F253" s="263">
        <v>3</v>
      </c>
      <c r="G253" s="32">
        <v>1</v>
      </c>
      <c r="H253" s="263">
        <v>3</v>
      </c>
      <c r="I253" s="263">
        <v>3.1920000000000002</v>
      </c>
      <c r="J253" s="32">
        <v>126</v>
      </c>
      <c r="K253" s="32" t="s">
        <v>96</v>
      </c>
      <c r="L253" s="32" t="s">
        <v>68</v>
      </c>
      <c r="M253" s="33" t="s">
        <v>69</v>
      </c>
      <c r="N253" s="33"/>
      <c r="O253" s="32">
        <v>180</v>
      </c>
      <c r="P253" s="436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3" s="271"/>
      <c r="R253" s="271"/>
      <c r="S253" s="271"/>
      <c r="T253" s="272"/>
      <c r="U253" s="34"/>
      <c r="V253" s="34"/>
      <c r="W253" s="35" t="s">
        <v>70</v>
      </c>
      <c r="X253" s="264">
        <v>0</v>
      </c>
      <c r="Y253" s="265">
        <f t="shared" ref="Y253:Y262" si="18">IFERROR(IF(X253="","",X253),"")</f>
        <v>0</v>
      </c>
      <c r="Z253" s="36">
        <f>IFERROR(IF(X253="","",X253*0.00936),"")</f>
        <v>0</v>
      </c>
      <c r="AA253" s="56"/>
      <c r="AB253" s="57"/>
      <c r="AC253" s="236" t="s">
        <v>340</v>
      </c>
      <c r="AG253" s="67"/>
      <c r="AJ253" s="71" t="s">
        <v>72</v>
      </c>
      <c r="AK253" s="71">
        <v>1</v>
      </c>
      <c r="BB253" s="237" t="s">
        <v>100</v>
      </c>
      <c r="BM253" s="67">
        <f t="shared" ref="BM253:BM262" si="19">IFERROR(X253*I253,"0")</f>
        <v>0</v>
      </c>
      <c r="BN253" s="67">
        <f t="shared" ref="BN253:BN262" si="20">IFERROR(Y253*I253,"0")</f>
        <v>0</v>
      </c>
      <c r="BO253" s="67">
        <f t="shared" ref="BO253:BO262" si="21">IFERROR(X253/J253,"0")</f>
        <v>0</v>
      </c>
      <c r="BP253" s="67">
        <f t="shared" ref="BP253:BP262" si="22"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4301135518</v>
      </c>
      <c r="D254" s="268">
        <v>4640242181561</v>
      </c>
      <c r="E254" s="269"/>
      <c r="F254" s="263">
        <v>3.7</v>
      </c>
      <c r="G254" s="32">
        <v>1</v>
      </c>
      <c r="H254" s="263">
        <v>3.7</v>
      </c>
      <c r="I254" s="263">
        <v>3.8919999999999999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4" s="271"/>
      <c r="R254" s="271"/>
      <c r="S254" s="271"/>
      <c r="T254" s="272"/>
      <c r="U254" s="34"/>
      <c r="V254" s="34"/>
      <c r="W254" s="35" t="s">
        <v>70</v>
      </c>
      <c r="X254" s="264">
        <v>252</v>
      </c>
      <c r="Y254" s="265">
        <f t="shared" si="18"/>
        <v>252</v>
      </c>
      <c r="Z254" s="36">
        <f>IFERROR(IF(X254="","",X254*0.00936),"")</f>
        <v>2.3587199999999999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si="19"/>
        <v>980.78399999999999</v>
      </c>
      <c r="BN254" s="67">
        <f t="shared" si="20"/>
        <v>980.78399999999999</v>
      </c>
      <c r="BO254" s="67">
        <f t="shared" si="21"/>
        <v>2</v>
      </c>
      <c r="BP254" s="67">
        <f t="shared" si="22"/>
        <v>2</v>
      </c>
    </row>
    <row r="255" spans="1:68" ht="27" customHeight="1" x14ac:dyDescent="0.25">
      <c r="A255" s="54" t="s">
        <v>344</v>
      </c>
      <c r="B255" s="54" t="s">
        <v>345</v>
      </c>
      <c r="C255" s="31">
        <v>4301135374</v>
      </c>
      <c r="D255" s="268">
        <v>4640242181424</v>
      </c>
      <c r="E255" s="269"/>
      <c r="F255" s="263">
        <v>5.5</v>
      </c>
      <c r="G255" s="32">
        <v>1</v>
      </c>
      <c r="H255" s="263">
        <v>5.5</v>
      </c>
      <c r="I255" s="263">
        <v>5.7350000000000003</v>
      </c>
      <c r="J255" s="32">
        <v>84</v>
      </c>
      <c r="K255" s="32" t="s">
        <v>67</v>
      </c>
      <c r="L255" s="32" t="s">
        <v>97</v>
      </c>
      <c r="M255" s="33" t="s">
        <v>69</v>
      </c>
      <c r="N255" s="33"/>
      <c r="O255" s="32">
        <v>180</v>
      </c>
      <c r="P255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5" s="271"/>
      <c r="R255" s="271"/>
      <c r="S255" s="271"/>
      <c r="T255" s="272"/>
      <c r="U255" s="34"/>
      <c r="V255" s="34"/>
      <c r="W255" s="35" t="s">
        <v>70</v>
      </c>
      <c r="X255" s="264">
        <v>216</v>
      </c>
      <c r="Y255" s="265">
        <f t="shared" si="18"/>
        <v>216</v>
      </c>
      <c r="Z255" s="36">
        <f>IFERROR(IF(X255="","",X255*0.0155),"")</f>
        <v>3.3479999999999999</v>
      </c>
      <c r="AA255" s="56"/>
      <c r="AB255" s="57"/>
      <c r="AC255" s="240" t="s">
        <v>340</v>
      </c>
      <c r="AG255" s="67"/>
      <c r="AJ255" s="71" t="s">
        <v>99</v>
      </c>
      <c r="AK255" s="71">
        <v>12</v>
      </c>
      <c r="BB255" s="241" t="s">
        <v>100</v>
      </c>
      <c r="BM255" s="67">
        <f t="shared" si="19"/>
        <v>1238.76</v>
      </c>
      <c r="BN255" s="67">
        <f t="shared" si="20"/>
        <v>1238.76</v>
      </c>
      <c r="BO255" s="67">
        <f t="shared" si="21"/>
        <v>2.5714285714285716</v>
      </c>
      <c r="BP255" s="67">
        <f t="shared" si="22"/>
        <v>2.5714285714285716</v>
      </c>
    </row>
    <row r="256" spans="1:68" ht="27" customHeight="1" x14ac:dyDescent="0.25">
      <c r="A256" s="54" t="s">
        <v>346</v>
      </c>
      <c r="B256" s="54" t="s">
        <v>347</v>
      </c>
      <c r="C256" s="31">
        <v>4301135405</v>
      </c>
      <c r="D256" s="268">
        <v>4640242181523</v>
      </c>
      <c r="E256" s="269"/>
      <c r="F256" s="263">
        <v>3</v>
      </c>
      <c r="G256" s="32">
        <v>1</v>
      </c>
      <c r="H256" s="263">
        <v>3</v>
      </c>
      <c r="I256" s="263">
        <v>3.1920000000000002</v>
      </c>
      <c r="J256" s="32">
        <v>126</v>
      </c>
      <c r="K256" s="32" t="s">
        <v>96</v>
      </c>
      <c r="L256" s="32" t="s">
        <v>97</v>
      </c>
      <c r="M256" s="33" t="s">
        <v>69</v>
      </c>
      <c r="N256" s="33"/>
      <c r="O256" s="32">
        <v>180</v>
      </c>
      <c r="P256" s="3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6" s="271"/>
      <c r="R256" s="271"/>
      <c r="S256" s="271"/>
      <c r="T256" s="272"/>
      <c r="U256" s="34"/>
      <c r="V256" s="34"/>
      <c r="W256" s="35" t="s">
        <v>70</v>
      </c>
      <c r="X256" s="264">
        <v>140</v>
      </c>
      <c r="Y256" s="265">
        <f t="shared" si="18"/>
        <v>140</v>
      </c>
      <c r="Z256" s="36">
        <f t="shared" ref="Z256:Z261" si="23">IFERROR(IF(X256="","",X256*0.00936),"")</f>
        <v>1.3104</v>
      </c>
      <c r="AA256" s="56"/>
      <c r="AB256" s="57"/>
      <c r="AC256" s="242" t="s">
        <v>343</v>
      </c>
      <c r="AG256" s="67"/>
      <c r="AJ256" s="71" t="s">
        <v>99</v>
      </c>
      <c r="AK256" s="71">
        <v>14</v>
      </c>
      <c r="BB256" s="243" t="s">
        <v>100</v>
      </c>
      <c r="BM256" s="67">
        <f t="shared" si="19"/>
        <v>446.88</v>
      </c>
      <c r="BN256" s="67">
        <f t="shared" si="20"/>
        <v>446.88</v>
      </c>
      <c r="BO256" s="67">
        <f t="shared" si="21"/>
        <v>1.1111111111111112</v>
      </c>
      <c r="BP256" s="67">
        <f t="shared" si="22"/>
        <v>1.1111111111111112</v>
      </c>
    </row>
    <row r="257" spans="1:68" ht="27" customHeight="1" x14ac:dyDescent="0.25">
      <c r="A257" s="54" t="s">
        <v>348</v>
      </c>
      <c r="B257" s="54" t="s">
        <v>349</v>
      </c>
      <c r="C257" s="31">
        <v>4301135375</v>
      </c>
      <c r="D257" s="268">
        <v>4640242181486</v>
      </c>
      <c r="E257" s="269"/>
      <c r="F257" s="263">
        <v>3.7</v>
      </c>
      <c r="G257" s="32">
        <v>1</v>
      </c>
      <c r="H257" s="263">
        <v>3.7</v>
      </c>
      <c r="I257" s="263">
        <v>3.8919999999999999</v>
      </c>
      <c r="J257" s="32">
        <v>126</v>
      </c>
      <c r="K257" s="32" t="s">
        <v>96</v>
      </c>
      <c r="L257" s="32" t="s">
        <v>216</v>
      </c>
      <c r="M257" s="33" t="s">
        <v>69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7" s="271"/>
      <c r="R257" s="271"/>
      <c r="S257" s="271"/>
      <c r="T257" s="272"/>
      <c r="U257" s="34"/>
      <c r="V257" s="34"/>
      <c r="W257" s="35" t="s">
        <v>70</v>
      </c>
      <c r="X257" s="264">
        <v>630</v>
      </c>
      <c r="Y257" s="265">
        <f t="shared" si="18"/>
        <v>630</v>
      </c>
      <c r="Z257" s="36">
        <f t="shared" si="23"/>
        <v>5.8967999999999998</v>
      </c>
      <c r="AA257" s="56"/>
      <c r="AB257" s="57"/>
      <c r="AC257" s="244" t="s">
        <v>340</v>
      </c>
      <c r="AG257" s="67"/>
      <c r="AJ257" s="71" t="s">
        <v>217</v>
      </c>
      <c r="AK257" s="71">
        <v>126</v>
      </c>
      <c r="BB257" s="245" t="s">
        <v>100</v>
      </c>
      <c r="BM257" s="67">
        <f t="shared" si="19"/>
        <v>2451.96</v>
      </c>
      <c r="BN257" s="67">
        <f t="shared" si="20"/>
        <v>2451.96</v>
      </c>
      <c r="BO257" s="67">
        <f t="shared" si="21"/>
        <v>5</v>
      </c>
      <c r="BP257" s="67">
        <f t="shared" si="22"/>
        <v>5</v>
      </c>
    </row>
    <row r="258" spans="1:68" ht="37.5" customHeight="1" x14ac:dyDescent="0.25">
      <c r="A258" s="54" t="s">
        <v>350</v>
      </c>
      <c r="B258" s="54" t="s">
        <v>351</v>
      </c>
      <c r="C258" s="31">
        <v>4301135402</v>
      </c>
      <c r="D258" s="268">
        <v>4640242181493</v>
      </c>
      <c r="E258" s="269"/>
      <c r="F258" s="263">
        <v>3.7</v>
      </c>
      <c r="G258" s="32">
        <v>1</v>
      </c>
      <c r="H258" s="263">
        <v>3.7</v>
      </c>
      <c r="I258" s="263">
        <v>3.8919999999999999</v>
      </c>
      <c r="J258" s="32">
        <v>126</v>
      </c>
      <c r="K258" s="32" t="s">
        <v>96</v>
      </c>
      <c r="L258" s="32" t="s">
        <v>97</v>
      </c>
      <c r="M258" s="33" t="s">
        <v>69</v>
      </c>
      <c r="N258" s="33"/>
      <c r="O258" s="32">
        <v>180</v>
      </c>
      <c r="P258" s="33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8" s="271"/>
      <c r="R258" s="271"/>
      <c r="S258" s="271"/>
      <c r="T258" s="272"/>
      <c r="U258" s="34"/>
      <c r="V258" s="34"/>
      <c r="W258" s="35" t="s">
        <v>70</v>
      </c>
      <c r="X258" s="264">
        <v>14</v>
      </c>
      <c r="Y258" s="265">
        <f t="shared" si="18"/>
        <v>14</v>
      </c>
      <c r="Z258" s="36">
        <f t="shared" si="23"/>
        <v>0.13103999999999999</v>
      </c>
      <c r="AA258" s="56"/>
      <c r="AB258" s="57"/>
      <c r="AC258" s="246" t="s">
        <v>340</v>
      </c>
      <c r="AG258" s="67"/>
      <c r="AJ258" s="71" t="s">
        <v>99</v>
      </c>
      <c r="AK258" s="71">
        <v>14</v>
      </c>
      <c r="BB258" s="247" t="s">
        <v>100</v>
      </c>
      <c r="BM258" s="67">
        <f t="shared" si="19"/>
        <v>54.488</v>
      </c>
      <c r="BN258" s="67">
        <f t="shared" si="20"/>
        <v>54.488</v>
      </c>
      <c r="BO258" s="67">
        <f t="shared" si="21"/>
        <v>0.1111111111111111</v>
      </c>
      <c r="BP258" s="67">
        <f t="shared" si="22"/>
        <v>0.1111111111111111</v>
      </c>
    </row>
    <row r="259" spans="1:68" ht="37.5" customHeight="1" x14ac:dyDescent="0.25">
      <c r="A259" s="54" t="s">
        <v>352</v>
      </c>
      <c r="B259" s="54" t="s">
        <v>353</v>
      </c>
      <c r="C259" s="31">
        <v>4301135403</v>
      </c>
      <c r="D259" s="268">
        <v>4640242181509</v>
      </c>
      <c r="E259" s="269"/>
      <c r="F259" s="263">
        <v>3.7</v>
      </c>
      <c r="G259" s="32">
        <v>1</v>
      </c>
      <c r="H259" s="263">
        <v>3.7</v>
      </c>
      <c r="I259" s="263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59" s="271"/>
      <c r="R259" s="271"/>
      <c r="S259" s="271"/>
      <c r="T259" s="272"/>
      <c r="U259" s="34"/>
      <c r="V259" s="34"/>
      <c r="W259" s="35" t="s">
        <v>70</v>
      </c>
      <c r="X259" s="264">
        <v>0</v>
      </c>
      <c r="Y259" s="265">
        <f t="shared" si="18"/>
        <v>0</v>
      </c>
      <c r="Z259" s="36">
        <f t="shared" si="23"/>
        <v>0</v>
      </c>
      <c r="AA259" s="56"/>
      <c r="AB259" s="57"/>
      <c r="AC259" s="248" t="s">
        <v>340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354</v>
      </c>
      <c r="B260" s="54" t="s">
        <v>355</v>
      </c>
      <c r="C260" s="31">
        <v>4301135304</v>
      </c>
      <c r="D260" s="268">
        <v>4640242181240</v>
      </c>
      <c r="E260" s="269"/>
      <c r="F260" s="263">
        <v>0.3</v>
      </c>
      <c r="G260" s="32">
        <v>9</v>
      </c>
      <c r="H260" s="263">
        <v>2.7</v>
      </c>
      <c r="I260" s="263">
        <v>2.88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7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0" s="271"/>
      <c r="R260" s="271"/>
      <c r="S260" s="271"/>
      <c r="T260" s="272"/>
      <c r="U260" s="34"/>
      <c r="V260" s="34"/>
      <c r="W260" s="35" t="s">
        <v>70</v>
      </c>
      <c r="X260" s="264">
        <v>0</v>
      </c>
      <c r="Y260" s="265">
        <f t="shared" si="18"/>
        <v>0</v>
      </c>
      <c r="Z260" s="36">
        <f t="shared" si="23"/>
        <v>0</v>
      </c>
      <c r="AA260" s="56"/>
      <c r="AB260" s="57"/>
      <c r="AC260" s="250" t="s">
        <v>340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356</v>
      </c>
      <c r="B261" s="54" t="s">
        <v>357</v>
      </c>
      <c r="C261" s="31">
        <v>4301135610</v>
      </c>
      <c r="D261" s="268">
        <v>4640242181318</v>
      </c>
      <c r="E261" s="269"/>
      <c r="F261" s="263">
        <v>0.3</v>
      </c>
      <c r="G261" s="32">
        <v>9</v>
      </c>
      <c r="H261" s="263">
        <v>2.7</v>
      </c>
      <c r="I261" s="263">
        <v>2.988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1" s="271"/>
      <c r="R261" s="271"/>
      <c r="S261" s="271"/>
      <c r="T261" s="272"/>
      <c r="U261" s="34"/>
      <c r="V261" s="34"/>
      <c r="W261" s="35" t="s">
        <v>70</v>
      </c>
      <c r="X261" s="264">
        <v>0</v>
      </c>
      <c r="Y261" s="265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358</v>
      </c>
      <c r="B262" s="54" t="s">
        <v>359</v>
      </c>
      <c r="C262" s="31">
        <v>4301135306</v>
      </c>
      <c r="D262" s="268">
        <v>4640242181387</v>
      </c>
      <c r="E262" s="269"/>
      <c r="F262" s="263">
        <v>0.3</v>
      </c>
      <c r="G262" s="32">
        <v>9</v>
      </c>
      <c r="H262" s="263">
        <v>2.7</v>
      </c>
      <c r="I262" s="263">
        <v>2.8450000000000002</v>
      </c>
      <c r="J262" s="32">
        <v>234</v>
      </c>
      <c r="K262" s="32" t="s">
        <v>148</v>
      </c>
      <c r="L262" s="32" t="s">
        <v>68</v>
      </c>
      <c r="M262" s="33" t="s">
        <v>69</v>
      </c>
      <c r="N262" s="33"/>
      <c r="O262" s="32">
        <v>180</v>
      </c>
      <c r="P262" s="44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2" s="271"/>
      <c r="R262" s="271"/>
      <c r="S262" s="271"/>
      <c r="T262" s="272"/>
      <c r="U262" s="34"/>
      <c r="V262" s="34"/>
      <c r="W262" s="35" t="s">
        <v>70</v>
      </c>
      <c r="X262" s="264">
        <v>0</v>
      </c>
      <c r="Y262" s="265">
        <f t="shared" si="18"/>
        <v>0</v>
      </c>
      <c r="Z262" s="36">
        <f>IFERROR(IF(X262="","",X262*0.00502),"")</f>
        <v>0</v>
      </c>
      <c r="AA262" s="56"/>
      <c r="AB262" s="57"/>
      <c r="AC262" s="254" t="s">
        <v>340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x14ac:dyDescent="0.2">
      <c r="A263" s="288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9"/>
      <c r="P263" s="274" t="s">
        <v>83</v>
      </c>
      <c r="Q263" s="275"/>
      <c r="R263" s="275"/>
      <c r="S263" s="275"/>
      <c r="T263" s="275"/>
      <c r="U263" s="275"/>
      <c r="V263" s="276"/>
      <c r="W263" s="37" t="s">
        <v>70</v>
      </c>
      <c r="X263" s="266">
        <f>IFERROR(SUM(X253:X262),"0")</f>
        <v>1252</v>
      </c>
      <c r="Y263" s="266">
        <f>IFERROR(SUM(Y253:Y262),"0")</f>
        <v>1252</v>
      </c>
      <c r="Z263" s="266">
        <f>IFERROR(IF(Z253="",0,Z253),"0")+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</f>
        <v>13.044960000000001</v>
      </c>
      <c r="AA263" s="267"/>
      <c r="AB263" s="267"/>
      <c r="AC263" s="267"/>
    </row>
    <row r="264" spans="1:68" x14ac:dyDescent="0.2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9"/>
      <c r="P264" s="274" t="s">
        <v>83</v>
      </c>
      <c r="Q264" s="275"/>
      <c r="R264" s="275"/>
      <c r="S264" s="275"/>
      <c r="T264" s="275"/>
      <c r="U264" s="275"/>
      <c r="V264" s="276"/>
      <c r="W264" s="37" t="s">
        <v>84</v>
      </c>
      <c r="X264" s="266">
        <f>IFERROR(SUMPRODUCT(X253:X262*H253:H262),"0")</f>
        <v>4923.2</v>
      </c>
      <c r="Y264" s="266">
        <f>IFERROR(SUMPRODUCT(Y253:Y262*H253:H262),"0")</f>
        <v>4923.2</v>
      </c>
      <c r="Z264" s="37"/>
      <c r="AA264" s="267"/>
      <c r="AB264" s="267"/>
      <c r="AC264" s="267"/>
    </row>
    <row r="265" spans="1:68" ht="15" customHeight="1" x14ac:dyDescent="0.2">
      <c r="A265" s="35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358"/>
      <c r="P265" s="320" t="s">
        <v>360</v>
      </c>
      <c r="Q265" s="321"/>
      <c r="R265" s="321"/>
      <c r="S265" s="321"/>
      <c r="T265" s="321"/>
      <c r="U265" s="321"/>
      <c r="V265" s="322"/>
      <c r="W265" s="37" t="s">
        <v>84</v>
      </c>
      <c r="X265" s="266">
        <f>IFERROR(X29+X35+X42+X49+X57+X62+X66+X71+X77+X83+X88+X94+X104+X110+X121+X125+X129+X135+X141+X147+X152+X157+X162+X167+X174+X183+X187+X193+X201+X206+X212+X218+X224+X230+X234+X241+X245+X251+X264,"0")</f>
        <v>4923.2</v>
      </c>
      <c r="Y265" s="266">
        <f>IFERROR(Y29+Y35+Y42+Y49+Y57+Y62+Y66+Y71+Y77+Y83+Y88+Y94+Y104+Y110+Y121+Y125+Y129+Y135+Y141+Y147+Y152+Y157+Y162+Y167+Y174+Y183+Y187+Y193+Y201+Y206+Y212+Y218+Y224+Y230+Y234+Y241+Y245+Y251+Y264,"0")</f>
        <v>4923.2</v>
      </c>
      <c r="Z265" s="37"/>
      <c r="AA265" s="267"/>
      <c r="AB265" s="267"/>
      <c r="AC265" s="267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358"/>
      <c r="P266" s="320" t="s">
        <v>361</v>
      </c>
      <c r="Q266" s="321"/>
      <c r="R266" s="321"/>
      <c r="S266" s="321"/>
      <c r="T266" s="321"/>
      <c r="U266" s="321"/>
      <c r="V266" s="322"/>
      <c r="W266" s="37" t="s">
        <v>84</v>
      </c>
      <c r="X266" s="266">
        <f>IFERROR(SUM(BM22:BM262),"0")</f>
        <v>5172.8720000000003</v>
      </c>
      <c r="Y266" s="266">
        <f>IFERROR(SUM(BN22:BN262),"0")</f>
        <v>5172.8720000000003</v>
      </c>
      <c r="Z266" s="37"/>
      <c r="AA266" s="267"/>
      <c r="AB266" s="267"/>
      <c r="AC266" s="267"/>
    </row>
    <row r="267" spans="1:68" x14ac:dyDescent="0.2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58"/>
      <c r="P267" s="320" t="s">
        <v>362</v>
      </c>
      <c r="Q267" s="321"/>
      <c r="R267" s="321"/>
      <c r="S267" s="321"/>
      <c r="T267" s="321"/>
      <c r="U267" s="321"/>
      <c r="V267" s="322"/>
      <c r="W267" s="37" t="s">
        <v>363</v>
      </c>
      <c r="X267" s="38">
        <f>ROUNDUP(SUM(BO22:BO262),0)</f>
        <v>11</v>
      </c>
      <c r="Y267" s="38">
        <f>ROUNDUP(SUM(BP22:BP262),0)</f>
        <v>11</v>
      </c>
      <c r="Z267" s="37"/>
      <c r="AA267" s="267"/>
      <c r="AB267" s="267"/>
      <c r="AC267" s="267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58"/>
      <c r="P268" s="320" t="s">
        <v>364</v>
      </c>
      <c r="Q268" s="321"/>
      <c r="R268" s="321"/>
      <c r="S268" s="321"/>
      <c r="T268" s="321"/>
      <c r="U268" s="321"/>
      <c r="V268" s="322"/>
      <c r="W268" s="37" t="s">
        <v>84</v>
      </c>
      <c r="X268" s="266">
        <f>GrossWeightTotal+PalletQtyTotal*25</f>
        <v>5447.8720000000003</v>
      </c>
      <c r="Y268" s="266">
        <f>GrossWeightTotalR+PalletQtyTotalR*25</f>
        <v>5447.8720000000003</v>
      </c>
      <c r="Z268" s="37"/>
      <c r="AA268" s="267"/>
      <c r="AB268" s="267"/>
      <c r="AC268" s="267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58"/>
      <c r="P269" s="320" t="s">
        <v>365</v>
      </c>
      <c r="Q269" s="321"/>
      <c r="R269" s="321"/>
      <c r="S269" s="321"/>
      <c r="T269" s="321"/>
      <c r="U269" s="321"/>
      <c r="V269" s="322"/>
      <c r="W269" s="37" t="s">
        <v>363</v>
      </c>
      <c r="X269" s="266">
        <f>IFERROR(X28+X34+X41+X48+X56+X61+X65+X70+X76+X82+X87+X93+X103+X109+X120+X124+X128+X134+X140+X146+X151+X156+X161+X166+X173+X182+X186+X192+X200+X205+X211+X217+X223+X229+X233+X240+X244+X250+X263,"0")</f>
        <v>1252</v>
      </c>
      <c r="Y269" s="266">
        <f>IFERROR(Y28+Y34+Y41+Y48+Y56+Y61+Y65+Y70+Y76+Y82+Y87+Y93+Y103+Y109+Y120+Y124+Y128+Y134+Y140+Y146+Y151+Y156+Y161+Y166+Y173+Y182+Y186+Y192+Y200+Y205+Y211+Y217+Y223+Y229+Y233+Y240+Y244+Y250+Y263,"0")</f>
        <v>1252</v>
      </c>
      <c r="Z269" s="37"/>
      <c r="AA269" s="267"/>
      <c r="AB269" s="267"/>
      <c r="AC269" s="267"/>
    </row>
    <row r="270" spans="1:68" ht="14.25" customHeight="1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58"/>
      <c r="P270" s="320" t="s">
        <v>366</v>
      </c>
      <c r="Q270" s="321"/>
      <c r="R270" s="321"/>
      <c r="S270" s="321"/>
      <c r="T270" s="321"/>
      <c r="U270" s="321"/>
      <c r="V270" s="322"/>
      <c r="W270" s="39" t="s">
        <v>367</v>
      </c>
      <c r="X270" s="37"/>
      <c r="Y270" s="37"/>
      <c r="Z270" s="37">
        <f>IFERROR(Z28+Z34+Z41+Z48+Z56+Z61+Z65+Z70+Z76+Z82+Z87+Z93+Z103+Z109+Z120+Z124+Z128+Z134+Z140+Z146+Z151+Z156+Z161+Z166+Z173+Z182+Z186+Z192+Z200+Z205+Z211+Z217+Z223+Z229+Z233+Z240+Z244+Z250+Z263,"0")</f>
        <v>13.044960000000001</v>
      </c>
      <c r="AA270" s="267"/>
      <c r="AB270" s="267"/>
      <c r="AC270" s="267"/>
    </row>
    <row r="271" spans="1:68" ht="13.5" customHeight="1" thickBot="1" x14ac:dyDescent="0.25"/>
    <row r="272" spans="1:68" ht="27" customHeight="1" thickTop="1" thickBot="1" x14ac:dyDescent="0.25">
      <c r="A272" s="40" t="s">
        <v>368</v>
      </c>
      <c r="B272" s="279" t="s">
        <v>63</v>
      </c>
      <c r="C272" s="281"/>
      <c r="D272" s="279" t="s">
        <v>91</v>
      </c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0"/>
      <c r="P272" s="280"/>
      <c r="Q272" s="280"/>
      <c r="R272" s="280"/>
      <c r="S272" s="280"/>
      <c r="T272" s="280"/>
      <c r="U272" s="281"/>
      <c r="V272" s="261" t="s">
        <v>246</v>
      </c>
      <c r="W272" s="261" t="s">
        <v>254</v>
      </c>
      <c r="X272" s="279" t="s">
        <v>276</v>
      </c>
      <c r="Y272" s="280"/>
      <c r="Z272" s="281"/>
      <c r="AA272" s="261" t="s">
        <v>305</v>
      </c>
      <c r="AB272" s="261" t="s">
        <v>310</v>
      </c>
      <c r="AC272" s="261" t="s">
        <v>314</v>
      </c>
      <c r="AD272" s="261" t="s">
        <v>322</v>
      </c>
      <c r="AF272" s="262"/>
    </row>
    <row r="273" spans="1:32" ht="14.25" customHeight="1" thickTop="1" x14ac:dyDescent="0.2">
      <c r="A273" s="385" t="s">
        <v>369</v>
      </c>
      <c r="B273" s="279" t="s">
        <v>63</v>
      </c>
      <c r="C273" s="279" t="s">
        <v>85</v>
      </c>
      <c r="D273" s="279" t="s">
        <v>92</v>
      </c>
      <c r="E273" s="279" t="s">
        <v>103</v>
      </c>
      <c r="F273" s="279" t="s">
        <v>113</v>
      </c>
      <c r="G273" s="279" t="s">
        <v>124</v>
      </c>
      <c r="H273" s="279" t="s">
        <v>145</v>
      </c>
      <c r="I273" s="279" t="s">
        <v>152</v>
      </c>
      <c r="J273" s="279" t="s">
        <v>156</v>
      </c>
      <c r="K273" s="279" t="s">
        <v>164</v>
      </c>
      <c r="L273" s="279" t="s">
        <v>179</v>
      </c>
      <c r="M273" s="279" t="s">
        <v>185</v>
      </c>
      <c r="N273" s="262"/>
      <c r="O273" s="279" t="s">
        <v>210</v>
      </c>
      <c r="P273" s="279" t="s">
        <v>218</v>
      </c>
      <c r="Q273" s="279" t="s">
        <v>225</v>
      </c>
      <c r="R273" s="279" t="s">
        <v>230</v>
      </c>
      <c r="S273" s="279" t="s">
        <v>234</v>
      </c>
      <c r="T273" s="279" t="s">
        <v>237</v>
      </c>
      <c r="U273" s="279" t="s">
        <v>242</v>
      </c>
      <c r="V273" s="279" t="s">
        <v>247</v>
      </c>
      <c r="W273" s="279" t="s">
        <v>255</v>
      </c>
      <c r="X273" s="279" t="s">
        <v>277</v>
      </c>
      <c r="Y273" s="279" t="s">
        <v>295</v>
      </c>
      <c r="Z273" s="279" t="s">
        <v>299</v>
      </c>
      <c r="AA273" s="279" t="s">
        <v>306</v>
      </c>
      <c r="AB273" s="279" t="s">
        <v>311</v>
      </c>
      <c r="AC273" s="279" t="s">
        <v>315</v>
      </c>
      <c r="AD273" s="279" t="s">
        <v>322</v>
      </c>
      <c r="AF273" s="262"/>
    </row>
    <row r="274" spans="1:32" ht="13.5" customHeight="1" thickBot="1" x14ac:dyDescent="0.25">
      <c r="A274" s="386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6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  <c r="AF274" s="262"/>
    </row>
    <row r="275" spans="1:32" ht="18" customHeight="1" thickTop="1" thickBot="1" x14ac:dyDescent="0.25">
      <c r="A275" s="40" t="s">
        <v>370</v>
      </c>
      <c r="B275" s="46">
        <f>IFERROR(X22*H22,"0")+IFERROR(X23*H23,"0")+IFERROR(X24*H24,"0")+IFERROR(X25*H25,"0")+IFERROR(X26*H26,"0")+IFERROR(X27*H27,"0")</f>
        <v>0</v>
      </c>
      <c r="C275" s="46">
        <f>IFERROR(X32*H32,"0")+IFERROR(X33*H33,"0")</f>
        <v>0</v>
      </c>
      <c r="D275" s="46">
        <f>IFERROR(X39*H39,"0")+IFERROR(X40*H40,"0")</f>
        <v>0</v>
      </c>
      <c r="E275" s="46">
        <f>IFERROR(X45*H45,"0")+IFERROR(X46*H46,"0")+IFERROR(X47*H47,"0")</f>
        <v>0</v>
      </c>
      <c r="F275" s="46">
        <f>IFERROR(X52*H52,"0")+IFERROR(X53*H53,"0")+IFERROR(X54*H54,"0")+IFERROR(X55*H55,"0")</f>
        <v>0</v>
      </c>
      <c r="G275" s="46">
        <f>IFERROR(X60*H60,"0")+IFERROR(X64*H64,"0")+IFERROR(X68*H68,"0")+IFERROR(X69*H69,"0")+IFERROR(X73*H73,"0")+IFERROR(X74*H74,"0")+IFERROR(X75*H75,"0")</f>
        <v>0</v>
      </c>
      <c r="H275" s="46">
        <f>IFERROR(X80*H80,"0")+IFERROR(X81*H81,"0")</f>
        <v>0</v>
      </c>
      <c r="I275" s="46">
        <f>IFERROR(X86*H86,"0")</f>
        <v>0</v>
      </c>
      <c r="J275" s="46">
        <f>IFERROR(X91*H91,"0")+IFERROR(X92*H92,"0")</f>
        <v>0</v>
      </c>
      <c r="K275" s="46">
        <f>IFERROR(X97*H97,"0")+IFERROR(X98*H98,"0")+IFERROR(X99*H99,"0")+IFERROR(X100*H100,"0")+IFERROR(X101*H101,"0")+IFERROR(X102*H102,"0")</f>
        <v>0</v>
      </c>
      <c r="L275" s="46">
        <f>IFERROR(X107*H107,"0")+IFERROR(X108*H108,"0")</f>
        <v>0</v>
      </c>
      <c r="M275" s="46">
        <f>IFERROR(X113*H113,"0")+IFERROR(X114*H114,"0")+IFERROR(X115*H115,"0")+IFERROR(X116*H116,"0")+IFERROR(X117*H117,"0")+IFERROR(X118*H118,"0")+IFERROR(X119*H119,"0")+IFERROR(X123*H123,"0")+IFERROR(X127*H127,"0")</f>
        <v>0</v>
      </c>
      <c r="N275" s="262"/>
      <c r="O275" s="46">
        <f>IFERROR(X132*H132,"0")+IFERROR(X133*H133,"0")</f>
        <v>0</v>
      </c>
      <c r="P275" s="46">
        <f>IFERROR(X138*H138,"0")+IFERROR(X139*H139,"0")</f>
        <v>0</v>
      </c>
      <c r="Q275" s="46">
        <f>IFERROR(X144*H144,"0")+IFERROR(X145*H145,"0")</f>
        <v>0</v>
      </c>
      <c r="R275" s="46">
        <f>IFERROR(X150*H150,"0")</f>
        <v>0</v>
      </c>
      <c r="S275" s="46">
        <f>IFERROR(X155*H155,"0")</f>
        <v>0</v>
      </c>
      <c r="T275" s="46">
        <f>IFERROR(X160*H160,"0")</f>
        <v>0</v>
      </c>
      <c r="U275" s="46">
        <f>IFERROR(X165*H165,"0")</f>
        <v>0</v>
      </c>
      <c r="V275" s="46">
        <f>IFERROR(X171*H171,"0")+IFERROR(X172*H172,"0")</f>
        <v>0</v>
      </c>
      <c r="W275" s="46">
        <f>IFERROR(X178*H178,"0")+IFERROR(X179*H179,"0")+IFERROR(X180*H180,"0")+IFERROR(X181*H181,"0")+IFERROR(X185*H185,"0")</f>
        <v>0</v>
      </c>
      <c r="X275" s="46">
        <f>IFERROR(X191*H191,"0")+IFERROR(X195*H195,"0")+IFERROR(X196*H196,"0")+IFERROR(X197*H197,"0")+IFERROR(X198*H198,"0")+IFERROR(X199*H199,"0")</f>
        <v>0</v>
      </c>
      <c r="Y275" s="46">
        <f>IFERROR(X204*H204,"0")</f>
        <v>0</v>
      </c>
      <c r="Z275" s="46">
        <f>IFERROR(X209*H209,"0")+IFERROR(X210*H210,"0")</f>
        <v>0</v>
      </c>
      <c r="AA275" s="46">
        <f>IFERROR(X216*H216,"0")</f>
        <v>0</v>
      </c>
      <c r="AB275" s="46">
        <f>IFERROR(X222*H222,"0")</f>
        <v>0</v>
      </c>
      <c r="AC275" s="46">
        <f>IFERROR(X228*H228,"0")+IFERROR(X232*H232,"0")</f>
        <v>0</v>
      </c>
      <c r="AD275" s="46">
        <f>IFERROR(X238*H238,"0")+IFERROR(X239*H239,"0")+IFERROR(X243*H243,"0")+IFERROR(X247*H247,"0")+IFERROR(X248*H248,"0")+IFERROR(X249*H249,"0")+IFERROR(X253*H253,"0")+IFERROR(X254*H254,"0")+IFERROR(X255*H255,"0")+IFERROR(X256*H256,"0")+IFERROR(X257*H257,"0")+IFERROR(X258*H258,"0")+IFERROR(X259*H259,"0")+IFERROR(X260*H260,"0")+IFERROR(X261*H261,"0")+IFERROR(X262*H262,"0")</f>
        <v>4923.2</v>
      </c>
      <c r="AF275" s="262"/>
    </row>
    <row r="276" spans="1:32" ht="13.5" customHeight="1" thickTop="1" x14ac:dyDescent="0.2">
      <c r="C276" s="262"/>
    </row>
    <row r="277" spans="1:32" ht="19.5" customHeight="1" x14ac:dyDescent="0.2">
      <c r="A277" s="58" t="s">
        <v>371</v>
      </c>
      <c r="B277" s="58" t="s">
        <v>372</v>
      </c>
      <c r="C277" s="58" t="s">
        <v>373</v>
      </c>
    </row>
    <row r="278" spans="1:32" x14ac:dyDescent="0.2">
      <c r="A278" s="59">
        <f>SUMPRODUCT(--(BB:BB="ЗПФ"),--(W:W="кор"),H:H,Y:Y)+SUMPRODUCT(--(BB:BB="ЗПФ"),--(W:W="кг"),Y:Y)</f>
        <v>0</v>
      </c>
      <c r="B278" s="60">
        <f>SUMPRODUCT(--(BB:BB="ПГП"),--(W:W="кор"),H:H,Y:Y)+SUMPRODUCT(--(BB:BB="ПГП"),--(W:W="кг"),Y:Y)</f>
        <v>4923.2</v>
      </c>
      <c r="C278" s="60">
        <f>SUMPRODUCT(--(BB:BB="КИЗ"),--(W:W="кор"),H:H,Y:Y)+SUMPRODUCT(--(BB:BB="КИЗ"),--(W:W="кг"),Y:Y)</f>
        <v>0</v>
      </c>
    </row>
  </sheetData>
  <sheetProtection algorithmName="SHA-512" hashValue="bll7anJ+a7yMR0+L2P9GjjNjQ+idIc8iU5/uamC/cBjse0DL/V3qlXtEkLobifJhpKkPdgTt6bm2JMEYQZtckA==" saltValue="4TkJ1MO8kkGVOUG3xgjga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2">
    <mergeCell ref="A21:Z21"/>
    <mergeCell ref="A194:Z194"/>
    <mergeCell ref="D17:E18"/>
    <mergeCell ref="A151:O152"/>
    <mergeCell ref="A131:Z131"/>
    <mergeCell ref="D123:E123"/>
    <mergeCell ref="X17:X18"/>
    <mergeCell ref="Q6:R6"/>
    <mergeCell ref="P243:T243"/>
    <mergeCell ref="A124:O125"/>
    <mergeCell ref="D102:E102"/>
    <mergeCell ref="D196:E196"/>
    <mergeCell ref="D25:E25"/>
    <mergeCell ref="D133:E133"/>
    <mergeCell ref="A231:Z231"/>
    <mergeCell ref="D54:E54"/>
    <mergeCell ref="V12:W12"/>
    <mergeCell ref="A200:O201"/>
    <mergeCell ref="D191:E191"/>
    <mergeCell ref="P25:T25"/>
    <mergeCell ref="A30:Z30"/>
    <mergeCell ref="P60:T60"/>
    <mergeCell ref="D239:E239"/>
    <mergeCell ref="U17:V17"/>
    <mergeCell ref="Y17:Y18"/>
    <mergeCell ref="A8:C8"/>
    <mergeCell ref="D32:E32"/>
    <mergeCell ref="A153:Z153"/>
    <mergeCell ref="D97:E97"/>
    <mergeCell ref="P76:V76"/>
    <mergeCell ref="A10:C10"/>
    <mergeCell ref="AC273:AC274"/>
    <mergeCell ref="AD17:AF18"/>
    <mergeCell ref="P167:V167"/>
    <mergeCell ref="D101:E101"/>
    <mergeCell ref="F5:G5"/>
    <mergeCell ref="A221:Z221"/>
    <mergeCell ref="R273:R274"/>
    <mergeCell ref="A236:Z236"/>
    <mergeCell ref="J273:J274"/>
    <mergeCell ref="P253:T253"/>
    <mergeCell ref="V11:W11"/>
    <mergeCell ref="D165:E165"/>
    <mergeCell ref="A205:O206"/>
    <mergeCell ref="P75:T75"/>
    <mergeCell ref="A192:O193"/>
    <mergeCell ref="A263:O264"/>
    <mergeCell ref="P181:T181"/>
    <mergeCell ref="D23:E23"/>
    <mergeCell ref="D216:E216"/>
    <mergeCell ref="A134:O135"/>
    <mergeCell ref="A20:Z20"/>
    <mergeCell ref="P123:T123"/>
    <mergeCell ref="A112:Z112"/>
    <mergeCell ref="P66:V66"/>
    <mergeCell ref="P2:W3"/>
    <mergeCell ref="P133:T133"/>
    <mergeCell ref="P127:T127"/>
    <mergeCell ref="P218:V218"/>
    <mergeCell ref="P198:T198"/>
    <mergeCell ref="P54:T54"/>
    <mergeCell ref="A244:O245"/>
    <mergeCell ref="A170:Z170"/>
    <mergeCell ref="A43:Z43"/>
    <mergeCell ref="D228:E228"/>
    <mergeCell ref="D10:E10"/>
    <mergeCell ref="P64:T64"/>
    <mergeCell ref="F10:G10"/>
    <mergeCell ref="P191:T191"/>
    <mergeCell ref="D243:E243"/>
    <mergeCell ref="D99:E99"/>
    <mergeCell ref="A130:Z130"/>
    <mergeCell ref="P205:V205"/>
    <mergeCell ref="A176:Z176"/>
    <mergeCell ref="A51:Z51"/>
    <mergeCell ref="N17:N18"/>
    <mergeCell ref="Q5:R5"/>
    <mergeCell ref="P199:T199"/>
    <mergeCell ref="F17:F18"/>
    <mergeCell ref="W273:W274"/>
    <mergeCell ref="A103:O104"/>
    <mergeCell ref="M17:M18"/>
    <mergeCell ref="O17:O18"/>
    <mergeCell ref="P187:V187"/>
    <mergeCell ref="P223:V223"/>
    <mergeCell ref="H273:H274"/>
    <mergeCell ref="P174:V174"/>
    <mergeCell ref="A175:Z175"/>
    <mergeCell ref="A235:Z235"/>
    <mergeCell ref="P102:T102"/>
    <mergeCell ref="P196:T196"/>
    <mergeCell ref="D33:E33"/>
    <mergeCell ref="A106:Z106"/>
    <mergeCell ref="D247:E247"/>
    <mergeCell ref="D249:E249"/>
    <mergeCell ref="P262:T262"/>
    <mergeCell ref="D107:E107"/>
    <mergeCell ref="P228:T228"/>
    <mergeCell ref="D171:E171"/>
    <mergeCell ref="D262:E262"/>
    <mergeCell ref="I273:I274"/>
    <mergeCell ref="K273:K274"/>
    <mergeCell ref="P140:V140"/>
    <mergeCell ref="H5:M5"/>
    <mergeCell ref="A154:Z154"/>
    <mergeCell ref="P98:T98"/>
    <mergeCell ref="A214:Z214"/>
    <mergeCell ref="D6:M6"/>
    <mergeCell ref="P266:V266"/>
    <mergeCell ref="A85:Z85"/>
    <mergeCell ref="AD273:AD274"/>
    <mergeCell ref="X273:X274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P121:V121"/>
    <mergeCell ref="D80:E80"/>
    <mergeCell ref="A207:Z207"/>
    <mergeCell ref="P42:V42"/>
    <mergeCell ref="B272:C272"/>
    <mergeCell ref="A169:Z169"/>
    <mergeCell ref="A225:Z225"/>
    <mergeCell ref="V6:W9"/>
    <mergeCell ref="D199:E199"/>
    <mergeCell ref="P234:V234"/>
    <mergeCell ref="A59:Z59"/>
    <mergeCell ref="A93:O94"/>
    <mergeCell ref="P222:T222"/>
    <mergeCell ref="P22:T22"/>
    <mergeCell ref="P40:T40"/>
    <mergeCell ref="C273:C274"/>
    <mergeCell ref="P257:T257"/>
    <mergeCell ref="P80:T80"/>
    <mergeCell ref="Z17:Z18"/>
    <mergeCell ref="P173:V173"/>
    <mergeCell ref="P29:V29"/>
    <mergeCell ref="P265:V265"/>
    <mergeCell ref="P94:V94"/>
    <mergeCell ref="A90:Z90"/>
    <mergeCell ref="U273:U274"/>
    <mergeCell ref="P240:V240"/>
    <mergeCell ref="P46:T46"/>
    <mergeCell ref="A227:Z227"/>
    <mergeCell ref="A9:C9"/>
    <mergeCell ref="P70:V70"/>
    <mergeCell ref="P103:V103"/>
    <mergeCell ref="AA17:AA18"/>
    <mergeCell ref="H10:M10"/>
    <mergeCell ref="AC17:AC18"/>
    <mergeCell ref="A122:Z122"/>
    <mergeCell ref="P108:T108"/>
    <mergeCell ref="V273:V274"/>
    <mergeCell ref="A72:Z72"/>
    <mergeCell ref="P254:T254"/>
    <mergeCell ref="P147:V147"/>
    <mergeCell ref="P45:T45"/>
    <mergeCell ref="P256:T256"/>
    <mergeCell ref="AB17:AB18"/>
    <mergeCell ref="P134:V134"/>
    <mergeCell ref="B273:B274"/>
    <mergeCell ref="P268:V268"/>
    <mergeCell ref="Q13:R13"/>
    <mergeCell ref="A220:Z220"/>
    <mergeCell ref="P139:T139"/>
    <mergeCell ref="P247:T247"/>
    <mergeCell ref="P114:T114"/>
    <mergeCell ref="D155:E155"/>
    <mergeCell ref="D22:E22"/>
    <mergeCell ref="P178:T178"/>
    <mergeCell ref="D257:E257"/>
    <mergeCell ref="J9:M9"/>
    <mergeCell ref="A65:O66"/>
    <mergeCell ref="D127:E127"/>
    <mergeCell ref="A56:O57"/>
    <mergeCell ref="D114:E114"/>
    <mergeCell ref="D64:E64"/>
    <mergeCell ref="P248:T248"/>
    <mergeCell ref="P157:V157"/>
    <mergeCell ref="A38:Z38"/>
    <mergeCell ref="P28:V28"/>
    <mergeCell ref="D138:E138"/>
    <mergeCell ref="A67:Z67"/>
    <mergeCell ref="P232:T232"/>
    <mergeCell ref="P152:V152"/>
    <mergeCell ref="H17:H18"/>
    <mergeCell ref="D204:E204"/>
    <mergeCell ref="D198:E198"/>
    <mergeCell ref="P104:V104"/>
    <mergeCell ref="P27:T27"/>
    <mergeCell ref="D75:E75"/>
    <mergeCell ref="P241:V241"/>
    <mergeCell ref="P41:V41"/>
    <mergeCell ref="D181:E181"/>
    <mergeCell ref="A158:Z158"/>
    <mergeCell ref="P273:P274"/>
    <mergeCell ref="P71:V71"/>
    <mergeCell ref="A13:M13"/>
    <mergeCell ref="P244:V244"/>
    <mergeCell ref="P115:T115"/>
    <mergeCell ref="D254:E254"/>
    <mergeCell ref="A15:M15"/>
    <mergeCell ref="P238:T238"/>
    <mergeCell ref="A61:O62"/>
    <mergeCell ref="P204:T204"/>
    <mergeCell ref="P179:T179"/>
    <mergeCell ref="P261:T261"/>
    <mergeCell ref="A273:A274"/>
    <mergeCell ref="A252:Z252"/>
    <mergeCell ref="P91:T91"/>
    <mergeCell ref="P56:V56"/>
    <mergeCell ref="D39:E39"/>
    <mergeCell ref="D86:E86"/>
    <mergeCell ref="P192:V192"/>
    <mergeCell ref="A166:O167"/>
    <mergeCell ref="D150:E150"/>
    <mergeCell ref="P107:T107"/>
    <mergeCell ref="P129:V129"/>
    <mergeCell ref="P101:T101"/>
    <mergeCell ref="P216:T216"/>
    <mergeCell ref="P124:V124"/>
    <mergeCell ref="A217:O218"/>
    <mergeCell ref="P151:V151"/>
    <mergeCell ref="D74:E74"/>
    <mergeCell ref="A203:Z203"/>
    <mergeCell ref="D68:E68"/>
    <mergeCell ref="P24:T24"/>
    <mergeCell ref="P260:T260"/>
    <mergeCell ref="D132:E132"/>
    <mergeCell ref="A63:Z63"/>
    <mergeCell ref="D178:E178"/>
    <mergeCell ref="D172:E172"/>
    <mergeCell ref="A156:O157"/>
    <mergeCell ref="P26:T26"/>
    <mergeCell ref="A128:O129"/>
    <mergeCell ref="P250:V250"/>
    <mergeCell ref="A246:Z246"/>
    <mergeCell ref="A136:Z136"/>
    <mergeCell ref="A12:M12"/>
    <mergeCell ref="P200:V200"/>
    <mergeCell ref="P74:T74"/>
    <mergeCell ref="A190:Z190"/>
    <mergeCell ref="A19:Z19"/>
    <mergeCell ref="A14:M14"/>
    <mergeCell ref="A111:Z111"/>
    <mergeCell ref="P138:T138"/>
    <mergeCell ref="T5:U5"/>
    <mergeCell ref="D119:E119"/>
    <mergeCell ref="V5:W5"/>
    <mergeCell ref="D46:E46"/>
    <mergeCell ref="D40:E40"/>
    <mergeCell ref="A34:O35"/>
    <mergeCell ref="A142:Z142"/>
    <mergeCell ref="A28:O29"/>
    <mergeCell ref="P69:T69"/>
    <mergeCell ref="Q8:R8"/>
    <mergeCell ref="A186:O187"/>
    <mergeCell ref="P83:V83"/>
    <mergeCell ref="A79:Z79"/>
    <mergeCell ref="A82:O83"/>
    <mergeCell ref="T6:U9"/>
    <mergeCell ref="Q10:R10"/>
    <mergeCell ref="D116:E116"/>
    <mergeCell ref="A177:Z177"/>
    <mergeCell ref="D91:E91"/>
    <mergeCell ref="P23:T23"/>
    <mergeCell ref="D273:D274"/>
    <mergeCell ref="A164:Z164"/>
    <mergeCell ref="F273:F274"/>
    <mergeCell ref="P210:T210"/>
    <mergeCell ref="P185:T185"/>
    <mergeCell ref="M273:M274"/>
    <mergeCell ref="A146:O147"/>
    <mergeCell ref="A41:O42"/>
    <mergeCell ref="P65:V65"/>
    <mergeCell ref="A188:Z188"/>
    <mergeCell ref="P263:V263"/>
    <mergeCell ref="A126:Z126"/>
    <mergeCell ref="L273:L274"/>
    <mergeCell ref="P212:V212"/>
    <mergeCell ref="D248:E248"/>
    <mergeCell ref="D185:E185"/>
    <mergeCell ref="O273:O274"/>
    <mergeCell ref="A137:Z137"/>
    <mergeCell ref="A208:Z208"/>
    <mergeCell ref="A37:Z37"/>
    <mergeCell ref="A5:C5"/>
    <mergeCell ref="A237:Z237"/>
    <mergeCell ref="P135:V135"/>
    <mergeCell ref="D179:E179"/>
    <mergeCell ref="P128:V128"/>
    <mergeCell ref="P195:T195"/>
    <mergeCell ref="A17:A18"/>
    <mergeCell ref="A189:Z189"/>
    <mergeCell ref="C17:C18"/>
    <mergeCell ref="K17:K18"/>
    <mergeCell ref="D180:E180"/>
    <mergeCell ref="D9:E9"/>
    <mergeCell ref="P197:T197"/>
    <mergeCell ref="D118:E118"/>
    <mergeCell ref="P53:T53"/>
    <mergeCell ref="F9:G9"/>
    <mergeCell ref="D232:E232"/>
    <mergeCell ref="P68:T68"/>
    <mergeCell ref="P186:V186"/>
    <mergeCell ref="P82:V82"/>
    <mergeCell ref="P132:T132"/>
    <mergeCell ref="A44:Z44"/>
    <mergeCell ref="P146:V146"/>
    <mergeCell ref="A31:Z31"/>
    <mergeCell ref="E273:E274"/>
    <mergeCell ref="A159:Z159"/>
    <mergeCell ref="G273:G274"/>
    <mergeCell ref="A219:Z219"/>
    <mergeCell ref="Q11:R11"/>
    <mergeCell ref="D24:E24"/>
    <mergeCell ref="D260:E260"/>
    <mergeCell ref="A6:C6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P62:V62"/>
    <mergeCell ref="P239:T239"/>
    <mergeCell ref="A265:O270"/>
    <mergeCell ref="D52:E52"/>
    <mergeCell ref="D1:F1"/>
    <mergeCell ref="A242:Z242"/>
    <mergeCell ref="P47:T47"/>
    <mergeCell ref="J17:J18"/>
    <mergeCell ref="P61:V61"/>
    <mergeCell ref="L17:L18"/>
    <mergeCell ref="A184:Z184"/>
    <mergeCell ref="P48:V48"/>
    <mergeCell ref="P255:T255"/>
    <mergeCell ref="P125:V125"/>
    <mergeCell ref="D100:E100"/>
    <mergeCell ref="P113:T113"/>
    <mergeCell ref="P17:T18"/>
    <mergeCell ref="A148:Z148"/>
    <mergeCell ref="D108:E108"/>
    <mergeCell ref="A182:O183"/>
    <mergeCell ref="P52:T52"/>
    <mergeCell ref="A168:Z168"/>
    <mergeCell ref="P201:V201"/>
    <mergeCell ref="D160:E160"/>
    <mergeCell ref="I17:I18"/>
    <mergeCell ref="A48:O49"/>
    <mergeCell ref="P34:V34"/>
    <mergeCell ref="A95:Z95"/>
    <mergeCell ref="H1:Q1"/>
    <mergeCell ref="P109:V109"/>
    <mergeCell ref="P193:V193"/>
    <mergeCell ref="D259:E259"/>
    <mergeCell ref="A163:Z163"/>
    <mergeCell ref="AA273:AA274"/>
    <mergeCell ref="D117:E117"/>
    <mergeCell ref="P171:T171"/>
    <mergeCell ref="D92:E92"/>
    <mergeCell ref="D55:E55"/>
    <mergeCell ref="D5:E5"/>
    <mergeCell ref="P259:T259"/>
    <mergeCell ref="D69:E69"/>
    <mergeCell ref="A109:O110"/>
    <mergeCell ref="A240:O241"/>
    <mergeCell ref="P162:V162"/>
    <mergeCell ref="P264:V264"/>
    <mergeCell ref="P93:V93"/>
    <mergeCell ref="P269:V269"/>
    <mergeCell ref="P35:V35"/>
    <mergeCell ref="D145:E145"/>
    <mergeCell ref="D210:E210"/>
    <mergeCell ref="A250:O251"/>
    <mergeCell ref="P39:T39"/>
    <mergeCell ref="D7:M7"/>
    <mergeCell ref="P92:T92"/>
    <mergeCell ref="P156:V156"/>
    <mergeCell ref="D144:E144"/>
    <mergeCell ref="S273:S274"/>
    <mergeCell ref="P100:T100"/>
    <mergeCell ref="D81:E81"/>
    <mergeCell ref="D8:M8"/>
    <mergeCell ref="A211:O212"/>
    <mergeCell ref="A226:Z226"/>
    <mergeCell ref="A161:O162"/>
    <mergeCell ref="D139:E139"/>
    <mergeCell ref="P251:V251"/>
    <mergeCell ref="P182:V182"/>
    <mergeCell ref="D209:E209"/>
    <mergeCell ref="A89:Z89"/>
    <mergeCell ref="P116:T116"/>
    <mergeCell ref="A105:Z105"/>
    <mergeCell ref="P32:T32"/>
    <mergeCell ref="A233:O234"/>
    <mergeCell ref="P97:T97"/>
    <mergeCell ref="X272:Z272"/>
    <mergeCell ref="P258:T258"/>
    <mergeCell ref="Z273:Z274"/>
    <mergeCell ref="R1:T1"/>
    <mergeCell ref="P150:T150"/>
    <mergeCell ref="P165:T165"/>
    <mergeCell ref="P229:V229"/>
    <mergeCell ref="Y273:Y274"/>
    <mergeCell ref="D98:E98"/>
    <mergeCell ref="D73:E73"/>
    <mergeCell ref="P77:V77"/>
    <mergeCell ref="A76:O77"/>
    <mergeCell ref="P166:V166"/>
    <mergeCell ref="P141:V141"/>
    <mergeCell ref="A140:O141"/>
    <mergeCell ref="P206:V206"/>
    <mergeCell ref="A202:Z202"/>
    <mergeCell ref="P233:V233"/>
    <mergeCell ref="A58:Z58"/>
    <mergeCell ref="P230:V230"/>
    <mergeCell ref="B17:B18"/>
    <mergeCell ref="Q273:Q274"/>
    <mergeCell ref="D258:E258"/>
    <mergeCell ref="P81:T81"/>
    <mergeCell ref="D195:E195"/>
    <mergeCell ref="V10:W10"/>
    <mergeCell ref="A173:O174"/>
    <mergeCell ref="AB273:AB274"/>
    <mergeCell ref="P211:V211"/>
    <mergeCell ref="A36:Z36"/>
    <mergeCell ref="T273:T274"/>
    <mergeCell ref="P88:V88"/>
    <mergeCell ref="P155:T155"/>
    <mergeCell ref="A78:Z78"/>
    <mergeCell ref="A70:O71"/>
    <mergeCell ref="D238:E238"/>
    <mergeCell ref="P86:T86"/>
    <mergeCell ref="P249:T249"/>
    <mergeCell ref="A87:O88"/>
    <mergeCell ref="P172:T172"/>
    <mergeCell ref="A229:O230"/>
    <mergeCell ref="P99:T99"/>
    <mergeCell ref="P145:T145"/>
    <mergeCell ref="D197:E197"/>
    <mergeCell ref="D253:E253"/>
    <mergeCell ref="D53:E53"/>
    <mergeCell ref="D47:E47"/>
    <mergeCell ref="A84:Z84"/>
    <mergeCell ref="P160:T160"/>
    <mergeCell ref="A149:Z149"/>
    <mergeCell ref="P209:T209"/>
    <mergeCell ref="D60:E60"/>
    <mergeCell ref="P73:T73"/>
    <mergeCell ref="P144:T144"/>
    <mergeCell ref="P87:V87"/>
    <mergeCell ref="P245:V245"/>
    <mergeCell ref="D45:E45"/>
    <mergeCell ref="H9:I9"/>
    <mergeCell ref="D272:U272"/>
    <mergeCell ref="P224:V224"/>
    <mergeCell ref="A50:Z50"/>
    <mergeCell ref="W17:W18"/>
    <mergeCell ref="P161:V161"/>
    <mergeCell ref="P217:V217"/>
    <mergeCell ref="A213:Z213"/>
    <mergeCell ref="A215:Z215"/>
    <mergeCell ref="A120:O121"/>
    <mergeCell ref="P270:V270"/>
    <mergeCell ref="Q9:R9"/>
    <mergeCell ref="P267:V267"/>
    <mergeCell ref="D255:E255"/>
    <mergeCell ref="P49:V49"/>
    <mergeCell ref="P110:V110"/>
    <mergeCell ref="D27:E27"/>
    <mergeCell ref="P15:T1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4 X117 X123 X127 X138 X144 X160 X171 X181 X185 X195 X197 X199 X209:X210 X216 X222 X228 X232 X238:X239 X249 X253 X259:X26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3 X115:X116 X118:X119 X132 X139 X145 X150 X155 X165 X172 X178:X180 X191 X196 X198 X204 X243 X247:X248 X254:X256 X258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57" xr:uid="{00000000-0002-0000-0000-000013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374</v>
      </c>
      <c r="H1" s="52"/>
    </row>
    <row r="3" spans="2:8" x14ac:dyDescent="0.2">
      <c r="B3" s="47" t="s">
        <v>375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376</v>
      </c>
      <c r="D6" s="47" t="s">
        <v>377</v>
      </c>
      <c r="E6" s="47"/>
    </row>
    <row r="8" spans="2:8" x14ac:dyDescent="0.2">
      <c r="B8" s="47" t="s">
        <v>19</v>
      </c>
      <c r="C8" s="47" t="s">
        <v>376</v>
      </c>
      <c r="D8" s="47"/>
      <c r="E8" s="47"/>
    </row>
    <row r="10" spans="2:8" x14ac:dyDescent="0.2">
      <c r="B10" s="47" t="s">
        <v>378</v>
      </c>
      <c r="C10" s="47"/>
      <c r="D10" s="47"/>
      <c r="E10" s="47"/>
    </row>
    <row r="11" spans="2:8" x14ac:dyDescent="0.2">
      <c r="B11" s="47" t="s">
        <v>379</v>
      </c>
      <c r="C11" s="47"/>
      <c r="D11" s="47"/>
      <c r="E11" s="47"/>
    </row>
    <row r="12" spans="2:8" x14ac:dyDescent="0.2">
      <c r="B12" s="47" t="s">
        <v>380</v>
      </c>
      <c r="C12" s="47"/>
      <c r="D12" s="47"/>
      <c r="E12" s="47"/>
    </row>
    <row r="13" spans="2:8" x14ac:dyDescent="0.2">
      <c r="B13" s="47" t="s">
        <v>381</v>
      </c>
      <c r="C13" s="47"/>
      <c r="D13" s="47"/>
      <c r="E13" s="47"/>
    </row>
    <row r="14" spans="2:8" x14ac:dyDescent="0.2">
      <c r="B14" s="47" t="s">
        <v>382</v>
      </c>
      <c r="C14" s="47"/>
      <c r="D14" s="47"/>
      <c r="E14" s="47"/>
    </row>
    <row r="15" spans="2:8" x14ac:dyDescent="0.2">
      <c r="B15" s="47" t="s">
        <v>383</v>
      </c>
      <c r="C15" s="47"/>
      <c r="D15" s="47"/>
      <c r="E15" s="47"/>
    </row>
    <row r="16" spans="2:8" x14ac:dyDescent="0.2">
      <c r="B16" s="47" t="s">
        <v>384</v>
      </c>
      <c r="C16" s="47"/>
      <c r="D16" s="47"/>
      <c r="E16" s="47"/>
    </row>
    <row r="17" spans="2:5" x14ac:dyDescent="0.2">
      <c r="B17" s="47" t="s">
        <v>385</v>
      </c>
      <c r="C17" s="47"/>
      <c r="D17" s="47"/>
      <c r="E17" s="47"/>
    </row>
    <row r="18" spans="2:5" x14ac:dyDescent="0.2">
      <c r="B18" s="47" t="s">
        <v>386</v>
      </c>
      <c r="C18" s="47"/>
      <c r="D18" s="47"/>
      <c r="E18" s="47"/>
    </row>
    <row r="19" spans="2:5" x14ac:dyDescent="0.2">
      <c r="B19" s="47" t="s">
        <v>387</v>
      </c>
      <c r="C19" s="47"/>
      <c r="D19" s="47"/>
      <c r="E19" s="47"/>
    </row>
    <row r="20" spans="2:5" x14ac:dyDescent="0.2">
      <c r="B20" s="47" t="s">
        <v>388</v>
      </c>
      <c r="C20" s="47"/>
      <c r="D20" s="47"/>
      <c r="E20" s="47"/>
    </row>
  </sheetData>
  <sheetProtection algorithmName="SHA-512" hashValue="3h7dFzXz8zyCFU3to89hkWsBbWFa8pfudDdANIjRD9dcfve2nQfLw6S2BYA8pjLDBmcWKQyZQLUxrCoMMXua+w==" saltValue="25Ci9x+ieTW/gCQ705aB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409</vt:i4>
      </vt:variant>
    </vt:vector>
  </HeadingPairs>
  <TitlesOfParts>
    <vt:vector size="4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2026-01-16T08:38:50Z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