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4B076CF-A61B-4306-BE4C-92AB48E24E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97" i="1" l="1"/>
  <c r="Z193" i="1"/>
  <c r="Z24" i="1"/>
  <c r="Z290" i="1"/>
  <c r="Y25" i="1"/>
  <c r="Y33" i="1"/>
  <c r="Y37" i="1"/>
  <c r="Y45" i="1"/>
  <c r="Y49" i="1"/>
  <c r="Y58" i="1"/>
  <c r="Y64" i="1"/>
  <c r="Z70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BN23" i="1"/>
  <c r="Y493" i="1" s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Y494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Z309" i="1" s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300" i="1"/>
  <c r="Z416" i="1"/>
  <c r="Z316" i="1"/>
  <c r="Z209" i="1"/>
  <c r="Z120" i="1"/>
  <c r="Z106" i="1"/>
  <c r="Z44" i="1"/>
  <c r="Z32" i="1"/>
  <c r="Z497" i="1" s="1"/>
  <c r="Y496" i="1"/>
  <c r="X495" i="1"/>
  <c r="Z342" i="1"/>
  <c r="Z279" i="1"/>
  <c r="Z221" i="1"/>
  <c r="Z152" i="1"/>
  <c r="Y492" i="1"/>
</calcChain>
</file>

<file path=xl/sharedStrings.xml><?xml version="1.0" encoding="utf-8"?>
<sst xmlns="http://schemas.openxmlformats.org/spreadsheetml/2006/main" count="2252" uniqueCount="778">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</sst>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95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10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6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0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3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0" customWidth="1"/>
    <col min="19" max="19" width="6.140625" style="54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0" customWidth="1"/>
    <col min="25" max="25" width="11" style="540" customWidth="1"/>
    <col min="26" max="26" width="10" style="540" customWidth="1"/>
    <col min="27" max="27" width="11.5703125" style="540" customWidth="1"/>
    <col min="28" max="28" width="10.42578125" style="540" customWidth="1"/>
    <col min="29" max="29" width="30" style="54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0" customWidth="1"/>
    <col min="34" max="34" width="9.140625" style="540" customWidth="1"/>
    <col min="35" max="16384" width="9.140625" style="540"/>
  </cols>
  <sheetData>
    <row r="1" spans="1:32" s="544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4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7"/>
      <c r="J5" s="777"/>
      <c r="K5" s="777"/>
      <c r="L5" s="777"/>
      <c r="M5" s="626"/>
      <c r="N5" s="58"/>
      <c r="P5" s="24" t="s">
        <v>10</v>
      </c>
      <c r="Q5" s="848">
        <v>46005</v>
      </c>
      <c r="R5" s="666"/>
      <c r="T5" s="716" t="s">
        <v>11</v>
      </c>
      <c r="U5" s="717"/>
      <c r="V5" s="719" t="s">
        <v>12</v>
      </c>
      <c r="W5" s="666"/>
      <c r="AB5" s="51"/>
      <c r="AC5" s="51"/>
      <c r="AD5" s="51"/>
      <c r="AE5" s="51"/>
    </row>
    <row r="6" spans="1:32" s="544" customFormat="1" ht="24" customHeight="1" x14ac:dyDescent="0.2">
      <c r="A6" s="668" t="s">
        <v>13</v>
      </c>
      <c r="B6" s="669"/>
      <c r="C6" s="670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Воскресенье</v>
      </c>
      <c r="R6" s="559"/>
      <c r="T6" s="722" t="s">
        <v>16</v>
      </c>
      <c r="U6" s="717"/>
      <c r="V6" s="765" t="s">
        <v>17</v>
      </c>
      <c r="W6" s="595"/>
      <c r="AB6" s="51"/>
      <c r="AC6" s="51"/>
      <c r="AD6" s="51"/>
      <c r="AE6" s="51"/>
    </row>
    <row r="7" spans="1:32" s="544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7"/>
      <c r="V7" s="766"/>
      <c r="W7" s="767"/>
      <c r="AB7" s="51"/>
      <c r="AC7" s="51"/>
      <c r="AD7" s="51"/>
      <c r="AE7" s="51"/>
    </row>
    <row r="8" spans="1:32" s="544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0.375</v>
      </c>
      <c r="R8" s="607"/>
      <c r="T8" s="561"/>
      <c r="U8" s="717"/>
      <c r="V8" s="766"/>
      <c r="W8" s="767"/>
      <c r="AB8" s="51"/>
      <c r="AC8" s="51"/>
      <c r="AD8" s="51"/>
      <c r="AE8" s="51"/>
    </row>
    <row r="9" spans="1:32" s="544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5"/>
      <c r="P9" s="26" t="s">
        <v>21</v>
      </c>
      <c r="Q9" s="662"/>
      <c r="R9" s="663"/>
      <c r="T9" s="561"/>
      <c r="U9" s="717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4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9" t="str">
        <f>IFERROR(VLOOKUP($D$10,Proxy,2,FALSE),"")</f>
        <v/>
      </c>
      <c r="I10" s="561"/>
      <c r="J10" s="561"/>
      <c r="K10" s="561"/>
      <c r="L10" s="561"/>
      <c r="M10" s="561"/>
      <c r="N10" s="543"/>
      <c r="P10" s="26" t="s">
        <v>22</v>
      </c>
      <c r="Q10" s="723"/>
      <c r="R10" s="724"/>
      <c r="U10" s="24" t="s">
        <v>23</v>
      </c>
      <c r="V10" s="594" t="s">
        <v>24</v>
      </c>
      <c r="W10" s="595"/>
      <c r="X10" s="44"/>
      <c r="Y10" s="44"/>
      <c r="Z10" s="44"/>
      <c r="AA10" s="44"/>
      <c r="AB10" s="51"/>
      <c r="AC10" s="51"/>
      <c r="AD10" s="51"/>
      <c r="AE10" s="51"/>
    </row>
    <row r="11" spans="1:32" s="54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4" customFormat="1" ht="18.600000000000001" customHeight="1" x14ac:dyDescent="0.2">
      <c r="A12" s="711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8"/>
      <c r="W12" s="561"/>
      <c r="AB12" s="51"/>
      <c r="AC12" s="51"/>
      <c r="AD12" s="51"/>
      <c r="AE12" s="51"/>
    </row>
    <row r="13" spans="1:32" s="544" customFormat="1" ht="23.25" customHeight="1" x14ac:dyDescent="0.2">
      <c r="A13" s="711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4" customFormat="1" ht="18.600000000000001" customHeight="1" x14ac:dyDescent="0.2">
      <c r="A14" s="711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4" customFormat="1" ht="22.5" customHeight="1" x14ac:dyDescent="0.2">
      <c r="A15" s="734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3" t="s">
        <v>51</v>
      </c>
      <c r="V17" s="670"/>
      <c r="W17" s="590" t="s">
        <v>52</v>
      </c>
      <c r="X17" s="590" t="s">
        <v>53</v>
      </c>
      <c r="Y17" s="864" t="s">
        <v>54</v>
      </c>
      <c r="Z17" s="775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6"/>
      <c r="AA18" s="761"/>
      <c r="AB18" s="761"/>
      <c r="AC18" s="761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1"/>
      <c r="AB20" s="541"/>
      <c r="AC20" s="541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2"/>
      <c r="AB21" s="542"/>
      <c r="AC21" s="542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2"/>
      <c r="AB26" s="542"/>
      <c r="AC26" s="542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5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86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87</v>
      </c>
      <c r="B29" s="54" t="s">
        <v>88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89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2"/>
      <c r="AB34" s="542"/>
      <c r="AC34" s="542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1"/>
      <c r="AB39" s="541"/>
      <c r="AC39" s="541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2"/>
      <c r="AB40" s="542"/>
      <c r="AC40" s="542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60</v>
      </c>
      <c r="Y41" s="548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110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62.277777777777779</v>
      </c>
      <c r="BN41" s="64">
        <f>IFERROR(Y41*I41/H41,"0")</f>
        <v>67.260000000000005</v>
      </c>
      <c r="BO41" s="64">
        <f>IFERROR(1/J41*(X41/H41),"0")</f>
        <v>8.6805555555555552E-2</v>
      </c>
      <c r="BP41" s="64">
        <f>IFERROR(1/J41*(Y41/H41),"0")</f>
        <v>9.3750000000000014E-2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8">
        <v>4607091385687</v>
      </c>
      <c r="E42" s="559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 t="s">
        <v>83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58">
        <v>4680115882539</v>
      </c>
      <c r="E43" s="559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5.5555555555555554</v>
      </c>
      <c r="Y44" s="549">
        <f>IFERROR(Y41/H41,"0")+IFERROR(Y42/H42,"0")+IFERROR(Y43/H43,"0")</f>
        <v>6.0000000000000009</v>
      </c>
      <c r="Z44" s="549">
        <f>IFERROR(IF(Z41="",0,Z41),"0")+IFERROR(IF(Z42="",0,Z42),"0")+IFERROR(IF(Z43="",0,Z43),"0")</f>
        <v>0.11388000000000001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60</v>
      </c>
      <c r="Y45" s="549">
        <f>IFERROR(SUM(Y41:Y43),"0")</f>
        <v>64.800000000000011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2"/>
      <c r="AB46" s="542"/>
      <c r="AC46" s="542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1"/>
      <c r="AB50" s="541"/>
      <c r="AC50" s="541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2"/>
      <c r="AB51" s="542"/>
      <c r="AC51" s="542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/>
      <c r="M52" s="33" t="s">
        <v>81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89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 t="s">
        <v>114</v>
      </c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2"/>
      <c r="AB60" s="542"/>
      <c r="AC60" s="542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/>
      <c r="M61" s="33" t="s">
        <v>109</v>
      </c>
      <c r="N61" s="33"/>
      <c r="O61" s="32">
        <v>50</v>
      </c>
      <c r="P61" s="79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 t="s">
        <v>80</v>
      </c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2"/>
      <c r="AB66" s="542"/>
      <c r="AC66" s="542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2"/>
      <c r="AB72" s="542"/>
      <c r="AC72" s="542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2"/>
      <c r="AB79" s="542"/>
      <c r="AC79" s="542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/>
      <c r="M80" s="33" t="s">
        <v>89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1"/>
      <c r="AB84" s="541"/>
      <c r="AC84" s="541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2"/>
      <c r="AB85" s="542"/>
      <c r="AC85" s="542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89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83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8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81</v>
      </c>
      <c r="N88" s="33"/>
      <c r="O88" s="32">
        <v>50</v>
      </c>
      <c r="P88" s="7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114</v>
      </c>
      <c r="M89" s="33" t="s">
        <v>89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22.5</v>
      </c>
      <c r="Y89" s="548">
        <f>IFERROR(IF(X89="",0,CEILING((X89/$H89),1)*$H89),"")</f>
        <v>22.5</v>
      </c>
      <c r="Z89" s="36">
        <f>IFERROR(IF(Y89=0,"",ROUNDUP(Y89/H89,0)*0.00902),"")</f>
        <v>4.5100000000000001E-2</v>
      </c>
      <c r="AA89" s="56"/>
      <c r="AB89" s="57"/>
      <c r="AC89" s="135" t="s">
        <v>177</v>
      </c>
      <c r="AG89" s="64"/>
      <c r="AJ89" s="68" t="s">
        <v>83</v>
      </c>
      <c r="AK89" s="68">
        <v>54</v>
      </c>
      <c r="BB89" s="136" t="s">
        <v>1</v>
      </c>
      <c r="BM89" s="64">
        <f>IFERROR(X89*I89/H89,"0")</f>
        <v>23.450000000000003</v>
      </c>
      <c r="BN89" s="64">
        <f>IFERROR(Y89*I89/H89,"0")</f>
        <v>23.450000000000003</v>
      </c>
      <c r="BO89" s="64">
        <f>IFERROR(1/J89*(X89/H89),"0")</f>
        <v>3.787878787878788E-2</v>
      </c>
      <c r="BP89" s="64">
        <f>IFERROR(1/J89*(Y89/H89),"0")</f>
        <v>3.787878787878788E-2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5</v>
      </c>
      <c r="Y90" s="549">
        <f>IFERROR(Y86/H86,"0")+IFERROR(Y87/H87,"0")+IFERROR(Y88/H88,"0")+IFERROR(Y89/H89,"0")</f>
        <v>5</v>
      </c>
      <c r="Z90" s="549">
        <f>IFERROR(IF(Z86="",0,Z86),"0")+IFERROR(IF(Z87="",0,Z87),"0")+IFERROR(IF(Z88="",0,Z88),"0")+IFERROR(IF(Z89="",0,Z89),"0")</f>
        <v>4.5100000000000001E-2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22.5</v>
      </c>
      <c r="Y91" s="549">
        <f>IFERROR(SUM(Y86:Y89),"0")</f>
        <v>22.5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2"/>
      <c r="AB92" s="542"/>
      <c r="AC92" s="542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/>
      <c r="M93" s="33" t="s">
        <v>89</v>
      </c>
      <c r="N93" s="33"/>
      <c r="O93" s="32">
        <v>45</v>
      </c>
      <c r="P93" s="78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89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/>
      <c r="M96" s="33" t="s">
        <v>81</v>
      </c>
      <c r="N96" s="33"/>
      <c r="O96" s="32">
        <v>45</v>
      </c>
      <c r="P96" s="75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1"/>
      <c r="AB99" s="541"/>
      <c r="AC99" s="541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2"/>
      <c r="AB100" s="542"/>
      <c r="AC100" s="542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83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114</v>
      </c>
      <c r="M104" s="33" t="s">
        <v>81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83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81</v>
      </c>
      <c r="N105" s="33"/>
      <c r="O105" s="32">
        <v>50</v>
      </c>
      <c r="P105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2"/>
      <c r="AB108" s="542"/>
      <c r="AC108" s="542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2"/>
      <c r="AB115" s="542"/>
      <c r="AC115" s="542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/>
      <c r="M116" s="33" t="s">
        <v>89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/>
      <c r="M117" s="33" t="s">
        <v>89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/>
      <c r="M118" s="33" t="s">
        <v>89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80</v>
      </c>
      <c r="M119" s="33" t="s">
        <v>81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83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2"/>
      <c r="AB122" s="542"/>
      <c r="AC122" s="542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80</v>
      </c>
      <c r="M123" s="33" t="s">
        <v>81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83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1"/>
      <c r="AB126" s="541"/>
      <c r="AC126" s="541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2"/>
      <c r="AB127" s="542"/>
      <c r="AC127" s="542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/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2"/>
      <c r="AB132" s="542"/>
      <c r="AC132" s="542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/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2"/>
      <c r="AB137" s="542"/>
      <c r="AC137" s="542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/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1"/>
      <c r="AB142" s="541"/>
      <c r="AC142" s="541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2"/>
      <c r="AB143" s="542"/>
      <c r="AC143" s="542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/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2"/>
      <c r="AB148" s="542"/>
      <c r="AC148" s="542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/>
      <c r="M149" s="33" t="s">
        <v>109</v>
      </c>
      <c r="N149" s="33"/>
      <c r="O149" s="32">
        <v>40</v>
      </c>
      <c r="P149" s="86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2"/>
      <c r="AB154" s="542"/>
      <c r="AC154" s="542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81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1"/>
      <c r="AB159" s="541"/>
      <c r="AC159" s="541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2"/>
      <c r="AB160" s="542"/>
      <c r="AC160" s="542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2"/>
      <c r="AB164" s="542"/>
      <c r="AC164" s="542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114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83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114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83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291</v>
      </c>
      <c r="B171" s="54" t="s">
        <v>292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293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83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293</v>
      </c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83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2"/>
      <c r="AB179" s="542"/>
      <c r="AC179" s="542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2"/>
      <c r="AB185" s="542"/>
      <c r="AC185" s="542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1"/>
      <c r="AB189" s="541"/>
      <c r="AC189" s="541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2"/>
      <c r="AB190" s="542"/>
      <c r="AC190" s="542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/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2"/>
      <c r="AB195" s="542"/>
      <c r="AC195" s="542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2"/>
      <c r="AB200" s="542"/>
      <c r="AC200" s="542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114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83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114</v>
      </c>
      <c r="M202" s="33" t="s">
        <v>68</v>
      </c>
      <c r="N202" s="33"/>
      <c r="O202" s="32">
        <v>40</v>
      </c>
      <c r="P202" s="87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80</v>
      </c>
      <c r="Y202" s="548">
        <f t="shared" si="10"/>
        <v>81</v>
      </c>
      <c r="Z202" s="36">
        <f>IFERROR(IF(Y202=0,"",ROUNDUP(Y202/H202,0)*0.00902),"")</f>
        <v>0.1353</v>
      </c>
      <c r="AA202" s="56"/>
      <c r="AB202" s="57"/>
      <c r="AC202" s="241" t="s">
        <v>337</v>
      </c>
      <c r="AG202" s="64"/>
      <c r="AJ202" s="68" t="s">
        <v>83</v>
      </c>
      <c r="AK202" s="68">
        <v>64.8</v>
      </c>
      <c r="BB202" s="242" t="s">
        <v>1</v>
      </c>
      <c r="BM202" s="64">
        <f t="shared" si="11"/>
        <v>82.81481481481481</v>
      </c>
      <c r="BN202" s="64">
        <f t="shared" si="12"/>
        <v>83.85</v>
      </c>
      <c r="BO202" s="64">
        <f t="shared" si="13"/>
        <v>0.11223344556677889</v>
      </c>
      <c r="BP202" s="64">
        <f t="shared" si="14"/>
        <v>0.11363636363636363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114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83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114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293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83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 t="s">
        <v>293</v>
      </c>
      <c r="M207" s="33" t="s">
        <v>68</v>
      </c>
      <c r="N207" s="33"/>
      <c r="O207" s="32">
        <v>40</v>
      </c>
      <c r="P207" s="7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 t="s">
        <v>83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293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14.814814814814813</v>
      </c>
      <c r="Y209" s="549">
        <f>IFERROR(Y201/H201,"0")+IFERROR(Y202/H202,"0")+IFERROR(Y203/H203,"0")+IFERROR(Y204/H204,"0")+IFERROR(Y205/H205,"0")+IFERROR(Y206/H206,"0")+IFERROR(Y207/H207,"0")+IFERROR(Y208/H208,"0")</f>
        <v>14.999999999999998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0.1353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80</v>
      </c>
      <c r="Y210" s="549">
        <f>IFERROR(SUM(Y201:Y208),"0")</f>
        <v>81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2"/>
      <c r="AB211" s="542"/>
      <c r="AC211" s="542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81</v>
      </c>
      <c r="N212" s="33"/>
      <c r="O212" s="32">
        <v>40</v>
      </c>
      <c r="P212" s="76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81</v>
      </c>
      <c r="N213" s="33"/>
      <c r="O213" s="32">
        <v>40</v>
      </c>
      <c r="P213" s="5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25</v>
      </c>
      <c r="Y213" s="548">
        <f t="shared" si="15"/>
        <v>32.4</v>
      </c>
      <c r="Z213" s="36">
        <f>IFERROR(IF(Y213=0,"",ROUNDUP(Y213/H213,0)*0.01898),"")</f>
        <v>7.5920000000000001E-2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26.469135802469136</v>
      </c>
      <c r="BN213" s="64">
        <f t="shared" si="17"/>
        <v>34.304000000000002</v>
      </c>
      <c r="BO213" s="64">
        <f t="shared" si="18"/>
        <v>4.8225308641975308E-2</v>
      </c>
      <c r="BP213" s="64">
        <f t="shared" si="19"/>
        <v>6.25E-2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81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83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80</v>
      </c>
      <c r="M215" s="33" t="s">
        <v>81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83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/>
      <c r="M216" s="33" t="s">
        <v>89</v>
      </c>
      <c r="N216" s="33"/>
      <c r="O216" s="32">
        <v>45</v>
      </c>
      <c r="P216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45</v>
      </c>
      <c r="P217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83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/>
      <c r="M218" s="33" t="s">
        <v>81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80</v>
      </c>
      <c r="M219" s="33" t="s">
        <v>89</v>
      </c>
      <c r="N219" s="33"/>
      <c r="O219" s="32">
        <v>40</v>
      </c>
      <c r="P219" s="7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83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80</v>
      </c>
      <c r="M220" s="33" t="s">
        <v>81</v>
      </c>
      <c r="N220" s="33"/>
      <c r="O220" s="32">
        <v>40</v>
      </c>
      <c r="P220" s="5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83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3.0864197530864197</v>
      </c>
      <c r="Y221" s="549">
        <f>IFERROR(Y212/H212,"0")+IFERROR(Y213/H213,"0")+IFERROR(Y214/H214,"0")+IFERROR(Y215/H215,"0")+IFERROR(Y216/H216,"0")+IFERROR(Y217/H217,"0")+IFERROR(Y218/H218,"0")+IFERROR(Y219/H219,"0")+IFERROR(Y220/H220,"0")</f>
        <v>4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7.5920000000000001E-2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25</v>
      </c>
      <c r="Y222" s="549">
        <f>IFERROR(SUM(Y212:Y220),"0")</f>
        <v>32.4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2"/>
      <c r="AB223" s="542"/>
      <c r="AC223" s="542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80</v>
      </c>
      <c r="M224" s="33" t="s">
        <v>89</v>
      </c>
      <c r="N224" s="33"/>
      <c r="O224" s="32">
        <v>40</v>
      </c>
      <c r="P224" s="73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83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 t="s">
        <v>80</v>
      </c>
      <c r="M225" s="33" t="s">
        <v>81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83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1"/>
      <c r="AB228" s="541"/>
      <c r="AC228" s="541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2"/>
      <c r="AB229" s="542"/>
      <c r="AC229" s="542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/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114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83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2"/>
      <c r="AB241" s="542"/>
      <c r="AC241" s="542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81</v>
      </c>
      <c r="N242" s="33"/>
      <c r="O242" s="32">
        <v>50</v>
      </c>
      <c r="P242" s="6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2"/>
      <c r="AB245" s="542"/>
      <c r="AC245" s="542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2"/>
      <c r="AB249" s="542"/>
      <c r="AC249" s="542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1"/>
      <c r="AB257" s="541"/>
      <c r="AC257" s="541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2"/>
      <c r="AB258" s="542"/>
      <c r="AC258" s="542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/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20</v>
      </c>
      <c r="Y260" s="548">
        <f>IFERROR(IF(X260="",0,CEILING((X260/$H260),1)*$H260),"")</f>
        <v>21.6</v>
      </c>
      <c r="Z260" s="36">
        <f>IFERROR(IF(Y260=0,"",ROUNDUP(Y260/H260,0)*0.01898),"")</f>
        <v>3.7960000000000001E-2</v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20.75925925925926</v>
      </c>
      <c r="BN260" s="64">
        <f>IFERROR(Y260*I260/H260,"0")</f>
        <v>22.42</v>
      </c>
      <c r="BO260" s="64">
        <f>IFERROR(1/J260*(X260/H260),"0")</f>
        <v>2.8935185185185182E-2</v>
      </c>
      <c r="BP260" s="64">
        <f>IFERROR(1/J260*(Y260/H260),"0")</f>
        <v>3.125E-2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/>
      <c r="M261" s="33" t="s">
        <v>109</v>
      </c>
      <c r="N261" s="33"/>
      <c r="O261" s="32">
        <v>55</v>
      </c>
      <c r="P261" s="7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60</v>
      </c>
      <c r="Y261" s="548">
        <f>IFERROR(IF(X261="",0,CEILING((X261/$H261),1)*$H261),"")</f>
        <v>64.800000000000011</v>
      </c>
      <c r="Z261" s="36">
        <f>IFERROR(IF(Y261=0,"",ROUNDUP(Y261/H261,0)*0.01898),"")</f>
        <v>0.11388000000000001</v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62.277777777777779</v>
      </c>
      <c r="BN261" s="64">
        <f>IFERROR(Y261*I261/H261,"0")</f>
        <v>67.260000000000005</v>
      </c>
      <c r="BO261" s="64">
        <f>IFERROR(1/J261*(X261/H261),"0")</f>
        <v>8.6805555555555552E-2</v>
      </c>
      <c r="BP261" s="64">
        <f>IFERROR(1/J261*(Y261/H261),"0")</f>
        <v>9.3750000000000014E-2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/>
      <c r="M263" s="33" t="s">
        <v>109</v>
      </c>
      <c r="N263" s="33"/>
      <c r="O263" s="32">
        <v>55</v>
      </c>
      <c r="P263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7.4074074074074066</v>
      </c>
      <c r="Y264" s="549">
        <f>IFERROR(Y259/H259,"0")+IFERROR(Y260/H260,"0")+IFERROR(Y261/H261,"0")+IFERROR(Y262/H262,"0")+IFERROR(Y263/H263,"0")</f>
        <v>8</v>
      </c>
      <c r="Z264" s="549">
        <f>IFERROR(IF(Z259="",0,Z259),"0")+IFERROR(IF(Z260="",0,Z260),"0")+IFERROR(IF(Z261="",0,Z261),"0")+IFERROR(IF(Z262="",0,Z262),"0")+IFERROR(IF(Z263="",0,Z263),"0")</f>
        <v>0.15184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80</v>
      </c>
      <c r="Y265" s="549">
        <f>IFERROR(SUM(Y259:Y263),"0")</f>
        <v>86.4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1"/>
      <c r="AB266" s="541"/>
      <c r="AC266" s="541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2"/>
      <c r="AB267" s="542"/>
      <c r="AC267" s="542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81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81</v>
      </c>
      <c r="N269" s="33"/>
      <c r="O269" s="32">
        <v>30</v>
      </c>
      <c r="P269" s="78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81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1"/>
      <c r="AB274" s="541"/>
      <c r="AC274" s="541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2"/>
      <c r="AB275" s="542"/>
      <c r="AC275" s="542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81</v>
      </c>
      <c r="N276" s="33"/>
      <c r="O276" s="32">
        <v>45</v>
      </c>
      <c r="P276" s="8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 t="s">
        <v>80</v>
      </c>
      <c r="M277" s="33" t="s">
        <v>89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83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1"/>
      <c r="AB281" s="541"/>
      <c r="AC281" s="541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2"/>
      <c r="AB282" s="542"/>
      <c r="AC282" s="542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2"/>
      <c r="AB287" s="542"/>
      <c r="AC287" s="542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/>
      <c r="M288" s="33" t="s">
        <v>81</v>
      </c>
      <c r="N288" s="33"/>
      <c r="O288" s="32">
        <v>45</v>
      </c>
      <c r="P288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81</v>
      </c>
      <c r="N289" s="33"/>
      <c r="O289" s="32">
        <v>45</v>
      </c>
      <c r="P289" s="6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1"/>
      <c r="AB292" s="541"/>
      <c r="AC292" s="541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2"/>
      <c r="AB293" s="542"/>
      <c r="AC293" s="542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/>
      <c r="M295" s="33" t="s">
        <v>81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/>
      <c r="M296" s="33" t="s">
        <v>109</v>
      </c>
      <c r="N296" s="33"/>
      <c r="O296" s="32">
        <v>55</v>
      </c>
      <c r="P296" s="7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81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/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/>
      <c r="M299" s="33" t="s">
        <v>109</v>
      </c>
      <c r="N299" s="33"/>
      <c r="O299" s="32">
        <v>55</v>
      </c>
      <c r="P299" s="7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2"/>
      <c r="AB302" s="542"/>
      <c r="AC302" s="542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/>
      <c r="M303" s="33" t="s">
        <v>68</v>
      </c>
      <c r="N303" s="33"/>
      <c r="O303" s="32">
        <v>35</v>
      </c>
      <c r="P303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15</v>
      </c>
      <c r="Y303" s="548">
        <f t="shared" ref="Y303:Y308" si="31">IFERROR(IF(X303="",0,CEILING((X303/$H303),1)*$H303),"")</f>
        <v>16.8</v>
      </c>
      <c r="Z303" s="36">
        <f>IFERROR(IF(Y303=0,"",ROUNDUP(Y303/H303,0)*0.00902),"")</f>
        <v>3.6080000000000001E-2</v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ref="BM303:BM308" si="32">IFERROR(X303*I303/H303,"0")</f>
        <v>15.892857142857142</v>
      </c>
      <c r="BN303" s="64">
        <f t="shared" ref="BN303:BN308" si="33">IFERROR(Y303*I303/H303,"0")</f>
        <v>17.8</v>
      </c>
      <c r="BO303" s="64">
        <f t="shared" ref="BO303:BO308" si="34">IFERROR(1/J303*(X303/H303),"0")</f>
        <v>2.7056277056277056E-2</v>
      </c>
      <c r="BP303" s="64">
        <f t="shared" ref="BP303:BP308" si="35">IFERROR(1/J303*(Y303/H303),"0")</f>
        <v>3.0303030303030304E-2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/>
      <c r="M304" s="33" t="s">
        <v>68</v>
      </c>
      <c r="N304" s="33"/>
      <c r="O304" s="32">
        <v>40</v>
      </c>
      <c r="P304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293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83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80</v>
      </c>
      <c r="M308" s="33" t="s">
        <v>68</v>
      </c>
      <c r="N308" s="33"/>
      <c r="O308" s="32">
        <v>40</v>
      </c>
      <c r="P308" s="7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83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3.5714285714285712</v>
      </c>
      <c r="Y309" s="549">
        <f>IFERROR(Y303/H303,"0")+IFERROR(Y304/H304,"0")+IFERROR(Y305/H305,"0")+IFERROR(Y306/H306,"0")+IFERROR(Y307/H307,"0")+IFERROR(Y308/H308,"0")</f>
        <v>4</v>
      </c>
      <c r="Z309" s="549">
        <f>IFERROR(IF(Z303="",0,Z303),"0")+IFERROR(IF(Z304="",0,Z304),"0")+IFERROR(IF(Z305="",0,Z305),"0")+IFERROR(IF(Z306="",0,Z306),"0")+IFERROR(IF(Z307="",0,Z307),"0")+IFERROR(IF(Z308="",0,Z308),"0")</f>
        <v>3.6080000000000001E-2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15</v>
      </c>
      <c r="Y310" s="549">
        <f>IFERROR(SUM(Y303:Y308),"0")</f>
        <v>16.8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2"/>
      <c r="AB311" s="542"/>
      <c r="AC311" s="542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/>
      <c r="M312" s="33" t="s">
        <v>81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81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81</v>
      </c>
      <c r="N314" s="33"/>
      <c r="O314" s="32">
        <v>40</v>
      </c>
      <c r="P314" s="77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/>
      <c r="M315" s="33" t="s">
        <v>81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2"/>
      <c r="AB318" s="542"/>
      <c r="AC318" s="542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81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83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81</v>
      </c>
      <c r="N320" s="33"/>
      <c r="O320" s="32">
        <v>30</v>
      </c>
      <c r="P320" s="7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45</v>
      </c>
      <c r="Y320" s="548">
        <f>IFERROR(IF(X320="",0,CEILING((X320/$H320),1)*$H320),"")</f>
        <v>46.8</v>
      </c>
      <c r="Z320" s="36">
        <f>IFERROR(IF(Y320=0,"",ROUNDUP(Y320/H320,0)*0.01898),"")</f>
        <v>0.11388000000000001</v>
      </c>
      <c r="AA320" s="56"/>
      <c r="AB320" s="57"/>
      <c r="AC320" s="375" t="s">
        <v>521</v>
      </c>
      <c r="AG320" s="64"/>
      <c r="AJ320" s="68" t="s">
        <v>83</v>
      </c>
      <c r="AK320" s="68">
        <v>62.4</v>
      </c>
      <c r="BB320" s="376" t="s">
        <v>1</v>
      </c>
      <c r="BM320" s="64">
        <f>IFERROR(X320*I320/H320,"0")</f>
        <v>47.85</v>
      </c>
      <c r="BN320" s="64">
        <f>IFERROR(Y320*I320/H320,"0")</f>
        <v>49.764000000000003</v>
      </c>
      <c r="BO320" s="64">
        <f>IFERROR(1/J320*(X320/H320),"0")</f>
        <v>9.0144230769230768E-2</v>
      </c>
      <c r="BP320" s="64">
        <f>IFERROR(1/J320*(Y320/H320),"0")</f>
        <v>9.375E-2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/>
      <c r="M321" s="33" t="s">
        <v>89</v>
      </c>
      <c r="N321" s="33"/>
      <c r="O321" s="32">
        <v>30</v>
      </c>
      <c r="P321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5.7692307692307692</v>
      </c>
      <c r="Y322" s="549">
        <f>IFERROR(Y319/H319,"0")+IFERROR(Y320/H320,"0")+IFERROR(Y321/H321,"0")</f>
        <v>6</v>
      </c>
      <c r="Z322" s="549">
        <f>IFERROR(IF(Z319="",0,Z319),"0")+IFERROR(IF(Z320="",0,Z320),"0")+IFERROR(IF(Z321="",0,Z321),"0")</f>
        <v>0.11388000000000001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45</v>
      </c>
      <c r="Y323" s="549">
        <f>IFERROR(SUM(Y319:Y321),"0")</f>
        <v>46.8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2"/>
      <c r="AB324" s="542"/>
      <c r="AC324" s="542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 t="s">
        <v>80</v>
      </c>
      <c r="M327" s="33" t="s">
        <v>99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 t="s">
        <v>83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/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2"/>
      <c r="AB331" s="542"/>
      <c r="AC331" s="542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1"/>
      <c r="AB337" s="541"/>
      <c r="AC337" s="541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2"/>
      <c r="AB338" s="542"/>
      <c r="AC338" s="542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/>
      <c r="M339" s="33" t="s">
        <v>89</v>
      </c>
      <c r="N339" s="33"/>
      <c r="O339" s="32">
        <v>45</v>
      </c>
      <c r="P339" s="6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80</v>
      </c>
      <c r="M340" s="33" t="s">
        <v>81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83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80</v>
      </c>
      <c r="M341" s="33" t="s">
        <v>89</v>
      </c>
      <c r="N341" s="33"/>
      <c r="O341" s="32">
        <v>40</v>
      </c>
      <c r="P341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83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1"/>
      <c r="AB345" s="541"/>
      <c r="AC345" s="541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2"/>
      <c r="AB346" s="542"/>
      <c r="AC346" s="542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 t="s">
        <v>108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83</v>
      </c>
      <c r="AK347" s="68">
        <v>120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 t="s">
        <v>108</v>
      </c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83</v>
      </c>
      <c r="AK348" s="68">
        <v>120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 t="s">
        <v>108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83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89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/>
      <c r="M353" s="33" t="s">
        <v>68</v>
      </c>
      <c r="N353" s="33"/>
      <c r="O353" s="32">
        <v>60</v>
      </c>
      <c r="P353" s="6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0</v>
      </c>
      <c r="Y354" s="549">
        <f>IFERROR(Y347/H347,"0")+IFERROR(Y348/H348,"0")+IFERROR(Y349/H349,"0")+IFERROR(Y350/H350,"0")+IFERROR(Y351/H351,"0")+IFERROR(Y352/H352,"0")+IFERROR(Y353/H353,"0")</f>
        <v>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0</v>
      </c>
      <c r="Y355" s="549">
        <f>IFERROR(SUM(Y347:Y353),"0")</f>
        <v>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2"/>
      <c r="AB356" s="542"/>
      <c r="AC356" s="542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 t="s">
        <v>108</v>
      </c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200</v>
      </c>
      <c r="Y357" s="548">
        <f>IFERROR(IF(X357="",0,CEILING((X357/$H357),1)*$H357),"")</f>
        <v>210</v>
      </c>
      <c r="Z357" s="36">
        <f>IFERROR(IF(Y357=0,"",ROUNDUP(Y357/H357,0)*0.02175),"")</f>
        <v>0.30449999999999999</v>
      </c>
      <c r="AA357" s="56"/>
      <c r="AB357" s="57"/>
      <c r="AC357" s="413" t="s">
        <v>577</v>
      </c>
      <c r="AG357" s="64"/>
      <c r="AJ357" s="68" t="s">
        <v>83</v>
      </c>
      <c r="AK357" s="68">
        <v>120</v>
      </c>
      <c r="BB357" s="414" t="s">
        <v>1</v>
      </c>
      <c r="BM357" s="64">
        <f>IFERROR(X357*I357/H357,"0")</f>
        <v>206.26666666666668</v>
      </c>
      <c r="BN357" s="64">
        <f>IFERROR(Y357*I357/H357,"0")</f>
        <v>216.58</v>
      </c>
      <c r="BO357" s="64">
        <f>IFERROR(1/J357*(X357/H357),"0")</f>
        <v>0.27777777777777779</v>
      </c>
      <c r="BP357" s="64">
        <f>IFERROR(1/J357*(Y357/H357),"0")</f>
        <v>0.29166666666666663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13.333333333333334</v>
      </c>
      <c r="Y359" s="549">
        <f>IFERROR(Y357/H357,"0")+IFERROR(Y358/H358,"0")</f>
        <v>14</v>
      </c>
      <c r="Z359" s="549">
        <f>IFERROR(IF(Z357="",0,Z357),"0")+IFERROR(IF(Z358="",0,Z358),"0")</f>
        <v>0.30449999999999999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200</v>
      </c>
      <c r="Y360" s="549">
        <f>IFERROR(SUM(Y357:Y358),"0")</f>
        <v>210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2"/>
      <c r="AB361" s="542"/>
      <c r="AC361" s="542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/>
      <c r="M362" s="33" t="s">
        <v>81</v>
      </c>
      <c r="N362" s="33"/>
      <c r="O362" s="32">
        <v>40</v>
      </c>
      <c r="P362" s="82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/>
      <c r="M363" s="33" t="s">
        <v>81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2"/>
      <c r="AB366" s="542"/>
      <c r="AC366" s="542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81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1"/>
      <c r="AB370" s="541"/>
      <c r="AC370" s="541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2"/>
      <c r="AB371" s="542"/>
      <c r="AC371" s="542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/>
      <c r="M372" s="33" t="s">
        <v>68</v>
      </c>
      <c r="N372" s="33"/>
      <c r="O372" s="32">
        <v>60</v>
      </c>
      <c r="P372" s="71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20</v>
      </c>
      <c r="Y372" s="548">
        <f>IFERROR(IF(X372="",0,CEILING((X372/$H372),1)*$H372),"")</f>
        <v>24</v>
      </c>
      <c r="Z372" s="36">
        <f>IFERROR(IF(Y372=0,"",ROUNDUP(Y372/H372,0)*0.01898),"")</f>
        <v>3.7960000000000001E-2</v>
      </c>
      <c r="AA372" s="56"/>
      <c r="AB372" s="57"/>
      <c r="AC372" s="423" t="s">
        <v>593</v>
      </c>
      <c r="AG372" s="64"/>
      <c r="AJ372" s="68"/>
      <c r="AK372" s="68">
        <v>0</v>
      </c>
      <c r="BB372" s="424" t="s">
        <v>1</v>
      </c>
      <c r="BM372" s="64">
        <f>IFERROR(X372*I372/H372,"0")</f>
        <v>20.683333333333334</v>
      </c>
      <c r="BN372" s="64">
        <f>IFERROR(Y372*I372/H372,"0")</f>
        <v>24.820000000000004</v>
      </c>
      <c r="BO372" s="64">
        <f>IFERROR(1/J372*(X372/H372),"0")</f>
        <v>2.6041666666666668E-2</v>
      </c>
      <c r="BP372" s="64">
        <f>IFERROR(1/J372*(Y372/H372),"0")</f>
        <v>3.125E-2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60</v>
      </c>
      <c r="P373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1.6666666666666667</v>
      </c>
      <c r="Y374" s="549">
        <f>IFERROR(Y372/H372,"0")+IFERROR(Y373/H373,"0")</f>
        <v>2</v>
      </c>
      <c r="Z374" s="549">
        <f>IFERROR(IF(Z372="",0,Z372),"0")+IFERROR(IF(Z373="",0,Z373),"0")</f>
        <v>3.7960000000000001E-2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20</v>
      </c>
      <c r="Y375" s="549">
        <f>IFERROR(SUM(Y372:Y373),"0")</f>
        <v>24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2"/>
      <c r="AB376" s="542"/>
      <c r="AC376" s="542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/>
      <c r="M377" s="33" t="s">
        <v>68</v>
      </c>
      <c r="N377" s="33"/>
      <c r="O377" s="32">
        <v>35</v>
      </c>
      <c r="P377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2"/>
      <c r="AB381" s="542"/>
      <c r="AC381" s="542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/>
      <c r="M382" s="33" t="s">
        <v>81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/>
      <c r="M383" s="33" t="s">
        <v>81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81</v>
      </c>
      <c r="N384" s="33"/>
      <c r="O384" s="32">
        <v>40</v>
      </c>
      <c r="P384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1"/>
      <c r="AB388" s="541"/>
      <c r="AC388" s="541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2"/>
      <c r="AB389" s="542"/>
      <c r="AC389" s="542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/>
      <c r="M390" s="33" t="s">
        <v>68</v>
      </c>
      <c r="N390" s="33"/>
      <c r="O390" s="32">
        <v>50</v>
      </c>
      <c r="P39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 t="s">
        <v>293</v>
      </c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 t="s">
        <v>83</v>
      </c>
      <c r="AK394" s="68">
        <v>37.799999999999997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2"/>
      <c r="AB401" s="542"/>
      <c r="AC401" s="542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/>
      <c r="M402" s="33" t="s">
        <v>81</v>
      </c>
      <c r="N402" s="33"/>
      <c r="O402" s="32">
        <v>45</v>
      </c>
      <c r="P402" s="6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/>
      <c r="M403" s="33" t="s">
        <v>81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1"/>
      <c r="AB406" s="541"/>
      <c r="AC406" s="541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2"/>
      <c r="AB407" s="542"/>
      <c r="AC407" s="542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2"/>
      <c r="AB411" s="542"/>
      <c r="AC411" s="542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/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1"/>
      <c r="AB418" s="541"/>
      <c r="AC418" s="541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2"/>
      <c r="AB419" s="542"/>
      <c r="AC419" s="542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1"/>
      <c r="AB424" s="541"/>
      <c r="AC424" s="541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2"/>
      <c r="AB425" s="542"/>
      <c r="AC425" s="542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45</v>
      </c>
      <c r="Y426" s="548">
        <f t="shared" ref="Y426:Y437" si="47">IFERROR(IF(X426="",0,CEILING((X426/$H426),1)*$H426),"")</f>
        <v>47.52</v>
      </c>
      <c r="Z426" s="36">
        <f t="shared" ref="Z426:Z432" si="48">IFERROR(IF(Y426=0,"",ROUNDUP(Y426/H426,0)*0.01196),"")</f>
        <v>0.10764</v>
      </c>
      <c r="AA426" s="56"/>
      <c r="AB426" s="57"/>
      <c r="AC426" s="471" t="s">
        <v>110</v>
      </c>
      <c r="AG426" s="64"/>
      <c r="AJ426" s="68" t="s">
        <v>83</v>
      </c>
      <c r="AK426" s="68">
        <v>42.24</v>
      </c>
      <c r="BB426" s="472" t="s">
        <v>1</v>
      </c>
      <c r="BM426" s="64">
        <f t="shared" ref="BM426:BM437" si="49">IFERROR(X426*I426/H426,"0")</f>
        <v>47.98295454545454</v>
      </c>
      <c r="BN426" s="64">
        <f t="shared" ref="BN426:BN437" si="50">IFERROR(Y426*I426/H426,"0")</f>
        <v>50.669999999999995</v>
      </c>
      <c r="BO426" s="64">
        <f t="shared" ref="BO426:BO437" si="51">IFERROR(1/J426*(X426/H426),"0")</f>
        <v>8.1949300699300689E-2</v>
      </c>
      <c r="BP426" s="64">
        <f t="shared" ref="BP426:BP437" si="52">IFERROR(1/J426*(Y426/H426),"0")</f>
        <v>8.6538461538461536E-2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6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/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81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80</v>
      </c>
      <c r="Y430" s="548">
        <f t="shared" si="47"/>
        <v>84.48</v>
      </c>
      <c r="Z430" s="36">
        <f t="shared" si="48"/>
        <v>0.19136</v>
      </c>
      <c r="AA430" s="56"/>
      <c r="AB430" s="57"/>
      <c r="AC430" s="479" t="s">
        <v>672</v>
      </c>
      <c r="AG430" s="64"/>
      <c r="AJ430" s="68" t="s">
        <v>83</v>
      </c>
      <c r="AK430" s="68">
        <v>42.24</v>
      </c>
      <c r="BB430" s="480" t="s">
        <v>1</v>
      </c>
      <c r="BM430" s="64">
        <f t="shared" si="49"/>
        <v>85.303030303030297</v>
      </c>
      <c r="BN430" s="64">
        <f t="shared" si="50"/>
        <v>90.08</v>
      </c>
      <c r="BO430" s="64">
        <f t="shared" si="51"/>
        <v>0.14568764568764569</v>
      </c>
      <c r="BP430" s="64">
        <f t="shared" si="52"/>
        <v>0.15384615384615385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60</v>
      </c>
      <c r="Y432" s="548">
        <f t="shared" si="47"/>
        <v>63.36</v>
      </c>
      <c r="Z432" s="36">
        <f t="shared" si="48"/>
        <v>0.14352000000000001</v>
      </c>
      <c r="AA432" s="56"/>
      <c r="AB432" s="57"/>
      <c r="AC432" s="483" t="s">
        <v>678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63.977272727272727</v>
      </c>
      <c r="BN432" s="64">
        <f t="shared" si="50"/>
        <v>67.559999999999988</v>
      </c>
      <c r="BO432" s="64">
        <f t="shared" si="51"/>
        <v>0.10926573426573427</v>
      </c>
      <c r="BP432" s="64">
        <f t="shared" si="52"/>
        <v>0.11538461538461539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81</v>
      </c>
      <c r="N433" s="33"/>
      <c r="O433" s="32">
        <v>60</v>
      </c>
      <c r="P433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35.037878787878782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37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0.44252000000000002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185</v>
      </c>
      <c r="Y439" s="549">
        <f>IFERROR(SUM(Y426:Y437),"0")</f>
        <v>195.36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2"/>
      <c r="AB440" s="542"/>
      <c r="AC440" s="542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/>
      <c r="M441" s="33" t="s">
        <v>81</v>
      </c>
      <c r="N441" s="33"/>
      <c r="O441" s="32">
        <v>70</v>
      </c>
      <c r="P441" s="7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135</v>
      </c>
      <c r="Y441" s="548">
        <f>IFERROR(IF(X441="",0,CEILING((X441/$H441),1)*$H441),"")</f>
        <v>137.28</v>
      </c>
      <c r="Z441" s="36">
        <f>IFERROR(IF(Y441=0,"",ROUNDUP(Y441/H441,0)*0.01196),"")</f>
        <v>0.31096000000000001</v>
      </c>
      <c r="AA441" s="56"/>
      <c r="AB441" s="57"/>
      <c r="AC441" s="495" t="s">
        <v>692</v>
      </c>
      <c r="AG441" s="64"/>
      <c r="AJ441" s="68"/>
      <c r="AK441" s="68">
        <v>0</v>
      </c>
      <c r="BB441" s="496" t="s">
        <v>1</v>
      </c>
      <c r="BM441" s="64">
        <f>IFERROR(X441*I441/H441,"0")</f>
        <v>143.94886363636363</v>
      </c>
      <c r="BN441" s="64">
        <f>IFERROR(Y441*I441/H441,"0")</f>
        <v>146.38</v>
      </c>
      <c r="BO441" s="64">
        <f>IFERROR(1/J441*(X441/H441),"0")</f>
        <v>0.24584790209790208</v>
      </c>
      <c r="BP441" s="64">
        <f>IFERROR(1/J441*(Y441/H441),"0")</f>
        <v>0.25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81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25.568181818181817</v>
      </c>
      <c r="Y444" s="549">
        <f>IFERROR(Y441/H441,"0")+IFERROR(Y442/H442,"0")+IFERROR(Y443/H443,"0")</f>
        <v>26</v>
      </c>
      <c r="Z444" s="549">
        <f>IFERROR(IF(Z441="",0,Z441),"0")+IFERROR(IF(Z442="",0,Z442),"0")+IFERROR(IF(Z443="",0,Z443),"0")</f>
        <v>0.31096000000000001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135</v>
      </c>
      <c r="Y445" s="549">
        <f>IFERROR(SUM(Y441:Y443),"0")</f>
        <v>137.28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2"/>
      <c r="AB446" s="542"/>
      <c r="AC446" s="542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/>
      <c r="M447" s="33" t="s">
        <v>109</v>
      </c>
      <c r="N447" s="33"/>
      <c r="O447" s="32">
        <v>70</v>
      </c>
      <c r="P447" s="8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/>
      <c r="AK447" s="68">
        <v>0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10</v>
      </c>
      <c r="Y448" s="548">
        <f t="shared" si="53"/>
        <v>10.56</v>
      </c>
      <c r="Z448" s="36">
        <f>IFERROR(IF(Y448=0,"",ROUNDUP(Y448/H448,0)*0.01196),"")</f>
        <v>2.392E-2</v>
      </c>
      <c r="AA448" s="56"/>
      <c r="AB448" s="57"/>
      <c r="AC448" s="503" t="s">
        <v>702</v>
      </c>
      <c r="AG448" s="64"/>
      <c r="AJ448" s="68" t="s">
        <v>83</v>
      </c>
      <c r="AK448" s="68">
        <v>42.24</v>
      </c>
      <c r="BB448" s="504" t="s">
        <v>1</v>
      </c>
      <c r="BM448" s="64">
        <f t="shared" si="54"/>
        <v>10.662878787878787</v>
      </c>
      <c r="BN448" s="64">
        <f t="shared" si="55"/>
        <v>11.26</v>
      </c>
      <c r="BO448" s="64">
        <f t="shared" si="56"/>
        <v>1.8210955710955712E-2</v>
      </c>
      <c r="BP448" s="64">
        <f t="shared" si="57"/>
        <v>1.9230769230769232E-2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83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7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1.8939393939393938</v>
      </c>
      <c r="Y453" s="549">
        <f>IFERROR(Y447/H447,"0")+IFERROR(Y448/H448,"0")+IFERROR(Y449/H449,"0")+IFERROR(Y450/H450,"0")+IFERROR(Y451/H451,"0")+IFERROR(Y452/H452,"0")</f>
        <v>2</v>
      </c>
      <c r="Z453" s="549">
        <f>IFERROR(IF(Z447="",0,Z447),"0")+IFERROR(IF(Z448="",0,Z448),"0")+IFERROR(IF(Z449="",0,Z449),"0")+IFERROR(IF(Z450="",0,Z450),"0")+IFERROR(IF(Z451="",0,Z451),"0")+IFERROR(IF(Z452="",0,Z452),"0")</f>
        <v>2.392E-2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10</v>
      </c>
      <c r="Y454" s="549">
        <f>IFERROR(SUM(Y447:Y452),"0")</f>
        <v>10.56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2"/>
      <c r="AB455" s="542"/>
      <c r="AC455" s="542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81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1"/>
      <c r="AB460" s="541"/>
      <c r="AC460" s="541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2"/>
      <c r="AB461" s="542"/>
      <c r="AC461" s="542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81</v>
      </c>
      <c r="N462" s="33"/>
      <c r="O462" s="32">
        <v>55</v>
      </c>
      <c r="P462" s="78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/>
      <c r="M464" s="33" t="s">
        <v>109</v>
      </c>
      <c r="N464" s="33"/>
      <c r="O464" s="32">
        <v>50</v>
      </c>
      <c r="P464" s="6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81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2"/>
      <c r="AB468" s="542"/>
      <c r="AC468" s="542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2"/>
      <c r="AB473" s="542"/>
      <c r="AC473" s="542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/>
      <c r="M475" s="33" t="s">
        <v>68</v>
      </c>
      <c r="N475" s="33"/>
      <c r="O475" s="32">
        <v>40</v>
      </c>
      <c r="P475" s="78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2"/>
      <c r="AB478" s="542"/>
      <c r="AC478" s="542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/>
      <c r="M479" s="33" t="s">
        <v>89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100</v>
      </c>
      <c r="Y479" s="548">
        <f>IFERROR(IF(X479="",0,CEILING((X479/$H479),1)*$H479),"")</f>
        <v>108</v>
      </c>
      <c r="Z479" s="36">
        <f>IFERROR(IF(Y479=0,"",ROUNDUP(Y479/H479,0)*0.01898),"")</f>
        <v>0.22776000000000002</v>
      </c>
      <c r="AA479" s="56"/>
      <c r="AB479" s="57"/>
      <c r="AC479" s="531" t="s">
        <v>741</v>
      </c>
      <c r="AG479" s="64"/>
      <c r="AJ479" s="68"/>
      <c r="AK479" s="68">
        <v>0</v>
      </c>
      <c r="BB479" s="532" t="s">
        <v>1</v>
      </c>
      <c r="BM479" s="64">
        <f>IFERROR(X479*I479/H479,"0")</f>
        <v>105.48888888888888</v>
      </c>
      <c r="BN479" s="64">
        <f>IFERROR(Y479*I479/H479,"0")</f>
        <v>113.92799999999998</v>
      </c>
      <c r="BO479" s="64">
        <f>IFERROR(1/J479*(X479/H479),"0")</f>
        <v>0.1736111111111111</v>
      </c>
      <c r="BP479" s="64">
        <f>IFERROR(1/J479*(Y479/H479),"0")</f>
        <v>0.1875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11.111111111111111</v>
      </c>
      <c r="Y480" s="549">
        <f>IFERROR(Y479/H479,"0")</f>
        <v>12</v>
      </c>
      <c r="Z480" s="549">
        <f>IFERROR(IF(Z479="",0,Z479),"0")</f>
        <v>0.22776000000000002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100</v>
      </c>
      <c r="Y481" s="549">
        <f>IFERROR(SUM(Y479:Y479),"0")</f>
        <v>108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2"/>
      <c r="AB482" s="542"/>
      <c r="AC482" s="542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81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81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1"/>
      <c r="AB487" s="541"/>
      <c r="AC487" s="541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2"/>
      <c r="AB488" s="542"/>
      <c r="AC488" s="542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2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7"/>
      <c r="P492" s="709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977.5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1035.9000000000001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7"/>
      <c r="P493" s="709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1026.1055114638448</v>
      </c>
      <c r="Y493" s="549">
        <f>IFERROR(SUM(BN22:BN489),"0")</f>
        <v>1087.386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7"/>
      <c r="P494" s="709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7"/>
      <c r="P495" s="709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1076.1055114638448</v>
      </c>
      <c r="Y495" s="549">
        <f>GrossWeightTotalR+PalletQtyTotalR*25</f>
        <v>1137.386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7"/>
      <c r="P496" s="709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133.81596798263462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141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7"/>
      <c r="P497" s="709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2.0196199999999997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39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39" t="s">
        <v>659</v>
      </c>
      <c r="Y499" s="597" t="s">
        <v>715</v>
      </c>
      <c r="Z499" s="603"/>
      <c r="AB499" s="52"/>
      <c r="AC499" s="52"/>
      <c r="AF499" s="540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0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0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0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0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64.800000000000011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6">
        <f>IFERROR(Y86*1,"0")+IFERROR(Y87*1,"0")+IFERROR(Y88*1,"0")+IFERROR(Y89*1,"0")+IFERROR(Y93*1,"0")+IFERROR(Y94*1,"0")+IFERROR(Y95*1,"0")+IFERROR(Y96*1,"0")</f>
        <v>22.5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113.4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86.4</v>
      </c>
      <c r="M502" s="46">
        <f>IFERROR(Y268*1,"0")+IFERROR(Y269*1,"0")+IFERROR(Y270*1,"0")+IFERROR(Y271*1,"0")</f>
        <v>0</v>
      </c>
      <c r="N502" s="540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63.599999999999994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210</v>
      </c>
      <c r="T502" s="46">
        <f>IFERROR(Y372*1,"0")+IFERROR(Y373*1,"0")+IFERROR(Y377*1,"0")+IFERROR(Y378*1,"0")+IFERROR(Y382*1,"0")+IFERROR(Y383*1,"0")+IFERROR(Y384*1,"0")</f>
        <v>24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343.2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108</v>
      </c>
      <c r="Z502" s="46">
        <f>IFERROR(Y489*1,"0")</f>
        <v>0</v>
      </c>
      <c r="AB502" s="52"/>
      <c r="AC502" s="52"/>
      <c r="AF502" s="540"/>
    </row>
  </sheetData>
  <sheetProtection algorithmName="SHA-512" hashValue="VN6uGJLB6I1macE1Ee5QvNlOtkYnUDNSG6GHHLgBpKDCGAx7QShVwmmlKxTxY5KOVbl17UdjfEkljf8ttI3igQ==" saltValue="k0drNyLufS7iaf4MtXB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140:V140"/>
    <mergeCell ref="A335:O336"/>
    <mergeCell ref="A21:Z21"/>
    <mergeCell ref="P438:V438"/>
    <mergeCell ref="D192:E192"/>
    <mergeCell ref="D42:E42"/>
    <mergeCell ref="A500:A501"/>
    <mergeCell ref="P363:T363"/>
    <mergeCell ref="C500:C501"/>
    <mergeCell ref="D173:E173"/>
    <mergeCell ref="P313:T313"/>
    <mergeCell ref="D123:E123"/>
    <mergeCell ref="P202:T202"/>
    <mergeCell ref="D250:E250"/>
    <mergeCell ref="P307:T307"/>
    <mergeCell ref="P373:T373"/>
    <mergeCell ref="D110:E110"/>
    <mergeCell ref="D408:E408"/>
    <mergeCell ref="A8:C8"/>
    <mergeCell ref="P310:V310"/>
    <mergeCell ref="P163:V163"/>
    <mergeCell ref="D268:E268"/>
    <mergeCell ref="P151:T151"/>
    <mergeCell ref="D395:E395"/>
    <mergeCell ref="P449:T449"/>
    <mergeCell ref="P374:V374"/>
    <mergeCell ref="P496:V496"/>
    <mergeCell ref="A10:C10"/>
    <mergeCell ref="P218:T218"/>
    <mergeCell ref="D17:E18"/>
    <mergeCell ref="D483:E483"/>
    <mergeCell ref="U499:W499"/>
    <mergeCell ref="D271:E271"/>
    <mergeCell ref="V12:W12"/>
    <mergeCell ref="D191:E191"/>
    <mergeCell ref="P319:T319"/>
    <mergeCell ref="D262:E262"/>
    <mergeCell ref="D433:E433"/>
    <mergeCell ref="A245:Z245"/>
    <mergeCell ref="D237:E237"/>
    <mergeCell ref="A39:Z39"/>
    <mergeCell ref="P285:V285"/>
    <mergeCell ref="A44:O45"/>
    <mergeCell ref="A337:Z337"/>
    <mergeCell ref="P383:T383"/>
    <mergeCell ref="A329:O330"/>
    <mergeCell ref="D95:E95"/>
    <mergeCell ref="P149:T149"/>
    <mergeCell ref="P174:T174"/>
    <mergeCell ref="A279:O280"/>
    <mergeCell ref="U17:V17"/>
    <mergeCell ref="Y17:Y18"/>
    <mergeCell ref="P447:T447"/>
    <mergeCell ref="D57:E57"/>
    <mergeCell ref="Q5:R5"/>
    <mergeCell ref="F17:F18"/>
    <mergeCell ref="D242:E242"/>
    <mergeCell ref="P290:V290"/>
    <mergeCell ref="P297:T297"/>
    <mergeCell ref="P435:T435"/>
    <mergeCell ref="D278:E278"/>
    <mergeCell ref="D234:E234"/>
    <mergeCell ref="P288:T288"/>
    <mergeCell ref="A24:O25"/>
    <mergeCell ref="P263:T263"/>
    <mergeCell ref="P434:T434"/>
    <mergeCell ref="D171:E171"/>
    <mergeCell ref="Q6:R6"/>
    <mergeCell ref="A267:Z267"/>
    <mergeCell ref="P134:T134"/>
    <mergeCell ref="A385:O386"/>
    <mergeCell ref="A124:O125"/>
    <mergeCell ref="A425:Z425"/>
    <mergeCell ref="D102:E102"/>
    <mergeCell ref="P379:V379"/>
    <mergeCell ref="D196:E196"/>
    <mergeCell ref="P294:T294"/>
    <mergeCell ref="P272:V272"/>
    <mergeCell ref="P493:V493"/>
    <mergeCell ref="P123:T123"/>
    <mergeCell ref="P110:T110"/>
    <mergeCell ref="P408:T408"/>
    <mergeCell ref="D218:E218"/>
    <mergeCell ref="A127:Z127"/>
    <mergeCell ref="A249:Z249"/>
    <mergeCell ref="P495:V495"/>
    <mergeCell ref="B500:B501"/>
    <mergeCell ref="P422:V422"/>
    <mergeCell ref="P239:V239"/>
    <mergeCell ref="A257:Z257"/>
    <mergeCell ref="P262:T262"/>
    <mergeCell ref="D276:E276"/>
    <mergeCell ref="P433:T433"/>
    <mergeCell ref="D170:E170"/>
    <mergeCell ref="D341:E341"/>
    <mergeCell ref="A478:Z478"/>
    <mergeCell ref="P484:T484"/>
    <mergeCell ref="W500:W501"/>
    <mergeCell ref="P436:T436"/>
    <mergeCell ref="A440:Z440"/>
    <mergeCell ref="D133:E133"/>
    <mergeCell ref="P210:V210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A223:Z223"/>
    <mergeCell ref="V11:W11"/>
    <mergeCell ref="D392:E392"/>
    <mergeCell ref="P57:T57"/>
    <mergeCell ref="P367:T367"/>
    <mergeCell ref="D165:E165"/>
    <mergeCell ref="D475:E475"/>
    <mergeCell ref="P75:T75"/>
    <mergeCell ref="D394:E394"/>
    <mergeCell ref="P494:V494"/>
    <mergeCell ref="P410:V410"/>
    <mergeCell ref="P102:T102"/>
    <mergeCell ref="P481:V481"/>
    <mergeCell ref="A185:Z185"/>
    <mergeCell ref="P196:T196"/>
    <mergeCell ref="D462:E462"/>
    <mergeCell ref="P62:T62"/>
    <mergeCell ref="P2:W3"/>
    <mergeCell ref="P133:T133"/>
    <mergeCell ref="P298:T298"/>
    <mergeCell ref="D437:E437"/>
    <mergeCell ref="P54:T54"/>
    <mergeCell ref="P347:T347"/>
    <mergeCell ref="D35:E35"/>
    <mergeCell ref="D333:E333"/>
    <mergeCell ref="A342:O343"/>
    <mergeCell ref="P412:T412"/>
    <mergeCell ref="D10:E10"/>
    <mergeCell ref="F10:G10"/>
    <mergeCell ref="P191:T191"/>
    <mergeCell ref="P362:T362"/>
    <mergeCell ref="D305:E305"/>
    <mergeCell ref="D270:E270"/>
    <mergeCell ref="P465:T465"/>
    <mergeCell ref="P194:V194"/>
    <mergeCell ref="A255:O256"/>
    <mergeCell ref="A364:O365"/>
    <mergeCell ref="P492:V492"/>
    <mergeCell ref="P286:V286"/>
    <mergeCell ref="P415:T415"/>
    <mergeCell ref="M17:M18"/>
    <mergeCell ref="O17:O18"/>
    <mergeCell ref="P131:V131"/>
    <mergeCell ref="P187:V187"/>
    <mergeCell ref="A453:O454"/>
    <mergeCell ref="P430:T430"/>
    <mergeCell ref="P349:T349"/>
    <mergeCell ref="P78:V78"/>
    <mergeCell ref="D397:E397"/>
    <mergeCell ref="P420:T420"/>
    <mergeCell ref="P128:T128"/>
    <mergeCell ref="D450:E450"/>
    <mergeCell ref="P181:T181"/>
    <mergeCell ref="P357:T357"/>
    <mergeCell ref="D29:E29"/>
    <mergeCell ref="D23:E23"/>
    <mergeCell ref="D216:E216"/>
    <mergeCell ref="A9:C9"/>
    <mergeCell ref="P321:T321"/>
    <mergeCell ref="D202:E202"/>
    <mergeCell ref="D373:E373"/>
    <mergeCell ref="P112:T112"/>
    <mergeCell ref="A179:Z179"/>
    <mergeCell ref="A302:Z302"/>
    <mergeCell ref="D294:E294"/>
    <mergeCell ref="P348:T348"/>
    <mergeCell ref="P273:V273"/>
    <mergeCell ref="A113:O114"/>
    <mergeCell ref="D231:E231"/>
    <mergeCell ref="D358:E358"/>
    <mergeCell ref="P70:V70"/>
    <mergeCell ref="P32:V32"/>
    <mergeCell ref="Q13:R13"/>
    <mergeCell ref="P97:V97"/>
    <mergeCell ref="A293:Z293"/>
    <mergeCell ref="P201:T201"/>
    <mergeCell ref="P139:T139"/>
    <mergeCell ref="P176:T176"/>
    <mergeCell ref="P41:T41"/>
    <mergeCell ref="D22:E22"/>
    <mergeCell ref="D155:E155"/>
    <mergeCell ref="V500:V501"/>
    <mergeCell ref="P471:V471"/>
    <mergeCell ref="D288:E288"/>
    <mergeCell ref="A461:Z461"/>
    <mergeCell ref="P421:V421"/>
    <mergeCell ref="P240:V240"/>
    <mergeCell ref="D434:E434"/>
    <mergeCell ref="P111:T111"/>
    <mergeCell ref="D225:E225"/>
    <mergeCell ref="A399:O400"/>
    <mergeCell ref="D436:E436"/>
    <mergeCell ref="A476:O477"/>
    <mergeCell ref="A243:O244"/>
    <mergeCell ref="U500:U501"/>
    <mergeCell ref="A389:Z389"/>
    <mergeCell ref="A460:Z460"/>
    <mergeCell ref="P483:T483"/>
    <mergeCell ref="D149:E149"/>
    <mergeCell ref="D320:E320"/>
    <mergeCell ref="A455:Z455"/>
    <mergeCell ref="D447:E447"/>
    <mergeCell ref="P470:T470"/>
    <mergeCell ref="P255:V255"/>
    <mergeCell ref="P295:T295"/>
    <mergeCell ref="P476:V476"/>
    <mergeCell ref="P35:T35"/>
    <mergeCell ref="G17:G18"/>
    <mergeCell ref="P333:T333"/>
    <mergeCell ref="A152:O153"/>
    <mergeCell ref="P184:V184"/>
    <mergeCell ref="A143:Z143"/>
    <mergeCell ref="D314:E314"/>
    <mergeCell ref="D80:E80"/>
    <mergeCell ref="P121:V121"/>
    <mergeCell ref="P61:T61"/>
    <mergeCell ref="P105:T105"/>
    <mergeCell ref="P276:T276"/>
    <mergeCell ref="D86:E86"/>
    <mergeCell ref="P214:T214"/>
    <mergeCell ref="P270:T270"/>
    <mergeCell ref="D213:E213"/>
    <mergeCell ref="A64:O65"/>
    <mergeCell ref="D151:E151"/>
    <mergeCell ref="P341:T341"/>
    <mergeCell ref="D384:E384"/>
    <mergeCell ref="D449:E449"/>
    <mergeCell ref="P463:T463"/>
    <mergeCell ref="D150:E150"/>
    <mergeCell ref="H5:M5"/>
    <mergeCell ref="P329:V329"/>
    <mergeCell ref="A154:Z154"/>
    <mergeCell ref="I499:R499"/>
    <mergeCell ref="D212:E212"/>
    <mergeCell ref="P225:T225"/>
    <mergeCell ref="P396:T396"/>
    <mergeCell ref="D6:M6"/>
    <mergeCell ref="D304:E304"/>
    <mergeCell ref="A492:O497"/>
    <mergeCell ref="P175:T175"/>
    <mergeCell ref="A85:Z85"/>
    <mergeCell ref="D319:E319"/>
    <mergeCell ref="P398:T398"/>
    <mergeCell ref="D441:E441"/>
    <mergeCell ref="Y499:Z499"/>
    <mergeCell ref="P475:T475"/>
    <mergeCell ref="P93:T93"/>
    <mergeCell ref="D207:E207"/>
    <mergeCell ref="P269:T269"/>
    <mergeCell ref="P120:V120"/>
    <mergeCell ref="D383:E383"/>
    <mergeCell ref="P462:T462"/>
    <mergeCell ref="D299:E299"/>
    <mergeCell ref="V6:W9"/>
    <mergeCell ref="D128:E128"/>
    <mergeCell ref="T500:T501"/>
    <mergeCell ref="A106:O107"/>
    <mergeCell ref="P109:T109"/>
    <mergeCell ref="A404:O405"/>
    <mergeCell ref="D186:E186"/>
    <mergeCell ref="D413:E413"/>
    <mergeCell ref="D217:E217"/>
    <mergeCell ref="A226:O227"/>
    <mergeCell ref="D435:E435"/>
    <mergeCell ref="D484:E484"/>
    <mergeCell ref="P22:T22"/>
    <mergeCell ref="P320:T320"/>
    <mergeCell ref="P314:T314"/>
    <mergeCell ref="D428:E428"/>
    <mergeCell ref="D415:E415"/>
    <mergeCell ref="E500:E501"/>
    <mergeCell ref="G500:G501"/>
    <mergeCell ref="A346:Z346"/>
    <mergeCell ref="P80:T80"/>
    <mergeCell ref="Z17:Z18"/>
    <mergeCell ref="P265:V265"/>
    <mergeCell ref="P458:V458"/>
    <mergeCell ref="AA17:AA18"/>
    <mergeCell ref="P212:T212"/>
    <mergeCell ref="AC17:AC18"/>
    <mergeCell ref="P107:V107"/>
    <mergeCell ref="A122:Z122"/>
    <mergeCell ref="A409:O410"/>
    <mergeCell ref="D89:E89"/>
    <mergeCell ref="D393:E393"/>
    <mergeCell ref="P209:V209"/>
    <mergeCell ref="A72:Z72"/>
    <mergeCell ref="P147:V147"/>
    <mergeCell ref="P254:T254"/>
    <mergeCell ref="P251:T251"/>
    <mergeCell ref="AB17:AB18"/>
    <mergeCell ref="A388:Z388"/>
    <mergeCell ref="P44:V44"/>
    <mergeCell ref="D367:E367"/>
    <mergeCell ref="P405:V405"/>
    <mergeCell ref="A401:Z401"/>
    <mergeCell ref="P278:T278"/>
    <mergeCell ref="D321:E321"/>
    <mergeCell ref="P101:T101"/>
    <mergeCell ref="D215:E215"/>
    <mergeCell ref="A20:Z20"/>
    <mergeCell ref="D465:E465"/>
    <mergeCell ref="D269:E269"/>
    <mergeCell ref="D296:E296"/>
    <mergeCell ref="D489:E489"/>
    <mergeCell ref="D427:E427"/>
    <mergeCell ref="P27:T27"/>
    <mergeCell ref="D75:E75"/>
    <mergeCell ref="P325:T325"/>
    <mergeCell ref="D206:E206"/>
    <mergeCell ref="P247:V247"/>
    <mergeCell ref="P390:T390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445:V445"/>
    <mergeCell ref="D420:E420"/>
    <mergeCell ref="P457:V457"/>
    <mergeCell ref="P232:T232"/>
    <mergeCell ref="P152:V152"/>
    <mergeCell ref="A275:Z275"/>
    <mergeCell ref="P395:T395"/>
    <mergeCell ref="P96:T96"/>
    <mergeCell ref="H17:H18"/>
    <mergeCell ref="P261:T261"/>
    <mergeCell ref="P161:T161"/>
    <mergeCell ref="D204:E204"/>
    <mergeCell ref="P217:T217"/>
    <mergeCell ref="P332:T332"/>
    <mergeCell ref="P300:V300"/>
    <mergeCell ref="D452:E452"/>
    <mergeCell ref="D252:E252"/>
    <mergeCell ref="A318:Z318"/>
    <mergeCell ref="A51:Z51"/>
    <mergeCell ref="D105:E105"/>
    <mergeCell ref="N17:N18"/>
    <mergeCell ref="A58:O59"/>
    <mergeCell ref="D54:E54"/>
    <mergeCell ref="X17:X18"/>
    <mergeCell ref="P441:T441"/>
    <mergeCell ref="P235:T235"/>
    <mergeCell ref="P306:T306"/>
    <mergeCell ref="D349:E349"/>
    <mergeCell ref="P157:V157"/>
    <mergeCell ref="A38:Z38"/>
    <mergeCell ref="P207:T207"/>
    <mergeCell ref="A274:Z274"/>
    <mergeCell ref="P299:T299"/>
    <mergeCell ref="P221:V221"/>
    <mergeCell ref="D138:E138"/>
    <mergeCell ref="P386:V386"/>
    <mergeCell ref="A40:Z40"/>
    <mergeCell ref="A211:Z211"/>
    <mergeCell ref="P393:T393"/>
    <mergeCell ref="D203:E203"/>
    <mergeCell ref="A338:Z338"/>
    <mergeCell ref="A419:Z419"/>
    <mergeCell ref="P204:T204"/>
    <mergeCell ref="L500:L501"/>
    <mergeCell ref="D500:D501"/>
    <mergeCell ref="J9:M9"/>
    <mergeCell ref="D112:E112"/>
    <mergeCell ref="D283:E283"/>
    <mergeCell ref="A356:Z356"/>
    <mergeCell ref="A418:Z418"/>
    <mergeCell ref="A90:O91"/>
    <mergeCell ref="D348:E348"/>
    <mergeCell ref="F500:F501"/>
    <mergeCell ref="D62:E62"/>
    <mergeCell ref="P454:V454"/>
    <mergeCell ref="D56:E56"/>
    <mergeCell ref="P206:T206"/>
    <mergeCell ref="P377:T377"/>
    <mergeCell ref="P233:T233"/>
    <mergeCell ref="P448:T448"/>
    <mergeCell ref="D176:E176"/>
    <mergeCell ref="P304:T304"/>
    <mergeCell ref="D347:E347"/>
    <mergeCell ref="D412:E412"/>
    <mergeCell ref="D362:E362"/>
    <mergeCell ref="A406:Z406"/>
    <mergeCell ref="P124:V124"/>
    <mergeCell ref="P360:V360"/>
    <mergeCell ref="P489:T489"/>
    <mergeCell ref="D74:E74"/>
    <mergeCell ref="P87:T87"/>
    <mergeCell ref="D68:E68"/>
    <mergeCell ref="D201:E201"/>
    <mergeCell ref="D372:E372"/>
    <mergeCell ref="P451:T451"/>
    <mergeCell ref="P224:T224"/>
    <mergeCell ref="A285:O286"/>
    <mergeCell ref="P89:T89"/>
    <mergeCell ref="P260:T260"/>
    <mergeCell ref="D295:E295"/>
    <mergeCell ref="P88:T88"/>
    <mergeCell ref="A156:O157"/>
    <mergeCell ref="D172:E172"/>
    <mergeCell ref="D463:E463"/>
    <mergeCell ref="A92:Z92"/>
    <mergeCell ref="P227:V227"/>
    <mergeCell ref="P71:V71"/>
    <mergeCell ref="P444:V444"/>
    <mergeCell ref="P244:V244"/>
    <mergeCell ref="Q10:R10"/>
    <mergeCell ref="P368:V368"/>
    <mergeCell ref="D41:E41"/>
    <mergeCell ref="P296:T296"/>
    <mergeCell ref="P25:V25"/>
    <mergeCell ref="D277:E277"/>
    <mergeCell ref="P256:V256"/>
    <mergeCell ref="A137:Z137"/>
    <mergeCell ref="D43:E43"/>
    <mergeCell ref="P216:T216"/>
    <mergeCell ref="P58:V58"/>
    <mergeCell ref="A13:M13"/>
    <mergeCell ref="D61:E61"/>
    <mergeCell ref="D254:E254"/>
    <mergeCell ref="A15:M15"/>
    <mergeCell ref="P238:T238"/>
    <mergeCell ref="A359:O360"/>
    <mergeCell ref="H10:M10"/>
    <mergeCell ref="A19:Z19"/>
    <mergeCell ref="A190:Z190"/>
    <mergeCell ref="P372:T372"/>
    <mergeCell ref="D182:E182"/>
    <mergeCell ref="A14:M14"/>
    <mergeCell ref="D109:E109"/>
    <mergeCell ref="P138:T138"/>
    <mergeCell ref="T5:U5"/>
    <mergeCell ref="P76:T76"/>
    <mergeCell ref="D119:E119"/>
    <mergeCell ref="V5:W5"/>
    <mergeCell ref="P203:T203"/>
    <mergeCell ref="D246:E246"/>
    <mergeCell ref="D111:E111"/>
    <mergeCell ref="D233:E233"/>
    <mergeCell ref="A142:Z142"/>
    <mergeCell ref="Q8:R8"/>
    <mergeCell ref="P69:T69"/>
    <mergeCell ref="D219:E219"/>
    <mergeCell ref="D104:E104"/>
    <mergeCell ref="P83:V83"/>
    <mergeCell ref="A79:Z79"/>
    <mergeCell ref="A82:O83"/>
    <mergeCell ref="T6:U9"/>
    <mergeCell ref="P497:V497"/>
    <mergeCell ref="P291:V291"/>
    <mergeCell ref="P43:T43"/>
    <mergeCell ref="P65:V65"/>
    <mergeCell ref="D328:E328"/>
    <mergeCell ref="P136:V136"/>
    <mergeCell ref="A135:O136"/>
    <mergeCell ref="M500:M501"/>
    <mergeCell ref="A126:Z126"/>
    <mergeCell ref="O500:O501"/>
    <mergeCell ref="D251:E251"/>
    <mergeCell ref="A324:Z324"/>
    <mergeCell ref="P355:V355"/>
    <mergeCell ref="A424:Z424"/>
    <mergeCell ref="A411:Z411"/>
    <mergeCell ref="P397:T397"/>
    <mergeCell ref="A482:Z482"/>
    <mergeCell ref="P74:T74"/>
    <mergeCell ref="P243:V243"/>
    <mergeCell ref="A466:O467"/>
    <mergeCell ref="D469:E469"/>
    <mergeCell ref="D340:E340"/>
    <mergeCell ref="P385:V385"/>
    <mergeCell ref="A381:Z381"/>
    <mergeCell ref="R500:R501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146:V146"/>
    <mergeCell ref="P317:V317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164:Z164"/>
    <mergeCell ref="A5:C5"/>
    <mergeCell ref="P64:V64"/>
    <mergeCell ref="P340:T340"/>
    <mergeCell ref="P135:V135"/>
    <mergeCell ref="A473:Z473"/>
    <mergeCell ref="A423:Z423"/>
    <mergeCell ref="A108:Z108"/>
    <mergeCell ref="D166:E166"/>
    <mergeCell ref="D464:E464"/>
    <mergeCell ref="D402:E402"/>
    <mergeCell ref="A17:A18"/>
    <mergeCell ref="K17:K18"/>
    <mergeCell ref="A189:Z189"/>
    <mergeCell ref="C17:C18"/>
    <mergeCell ref="P364:V364"/>
    <mergeCell ref="P431:T431"/>
    <mergeCell ref="D103:E103"/>
    <mergeCell ref="D230:E230"/>
    <mergeCell ref="P358:T358"/>
    <mergeCell ref="D168:E168"/>
    <mergeCell ref="D339:E339"/>
    <mergeCell ref="P380:V380"/>
    <mergeCell ref="D9:E9"/>
    <mergeCell ref="D180:E180"/>
    <mergeCell ref="A6:C6"/>
    <mergeCell ref="A322:O323"/>
    <mergeCell ref="P180:T180"/>
    <mergeCell ref="P118:T118"/>
    <mergeCell ref="D88:E88"/>
    <mergeCell ref="P167:T167"/>
    <mergeCell ref="P336:V336"/>
    <mergeCell ref="P403:T403"/>
    <mergeCell ref="P378:T378"/>
    <mergeCell ref="P117:T117"/>
    <mergeCell ref="P55:T55"/>
    <mergeCell ref="P182:T182"/>
    <mergeCell ref="Q12:R12"/>
    <mergeCell ref="P169:T169"/>
    <mergeCell ref="D261:E261"/>
    <mergeCell ref="A130:O131"/>
    <mergeCell ref="P119:T119"/>
    <mergeCell ref="P183:V183"/>
    <mergeCell ref="P246:T246"/>
    <mergeCell ref="P354:V354"/>
    <mergeCell ref="D390:E390"/>
    <mergeCell ref="P198:V198"/>
    <mergeCell ref="P369:V369"/>
    <mergeCell ref="D118:E118"/>
    <mergeCell ref="X500:X501"/>
    <mergeCell ref="D235:E235"/>
    <mergeCell ref="Z500:Z501"/>
    <mergeCell ref="Q9:R9"/>
    <mergeCell ref="P312:T312"/>
    <mergeCell ref="A331:Z331"/>
    <mergeCell ref="D451:E451"/>
    <mergeCell ref="P49:V49"/>
    <mergeCell ref="P36:V36"/>
    <mergeCell ref="A159:Z159"/>
    <mergeCell ref="Q11:R11"/>
    <mergeCell ref="P205:T205"/>
    <mergeCell ref="D260:E260"/>
    <mergeCell ref="A459:Z459"/>
    <mergeCell ref="P417:V417"/>
    <mergeCell ref="P442:T442"/>
    <mergeCell ref="D448:E448"/>
    <mergeCell ref="P469:T469"/>
    <mergeCell ref="P491:V491"/>
    <mergeCell ref="A487:Z487"/>
    <mergeCell ref="F9:G9"/>
    <mergeCell ref="P53:T53"/>
    <mergeCell ref="A183:O184"/>
    <mergeCell ref="D167:E167"/>
    <mergeCell ref="Y500:Y501"/>
    <mergeCell ref="A309:O310"/>
    <mergeCell ref="P428:T428"/>
    <mergeCell ref="P284:T284"/>
    <mergeCell ref="A344:Z344"/>
    <mergeCell ref="P17:T18"/>
    <mergeCell ref="A229:Z229"/>
    <mergeCell ref="P129:T129"/>
    <mergeCell ref="P63:T63"/>
    <mergeCell ref="A148:Z148"/>
    <mergeCell ref="P323:V32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114:V114"/>
    <mergeCell ref="D1:F1"/>
    <mergeCell ref="P268:T268"/>
    <mergeCell ref="P339:T339"/>
    <mergeCell ref="D382:E382"/>
    <mergeCell ref="A468:Z468"/>
    <mergeCell ref="P47:T47"/>
    <mergeCell ref="S499:T499"/>
    <mergeCell ref="P409:V409"/>
    <mergeCell ref="J17:J18"/>
    <mergeCell ref="L17:L18"/>
    <mergeCell ref="P359:V359"/>
    <mergeCell ref="P48:V48"/>
    <mergeCell ref="P426:T426"/>
    <mergeCell ref="A100:Z100"/>
    <mergeCell ref="A371:Z371"/>
    <mergeCell ref="P490:V490"/>
    <mergeCell ref="D334:E334"/>
    <mergeCell ref="A407:Z407"/>
    <mergeCell ref="P125:V125"/>
    <mergeCell ref="A115:Z115"/>
    <mergeCell ref="P192:T192"/>
    <mergeCell ref="D377:E377"/>
    <mergeCell ref="P456:T456"/>
    <mergeCell ref="P414:T414"/>
    <mergeCell ref="H500:H501"/>
    <mergeCell ref="J500:J501"/>
    <mergeCell ref="P106:V106"/>
    <mergeCell ref="P177:V177"/>
    <mergeCell ref="P33:V33"/>
    <mergeCell ref="P226:V226"/>
    <mergeCell ref="P264:V264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D87:E87"/>
    <mergeCell ref="P166:T166"/>
    <mergeCell ref="P188:V188"/>
    <mergeCell ref="A282:Z282"/>
    <mergeCell ref="A187:O188"/>
    <mergeCell ref="P402:T402"/>
    <mergeCell ref="D5:E5"/>
    <mergeCell ref="A311:Z311"/>
    <mergeCell ref="D303:E303"/>
    <mergeCell ref="P382:T382"/>
    <mergeCell ref="P42:T42"/>
    <mergeCell ref="A32:O33"/>
    <mergeCell ref="D94:E94"/>
    <mergeCell ref="P98:V98"/>
    <mergeCell ref="P259:T259"/>
    <mergeCell ref="D69:E69"/>
    <mergeCell ref="P162:V162"/>
    <mergeCell ref="P116:T116"/>
    <mergeCell ref="A376:Z376"/>
    <mergeCell ref="A162:O163"/>
    <mergeCell ref="D224:E224"/>
    <mergeCell ref="A26:Z26"/>
    <mergeCell ref="P103:T103"/>
    <mergeCell ref="P59:V59"/>
    <mergeCell ref="P230:T230"/>
    <mergeCell ref="P130:V130"/>
    <mergeCell ref="P168:T168"/>
    <mergeCell ref="P352:T352"/>
    <mergeCell ref="P301:V301"/>
    <mergeCell ref="P178:V178"/>
    <mergeCell ref="H1:Q1"/>
    <mergeCell ref="P480:V480"/>
    <mergeCell ref="P280:V280"/>
    <mergeCell ref="A99:Z99"/>
    <mergeCell ref="A366:Z366"/>
    <mergeCell ref="A292:Z292"/>
    <mergeCell ref="D214:E214"/>
    <mergeCell ref="P222:V222"/>
    <mergeCell ref="P193:V193"/>
    <mergeCell ref="D284:E284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D55:E55"/>
    <mergeCell ref="D30:E30"/>
    <mergeCell ref="A239:O240"/>
    <mergeCell ref="P242:T242"/>
    <mergeCell ref="D353:E353"/>
    <mergeCell ref="A361:Z361"/>
    <mergeCell ref="D8:M8"/>
    <mergeCell ref="P485:V485"/>
    <mergeCell ref="P237:T237"/>
    <mergeCell ref="P279:V279"/>
    <mergeCell ref="P472:V472"/>
    <mergeCell ref="P31:T31"/>
    <mergeCell ref="D139:E139"/>
    <mergeCell ref="P416:V416"/>
    <mergeCell ref="P45:V45"/>
    <mergeCell ref="A241:Z241"/>
    <mergeCell ref="P343:V343"/>
    <mergeCell ref="A228:Z228"/>
    <mergeCell ref="P95:T95"/>
    <mergeCell ref="D470:E470"/>
    <mergeCell ref="P413:T413"/>
    <mergeCell ref="D67:E67"/>
    <mergeCell ref="P464:T464"/>
    <mergeCell ref="A485:O486"/>
    <mergeCell ref="P474:T474"/>
    <mergeCell ref="A177:O178"/>
    <mergeCell ref="P197:T197"/>
    <mergeCell ref="P351:T351"/>
    <mergeCell ref="D161:E161"/>
    <mergeCell ref="P289:T289"/>
    <mergeCell ref="D442:E442"/>
    <mergeCell ref="P173:T173"/>
    <mergeCell ref="D429:E429"/>
    <mergeCell ref="P29:T29"/>
    <mergeCell ref="A97:O98"/>
    <mergeCell ref="P271:T271"/>
    <mergeCell ref="A290:O291"/>
    <mergeCell ref="D81:E81"/>
    <mergeCell ref="P94:T94"/>
    <mergeCell ref="D208:E208"/>
    <mergeCell ref="D232:E232"/>
    <mergeCell ref="A354:O355"/>
    <mergeCell ref="A272:O273"/>
    <mergeCell ref="D403:E403"/>
    <mergeCell ref="D63:E63"/>
    <mergeCell ref="D52:E52"/>
    <mergeCell ref="D327:E327"/>
    <mergeCell ref="D398:E398"/>
    <mergeCell ref="P439:V439"/>
    <mergeCell ref="A438:O439"/>
    <mergeCell ref="P308:T308"/>
    <mergeCell ref="A146:O147"/>
    <mergeCell ref="P427:T427"/>
    <mergeCell ref="P283:T283"/>
    <mergeCell ref="Q500:Q501"/>
    <mergeCell ref="D431:E431"/>
    <mergeCell ref="I500:I501"/>
    <mergeCell ref="A300:O301"/>
    <mergeCell ref="P170:T170"/>
    <mergeCell ref="A471:O472"/>
    <mergeCell ref="K500:K501"/>
    <mergeCell ref="S500:S501"/>
    <mergeCell ref="D474:E474"/>
    <mergeCell ref="P443:T443"/>
    <mergeCell ref="D197:E197"/>
    <mergeCell ref="D253:E253"/>
    <mergeCell ref="D289:E289"/>
    <mergeCell ref="P330:V330"/>
    <mergeCell ref="D351:E351"/>
    <mergeCell ref="A193:O194"/>
    <mergeCell ref="A264:O265"/>
    <mergeCell ref="C499:H499"/>
    <mergeCell ref="P234:T234"/>
    <mergeCell ref="D378:E378"/>
    <mergeCell ref="P236:T236"/>
    <mergeCell ref="P334:T334"/>
    <mergeCell ref="A209:O210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81:T81"/>
    <mergeCell ref="P56:T56"/>
    <mergeCell ref="P252:T252"/>
    <mergeCell ref="P145:T145"/>
    <mergeCell ref="P113:V113"/>
    <mergeCell ref="D53:E53"/>
    <mergeCell ref="D47:E47"/>
    <mergeCell ref="A84:Z84"/>
    <mergeCell ref="W17:W18"/>
    <mergeCell ref="A50:Z50"/>
    <mergeCell ref="P90:V90"/>
    <mergeCell ref="A120:O121"/>
    <mergeCell ref="D129:E129"/>
    <mergeCell ref="P91:V91"/>
    <mergeCell ref="P156:V156"/>
    <mergeCell ref="D144:E144"/>
    <mergeCell ref="R1:T1"/>
    <mergeCell ref="P172:T172"/>
    <mergeCell ref="P28:T28"/>
    <mergeCell ref="P150:T150"/>
    <mergeCell ref="P392:T392"/>
    <mergeCell ref="P326:T326"/>
    <mergeCell ref="D332:E332"/>
    <mergeCell ref="P215:T215"/>
    <mergeCell ref="D307:E307"/>
    <mergeCell ref="A316:O317"/>
    <mergeCell ref="P165:T165"/>
    <mergeCell ref="P30:T30"/>
    <mergeCell ref="D73:E73"/>
    <mergeCell ref="P77:V77"/>
    <mergeCell ref="P375:V375"/>
    <mergeCell ref="A200:Z200"/>
    <mergeCell ref="A374:O375"/>
    <mergeCell ref="P141:V141"/>
    <mergeCell ref="A140:O141"/>
    <mergeCell ref="A258:Z258"/>
    <mergeCell ref="P37:V37"/>
    <mergeCell ref="P104:T104"/>
    <mergeCell ref="V10:W10"/>
    <mergeCell ref="D7:M7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220:T220"/>
    <mergeCell ref="D263:E263"/>
    <mergeCell ref="D312:E312"/>
    <mergeCell ref="P391:T391"/>
    <mergeCell ref="D238:E238"/>
    <mergeCell ref="D426:E426"/>
    <mergeCell ref="P328:T328"/>
    <mergeCell ref="P213:T213"/>
    <mergeCell ref="D205:E205"/>
    <mergeCell ref="P384:T384"/>
    <mergeCell ref="A379:O380"/>
    <mergeCell ref="D363:E363"/>
    <mergeCell ref="D357:E357"/>
    <mergeCell ref="P432:T432"/>
    <mergeCell ref="P400:V400"/>
    <mergeCell ref="P452:T452"/>
    <mergeCell ref="P73:T73"/>
    <mergeCell ref="P437:T437"/>
    <mergeCell ref="P144:T144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P394:T394"/>
    <mergeCell ref="D27:E27"/>
    <mergeCell ref="P15:T16"/>
    <mergeCell ref="P23:T23"/>
    <mergeCell ref="D93:E93"/>
    <mergeCell ref="P277:T277"/>
    <mergeCell ref="D220:E220"/>
    <mergeCell ref="D391:E391"/>
    <mergeCell ref="P199:V199"/>
    <mergeCell ref="A195:Z195"/>
    <mergeCell ref="A198:O199"/>
    <mergeCell ref="A12:M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6 X89 X101 X104 X119 X123 X166 X168 X171 X174 X201:X204 X206:X208 X214:X215 X217 X219:X220 X224:X225 X237 X277 X307:X308 X319:X320 X327 X340:X341 X347:X349 X357 X394 X426 X430 X432 X448:X449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1Y99z9K9hFnK7HTcekNWqcZvqFEXZy9US5jdrEd3ngNmtZNQcRtVZ1stpEU7h4Nh6H8haRNNrti+hl1W1IqU/w==" saltValue="KtuniFmBGqMjgEkHAsfm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