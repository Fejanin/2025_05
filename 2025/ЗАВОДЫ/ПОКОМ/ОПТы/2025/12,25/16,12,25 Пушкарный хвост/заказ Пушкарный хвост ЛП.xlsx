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FBCEE7E9-3C56-4346-A50D-7B2D76861FB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2" i="1" l="1"/>
  <c r="X491" i="1"/>
  <c r="X490" i="1"/>
  <c r="BO489" i="1"/>
  <c r="BM489" i="1"/>
  <c r="Y489" i="1"/>
  <c r="P489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Y485" i="1" s="1"/>
  <c r="P483" i="1"/>
  <c r="X481" i="1"/>
  <c r="Y480" i="1"/>
  <c r="X480" i="1"/>
  <c r="BP479" i="1"/>
  <c r="BO479" i="1"/>
  <c r="BN479" i="1"/>
  <c r="BM479" i="1"/>
  <c r="Z479" i="1"/>
  <c r="Z480" i="1" s="1"/>
  <c r="Y479" i="1"/>
  <c r="Y481" i="1" s="1"/>
  <c r="P479" i="1"/>
  <c r="X477" i="1"/>
  <c r="X476" i="1"/>
  <c r="BP475" i="1"/>
  <c r="BO475" i="1"/>
  <c r="BN475" i="1"/>
  <c r="BM475" i="1"/>
  <c r="Z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BP469" i="1"/>
  <c r="BO469" i="1"/>
  <c r="BN469" i="1"/>
  <c r="BM469" i="1"/>
  <c r="Z469" i="1"/>
  <c r="Y469" i="1"/>
  <c r="P469" i="1"/>
  <c r="X467" i="1"/>
  <c r="X466" i="1"/>
  <c r="BP465" i="1"/>
  <c r="BO465" i="1"/>
  <c r="BN465" i="1"/>
  <c r="BM465" i="1"/>
  <c r="Z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P447" i="1"/>
  <c r="BO447" i="1"/>
  <c r="BN447" i="1"/>
  <c r="BM447" i="1"/>
  <c r="Z447" i="1"/>
  <c r="Y447" i="1"/>
  <c r="P447" i="1"/>
  <c r="X445" i="1"/>
  <c r="Y444" i="1"/>
  <c r="X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Y445" i="1" s="1"/>
  <c r="P441" i="1"/>
  <c r="X439" i="1"/>
  <c r="X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BP426" i="1"/>
  <c r="BO426" i="1"/>
  <c r="BN426" i="1"/>
  <c r="BM426" i="1"/>
  <c r="Z426" i="1"/>
  <c r="Y426" i="1"/>
  <c r="P426" i="1"/>
  <c r="X422" i="1"/>
  <c r="Y421" i="1"/>
  <c r="X421" i="1"/>
  <c r="BP420" i="1"/>
  <c r="BO420" i="1"/>
  <c r="BN420" i="1"/>
  <c r="BM420" i="1"/>
  <c r="Z420" i="1"/>
  <c r="Z421" i="1" s="1"/>
  <c r="Y420" i="1"/>
  <c r="Y422" i="1" s="1"/>
  <c r="P420" i="1"/>
  <c r="X417" i="1"/>
  <c r="X416" i="1"/>
  <c r="BP415" i="1"/>
  <c r="BO415" i="1"/>
  <c r="BN415" i="1"/>
  <c r="BM415" i="1"/>
  <c r="Z415" i="1"/>
  <c r="Y415" i="1"/>
  <c r="P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6" i="1"/>
  <c r="Y385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Y386" i="1" s="1"/>
  <c r="P382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X369" i="1"/>
  <c r="Y368" i="1"/>
  <c r="X368" i="1"/>
  <c r="BP367" i="1"/>
  <c r="BO367" i="1"/>
  <c r="BN367" i="1"/>
  <c r="BM367" i="1"/>
  <c r="Z367" i="1"/>
  <c r="Z368" i="1" s="1"/>
  <c r="Y367" i="1"/>
  <c r="Y369" i="1" s="1"/>
  <c r="P367" i="1"/>
  <c r="X365" i="1"/>
  <c r="Y364" i="1"/>
  <c r="X364" i="1"/>
  <c r="BP363" i="1"/>
  <c r="BO363" i="1"/>
  <c r="BN363" i="1"/>
  <c r="BM363" i="1"/>
  <c r="Z363" i="1"/>
  <c r="Y363" i="1"/>
  <c r="P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X336" i="1"/>
  <c r="X335" i="1"/>
  <c r="BO334" i="1"/>
  <c r="BM334" i="1"/>
  <c r="Y334" i="1"/>
  <c r="Y336" i="1" s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3" i="1"/>
  <c r="Y322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Y323" i="1" s="1"/>
  <c r="P319" i="1"/>
  <c r="X317" i="1"/>
  <c r="X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Y309" i="1" s="1"/>
  <c r="P303" i="1"/>
  <c r="X301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X286" i="1"/>
  <c r="Y285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Y273" i="1" s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L502" i="1" s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Y256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Y183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Y184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Y178" i="1" s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P144" i="1"/>
  <c r="BO144" i="1"/>
  <c r="BN144" i="1"/>
  <c r="BM144" i="1"/>
  <c r="Z144" i="1"/>
  <c r="Y144" i="1"/>
  <c r="P144" i="1"/>
  <c r="X141" i="1"/>
  <c r="Y140" i="1"/>
  <c r="X140" i="1"/>
  <c r="BP139" i="1"/>
  <c r="BO139" i="1"/>
  <c r="BN139" i="1"/>
  <c r="BM139" i="1"/>
  <c r="Z139" i="1"/>
  <c r="Y139" i="1"/>
  <c r="P139" i="1"/>
  <c r="BO138" i="1"/>
  <c r="BM138" i="1"/>
  <c r="Y138" i="1"/>
  <c r="P138" i="1"/>
  <c r="X136" i="1"/>
  <c r="X135" i="1"/>
  <c r="BO134" i="1"/>
  <c r="BM134" i="1"/>
  <c r="Y134" i="1"/>
  <c r="P134" i="1"/>
  <c r="BP133" i="1"/>
  <c r="BO133" i="1"/>
  <c r="BN133" i="1"/>
  <c r="BM133" i="1"/>
  <c r="Z133" i="1"/>
  <c r="Y133" i="1"/>
  <c r="Y135" i="1" s="1"/>
  <c r="P133" i="1"/>
  <c r="X131" i="1"/>
  <c r="X130" i="1"/>
  <c r="BP129" i="1"/>
  <c r="BO129" i="1"/>
  <c r="BN129" i="1"/>
  <c r="BM129" i="1"/>
  <c r="Z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Y121" i="1" s="1"/>
  <c r="P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P111" i="1"/>
  <c r="BP110" i="1"/>
  <c r="BO110" i="1"/>
  <c r="BN110" i="1"/>
  <c r="BM110" i="1"/>
  <c r="Z110" i="1"/>
  <c r="Y110" i="1"/>
  <c r="BP109" i="1"/>
  <c r="BO109" i="1"/>
  <c r="BN109" i="1"/>
  <c r="BM109" i="1"/>
  <c r="Z109" i="1"/>
  <c r="Y109" i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Y106" i="1" s="1"/>
  <c r="BO101" i="1"/>
  <c r="BM101" i="1"/>
  <c r="Y101" i="1"/>
  <c r="P101" i="1"/>
  <c r="X98" i="1"/>
  <c r="X97" i="1"/>
  <c r="BO96" i="1"/>
  <c r="BM96" i="1"/>
  <c r="Y96" i="1"/>
  <c r="P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X91" i="1"/>
  <c r="Y90" i="1"/>
  <c r="X90" i="1"/>
  <c r="BP89" i="1"/>
  <c r="BO89" i="1"/>
  <c r="BN89" i="1"/>
  <c r="BM89" i="1"/>
  <c r="Z89" i="1"/>
  <c r="Y89" i="1"/>
  <c r="P89" i="1"/>
  <c r="BO88" i="1"/>
  <c r="BM88" i="1"/>
  <c r="Y88" i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Y78" i="1" s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2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2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6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24" i="1" l="1"/>
  <c r="Z97" i="1"/>
  <c r="Z193" i="1"/>
  <c r="Y25" i="1"/>
  <c r="Y33" i="1"/>
  <c r="Y37" i="1"/>
  <c r="BP111" i="1"/>
  <c r="BN111" i="1"/>
  <c r="Z111" i="1"/>
  <c r="Z113" i="1" s="1"/>
  <c r="G502" i="1"/>
  <c r="Y131" i="1"/>
  <c r="BP128" i="1"/>
  <c r="BN128" i="1"/>
  <c r="Z128" i="1"/>
  <c r="Z130" i="1" s="1"/>
  <c r="BP145" i="1"/>
  <c r="BN145" i="1"/>
  <c r="Z145" i="1"/>
  <c r="Z146" i="1" s="1"/>
  <c r="Y147" i="1"/>
  <c r="BP175" i="1"/>
  <c r="BN175" i="1"/>
  <c r="Z175" i="1"/>
  <c r="BP192" i="1"/>
  <c r="BN192" i="1"/>
  <c r="Z192" i="1"/>
  <c r="Y194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Y222" i="1"/>
  <c r="BP253" i="1"/>
  <c r="BN253" i="1"/>
  <c r="Z253" i="1"/>
  <c r="Y301" i="1"/>
  <c r="BP294" i="1"/>
  <c r="BN294" i="1"/>
  <c r="Z294" i="1"/>
  <c r="Q502" i="1"/>
  <c r="Y300" i="1"/>
  <c r="BP298" i="1"/>
  <c r="BN298" i="1"/>
  <c r="Z298" i="1"/>
  <c r="BP326" i="1"/>
  <c r="BN326" i="1"/>
  <c r="Z326" i="1"/>
  <c r="Y330" i="1"/>
  <c r="Y45" i="1"/>
  <c r="Y49" i="1"/>
  <c r="Y58" i="1"/>
  <c r="Y64" i="1"/>
  <c r="BP76" i="1"/>
  <c r="BN76" i="1"/>
  <c r="Z76" i="1"/>
  <c r="Y83" i="1"/>
  <c r="BP80" i="1"/>
  <c r="BN80" i="1"/>
  <c r="Z80" i="1"/>
  <c r="Z82" i="1" s="1"/>
  <c r="BP94" i="1"/>
  <c r="BN94" i="1"/>
  <c r="Z94" i="1"/>
  <c r="BP102" i="1"/>
  <c r="BN102" i="1"/>
  <c r="Z102" i="1"/>
  <c r="BP119" i="1"/>
  <c r="BN119" i="1"/>
  <c r="Z119" i="1"/>
  <c r="Y124" i="1"/>
  <c r="BP123" i="1"/>
  <c r="BN123" i="1"/>
  <c r="Z123" i="1"/>
  <c r="Z124" i="1" s="1"/>
  <c r="Y125" i="1"/>
  <c r="Y152" i="1"/>
  <c r="BP149" i="1"/>
  <c r="BN149" i="1"/>
  <c r="Z149" i="1"/>
  <c r="BP168" i="1"/>
  <c r="BN168" i="1"/>
  <c r="Z168" i="1"/>
  <c r="BP172" i="1"/>
  <c r="BN172" i="1"/>
  <c r="Z172" i="1"/>
  <c r="Y199" i="1"/>
  <c r="BP196" i="1"/>
  <c r="BN196" i="1"/>
  <c r="Z196" i="1"/>
  <c r="Z198" i="1" s="1"/>
  <c r="Y210" i="1"/>
  <c r="BP220" i="1"/>
  <c r="BN220" i="1"/>
  <c r="Z220" i="1"/>
  <c r="Y227" i="1"/>
  <c r="BP224" i="1"/>
  <c r="BN224" i="1"/>
  <c r="Z224" i="1"/>
  <c r="Z226" i="1" s="1"/>
  <c r="Y226" i="1"/>
  <c r="BP271" i="1"/>
  <c r="BN271" i="1"/>
  <c r="Z271" i="1"/>
  <c r="O502" i="1"/>
  <c r="Y279" i="1"/>
  <c r="BP276" i="1"/>
  <c r="BN276" i="1"/>
  <c r="Z276" i="1"/>
  <c r="Z279" i="1" s="1"/>
  <c r="Y280" i="1"/>
  <c r="BP289" i="1"/>
  <c r="BN289" i="1"/>
  <c r="Z289" i="1"/>
  <c r="Z290" i="1" s="1"/>
  <c r="Y291" i="1"/>
  <c r="BP334" i="1"/>
  <c r="BN334" i="1"/>
  <c r="Z334" i="1"/>
  <c r="R502" i="1"/>
  <c r="Y343" i="1"/>
  <c r="Y342" i="1"/>
  <c r="BP339" i="1"/>
  <c r="BN339" i="1"/>
  <c r="Z339" i="1"/>
  <c r="H502" i="1"/>
  <c r="H9" i="1"/>
  <c r="B502" i="1"/>
  <c r="X493" i="1"/>
  <c r="X494" i="1"/>
  <c r="Z23" i="1"/>
  <c r="BN23" i="1"/>
  <c r="Y493" i="1" s="1"/>
  <c r="Y495" i="1" s="1"/>
  <c r="Y24" i="1"/>
  <c r="X492" i="1"/>
  <c r="Z27" i="1"/>
  <c r="BN27" i="1"/>
  <c r="BP27" i="1"/>
  <c r="Y494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Y59" i="1"/>
  <c r="Z62" i="1"/>
  <c r="Z64" i="1" s="1"/>
  <c r="BN62" i="1"/>
  <c r="Y71" i="1"/>
  <c r="Z68" i="1"/>
  <c r="Z70" i="1" s="1"/>
  <c r="BN68" i="1"/>
  <c r="Y70" i="1"/>
  <c r="BP74" i="1"/>
  <c r="BN74" i="1"/>
  <c r="Z74" i="1"/>
  <c r="Z77" i="1" s="1"/>
  <c r="Y82" i="1"/>
  <c r="Z90" i="1"/>
  <c r="BP88" i="1"/>
  <c r="BN88" i="1"/>
  <c r="Z88" i="1"/>
  <c r="Y97" i="1"/>
  <c r="BP96" i="1"/>
  <c r="BN96" i="1"/>
  <c r="Z96" i="1"/>
  <c r="Y98" i="1"/>
  <c r="F502" i="1"/>
  <c r="Y107" i="1"/>
  <c r="BP101" i="1"/>
  <c r="BN101" i="1"/>
  <c r="Z101" i="1"/>
  <c r="BP104" i="1"/>
  <c r="BN104" i="1"/>
  <c r="Z104" i="1"/>
  <c r="Y114" i="1"/>
  <c r="Y113" i="1"/>
  <c r="BP117" i="1"/>
  <c r="BN117" i="1"/>
  <c r="Z117" i="1"/>
  <c r="Y130" i="1"/>
  <c r="BP134" i="1"/>
  <c r="BN134" i="1"/>
  <c r="Z134" i="1"/>
  <c r="Z135" i="1" s="1"/>
  <c r="Y136" i="1"/>
  <c r="Y141" i="1"/>
  <c r="BP138" i="1"/>
  <c r="BN138" i="1"/>
  <c r="Z138" i="1"/>
  <c r="Z140" i="1" s="1"/>
  <c r="Y146" i="1"/>
  <c r="BP151" i="1"/>
  <c r="BN151" i="1"/>
  <c r="Z151" i="1"/>
  <c r="Y153" i="1"/>
  <c r="Y156" i="1"/>
  <c r="BP155" i="1"/>
  <c r="BN155" i="1"/>
  <c r="Z155" i="1"/>
  <c r="Z156" i="1" s="1"/>
  <c r="Y157" i="1"/>
  <c r="I502" i="1"/>
  <c r="Y162" i="1"/>
  <c r="BP161" i="1"/>
  <c r="BN161" i="1"/>
  <c r="Z161" i="1"/>
  <c r="Z162" i="1" s="1"/>
  <c r="Y163" i="1"/>
  <c r="BP166" i="1"/>
  <c r="BN166" i="1"/>
  <c r="Z166" i="1"/>
  <c r="Z177" i="1" s="1"/>
  <c r="BP170" i="1"/>
  <c r="BN170" i="1"/>
  <c r="Z170" i="1"/>
  <c r="BP173" i="1"/>
  <c r="BN173" i="1"/>
  <c r="Z173" i="1"/>
  <c r="Y177" i="1"/>
  <c r="Z183" i="1"/>
  <c r="BP181" i="1"/>
  <c r="BN181" i="1"/>
  <c r="Z181" i="1"/>
  <c r="Y198" i="1"/>
  <c r="BP202" i="1"/>
  <c r="BN202" i="1"/>
  <c r="Z202" i="1"/>
  <c r="BP233" i="1"/>
  <c r="BN233" i="1"/>
  <c r="Z233" i="1"/>
  <c r="BP237" i="1"/>
  <c r="BN237" i="1"/>
  <c r="Z237" i="1"/>
  <c r="BP262" i="1"/>
  <c r="BN262" i="1"/>
  <c r="Z262" i="1"/>
  <c r="BP306" i="1"/>
  <c r="BN306" i="1"/>
  <c r="Z306" i="1"/>
  <c r="BP314" i="1"/>
  <c r="BN314" i="1"/>
  <c r="Z314" i="1"/>
  <c r="BP373" i="1"/>
  <c r="BN373" i="1"/>
  <c r="Z373" i="1"/>
  <c r="Z374" i="1" s="1"/>
  <c r="Y375" i="1"/>
  <c r="Y380" i="1"/>
  <c r="BP377" i="1"/>
  <c r="BN377" i="1"/>
  <c r="Z377" i="1"/>
  <c r="Z379" i="1" s="1"/>
  <c r="Y379" i="1"/>
  <c r="E502" i="1"/>
  <c r="Y91" i="1"/>
  <c r="J502" i="1"/>
  <c r="Y193" i="1"/>
  <c r="Y209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Z239" i="1" s="1"/>
  <c r="Y239" i="1"/>
  <c r="Z255" i="1"/>
  <c r="BP251" i="1"/>
  <c r="BN251" i="1"/>
  <c r="Z251" i="1"/>
  <c r="Y255" i="1"/>
  <c r="BP260" i="1"/>
  <c r="BN260" i="1"/>
  <c r="Z260" i="1"/>
  <c r="Z264" i="1" s="1"/>
  <c r="Y264" i="1"/>
  <c r="BP269" i="1"/>
  <c r="BN269" i="1"/>
  <c r="Z269" i="1"/>
  <c r="Z272" i="1" s="1"/>
  <c r="BP278" i="1"/>
  <c r="BN278" i="1"/>
  <c r="Z278" i="1"/>
  <c r="P502" i="1"/>
  <c r="Y286" i="1"/>
  <c r="BP283" i="1"/>
  <c r="BN283" i="1"/>
  <c r="Z283" i="1"/>
  <c r="Z285" i="1" s="1"/>
  <c r="Y290" i="1"/>
  <c r="BP296" i="1"/>
  <c r="BN296" i="1"/>
  <c r="Z296" i="1"/>
  <c r="BP304" i="1"/>
  <c r="BN304" i="1"/>
  <c r="Z304" i="1"/>
  <c r="Z309" i="1" s="1"/>
  <c r="BP308" i="1"/>
  <c r="BN308" i="1"/>
  <c r="Z308" i="1"/>
  <c r="Y310" i="1"/>
  <c r="Y317" i="1"/>
  <c r="BP312" i="1"/>
  <c r="BN312" i="1"/>
  <c r="Z312" i="1"/>
  <c r="Y316" i="1"/>
  <c r="BP320" i="1"/>
  <c r="BN320" i="1"/>
  <c r="Z320" i="1"/>
  <c r="Z322" i="1" s="1"/>
  <c r="Y329" i="1"/>
  <c r="BP328" i="1"/>
  <c r="BN328" i="1"/>
  <c r="Z328" i="1"/>
  <c r="Z329" i="1" s="1"/>
  <c r="Y335" i="1"/>
  <c r="BP332" i="1"/>
  <c r="BN332" i="1"/>
  <c r="Z332" i="1"/>
  <c r="Z335" i="1" s="1"/>
  <c r="BP341" i="1"/>
  <c r="BN341" i="1"/>
  <c r="Z341" i="1"/>
  <c r="Z354" i="1"/>
  <c r="BP348" i="1"/>
  <c r="BN348" i="1"/>
  <c r="Z348" i="1"/>
  <c r="Y354" i="1"/>
  <c r="BP352" i="1"/>
  <c r="BN352" i="1"/>
  <c r="Z352" i="1"/>
  <c r="BP391" i="1"/>
  <c r="BN391" i="1"/>
  <c r="Z391" i="1"/>
  <c r="Z399" i="1" s="1"/>
  <c r="U502" i="1"/>
  <c r="BP395" i="1"/>
  <c r="BN395" i="1"/>
  <c r="Z395" i="1"/>
  <c r="Y399" i="1"/>
  <c r="BP403" i="1"/>
  <c r="BN403" i="1"/>
  <c r="Z403" i="1"/>
  <c r="Z404" i="1" s="1"/>
  <c r="Y405" i="1"/>
  <c r="V502" i="1"/>
  <c r="Y409" i="1"/>
  <c r="BP408" i="1"/>
  <c r="BN408" i="1"/>
  <c r="Z408" i="1"/>
  <c r="Z409" i="1" s="1"/>
  <c r="Y410" i="1"/>
  <c r="Y417" i="1"/>
  <c r="BP412" i="1"/>
  <c r="BN412" i="1"/>
  <c r="Z412" i="1"/>
  <c r="Y416" i="1"/>
  <c r="BP428" i="1"/>
  <c r="BN428" i="1"/>
  <c r="Z428" i="1"/>
  <c r="Z438" i="1" s="1"/>
  <c r="Y438" i="1"/>
  <c r="BP432" i="1"/>
  <c r="BN432" i="1"/>
  <c r="Z432" i="1"/>
  <c r="BP436" i="1"/>
  <c r="BN436" i="1"/>
  <c r="Z436" i="1"/>
  <c r="K502" i="1"/>
  <c r="Y240" i="1"/>
  <c r="Y265" i="1"/>
  <c r="M502" i="1"/>
  <c r="Y272" i="1"/>
  <c r="S502" i="1"/>
  <c r="BP350" i="1"/>
  <c r="BN350" i="1"/>
  <c r="Z350" i="1"/>
  <c r="BP358" i="1"/>
  <c r="BN358" i="1"/>
  <c r="Z358" i="1"/>
  <c r="Z359" i="1" s="1"/>
  <c r="Y360" i="1"/>
  <c r="Y365" i="1"/>
  <c r="BP362" i="1"/>
  <c r="BN362" i="1"/>
  <c r="Z362" i="1"/>
  <c r="Z364" i="1" s="1"/>
  <c r="Z385" i="1"/>
  <c r="BP383" i="1"/>
  <c r="BN383" i="1"/>
  <c r="Z383" i="1"/>
  <c r="Y400" i="1"/>
  <c r="BP393" i="1"/>
  <c r="BN393" i="1"/>
  <c r="Z393" i="1"/>
  <c r="BP397" i="1"/>
  <c r="BN397" i="1"/>
  <c r="Z397" i="1"/>
  <c r="Y404" i="1"/>
  <c r="BP414" i="1"/>
  <c r="BN414" i="1"/>
  <c r="Z414" i="1"/>
  <c r="BP448" i="1"/>
  <c r="BN448" i="1"/>
  <c r="Z448" i="1"/>
  <c r="Z453" i="1" s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Z466" i="1" s="1"/>
  <c r="Y466" i="1"/>
  <c r="BP470" i="1"/>
  <c r="BN470" i="1"/>
  <c r="Z470" i="1"/>
  <c r="Z471" i="1" s="1"/>
  <c r="Y472" i="1"/>
  <c r="Y477" i="1"/>
  <c r="BP474" i="1"/>
  <c r="BN474" i="1"/>
  <c r="Z474" i="1"/>
  <c r="Z476" i="1" s="1"/>
  <c r="Y476" i="1"/>
  <c r="Y502" i="1"/>
  <c r="Y355" i="1"/>
  <c r="T502" i="1"/>
  <c r="Y374" i="1"/>
  <c r="X502" i="1"/>
  <c r="BP430" i="1"/>
  <c r="BN430" i="1"/>
  <c r="Z430" i="1"/>
  <c r="BP434" i="1"/>
  <c r="BN434" i="1"/>
  <c r="Z434" i="1"/>
  <c r="BP442" i="1"/>
  <c r="BN442" i="1"/>
  <c r="Z442" i="1"/>
  <c r="Z444" i="1" s="1"/>
  <c r="Y453" i="1"/>
  <c r="BP450" i="1"/>
  <c r="BN450" i="1"/>
  <c r="Z450" i="1"/>
  <c r="BP464" i="1"/>
  <c r="BN464" i="1"/>
  <c r="Z464" i="1"/>
  <c r="Y471" i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Y439" i="1"/>
  <c r="Z221" i="1" l="1"/>
  <c r="Y492" i="1"/>
  <c r="Z416" i="1"/>
  <c r="Z316" i="1"/>
  <c r="Z209" i="1"/>
  <c r="Z120" i="1"/>
  <c r="Z106" i="1"/>
  <c r="Z44" i="1"/>
  <c r="Z497" i="1" s="1"/>
  <c r="Z32" i="1"/>
  <c r="Y496" i="1"/>
  <c r="X495" i="1"/>
  <c r="Z342" i="1"/>
  <c r="Z152" i="1"/>
  <c r="Z300" i="1"/>
</calcChain>
</file>

<file path=xl/sharedStrings.xml><?xml version="1.0" encoding="utf-8"?>
<sst xmlns="http://schemas.openxmlformats.org/spreadsheetml/2006/main" count="2362" uniqueCount="778">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</sst>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79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1" t="s">
        <v>0</v>
      </c>
      <c r="E1" s="579"/>
      <c r="F1" s="579"/>
      <c r="G1" s="12" t="s">
        <v>1</v>
      </c>
      <c r="H1" s="621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8" t="s">
        <v>8</v>
      </c>
      <c r="B5" s="669"/>
      <c r="C5" s="670"/>
      <c r="D5" s="625"/>
      <c r="E5" s="626"/>
      <c r="F5" s="834" t="s">
        <v>9</v>
      </c>
      <c r="G5" s="670"/>
      <c r="H5" s="625"/>
      <c r="I5" s="776"/>
      <c r="J5" s="776"/>
      <c r="K5" s="776"/>
      <c r="L5" s="776"/>
      <c r="M5" s="626"/>
      <c r="N5" s="58"/>
      <c r="P5" s="24" t="s">
        <v>10</v>
      </c>
      <c r="Q5" s="848">
        <v>46009</v>
      </c>
      <c r="R5" s="666"/>
      <c r="T5" s="715" t="s">
        <v>11</v>
      </c>
      <c r="U5" s="716"/>
      <c r="V5" s="718" t="s">
        <v>12</v>
      </c>
      <c r="W5" s="666"/>
      <c r="AB5" s="51"/>
      <c r="AC5" s="51"/>
      <c r="AD5" s="51"/>
      <c r="AE5" s="51"/>
    </row>
    <row r="6" spans="1:32" s="541" customFormat="1" ht="24" customHeight="1" x14ac:dyDescent="0.2">
      <c r="A6" s="668" t="s">
        <v>13</v>
      </c>
      <c r="B6" s="669"/>
      <c r="C6" s="670"/>
      <c r="D6" s="779" t="s">
        <v>14</v>
      </c>
      <c r="E6" s="780"/>
      <c r="F6" s="780"/>
      <c r="G6" s="780"/>
      <c r="H6" s="780"/>
      <c r="I6" s="780"/>
      <c r="J6" s="780"/>
      <c r="K6" s="780"/>
      <c r="L6" s="780"/>
      <c r="M6" s="666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Четверг</v>
      </c>
      <c r="R6" s="559"/>
      <c r="T6" s="721" t="s">
        <v>16</v>
      </c>
      <c r="U6" s="716"/>
      <c r="V6" s="764" t="s">
        <v>17</v>
      </c>
      <c r="W6" s="596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61"/>
      <c r="U7" s="716"/>
      <c r="V7" s="765"/>
      <c r="W7" s="766"/>
      <c r="AB7" s="51"/>
      <c r="AC7" s="51"/>
      <c r="AD7" s="51"/>
      <c r="AE7" s="51"/>
    </row>
    <row r="8" spans="1:32" s="541" customFormat="1" ht="25.5" customHeight="1" x14ac:dyDescent="0.2">
      <c r="A8" s="867" t="s">
        <v>18</v>
      </c>
      <c r="B8" s="565"/>
      <c r="C8" s="566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79">
        <v>0.41666666666666669</v>
      </c>
      <c r="R8" s="607"/>
      <c r="T8" s="561"/>
      <c r="U8" s="716"/>
      <c r="V8" s="765"/>
      <c r="W8" s="766"/>
      <c r="AB8" s="51"/>
      <c r="AC8" s="51"/>
      <c r="AD8" s="51"/>
      <c r="AE8" s="51"/>
    </row>
    <row r="9" spans="1:32" s="541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89"/>
      <c r="E9" s="563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9"/>
      <c r="P9" s="26" t="s">
        <v>21</v>
      </c>
      <c r="Q9" s="662"/>
      <c r="R9" s="663"/>
      <c r="T9" s="561"/>
      <c r="U9" s="716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89"/>
      <c r="E10" s="563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61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22"/>
      <c r="R10" s="723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5"/>
      <c r="R11" s="666"/>
      <c r="U11" s="24" t="s">
        <v>27</v>
      </c>
      <c r="V11" s="796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0" t="s">
        <v>29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62"/>
      <c r="P12" s="24" t="s">
        <v>30</v>
      </c>
      <c r="Q12" s="679"/>
      <c r="R12" s="607"/>
      <c r="S12" s="23"/>
      <c r="U12" s="24"/>
      <c r="V12" s="579"/>
      <c r="W12" s="561"/>
      <c r="AB12" s="51"/>
      <c r="AC12" s="51"/>
      <c r="AD12" s="51"/>
      <c r="AE12" s="51"/>
    </row>
    <row r="13" spans="1:32" s="541" customFormat="1" ht="23.25" customHeight="1" x14ac:dyDescent="0.2">
      <c r="A13" s="710" t="s">
        <v>31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62"/>
      <c r="O13" s="26"/>
      <c r="P13" s="26" t="s">
        <v>32</v>
      </c>
      <c r="Q13" s="796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0" t="s">
        <v>33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63"/>
      <c r="P15" s="700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6" t="s">
        <v>38</v>
      </c>
      <c r="D17" s="590" t="s">
        <v>39</v>
      </c>
      <c r="E17" s="648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47"/>
      <c r="R17" s="647"/>
      <c r="S17" s="647"/>
      <c r="T17" s="648"/>
      <c r="U17" s="866" t="s">
        <v>51</v>
      </c>
      <c r="V17" s="670"/>
      <c r="W17" s="590" t="s">
        <v>52</v>
      </c>
      <c r="X17" s="590" t="s">
        <v>53</v>
      </c>
      <c r="Y17" s="864" t="s">
        <v>54</v>
      </c>
      <c r="Z17" s="774" t="s">
        <v>55</v>
      </c>
      <c r="AA17" s="759" t="s">
        <v>56</v>
      </c>
      <c r="AB17" s="759" t="s">
        <v>57</v>
      </c>
      <c r="AC17" s="759" t="s">
        <v>58</v>
      </c>
      <c r="AD17" s="759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49"/>
      <c r="E18" s="651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49"/>
      <c r="Q18" s="650"/>
      <c r="R18" s="650"/>
      <c r="S18" s="650"/>
      <c r="T18" s="651"/>
      <c r="U18" s="67" t="s">
        <v>61</v>
      </c>
      <c r="V18" s="67" t="s">
        <v>62</v>
      </c>
      <c r="W18" s="591"/>
      <c r="X18" s="591"/>
      <c r="Y18" s="865"/>
      <c r="Z18" s="775"/>
      <c r="AA18" s="760"/>
      <c r="AB18" s="760"/>
      <c r="AC18" s="760"/>
      <c r="AD18" s="831"/>
      <c r="AE18" s="832"/>
      <c r="AF18" s="833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9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customHeight="1" x14ac:dyDescent="0.25">
      <c r="A21" s="560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7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8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8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0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58">
        <v>4680115887350</v>
      </c>
      <c r="E29" s="559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58">
        <v>4680115885905</v>
      </c>
      <c r="E30" s="559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91</v>
      </c>
      <c r="M30" s="33" t="s">
        <v>87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 t="s">
        <v>93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94</v>
      </c>
      <c r="B31" s="54" t="s">
        <v>95</v>
      </c>
      <c r="C31" s="31">
        <v>4301051851</v>
      </c>
      <c r="D31" s="558">
        <v>4607091388244</v>
      </c>
      <c r="E31" s="559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 t="s">
        <v>91</v>
      </c>
      <c r="M31" s="33" t="s">
        <v>87</v>
      </c>
      <c r="N31" s="33"/>
      <c r="O31" s="32">
        <v>40</v>
      </c>
      <c r="P31" s="61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 t="s">
        <v>93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7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8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61"/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8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60" t="s">
        <v>96</v>
      </c>
      <c r="B34" s="561"/>
      <c r="C34" s="561"/>
      <c r="D34" s="561"/>
      <c r="E34" s="561"/>
      <c r="F34" s="561"/>
      <c r="G34" s="561"/>
      <c r="H34" s="561"/>
      <c r="I34" s="561"/>
      <c r="J34" s="561"/>
      <c r="K34" s="561"/>
      <c r="L34" s="561"/>
      <c r="M34" s="561"/>
      <c r="N34" s="561"/>
      <c r="O34" s="561"/>
      <c r="P34" s="561"/>
      <c r="Q34" s="561"/>
      <c r="R34" s="561"/>
      <c r="S34" s="561"/>
      <c r="T34" s="561"/>
      <c r="U34" s="561"/>
      <c r="V34" s="561"/>
      <c r="W34" s="561"/>
      <c r="X34" s="561"/>
      <c r="Y34" s="561"/>
      <c r="Z34" s="561"/>
      <c r="AA34" s="543"/>
      <c r="AB34" s="543"/>
      <c r="AC34" s="543"/>
    </row>
    <row r="35" spans="1:68" ht="27" customHeight="1" x14ac:dyDescent="0.25">
      <c r="A35" s="54" t="s">
        <v>97</v>
      </c>
      <c r="B35" s="54" t="s">
        <v>98</v>
      </c>
      <c r="C35" s="31">
        <v>4301032013</v>
      </c>
      <c r="D35" s="558">
        <v>4607091388503</v>
      </c>
      <c r="E35" s="559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78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7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8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61"/>
      <c r="B37" s="561"/>
      <c r="C37" s="561"/>
      <c r="D37" s="561"/>
      <c r="E37" s="561"/>
      <c r="F37" s="561"/>
      <c r="G37" s="561"/>
      <c r="H37" s="561"/>
      <c r="I37" s="561"/>
      <c r="J37" s="561"/>
      <c r="K37" s="561"/>
      <c r="L37" s="561"/>
      <c r="M37" s="561"/>
      <c r="N37" s="561"/>
      <c r="O37" s="568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30" t="s">
        <v>102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9" t="s">
        <v>103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2"/>
      <c r="AB39" s="542"/>
      <c r="AC39" s="542"/>
    </row>
    <row r="40" spans="1:68" ht="14.25" customHeight="1" x14ac:dyDescent="0.25">
      <c r="A40" s="560" t="s">
        <v>104</v>
      </c>
      <c r="B40" s="561"/>
      <c r="C40" s="561"/>
      <c r="D40" s="561"/>
      <c r="E40" s="561"/>
      <c r="F40" s="561"/>
      <c r="G40" s="561"/>
      <c r="H40" s="561"/>
      <c r="I40" s="561"/>
      <c r="J40" s="561"/>
      <c r="K40" s="561"/>
      <c r="L40" s="561"/>
      <c r="M40" s="561"/>
      <c r="N40" s="561"/>
      <c r="O40" s="561"/>
      <c r="P40" s="561"/>
      <c r="Q40" s="561"/>
      <c r="R40" s="561"/>
      <c r="S40" s="561"/>
      <c r="T40" s="561"/>
      <c r="U40" s="561"/>
      <c r="V40" s="561"/>
      <c r="W40" s="561"/>
      <c r="X40" s="561"/>
      <c r="Y40" s="561"/>
      <c r="Z40" s="561"/>
      <c r="AA40" s="543"/>
      <c r="AB40" s="543"/>
      <c r="AC40" s="543"/>
    </row>
    <row r="41" spans="1:68" ht="16.5" customHeight="1" x14ac:dyDescent="0.25">
      <c r="A41" s="54" t="s">
        <v>105</v>
      </c>
      <c r="B41" s="54" t="s">
        <v>106</v>
      </c>
      <c r="C41" s="31">
        <v>4301011380</v>
      </c>
      <c r="D41" s="558">
        <v>4607091385670</v>
      </c>
      <c r="E41" s="559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8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110</v>
      </c>
      <c r="AG41" s="64"/>
      <c r="AJ41" s="68" t="s">
        <v>93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8">
        <v>4680115882539</v>
      </c>
      <c r="E42" s="559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113</v>
      </c>
      <c r="L42" s="32"/>
      <c r="M42" s="33" t="s">
        <v>80</v>
      </c>
      <c r="N42" s="33"/>
      <c r="O42" s="32">
        <v>50</v>
      </c>
      <c r="P42" s="6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4301011382</v>
      </c>
      <c r="D43" s="558">
        <v>4607091385687</v>
      </c>
      <c r="E43" s="559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113</v>
      </c>
      <c r="L43" s="32" t="s">
        <v>116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110</v>
      </c>
      <c r="AG43" s="64"/>
      <c r="AJ43" s="68" t="s">
        <v>93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7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8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49">
        <f>IFERROR(X41/H41,"0")+IFERROR(X42/H42,"0")+IFERROR(X43/H43,"0")</f>
        <v>0</v>
      </c>
      <c r="Y44" s="549">
        <f>IFERROR(Y41/H41,"0")+IFERROR(Y42/H42,"0")+IFERROR(Y43/H43,"0")</f>
        <v>0</v>
      </c>
      <c r="Z44" s="549">
        <f>IFERROR(IF(Z41="",0,Z41),"0")+IFERROR(IF(Z42="",0,Z42),"0")+IFERROR(IF(Z43="",0,Z43),"0")</f>
        <v>0</v>
      </c>
      <c r="AA44" s="550"/>
      <c r="AB44" s="550"/>
      <c r="AC44" s="550"/>
    </row>
    <row r="45" spans="1:68" x14ac:dyDescent="0.2">
      <c r="A45" s="561"/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8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49">
        <f>IFERROR(SUM(X41:X43),"0")</f>
        <v>0</v>
      </c>
      <c r="Y45" s="549">
        <f>IFERROR(SUM(Y41:Y43),"0")</f>
        <v>0</v>
      </c>
      <c r="Z45" s="37"/>
      <c r="AA45" s="550"/>
      <c r="AB45" s="550"/>
      <c r="AC45" s="550"/>
    </row>
    <row r="46" spans="1:68" ht="14.25" customHeight="1" x14ac:dyDescent="0.25">
      <c r="A46" s="560" t="s">
        <v>77</v>
      </c>
      <c r="B46" s="561"/>
      <c r="C46" s="561"/>
      <c r="D46" s="561"/>
      <c r="E46" s="561"/>
      <c r="F46" s="561"/>
      <c r="G46" s="561"/>
      <c r="H46" s="561"/>
      <c r="I46" s="561"/>
      <c r="J46" s="561"/>
      <c r="K46" s="561"/>
      <c r="L46" s="561"/>
      <c r="M46" s="561"/>
      <c r="N46" s="561"/>
      <c r="O46" s="561"/>
      <c r="P46" s="561"/>
      <c r="Q46" s="561"/>
      <c r="R46" s="561"/>
      <c r="S46" s="561"/>
      <c r="T46" s="561"/>
      <c r="U46" s="561"/>
      <c r="V46" s="561"/>
      <c r="W46" s="561"/>
      <c r="X46" s="561"/>
      <c r="Y46" s="561"/>
      <c r="Z46" s="561"/>
      <c r="AA46" s="543"/>
      <c r="AB46" s="543"/>
      <c r="AC46" s="543"/>
    </row>
    <row r="47" spans="1:68" ht="16.5" customHeight="1" x14ac:dyDescent="0.25">
      <c r="A47" s="54" t="s">
        <v>117</v>
      </c>
      <c r="B47" s="54" t="s">
        <v>118</v>
      </c>
      <c r="C47" s="31">
        <v>4301051820</v>
      </c>
      <c r="D47" s="558">
        <v>4680115884915</v>
      </c>
      <c r="E47" s="559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 t="s">
        <v>91</v>
      </c>
      <c r="M47" s="33" t="s">
        <v>80</v>
      </c>
      <c r="N47" s="33"/>
      <c r="O47" s="32">
        <v>40</v>
      </c>
      <c r="P47" s="64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 t="s">
        <v>93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7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8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61"/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8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69" t="s">
        <v>120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2"/>
      <c r="AB50" s="542"/>
      <c r="AC50" s="542"/>
    </row>
    <row r="51" spans="1:68" ht="14.25" customHeight="1" x14ac:dyDescent="0.25">
      <c r="A51" s="560" t="s">
        <v>104</v>
      </c>
      <c r="B51" s="561"/>
      <c r="C51" s="561"/>
      <c r="D51" s="561"/>
      <c r="E51" s="561"/>
      <c r="F51" s="561"/>
      <c r="G51" s="561"/>
      <c r="H51" s="561"/>
      <c r="I51" s="561"/>
      <c r="J51" s="561"/>
      <c r="K51" s="561"/>
      <c r="L51" s="561"/>
      <c r="M51" s="561"/>
      <c r="N51" s="561"/>
      <c r="O51" s="561"/>
      <c r="P51" s="561"/>
      <c r="Q51" s="561"/>
      <c r="R51" s="561"/>
      <c r="S51" s="561"/>
      <c r="T51" s="561"/>
      <c r="U51" s="561"/>
      <c r="V51" s="561"/>
      <c r="W51" s="561"/>
      <c r="X51" s="561"/>
      <c r="Y51" s="561"/>
      <c r="Z51" s="561"/>
      <c r="AA51" s="543"/>
      <c r="AB51" s="543"/>
      <c r="AC51" s="543"/>
    </row>
    <row r="52" spans="1:68" ht="27" customHeight="1" x14ac:dyDescent="0.25">
      <c r="A52" s="54" t="s">
        <v>121</v>
      </c>
      <c r="B52" s="54" t="s">
        <v>122</v>
      </c>
      <c r="C52" s="31">
        <v>4301012030</v>
      </c>
      <c r="D52" s="558">
        <v>4680115885882</v>
      </c>
      <c r="E52" s="559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 t="s">
        <v>108</v>
      </c>
      <c r="M52" s="33" t="s">
        <v>80</v>
      </c>
      <c r="N52" s="33"/>
      <c r="O52" s="32">
        <v>50</v>
      </c>
      <c r="P52" s="65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93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58">
        <v>4680115881426</v>
      </c>
      <c r="E53" s="559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1000</v>
      </c>
      <c r="Y53" s="548">
        <f t="shared" si="0"/>
        <v>1004.4000000000001</v>
      </c>
      <c r="Z53" s="36">
        <f>IFERROR(IF(Y53=0,"",ROUNDUP(Y53/H53,0)*0.01898),"")</f>
        <v>1.7651399999999999</v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1037.9629629629628</v>
      </c>
      <c r="BN53" s="64">
        <f t="shared" si="2"/>
        <v>1042.5300000000002</v>
      </c>
      <c r="BO53" s="64">
        <f t="shared" si="3"/>
        <v>1.4467592592592591</v>
      </c>
      <c r="BP53" s="64">
        <f t="shared" si="4"/>
        <v>1.453125</v>
      </c>
    </row>
    <row r="54" spans="1:68" ht="27" customHeight="1" x14ac:dyDescent="0.25">
      <c r="A54" s="54" t="s">
        <v>127</v>
      </c>
      <c r="B54" s="54" t="s">
        <v>128</v>
      </c>
      <c r="C54" s="31">
        <v>4301011386</v>
      </c>
      <c r="D54" s="558">
        <v>4680115880283</v>
      </c>
      <c r="E54" s="559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8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130</v>
      </c>
      <c r="B55" s="54" t="s">
        <v>131</v>
      </c>
      <c r="C55" s="31">
        <v>4301011806</v>
      </c>
      <c r="D55" s="558">
        <v>4680115881525</v>
      </c>
      <c r="E55" s="559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67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4301011589</v>
      </c>
      <c r="D56" s="558">
        <v>4680115885899</v>
      </c>
      <c r="E56" s="559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 t="s">
        <v>91</v>
      </c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 t="s">
        <v>93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58">
        <v>4680115881419</v>
      </c>
      <c r="E57" s="559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/>
      <c r="M57" s="33" t="s">
        <v>109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8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49">
        <f>IFERROR(X52/H52,"0")+IFERROR(X53/H53,"0")+IFERROR(X54/H54,"0")+IFERROR(X55/H55,"0")+IFERROR(X56/H56,"0")+IFERROR(X57/H57,"0")</f>
        <v>92.592592592592581</v>
      </c>
      <c r="Y58" s="549">
        <f>IFERROR(Y52/H52,"0")+IFERROR(Y53/H53,"0")+IFERROR(Y54/H54,"0")+IFERROR(Y55/H55,"0")+IFERROR(Y56/H56,"0")+IFERROR(Y57/H57,"0")</f>
        <v>93</v>
      </c>
      <c r="Z58" s="549">
        <f>IFERROR(IF(Z52="",0,Z52),"0")+IFERROR(IF(Z53="",0,Z53),"0")+IFERROR(IF(Z54="",0,Z54),"0")+IFERROR(IF(Z55="",0,Z55),"0")+IFERROR(IF(Z56="",0,Z56),"0")+IFERROR(IF(Z57="",0,Z57),"0")</f>
        <v>1.7651399999999999</v>
      </c>
      <c r="AA58" s="550"/>
      <c r="AB58" s="550"/>
      <c r="AC58" s="550"/>
    </row>
    <row r="59" spans="1:68" x14ac:dyDescent="0.2">
      <c r="A59" s="561"/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8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49">
        <f>IFERROR(SUM(X52:X57),"0")</f>
        <v>1000</v>
      </c>
      <c r="Y59" s="549">
        <f>IFERROR(SUM(Y52:Y57),"0")</f>
        <v>1004.4000000000001</v>
      </c>
      <c r="Z59" s="37"/>
      <c r="AA59" s="550"/>
      <c r="AB59" s="550"/>
      <c r="AC59" s="550"/>
    </row>
    <row r="60" spans="1:68" ht="14.25" customHeight="1" x14ac:dyDescent="0.25">
      <c r="A60" s="560" t="s">
        <v>139</v>
      </c>
      <c r="B60" s="561"/>
      <c r="C60" s="561"/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1"/>
      <c r="V60" s="561"/>
      <c r="W60" s="561"/>
      <c r="X60" s="561"/>
      <c r="Y60" s="561"/>
      <c r="Z60" s="561"/>
      <c r="AA60" s="543"/>
      <c r="AB60" s="543"/>
      <c r="AC60" s="543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58">
        <v>4680115881440</v>
      </c>
      <c r="E61" s="559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 t="s">
        <v>108</v>
      </c>
      <c r="M61" s="33" t="s">
        <v>109</v>
      </c>
      <c r="N61" s="33"/>
      <c r="O61" s="32">
        <v>50</v>
      </c>
      <c r="P61" s="79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142</v>
      </c>
      <c r="AG61" s="64"/>
      <c r="AJ61" s="68" t="s">
        <v>93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143</v>
      </c>
      <c r="B62" s="54" t="s">
        <v>144</v>
      </c>
      <c r="C62" s="31">
        <v>4301020358</v>
      </c>
      <c r="D62" s="558">
        <v>4680115885950</v>
      </c>
      <c r="E62" s="559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58">
        <v>4680115881433</v>
      </c>
      <c r="E63" s="559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109</v>
      </c>
      <c r="N63" s="33"/>
      <c r="O63" s="32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7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8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49">
        <f>IFERROR(X61/H61,"0")+IFERROR(X62/H62,"0")+IFERROR(X63/H63,"0")</f>
        <v>0</v>
      </c>
      <c r="Y64" s="549">
        <f>IFERROR(Y61/H61,"0")+IFERROR(Y62/H62,"0")+IFERROR(Y63/H63,"0")</f>
        <v>0</v>
      </c>
      <c r="Z64" s="549">
        <f>IFERROR(IF(Z61="",0,Z61),"0")+IFERROR(IF(Z62="",0,Z62),"0")+IFERROR(IF(Z63="",0,Z63),"0")</f>
        <v>0</v>
      </c>
      <c r="AA64" s="550"/>
      <c r="AB64" s="550"/>
      <c r="AC64" s="550"/>
    </row>
    <row r="65" spans="1:68" x14ac:dyDescent="0.2">
      <c r="A65" s="561"/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8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49">
        <f>IFERROR(SUM(X61:X63),"0")</f>
        <v>0</v>
      </c>
      <c r="Y65" s="549">
        <f>IFERROR(SUM(Y61:Y63),"0")</f>
        <v>0</v>
      </c>
      <c r="Z65" s="37"/>
      <c r="AA65" s="550"/>
      <c r="AB65" s="550"/>
      <c r="AC65" s="550"/>
    </row>
    <row r="66" spans="1:68" ht="14.25" customHeight="1" x14ac:dyDescent="0.25">
      <c r="A66" s="560" t="s">
        <v>64</v>
      </c>
      <c r="B66" s="561"/>
      <c r="C66" s="561"/>
      <c r="D66" s="561"/>
      <c r="E66" s="561"/>
      <c r="F66" s="561"/>
      <c r="G66" s="561"/>
      <c r="H66" s="561"/>
      <c r="I66" s="561"/>
      <c r="J66" s="561"/>
      <c r="K66" s="561"/>
      <c r="L66" s="561"/>
      <c r="M66" s="561"/>
      <c r="N66" s="561"/>
      <c r="O66" s="561"/>
      <c r="P66" s="561"/>
      <c r="Q66" s="561"/>
      <c r="R66" s="561"/>
      <c r="S66" s="561"/>
      <c r="T66" s="561"/>
      <c r="U66" s="561"/>
      <c r="V66" s="561"/>
      <c r="W66" s="561"/>
      <c r="X66" s="561"/>
      <c r="Y66" s="561"/>
      <c r="Z66" s="561"/>
      <c r="AA66" s="543"/>
      <c r="AB66" s="543"/>
      <c r="AC66" s="543"/>
    </row>
    <row r="67" spans="1:68" ht="27" customHeight="1" x14ac:dyDescent="0.25">
      <c r="A67" s="54" t="s">
        <v>147</v>
      </c>
      <c r="B67" s="54" t="s">
        <v>148</v>
      </c>
      <c r="C67" s="31">
        <v>4301031243</v>
      </c>
      <c r="D67" s="558">
        <v>4680115885073</v>
      </c>
      <c r="E67" s="559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4301031241</v>
      </c>
      <c r="D68" s="558">
        <v>4680115885059</v>
      </c>
      <c r="E68" s="559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153</v>
      </c>
      <c r="B69" s="54" t="s">
        <v>154</v>
      </c>
      <c r="C69" s="31">
        <v>4301031316</v>
      </c>
      <c r="D69" s="558">
        <v>4680115885097</v>
      </c>
      <c r="E69" s="559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7"/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8"/>
      <c r="P70" s="564" t="s">
        <v>75</v>
      </c>
      <c r="Q70" s="565"/>
      <c r="R70" s="565"/>
      <c r="S70" s="565"/>
      <c r="T70" s="565"/>
      <c r="U70" s="565"/>
      <c r="V70" s="566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x14ac:dyDescent="0.2">
      <c r="A71" s="561"/>
      <c r="B71" s="561"/>
      <c r="C71" s="561"/>
      <c r="D71" s="561"/>
      <c r="E71" s="561"/>
      <c r="F71" s="561"/>
      <c r="G71" s="561"/>
      <c r="H71" s="561"/>
      <c r="I71" s="561"/>
      <c r="J71" s="561"/>
      <c r="K71" s="561"/>
      <c r="L71" s="561"/>
      <c r="M71" s="561"/>
      <c r="N71" s="561"/>
      <c r="O71" s="568"/>
      <c r="P71" s="564" t="s">
        <v>75</v>
      </c>
      <c r="Q71" s="565"/>
      <c r="R71" s="565"/>
      <c r="S71" s="565"/>
      <c r="T71" s="565"/>
      <c r="U71" s="565"/>
      <c r="V71" s="566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customHeight="1" x14ac:dyDescent="0.25">
      <c r="A72" s="560" t="s">
        <v>77</v>
      </c>
      <c r="B72" s="561"/>
      <c r="C72" s="561"/>
      <c r="D72" s="561"/>
      <c r="E72" s="561"/>
      <c r="F72" s="561"/>
      <c r="G72" s="561"/>
      <c r="H72" s="561"/>
      <c r="I72" s="561"/>
      <c r="J72" s="561"/>
      <c r="K72" s="561"/>
      <c r="L72" s="561"/>
      <c r="M72" s="561"/>
      <c r="N72" s="561"/>
      <c r="O72" s="561"/>
      <c r="P72" s="561"/>
      <c r="Q72" s="561"/>
      <c r="R72" s="561"/>
      <c r="S72" s="561"/>
      <c r="T72" s="561"/>
      <c r="U72" s="561"/>
      <c r="V72" s="561"/>
      <c r="W72" s="561"/>
      <c r="X72" s="561"/>
      <c r="Y72" s="561"/>
      <c r="Z72" s="561"/>
      <c r="AA72" s="543"/>
      <c r="AB72" s="543"/>
      <c r="AC72" s="543"/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58">
        <v>4680115885769</v>
      </c>
      <c r="E73" s="559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58">
        <v>4680115884311</v>
      </c>
      <c r="E74" s="559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 t="s">
        <v>91</v>
      </c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 t="s">
        <v>93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162</v>
      </c>
      <c r="B75" s="54" t="s">
        <v>163</v>
      </c>
      <c r="C75" s="31">
        <v>4301051844</v>
      </c>
      <c r="D75" s="558">
        <v>4680115885929</v>
      </c>
      <c r="E75" s="559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164</v>
      </c>
      <c r="B76" s="54" t="s">
        <v>165</v>
      </c>
      <c r="C76" s="31">
        <v>4301051929</v>
      </c>
      <c r="D76" s="558">
        <v>4680115884403</v>
      </c>
      <c r="E76" s="559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 t="s">
        <v>91</v>
      </c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7">
        <v>0</v>
      </c>
      <c r="Y76" s="5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 t="s">
        <v>93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7"/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8"/>
      <c r="P77" s="564" t="s">
        <v>75</v>
      </c>
      <c r="Q77" s="565"/>
      <c r="R77" s="565"/>
      <c r="S77" s="565"/>
      <c r="T77" s="565"/>
      <c r="U77" s="565"/>
      <c r="V77" s="566"/>
      <c r="W77" s="37" t="s">
        <v>76</v>
      </c>
      <c r="X77" s="549">
        <f>IFERROR(X73/H73,"0")+IFERROR(X74/H74,"0")+IFERROR(X75/H75,"0")+IFERROR(X76/H76,"0")</f>
        <v>0</v>
      </c>
      <c r="Y77" s="549">
        <f>IFERROR(Y73/H73,"0")+IFERROR(Y74/H74,"0")+IFERROR(Y75/H75,"0")+IFERROR(Y76/H76,"0")</f>
        <v>0</v>
      </c>
      <c r="Z77" s="549">
        <f>IFERROR(IF(Z73="",0,Z73),"0")+IFERROR(IF(Z74="",0,Z74),"0")+IFERROR(IF(Z75="",0,Z75),"0")+IFERROR(IF(Z76="",0,Z76),"0")</f>
        <v>0</v>
      </c>
      <c r="AA77" s="550"/>
      <c r="AB77" s="550"/>
      <c r="AC77" s="550"/>
    </row>
    <row r="78" spans="1:68" x14ac:dyDescent="0.2">
      <c r="A78" s="561"/>
      <c r="B78" s="561"/>
      <c r="C78" s="561"/>
      <c r="D78" s="561"/>
      <c r="E78" s="561"/>
      <c r="F78" s="561"/>
      <c r="G78" s="561"/>
      <c r="H78" s="561"/>
      <c r="I78" s="561"/>
      <c r="J78" s="561"/>
      <c r="K78" s="561"/>
      <c r="L78" s="561"/>
      <c r="M78" s="561"/>
      <c r="N78" s="561"/>
      <c r="O78" s="568"/>
      <c r="P78" s="564" t="s">
        <v>75</v>
      </c>
      <c r="Q78" s="565"/>
      <c r="R78" s="565"/>
      <c r="S78" s="565"/>
      <c r="T78" s="565"/>
      <c r="U78" s="565"/>
      <c r="V78" s="566"/>
      <c r="W78" s="37" t="s">
        <v>69</v>
      </c>
      <c r="X78" s="549">
        <f>IFERROR(SUM(X73:X76),"0")</f>
        <v>0</v>
      </c>
      <c r="Y78" s="549">
        <f>IFERROR(SUM(Y73:Y76),"0")</f>
        <v>0</v>
      </c>
      <c r="Z78" s="37"/>
      <c r="AA78" s="550"/>
      <c r="AB78" s="550"/>
      <c r="AC78" s="550"/>
    </row>
    <row r="79" spans="1:68" ht="14.25" customHeight="1" x14ac:dyDescent="0.25">
      <c r="A79" s="560" t="s">
        <v>167</v>
      </c>
      <c r="B79" s="561"/>
      <c r="C79" s="561"/>
      <c r="D79" s="561"/>
      <c r="E79" s="561"/>
      <c r="F79" s="561"/>
      <c r="G79" s="561"/>
      <c r="H79" s="561"/>
      <c r="I79" s="561"/>
      <c r="J79" s="561"/>
      <c r="K79" s="561"/>
      <c r="L79" s="561"/>
      <c r="M79" s="561"/>
      <c r="N79" s="561"/>
      <c r="O79" s="561"/>
      <c r="P79" s="561"/>
      <c r="Q79" s="561"/>
      <c r="R79" s="561"/>
      <c r="S79" s="561"/>
      <c r="T79" s="561"/>
      <c r="U79" s="561"/>
      <c r="V79" s="561"/>
      <c r="W79" s="561"/>
      <c r="X79" s="561"/>
      <c r="Y79" s="561"/>
      <c r="Z79" s="561"/>
      <c r="AA79" s="543"/>
      <c r="AB79" s="543"/>
      <c r="AC79" s="543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58">
        <v>4680115881532</v>
      </c>
      <c r="E80" s="559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 t="s">
        <v>108</v>
      </c>
      <c r="M80" s="33" t="s">
        <v>87</v>
      </c>
      <c r="N80" s="33"/>
      <c r="O80" s="32">
        <v>30</v>
      </c>
      <c r="P80" s="77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170</v>
      </c>
      <c r="AG80" s="64"/>
      <c r="AJ80" s="68" t="s">
        <v>93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171</v>
      </c>
      <c r="B81" s="54" t="s">
        <v>172</v>
      </c>
      <c r="C81" s="31">
        <v>4301060351</v>
      </c>
      <c r="D81" s="558">
        <v>4680115881464</v>
      </c>
      <c r="E81" s="559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 t="s">
        <v>116</v>
      </c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7">
        <v>0</v>
      </c>
      <c r="Y81" s="548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 t="s">
        <v>93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7"/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8"/>
      <c r="P82" s="564" t="s">
        <v>75</v>
      </c>
      <c r="Q82" s="565"/>
      <c r="R82" s="565"/>
      <c r="S82" s="565"/>
      <c r="T82" s="565"/>
      <c r="U82" s="565"/>
      <c r="V82" s="566"/>
      <c r="W82" s="37" t="s">
        <v>76</v>
      </c>
      <c r="X82" s="549">
        <f>IFERROR(X80/H80,"0")+IFERROR(X81/H81,"0")</f>
        <v>0</v>
      </c>
      <c r="Y82" s="549">
        <f>IFERROR(Y80/H80,"0")+IFERROR(Y81/H81,"0")</f>
        <v>0</v>
      </c>
      <c r="Z82" s="549">
        <f>IFERROR(IF(Z80="",0,Z80),"0")+IFERROR(IF(Z81="",0,Z81),"0")</f>
        <v>0</v>
      </c>
      <c r="AA82" s="550"/>
      <c r="AB82" s="550"/>
      <c r="AC82" s="550"/>
    </row>
    <row r="83" spans="1:68" x14ac:dyDescent="0.2">
      <c r="A83" s="561"/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8"/>
      <c r="P83" s="564" t="s">
        <v>75</v>
      </c>
      <c r="Q83" s="565"/>
      <c r="R83" s="565"/>
      <c r="S83" s="565"/>
      <c r="T83" s="565"/>
      <c r="U83" s="565"/>
      <c r="V83" s="566"/>
      <c r="W83" s="37" t="s">
        <v>69</v>
      </c>
      <c r="X83" s="549">
        <f>IFERROR(SUM(X80:X81),"0")</f>
        <v>0</v>
      </c>
      <c r="Y83" s="549">
        <f>IFERROR(SUM(Y80:Y81),"0")</f>
        <v>0</v>
      </c>
      <c r="Z83" s="37"/>
      <c r="AA83" s="550"/>
      <c r="AB83" s="550"/>
      <c r="AC83" s="550"/>
    </row>
    <row r="84" spans="1:68" ht="16.5" customHeight="1" x14ac:dyDescent="0.25">
      <c r="A84" s="569" t="s">
        <v>174</v>
      </c>
      <c r="B84" s="561"/>
      <c r="C84" s="561"/>
      <c r="D84" s="561"/>
      <c r="E84" s="561"/>
      <c r="F84" s="561"/>
      <c r="G84" s="561"/>
      <c r="H84" s="561"/>
      <c r="I84" s="561"/>
      <c r="J84" s="561"/>
      <c r="K84" s="561"/>
      <c r="L84" s="561"/>
      <c r="M84" s="561"/>
      <c r="N84" s="561"/>
      <c r="O84" s="561"/>
      <c r="P84" s="561"/>
      <c r="Q84" s="561"/>
      <c r="R84" s="561"/>
      <c r="S84" s="561"/>
      <c r="T84" s="561"/>
      <c r="U84" s="561"/>
      <c r="V84" s="561"/>
      <c r="W84" s="561"/>
      <c r="X84" s="561"/>
      <c r="Y84" s="561"/>
      <c r="Z84" s="561"/>
      <c r="AA84" s="542"/>
      <c r="AB84" s="542"/>
      <c r="AC84" s="542"/>
    </row>
    <row r="85" spans="1:68" ht="14.25" customHeight="1" x14ac:dyDescent="0.25">
      <c r="A85" s="560" t="s">
        <v>104</v>
      </c>
      <c r="B85" s="561"/>
      <c r="C85" s="561"/>
      <c r="D85" s="561"/>
      <c r="E85" s="561"/>
      <c r="F85" s="561"/>
      <c r="G85" s="561"/>
      <c r="H85" s="561"/>
      <c r="I85" s="561"/>
      <c r="J85" s="561"/>
      <c r="K85" s="561"/>
      <c r="L85" s="561"/>
      <c r="M85" s="561"/>
      <c r="N85" s="561"/>
      <c r="O85" s="561"/>
      <c r="P85" s="561"/>
      <c r="Q85" s="561"/>
      <c r="R85" s="561"/>
      <c r="S85" s="561"/>
      <c r="T85" s="561"/>
      <c r="U85" s="561"/>
      <c r="V85" s="561"/>
      <c r="W85" s="561"/>
      <c r="X85" s="561"/>
      <c r="Y85" s="561"/>
      <c r="Z85" s="561"/>
      <c r="AA85" s="543"/>
      <c r="AB85" s="543"/>
      <c r="AC85" s="543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58">
        <v>4680115881327</v>
      </c>
      <c r="E86" s="559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87</v>
      </c>
      <c r="N86" s="33"/>
      <c r="O86" s="32">
        <v>50</v>
      </c>
      <c r="P86" s="5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177</v>
      </c>
      <c r="AG86" s="64"/>
      <c r="AJ86" s="68" t="s">
        <v>93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4301011261</v>
      </c>
      <c r="D87" s="558">
        <v>4680115887732</v>
      </c>
      <c r="E87" s="559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27" t="s">
        <v>181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183</v>
      </c>
      <c r="B88" s="54" t="s">
        <v>184</v>
      </c>
      <c r="C88" s="31">
        <v>4301011476</v>
      </c>
      <c r="D88" s="558">
        <v>4680115881518</v>
      </c>
      <c r="E88" s="559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80</v>
      </c>
      <c r="N88" s="33"/>
      <c r="O88" s="32">
        <v>50</v>
      </c>
      <c r="P88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185</v>
      </c>
      <c r="B89" s="54" t="s">
        <v>186</v>
      </c>
      <c r="C89" s="31">
        <v>4301011443</v>
      </c>
      <c r="D89" s="558">
        <v>4680115881303</v>
      </c>
      <c r="E89" s="559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116</v>
      </c>
      <c r="M89" s="33" t="s">
        <v>87</v>
      </c>
      <c r="N89" s="33"/>
      <c r="O89" s="32">
        <v>50</v>
      </c>
      <c r="P89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7">
        <v>0</v>
      </c>
      <c r="Y89" s="5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177</v>
      </c>
      <c r="AG89" s="64"/>
      <c r="AJ89" s="68" t="s">
        <v>93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7"/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8"/>
      <c r="P90" s="564" t="s">
        <v>75</v>
      </c>
      <c r="Q90" s="565"/>
      <c r="R90" s="565"/>
      <c r="S90" s="565"/>
      <c r="T90" s="565"/>
      <c r="U90" s="565"/>
      <c r="V90" s="566"/>
      <c r="W90" s="37" t="s">
        <v>76</v>
      </c>
      <c r="X90" s="549">
        <f>IFERROR(X86/H86,"0")+IFERROR(X87/H87,"0")+IFERROR(X88/H88,"0")+IFERROR(X89/H89,"0")</f>
        <v>0</v>
      </c>
      <c r="Y90" s="549">
        <f>IFERROR(Y86/H86,"0")+IFERROR(Y87/H87,"0")+IFERROR(Y88/H88,"0")+IFERROR(Y89/H89,"0")</f>
        <v>0</v>
      </c>
      <c r="Z90" s="549">
        <f>IFERROR(IF(Z86="",0,Z86),"0")+IFERROR(IF(Z87="",0,Z87),"0")+IFERROR(IF(Z88="",0,Z88),"0")+IFERROR(IF(Z89="",0,Z89),"0")</f>
        <v>0</v>
      </c>
      <c r="AA90" s="550"/>
      <c r="AB90" s="550"/>
      <c r="AC90" s="550"/>
    </row>
    <row r="91" spans="1:68" x14ac:dyDescent="0.2">
      <c r="A91" s="561"/>
      <c r="B91" s="561"/>
      <c r="C91" s="561"/>
      <c r="D91" s="561"/>
      <c r="E91" s="561"/>
      <c r="F91" s="561"/>
      <c r="G91" s="561"/>
      <c r="H91" s="561"/>
      <c r="I91" s="561"/>
      <c r="J91" s="561"/>
      <c r="K91" s="561"/>
      <c r="L91" s="561"/>
      <c r="M91" s="561"/>
      <c r="N91" s="561"/>
      <c r="O91" s="568"/>
      <c r="P91" s="564" t="s">
        <v>75</v>
      </c>
      <c r="Q91" s="565"/>
      <c r="R91" s="565"/>
      <c r="S91" s="565"/>
      <c r="T91" s="565"/>
      <c r="U91" s="565"/>
      <c r="V91" s="566"/>
      <c r="W91" s="37" t="s">
        <v>69</v>
      </c>
      <c r="X91" s="549">
        <f>IFERROR(SUM(X86:X89),"0")</f>
        <v>0</v>
      </c>
      <c r="Y91" s="549">
        <f>IFERROR(SUM(Y86:Y89),"0")</f>
        <v>0</v>
      </c>
      <c r="Z91" s="37"/>
      <c r="AA91" s="550"/>
      <c r="AB91" s="550"/>
      <c r="AC91" s="550"/>
    </row>
    <row r="92" spans="1:68" ht="14.25" customHeight="1" x14ac:dyDescent="0.25">
      <c r="A92" s="560" t="s">
        <v>77</v>
      </c>
      <c r="B92" s="561"/>
      <c r="C92" s="561"/>
      <c r="D92" s="561"/>
      <c r="E92" s="561"/>
      <c r="F92" s="561"/>
      <c r="G92" s="561"/>
      <c r="H92" s="561"/>
      <c r="I92" s="561"/>
      <c r="J92" s="561"/>
      <c r="K92" s="561"/>
      <c r="L92" s="561"/>
      <c r="M92" s="561"/>
      <c r="N92" s="561"/>
      <c r="O92" s="561"/>
      <c r="P92" s="561"/>
      <c r="Q92" s="561"/>
      <c r="R92" s="561"/>
      <c r="S92" s="561"/>
      <c r="T92" s="561"/>
      <c r="U92" s="561"/>
      <c r="V92" s="561"/>
      <c r="W92" s="561"/>
      <c r="X92" s="561"/>
      <c r="Y92" s="561"/>
      <c r="Z92" s="561"/>
      <c r="AA92" s="543"/>
      <c r="AB92" s="543"/>
      <c r="AC92" s="543"/>
    </row>
    <row r="93" spans="1:68" ht="27" customHeight="1" x14ac:dyDescent="0.25">
      <c r="A93" s="54" t="s">
        <v>187</v>
      </c>
      <c r="B93" s="54" t="s">
        <v>188</v>
      </c>
      <c r="C93" s="31">
        <v>4301051712</v>
      </c>
      <c r="D93" s="558">
        <v>4607091386967</v>
      </c>
      <c r="E93" s="559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 t="s">
        <v>108</v>
      </c>
      <c r="M93" s="33" t="s">
        <v>87</v>
      </c>
      <c r="N93" s="33"/>
      <c r="O93" s="32">
        <v>45</v>
      </c>
      <c r="P93" s="78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189</v>
      </c>
      <c r="AG93" s="64"/>
      <c r="AJ93" s="68" t="s">
        <v>93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190</v>
      </c>
      <c r="B94" s="54" t="s">
        <v>191</v>
      </c>
      <c r="C94" s="31">
        <v>4301051788</v>
      </c>
      <c r="D94" s="558">
        <v>4680115884953</v>
      </c>
      <c r="E94" s="559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193</v>
      </c>
      <c r="B95" s="54" t="s">
        <v>194</v>
      </c>
      <c r="C95" s="31">
        <v>4301051718</v>
      </c>
      <c r="D95" s="558">
        <v>4607091385731</v>
      </c>
      <c r="E95" s="559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58">
        <v>4680115880894</v>
      </c>
      <c r="E96" s="559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 t="s">
        <v>91</v>
      </c>
      <c r="M96" s="33" t="s">
        <v>80</v>
      </c>
      <c r="N96" s="33"/>
      <c r="O96" s="32">
        <v>45</v>
      </c>
      <c r="P96" s="74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7">
        <v>0</v>
      </c>
      <c r="Y96" s="5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93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8"/>
      <c r="P97" s="564" t="s">
        <v>75</v>
      </c>
      <c r="Q97" s="565"/>
      <c r="R97" s="565"/>
      <c r="S97" s="565"/>
      <c r="T97" s="565"/>
      <c r="U97" s="565"/>
      <c r="V97" s="566"/>
      <c r="W97" s="37" t="s">
        <v>76</v>
      </c>
      <c r="X97" s="549">
        <f>IFERROR(X93/H93,"0")+IFERROR(X94/H94,"0")+IFERROR(X95/H95,"0")+IFERROR(X96/H96,"0")</f>
        <v>0</v>
      </c>
      <c r="Y97" s="549">
        <f>IFERROR(Y93/H93,"0")+IFERROR(Y94/H94,"0")+IFERROR(Y95/H95,"0")+IFERROR(Y96/H96,"0")</f>
        <v>0</v>
      </c>
      <c r="Z97" s="549">
        <f>IFERROR(IF(Z93="",0,Z93),"0")+IFERROR(IF(Z94="",0,Z94),"0")+IFERROR(IF(Z95="",0,Z95),"0")+IFERROR(IF(Z96="",0,Z96),"0")</f>
        <v>0</v>
      </c>
      <c r="AA97" s="550"/>
      <c r="AB97" s="550"/>
      <c r="AC97" s="550"/>
    </row>
    <row r="98" spans="1:68" x14ac:dyDescent="0.2">
      <c r="A98" s="561"/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8"/>
      <c r="P98" s="564" t="s">
        <v>75</v>
      </c>
      <c r="Q98" s="565"/>
      <c r="R98" s="565"/>
      <c r="S98" s="565"/>
      <c r="T98" s="565"/>
      <c r="U98" s="565"/>
      <c r="V98" s="566"/>
      <c r="W98" s="37" t="s">
        <v>69</v>
      </c>
      <c r="X98" s="549">
        <f>IFERROR(SUM(X93:X96),"0")</f>
        <v>0</v>
      </c>
      <c r="Y98" s="549">
        <f>IFERROR(SUM(Y93:Y96),"0")</f>
        <v>0</v>
      </c>
      <c r="Z98" s="37"/>
      <c r="AA98" s="550"/>
      <c r="AB98" s="550"/>
      <c r="AC98" s="550"/>
    </row>
    <row r="99" spans="1:68" ht="16.5" customHeight="1" x14ac:dyDescent="0.25">
      <c r="A99" s="569" t="s">
        <v>198</v>
      </c>
      <c r="B99" s="561"/>
      <c r="C99" s="561"/>
      <c r="D99" s="561"/>
      <c r="E99" s="561"/>
      <c r="F99" s="561"/>
      <c r="G99" s="561"/>
      <c r="H99" s="561"/>
      <c r="I99" s="561"/>
      <c r="J99" s="561"/>
      <c r="K99" s="561"/>
      <c r="L99" s="561"/>
      <c r="M99" s="561"/>
      <c r="N99" s="561"/>
      <c r="O99" s="561"/>
      <c r="P99" s="561"/>
      <c r="Q99" s="561"/>
      <c r="R99" s="561"/>
      <c r="S99" s="561"/>
      <c r="T99" s="561"/>
      <c r="U99" s="561"/>
      <c r="V99" s="561"/>
      <c r="W99" s="561"/>
      <c r="X99" s="561"/>
      <c r="Y99" s="561"/>
      <c r="Z99" s="561"/>
      <c r="AA99" s="542"/>
      <c r="AB99" s="542"/>
      <c r="AC99" s="542"/>
    </row>
    <row r="100" spans="1:68" ht="14.25" customHeight="1" x14ac:dyDescent="0.25">
      <c r="A100" s="560" t="s">
        <v>104</v>
      </c>
      <c r="B100" s="561"/>
      <c r="C100" s="561"/>
      <c r="D100" s="561"/>
      <c r="E100" s="561"/>
      <c r="F100" s="561"/>
      <c r="G100" s="561"/>
      <c r="H100" s="561"/>
      <c r="I100" s="561"/>
      <c r="J100" s="561"/>
      <c r="K100" s="561"/>
      <c r="L100" s="561"/>
      <c r="M100" s="561"/>
      <c r="N100" s="561"/>
      <c r="O100" s="561"/>
      <c r="P100" s="561"/>
      <c r="Q100" s="561"/>
      <c r="R100" s="561"/>
      <c r="S100" s="561"/>
      <c r="T100" s="561"/>
      <c r="U100" s="561"/>
      <c r="V100" s="561"/>
      <c r="W100" s="561"/>
      <c r="X100" s="561"/>
      <c r="Y100" s="561"/>
      <c r="Z100" s="561"/>
      <c r="AA100" s="543"/>
      <c r="AB100" s="543"/>
      <c r="AC100" s="543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8">
        <v>4680115882133</v>
      </c>
      <c r="E101" s="559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81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201</v>
      </c>
      <c r="AG101" s="64"/>
      <c r="AJ101" s="68" t="s">
        <v>93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58">
        <v>4680115887718</v>
      </c>
      <c r="E102" s="559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815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58">
        <v>4680115880269</v>
      </c>
      <c r="E103" s="559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 t="s">
        <v>116</v>
      </c>
      <c r="M103" s="33" t="s">
        <v>80</v>
      </c>
      <c r="N103" s="33"/>
      <c r="O103" s="32">
        <v>50</v>
      </c>
      <c r="P103" s="63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93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58">
        <v>4680115880429</v>
      </c>
      <c r="E104" s="559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116</v>
      </c>
      <c r="M104" s="33" t="s">
        <v>80</v>
      </c>
      <c r="N104" s="33"/>
      <c r="O104" s="32">
        <v>50</v>
      </c>
      <c r="P104" s="58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93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58">
        <v>4680115881457</v>
      </c>
      <c r="E105" s="559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80</v>
      </c>
      <c r="N105" s="33"/>
      <c r="O105" s="32">
        <v>50</v>
      </c>
      <c r="P105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8"/>
      <c r="P106" s="564" t="s">
        <v>75</v>
      </c>
      <c r="Q106" s="565"/>
      <c r="R106" s="565"/>
      <c r="S106" s="565"/>
      <c r="T106" s="565"/>
      <c r="U106" s="565"/>
      <c r="V106" s="566"/>
      <c r="W106" s="37" t="s">
        <v>76</v>
      </c>
      <c r="X106" s="549">
        <f>IFERROR(X101/H101,"0")+IFERROR(X102/H102,"0")+IFERROR(X103/H103,"0")+IFERROR(X104/H104,"0")+IFERROR(X105/H105,"0")</f>
        <v>0</v>
      </c>
      <c r="Y106" s="549">
        <f>IFERROR(Y101/H101,"0")+IFERROR(Y102/H102,"0")+IFERROR(Y103/H103,"0")+IFERROR(Y104/H104,"0")+IFERROR(Y105/H105,"0")</f>
        <v>0</v>
      </c>
      <c r="Z106" s="549">
        <f>IFERROR(IF(Z101="",0,Z101),"0")+IFERROR(IF(Z102="",0,Z102),"0")+IFERROR(IF(Z103="",0,Z103),"0")+IFERROR(IF(Z104="",0,Z104),"0")+IFERROR(IF(Z105="",0,Z105),"0")</f>
        <v>0</v>
      </c>
      <c r="AA106" s="550"/>
      <c r="AB106" s="550"/>
      <c r="AC106" s="550"/>
    </row>
    <row r="107" spans="1:68" x14ac:dyDescent="0.2">
      <c r="A107" s="561"/>
      <c r="B107" s="561"/>
      <c r="C107" s="561"/>
      <c r="D107" s="561"/>
      <c r="E107" s="561"/>
      <c r="F107" s="561"/>
      <c r="G107" s="561"/>
      <c r="H107" s="561"/>
      <c r="I107" s="561"/>
      <c r="J107" s="561"/>
      <c r="K107" s="561"/>
      <c r="L107" s="561"/>
      <c r="M107" s="561"/>
      <c r="N107" s="561"/>
      <c r="O107" s="568"/>
      <c r="P107" s="564" t="s">
        <v>75</v>
      </c>
      <c r="Q107" s="565"/>
      <c r="R107" s="565"/>
      <c r="S107" s="565"/>
      <c r="T107" s="565"/>
      <c r="U107" s="565"/>
      <c r="V107" s="566"/>
      <c r="W107" s="37" t="s">
        <v>69</v>
      </c>
      <c r="X107" s="549">
        <f>IFERROR(SUM(X101:X105),"0")</f>
        <v>0</v>
      </c>
      <c r="Y107" s="549">
        <f>IFERROR(SUM(Y101:Y105),"0")</f>
        <v>0</v>
      </c>
      <c r="Z107" s="37"/>
      <c r="AA107" s="550"/>
      <c r="AB107" s="550"/>
      <c r="AC107" s="550"/>
    </row>
    <row r="108" spans="1:68" ht="14.25" customHeight="1" x14ac:dyDescent="0.25">
      <c r="A108" s="560" t="s">
        <v>139</v>
      </c>
      <c r="B108" s="561"/>
      <c r="C108" s="561"/>
      <c r="D108" s="561"/>
      <c r="E108" s="561"/>
      <c r="F108" s="561"/>
      <c r="G108" s="561"/>
      <c r="H108" s="561"/>
      <c r="I108" s="561"/>
      <c r="J108" s="561"/>
      <c r="K108" s="561"/>
      <c r="L108" s="561"/>
      <c r="M108" s="561"/>
      <c r="N108" s="561"/>
      <c r="O108" s="561"/>
      <c r="P108" s="561"/>
      <c r="Q108" s="561"/>
      <c r="R108" s="561"/>
      <c r="S108" s="561"/>
      <c r="T108" s="561"/>
      <c r="U108" s="561"/>
      <c r="V108" s="561"/>
      <c r="W108" s="561"/>
      <c r="X108" s="561"/>
      <c r="Y108" s="561"/>
      <c r="Z108" s="561"/>
      <c r="AA108" s="543"/>
      <c r="AB108" s="543"/>
      <c r="AC108" s="543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58">
        <v>4680115881488</v>
      </c>
      <c r="E109" s="559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58">
        <v>4680115887664</v>
      </c>
      <c r="E110" s="559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44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58">
        <v>4680115882775</v>
      </c>
      <c r="E111" s="559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79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58">
        <v>4680115880658</v>
      </c>
      <c r="E112" s="559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79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7"/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8"/>
      <c r="P113" s="564" t="s">
        <v>75</v>
      </c>
      <c r="Q113" s="565"/>
      <c r="R113" s="565"/>
      <c r="S113" s="565"/>
      <c r="T113" s="565"/>
      <c r="U113" s="565"/>
      <c r="V113" s="566"/>
      <c r="W113" s="37" t="s">
        <v>76</v>
      </c>
      <c r="X113" s="549">
        <f>IFERROR(X109/H109,"0")+IFERROR(X110/H110,"0")+IFERROR(X111/H111,"0")+IFERROR(X112/H112,"0")</f>
        <v>0</v>
      </c>
      <c r="Y113" s="549">
        <f>IFERROR(Y109/H109,"0")+IFERROR(Y110/H110,"0")+IFERROR(Y111/H111,"0")+IFERROR(Y112/H112,"0")</f>
        <v>0</v>
      </c>
      <c r="Z113" s="549">
        <f>IFERROR(IF(Z109="",0,Z109),"0")+IFERROR(IF(Z110="",0,Z110),"0")+IFERROR(IF(Z111="",0,Z111),"0")+IFERROR(IF(Z112="",0,Z112),"0")</f>
        <v>0</v>
      </c>
      <c r="AA113" s="550"/>
      <c r="AB113" s="550"/>
      <c r="AC113" s="550"/>
    </row>
    <row r="114" spans="1:68" x14ac:dyDescent="0.2">
      <c r="A114" s="561"/>
      <c r="B114" s="561"/>
      <c r="C114" s="561"/>
      <c r="D114" s="561"/>
      <c r="E114" s="561"/>
      <c r="F114" s="561"/>
      <c r="G114" s="561"/>
      <c r="H114" s="561"/>
      <c r="I114" s="561"/>
      <c r="J114" s="561"/>
      <c r="K114" s="561"/>
      <c r="L114" s="561"/>
      <c r="M114" s="561"/>
      <c r="N114" s="561"/>
      <c r="O114" s="568"/>
      <c r="P114" s="564" t="s">
        <v>75</v>
      </c>
      <c r="Q114" s="565"/>
      <c r="R114" s="565"/>
      <c r="S114" s="565"/>
      <c r="T114" s="565"/>
      <c r="U114" s="565"/>
      <c r="V114" s="566"/>
      <c r="W114" s="37" t="s">
        <v>69</v>
      </c>
      <c r="X114" s="549">
        <f>IFERROR(SUM(X109:X112),"0")</f>
        <v>0</v>
      </c>
      <c r="Y114" s="549">
        <f>IFERROR(SUM(Y109:Y112),"0")</f>
        <v>0</v>
      </c>
      <c r="Z114" s="37"/>
      <c r="AA114" s="550"/>
      <c r="AB114" s="550"/>
      <c r="AC114" s="550"/>
    </row>
    <row r="115" spans="1:68" ht="14.25" customHeight="1" x14ac:dyDescent="0.25">
      <c r="A115" s="560" t="s">
        <v>77</v>
      </c>
      <c r="B115" s="561"/>
      <c r="C115" s="561"/>
      <c r="D115" s="561"/>
      <c r="E115" s="561"/>
      <c r="F115" s="561"/>
      <c r="G115" s="561"/>
      <c r="H115" s="561"/>
      <c r="I115" s="561"/>
      <c r="J115" s="561"/>
      <c r="K115" s="561"/>
      <c r="L115" s="561"/>
      <c r="M115" s="561"/>
      <c r="N115" s="561"/>
      <c r="O115" s="561"/>
      <c r="P115" s="561"/>
      <c r="Q115" s="561"/>
      <c r="R115" s="561"/>
      <c r="S115" s="561"/>
      <c r="T115" s="561"/>
      <c r="U115" s="561"/>
      <c r="V115" s="561"/>
      <c r="W115" s="561"/>
      <c r="X115" s="561"/>
      <c r="Y115" s="561"/>
      <c r="Z115" s="561"/>
      <c r="AA115" s="543"/>
      <c r="AB115" s="543"/>
      <c r="AC115" s="543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8">
        <v>4607091385168</v>
      </c>
      <c r="E116" s="559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 t="s">
        <v>108</v>
      </c>
      <c r="M116" s="33" t="s">
        <v>87</v>
      </c>
      <c r="N116" s="33"/>
      <c r="O116" s="32">
        <v>45</v>
      </c>
      <c r="P116" s="6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93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58">
        <v>4607091383256</v>
      </c>
      <c r="E117" s="559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 t="s">
        <v>91</v>
      </c>
      <c r="M117" s="33" t="s">
        <v>87</v>
      </c>
      <c r="N117" s="33"/>
      <c r="O117" s="32">
        <v>45</v>
      </c>
      <c r="P117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 t="s">
        <v>93</v>
      </c>
      <c r="AK117" s="68">
        <v>27.72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58">
        <v>4607091385748</v>
      </c>
      <c r="E118" s="559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 t="s">
        <v>91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93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58">
        <v>4680115884533</v>
      </c>
      <c r="E119" s="559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91</v>
      </c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7">
        <v>0</v>
      </c>
      <c r="Y119" s="5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93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8"/>
      <c r="P120" s="564" t="s">
        <v>75</v>
      </c>
      <c r="Q120" s="565"/>
      <c r="R120" s="565"/>
      <c r="S120" s="565"/>
      <c r="T120" s="565"/>
      <c r="U120" s="565"/>
      <c r="V120" s="566"/>
      <c r="W120" s="37" t="s">
        <v>76</v>
      </c>
      <c r="X120" s="549">
        <f>IFERROR(X116/H116,"0")+IFERROR(X117/H117,"0")+IFERROR(X118/H118,"0")+IFERROR(X119/H119,"0")</f>
        <v>0</v>
      </c>
      <c r="Y120" s="549">
        <f>IFERROR(Y116/H116,"0")+IFERROR(Y117/H117,"0")+IFERROR(Y118/H118,"0")+IFERROR(Y119/H119,"0")</f>
        <v>0</v>
      </c>
      <c r="Z120" s="549">
        <f>IFERROR(IF(Z116="",0,Z116),"0")+IFERROR(IF(Z117="",0,Z117),"0")+IFERROR(IF(Z118="",0,Z118),"0")+IFERROR(IF(Z119="",0,Z119),"0")</f>
        <v>0</v>
      </c>
      <c r="AA120" s="550"/>
      <c r="AB120" s="550"/>
      <c r="AC120" s="550"/>
    </row>
    <row r="121" spans="1:68" x14ac:dyDescent="0.2">
      <c r="A121" s="561"/>
      <c r="B121" s="561"/>
      <c r="C121" s="561"/>
      <c r="D121" s="561"/>
      <c r="E121" s="561"/>
      <c r="F121" s="561"/>
      <c r="G121" s="561"/>
      <c r="H121" s="561"/>
      <c r="I121" s="561"/>
      <c r="J121" s="561"/>
      <c r="K121" s="561"/>
      <c r="L121" s="561"/>
      <c r="M121" s="561"/>
      <c r="N121" s="561"/>
      <c r="O121" s="568"/>
      <c r="P121" s="564" t="s">
        <v>75</v>
      </c>
      <c r="Q121" s="565"/>
      <c r="R121" s="565"/>
      <c r="S121" s="565"/>
      <c r="T121" s="565"/>
      <c r="U121" s="565"/>
      <c r="V121" s="566"/>
      <c r="W121" s="37" t="s">
        <v>69</v>
      </c>
      <c r="X121" s="549">
        <f>IFERROR(SUM(X116:X119),"0")</f>
        <v>0</v>
      </c>
      <c r="Y121" s="549">
        <f>IFERROR(SUM(Y116:Y119),"0")</f>
        <v>0</v>
      </c>
      <c r="Z121" s="37"/>
      <c r="AA121" s="550"/>
      <c r="AB121" s="550"/>
      <c r="AC121" s="550"/>
    </row>
    <row r="122" spans="1:68" ht="14.25" customHeight="1" x14ac:dyDescent="0.25">
      <c r="A122" s="560" t="s">
        <v>167</v>
      </c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1"/>
      <c r="P122" s="561"/>
      <c r="Q122" s="561"/>
      <c r="R122" s="561"/>
      <c r="S122" s="561"/>
      <c r="T122" s="561"/>
      <c r="U122" s="561"/>
      <c r="V122" s="561"/>
      <c r="W122" s="561"/>
      <c r="X122" s="561"/>
      <c r="Y122" s="561"/>
      <c r="Z122" s="561"/>
      <c r="AA122" s="543"/>
      <c r="AB122" s="543"/>
      <c r="AC122" s="543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58">
        <v>4680115880238</v>
      </c>
      <c r="E123" s="559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91</v>
      </c>
      <c r="M123" s="33" t="s">
        <v>80</v>
      </c>
      <c r="N123" s="33"/>
      <c r="O123" s="32">
        <v>40</v>
      </c>
      <c r="P123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7">
        <v>0</v>
      </c>
      <c r="Y123" s="54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93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7"/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8"/>
      <c r="P124" s="564" t="s">
        <v>75</v>
      </c>
      <c r="Q124" s="565"/>
      <c r="R124" s="565"/>
      <c r="S124" s="565"/>
      <c r="T124" s="565"/>
      <c r="U124" s="565"/>
      <c r="V124" s="566"/>
      <c r="W124" s="37" t="s">
        <v>76</v>
      </c>
      <c r="X124" s="549">
        <f>IFERROR(X123/H123,"0")</f>
        <v>0</v>
      </c>
      <c r="Y124" s="549">
        <f>IFERROR(Y123/H123,"0")</f>
        <v>0</v>
      </c>
      <c r="Z124" s="549">
        <f>IFERROR(IF(Z123="",0,Z123),"0")</f>
        <v>0</v>
      </c>
      <c r="AA124" s="550"/>
      <c r="AB124" s="550"/>
      <c r="AC124" s="550"/>
    </row>
    <row r="125" spans="1:68" x14ac:dyDescent="0.2">
      <c r="A125" s="561"/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8"/>
      <c r="P125" s="564" t="s">
        <v>75</v>
      </c>
      <c r="Q125" s="565"/>
      <c r="R125" s="565"/>
      <c r="S125" s="565"/>
      <c r="T125" s="565"/>
      <c r="U125" s="565"/>
      <c r="V125" s="566"/>
      <c r="W125" s="37" t="s">
        <v>69</v>
      </c>
      <c r="X125" s="549">
        <f>IFERROR(SUM(X123:X123),"0")</f>
        <v>0</v>
      </c>
      <c r="Y125" s="549">
        <f>IFERROR(SUM(Y123:Y123),"0")</f>
        <v>0</v>
      </c>
      <c r="Z125" s="37"/>
      <c r="AA125" s="550"/>
      <c r="AB125" s="550"/>
      <c r="AC125" s="550"/>
    </row>
    <row r="126" spans="1:68" ht="16.5" customHeight="1" x14ac:dyDescent="0.25">
      <c r="A126" s="569" t="s">
        <v>237</v>
      </c>
      <c r="B126" s="561"/>
      <c r="C126" s="561"/>
      <c r="D126" s="561"/>
      <c r="E126" s="561"/>
      <c r="F126" s="561"/>
      <c r="G126" s="561"/>
      <c r="H126" s="561"/>
      <c r="I126" s="561"/>
      <c r="J126" s="561"/>
      <c r="K126" s="561"/>
      <c r="L126" s="561"/>
      <c r="M126" s="561"/>
      <c r="N126" s="561"/>
      <c r="O126" s="561"/>
      <c r="P126" s="561"/>
      <c r="Q126" s="561"/>
      <c r="R126" s="561"/>
      <c r="S126" s="561"/>
      <c r="T126" s="561"/>
      <c r="U126" s="561"/>
      <c r="V126" s="561"/>
      <c r="W126" s="561"/>
      <c r="X126" s="561"/>
      <c r="Y126" s="561"/>
      <c r="Z126" s="561"/>
      <c r="AA126" s="542"/>
      <c r="AB126" s="542"/>
      <c r="AC126" s="542"/>
    </row>
    <row r="127" spans="1:68" ht="14.25" customHeight="1" x14ac:dyDescent="0.25">
      <c r="A127" s="560" t="s">
        <v>104</v>
      </c>
      <c r="B127" s="561"/>
      <c r="C127" s="561"/>
      <c r="D127" s="561"/>
      <c r="E127" s="561"/>
      <c r="F127" s="561"/>
      <c r="G127" s="561"/>
      <c r="H127" s="561"/>
      <c r="I127" s="561"/>
      <c r="J127" s="561"/>
      <c r="K127" s="561"/>
      <c r="L127" s="561"/>
      <c r="M127" s="561"/>
      <c r="N127" s="561"/>
      <c r="O127" s="561"/>
      <c r="P127" s="561"/>
      <c r="Q127" s="561"/>
      <c r="R127" s="561"/>
      <c r="S127" s="561"/>
      <c r="T127" s="561"/>
      <c r="U127" s="561"/>
      <c r="V127" s="561"/>
      <c r="W127" s="561"/>
      <c r="X127" s="561"/>
      <c r="Y127" s="561"/>
      <c r="Z127" s="561"/>
      <c r="AA127" s="543"/>
      <c r="AB127" s="543"/>
      <c r="AC127" s="543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58">
        <v>4680115882577</v>
      </c>
      <c r="E128" s="559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91</v>
      </c>
      <c r="M128" s="33" t="s">
        <v>99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93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58">
        <v>4680115882577</v>
      </c>
      <c r="E129" s="559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 t="s">
        <v>91</v>
      </c>
      <c r="M129" s="33" t="s">
        <v>99</v>
      </c>
      <c r="N129" s="33"/>
      <c r="O129" s="32">
        <v>90</v>
      </c>
      <c r="P129" s="65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93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7"/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8"/>
      <c r="P130" s="564" t="s">
        <v>75</v>
      </c>
      <c r="Q130" s="565"/>
      <c r="R130" s="565"/>
      <c r="S130" s="565"/>
      <c r="T130" s="565"/>
      <c r="U130" s="565"/>
      <c r="V130" s="566"/>
      <c r="W130" s="37" t="s">
        <v>76</v>
      </c>
      <c r="X130" s="549">
        <f>IFERROR(X128/H128,"0")+IFERROR(X129/H129,"0")</f>
        <v>0</v>
      </c>
      <c r="Y130" s="549">
        <f>IFERROR(Y128/H128,"0")+IFERROR(Y129/H129,"0")</f>
        <v>0</v>
      </c>
      <c r="Z130" s="549">
        <f>IFERROR(IF(Z128="",0,Z128),"0")+IFERROR(IF(Z129="",0,Z129),"0")</f>
        <v>0</v>
      </c>
      <c r="AA130" s="550"/>
      <c r="AB130" s="550"/>
      <c r="AC130" s="550"/>
    </row>
    <row r="131" spans="1:68" x14ac:dyDescent="0.2">
      <c r="A131" s="561"/>
      <c r="B131" s="561"/>
      <c r="C131" s="561"/>
      <c r="D131" s="561"/>
      <c r="E131" s="561"/>
      <c r="F131" s="561"/>
      <c r="G131" s="561"/>
      <c r="H131" s="561"/>
      <c r="I131" s="561"/>
      <c r="J131" s="561"/>
      <c r="K131" s="561"/>
      <c r="L131" s="561"/>
      <c r="M131" s="561"/>
      <c r="N131" s="561"/>
      <c r="O131" s="568"/>
      <c r="P131" s="564" t="s">
        <v>75</v>
      </c>
      <c r="Q131" s="565"/>
      <c r="R131" s="565"/>
      <c r="S131" s="565"/>
      <c r="T131" s="565"/>
      <c r="U131" s="565"/>
      <c r="V131" s="566"/>
      <c r="W131" s="37" t="s">
        <v>69</v>
      </c>
      <c r="X131" s="549">
        <f>IFERROR(SUM(X128:X129),"0")</f>
        <v>0</v>
      </c>
      <c r="Y131" s="549">
        <f>IFERROR(SUM(Y128:Y129),"0")</f>
        <v>0</v>
      </c>
      <c r="Z131" s="37"/>
      <c r="AA131" s="550"/>
      <c r="AB131" s="550"/>
      <c r="AC131" s="550"/>
    </row>
    <row r="132" spans="1:68" ht="14.25" customHeight="1" x14ac:dyDescent="0.25">
      <c r="A132" s="560" t="s">
        <v>64</v>
      </c>
      <c r="B132" s="561"/>
      <c r="C132" s="561"/>
      <c r="D132" s="561"/>
      <c r="E132" s="561"/>
      <c r="F132" s="561"/>
      <c r="G132" s="561"/>
      <c r="H132" s="561"/>
      <c r="I132" s="561"/>
      <c r="J132" s="561"/>
      <c r="K132" s="561"/>
      <c r="L132" s="561"/>
      <c r="M132" s="561"/>
      <c r="N132" s="561"/>
      <c r="O132" s="561"/>
      <c r="P132" s="561"/>
      <c r="Q132" s="561"/>
      <c r="R132" s="561"/>
      <c r="S132" s="561"/>
      <c r="T132" s="561"/>
      <c r="U132" s="561"/>
      <c r="V132" s="561"/>
      <c r="W132" s="561"/>
      <c r="X132" s="561"/>
      <c r="Y132" s="561"/>
      <c r="Z132" s="561"/>
      <c r="AA132" s="543"/>
      <c r="AB132" s="543"/>
      <c r="AC132" s="543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58">
        <v>4680115883444</v>
      </c>
      <c r="E133" s="559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91</v>
      </c>
      <c r="M133" s="33" t="s">
        <v>99</v>
      </c>
      <c r="N133" s="33"/>
      <c r="O133" s="32">
        <v>90</v>
      </c>
      <c r="P133" s="81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 t="s">
        <v>93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58">
        <v>4680115883444</v>
      </c>
      <c r="E134" s="559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 t="s">
        <v>91</v>
      </c>
      <c r="M134" s="33" t="s">
        <v>99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7">
        <v>0</v>
      </c>
      <c r="Y134" s="54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93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7"/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8"/>
      <c r="P135" s="564" t="s">
        <v>75</v>
      </c>
      <c r="Q135" s="565"/>
      <c r="R135" s="565"/>
      <c r="S135" s="565"/>
      <c r="T135" s="565"/>
      <c r="U135" s="565"/>
      <c r="V135" s="566"/>
      <c r="W135" s="37" t="s">
        <v>76</v>
      </c>
      <c r="X135" s="549">
        <f>IFERROR(X133/H133,"0")+IFERROR(X134/H134,"0")</f>
        <v>0</v>
      </c>
      <c r="Y135" s="549">
        <f>IFERROR(Y133/H133,"0")+IFERROR(Y134/H134,"0")</f>
        <v>0</v>
      </c>
      <c r="Z135" s="549">
        <f>IFERROR(IF(Z133="",0,Z133),"0")+IFERROR(IF(Z134="",0,Z134),"0")</f>
        <v>0</v>
      </c>
      <c r="AA135" s="550"/>
      <c r="AB135" s="550"/>
      <c r="AC135" s="550"/>
    </row>
    <row r="136" spans="1:68" x14ac:dyDescent="0.2">
      <c r="A136" s="561"/>
      <c r="B136" s="561"/>
      <c r="C136" s="561"/>
      <c r="D136" s="561"/>
      <c r="E136" s="561"/>
      <c r="F136" s="561"/>
      <c r="G136" s="561"/>
      <c r="H136" s="561"/>
      <c r="I136" s="561"/>
      <c r="J136" s="561"/>
      <c r="K136" s="561"/>
      <c r="L136" s="561"/>
      <c r="M136" s="561"/>
      <c r="N136" s="561"/>
      <c r="O136" s="568"/>
      <c r="P136" s="564" t="s">
        <v>75</v>
      </c>
      <c r="Q136" s="565"/>
      <c r="R136" s="565"/>
      <c r="S136" s="565"/>
      <c r="T136" s="565"/>
      <c r="U136" s="565"/>
      <c r="V136" s="566"/>
      <c r="W136" s="37" t="s">
        <v>69</v>
      </c>
      <c r="X136" s="549">
        <f>IFERROR(SUM(X133:X134),"0")</f>
        <v>0</v>
      </c>
      <c r="Y136" s="549">
        <f>IFERROR(SUM(Y133:Y134),"0")</f>
        <v>0</v>
      </c>
      <c r="Z136" s="37"/>
      <c r="AA136" s="550"/>
      <c r="AB136" s="550"/>
      <c r="AC136" s="550"/>
    </row>
    <row r="137" spans="1:68" ht="14.25" customHeight="1" x14ac:dyDescent="0.25">
      <c r="A137" s="560" t="s">
        <v>77</v>
      </c>
      <c r="B137" s="561"/>
      <c r="C137" s="561"/>
      <c r="D137" s="561"/>
      <c r="E137" s="561"/>
      <c r="F137" s="561"/>
      <c r="G137" s="561"/>
      <c r="H137" s="561"/>
      <c r="I137" s="561"/>
      <c r="J137" s="561"/>
      <c r="K137" s="561"/>
      <c r="L137" s="561"/>
      <c r="M137" s="561"/>
      <c r="N137" s="561"/>
      <c r="O137" s="561"/>
      <c r="P137" s="561"/>
      <c r="Q137" s="561"/>
      <c r="R137" s="561"/>
      <c r="S137" s="561"/>
      <c r="T137" s="561"/>
      <c r="U137" s="561"/>
      <c r="V137" s="561"/>
      <c r="W137" s="561"/>
      <c r="X137" s="561"/>
      <c r="Y137" s="561"/>
      <c r="Z137" s="561"/>
      <c r="AA137" s="543"/>
      <c r="AB137" s="543"/>
      <c r="AC137" s="543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58">
        <v>4680115882584</v>
      </c>
      <c r="E138" s="559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58">
        <v>4680115882584</v>
      </c>
      <c r="E139" s="559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 t="s">
        <v>91</v>
      </c>
      <c r="M139" s="33" t="s">
        <v>99</v>
      </c>
      <c r="N139" s="33"/>
      <c r="O139" s="32">
        <v>60</v>
      </c>
      <c r="P139" s="79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7">
        <v>0</v>
      </c>
      <c r="Y139" s="54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93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7"/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8"/>
      <c r="P140" s="564" t="s">
        <v>75</v>
      </c>
      <c r="Q140" s="565"/>
      <c r="R140" s="565"/>
      <c r="S140" s="565"/>
      <c r="T140" s="565"/>
      <c r="U140" s="565"/>
      <c r="V140" s="566"/>
      <c r="W140" s="37" t="s">
        <v>76</v>
      </c>
      <c r="X140" s="549">
        <f>IFERROR(X138/H138,"0")+IFERROR(X139/H139,"0")</f>
        <v>0</v>
      </c>
      <c r="Y140" s="549">
        <f>IFERROR(Y138/H138,"0")+IFERROR(Y139/H139,"0")</f>
        <v>0</v>
      </c>
      <c r="Z140" s="549">
        <f>IFERROR(IF(Z138="",0,Z138),"0")+IFERROR(IF(Z139="",0,Z139),"0")</f>
        <v>0</v>
      </c>
      <c r="AA140" s="550"/>
      <c r="AB140" s="550"/>
      <c r="AC140" s="550"/>
    </row>
    <row r="141" spans="1:68" x14ac:dyDescent="0.2">
      <c r="A141" s="561"/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8"/>
      <c r="P141" s="564" t="s">
        <v>75</v>
      </c>
      <c r="Q141" s="565"/>
      <c r="R141" s="565"/>
      <c r="S141" s="565"/>
      <c r="T141" s="565"/>
      <c r="U141" s="565"/>
      <c r="V141" s="566"/>
      <c r="W141" s="37" t="s">
        <v>69</v>
      </c>
      <c r="X141" s="549">
        <f>IFERROR(SUM(X138:X139),"0")</f>
        <v>0</v>
      </c>
      <c r="Y141" s="549">
        <f>IFERROR(SUM(Y138:Y139),"0")</f>
        <v>0</v>
      </c>
      <c r="Z141" s="37"/>
      <c r="AA141" s="550"/>
      <c r="AB141" s="550"/>
      <c r="AC141" s="550"/>
    </row>
    <row r="142" spans="1:68" ht="16.5" customHeight="1" x14ac:dyDescent="0.25">
      <c r="A142" s="569" t="s">
        <v>102</v>
      </c>
      <c r="B142" s="561"/>
      <c r="C142" s="561"/>
      <c r="D142" s="561"/>
      <c r="E142" s="561"/>
      <c r="F142" s="561"/>
      <c r="G142" s="561"/>
      <c r="H142" s="561"/>
      <c r="I142" s="561"/>
      <c r="J142" s="561"/>
      <c r="K142" s="561"/>
      <c r="L142" s="561"/>
      <c r="M142" s="561"/>
      <c r="N142" s="561"/>
      <c r="O142" s="561"/>
      <c r="P142" s="561"/>
      <c r="Q142" s="561"/>
      <c r="R142" s="561"/>
      <c r="S142" s="561"/>
      <c r="T142" s="561"/>
      <c r="U142" s="561"/>
      <c r="V142" s="561"/>
      <c r="W142" s="561"/>
      <c r="X142" s="561"/>
      <c r="Y142" s="561"/>
      <c r="Z142" s="561"/>
      <c r="AA142" s="542"/>
      <c r="AB142" s="542"/>
      <c r="AC142" s="542"/>
    </row>
    <row r="143" spans="1:68" ht="14.25" customHeight="1" x14ac:dyDescent="0.25">
      <c r="A143" s="560" t="s">
        <v>104</v>
      </c>
      <c r="B143" s="561"/>
      <c r="C143" s="561"/>
      <c r="D143" s="561"/>
      <c r="E143" s="561"/>
      <c r="F143" s="561"/>
      <c r="G143" s="561"/>
      <c r="H143" s="561"/>
      <c r="I143" s="561"/>
      <c r="J143" s="561"/>
      <c r="K143" s="561"/>
      <c r="L143" s="561"/>
      <c r="M143" s="561"/>
      <c r="N143" s="561"/>
      <c r="O143" s="561"/>
      <c r="P143" s="561"/>
      <c r="Q143" s="561"/>
      <c r="R143" s="561"/>
      <c r="S143" s="561"/>
      <c r="T143" s="561"/>
      <c r="U143" s="561"/>
      <c r="V143" s="561"/>
      <c r="W143" s="561"/>
      <c r="X143" s="561"/>
      <c r="Y143" s="561"/>
      <c r="Z143" s="561"/>
      <c r="AA143" s="543"/>
      <c r="AB143" s="543"/>
      <c r="AC143" s="543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58">
        <v>4680115887374</v>
      </c>
      <c r="E144" s="559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58">
        <v>4607091384604</v>
      </c>
      <c r="E145" s="559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 t="s">
        <v>116</v>
      </c>
      <c r="M145" s="33" t="s">
        <v>109</v>
      </c>
      <c r="N145" s="33"/>
      <c r="O145" s="32">
        <v>50</v>
      </c>
      <c r="P145" s="60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7">
        <v>0</v>
      </c>
      <c r="Y145" s="548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 t="s">
        <v>93</v>
      </c>
      <c r="AK145" s="68">
        <v>48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7"/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8"/>
      <c r="P146" s="564" t="s">
        <v>75</v>
      </c>
      <c r="Q146" s="565"/>
      <c r="R146" s="565"/>
      <c r="S146" s="565"/>
      <c r="T146" s="565"/>
      <c r="U146" s="565"/>
      <c r="V146" s="566"/>
      <c r="W146" s="37" t="s">
        <v>76</v>
      </c>
      <c r="X146" s="549">
        <f>IFERROR(X144/H144,"0")+IFERROR(X145/H145,"0")</f>
        <v>0</v>
      </c>
      <c r="Y146" s="549">
        <f>IFERROR(Y144/H144,"0")+IFERROR(Y145/H145,"0")</f>
        <v>0</v>
      </c>
      <c r="Z146" s="549">
        <f>IFERROR(IF(Z144="",0,Z144),"0")+IFERROR(IF(Z145="",0,Z145),"0")</f>
        <v>0</v>
      </c>
      <c r="AA146" s="550"/>
      <c r="AB146" s="550"/>
      <c r="AC146" s="550"/>
    </row>
    <row r="147" spans="1:68" x14ac:dyDescent="0.2">
      <c r="A147" s="561"/>
      <c r="B147" s="561"/>
      <c r="C147" s="561"/>
      <c r="D147" s="561"/>
      <c r="E147" s="561"/>
      <c r="F147" s="561"/>
      <c r="G147" s="561"/>
      <c r="H147" s="561"/>
      <c r="I147" s="561"/>
      <c r="J147" s="561"/>
      <c r="K147" s="561"/>
      <c r="L147" s="561"/>
      <c r="M147" s="561"/>
      <c r="N147" s="561"/>
      <c r="O147" s="568"/>
      <c r="P147" s="564" t="s">
        <v>75</v>
      </c>
      <c r="Q147" s="565"/>
      <c r="R147" s="565"/>
      <c r="S147" s="565"/>
      <c r="T147" s="565"/>
      <c r="U147" s="565"/>
      <c r="V147" s="566"/>
      <c r="W147" s="37" t="s">
        <v>69</v>
      </c>
      <c r="X147" s="549">
        <f>IFERROR(SUM(X144:X145),"0")</f>
        <v>0</v>
      </c>
      <c r="Y147" s="549">
        <f>IFERROR(SUM(Y144:Y145),"0")</f>
        <v>0</v>
      </c>
      <c r="Z147" s="37"/>
      <c r="AA147" s="550"/>
      <c r="AB147" s="550"/>
      <c r="AC147" s="550"/>
    </row>
    <row r="148" spans="1:68" ht="14.25" customHeight="1" x14ac:dyDescent="0.25">
      <c r="A148" s="560" t="s">
        <v>64</v>
      </c>
      <c r="B148" s="561"/>
      <c r="C148" s="561"/>
      <c r="D148" s="561"/>
      <c r="E148" s="561"/>
      <c r="F148" s="561"/>
      <c r="G148" s="561"/>
      <c r="H148" s="561"/>
      <c r="I148" s="561"/>
      <c r="J148" s="561"/>
      <c r="K148" s="561"/>
      <c r="L148" s="561"/>
      <c r="M148" s="561"/>
      <c r="N148" s="561"/>
      <c r="O148" s="561"/>
      <c r="P148" s="561"/>
      <c r="Q148" s="561"/>
      <c r="R148" s="561"/>
      <c r="S148" s="561"/>
      <c r="T148" s="561"/>
      <c r="U148" s="561"/>
      <c r="V148" s="561"/>
      <c r="W148" s="561"/>
      <c r="X148" s="561"/>
      <c r="Y148" s="561"/>
      <c r="Z148" s="561"/>
      <c r="AA148" s="543"/>
      <c r="AB148" s="543"/>
      <c r="AC148" s="543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58">
        <v>4607091387667</v>
      </c>
      <c r="E149" s="559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 t="s">
        <v>108</v>
      </c>
      <c r="M149" s="33" t="s">
        <v>109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 t="s">
        <v>93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58">
        <v>4607091387636</v>
      </c>
      <c r="E150" s="559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58">
        <v>4607091382426</v>
      </c>
      <c r="E151" s="559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 t="s">
        <v>108</v>
      </c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93</v>
      </c>
      <c r="AK151" s="68">
        <v>72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8"/>
      <c r="P152" s="564" t="s">
        <v>75</v>
      </c>
      <c r="Q152" s="565"/>
      <c r="R152" s="565"/>
      <c r="S152" s="565"/>
      <c r="T152" s="565"/>
      <c r="U152" s="565"/>
      <c r="V152" s="566"/>
      <c r="W152" s="37" t="s">
        <v>76</v>
      </c>
      <c r="X152" s="549">
        <f>IFERROR(X149/H149,"0")+IFERROR(X150/H150,"0")+IFERROR(X151/H151,"0")</f>
        <v>0</v>
      </c>
      <c r="Y152" s="549">
        <f>IFERROR(Y149/H149,"0")+IFERROR(Y150/H150,"0")+IFERROR(Y151/H151,"0")</f>
        <v>0</v>
      </c>
      <c r="Z152" s="549">
        <f>IFERROR(IF(Z149="",0,Z149),"0")+IFERROR(IF(Z150="",0,Z150),"0")+IFERROR(IF(Z151="",0,Z151),"0")</f>
        <v>0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8"/>
      <c r="P153" s="564" t="s">
        <v>75</v>
      </c>
      <c r="Q153" s="565"/>
      <c r="R153" s="565"/>
      <c r="S153" s="565"/>
      <c r="T153" s="565"/>
      <c r="U153" s="565"/>
      <c r="V153" s="566"/>
      <c r="W153" s="37" t="s">
        <v>69</v>
      </c>
      <c r="X153" s="549">
        <f>IFERROR(SUM(X149:X151),"0")</f>
        <v>0</v>
      </c>
      <c r="Y153" s="549">
        <f>IFERROR(SUM(Y149:Y151),"0")</f>
        <v>0</v>
      </c>
      <c r="Z153" s="37"/>
      <c r="AA153" s="550"/>
      <c r="AB153" s="550"/>
      <c r="AC153" s="550"/>
    </row>
    <row r="154" spans="1:68" ht="14.25" customHeight="1" x14ac:dyDescent="0.25">
      <c r="A154" s="560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58">
        <v>4680115887459</v>
      </c>
      <c r="E155" s="559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7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8"/>
      <c r="P156" s="564" t="s">
        <v>75</v>
      </c>
      <c r="Q156" s="565"/>
      <c r="R156" s="565"/>
      <c r="S156" s="565"/>
      <c r="T156" s="565"/>
      <c r="U156" s="565"/>
      <c r="V156" s="566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8"/>
      <c r="P157" s="564" t="s">
        <v>75</v>
      </c>
      <c r="Q157" s="565"/>
      <c r="R157" s="565"/>
      <c r="S157" s="565"/>
      <c r="T157" s="565"/>
      <c r="U157" s="565"/>
      <c r="V157" s="566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customHeight="1" x14ac:dyDescent="0.2">
      <c r="A158" s="630" t="s">
        <v>267</v>
      </c>
      <c r="B158" s="631"/>
      <c r="C158" s="631"/>
      <c r="D158" s="631"/>
      <c r="E158" s="631"/>
      <c r="F158" s="631"/>
      <c r="G158" s="631"/>
      <c r="H158" s="631"/>
      <c r="I158" s="631"/>
      <c r="J158" s="631"/>
      <c r="K158" s="631"/>
      <c r="L158" s="631"/>
      <c r="M158" s="631"/>
      <c r="N158" s="631"/>
      <c r="O158" s="631"/>
      <c r="P158" s="631"/>
      <c r="Q158" s="631"/>
      <c r="R158" s="631"/>
      <c r="S158" s="631"/>
      <c r="T158" s="631"/>
      <c r="U158" s="631"/>
      <c r="V158" s="631"/>
      <c r="W158" s="631"/>
      <c r="X158" s="631"/>
      <c r="Y158" s="631"/>
      <c r="Z158" s="631"/>
      <c r="AA158" s="48"/>
      <c r="AB158" s="48"/>
      <c r="AC158" s="48"/>
    </row>
    <row r="159" spans="1:68" ht="16.5" customHeight="1" x14ac:dyDescent="0.25">
      <c r="A159" s="569" t="s">
        <v>268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customHeight="1" x14ac:dyDescent="0.25">
      <c r="A160" s="560" t="s">
        <v>139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58">
        <v>4680115886223</v>
      </c>
      <c r="E161" s="559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7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8"/>
      <c r="P162" s="564" t="s">
        <v>75</v>
      </c>
      <c r="Q162" s="565"/>
      <c r="R162" s="565"/>
      <c r="S162" s="565"/>
      <c r="T162" s="565"/>
      <c r="U162" s="565"/>
      <c r="V162" s="566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8"/>
      <c r="P163" s="564" t="s">
        <v>75</v>
      </c>
      <c r="Q163" s="565"/>
      <c r="R163" s="565"/>
      <c r="S163" s="565"/>
      <c r="T163" s="565"/>
      <c r="U163" s="565"/>
      <c r="V163" s="566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customHeight="1" x14ac:dyDescent="0.25">
      <c r="A164" s="560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58">
        <v>4680115887565</v>
      </c>
      <c r="E165" s="559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5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8">
        <v>4680115880993</v>
      </c>
      <c r="E166" s="559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116</v>
      </c>
      <c r="M166" s="33" t="s">
        <v>68</v>
      </c>
      <c r="N166" s="33"/>
      <c r="O166" s="32">
        <v>40</v>
      </c>
      <c r="P166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93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58">
        <v>4680115881761</v>
      </c>
      <c r="E167" s="559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8">
        <v>4680115881563</v>
      </c>
      <c r="E168" s="559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116</v>
      </c>
      <c r="M168" s="33" t="s">
        <v>68</v>
      </c>
      <c r="N168" s="33"/>
      <c r="O168" s="32">
        <v>40</v>
      </c>
      <c r="P168" s="6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93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8">
        <v>4680115880986</v>
      </c>
      <c r="E169" s="559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8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93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58">
        <v>4680115887213</v>
      </c>
      <c r="E170" s="559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58">
        <v>4680115881785</v>
      </c>
      <c r="E171" s="559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 t="s">
        <v>93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58">
        <v>4680115886537</v>
      </c>
      <c r="E172" s="559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58">
        <v>4680115887596</v>
      </c>
      <c r="E173" s="559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611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8">
        <v>4680115881679</v>
      </c>
      <c r="E174" s="559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93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58">
        <v>4680115880191</v>
      </c>
      <c r="E175" s="559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58">
        <v>4680115883963</v>
      </c>
      <c r="E176" s="559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7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61"/>
      <c r="C177" s="561"/>
      <c r="D177" s="561"/>
      <c r="E177" s="561"/>
      <c r="F177" s="561"/>
      <c r="G177" s="561"/>
      <c r="H177" s="561"/>
      <c r="I177" s="561"/>
      <c r="J177" s="561"/>
      <c r="K177" s="561"/>
      <c r="L177" s="561"/>
      <c r="M177" s="561"/>
      <c r="N177" s="561"/>
      <c r="O177" s="568"/>
      <c r="P177" s="564" t="s">
        <v>75</v>
      </c>
      <c r="Q177" s="565"/>
      <c r="R177" s="565"/>
      <c r="S177" s="565"/>
      <c r="T177" s="565"/>
      <c r="U177" s="565"/>
      <c r="V177" s="566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50"/>
      <c r="AB177" s="550"/>
      <c r="AC177" s="550"/>
    </row>
    <row r="178" spans="1:68" x14ac:dyDescent="0.2">
      <c r="A178" s="561"/>
      <c r="B178" s="561"/>
      <c r="C178" s="561"/>
      <c r="D178" s="561"/>
      <c r="E178" s="561"/>
      <c r="F178" s="561"/>
      <c r="G178" s="561"/>
      <c r="H178" s="561"/>
      <c r="I178" s="561"/>
      <c r="J178" s="561"/>
      <c r="K178" s="561"/>
      <c r="L178" s="561"/>
      <c r="M178" s="561"/>
      <c r="N178" s="561"/>
      <c r="O178" s="568"/>
      <c r="P178" s="564" t="s">
        <v>75</v>
      </c>
      <c r="Q178" s="565"/>
      <c r="R178" s="565"/>
      <c r="S178" s="565"/>
      <c r="T178" s="565"/>
      <c r="U178" s="565"/>
      <c r="V178" s="566"/>
      <c r="W178" s="37" t="s">
        <v>69</v>
      </c>
      <c r="X178" s="549">
        <f>IFERROR(SUM(X165:X176),"0")</f>
        <v>0</v>
      </c>
      <c r="Y178" s="549">
        <f>IFERROR(SUM(Y165:Y176),"0")</f>
        <v>0</v>
      </c>
      <c r="Z178" s="37"/>
      <c r="AA178" s="550"/>
      <c r="AB178" s="550"/>
      <c r="AC178" s="550"/>
    </row>
    <row r="179" spans="1:68" ht="14.25" customHeight="1" x14ac:dyDescent="0.25">
      <c r="A179" s="560" t="s">
        <v>96</v>
      </c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1"/>
      <c r="P179" s="561"/>
      <c r="Q179" s="561"/>
      <c r="R179" s="561"/>
      <c r="S179" s="561"/>
      <c r="T179" s="561"/>
      <c r="U179" s="561"/>
      <c r="V179" s="561"/>
      <c r="W179" s="561"/>
      <c r="X179" s="561"/>
      <c r="Y179" s="561"/>
      <c r="Z179" s="561"/>
      <c r="AA179" s="543"/>
      <c r="AB179" s="543"/>
      <c r="AC179" s="543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58">
        <v>4680115886780</v>
      </c>
      <c r="E180" s="559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7">
        <v>0</v>
      </c>
      <c r="Y180" s="548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8">
        <v>4680115886742</v>
      </c>
      <c r="E181" s="559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7">
        <v>0</v>
      </c>
      <c r="Y181" s="548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8">
        <v>4680115886766</v>
      </c>
      <c r="E182" s="559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7"/>
      <c r="B183" s="561"/>
      <c r="C183" s="561"/>
      <c r="D183" s="561"/>
      <c r="E183" s="561"/>
      <c r="F183" s="561"/>
      <c r="G183" s="561"/>
      <c r="H183" s="561"/>
      <c r="I183" s="561"/>
      <c r="J183" s="561"/>
      <c r="K183" s="561"/>
      <c r="L183" s="561"/>
      <c r="M183" s="561"/>
      <c r="N183" s="561"/>
      <c r="O183" s="568"/>
      <c r="P183" s="564" t="s">
        <v>75</v>
      </c>
      <c r="Q183" s="565"/>
      <c r="R183" s="565"/>
      <c r="S183" s="565"/>
      <c r="T183" s="565"/>
      <c r="U183" s="565"/>
      <c r="V183" s="566"/>
      <c r="W183" s="37" t="s">
        <v>76</v>
      </c>
      <c r="X183" s="549">
        <f>IFERROR(X180/H180,"0")+IFERROR(X181/H181,"0")+IFERROR(X182/H182,"0")</f>
        <v>0</v>
      </c>
      <c r="Y183" s="549">
        <f>IFERROR(Y180/H180,"0")+IFERROR(Y181/H181,"0")+IFERROR(Y182/H182,"0")</f>
        <v>0</v>
      </c>
      <c r="Z183" s="549">
        <f>IFERROR(IF(Z180="",0,Z180),"0")+IFERROR(IF(Z181="",0,Z181),"0")+IFERROR(IF(Z182="",0,Z182),"0")</f>
        <v>0</v>
      </c>
      <c r="AA183" s="550"/>
      <c r="AB183" s="550"/>
      <c r="AC183" s="550"/>
    </row>
    <row r="184" spans="1:68" x14ac:dyDescent="0.2">
      <c r="A184" s="561"/>
      <c r="B184" s="561"/>
      <c r="C184" s="561"/>
      <c r="D184" s="561"/>
      <c r="E184" s="561"/>
      <c r="F184" s="561"/>
      <c r="G184" s="561"/>
      <c r="H184" s="561"/>
      <c r="I184" s="561"/>
      <c r="J184" s="561"/>
      <c r="K184" s="561"/>
      <c r="L184" s="561"/>
      <c r="M184" s="561"/>
      <c r="N184" s="561"/>
      <c r="O184" s="568"/>
      <c r="P184" s="564" t="s">
        <v>75</v>
      </c>
      <c r="Q184" s="565"/>
      <c r="R184" s="565"/>
      <c r="S184" s="565"/>
      <c r="T184" s="565"/>
      <c r="U184" s="565"/>
      <c r="V184" s="566"/>
      <c r="W184" s="37" t="s">
        <v>69</v>
      </c>
      <c r="X184" s="549">
        <f>IFERROR(SUM(X180:X182),"0")</f>
        <v>0</v>
      </c>
      <c r="Y184" s="549">
        <f>IFERROR(SUM(Y180:Y182),"0")</f>
        <v>0</v>
      </c>
      <c r="Z184" s="37"/>
      <c r="AA184" s="550"/>
      <c r="AB184" s="550"/>
      <c r="AC184" s="550"/>
    </row>
    <row r="185" spans="1:68" ht="14.25" customHeight="1" x14ac:dyDescent="0.25">
      <c r="A185" s="560" t="s">
        <v>318</v>
      </c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1"/>
      <c r="P185" s="561"/>
      <c r="Q185" s="561"/>
      <c r="R185" s="561"/>
      <c r="S185" s="561"/>
      <c r="T185" s="561"/>
      <c r="U185" s="561"/>
      <c r="V185" s="561"/>
      <c r="W185" s="561"/>
      <c r="X185" s="561"/>
      <c r="Y185" s="561"/>
      <c r="Z185" s="561"/>
      <c r="AA185" s="543"/>
      <c r="AB185" s="543"/>
      <c r="AC185" s="543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8">
        <v>4680115886797</v>
      </c>
      <c r="E186" s="559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7">
        <v>0</v>
      </c>
      <c r="Y186" s="548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8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49">
        <f>IFERROR(X186/H186,"0")</f>
        <v>0</v>
      </c>
      <c r="Y187" s="549">
        <f>IFERROR(Y186/H186,"0")</f>
        <v>0</v>
      </c>
      <c r="Z187" s="549">
        <f>IFERROR(IF(Z186="",0,Z186),"0")</f>
        <v>0</v>
      </c>
      <c r="AA187" s="550"/>
      <c r="AB187" s="550"/>
      <c r="AC187" s="550"/>
    </row>
    <row r="188" spans="1:68" x14ac:dyDescent="0.2">
      <c r="A188" s="561"/>
      <c r="B188" s="561"/>
      <c r="C188" s="561"/>
      <c r="D188" s="561"/>
      <c r="E188" s="561"/>
      <c r="F188" s="561"/>
      <c r="G188" s="561"/>
      <c r="H188" s="561"/>
      <c r="I188" s="561"/>
      <c r="J188" s="561"/>
      <c r="K188" s="561"/>
      <c r="L188" s="561"/>
      <c r="M188" s="561"/>
      <c r="N188" s="561"/>
      <c r="O188" s="568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49">
        <f>IFERROR(SUM(X186:X186),"0")</f>
        <v>0</v>
      </c>
      <c r="Y188" s="549">
        <f>IFERROR(SUM(Y186:Y186),"0")</f>
        <v>0</v>
      </c>
      <c r="Z188" s="37"/>
      <c r="AA188" s="550"/>
      <c r="AB188" s="550"/>
      <c r="AC188" s="550"/>
    </row>
    <row r="189" spans="1:68" ht="16.5" customHeight="1" x14ac:dyDescent="0.25">
      <c r="A189" s="569" t="s">
        <v>321</v>
      </c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1"/>
      <c r="P189" s="561"/>
      <c r="Q189" s="561"/>
      <c r="R189" s="561"/>
      <c r="S189" s="561"/>
      <c r="T189" s="561"/>
      <c r="U189" s="561"/>
      <c r="V189" s="561"/>
      <c r="W189" s="561"/>
      <c r="X189" s="561"/>
      <c r="Y189" s="561"/>
      <c r="Z189" s="561"/>
      <c r="AA189" s="542"/>
      <c r="AB189" s="542"/>
      <c r="AC189" s="542"/>
    </row>
    <row r="190" spans="1:68" ht="14.25" customHeight="1" x14ac:dyDescent="0.25">
      <c r="A190" s="560" t="s">
        <v>104</v>
      </c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1"/>
      <c r="P190" s="561"/>
      <c r="Q190" s="561"/>
      <c r="R190" s="561"/>
      <c r="S190" s="561"/>
      <c r="T190" s="561"/>
      <c r="U190" s="561"/>
      <c r="V190" s="561"/>
      <c r="W190" s="561"/>
      <c r="X190" s="561"/>
      <c r="Y190" s="561"/>
      <c r="Z190" s="561"/>
      <c r="AA190" s="543"/>
      <c r="AB190" s="543"/>
      <c r="AC190" s="543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58">
        <v>4680115881402</v>
      </c>
      <c r="E191" s="559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58">
        <v>4680115881396</v>
      </c>
      <c r="E192" s="559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 t="s">
        <v>91</v>
      </c>
      <c r="M192" s="33" t="s">
        <v>109</v>
      </c>
      <c r="N192" s="33"/>
      <c r="O192" s="32">
        <v>55</v>
      </c>
      <c r="P192" s="6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93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7"/>
      <c r="B193" s="561"/>
      <c r="C193" s="561"/>
      <c r="D193" s="561"/>
      <c r="E193" s="561"/>
      <c r="F193" s="561"/>
      <c r="G193" s="561"/>
      <c r="H193" s="561"/>
      <c r="I193" s="561"/>
      <c r="J193" s="561"/>
      <c r="K193" s="561"/>
      <c r="L193" s="561"/>
      <c r="M193" s="561"/>
      <c r="N193" s="561"/>
      <c r="O193" s="568"/>
      <c r="P193" s="564" t="s">
        <v>75</v>
      </c>
      <c r="Q193" s="565"/>
      <c r="R193" s="565"/>
      <c r="S193" s="565"/>
      <c r="T193" s="565"/>
      <c r="U193" s="565"/>
      <c r="V193" s="566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x14ac:dyDescent="0.2">
      <c r="A194" s="561"/>
      <c r="B194" s="561"/>
      <c r="C194" s="561"/>
      <c r="D194" s="561"/>
      <c r="E194" s="561"/>
      <c r="F194" s="561"/>
      <c r="G194" s="561"/>
      <c r="H194" s="561"/>
      <c r="I194" s="561"/>
      <c r="J194" s="561"/>
      <c r="K194" s="561"/>
      <c r="L194" s="561"/>
      <c r="M194" s="561"/>
      <c r="N194" s="561"/>
      <c r="O194" s="568"/>
      <c r="P194" s="564" t="s">
        <v>75</v>
      </c>
      <c r="Q194" s="565"/>
      <c r="R194" s="565"/>
      <c r="S194" s="565"/>
      <c r="T194" s="565"/>
      <c r="U194" s="565"/>
      <c r="V194" s="566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customHeight="1" x14ac:dyDescent="0.25">
      <c r="A195" s="560" t="s">
        <v>139</v>
      </c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1"/>
      <c r="P195" s="561"/>
      <c r="Q195" s="561"/>
      <c r="R195" s="561"/>
      <c r="S195" s="561"/>
      <c r="T195" s="561"/>
      <c r="U195" s="561"/>
      <c r="V195" s="561"/>
      <c r="W195" s="561"/>
      <c r="X195" s="561"/>
      <c r="Y195" s="561"/>
      <c r="Z195" s="561"/>
      <c r="AA195" s="543"/>
      <c r="AB195" s="543"/>
      <c r="AC195" s="543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58">
        <v>4680115882935</v>
      </c>
      <c r="E196" s="559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8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58">
        <v>4680115880764</v>
      </c>
      <c r="E197" s="559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69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7"/>
      <c r="B198" s="561"/>
      <c r="C198" s="561"/>
      <c r="D198" s="561"/>
      <c r="E198" s="561"/>
      <c r="F198" s="561"/>
      <c r="G198" s="561"/>
      <c r="H198" s="561"/>
      <c r="I198" s="561"/>
      <c r="J198" s="561"/>
      <c r="K198" s="561"/>
      <c r="L198" s="561"/>
      <c r="M198" s="561"/>
      <c r="N198" s="561"/>
      <c r="O198" s="568"/>
      <c r="P198" s="564" t="s">
        <v>75</v>
      </c>
      <c r="Q198" s="565"/>
      <c r="R198" s="565"/>
      <c r="S198" s="565"/>
      <c r="T198" s="565"/>
      <c r="U198" s="565"/>
      <c r="V198" s="566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x14ac:dyDescent="0.2">
      <c r="A199" s="561"/>
      <c r="B199" s="561"/>
      <c r="C199" s="561"/>
      <c r="D199" s="561"/>
      <c r="E199" s="561"/>
      <c r="F199" s="561"/>
      <c r="G199" s="561"/>
      <c r="H199" s="561"/>
      <c r="I199" s="561"/>
      <c r="J199" s="561"/>
      <c r="K199" s="561"/>
      <c r="L199" s="561"/>
      <c r="M199" s="561"/>
      <c r="N199" s="561"/>
      <c r="O199" s="568"/>
      <c r="P199" s="564" t="s">
        <v>75</v>
      </c>
      <c r="Q199" s="565"/>
      <c r="R199" s="565"/>
      <c r="S199" s="565"/>
      <c r="T199" s="565"/>
      <c r="U199" s="565"/>
      <c r="V199" s="566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customHeight="1" x14ac:dyDescent="0.25">
      <c r="A200" s="560" t="s">
        <v>64</v>
      </c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1"/>
      <c r="P200" s="561"/>
      <c r="Q200" s="561"/>
      <c r="R200" s="561"/>
      <c r="S200" s="561"/>
      <c r="T200" s="561"/>
      <c r="U200" s="561"/>
      <c r="V200" s="561"/>
      <c r="W200" s="561"/>
      <c r="X200" s="561"/>
      <c r="Y200" s="561"/>
      <c r="Z200" s="561"/>
      <c r="AA200" s="543"/>
      <c r="AB200" s="543"/>
      <c r="AC200" s="543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8">
        <v>4680115882683</v>
      </c>
      <c r="E201" s="559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116</v>
      </c>
      <c r="M201" s="33" t="s">
        <v>68</v>
      </c>
      <c r="N201" s="33"/>
      <c r="O201" s="32">
        <v>40</v>
      </c>
      <c r="P201" s="7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7">
        <v>0</v>
      </c>
      <c r="Y201" s="548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93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8">
        <v>4680115882690</v>
      </c>
      <c r="E202" s="559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116</v>
      </c>
      <c r="M202" s="33" t="s">
        <v>68</v>
      </c>
      <c r="N202" s="33"/>
      <c r="O202" s="32">
        <v>40</v>
      </c>
      <c r="P202" s="87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7">
        <v>0</v>
      </c>
      <c r="Y202" s="548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93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8">
        <v>4680115882669</v>
      </c>
      <c r="E203" s="559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116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93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8">
        <v>4680115882676</v>
      </c>
      <c r="E204" s="559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116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93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8">
        <v>4680115884014</v>
      </c>
      <c r="E205" s="559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93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8">
        <v>4680115884007</v>
      </c>
      <c r="E206" s="559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3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93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58">
        <v>4680115884038</v>
      </c>
      <c r="E207" s="559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8">
        <v>4680115884021</v>
      </c>
      <c r="E208" s="559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93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7"/>
      <c r="B209" s="561"/>
      <c r="C209" s="561"/>
      <c r="D209" s="561"/>
      <c r="E209" s="561"/>
      <c r="F209" s="561"/>
      <c r="G209" s="561"/>
      <c r="H209" s="561"/>
      <c r="I209" s="561"/>
      <c r="J209" s="561"/>
      <c r="K209" s="561"/>
      <c r="L209" s="561"/>
      <c r="M209" s="561"/>
      <c r="N209" s="561"/>
      <c r="O209" s="568"/>
      <c r="P209" s="564" t="s">
        <v>75</v>
      </c>
      <c r="Q209" s="565"/>
      <c r="R209" s="565"/>
      <c r="S209" s="565"/>
      <c r="T209" s="565"/>
      <c r="U209" s="565"/>
      <c r="V209" s="566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0</v>
      </c>
      <c r="Y209" s="549">
        <f>IFERROR(Y201/H201,"0")+IFERROR(Y202/H202,"0")+IFERROR(Y203/H203,"0")+IFERROR(Y204/H204,"0")+IFERROR(Y205/H205,"0")+IFERROR(Y206/H206,"0")+IFERROR(Y207/H207,"0")+IFERROR(Y208/H208,"0")</f>
        <v>0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50"/>
      <c r="AB209" s="550"/>
      <c r="AC209" s="550"/>
    </row>
    <row r="210" spans="1:68" x14ac:dyDescent="0.2">
      <c r="A210" s="561"/>
      <c r="B210" s="561"/>
      <c r="C210" s="561"/>
      <c r="D210" s="561"/>
      <c r="E210" s="561"/>
      <c r="F210" s="561"/>
      <c r="G210" s="561"/>
      <c r="H210" s="561"/>
      <c r="I210" s="561"/>
      <c r="J210" s="561"/>
      <c r="K210" s="561"/>
      <c r="L210" s="561"/>
      <c r="M210" s="561"/>
      <c r="N210" s="561"/>
      <c r="O210" s="568"/>
      <c r="P210" s="564" t="s">
        <v>75</v>
      </c>
      <c r="Q210" s="565"/>
      <c r="R210" s="565"/>
      <c r="S210" s="565"/>
      <c r="T210" s="565"/>
      <c r="U210" s="565"/>
      <c r="V210" s="566"/>
      <c r="W210" s="37" t="s">
        <v>69</v>
      </c>
      <c r="X210" s="549">
        <f>IFERROR(SUM(X201:X208),"0")</f>
        <v>0</v>
      </c>
      <c r="Y210" s="549">
        <f>IFERROR(SUM(Y201:Y208),"0")</f>
        <v>0</v>
      </c>
      <c r="Z210" s="37"/>
      <c r="AA210" s="550"/>
      <c r="AB210" s="550"/>
      <c r="AC210" s="550"/>
    </row>
    <row r="211" spans="1:68" ht="14.25" customHeight="1" x14ac:dyDescent="0.25">
      <c r="A211" s="560" t="s">
        <v>77</v>
      </c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1"/>
      <c r="P211" s="561"/>
      <c r="Q211" s="561"/>
      <c r="R211" s="561"/>
      <c r="S211" s="561"/>
      <c r="T211" s="561"/>
      <c r="U211" s="561"/>
      <c r="V211" s="561"/>
      <c r="W211" s="561"/>
      <c r="X211" s="561"/>
      <c r="Y211" s="561"/>
      <c r="Z211" s="561"/>
      <c r="AA211" s="543"/>
      <c r="AB211" s="543"/>
      <c r="AC211" s="543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58">
        <v>4680115881594</v>
      </c>
      <c r="E212" s="559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80</v>
      </c>
      <c r="N212" s="33"/>
      <c r="O212" s="32">
        <v>40</v>
      </c>
      <c r="P212" s="7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7">
        <v>0</v>
      </c>
      <c r="Y212" s="548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58">
        <v>4680115881617</v>
      </c>
      <c r="E213" s="559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80</v>
      </c>
      <c r="N213" s="33"/>
      <c r="O213" s="32">
        <v>40</v>
      </c>
      <c r="P213" s="5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7">
        <v>0</v>
      </c>
      <c r="Y213" s="548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8">
        <v>4680115880573</v>
      </c>
      <c r="E214" s="559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80</v>
      </c>
      <c r="N214" s="33"/>
      <c r="O214" s="32">
        <v>45</v>
      </c>
      <c r="P214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93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8">
        <v>4680115882195</v>
      </c>
      <c r="E215" s="559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91</v>
      </c>
      <c r="M215" s="33" t="s">
        <v>80</v>
      </c>
      <c r="N215" s="33"/>
      <c r="O215" s="32">
        <v>40</v>
      </c>
      <c r="P215" s="5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93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58">
        <v>4680115882607</v>
      </c>
      <c r="E216" s="559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 t="s">
        <v>91</v>
      </c>
      <c r="M216" s="33" t="s">
        <v>87</v>
      </c>
      <c r="N216" s="33"/>
      <c r="O216" s="32">
        <v>45</v>
      </c>
      <c r="P216" s="72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 t="s">
        <v>93</v>
      </c>
      <c r="AK216" s="68">
        <v>25.2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8">
        <v>4680115880092</v>
      </c>
      <c r="E217" s="559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91</v>
      </c>
      <c r="M217" s="33" t="s">
        <v>80</v>
      </c>
      <c r="N217" s="33"/>
      <c r="O217" s="32">
        <v>45</v>
      </c>
      <c r="P217" s="75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93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8">
        <v>4680115880221</v>
      </c>
      <c r="E218" s="559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 t="s">
        <v>91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93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8">
        <v>4680115880504</v>
      </c>
      <c r="E219" s="559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91</v>
      </c>
      <c r="M219" s="33" t="s">
        <v>87</v>
      </c>
      <c r="N219" s="33"/>
      <c r="O219" s="32">
        <v>40</v>
      </c>
      <c r="P219" s="7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93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8">
        <v>4680115882164</v>
      </c>
      <c r="E220" s="559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91</v>
      </c>
      <c r="M220" s="33" t="s">
        <v>80</v>
      </c>
      <c r="N220" s="33"/>
      <c r="O220" s="32">
        <v>40</v>
      </c>
      <c r="P220" s="5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93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7"/>
      <c r="B221" s="561"/>
      <c r="C221" s="561"/>
      <c r="D221" s="561"/>
      <c r="E221" s="561"/>
      <c r="F221" s="561"/>
      <c r="G221" s="561"/>
      <c r="H221" s="561"/>
      <c r="I221" s="561"/>
      <c r="J221" s="561"/>
      <c r="K221" s="561"/>
      <c r="L221" s="561"/>
      <c r="M221" s="561"/>
      <c r="N221" s="561"/>
      <c r="O221" s="568"/>
      <c r="P221" s="564" t="s">
        <v>75</v>
      </c>
      <c r="Q221" s="565"/>
      <c r="R221" s="565"/>
      <c r="S221" s="565"/>
      <c r="T221" s="565"/>
      <c r="U221" s="565"/>
      <c r="V221" s="566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0</v>
      </c>
      <c r="Y221" s="549">
        <f>IFERROR(Y212/H212,"0")+IFERROR(Y213/H213,"0")+IFERROR(Y214/H214,"0")+IFERROR(Y215/H215,"0")+IFERROR(Y216/H216,"0")+IFERROR(Y217/H217,"0")+IFERROR(Y218/H218,"0")+IFERROR(Y219/H219,"0")+IFERROR(Y220/H220,"0")</f>
        <v>0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50"/>
      <c r="AB221" s="550"/>
      <c r="AC221" s="550"/>
    </row>
    <row r="222" spans="1:68" x14ac:dyDescent="0.2">
      <c r="A222" s="561"/>
      <c r="B222" s="561"/>
      <c r="C222" s="561"/>
      <c r="D222" s="561"/>
      <c r="E222" s="561"/>
      <c r="F222" s="561"/>
      <c r="G222" s="561"/>
      <c r="H222" s="561"/>
      <c r="I222" s="561"/>
      <c r="J222" s="561"/>
      <c r="K222" s="561"/>
      <c r="L222" s="561"/>
      <c r="M222" s="561"/>
      <c r="N222" s="561"/>
      <c r="O222" s="568"/>
      <c r="P222" s="564" t="s">
        <v>75</v>
      </c>
      <c r="Q222" s="565"/>
      <c r="R222" s="565"/>
      <c r="S222" s="565"/>
      <c r="T222" s="565"/>
      <c r="U222" s="565"/>
      <c r="V222" s="566"/>
      <c r="W222" s="37" t="s">
        <v>69</v>
      </c>
      <c r="X222" s="549">
        <f>IFERROR(SUM(X212:X220),"0")</f>
        <v>0</v>
      </c>
      <c r="Y222" s="549">
        <f>IFERROR(SUM(Y212:Y220),"0")</f>
        <v>0</v>
      </c>
      <c r="Z222" s="37"/>
      <c r="AA222" s="550"/>
      <c r="AB222" s="550"/>
      <c r="AC222" s="550"/>
    </row>
    <row r="223" spans="1:68" ht="14.25" customHeight="1" x14ac:dyDescent="0.25">
      <c r="A223" s="560" t="s">
        <v>167</v>
      </c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1"/>
      <c r="P223" s="561"/>
      <c r="Q223" s="561"/>
      <c r="R223" s="561"/>
      <c r="S223" s="561"/>
      <c r="T223" s="561"/>
      <c r="U223" s="561"/>
      <c r="V223" s="561"/>
      <c r="W223" s="561"/>
      <c r="X223" s="561"/>
      <c r="Y223" s="561"/>
      <c r="Z223" s="561"/>
      <c r="AA223" s="543"/>
      <c r="AB223" s="543"/>
      <c r="AC223" s="543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8">
        <v>4680115880818</v>
      </c>
      <c r="E224" s="559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91</v>
      </c>
      <c r="M224" s="33" t="s">
        <v>87</v>
      </c>
      <c r="N224" s="33"/>
      <c r="O224" s="32">
        <v>40</v>
      </c>
      <c r="P224" s="72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93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8">
        <v>4680115880801</v>
      </c>
      <c r="E225" s="559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7">
        <v>0</v>
      </c>
      <c r="Y225" s="548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7"/>
      <c r="B226" s="561"/>
      <c r="C226" s="561"/>
      <c r="D226" s="561"/>
      <c r="E226" s="561"/>
      <c r="F226" s="561"/>
      <c r="G226" s="561"/>
      <c r="H226" s="561"/>
      <c r="I226" s="561"/>
      <c r="J226" s="561"/>
      <c r="K226" s="561"/>
      <c r="L226" s="561"/>
      <c r="M226" s="561"/>
      <c r="N226" s="561"/>
      <c r="O226" s="568"/>
      <c r="P226" s="564" t="s">
        <v>75</v>
      </c>
      <c r="Q226" s="565"/>
      <c r="R226" s="565"/>
      <c r="S226" s="565"/>
      <c r="T226" s="565"/>
      <c r="U226" s="565"/>
      <c r="V226" s="566"/>
      <c r="W226" s="37" t="s">
        <v>76</v>
      </c>
      <c r="X226" s="549">
        <f>IFERROR(X224/H224,"0")+IFERROR(X225/H225,"0")</f>
        <v>0</v>
      </c>
      <c r="Y226" s="549">
        <f>IFERROR(Y224/H224,"0")+IFERROR(Y225/H225,"0")</f>
        <v>0</v>
      </c>
      <c r="Z226" s="549">
        <f>IFERROR(IF(Z224="",0,Z224),"0")+IFERROR(IF(Z225="",0,Z225),"0")</f>
        <v>0</v>
      </c>
      <c r="AA226" s="550"/>
      <c r="AB226" s="550"/>
      <c r="AC226" s="550"/>
    </row>
    <row r="227" spans="1:68" x14ac:dyDescent="0.2">
      <c r="A227" s="561"/>
      <c r="B227" s="561"/>
      <c r="C227" s="561"/>
      <c r="D227" s="561"/>
      <c r="E227" s="561"/>
      <c r="F227" s="561"/>
      <c r="G227" s="561"/>
      <c r="H227" s="561"/>
      <c r="I227" s="561"/>
      <c r="J227" s="561"/>
      <c r="K227" s="561"/>
      <c r="L227" s="561"/>
      <c r="M227" s="561"/>
      <c r="N227" s="561"/>
      <c r="O227" s="568"/>
      <c r="P227" s="564" t="s">
        <v>75</v>
      </c>
      <c r="Q227" s="565"/>
      <c r="R227" s="565"/>
      <c r="S227" s="565"/>
      <c r="T227" s="565"/>
      <c r="U227" s="565"/>
      <c r="V227" s="566"/>
      <c r="W227" s="37" t="s">
        <v>69</v>
      </c>
      <c r="X227" s="549">
        <f>IFERROR(SUM(X224:X225),"0")</f>
        <v>0</v>
      </c>
      <c r="Y227" s="549">
        <f>IFERROR(SUM(Y224:Y225),"0")</f>
        <v>0</v>
      </c>
      <c r="Z227" s="37"/>
      <c r="AA227" s="550"/>
      <c r="AB227" s="550"/>
      <c r="AC227" s="550"/>
    </row>
    <row r="228" spans="1:68" ht="16.5" customHeight="1" x14ac:dyDescent="0.25">
      <c r="A228" s="569" t="s">
        <v>380</v>
      </c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1"/>
      <c r="P228" s="561"/>
      <c r="Q228" s="561"/>
      <c r="R228" s="561"/>
      <c r="S228" s="561"/>
      <c r="T228" s="561"/>
      <c r="U228" s="561"/>
      <c r="V228" s="561"/>
      <c r="W228" s="561"/>
      <c r="X228" s="561"/>
      <c r="Y228" s="561"/>
      <c r="Z228" s="561"/>
      <c r="AA228" s="542"/>
      <c r="AB228" s="542"/>
      <c r="AC228" s="542"/>
    </row>
    <row r="229" spans="1:68" ht="14.25" customHeight="1" x14ac:dyDescent="0.25">
      <c r="A229" s="560" t="s">
        <v>104</v>
      </c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1"/>
      <c r="P229" s="561"/>
      <c r="Q229" s="561"/>
      <c r="R229" s="561"/>
      <c r="S229" s="561"/>
      <c r="T229" s="561"/>
      <c r="U229" s="561"/>
      <c r="V229" s="561"/>
      <c r="W229" s="561"/>
      <c r="X229" s="561"/>
      <c r="Y229" s="561"/>
      <c r="Z229" s="561"/>
      <c r="AA229" s="543"/>
      <c r="AB229" s="543"/>
      <c r="AC229" s="543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58">
        <v>4680115884137</v>
      </c>
      <c r="E230" s="559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64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58">
        <v>4680115884236</v>
      </c>
      <c r="E231" s="559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5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7">
        <v>0</v>
      </c>
      <c r="Y231" s="548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58">
        <v>4680115884175</v>
      </c>
      <c r="E232" s="559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58">
        <v>4680115884144</v>
      </c>
      <c r="E233" s="559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 t="s">
        <v>116</v>
      </c>
      <c r="M233" s="33" t="s">
        <v>109</v>
      </c>
      <c r="N233" s="33"/>
      <c r="O233" s="32">
        <v>55</v>
      </c>
      <c r="P233" s="7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 t="s">
        <v>93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58">
        <v>4680115884144</v>
      </c>
      <c r="E234" s="559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58">
        <v>4680115886551</v>
      </c>
      <c r="E235" s="559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58">
        <v>4680115887282</v>
      </c>
      <c r="E236" s="559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58">
        <v>4680115884205</v>
      </c>
      <c r="E237" s="559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116</v>
      </c>
      <c r="M237" s="33" t="s">
        <v>109</v>
      </c>
      <c r="N237" s="33"/>
      <c r="O237" s="32">
        <v>55</v>
      </c>
      <c r="P237" s="6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93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58">
        <v>4680115884205</v>
      </c>
      <c r="E238" s="559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7"/>
      <c r="B239" s="561"/>
      <c r="C239" s="561"/>
      <c r="D239" s="561"/>
      <c r="E239" s="561"/>
      <c r="F239" s="561"/>
      <c r="G239" s="561"/>
      <c r="H239" s="561"/>
      <c r="I239" s="561"/>
      <c r="J239" s="561"/>
      <c r="K239" s="561"/>
      <c r="L239" s="561"/>
      <c r="M239" s="561"/>
      <c r="N239" s="561"/>
      <c r="O239" s="568"/>
      <c r="P239" s="564" t="s">
        <v>75</v>
      </c>
      <c r="Q239" s="565"/>
      <c r="R239" s="565"/>
      <c r="S239" s="565"/>
      <c r="T239" s="565"/>
      <c r="U239" s="565"/>
      <c r="V239" s="566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0</v>
      </c>
      <c r="Y239" s="549">
        <f>IFERROR(Y230/H230,"0")+IFERROR(Y231/H231,"0")+IFERROR(Y232/H232,"0")+IFERROR(Y233/H233,"0")+IFERROR(Y234/H234,"0")+IFERROR(Y235/H235,"0")+IFERROR(Y236/H236,"0")+IFERROR(Y237/H237,"0")+IFERROR(Y238/H238,"0")</f>
        <v>0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50"/>
      <c r="AB239" s="550"/>
      <c r="AC239" s="550"/>
    </row>
    <row r="240" spans="1:68" x14ac:dyDescent="0.2">
      <c r="A240" s="561"/>
      <c r="B240" s="561"/>
      <c r="C240" s="561"/>
      <c r="D240" s="561"/>
      <c r="E240" s="561"/>
      <c r="F240" s="561"/>
      <c r="G240" s="561"/>
      <c r="H240" s="561"/>
      <c r="I240" s="561"/>
      <c r="J240" s="561"/>
      <c r="K240" s="561"/>
      <c r="L240" s="561"/>
      <c r="M240" s="561"/>
      <c r="N240" s="561"/>
      <c r="O240" s="568"/>
      <c r="P240" s="564" t="s">
        <v>75</v>
      </c>
      <c r="Q240" s="565"/>
      <c r="R240" s="565"/>
      <c r="S240" s="565"/>
      <c r="T240" s="565"/>
      <c r="U240" s="565"/>
      <c r="V240" s="566"/>
      <c r="W240" s="37" t="s">
        <v>69</v>
      </c>
      <c r="X240" s="549">
        <f>IFERROR(SUM(X230:X238),"0")</f>
        <v>0</v>
      </c>
      <c r="Y240" s="549">
        <f>IFERROR(SUM(Y230:Y238),"0")</f>
        <v>0</v>
      </c>
      <c r="Z240" s="37"/>
      <c r="AA240" s="550"/>
      <c r="AB240" s="550"/>
      <c r="AC240" s="550"/>
    </row>
    <row r="241" spans="1:68" ht="14.25" customHeight="1" x14ac:dyDescent="0.25">
      <c r="A241" s="560" t="s">
        <v>139</v>
      </c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1"/>
      <c r="P241" s="561"/>
      <c r="Q241" s="561"/>
      <c r="R241" s="561"/>
      <c r="S241" s="561"/>
      <c r="T241" s="561"/>
      <c r="U241" s="561"/>
      <c r="V241" s="561"/>
      <c r="W241" s="561"/>
      <c r="X241" s="561"/>
      <c r="Y241" s="561"/>
      <c r="Z241" s="561"/>
      <c r="AA241" s="543"/>
      <c r="AB241" s="543"/>
      <c r="AC241" s="543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58">
        <v>4680115885981</v>
      </c>
      <c r="E242" s="559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7"/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8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x14ac:dyDescent="0.2">
      <c r="A244" s="561"/>
      <c r="B244" s="561"/>
      <c r="C244" s="561"/>
      <c r="D244" s="561"/>
      <c r="E244" s="561"/>
      <c r="F244" s="561"/>
      <c r="G244" s="561"/>
      <c r="H244" s="561"/>
      <c r="I244" s="561"/>
      <c r="J244" s="561"/>
      <c r="K244" s="561"/>
      <c r="L244" s="561"/>
      <c r="M244" s="561"/>
      <c r="N244" s="561"/>
      <c r="O244" s="568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customHeight="1" x14ac:dyDescent="0.25">
      <c r="A245" s="560" t="s">
        <v>404</v>
      </c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1"/>
      <c r="P245" s="561"/>
      <c r="Q245" s="561"/>
      <c r="R245" s="561"/>
      <c r="S245" s="561"/>
      <c r="T245" s="561"/>
      <c r="U245" s="561"/>
      <c r="V245" s="561"/>
      <c r="W245" s="561"/>
      <c r="X245" s="561"/>
      <c r="Y245" s="561"/>
      <c r="Z245" s="561"/>
      <c r="AA245" s="543"/>
      <c r="AB245" s="543"/>
      <c r="AC245" s="543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8">
        <v>4680115886803</v>
      </c>
      <c r="E246" s="559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7">
        <v>0</v>
      </c>
      <c r="Y246" s="548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7"/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8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49">
        <f>IFERROR(X246/H246,"0")</f>
        <v>0</v>
      </c>
      <c r="Y247" s="549">
        <f>IFERROR(Y246/H246,"0")</f>
        <v>0</v>
      </c>
      <c r="Z247" s="549">
        <f>IFERROR(IF(Z246="",0,Z246),"0")</f>
        <v>0</v>
      </c>
      <c r="AA247" s="550"/>
      <c r="AB247" s="550"/>
      <c r="AC247" s="550"/>
    </row>
    <row r="248" spans="1:68" x14ac:dyDescent="0.2">
      <c r="A248" s="561"/>
      <c r="B248" s="561"/>
      <c r="C248" s="561"/>
      <c r="D248" s="561"/>
      <c r="E248" s="561"/>
      <c r="F248" s="561"/>
      <c r="G248" s="561"/>
      <c r="H248" s="561"/>
      <c r="I248" s="561"/>
      <c r="J248" s="561"/>
      <c r="K248" s="561"/>
      <c r="L248" s="561"/>
      <c r="M248" s="561"/>
      <c r="N248" s="561"/>
      <c r="O248" s="568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49">
        <f>IFERROR(SUM(X246:X246),"0")</f>
        <v>0</v>
      </c>
      <c r="Y248" s="549">
        <f>IFERROR(SUM(Y246:Y246),"0")</f>
        <v>0</v>
      </c>
      <c r="Z248" s="37"/>
      <c r="AA248" s="550"/>
      <c r="AB248" s="550"/>
      <c r="AC248" s="550"/>
    </row>
    <row r="249" spans="1:68" ht="14.25" customHeight="1" x14ac:dyDescent="0.25">
      <c r="A249" s="560" t="s">
        <v>408</v>
      </c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1"/>
      <c r="P249" s="561"/>
      <c r="Q249" s="561"/>
      <c r="R249" s="561"/>
      <c r="S249" s="561"/>
      <c r="T249" s="561"/>
      <c r="U249" s="561"/>
      <c r="V249" s="561"/>
      <c r="W249" s="561"/>
      <c r="X249" s="561"/>
      <c r="Y249" s="561"/>
      <c r="Z249" s="561"/>
      <c r="AA249" s="543"/>
      <c r="AB249" s="543"/>
      <c r="AC249" s="543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58">
        <v>4680115886704</v>
      </c>
      <c r="E250" s="559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7">
        <v>0</v>
      </c>
      <c r="Y250" s="54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58">
        <v>4680115886681</v>
      </c>
      <c r="E251" s="559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7">
        <v>0</v>
      </c>
      <c r="Y251" s="548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58">
        <v>4680115886735</v>
      </c>
      <c r="E252" s="559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58">
        <v>4680115886728</v>
      </c>
      <c r="E253" s="559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58">
        <v>4680115886711</v>
      </c>
      <c r="E254" s="559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7"/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8"/>
      <c r="P255" s="564" t="s">
        <v>75</v>
      </c>
      <c r="Q255" s="565"/>
      <c r="R255" s="565"/>
      <c r="S255" s="565"/>
      <c r="T255" s="565"/>
      <c r="U255" s="565"/>
      <c r="V255" s="566"/>
      <c r="W255" s="37" t="s">
        <v>76</v>
      </c>
      <c r="X255" s="549">
        <f>IFERROR(X250/H250,"0")+IFERROR(X251/H251,"0")+IFERROR(X252/H252,"0")+IFERROR(X253/H253,"0")+IFERROR(X254/H254,"0")</f>
        <v>0</v>
      </c>
      <c r="Y255" s="549">
        <f>IFERROR(Y250/H250,"0")+IFERROR(Y251/H251,"0")+IFERROR(Y252/H252,"0")+IFERROR(Y253/H253,"0")+IFERROR(Y254/H254,"0")</f>
        <v>0</v>
      </c>
      <c r="Z255" s="549">
        <f>IFERROR(IF(Z250="",0,Z250),"0")+IFERROR(IF(Z251="",0,Z251),"0")+IFERROR(IF(Z252="",0,Z252),"0")+IFERROR(IF(Z253="",0,Z253),"0")+IFERROR(IF(Z254="",0,Z254),"0")</f>
        <v>0</v>
      </c>
      <c r="AA255" s="550"/>
      <c r="AB255" s="550"/>
      <c r="AC255" s="550"/>
    </row>
    <row r="256" spans="1:68" x14ac:dyDescent="0.2">
      <c r="A256" s="561"/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8"/>
      <c r="P256" s="564" t="s">
        <v>75</v>
      </c>
      <c r="Q256" s="565"/>
      <c r="R256" s="565"/>
      <c r="S256" s="565"/>
      <c r="T256" s="565"/>
      <c r="U256" s="565"/>
      <c r="V256" s="566"/>
      <c r="W256" s="37" t="s">
        <v>69</v>
      </c>
      <c r="X256" s="549">
        <f>IFERROR(SUM(X250:X254),"0")</f>
        <v>0</v>
      </c>
      <c r="Y256" s="549">
        <f>IFERROR(SUM(Y250:Y254),"0")</f>
        <v>0</v>
      </c>
      <c r="Z256" s="37"/>
      <c r="AA256" s="550"/>
      <c r="AB256" s="550"/>
      <c r="AC256" s="550"/>
    </row>
    <row r="257" spans="1:68" ht="16.5" customHeight="1" x14ac:dyDescent="0.25">
      <c r="A257" s="569" t="s">
        <v>420</v>
      </c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  <c r="Z257" s="561"/>
      <c r="AA257" s="542"/>
      <c r="AB257" s="542"/>
      <c r="AC257" s="542"/>
    </row>
    <row r="258" spans="1:68" ht="14.25" customHeight="1" x14ac:dyDescent="0.25">
      <c r="A258" s="560" t="s">
        <v>104</v>
      </c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  <c r="Z258" s="561"/>
      <c r="AA258" s="543"/>
      <c r="AB258" s="543"/>
      <c r="AC258" s="543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58">
        <v>4680115885837</v>
      </c>
      <c r="E259" s="559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 t="s">
        <v>108</v>
      </c>
      <c r="M259" s="33" t="s">
        <v>109</v>
      </c>
      <c r="N259" s="33"/>
      <c r="O259" s="32">
        <v>55</v>
      </c>
      <c r="P259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7">
        <v>0</v>
      </c>
      <c r="Y259" s="54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93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58">
        <v>4680115885851</v>
      </c>
      <c r="E260" s="559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7">
        <v>0</v>
      </c>
      <c r="Y260" s="548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58">
        <v>4680115885806</v>
      </c>
      <c r="E261" s="559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 t="s">
        <v>108</v>
      </c>
      <c r="M261" s="33" t="s">
        <v>109</v>
      </c>
      <c r="N261" s="33"/>
      <c r="O261" s="32">
        <v>55</v>
      </c>
      <c r="P261" s="7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93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58">
        <v>4680115885844</v>
      </c>
      <c r="E262" s="559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8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58">
        <v>4680115885820</v>
      </c>
      <c r="E263" s="559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 t="s">
        <v>116</v>
      </c>
      <c r="M263" s="33" t="s">
        <v>109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 t="s">
        <v>93</v>
      </c>
      <c r="AK263" s="68">
        <v>48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7"/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8"/>
      <c r="P264" s="564" t="s">
        <v>75</v>
      </c>
      <c r="Q264" s="565"/>
      <c r="R264" s="565"/>
      <c r="S264" s="565"/>
      <c r="T264" s="565"/>
      <c r="U264" s="565"/>
      <c r="V264" s="566"/>
      <c r="W264" s="37" t="s">
        <v>76</v>
      </c>
      <c r="X264" s="549">
        <f>IFERROR(X259/H259,"0")+IFERROR(X260/H260,"0")+IFERROR(X261/H261,"0")+IFERROR(X262/H262,"0")+IFERROR(X263/H263,"0")</f>
        <v>0</v>
      </c>
      <c r="Y264" s="549">
        <f>IFERROR(Y259/H259,"0")+IFERROR(Y260/H260,"0")+IFERROR(Y261/H261,"0")+IFERROR(Y262/H262,"0")+IFERROR(Y263/H263,"0")</f>
        <v>0</v>
      </c>
      <c r="Z264" s="549">
        <f>IFERROR(IF(Z259="",0,Z259),"0")+IFERROR(IF(Z260="",0,Z260),"0")+IFERROR(IF(Z261="",0,Z261),"0")+IFERROR(IF(Z262="",0,Z262),"0")+IFERROR(IF(Z263="",0,Z263),"0")</f>
        <v>0</v>
      </c>
      <c r="AA264" s="550"/>
      <c r="AB264" s="550"/>
      <c r="AC264" s="550"/>
    </row>
    <row r="265" spans="1:68" x14ac:dyDescent="0.2">
      <c r="A265" s="561"/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8"/>
      <c r="P265" s="564" t="s">
        <v>75</v>
      </c>
      <c r="Q265" s="565"/>
      <c r="R265" s="565"/>
      <c r="S265" s="565"/>
      <c r="T265" s="565"/>
      <c r="U265" s="565"/>
      <c r="V265" s="566"/>
      <c r="W265" s="37" t="s">
        <v>69</v>
      </c>
      <c r="X265" s="549">
        <f>IFERROR(SUM(X259:X263),"0")</f>
        <v>0</v>
      </c>
      <c r="Y265" s="549">
        <f>IFERROR(SUM(Y259:Y263),"0")</f>
        <v>0</v>
      </c>
      <c r="Z265" s="37"/>
      <c r="AA265" s="550"/>
      <c r="AB265" s="550"/>
      <c r="AC265" s="550"/>
    </row>
    <row r="266" spans="1:68" ht="16.5" customHeight="1" x14ac:dyDescent="0.25">
      <c r="A266" s="569" t="s">
        <v>436</v>
      </c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  <c r="Z266" s="561"/>
      <c r="AA266" s="542"/>
      <c r="AB266" s="542"/>
      <c r="AC266" s="542"/>
    </row>
    <row r="267" spans="1:68" ht="14.25" customHeight="1" x14ac:dyDescent="0.25">
      <c r="A267" s="560" t="s">
        <v>104</v>
      </c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  <c r="Z267" s="561"/>
      <c r="AA267" s="543"/>
      <c r="AB267" s="543"/>
      <c r="AC267" s="543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58">
        <v>4607091383423</v>
      </c>
      <c r="E268" s="559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80</v>
      </c>
      <c r="N268" s="33"/>
      <c r="O268" s="32">
        <v>35</v>
      </c>
      <c r="P268" s="63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58">
        <v>4680115886957</v>
      </c>
      <c r="E269" s="559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80</v>
      </c>
      <c r="N269" s="33"/>
      <c r="O269" s="32">
        <v>30</v>
      </c>
      <c r="P269" s="78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58">
        <v>4680115885660</v>
      </c>
      <c r="E270" s="559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80</v>
      </c>
      <c r="N270" s="33"/>
      <c r="O270" s="32">
        <v>35</v>
      </c>
      <c r="P270" s="80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58">
        <v>4680115886773</v>
      </c>
      <c r="E271" s="559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7"/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8"/>
      <c r="P272" s="564" t="s">
        <v>75</v>
      </c>
      <c r="Q272" s="565"/>
      <c r="R272" s="565"/>
      <c r="S272" s="565"/>
      <c r="T272" s="565"/>
      <c r="U272" s="565"/>
      <c r="V272" s="566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x14ac:dyDescent="0.2">
      <c r="A273" s="561"/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8"/>
      <c r="P273" s="564" t="s">
        <v>75</v>
      </c>
      <c r="Q273" s="565"/>
      <c r="R273" s="565"/>
      <c r="S273" s="565"/>
      <c r="T273" s="565"/>
      <c r="U273" s="565"/>
      <c r="V273" s="566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customHeight="1" x14ac:dyDescent="0.25">
      <c r="A274" s="569" t="s">
        <v>447</v>
      </c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  <c r="Z274" s="561"/>
      <c r="AA274" s="542"/>
      <c r="AB274" s="542"/>
      <c r="AC274" s="542"/>
    </row>
    <row r="275" spans="1:68" ht="14.25" customHeight="1" x14ac:dyDescent="0.25">
      <c r="A275" s="560" t="s">
        <v>77</v>
      </c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  <c r="Z275" s="561"/>
      <c r="AA275" s="543"/>
      <c r="AB275" s="543"/>
      <c r="AC275" s="543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58">
        <v>4680115886186</v>
      </c>
      <c r="E276" s="559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8">
        <v>4680115881228</v>
      </c>
      <c r="E277" s="559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70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7">
        <v>0</v>
      </c>
      <c r="Y277" s="548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8">
        <v>4680115881211</v>
      </c>
      <c r="E278" s="559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 t="s">
        <v>91</v>
      </c>
      <c r="M278" s="33" t="s">
        <v>80</v>
      </c>
      <c r="N278" s="33"/>
      <c r="O278" s="32">
        <v>45</v>
      </c>
      <c r="P278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93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7"/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8"/>
      <c r="P279" s="564" t="s">
        <v>75</v>
      </c>
      <c r="Q279" s="565"/>
      <c r="R279" s="565"/>
      <c r="S279" s="565"/>
      <c r="T279" s="565"/>
      <c r="U279" s="565"/>
      <c r="V279" s="566"/>
      <c r="W279" s="37" t="s">
        <v>76</v>
      </c>
      <c r="X279" s="549">
        <f>IFERROR(X276/H276,"0")+IFERROR(X277/H277,"0")+IFERROR(X278/H278,"0")</f>
        <v>0</v>
      </c>
      <c r="Y279" s="549">
        <f>IFERROR(Y276/H276,"0")+IFERROR(Y277/H277,"0")+IFERROR(Y278/H278,"0")</f>
        <v>0</v>
      </c>
      <c r="Z279" s="549">
        <f>IFERROR(IF(Z276="",0,Z276),"0")+IFERROR(IF(Z277="",0,Z277),"0")+IFERROR(IF(Z278="",0,Z278),"0")</f>
        <v>0</v>
      </c>
      <c r="AA279" s="550"/>
      <c r="AB279" s="550"/>
      <c r="AC279" s="550"/>
    </row>
    <row r="280" spans="1:68" x14ac:dyDescent="0.2">
      <c r="A280" s="561"/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8"/>
      <c r="P280" s="564" t="s">
        <v>75</v>
      </c>
      <c r="Q280" s="565"/>
      <c r="R280" s="565"/>
      <c r="S280" s="565"/>
      <c r="T280" s="565"/>
      <c r="U280" s="565"/>
      <c r="V280" s="566"/>
      <c r="W280" s="37" t="s">
        <v>69</v>
      </c>
      <c r="X280" s="549">
        <f>IFERROR(SUM(X276:X278),"0")</f>
        <v>0</v>
      </c>
      <c r="Y280" s="549">
        <f>IFERROR(SUM(Y276:Y278),"0")</f>
        <v>0</v>
      </c>
      <c r="Z280" s="37"/>
      <c r="AA280" s="550"/>
      <c r="AB280" s="550"/>
      <c r="AC280" s="550"/>
    </row>
    <row r="281" spans="1:68" ht="16.5" customHeight="1" x14ac:dyDescent="0.25">
      <c r="A281" s="569" t="s">
        <v>456</v>
      </c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  <c r="Z281" s="561"/>
      <c r="AA281" s="542"/>
      <c r="AB281" s="542"/>
      <c r="AC281" s="542"/>
    </row>
    <row r="282" spans="1:68" ht="14.25" customHeight="1" x14ac:dyDescent="0.25">
      <c r="A282" s="560" t="s">
        <v>64</v>
      </c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  <c r="Z282" s="561"/>
      <c r="AA282" s="543"/>
      <c r="AB282" s="543"/>
      <c r="AC282" s="543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58">
        <v>4680115880344</v>
      </c>
      <c r="E283" s="559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58">
        <v>4680115886919</v>
      </c>
      <c r="E284" s="559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61"/>
      <c r="C285" s="561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8"/>
      <c r="P285" s="564" t="s">
        <v>75</v>
      </c>
      <c r="Q285" s="565"/>
      <c r="R285" s="565"/>
      <c r="S285" s="565"/>
      <c r="T285" s="565"/>
      <c r="U285" s="565"/>
      <c r="V285" s="566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x14ac:dyDescent="0.2">
      <c r="A286" s="561"/>
      <c r="B286" s="561"/>
      <c r="C286" s="561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8"/>
      <c r="P286" s="564" t="s">
        <v>75</v>
      </c>
      <c r="Q286" s="565"/>
      <c r="R286" s="565"/>
      <c r="S286" s="565"/>
      <c r="T286" s="565"/>
      <c r="U286" s="565"/>
      <c r="V286" s="566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customHeight="1" x14ac:dyDescent="0.25">
      <c r="A287" s="560" t="s">
        <v>77</v>
      </c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  <c r="Z287" s="561"/>
      <c r="AA287" s="543"/>
      <c r="AB287" s="543"/>
      <c r="AC287" s="543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58">
        <v>4680115884618</v>
      </c>
      <c r="E288" s="559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 t="s">
        <v>116</v>
      </c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7">
        <v>0</v>
      </c>
      <c r="Y288" s="548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 t="s">
        <v>93</v>
      </c>
      <c r="AK288" s="68">
        <v>43.2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58">
        <v>4680115887114</v>
      </c>
      <c r="E289" s="559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80</v>
      </c>
      <c r="N289" s="33"/>
      <c r="O289" s="32">
        <v>45</v>
      </c>
      <c r="P289" s="69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7"/>
      <c r="B290" s="561"/>
      <c r="C290" s="561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8"/>
      <c r="P290" s="564" t="s">
        <v>75</v>
      </c>
      <c r="Q290" s="565"/>
      <c r="R290" s="565"/>
      <c r="S290" s="565"/>
      <c r="T290" s="565"/>
      <c r="U290" s="565"/>
      <c r="V290" s="566"/>
      <c r="W290" s="37" t="s">
        <v>76</v>
      </c>
      <c r="X290" s="549">
        <f>IFERROR(X288/H288,"0")+IFERROR(X289/H289,"0")</f>
        <v>0</v>
      </c>
      <c r="Y290" s="549">
        <f>IFERROR(Y288/H288,"0")+IFERROR(Y289/H289,"0")</f>
        <v>0</v>
      </c>
      <c r="Z290" s="549">
        <f>IFERROR(IF(Z288="",0,Z288),"0")+IFERROR(IF(Z289="",0,Z289),"0")</f>
        <v>0</v>
      </c>
      <c r="AA290" s="550"/>
      <c r="AB290" s="550"/>
      <c r="AC290" s="550"/>
    </row>
    <row r="291" spans="1:68" x14ac:dyDescent="0.2">
      <c r="A291" s="561"/>
      <c r="B291" s="561"/>
      <c r="C291" s="561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8"/>
      <c r="P291" s="564" t="s">
        <v>75</v>
      </c>
      <c r="Q291" s="565"/>
      <c r="R291" s="565"/>
      <c r="S291" s="565"/>
      <c r="T291" s="565"/>
      <c r="U291" s="565"/>
      <c r="V291" s="566"/>
      <c r="W291" s="37" t="s">
        <v>69</v>
      </c>
      <c r="X291" s="549">
        <f>IFERROR(SUM(X288:X289),"0")</f>
        <v>0</v>
      </c>
      <c r="Y291" s="549">
        <f>IFERROR(SUM(Y288:Y289),"0")</f>
        <v>0</v>
      </c>
      <c r="Z291" s="37"/>
      <c r="AA291" s="550"/>
      <c r="AB291" s="550"/>
      <c r="AC291" s="550"/>
    </row>
    <row r="292" spans="1:68" ht="16.5" customHeight="1" x14ac:dyDescent="0.25">
      <c r="A292" s="569" t="s">
        <v>469</v>
      </c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  <c r="Z292" s="561"/>
      <c r="AA292" s="542"/>
      <c r="AB292" s="542"/>
      <c r="AC292" s="542"/>
    </row>
    <row r="293" spans="1:68" ht="14.25" customHeight="1" x14ac:dyDescent="0.25">
      <c r="A293" s="560" t="s">
        <v>104</v>
      </c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  <c r="Z293" s="561"/>
      <c r="AA293" s="543"/>
      <c r="AB293" s="543"/>
      <c r="AC293" s="543"/>
    </row>
    <row r="294" spans="1:68" ht="27" customHeight="1" x14ac:dyDescent="0.25">
      <c r="A294" s="54" t="s">
        <v>470</v>
      </c>
      <c r="B294" s="54" t="s">
        <v>471</v>
      </c>
      <c r="C294" s="31">
        <v>4301012126</v>
      </c>
      <c r="D294" s="558">
        <v>4607091386004</v>
      </c>
      <c r="E294" s="559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8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7">
        <v>1000</v>
      </c>
      <c r="Y294" s="548">
        <f t="shared" ref="Y294:Y299" si="26">IFERROR(IF(X294="",0,CEILING((X294/$H294),1)*$H294),"")</f>
        <v>1004.4000000000001</v>
      </c>
      <c r="Z294" s="36">
        <f>IFERROR(IF(Y294=0,"",ROUNDUP(Y294/H294,0)*0.01898),"")</f>
        <v>1.7651399999999999</v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1037.9629629629628</v>
      </c>
      <c r="BN294" s="64">
        <f t="shared" ref="BN294:BN299" si="28">IFERROR(Y294*I294/H294,"0")</f>
        <v>1042.5300000000002</v>
      </c>
      <c r="BO294" s="64">
        <f t="shared" ref="BO294:BO299" si="29">IFERROR(1/J294*(X294/H294),"0")</f>
        <v>1.4467592592592591</v>
      </c>
      <c r="BP294" s="64">
        <f t="shared" ref="BP294:BP299" si="30">IFERROR(1/J294*(Y294/H294),"0")</f>
        <v>1.453125</v>
      </c>
    </row>
    <row r="295" spans="1:68" ht="27" customHeight="1" x14ac:dyDescent="0.25">
      <c r="A295" s="54" t="s">
        <v>473</v>
      </c>
      <c r="B295" s="54" t="s">
        <v>474</v>
      </c>
      <c r="C295" s="31">
        <v>4301012024</v>
      </c>
      <c r="D295" s="558">
        <v>4680115885615</v>
      </c>
      <c r="E295" s="559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 t="s">
        <v>108</v>
      </c>
      <c r="M295" s="33" t="s">
        <v>80</v>
      </c>
      <c r="N295" s="33"/>
      <c r="O295" s="32">
        <v>55</v>
      </c>
      <c r="P295" s="80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7">
        <v>0</v>
      </c>
      <c r="Y295" s="548">
        <f t="shared" si="26"/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 t="s">
        <v>93</v>
      </c>
      <c r="AK295" s="68">
        <v>86.4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t="37.5" customHeight="1" x14ac:dyDescent="0.25">
      <c r="A296" s="54" t="s">
        <v>476</v>
      </c>
      <c r="B296" s="54" t="s">
        <v>477</v>
      </c>
      <c r="C296" s="31">
        <v>4301011858</v>
      </c>
      <c r="D296" s="558">
        <v>4680115885646</v>
      </c>
      <c r="E296" s="559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 t="s">
        <v>108</v>
      </c>
      <c r="M296" s="33" t="s">
        <v>109</v>
      </c>
      <c r="N296" s="33"/>
      <c r="O296" s="32">
        <v>55</v>
      </c>
      <c r="P296" s="72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si="26"/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 t="s">
        <v>93</v>
      </c>
      <c r="AK296" s="68">
        <v>86.4</v>
      </c>
      <c r="BB296" s="346" t="s">
        <v>1</v>
      </c>
      <c r="BM296" s="64">
        <f t="shared" si="27"/>
        <v>0</v>
      </c>
      <c r="BN296" s="64">
        <f t="shared" si="28"/>
        <v>0</v>
      </c>
      <c r="BO296" s="64">
        <f t="shared" si="29"/>
        <v>0</v>
      </c>
      <c r="BP296" s="64">
        <f t="shared" si="30"/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4301012016</v>
      </c>
      <c r="D297" s="558">
        <v>4680115885554</v>
      </c>
      <c r="E297" s="559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80</v>
      </c>
      <c r="N297" s="33"/>
      <c r="O297" s="32">
        <v>55</v>
      </c>
      <c r="P297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482</v>
      </c>
      <c r="B298" s="54" t="s">
        <v>483</v>
      </c>
      <c r="C298" s="31">
        <v>4301011857</v>
      </c>
      <c r="D298" s="558">
        <v>4680115885622</v>
      </c>
      <c r="E298" s="559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 t="s">
        <v>116</v>
      </c>
      <c r="M298" s="33" t="s">
        <v>109</v>
      </c>
      <c r="N298" s="33"/>
      <c r="O298" s="32">
        <v>55</v>
      </c>
      <c r="P298" s="82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IFERROR(IF(Y298=0,"",ROUNDUP(Y298/H298,0)*0.00902),"")</f>
        <v/>
      </c>
      <c r="AA298" s="56"/>
      <c r="AB298" s="57"/>
      <c r="AC298" s="349" t="s">
        <v>475</v>
      </c>
      <c r="AG298" s="64"/>
      <c r="AJ298" s="68" t="s">
        <v>93</v>
      </c>
      <c r="AK298" s="68">
        <v>48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484</v>
      </c>
      <c r="B299" s="54" t="s">
        <v>485</v>
      </c>
      <c r="C299" s="31">
        <v>4301011859</v>
      </c>
      <c r="D299" s="558">
        <v>4680115885608</v>
      </c>
      <c r="E299" s="559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 t="s">
        <v>116</v>
      </c>
      <c r="M299" s="33" t="s">
        <v>109</v>
      </c>
      <c r="N299" s="33"/>
      <c r="O299" s="32">
        <v>55</v>
      </c>
      <c r="P299" s="7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IFERROR(IF(Y299=0,"",ROUNDUP(Y299/H299,0)*0.00902),"")</f>
        <v/>
      </c>
      <c r="AA299" s="56"/>
      <c r="AB299" s="57"/>
      <c r="AC299" s="351" t="s">
        <v>486</v>
      </c>
      <c r="AG299" s="64"/>
      <c r="AJ299" s="68" t="s">
        <v>93</v>
      </c>
      <c r="AK299" s="68">
        <v>48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x14ac:dyDescent="0.2">
      <c r="A300" s="567"/>
      <c r="B300" s="561"/>
      <c r="C300" s="561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8"/>
      <c r="P300" s="564" t="s">
        <v>75</v>
      </c>
      <c r="Q300" s="565"/>
      <c r="R300" s="565"/>
      <c r="S300" s="565"/>
      <c r="T300" s="565"/>
      <c r="U300" s="565"/>
      <c r="V300" s="566"/>
      <c r="W300" s="37" t="s">
        <v>76</v>
      </c>
      <c r="X300" s="549">
        <f>IFERROR(X294/H294,"0")+IFERROR(X295/H295,"0")+IFERROR(X296/H296,"0")+IFERROR(X297/H297,"0")+IFERROR(X298/H298,"0")+IFERROR(X299/H299,"0")</f>
        <v>92.592592592592581</v>
      </c>
      <c r="Y300" s="549">
        <f>IFERROR(Y294/H294,"0")+IFERROR(Y295/H295,"0")+IFERROR(Y296/H296,"0")+IFERROR(Y297/H297,"0")+IFERROR(Y298/H298,"0")+IFERROR(Y299/H299,"0")</f>
        <v>93</v>
      </c>
      <c r="Z300" s="549">
        <f>IFERROR(IF(Z294="",0,Z294),"0")+IFERROR(IF(Z295="",0,Z295),"0")+IFERROR(IF(Z296="",0,Z296),"0")+IFERROR(IF(Z297="",0,Z297),"0")+IFERROR(IF(Z298="",0,Z298),"0")+IFERROR(IF(Z299="",0,Z299),"0")</f>
        <v>1.7651399999999999</v>
      </c>
      <c r="AA300" s="550"/>
      <c r="AB300" s="550"/>
      <c r="AC300" s="550"/>
    </row>
    <row r="301" spans="1:68" x14ac:dyDescent="0.2">
      <c r="A301" s="561"/>
      <c r="B301" s="561"/>
      <c r="C301" s="561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8"/>
      <c r="P301" s="564" t="s">
        <v>75</v>
      </c>
      <c r="Q301" s="565"/>
      <c r="R301" s="565"/>
      <c r="S301" s="565"/>
      <c r="T301" s="565"/>
      <c r="U301" s="565"/>
      <c r="V301" s="566"/>
      <c r="W301" s="37" t="s">
        <v>69</v>
      </c>
      <c r="X301" s="549">
        <f>IFERROR(SUM(X294:X299),"0")</f>
        <v>1000</v>
      </c>
      <c r="Y301" s="549">
        <f>IFERROR(SUM(Y294:Y299),"0")</f>
        <v>1004.4000000000001</v>
      </c>
      <c r="Z301" s="37"/>
      <c r="AA301" s="550"/>
      <c r="AB301" s="550"/>
      <c r="AC301" s="550"/>
    </row>
    <row r="302" spans="1:68" ht="14.25" customHeight="1" x14ac:dyDescent="0.25">
      <c r="A302" s="560" t="s">
        <v>64</v>
      </c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  <c r="Z302" s="561"/>
      <c r="AA302" s="543"/>
      <c r="AB302" s="543"/>
      <c r="AC302" s="543"/>
    </row>
    <row r="303" spans="1:68" ht="27" customHeight="1" x14ac:dyDescent="0.25">
      <c r="A303" s="54" t="s">
        <v>487</v>
      </c>
      <c r="B303" s="54" t="s">
        <v>488</v>
      </c>
      <c r="C303" s="31">
        <v>4301030878</v>
      </c>
      <c r="D303" s="558">
        <v>4607091387193</v>
      </c>
      <c r="E303" s="559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 t="s">
        <v>116</v>
      </c>
      <c r="M303" s="33" t="s">
        <v>68</v>
      </c>
      <c r="N303" s="33"/>
      <c r="O303" s="32">
        <v>35</v>
      </c>
      <c r="P303" s="69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7">
        <v>0</v>
      </c>
      <c r="Y303" s="548">
        <f t="shared" ref="Y303:Y308" si="31">IFERROR(IF(X303="",0,CEILING((X303/$H303),1)*$H303),"")</f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93</v>
      </c>
      <c r="AK303" s="68">
        <v>50.4</v>
      </c>
      <c r="BB303" s="354" t="s">
        <v>1</v>
      </c>
      <c r="BM303" s="64">
        <f t="shared" ref="BM303:BM308" si="32">IFERROR(X303*I303/H303,"0")</f>
        <v>0</v>
      </c>
      <c r="BN303" s="64">
        <f t="shared" ref="BN303:BN308" si="33">IFERROR(Y303*I303/H303,"0")</f>
        <v>0</v>
      </c>
      <c r="BO303" s="64">
        <f t="shared" ref="BO303:BO308" si="34">IFERROR(1/J303*(X303/H303),"0")</f>
        <v>0</v>
      </c>
      <c r="BP303" s="64">
        <f t="shared" ref="BP303:BP308" si="35">IFERROR(1/J303*(Y303/H303),"0")</f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4301031153</v>
      </c>
      <c r="D304" s="558">
        <v>4607091387230</v>
      </c>
      <c r="E304" s="559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 t="s">
        <v>116</v>
      </c>
      <c r="M304" s="33" t="s">
        <v>68</v>
      </c>
      <c r="N304" s="33"/>
      <c r="O304" s="32">
        <v>40</v>
      </c>
      <c r="P304" s="74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si="31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 t="s">
        <v>93</v>
      </c>
      <c r="AK304" s="68">
        <v>50.4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4301031154</v>
      </c>
      <c r="D305" s="558">
        <v>4607091387292</v>
      </c>
      <c r="E305" s="559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69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496</v>
      </c>
      <c r="B306" s="54" t="s">
        <v>497</v>
      </c>
      <c r="C306" s="31">
        <v>4301031152</v>
      </c>
      <c r="D306" s="558">
        <v>4607091387285</v>
      </c>
      <c r="E306" s="559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IFERROR(IF(Y306=0,"",ROUNDUP(Y306/H306,0)*0.00502),"")</f>
        <v/>
      </c>
      <c r="AA306" s="56"/>
      <c r="AB306" s="57"/>
      <c r="AC306" s="359" t="s">
        <v>492</v>
      </c>
      <c r="AG306" s="64"/>
      <c r="AJ306" s="68" t="s">
        <v>93</v>
      </c>
      <c r="AK306" s="68">
        <v>37.799999999999997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4301031305</v>
      </c>
      <c r="D307" s="558">
        <v>4607091389845</v>
      </c>
      <c r="E307" s="559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500</v>
      </c>
      <c r="AG307" s="64"/>
      <c r="AJ307" s="68" t="s">
        <v>93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501</v>
      </c>
      <c r="B308" s="54" t="s">
        <v>502</v>
      </c>
      <c r="C308" s="31">
        <v>4301031066</v>
      </c>
      <c r="D308" s="558">
        <v>4607091383836</v>
      </c>
      <c r="E308" s="559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91</v>
      </c>
      <c r="M308" s="33" t="s">
        <v>68</v>
      </c>
      <c r="N308" s="33"/>
      <c r="O308" s="32">
        <v>40</v>
      </c>
      <c r="P308" s="70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IFERROR(IF(Y308=0,"",ROUNDUP(Y308/H308,0)*0.00651),"")</f>
        <v/>
      </c>
      <c r="AA308" s="56"/>
      <c r="AB308" s="57"/>
      <c r="AC308" s="363" t="s">
        <v>503</v>
      </c>
      <c r="AG308" s="64"/>
      <c r="AJ308" s="68" t="s">
        <v>93</v>
      </c>
      <c r="AK308" s="68">
        <v>25.2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x14ac:dyDescent="0.2">
      <c r="A309" s="567"/>
      <c r="B309" s="561"/>
      <c r="C309" s="561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8"/>
      <c r="P309" s="564" t="s">
        <v>75</v>
      </c>
      <c r="Q309" s="565"/>
      <c r="R309" s="565"/>
      <c r="S309" s="565"/>
      <c r="T309" s="565"/>
      <c r="U309" s="565"/>
      <c r="V309" s="566"/>
      <c r="W309" s="37" t="s">
        <v>76</v>
      </c>
      <c r="X309" s="549">
        <f>IFERROR(X303/H303,"0")+IFERROR(X304/H304,"0")+IFERROR(X305/H305,"0")+IFERROR(X306/H306,"0")+IFERROR(X307/H307,"0")+IFERROR(X308/H308,"0")</f>
        <v>0</v>
      </c>
      <c r="Y309" s="549">
        <f>IFERROR(Y303/H303,"0")+IFERROR(Y304/H304,"0")+IFERROR(Y305/H305,"0")+IFERROR(Y306/H306,"0")+IFERROR(Y307/H307,"0")+IFERROR(Y308/H308,"0")</f>
        <v>0</v>
      </c>
      <c r="Z309" s="549">
        <f>IFERROR(IF(Z303="",0,Z303),"0")+IFERROR(IF(Z304="",0,Z304),"0")+IFERROR(IF(Z305="",0,Z305),"0")+IFERROR(IF(Z306="",0,Z306),"0")+IFERROR(IF(Z307="",0,Z307),"0")+IFERROR(IF(Z308="",0,Z308),"0")</f>
        <v>0</v>
      </c>
      <c r="AA309" s="550"/>
      <c r="AB309" s="550"/>
      <c r="AC309" s="550"/>
    </row>
    <row r="310" spans="1:68" x14ac:dyDescent="0.2">
      <c r="A310" s="561"/>
      <c r="B310" s="561"/>
      <c r="C310" s="561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8"/>
      <c r="P310" s="564" t="s">
        <v>75</v>
      </c>
      <c r="Q310" s="565"/>
      <c r="R310" s="565"/>
      <c r="S310" s="565"/>
      <c r="T310" s="565"/>
      <c r="U310" s="565"/>
      <c r="V310" s="566"/>
      <c r="W310" s="37" t="s">
        <v>69</v>
      </c>
      <c r="X310" s="549">
        <f>IFERROR(SUM(X303:X308),"0")</f>
        <v>0</v>
      </c>
      <c r="Y310" s="549">
        <f>IFERROR(SUM(Y303:Y308),"0")</f>
        <v>0</v>
      </c>
      <c r="Z310" s="37"/>
      <c r="AA310" s="550"/>
      <c r="AB310" s="550"/>
      <c r="AC310" s="550"/>
    </row>
    <row r="311" spans="1:68" ht="14.25" customHeight="1" x14ac:dyDescent="0.25">
      <c r="A311" s="560" t="s">
        <v>77</v>
      </c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  <c r="Z311" s="561"/>
      <c r="AA311" s="543"/>
      <c r="AB311" s="543"/>
      <c r="AC311" s="543"/>
    </row>
    <row r="312" spans="1:68" ht="27" customHeight="1" x14ac:dyDescent="0.25">
      <c r="A312" s="54" t="s">
        <v>504</v>
      </c>
      <c r="B312" s="54" t="s">
        <v>505</v>
      </c>
      <c r="C312" s="31">
        <v>4301051100</v>
      </c>
      <c r="D312" s="558">
        <v>4607091387766</v>
      </c>
      <c r="E312" s="559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 t="s">
        <v>108</v>
      </c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52"/>
      <c r="R312" s="552"/>
      <c r="S312" s="552"/>
      <c r="T312" s="553"/>
      <c r="U312" s="34"/>
      <c r="V312" s="34"/>
      <c r="W312" s="35" t="s">
        <v>69</v>
      </c>
      <c r="X312" s="547">
        <v>1000</v>
      </c>
      <c r="Y312" s="548">
        <f>IFERROR(IF(X312="",0,CEILING((X312/$H312),1)*$H312),"")</f>
        <v>1006.1999999999999</v>
      </c>
      <c r="Z312" s="36">
        <f>IFERROR(IF(Y312=0,"",ROUNDUP(Y312/H312,0)*0.01898),"")</f>
        <v>2.44842</v>
      </c>
      <c r="AA312" s="56"/>
      <c r="AB312" s="57"/>
      <c r="AC312" s="365" t="s">
        <v>506</v>
      </c>
      <c r="AG312" s="64"/>
      <c r="AJ312" s="68" t="s">
        <v>93</v>
      </c>
      <c r="AK312" s="68">
        <v>62.4</v>
      </c>
      <c r="BB312" s="366" t="s">
        <v>1</v>
      </c>
      <c r="BM312" s="64">
        <f>IFERROR(X312*I312/H312,"0")</f>
        <v>1062.5641025641025</v>
      </c>
      <c r="BN312" s="64">
        <f>IFERROR(Y312*I312/H312,"0")</f>
        <v>1069.152</v>
      </c>
      <c r="BO312" s="64">
        <f>IFERROR(1/J312*(X312/H312),"0")</f>
        <v>2.0032051282051282</v>
      </c>
      <c r="BP312" s="64">
        <f>IFERROR(1/J312*(Y312/H312),"0")</f>
        <v>2.015625</v>
      </c>
    </row>
    <row r="313" spans="1:68" ht="27" customHeight="1" x14ac:dyDescent="0.25">
      <c r="A313" s="54" t="s">
        <v>507</v>
      </c>
      <c r="B313" s="54" t="s">
        <v>508</v>
      </c>
      <c r="C313" s="31">
        <v>4301051818</v>
      </c>
      <c r="D313" s="558">
        <v>4607091387957</v>
      </c>
      <c r="E313" s="559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4301051819</v>
      </c>
      <c r="D314" s="558">
        <v>4607091387964</v>
      </c>
      <c r="E314" s="559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80</v>
      </c>
      <c r="N314" s="33"/>
      <c r="O314" s="32">
        <v>40</v>
      </c>
      <c r="P314" s="7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513</v>
      </c>
      <c r="B315" s="54" t="s">
        <v>514</v>
      </c>
      <c r="C315" s="31">
        <v>4301051734</v>
      </c>
      <c r="D315" s="558">
        <v>4680115884588</v>
      </c>
      <c r="E315" s="559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 t="s">
        <v>91</v>
      </c>
      <c r="M315" s="33" t="s">
        <v>80</v>
      </c>
      <c r="N315" s="33"/>
      <c r="O315" s="32">
        <v>40</v>
      </c>
      <c r="P315" s="5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IFERROR(IF(Y315=0,"",ROUNDUP(Y315/H315,0)*0.00651),"")</f>
        <v/>
      </c>
      <c r="AA315" s="56"/>
      <c r="AB315" s="57"/>
      <c r="AC315" s="371" t="s">
        <v>515</v>
      </c>
      <c r="AG315" s="64"/>
      <c r="AJ315" s="68" t="s">
        <v>93</v>
      </c>
      <c r="AK315" s="68">
        <v>42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567"/>
      <c r="B316" s="561"/>
      <c r="C316" s="561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8"/>
      <c r="P316" s="564" t="s">
        <v>75</v>
      </c>
      <c r="Q316" s="565"/>
      <c r="R316" s="565"/>
      <c r="S316" s="565"/>
      <c r="T316" s="565"/>
      <c r="U316" s="565"/>
      <c r="V316" s="566"/>
      <c r="W316" s="37" t="s">
        <v>76</v>
      </c>
      <c r="X316" s="549">
        <f>IFERROR(X312/H312,"0")+IFERROR(X313/H313,"0")+IFERROR(X314/H314,"0")+IFERROR(X315/H315,"0")</f>
        <v>128.2051282051282</v>
      </c>
      <c r="Y316" s="549">
        <f>IFERROR(Y312/H312,"0")+IFERROR(Y313/H313,"0")+IFERROR(Y314/H314,"0")+IFERROR(Y315/H315,"0")</f>
        <v>129</v>
      </c>
      <c r="Z316" s="549">
        <f>IFERROR(IF(Z312="",0,Z312),"0")+IFERROR(IF(Z313="",0,Z313),"0")+IFERROR(IF(Z314="",0,Z314),"0")+IFERROR(IF(Z315="",0,Z315),"0")</f>
        <v>2.44842</v>
      </c>
      <c r="AA316" s="550"/>
      <c r="AB316" s="550"/>
      <c r="AC316" s="550"/>
    </row>
    <row r="317" spans="1:68" x14ac:dyDescent="0.2">
      <c r="A317" s="561"/>
      <c r="B317" s="561"/>
      <c r="C317" s="561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8"/>
      <c r="P317" s="564" t="s">
        <v>75</v>
      </c>
      <c r="Q317" s="565"/>
      <c r="R317" s="565"/>
      <c r="S317" s="565"/>
      <c r="T317" s="565"/>
      <c r="U317" s="565"/>
      <c r="V317" s="566"/>
      <c r="W317" s="37" t="s">
        <v>69</v>
      </c>
      <c r="X317" s="549">
        <f>IFERROR(SUM(X312:X315),"0")</f>
        <v>1000</v>
      </c>
      <c r="Y317" s="549">
        <f>IFERROR(SUM(Y312:Y315),"0")</f>
        <v>1006.1999999999999</v>
      </c>
      <c r="Z317" s="37"/>
      <c r="AA317" s="550"/>
      <c r="AB317" s="550"/>
      <c r="AC317" s="550"/>
    </row>
    <row r="318" spans="1:68" ht="14.25" customHeight="1" x14ac:dyDescent="0.25">
      <c r="A318" s="560" t="s">
        <v>167</v>
      </c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  <c r="Z318" s="561"/>
      <c r="AA318" s="543"/>
      <c r="AB318" s="543"/>
      <c r="AC318" s="543"/>
    </row>
    <row r="319" spans="1:68" ht="27" customHeight="1" x14ac:dyDescent="0.25">
      <c r="A319" s="54" t="s">
        <v>516</v>
      </c>
      <c r="B319" s="54" t="s">
        <v>517</v>
      </c>
      <c r="C319" s="31">
        <v>4301060387</v>
      </c>
      <c r="D319" s="558">
        <v>4607091380880</v>
      </c>
      <c r="E319" s="559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7">
        <v>0</v>
      </c>
      <c r="Y319" s="548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93</v>
      </c>
      <c r="AK319" s="68">
        <v>67.2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519</v>
      </c>
      <c r="B320" s="54" t="s">
        <v>520</v>
      </c>
      <c r="C320" s="31">
        <v>4301060406</v>
      </c>
      <c r="D320" s="558">
        <v>4607091384482</v>
      </c>
      <c r="E320" s="559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80</v>
      </c>
      <c r="N320" s="33"/>
      <c r="O320" s="32">
        <v>30</v>
      </c>
      <c r="P320" s="7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93</v>
      </c>
      <c r="AK320" s="68">
        <v>62.4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16.5" customHeight="1" x14ac:dyDescent="0.25">
      <c r="A321" s="54" t="s">
        <v>522</v>
      </c>
      <c r="B321" s="54" t="s">
        <v>523</v>
      </c>
      <c r="C321" s="31">
        <v>4301060484</v>
      </c>
      <c r="D321" s="558">
        <v>4607091380897</v>
      </c>
      <c r="E321" s="559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 t="s">
        <v>108</v>
      </c>
      <c r="M321" s="33" t="s">
        <v>87</v>
      </c>
      <c r="N321" s="33"/>
      <c r="O321" s="32">
        <v>30</v>
      </c>
      <c r="P321" s="79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524</v>
      </c>
      <c r="AG321" s="64"/>
      <c r="AJ321" s="68" t="s">
        <v>93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567"/>
      <c r="B322" s="561"/>
      <c r="C322" s="561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8"/>
      <c r="P322" s="564" t="s">
        <v>75</v>
      </c>
      <c r="Q322" s="565"/>
      <c r="R322" s="565"/>
      <c r="S322" s="565"/>
      <c r="T322" s="565"/>
      <c r="U322" s="565"/>
      <c r="V322" s="566"/>
      <c r="W322" s="37" t="s">
        <v>76</v>
      </c>
      <c r="X322" s="549">
        <f>IFERROR(X319/H319,"0")+IFERROR(X320/H320,"0")+IFERROR(X321/H321,"0")</f>
        <v>0</v>
      </c>
      <c r="Y322" s="549">
        <f>IFERROR(Y319/H319,"0")+IFERROR(Y320/H320,"0")+IFERROR(Y321/H321,"0")</f>
        <v>0</v>
      </c>
      <c r="Z322" s="549">
        <f>IFERROR(IF(Z319="",0,Z319),"0")+IFERROR(IF(Z320="",0,Z320),"0")+IFERROR(IF(Z321="",0,Z321),"0")</f>
        <v>0</v>
      </c>
      <c r="AA322" s="550"/>
      <c r="AB322" s="550"/>
      <c r="AC322" s="550"/>
    </row>
    <row r="323" spans="1:68" x14ac:dyDescent="0.2">
      <c r="A323" s="561"/>
      <c r="B323" s="561"/>
      <c r="C323" s="561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8"/>
      <c r="P323" s="564" t="s">
        <v>75</v>
      </c>
      <c r="Q323" s="565"/>
      <c r="R323" s="565"/>
      <c r="S323" s="565"/>
      <c r="T323" s="565"/>
      <c r="U323" s="565"/>
      <c r="V323" s="566"/>
      <c r="W323" s="37" t="s">
        <v>69</v>
      </c>
      <c r="X323" s="549">
        <f>IFERROR(SUM(X319:X321),"0")</f>
        <v>0</v>
      </c>
      <c r="Y323" s="549">
        <f>IFERROR(SUM(Y319:Y321),"0")</f>
        <v>0</v>
      </c>
      <c r="Z323" s="37"/>
      <c r="AA323" s="550"/>
      <c r="AB323" s="550"/>
      <c r="AC323" s="550"/>
    </row>
    <row r="324" spans="1:68" ht="14.25" customHeight="1" x14ac:dyDescent="0.25">
      <c r="A324" s="560" t="s">
        <v>96</v>
      </c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  <c r="Z324" s="561"/>
      <c r="AA324" s="543"/>
      <c r="AB324" s="543"/>
      <c r="AC324" s="543"/>
    </row>
    <row r="325" spans="1:68" ht="27" customHeight="1" x14ac:dyDescent="0.25">
      <c r="A325" s="54" t="s">
        <v>525</v>
      </c>
      <c r="B325" s="54" t="s">
        <v>526</v>
      </c>
      <c r="C325" s="31">
        <v>4301030235</v>
      </c>
      <c r="D325" s="558">
        <v>4607091388381</v>
      </c>
      <c r="E325" s="559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7">
        <v>0</v>
      </c>
      <c r="Y325" s="548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528</v>
      </c>
      <c r="B326" s="54" t="s">
        <v>529</v>
      </c>
      <c r="C326" s="31">
        <v>4301030232</v>
      </c>
      <c r="D326" s="558">
        <v>4607091388374</v>
      </c>
      <c r="E326" s="559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4301032015</v>
      </c>
      <c r="D327" s="558">
        <v>4607091383102</v>
      </c>
      <c r="E327" s="559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/>
      <c r="M327" s="33" t="s">
        <v>99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532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533</v>
      </c>
      <c r="B328" s="54" t="s">
        <v>534</v>
      </c>
      <c r="C328" s="31">
        <v>4301030233</v>
      </c>
      <c r="D328" s="558">
        <v>4607091388404</v>
      </c>
      <c r="E328" s="559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 t="s">
        <v>91</v>
      </c>
      <c r="M328" s="33" t="s">
        <v>99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527</v>
      </c>
      <c r="AG328" s="64"/>
      <c r="AJ328" s="68" t="s">
        <v>93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567"/>
      <c r="B329" s="561"/>
      <c r="C329" s="561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8"/>
      <c r="P329" s="564" t="s">
        <v>75</v>
      </c>
      <c r="Q329" s="565"/>
      <c r="R329" s="565"/>
      <c r="S329" s="565"/>
      <c r="T329" s="565"/>
      <c r="U329" s="565"/>
      <c r="V329" s="566"/>
      <c r="W329" s="37" t="s">
        <v>76</v>
      </c>
      <c r="X329" s="549">
        <f>IFERROR(X325/H325,"0")+IFERROR(X326/H326,"0")+IFERROR(X327/H327,"0")+IFERROR(X328/H328,"0")</f>
        <v>0</v>
      </c>
      <c r="Y329" s="549">
        <f>IFERROR(Y325/H325,"0")+IFERROR(Y326/H326,"0")+IFERROR(Y327/H327,"0")+IFERROR(Y328/H328,"0")</f>
        <v>0</v>
      </c>
      <c r="Z329" s="549">
        <f>IFERROR(IF(Z325="",0,Z325),"0")+IFERROR(IF(Z326="",0,Z326),"0")+IFERROR(IF(Z327="",0,Z327),"0")+IFERROR(IF(Z328="",0,Z328),"0")</f>
        <v>0</v>
      </c>
      <c r="AA329" s="550"/>
      <c r="AB329" s="550"/>
      <c r="AC329" s="550"/>
    </row>
    <row r="330" spans="1:68" x14ac:dyDescent="0.2">
      <c r="A330" s="561"/>
      <c r="B330" s="561"/>
      <c r="C330" s="561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8"/>
      <c r="P330" s="564" t="s">
        <v>75</v>
      </c>
      <c r="Q330" s="565"/>
      <c r="R330" s="565"/>
      <c r="S330" s="565"/>
      <c r="T330" s="565"/>
      <c r="U330" s="565"/>
      <c r="V330" s="566"/>
      <c r="W330" s="37" t="s">
        <v>69</v>
      </c>
      <c r="X330" s="549">
        <f>IFERROR(SUM(X325:X328),"0")</f>
        <v>0</v>
      </c>
      <c r="Y330" s="549">
        <f>IFERROR(SUM(Y325:Y328),"0")</f>
        <v>0</v>
      </c>
      <c r="Z330" s="37"/>
      <c r="AA330" s="550"/>
      <c r="AB330" s="550"/>
      <c r="AC330" s="550"/>
    </row>
    <row r="331" spans="1:68" ht="14.25" customHeight="1" x14ac:dyDescent="0.25">
      <c r="A331" s="560" t="s">
        <v>535</v>
      </c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  <c r="Z331" s="561"/>
      <c r="AA331" s="543"/>
      <c r="AB331" s="543"/>
      <c r="AC331" s="543"/>
    </row>
    <row r="332" spans="1:68" ht="16.5" customHeight="1" x14ac:dyDescent="0.25">
      <c r="A332" s="54" t="s">
        <v>536</v>
      </c>
      <c r="B332" s="54" t="s">
        <v>537</v>
      </c>
      <c r="C332" s="31">
        <v>4301180007</v>
      </c>
      <c r="D332" s="558">
        <v>4680115881808</v>
      </c>
      <c r="E332" s="559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7">
        <v>0</v>
      </c>
      <c r="Y332" s="548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540</v>
      </c>
      <c r="B333" s="54" t="s">
        <v>541</v>
      </c>
      <c r="C333" s="31">
        <v>4301180006</v>
      </c>
      <c r="D333" s="558">
        <v>4680115881822</v>
      </c>
      <c r="E333" s="559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542</v>
      </c>
      <c r="B334" s="54" t="s">
        <v>543</v>
      </c>
      <c r="C334" s="31">
        <v>4301180001</v>
      </c>
      <c r="D334" s="558">
        <v>4680115880016</v>
      </c>
      <c r="E334" s="559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0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x14ac:dyDescent="0.2">
      <c r="A335" s="567"/>
      <c r="B335" s="561"/>
      <c r="C335" s="561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8"/>
      <c r="P335" s="564" t="s">
        <v>75</v>
      </c>
      <c r="Q335" s="565"/>
      <c r="R335" s="565"/>
      <c r="S335" s="565"/>
      <c r="T335" s="565"/>
      <c r="U335" s="565"/>
      <c r="V335" s="566"/>
      <c r="W335" s="37" t="s">
        <v>76</v>
      </c>
      <c r="X335" s="549">
        <f>IFERROR(X332/H332,"0")+IFERROR(X333/H333,"0")+IFERROR(X334/H334,"0")</f>
        <v>0</v>
      </c>
      <c r="Y335" s="549">
        <f>IFERROR(Y332/H332,"0")+IFERROR(Y333/H333,"0")+IFERROR(Y334/H334,"0")</f>
        <v>0</v>
      </c>
      <c r="Z335" s="549">
        <f>IFERROR(IF(Z332="",0,Z332),"0")+IFERROR(IF(Z333="",0,Z333),"0")+IFERROR(IF(Z334="",0,Z334),"0")</f>
        <v>0</v>
      </c>
      <c r="AA335" s="550"/>
      <c r="AB335" s="550"/>
      <c r="AC335" s="550"/>
    </row>
    <row r="336" spans="1:68" x14ac:dyDescent="0.2">
      <c r="A336" s="561"/>
      <c r="B336" s="561"/>
      <c r="C336" s="561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8"/>
      <c r="P336" s="564" t="s">
        <v>75</v>
      </c>
      <c r="Q336" s="565"/>
      <c r="R336" s="565"/>
      <c r="S336" s="565"/>
      <c r="T336" s="565"/>
      <c r="U336" s="565"/>
      <c r="V336" s="566"/>
      <c r="W336" s="37" t="s">
        <v>69</v>
      </c>
      <c r="X336" s="549">
        <f>IFERROR(SUM(X332:X334),"0")</f>
        <v>0</v>
      </c>
      <c r="Y336" s="549">
        <f>IFERROR(SUM(Y332:Y334),"0")</f>
        <v>0</v>
      </c>
      <c r="Z336" s="37"/>
      <c r="AA336" s="550"/>
      <c r="AB336" s="550"/>
      <c r="AC336" s="550"/>
    </row>
    <row r="337" spans="1:68" ht="16.5" customHeight="1" x14ac:dyDescent="0.25">
      <c r="A337" s="569" t="s">
        <v>544</v>
      </c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  <c r="Z337" s="561"/>
      <c r="AA337" s="542"/>
      <c r="AB337" s="542"/>
      <c r="AC337" s="542"/>
    </row>
    <row r="338" spans="1:68" ht="14.25" customHeight="1" x14ac:dyDescent="0.25">
      <c r="A338" s="560" t="s">
        <v>77</v>
      </c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  <c r="Z338" s="561"/>
      <c r="AA338" s="543"/>
      <c r="AB338" s="543"/>
      <c r="AC338" s="543"/>
    </row>
    <row r="339" spans="1:68" ht="27" customHeight="1" x14ac:dyDescent="0.25">
      <c r="A339" s="54" t="s">
        <v>545</v>
      </c>
      <c r="B339" s="54" t="s">
        <v>546</v>
      </c>
      <c r="C339" s="31">
        <v>4301051489</v>
      </c>
      <c r="D339" s="558">
        <v>4607091387919</v>
      </c>
      <c r="E339" s="559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 t="s">
        <v>108</v>
      </c>
      <c r="M339" s="33" t="s">
        <v>87</v>
      </c>
      <c r="N339" s="33"/>
      <c r="O339" s="32">
        <v>45</v>
      </c>
      <c r="P339" s="6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52"/>
      <c r="R339" s="552"/>
      <c r="S339" s="552"/>
      <c r="T339" s="553"/>
      <c r="U339" s="34"/>
      <c r="V339" s="34"/>
      <c r="W339" s="35" t="s">
        <v>69</v>
      </c>
      <c r="X339" s="547">
        <v>0</v>
      </c>
      <c r="Y339" s="548">
        <f>IFERROR(IF(X339="",0,CEILING((X339/$H339),1)*$H339),"")</f>
        <v>0</v>
      </c>
      <c r="Z339" s="36" t="str">
        <f>IFERROR(IF(Y339=0,"",ROUNDUP(Y339/H339,0)*0.01898),"")</f>
        <v/>
      </c>
      <c r="AA339" s="56"/>
      <c r="AB339" s="57"/>
      <c r="AC339" s="393" t="s">
        <v>547</v>
      </c>
      <c r="AG339" s="64"/>
      <c r="AJ339" s="68" t="s">
        <v>93</v>
      </c>
      <c r="AK339" s="68">
        <v>64.8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4301051461</v>
      </c>
      <c r="D340" s="558">
        <v>4680115883604</v>
      </c>
      <c r="E340" s="559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91</v>
      </c>
      <c r="M340" s="33" t="s">
        <v>80</v>
      </c>
      <c r="N340" s="33"/>
      <c r="O340" s="32">
        <v>45</v>
      </c>
      <c r="P340" s="68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93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551</v>
      </c>
      <c r="B341" s="54" t="s">
        <v>552</v>
      </c>
      <c r="C341" s="31">
        <v>4301051864</v>
      </c>
      <c r="D341" s="558">
        <v>4680115883567</v>
      </c>
      <c r="E341" s="559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91</v>
      </c>
      <c r="M341" s="33" t="s">
        <v>87</v>
      </c>
      <c r="N341" s="33"/>
      <c r="O341" s="32">
        <v>40</v>
      </c>
      <c r="P341" s="80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553</v>
      </c>
      <c r="AG341" s="64"/>
      <c r="AJ341" s="68" t="s">
        <v>93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567"/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8"/>
      <c r="P342" s="564" t="s">
        <v>75</v>
      </c>
      <c r="Q342" s="565"/>
      <c r="R342" s="565"/>
      <c r="S342" s="565"/>
      <c r="T342" s="565"/>
      <c r="U342" s="565"/>
      <c r="V342" s="566"/>
      <c r="W342" s="37" t="s">
        <v>76</v>
      </c>
      <c r="X342" s="549">
        <f>IFERROR(X339/H339,"0")+IFERROR(X340/H340,"0")+IFERROR(X341/H341,"0")</f>
        <v>0</v>
      </c>
      <c r="Y342" s="549">
        <f>IFERROR(Y339/H339,"0")+IFERROR(Y340/H340,"0")+IFERROR(Y341/H341,"0")</f>
        <v>0</v>
      </c>
      <c r="Z342" s="549">
        <f>IFERROR(IF(Z339="",0,Z339),"0")+IFERROR(IF(Z340="",0,Z340),"0")+IFERROR(IF(Z341="",0,Z341),"0")</f>
        <v>0</v>
      </c>
      <c r="AA342" s="550"/>
      <c r="AB342" s="550"/>
      <c r="AC342" s="550"/>
    </row>
    <row r="343" spans="1:68" x14ac:dyDescent="0.2">
      <c r="A343" s="561"/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8"/>
      <c r="P343" s="564" t="s">
        <v>75</v>
      </c>
      <c r="Q343" s="565"/>
      <c r="R343" s="565"/>
      <c r="S343" s="565"/>
      <c r="T343" s="565"/>
      <c r="U343" s="565"/>
      <c r="V343" s="566"/>
      <c r="W343" s="37" t="s">
        <v>69</v>
      </c>
      <c r="X343" s="549">
        <f>IFERROR(SUM(X339:X341),"0")</f>
        <v>0</v>
      </c>
      <c r="Y343" s="549">
        <f>IFERROR(SUM(Y339:Y341),"0")</f>
        <v>0</v>
      </c>
      <c r="Z343" s="37"/>
      <c r="AA343" s="550"/>
      <c r="AB343" s="550"/>
      <c r="AC343" s="550"/>
    </row>
    <row r="344" spans="1:68" ht="27.75" customHeight="1" x14ac:dyDescent="0.2">
      <c r="A344" s="630" t="s">
        <v>554</v>
      </c>
      <c r="B344" s="631"/>
      <c r="C344" s="631"/>
      <c r="D344" s="631"/>
      <c r="E344" s="631"/>
      <c r="F344" s="631"/>
      <c r="G344" s="631"/>
      <c r="H344" s="631"/>
      <c r="I344" s="631"/>
      <c r="J344" s="631"/>
      <c r="K344" s="631"/>
      <c r="L344" s="631"/>
      <c r="M344" s="631"/>
      <c r="N344" s="631"/>
      <c r="O344" s="631"/>
      <c r="P344" s="631"/>
      <c r="Q344" s="631"/>
      <c r="R344" s="631"/>
      <c r="S344" s="631"/>
      <c r="T344" s="631"/>
      <c r="U344" s="631"/>
      <c r="V344" s="631"/>
      <c r="W344" s="631"/>
      <c r="X344" s="631"/>
      <c r="Y344" s="631"/>
      <c r="Z344" s="631"/>
      <c r="AA344" s="48"/>
      <c r="AB344" s="48"/>
      <c r="AC344" s="48"/>
    </row>
    <row r="345" spans="1:68" ht="16.5" customHeight="1" x14ac:dyDescent="0.25">
      <c r="A345" s="569" t="s">
        <v>555</v>
      </c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  <c r="Z345" s="561"/>
      <c r="AA345" s="542"/>
      <c r="AB345" s="542"/>
      <c r="AC345" s="542"/>
    </row>
    <row r="346" spans="1:68" ht="14.25" customHeight="1" x14ac:dyDescent="0.25">
      <c r="A346" s="560" t="s">
        <v>104</v>
      </c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  <c r="Z346" s="561"/>
      <c r="AA346" s="543"/>
      <c r="AB346" s="543"/>
      <c r="AC346" s="543"/>
    </row>
    <row r="347" spans="1:68" ht="37.5" customHeight="1" x14ac:dyDescent="0.25">
      <c r="A347" s="54" t="s">
        <v>556</v>
      </c>
      <c r="B347" s="54" t="s">
        <v>557</v>
      </c>
      <c r="C347" s="31">
        <v>4301011869</v>
      </c>
      <c r="D347" s="558">
        <v>4680115884847</v>
      </c>
      <c r="E347" s="559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/>
      <c r="M347" s="33" t="s">
        <v>68</v>
      </c>
      <c r="N347" s="33"/>
      <c r="O347" s="32">
        <v>60</v>
      </c>
      <c r="P347" s="82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52"/>
      <c r="R347" s="552"/>
      <c r="S347" s="552"/>
      <c r="T347" s="553"/>
      <c r="U347" s="34"/>
      <c r="V347" s="34"/>
      <c r="W347" s="35" t="s">
        <v>69</v>
      </c>
      <c r="X347" s="547">
        <v>0</v>
      </c>
      <c r="Y347" s="548">
        <f t="shared" ref="Y347:Y353" si="36">IFERROR(IF(X347="",0,CEILING((X347/$H347),1)*$H347),"")</f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ref="BM347:BM353" si="37">IFERROR(X347*I347/H347,"0")</f>
        <v>0</v>
      </c>
      <c r="BN347" s="64">
        <f t="shared" ref="BN347:BN353" si="38">IFERROR(Y347*I347/H347,"0")</f>
        <v>0</v>
      </c>
      <c r="BO347" s="64">
        <f t="shared" ref="BO347:BO353" si="39">IFERROR(1/J347*(X347/H347),"0")</f>
        <v>0</v>
      </c>
      <c r="BP347" s="64">
        <f t="shared" ref="BP347:BP353" si="40">IFERROR(1/J347*(Y347/H347),"0")</f>
        <v>0</v>
      </c>
    </row>
    <row r="348" spans="1:68" ht="27" customHeight="1" x14ac:dyDescent="0.25">
      <c r="A348" s="54" t="s">
        <v>559</v>
      </c>
      <c r="B348" s="54" t="s">
        <v>560</v>
      </c>
      <c r="C348" s="31">
        <v>4301011870</v>
      </c>
      <c r="D348" s="558">
        <v>4680115884854</v>
      </c>
      <c r="E348" s="559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/>
      <c r="M348" s="33" t="s">
        <v>68</v>
      </c>
      <c r="N348" s="33"/>
      <c r="O348" s="32">
        <v>60</v>
      </c>
      <c r="P348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0</v>
      </c>
      <c r="Y348" s="548">
        <f t="shared" si="36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58">
        <v>4680115884830</v>
      </c>
      <c r="E349" s="559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/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0</v>
      </c>
      <c r="Y349" s="548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4301012215</v>
      </c>
      <c r="D350" s="558">
        <v>4680115887046</v>
      </c>
      <c r="E350" s="559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87</v>
      </c>
      <c r="N350" s="33"/>
      <c r="O350" s="32">
        <v>60</v>
      </c>
      <c r="P350" s="65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4301011433</v>
      </c>
      <c r="D351" s="558">
        <v>4680115882638</v>
      </c>
      <c r="E351" s="559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6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571</v>
      </c>
      <c r="B352" s="54" t="s">
        <v>572</v>
      </c>
      <c r="C352" s="31">
        <v>4301011952</v>
      </c>
      <c r="D352" s="558">
        <v>4680115884922</v>
      </c>
      <c r="E352" s="559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573</v>
      </c>
      <c r="B353" s="54" t="s">
        <v>574</v>
      </c>
      <c r="C353" s="31">
        <v>4301011868</v>
      </c>
      <c r="D353" s="558">
        <v>4680115884861</v>
      </c>
      <c r="E353" s="559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 t="s">
        <v>116</v>
      </c>
      <c r="M353" s="33" t="s">
        <v>68</v>
      </c>
      <c r="N353" s="33"/>
      <c r="O353" s="32">
        <v>60</v>
      </c>
      <c r="P353" s="69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564</v>
      </c>
      <c r="AG353" s="64"/>
      <c r="AJ353" s="68" t="s">
        <v>93</v>
      </c>
      <c r="AK353" s="68">
        <v>60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x14ac:dyDescent="0.2">
      <c r="A354" s="567"/>
      <c r="B354" s="561"/>
      <c r="C354" s="561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8"/>
      <c r="P354" s="564" t="s">
        <v>75</v>
      </c>
      <c r="Q354" s="565"/>
      <c r="R354" s="565"/>
      <c r="S354" s="565"/>
      <c r="T354" s="565"/>
      <c r="U354" s="565"/>
      <c r="V354" s="566"/>
      <c r="W354" s="37" t="s">
        <v>76</v>
      </c>
      <c r="X354" s="549">
        <f>IFERROR(X347/H347,"0")+IFERROR(X348/H348,"0")+IFERROR(X349/H349,"0")+IFERROR(X350/H350,"0")+IFERROR(X351/H351,"0")+IFERROR(X352/H352,"0")+IFERROR(X353/H353,"0")</f>
        <v>0</v>
      </c>
      <c r="Y354" s="549">
        <f>IFERROR(Y347/H347,"0")+IFERROR(Y348/H348,"0")+IFERROR(Y349/H349,"0")+IFERROR(Y350/H350,"0")+IFERROR(Y351/H351,"0")+IFERROR(Y352/H352,"0")+IFERROR(Y353/H353,"0")</f>
        <v>0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0</v>
      </c>
      <c r="AA354" s="550"/>
      <c r="AB354" s="550"/>
      <c r="AC354" s="550"/>
    </row>
    <row r="355" spans="1:68" x14ac:dyDescent="0.2">
      <c r="A355" s="561"/>
      <c r="B355" s="561"/>
      <c r="C355" s="561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8"/>
      <c r="P355" s="564" t="s">
        <v>75</v>
      </c>
      <c r="Q355" s="565"/>
      <c r="R355" s="565"/>
      <c r="S355" s="565"/>
      <c r="T355" s="565"/>
      <c r="U355" s="565"/>
      <c r="V355" s="566"/>
      <c r="W355" s="37" t="s">
        <v>69</v>
      </c>
      <c r="X355" s="549">
        <f>IFERROR(SUM(X347:X353),"0")</f>
        <v>0</v>
      </c>
      <c r="Y355" s="549">
        <f>IFERROR(SUM(Y347:Y353),"0")</f>
        <v>0</v>
      </c>
      <c r="Z355" s="37"/>
      <c r="AA355" s="550"/>
      <c r="AB355" s="550"/>
      <c r="AC355" s="550"/>
    </row>
    <row r="356" spans="1:68" ht="14.25" customHeight="1" x14ac:dyDescent="0.25">
      <c r="A356" s="560" t="s">
        <v>139</v>
      </c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  <c r="Z356" s="561"/>
      <c r="AA356" s="543"/>
      <c r="AB356" s="543"/>
      <c r="AC356" s="543"/>
    </row>
    <row r="357" spans="1:68" ht="27" customHeight="1" x14ac:dyDescent="0.25">
      <c r="A357" s="54" t="s">
        <v>575</v>
      </c>
      <c r="B357" s="54" t="s">
        <v>576</v>
      </c>
      <c r="C357" s="31">
        <v>4301020178</v>
      </c>
      <c r="D357" s="558">
        <v>4607091383980</v>
      </c>
      <c r="E357" s="559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/>
      <c r="M357" s="33" t="s">
        <v>109</v>
      </c>
      <c r="N357" s="33"/>
      <c r="O357" s="32">
        <v>50</v>
      </c>
      <c r="P357" s="8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52"/>
      <c r="R357" s="552"/>
      <c r="S357" s="552"/>
      <c r="T357" s="553"/>
      <c r="U357" s="34"/>
      <c r="V357" s="34"/>
      <c r="W357" s="35" t="s">
        <v>69</v>
      </c>
      <c r="X357" s="547">
        <v>0</v>
      </c>
      <c r="Y357" s="548">
        <f>IFERROR(IF(X357="",0,CEILING((X357/$H357),1)*$H357),"")</f>
        <v>0</v>
      </c>
      <c r="Z357" s="36" t="str">
        <f>IFERROR(IF(Y357=0,"",ROUNDUP(Y357/H357,0)*0.02175),"")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578</v>
      </c>
      <c r="B358" s="54" t="s">
        <v>579</v>
      </c>
      <c r="C358" s="31">
        <v>4301020179</v>
      </c>
      <c r="D358" s="558">
        <v>4607091384178</v>
      </c>
      <c r="E358" s="559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61"/>
      <c r="C359" s="561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8"/>
      <c r="P359" s="564" t="s">
        <v>75</v>
      </c>
      <c r="Q359" s="565"/>
      <c r="R359" s="565"/>
      <c r="S359" s="565"/>
      <c r="T359" s="565"/>
      <c r="U359" s="565"/>
      <c r="V359" s="566"/>
      <c r="W359" s="37" t="s">
        <v>76</v>
      </c>
      <c r="X359" s="549">
        <f>IFERROR(X357/H357,"0")+IFERROR(X358/H358,"0")</f>
        <v>0</v>
      </c>
      <c r="Y359" s="549">
        <f>IFERROR(Y357/H357,"0")+IFERROR(Y358/H358,"0")</f>
        <v>0</v>
      </c>
      <c r="Z359" s="549">
        <f>IFERROR(IF(Z357="",0,Z357),"0")+IFERROR(IF(Z358="",0,Z358),"0")</f>
        <v>0</v>
      </c>
      <c r="AA359" s="550"/>
      <c r="AB359" s="550"/>
      <c r="AC359" s="550"/>
    </row>
    <row r="360" spans="1:68" x14ac:dyDescent="0.2">
      <c r="A360" s="561"/>
      <c r="B360" s="561"/>
      <c r="C360" s="561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8"/>
      <c r="P360" s="564" t="s">
        <v>75</v>
      </c>
      <c r="Q360" s="565"/>
      <c r="R360" s="565"/>
      <c r="S360" s="565"/>
      <c r="T360" s="565"/>
      <c r="U360" s="565"/>
      <c r="V360" s="566"/>
      <c r="W360" s="37" t="s">
        <v>69</v>
      </c>
      <c r="X360" s="549">
        <f>IFERROR(SUM(X357:X358),"0")</f>
        <v>0</v>
      </c>
      <c r="Y360" s="549">
        <f>IFERROR(SUM(Y357:Y358),"0")</f>
        <v>0</v>
      </c>
      <c r="Z360" s="37"/>
      <c r="AA360" s="550"/>
      <c r="AB360" s="550"/>
      <c r="AC360" s="550"/>
    </row>
    <row r="361" spans="1:68" ht="14.25" customHeight="1" x14ac:dyDescent="0.25">
      <c r="A361" s="560" t="s">
        <v>77</v>
      </c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  <c r="Z361" s="561"/>
      <c r="AA361" s="543"/>
      <c r="AB361" s="543"/>
      <c r="AC361" s="543"/>
    </row>
    <row r="362" spans="1:68" ht="27" customHeight="1" x14ac:dyDescent="0.25">
      <c r="A362" s="54" t="s">
        <v>581</v>
      </c>
      <c r="B362" s="54" t="s">
        <v>582</v>
      </c>
      <c r="C362" s="31">
        <v>4301051903</v>
      </c>
      <c r="D362" s="558">
        <v>4607091383928</v>
      </c>
      <c r="E362" s="559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 t="s">
        <v>108</v>
      </c>
      <c r="M362" s="33" t="s">
        <v>80</v>
      </c>
      <c r="N362" s="33"/>
      <c r="O362" s="32">
        <v>40</v>
      </c>
      <c r="P362" s="82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7">
        <v>0</v>
      </c>
      <c r="Y362" s="548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93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584</v>
      </c>
      <c r="B363" s="54" t="s">
        <v>585</v>
      </c>
      <c r="C363" s="31">
        <v>4301051897</v>
      </c>
      <c r="D363" s="558">
        <v>4607091384260</v>
      </c>
      <c r="E363" s="559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 t="s">
        <v>108</v>
      </c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586</v>
      </c>
      <c r="AG363" s="64"/>
      <c r="AJ363" s="68" t="s">
        <v>93</v>
      </c>
      <c r="AK363" s="68">
        <v>72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67"/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8"/>
      <c r="P364" s="564" t="s">
        <v>75</v>
      </c>
      <c r="Q364" s="565"/>
      <c r="R364" s="565"/>
      <c r="S364" s="565"/>
      <c r="T364" s="565"/>
      <c r="U364" s="565"/>
      <c r="V364" s="566"/>
      <c r="W364" s="37" t="s">
        <v>76</v>
      </c>
      <c r="X364" s="549">
        <f>IFERROR(X362/H362,"0")+IFERROR(X363/H363,"0")</f>
        <v>0</v>
      </c>
      <c r="Y364" s="549">
        <f>IFERROR(Y362/H362,"0")+IFERROR(Y363/H363,"0")</f>
        <v>0</v>
      </c>
      <c r="Z364" s="549">
        <f>IFERROR(IF(Z362="",0,Z362),"0")+IFERROR(IF(Z363="",0,Z363),"0")</f>
        <v>0</v>
      </c>
      <c r="AA364" s="550"/>
      <c r="AB364" s="550"/>
      <c r="AC364" s="550"/>
    </row>
    <row r="365" spans="1:68" x14ac:dyDescent="0.2">
      <c r="A365" s="561"/>
      <c r="B365" s="561"/>
      <c r="C365" s="561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8"/>
      <c r="P365" s="564" t="s">
        <v>75</v>
      </c>
      <c r="Q365" s="565"/>
      <c r="R365" s="565"/>
      <c r="S365" s="565"/>
      <c r="T365" s="565"/>
      <c r="U365" s="565"/>
      <c r="V365" s="566"/>
      <c r="W365" s="37" t="s">
        <v>69</v>
      </c>
      <c r="X365" s="549">
        <f>IFERROR(SUM(X362:X363),"0")</f>
        <v>0</v>
      </c>
      <c r="Y365" s="549">
        <f>IFERROR(SUM(Y362:Y363),"0")</f>
        <v>0</v>
      </c>
      <c r="Z365" s="37"/>
      <c r="AA365" s="550"/>
      <c r="AB365" s="550"/>
      <c r="AC365" s="550"/>
    </row>
    <row r="366" spans="1:68" ht="14.25" customHeight="1" x14ac:dyDescent="0.25">
      <c r="A366" s="560" t="s">
        <v>167</v>
      </c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  <c r="Z366" s="561"/>
      <c r="AA366" s="543"/>
      <c r="AB366" s="543"/>
      <c r="AC366" s="543"/>
    </row>
    <row r="367" spans="1:68" ht="16.5" customHeight="1" x14ac:dyDescent="0.25">
      <c r="A367" s="54" t="s">
        <v>587</v>
      </c>
      <c r="B367" s="54" t="s">
        <v>588</v>
      </c>
      <c r="C367" s="31">
        <v>4301060524</v>
      </c>
      <c r="D367" s="558">
        <v>4607091384673</v>
      </c>
      <c r="E367" s="559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80</v>
      </c>
      <c r="N367" s="33"/>
      <c r="O367" s="32">
        <v>40</v>
      </c>
      <c r="P367" s="83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52"/>
      <c r="R367" s="552"/>
      <c r="S367" s="552"/>
      <c r="T367" s="553"/>
      <c r="U367" s="34"/>
      <c r="V367" s="34"/>
      <c r="W367" s="35" t="s">
        <v>69</v>
      </c>
      <c r="X367" s="547">
        <v>0</v>
      </c>
      <c r="Y367" s="54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67"/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8"/>
      <c r="P368" s="564" t="s">
        <v>75</v>
      </c>
      <c r="Q368" s="565"/>
      <c r="R368" s="565"/>
      <c r="S368" s="565"/>
      <c r="T368" s="565"/>
      <c r="U368" s="565"/>
      <c r="V368" s="566"/>
      <c r="W368" s="37" t="s">
        <v>76</v>
      </c>
      <c r="X368" s="549">
        <f>IFERROR(X367/H367,"0")</f>
        <v>0</v>
      </c>
      <c r="Y368" s="549">
        <f>IFERROR(Y367/H367,"0")</f>
        <v>0</v>
      </c>
      <c r="Z368" s="549">
        <f>IFERROR(IF(Z367="",0,Z367),"0")</f>
        <v>0</v>
      </c>
      <c r="AA368" s="550"/>
      <c r="AB368" s="550"/>
      <c r="AC368" s="550"/>
    </row>
    <row r="369" spans="1:68" x14ac:dyDescent="0.2">
      <c r="A369" s="561"/>
      <c r="B369" s="561"/>
      <c r="C369" s="561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8"/>
      <c r="P369" s="564" t="s">
        <v>75</v>
      </c>
      <c r="Q369" s="565"/>
      <c r="R369" s="565"/>
      <c r="S369" s="565"/>
      <c r="T369" s="565"/>
      <c r="U369" s="565"/>
      <c r="V369" s="566"/>
      <c r="W369" s="37" t="s">
        <v>69</v>
      </c>
      <c r="X369" s="549">
        <f>IFERROR(SUM(X367:X367),"0")</f>
        <v>0</v>
      </c>
      <c r="Y369" s="549">
        <f>IFERROR(SUM(Y367:Y367),"0")</f>
        <v>0</v>
      </c>
      <c r="Z369" s="37"/>
      <c r="AA369" s="550"/>
      <c r="AB369" s="550"/>
      <c r="AC369" s="550"/>
    </row>
    <row r="370" spans="1:68" ht="16.5" customHeight="1" x14ac:dyDescent="0.25">
      <c r="A370" s="569" t="s">
        <v>590</v>
      </c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  <c r="Z370" s="561"/>
      <c r="AA370" s="542"/>
      <c r="AB370" s="542"/>
      <c r="AC370" s="542"/>
    </row>
    <row r="371" spans="1:68" ht="14.25" customHeight="1" x14ac:dyDescent="0.25">
      <c r="A371" s="560" t="s">
        <v>104</v>
      </c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  <c r="Z371" s="561"/>
      <c r="AA371" s="543"/>
      <c r="AB371" s="543"/>
      <c r="AC371" s="543"/>
    </row>
    <row r="372" spans="1:68" ht="37.5" customHeight="1" x14ac:dyDescent="0.25">
      <c r="A372" s="54" t="s">
        <v>591</v>
      </c>
      <c r="B372" s="54" t="s">
        <v>592</v>
      </c>
      <c r="C372" s="31">
        <v>4301011875</v>
      </c>
      <c r="D372" s="558">
        <v>4680115884885</v>
      </c>
      <c r="E372" s="559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 t="s">
        <v>108</v>
      </c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7">
        <v>0</v>
      </c>
      <c r="Y372" s="548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23" t="s">
        <v>593</v>
      </c>
      <c r="AG372" s="64"/>
      <c r="AJ372" s="68" t="s">
        <v>93</v>
      </c>
      <c r="AK372" s="68">
        <v>96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37.5" customHeight="1" x14ac:dyDescent="0.25">
      <c r="A373" s="54" t="s">
        <v>594</v>
      </c>
      <c r="B373" s="54" t="s">
        <v>595</v>
      </c>
      <c r="C373" s="31">
        <v>4301011871</v>
      </c>
      <c r="D373" s="558">
        <v>4680115884908</v>
      </c>
      <c r="E373" s="559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 t="s">
        <v>116</v>
      </c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 t="s">
        <v>93</v>
      </c>
      <c r="AK373" s="68">
        <v>48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61"/>
      <c r="C374" s="561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8"/>
      <c r="P374" s="564" t="s">
        <v>75</v>
      </c>
      <c r="Q374" s="565"/>
      <c r="R374" s="565"/>
      <c r="S374" s="565"/>
      <c r="T374" s="565"/>
      <c r="U374" s="565"/>
      <c r="V374" s="566"/>
      <c r="W374" s="37" t="s">
        <v>76</v>
      </c>
      <c r="X374" s="549">
        <f>IFERROR(X372/H372,"0")+IFERROR(X373/H373,"0")</f>
        <v>0</v>
      </c>
      <c r="Y374" s="549">
        <f>IFERROR(Y372/H372,"0")+IFERROR(Y373/H373,"0")</f>
        <v>0</v>
      </c>
      <c r="Z374" s="549">
        <f>IFERROR(IF(Z372="",0,Z372),"0")+IFERROR(IF(Z373="",0,Z373),"0")</f>
        <v>0</v>
      </c>
      <c r="AA374" s="550"/>
      <c r="AB374" s="550"/>
      <c r="AC374" s="550"/>
    </row>
    <row r="375" spans="1:68" x14ac:dyDescent="0.2">
      <c r="A375" s="561"/>
      <c r="B375" s="561"/>
      <c r="C375" s="561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8"/>
      <c r="P375" s="564" t="s">
        <v>75</v>
      </c>
      <c r="Q375" s="565"/>
      <c r="R375" s="565"/>
      <c r="S375" s="565"/>
      <c r="T375" s="565"/>
      <c r="U375" s="565"/>
      <c r="V375" s="566"/>
      <c r="W375" s="37" t="s">
        <v>69</v>
      </c>
      <c r="X375" s="549">
        <f>IFERROR(SUM(X372:X373),"0")</f>
        <v>0</v>
      </c>
      <c r="Y375" s="549">
        <f>IFERROR(SUM(Y372:Y373),"0")</f>
        <v>0</v>
      </c>
      <c r="Z375" s="37"/>
      <c r="AA375" s="550"/>
      <c r="AB375" s="550"/>
      <c r="AC375" s="550"/>
    </row>
    <row r="376" spans="1:68" ht="14.25" customHeight="1" x14ac:dyDescent="0.25">
      <c r="A376" s="560" t="s">
        <v>64</v>
      </c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  <c r="Z376" s="561"/>
      <c r="AA376" s="543"/>
      <c r="AB376" s="543"/>
      <c r="AC376" s="543"/>
    </row>
    <row r="377" spans="1:68" ht="27" customHeight="1" x14ac:dyDescent="0.25">
      <c r="A377" s="54" t="s">
        <v>596</v>
      </c>
      <c r="B377" s="54" t="s">
        <v>597</v>
      </c>
      <c r="C377" s="31">
        <v>4301031303</v>
      </c>
      <c r="D377" s="558">
        <v>4607091384802</v>
      </c>
      <c r="E377" s="559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 t="s">
        <v>116</v>
      </c>
      <c r="M377" s="33" t="s">
        <v>68</v>
      </c>
      <c r="N377" s="33"/>
      <c r="O377" s="32">
        <v>35</v>
      </c>
      <c r="P377" s="73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2"/>
      <c r="R377" s="552"/>
      <c r="S377" s="552"/>
      <c r="T377" s="553"/>
      <c r="U377" s="34"/>
      <c r="V377" s="34"/>
      <c r="W377" s="35" t="s">
        <v>69</v>
      </c>
      <c r="X377" s="547">
        <v>0</v>
      </c>
      <c r="Y377" s="548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598</v>
      </c>
      <c r="AG377" s="64"/>
      <c r="AJ377" s="68" t="s">
        <v>93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596</v>
      </c>
      <c r="B378" s="54" t="s">
        <v>599</v>
      </c>
      <c r="C378" s="31">
        <v>4301031457</v>
      </c>
      <c r="D378" s="558">
        <v>4607091384802</v>
      </c>
      <c r="E378" s="559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6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61"/>
      <c r="C379" s="561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8"/>
      <c r="P379" s="564" t="s">
        <v>75</v>
      </c>
      <c r="Q379" s="565"/>
      <c r="R379" s="565"/>
      <c r="S379" s="565"/>
      <c r="T379" s="565"/>
      <c r="U379" s="565"/>
      <c r="V379" s="566"/>
      <c r="W379" s="37" t="s">
        <v>76</v>
      </c>
      <c r="X379" s="549">
        <f>IFERROR(X377/H377,"0")+IFERROR(X378/H378,"0")</f>
        <v>0</v>
      </c>
      <c r="Y379" s="549">
        <f>IFERROR(Y377/H377,"0")+IFERROR(Y378/H378,"0")</f>
        <v>0</v>
      </c>
      <c r="Z379" s="549">
        <f>IFERROR(IF(Z377="",0,Z377),"0")+IFERROR(IF(Z378="",0,Z378),"0")</f>
        <v>0</v>
      </c>
      <c r="AA379" s="550"/>
      <c r="AB379" s="550"/>
      <c r="AC379" s="550"/>
    </row>
    <row r="380" spans="1:68" x14ac:dyDescent="0.2">
      <c r="A380" s="561"/>
      <c r="B380" s="561"/>
      <c r="C380" s="561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8"/>
      <c r="P380" s="564" t="s">
        <v>75</v>
      </c>
      <c r="Q380" s="565"/>
      <c r="R380" s="565"/>
      <c r="S380" s="565"/>
      <c r="T380" s="565"/>
      <c r="U380" s="565"/>
      <c r="V380" s="566"/>
      <c r="W380" s="37" t="s">
        <v>69</v>
      </c>
      <c r="X380" s="549">
        <f>IFERROR(SUM(X377:X378),"0")</f>
        <v>0</v>
      </c>
      <c r="Y380" s="549">
        <f>IFERROR(SUM(Y377:Y378),"0")</f>
        <v>0</v>
      </c>
      <c r="Z380" s="37"/>
      <c r="AA380" s="550"/>
      <c r="AB380" s="550"/>
      <c r="AC380" s="550"/>
    </row>
    <row r="381" spans="1:68" ht="14.25" customHeight="1" x14ac:dyDescent="0.25">
      <c r="A381" s="560" t="s">
        <v>77</v>
      </c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  <c r="Z381" s="561"/>
      <c r="AA381" s="543"/>
      <c r="AB381" s="543"/>
      <c r="AC381" s="543"/>
    </row>
    <row r="382" spans="1:68" ht="27" customHeight="1" x14ac:dyDescent="0.25">
      <c r="A382" s="54" t="s">
        <v>601</v>
      </c>
      <c r="B382" s="54" t="s">
        <v>602</v>
      </c>
      <c r="C382" s="31">
        <v>4301051899</v>
      </c>
      <c r="D382" s="558">
        <v>4607091384246</v>
      </c>
      <c r="E382" s="559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 t="s">
        <v>108</v>
      </c>
      <c r="M382" s="33" t="s">
        <v>80</v>
      </c>
      <c r="N382" s="33"/>
      <c r="O382" s="32">
        <v>40</v>
      </c>
      <c r="P382" s="6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7">
        <v>0</v>
      </c>
      <c r="Y382" s="54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31" t="s">
        <v>603</v>
      </c>
      <c r="AG382" s="64"/>
      <c r="AJ382" s="68" t="s">
        <v>93</v>
      </c>
      <c r="AK382" s="68">
        <v>72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604</v>
      </c>
      <c r="B383" s="54" t="s">
        <v>605</v>
      </c>
      <c r="C383" s="31">
        <v>4301051660</v>
      </c>
      <c r="D383" s="558">
        <v>4607091384253</v>
      </c>
      <c r="E383" s="559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 t="s">
        <v>91</v>
      </c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 t="s">
        <v>93</v>
      </c>
      <c r="AK383" s="68">
        <v>33.6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604</v>
      </c>
      <c r="B384" s="54" t="s">
        <v>606</v>
      </c>
      <c r="C384" s="31">
        <v>4301052069</v>
      </c>
      <c r="D384" s="558">
        <v>4607091384253</v>
      </c>
      <c r="E384" s="559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567"/>
      <c r="B385" s="561"/>
      <c r="C385" s="561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8"/>
      <c r="P385" s="564" t="s">
        <v>75</v>
      </c>
      <c r="Q385" s="565"/>
      <c r="R385" s="565"/>
      <c r="S385" s="565"/>
      <c r="T385" s="565"/>
      <c r="U385" s="565"/>
      <c r="V385" s="566"/>
      <c r="W385" s="37" t="s">
        <v>76</v>
      </c>
      <c r="X385" s="549">
        <f>IFERROR(X382/H382,"0")+IFERROR(X383/H383,"0")+IFERROR(X384/H384,"0")</f>
        <v>0</v>
      </c>
      <c r="Y385" s="549">
        <f>IFERROR(Y382/H382,"0")+IFERROR(Y383/H383,"0")+IFERROR(Y384/H384,"0")</f>
        <v>0</v>
      </c>
      <c r="Z385" s="549">
        <f>IFERROR(IF(Z382="",0,Z382),"0")+IFERROR(IF(Z383="",0,Z383),"0")+IFERROR(IF(Z384="",0,Z384),"0")</f>
        <v>0</v>
      </c>
      <c r="AA385" s="550"/>
      <c r="AB385" s="550"/>
      <c r="AC385" s="550"/>
    </row>
    <row r="386" spans="1:68" x14ac:dyDescent="0.2">
      <c r="A386" s="561"/>
      <c r="B386" s="561"/>
      <c r="C386" s="561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8"/>
      <c r="P386" s="564" t="s">
        <v>75</v>
      </c>
      <c r="Q386" s="565"/>
      <c r="R386" s="565"/>
      <c r="S386" s="565"/>
      <c r="T386" s="565"/>
      <c r="U386" s="565"/>
      <c r="V386" s="566"/>
      <c r="W386" s="37" t="s">
        <v>69</v>
      </c>
      <c r="X386" s="549">
        <f>IFERROR(SUM(X382:X384),"0")</f>
        <v>0</v>
      </c>
      <c r="Y386" s="549">
        <f>IFERROR(SUM(Y382:Y384),"0")</f>
        <v>0</v>
      </c>
      <c r="Z386" s="37"/>
      <c r="AA386" s="550"/>
      <c r="AB386" s="550"/>
      <c r="AC386" s="550"/>
    </row>
    <row r="387" spans="1:68" ht="27.75" customHeight="1" x14ac:dyDescent="0.2">
      <c r="A387" s="630" t="s">
        <v>608</v>
      </c>
      <c r="B387" s="631"/>
      <c r="C387" s="631"/>
      <c r="D387" s="631"/>
      <c r="E387" s="631"/>
      <c r="F387" s="631"/>
      <c r="G387" s="631"/>
      <c r="H387" s="631"/>
      <c r="I387" s="631"/>
      <c r="J387" s="631"/>
      <c r="K387" s="631"/>
      <c r="L387" s="631"/>
      <c r="M387" s="631"/>
      <c r="N387" s="631"/>
      <c r="O387" s="631"/>
      <c r="P387" s="631"/>
      <c r="Q387" s="631"/>
      <c r="R387" s="631"/>
      <c r="S387" s="631"/>
      <c r="T387" s="631"/>
      <c r="U387" s="631"/>
      <c r="V387" s="631"/>
      <c r="W387" s="631"/>
      <c r="X387" s="631"/>
      <c r="Y387" s="631"/>
      <c r="Z387" s="631"/>
      <c r="AA387" s="48"/>
      <c r="AB387" s="48"/>
      <c r="AC387" s="48"/>
    </row>
    <row r="388" spans="1:68" ht="16.5" customHeight="1" x14ac:dyDescent="0.25">
      <c r="A388" s="569" t="s">
        <v>609</v>
      </c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  <c r="Z388" s="561"/>
      <c r="AA388" s="542"/>
      <c r="AB388" s="542"/>
      <c r="AC388" s="542"/>
    </row>
    <row r="389" spans="1:68" ht="14.25" customHeight="1" x14ac:dyDescent="0.25">
      <c r="A389" s="560" t="s">
        <v>64</v>
      </c>
      <c r="B389" s="561"/>
      <c r="C389" s="561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  <c r="Z389" s="561"/>
      <c r="AA389" s="543"/>
      <c r="AB389" s="543"/>
      <c r="AC389" s="543"/>
    </row>
    <row r="390" spans="1:68" ht="27" customHeight="1" x14ac:dyDescent="0.25">
      <c r="A390" s="54" t="s">
        <v>610</v>
      </c>
      <c r="B390" s="54" t="s">
        <v>611</v>
      </c>
      <c r="C390" s="31">
        <v>4301031405</v>
      </c>
      <c r="D390" s="558">
        <v>4680115886100</v>
      </c>
      <c r="E390" s="559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 t="s">
        <v>116</v>
      </c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7">
        <v>0</v>
      </c>
      <c r="Y390" s="548">
        <f t="shared" ref="Y390:Y398" si="41"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 t="s">
        <v>93</v>
      </c>
      <c r="AK390" s="68">
        <v>64.8</v>
      </c>
      <c r="BB390" s="438" t="s">
        <v>1</v>
      </c>
      <c r="BM390" s="64">
        <f t="shared" ref="BM390:BM398" si="42">IFERROR(X390*I390/H390,"0")</f>
        <v>0</v>
      </c>
      <c r="BN390" s="64">
        <f t="shared" ref="BN390:BN398" si="43">IFERROR(Y390*I390/H390,"0")</f>
        <v>0</v>
      </c>
      <c r="BO390" s="64">
        <f t="shared" ref="BO390:BO398" si="44">IFERROR(1/J390*(X390/H390),"0")</f>
        <v>0</v>
      </c>
      <c r="BP390" s="64">
        <f t="shared" ref="BP390:BP398" si="45">IFERROR(1/J390*(Y390/H390),"0")</f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4301031406</v>
      </c>
      <c r="D391" s="558">
        <v>4680115886117</v>
      </c>
      <c r="E391" s="559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4301031402</v>
      </c>
      <c r="D392" s="558">
        <v>4680115886124</v>
      </c>
      <c r="E392" s="559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 t="s">
        <v>116</v>
      </c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618</v>
      </c>
      <c r="AG392" s="64"/>
      <c r="AJ392" s="68" t="s">
        <v>93</v>
      </c>
      <c r="AK392" s="68">
        <v>64.8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619</v>
      </c>
      <c r="B393" s="54" t="s">
        <v>620</v>
      </c>
      <c r="C393" s="31">
        <v>4301031366</v>
      </c>
      <c r="D393" s="558">
        <v>4680115883147</v>
      </c>
      <c r="E393" s="559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621</v>
      </c>
      <c r="B394" s="54" t="s">
        <v>622</v>
      </c>
      <c r="C394" s="31">
        <v>4301031362</v>
      </c>
      <c r="D394" s="558">
        <v>4607091384338</v>
      </c>
      <c r="E394" s="559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si="46"/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37.5" customHeight="1" x14ac:dyDescent="0.25">
      <c r="A395" s="54" t="s">
        <v>623</v>
      </c>
      <c r="B395" s="54" t="s">
        <v>624</v>
      </c>
      <c r="C395" s="31">
        <v>4301031361</v>
      </c>
      <c r="D395" s="558">
        <v>4607091389524</v>
      </c>
      <c r="E395" s="559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4301031364</v>
      </c>
      <c r="D396" s="558">
        <v>4680115883161</v>
      </c>
      <c r="E396" s="559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629</v>
      </c>
      <c r="B397" s="54" t="s">
        <v>630</v>
      </c>
      <c r="C397" s="31">
        <v>4301031358</v>
      </c>
      <c r="D397" s="558">
        <v>4607091389531</v>
      </c>
      <c r="E397" s="559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632</v>
      </c>
      <c r="B398" s="54" t="s">
        <v>633</v>
      </c>
      <c r="C398" s="31">
        <v>4301031360</v>
      </c>
      <c r="D398" s="558">
        <v>4607091384345</v>
      </c>
      <c r="E398" s="559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x14ac:dyDescent="0.2">
      <c r="A399" s="567"/>
      <c r="B399" s="561"/>
      <c r="C399" s="561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8"/>
      <c r="P399" s="564" t="s">
        <v>75</v>
      </c>
      <c r="Q399" s="565"/>
      <c r="R399" s="565"/>
      <c r="S399" s="565"/>
      <c r="T399" s="565"/>
      <c r="U399" s="565"/>
      <c r="V399" s="566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0</v>
      </c>
      <c r="Y399" s="549">
        <f>IFERROR(Y390/H390,"0")+IFERROR(Y391/H391,"0")+IFERROR(Y392/H392,"0")+IFERROR(Y393/H393,"0")+IFERROR(Y394/H394,"0")+IFERROR(Y395/H395,"0")+IFERROR(Y396/H396,"0")+IFERROR(Y397/H397,"0")+IFERROR(Y398/H398,"0")</f>
        <v>0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550"/>
      <c r="AB399" s="550"/>
      <c r="AC399" s="550"/>
    </row>
    <row r="400" spans="1:68" x14ac:dyDescent="0.2">
      <c r="A400" s="561"/>
      <c r="B400" s="561"/>
      <c r="C400" s="561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8"/>
      <c r="P400" s="564" t="s">
        <v>75</v>
      </c>
      <c r="Q400" s="565"/>
      <c r="R400" s="565"/>
      <c r="S400" s="565"/>
      <c r="T400" s="565"/>
      <c r="U400" s="565"/>
      <c r="V400" s="566"/>
      <c r="W400" s="37" t="s">
        <v>69</v>
      </c>
      <c r="X400" s="549">
        <f>IFERROR(SUM(X390:X398),"0")</f>
        <v>0</v>
      </c>
      <c r="Y400" s="549">
        <f>IFERROR(SUM(Y390:Y398),"0")</f>
        <v>0</v>
      </c>
      <c r="Z400" s="37"/>
      <c r="AA400" s="550"/>
      <c r="AB400" s="550"/>
      <c r="AC400" s="550"/>
    </row>
    <row r="401" spans="1:68" ht="14.25" customHeight="1" x14ac:dyDescent="0.25">
      <c r="A401" s="560" t="s">
        <v>77</v>
      </c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  <c r="Z401" s="561"/>
      <c r="AA401" s="543"/>
      <c r="AB401" s="543"/>
      <c r="AC401" s="543"/>
    </row>
    <row r="402" spans="1:68" ht="27" customHeight="1" x14ac:dyDescent="0.25">
      <c r="A402" s="54" t="s">
        <v>634</v>
      </c>
      <c r="B402" s="54" t="s">
        <v>635</v>
      </c>
      <c r="C402" s="31">
        <v>4301051284</v>
      </c>
      <c r="D402" s="558">
        <v>4607091384352</v>
      </c>
      <c r="E402" s="559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 t="s">
        <v>116</v>
      </c>
      <c r="M402" s="33" t="s">
        <v>80</v>
      </c>
      <c r="N402" s="33"/>
      <c r="O402" s="32">
        <v>45</v>
      </c>
      <c r="P402" s="63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7">
        <v>0</v>
      </c>
      <c r="Y402" s="548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636</v>
      </c>
      <c r="AG402" s="64"/>
      <c r="AJ402" s="68" t="s">
        <v>93</v>
      </c>
      <c r="AK402" s="68">
        <v>28.8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637</v>
      </c>
      <c r="B403" s="54" t="s">
        <v>638</v>
      </c>
      <c r="C403" s="31">
        <v>4301051431</v>
      </c>
      <c r="D403" s="558">
        <v>4607091389654</v>
      </c>
      <c r="E403" s="559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 t="s">
        <v>91</v>
      </c>
      <c r="M403" s="33" t="s">
        <v>80</v>
      </c>
      <c r="N403" s="33"/>
      <c r="O403" s="32">
        <v>45</v>
      </c>
      <c r="P403" s="67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639</v>
      </c>
      <c r="AG403" s="64"/>
      <c r="AJ403" s="68" t="s">
        <v>93</v>
      </c>
      <c r="AK403" s="68">
        <v>27.72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67"/>
      <c r="B404" s="561"/>
      <c r="C404" s="561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8"/>
      <c r="P404" s="564" t="s">
        <v>75</v>
      </c>
      <c r="Q404" s="565"/>
      <c r="R404" s="565"/>
      <c r="S404" s="565"/>
      <c r="T404" s="565"/>
      <c r="U404" s="565"/>
      <c r="V404" s="566"/>
      <c r="W404" s="37" t="s">
        <v>76</v>
      </c>
      <c r="X404" s="549">
        <f>IFERROR(X402/H402,"0")+IFERROR(X403/H403,"0")</f>
        <v>0</v>
      </c>
      <c r="Y404" s="549">
        <f>IFERROR(Y402/H402,"0")+IFERROR(Y403/H403,"0")</f>
        <v>0</v>
      </c>
      <c r="Z404" s="549">
        <f>IFERROR(IF(Z402="",0,Z402),"0")+IFERROR(IF(Z403="",0,Z403),"0")</f>
        <v>0</v>
      </c>
      <c r="AA404" s="550"/>
      <c r="AB404" s="550"/>
      <c r="AC404" s="550"/>
    </row>
    <row r="405" spans="1:68" x14ac:dyDescent="0.2">
      <c r="A405" s="561"/>
      <c r="B405" s="561"/>
      <c r="C405" s="561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8"/>
      <c r="P405" s="564" t="s">
        <v>75</v>
      </c>
      <c r="Q405" s="565"/>
      <c r="R405" s="565"/>
      <c r="S405" s="565"/>
      <c r="T405" s="565"/>
      <c r="U405" s="565"/>
      <c r="V405" s="566"/>
      <c r="W405" s="37" t="s">
        <v>69</v>
      </c>
      <c r="X405" s="549">
        <f>IFERROR(SUM(X402:X403),"0")</f>
        <v>0</v>
      </c>
      <c r="Y405" s="549">
        <f>IFERROR(SUM(Y402:Y403),"0")</f>
        <v>0</v>
      </c>
      <c r="Z405" s="37"/>
      <c r="AA405" s="550"/>
      <c r="AB405" s="550"/>
      <c r="AC405" s="550"/>
    </row>
    <row r="406" spans="1:68" ht="16.5" customHeight="1" x14ac:dyDescent="0.25">
      <c r="A406" s="569" t="s">
        <v>640</v>
      </c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  <c r="Z406" s="561"/>
      <c r="AA406" s="542"/>
      <c r="AB406" s="542"/>
      <c r="AC406" s="542"/>
    </row>
    <row r="407" spans="1:68" ht="14.25" customHeight="1" x14ac:dyDescent="0.25">
      <c r="A407" s="560" t="s">
        <v>139</v>
      </c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  <c r="Z407" s="561"/>
      <c r="AA407" s="543"/>
      <c r="AB407" s="543"/>
      <c r="AC407" s="543"/>
    </row>
    <row r="408" spans="1:68" ht="27" customHeight="1" x14ac:dyDescent="0.25">
      <c r="A408" s="54" t="s">
        <v>641</v>
      </c>
      <c r="B408" s="54" t="s">
        <v>642</v>
      </c>
      <c r="C408" s="31">
        <v>4301020319</v>
      </c>
      <c r="D408" s="558">
        <v>4680115885240</v>
      </c>
      <c r="E408" s="559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84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52"/>
      <c r="R408" s="552"/>
      <c r="S408" s="552"/>
      <c r="T408" s="553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x14ac:dyDescent="0.2">
      <c r="A409" s="567"/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8"/>
      <c r="P409" s="564" t="s">
        <v>75</v>
      </c>
      <c r="Q409" s="565"/>
      <c r="R409" s="565"/>
      <c r="S409" s="565"/>
      <c r="T409" s="565"/>
      <c r="U409" s="565"/>
      <c r="V409" s="566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x14ac:dyDescent="0.2">
      <c r="A410" s="561"/>
      <c r="B410" s="561"/>
      <c r="C410" s="561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8"/>
      <c r="P410" s="564" t="s">
        <v>75</v>
      </c>
      <c r="Q410" s="565"/>
      <c r="R410" s="565"/>
      <c r="S410" s="565"/>
      <c r="T410" s="565"/>
      <c r="U410" s="565"/>
      <c r="V410" s="566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customHeight="1" x14ac:dyDescent="0.25">
      <c r="A411" s="560" t="s">
        <v>64</v>
      </c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  <c r="Z411" s="561"/>
      <c r="AA411" s="543"/>
      <c r="AB411" s="543"/>
      <c r="AC411" s="543"/>
    </row>
    <row r="412" spans="1:68" ht="27" customHeight="1" x14ac:dyDescent="0.25">
      <c r="A412" s="54" t="s">
        <v>644</v>
      </c>
      <c r="B412" s="54" t="s">
        <v>645</v>
      </c>
      <c r="C412" s="31">
        <v>4301031403</v>
      </c>
      <c r="D412" s="558">
        <v>4680115886094</v>
      </c>
      <c r="E412" s="559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 t="s">
        <v>116</v>
      </c>
      <c r="M412" s="33" t="s">
        <v>109</v>
      </c>
      <c r="N412" s="33"/>
      <c r="O412" s="32">
        <v>50</v>
      </c>
      <c r="P412" s="82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7">
        <v>0</v>
      </c>
      <c r="Y412" s="548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61" t="s">
        <v>646</v>
      </c>
      <c r="AG412" s="64"/>
      <c r="AJ412" s="68" t="s">
        <v>93</v>
      </c>
      <c r="AK412" s="68">
        <v>64.8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4301031363</v>
      </c>
      <c r="D413" s="558">
        <v>4607091389425</v>
      </c>
      <c r="E413" s="559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4301031373</v>
      </c>
      <c r="D414" s="558">
        <v>4680115880771</v>
      </c>
      <c r="E414" s="559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653</v>
      </c>
      <c r="B415" s="54" t="s">
        <v>654</v>
      </c>
      <c r="C415" s="31">
        <v>4301031359</v>
      </c>
      <c r="D415" s="558">
        <v>4607091389500</v>
      </c>
      <c r="E415" s="559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67"/>
      <c r="B416" s="561"/>
      <c r="C416" s="561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8"/>
      <c r="P416" s="564" t="s">
        <v>75</v>
      </c>
      <c r="Q416" s="565"/>
      <c r="R416" s="565"/>
      <c r="S416" s="565"/>
      <c r="T416" s="565"/>
      <c r="U416" s="565"/>
      <c r="V416" s="566"/>
      <c r="W416" s="37" t="s">
        <v>76</v>
      </c>
      <c r="X416" s="549">
        <f>IFERROR(X412/H412,"0")+IFERROR(X413/H413,"0")+IFERROR(X414/H414,"0")+IFERROR(X415/H415,"0")</f>
        <v>0</v>
      </c>
      <c r="Y416" s="549">
        <f>IFERROR(Y412/H412,"0")+IFERROR(Y413/H413,"0")+IFERROR(Y414/H414,"0")+IFERROR(Y415/H415,"0")</f>
        <v>0</v>
      </c>
      <c r="Z416" s="549">
        <f>IFERROR(IF(Z412="",0,Z412),"0")+IFERROR(IF(Z413="",0,Z413),"0")+IFERROR(IF(Z414="",0,Z414),"0")+IFERROR(IF(Z415="",0,Z415),"0")</f>
        <v>0</v>
      </c>
      <c r="AA416" s="550"/>
      <c r="AB416" s="550"/>
      <c r="AC416" s="550"/>
    </row>
    <row r="417" spans="1:68" x14ac:dyDescent="0.2">
      <c r="A417" s="561"/>
      <c r="B417" s="561"/>
      <c r="C417" s="561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8"/>
      <c r="P417" s="564" t="s">
        <v>75</v>
      </c>
      <c r="Q417" s="565"/>
      <c r="R417" s="565"/>
      <c r="S417" s="565"/>
      <c r="T417" s="565"/>
      <c r="U417" s="565"/>
      <c r="V417" s="566"/>
      <c r="W417" s="37" t="s">
        <v>69</v>
      </c>
      <c r="X417" s="549">
        <f>IFERROR(SUM(X412:X415),"0")</f>
        <v>0</v>
      </c>
      <c r="Y417" s="549">
        <f>IFERROR(SUM(Y412:Y415),"0")</f>
        <v>0</v>
      </c>
      <c r="Z417" s="37"/>
      <c r="AA417" s="550"/>
      <c r="AB417" s="550"/>
      <c r="AC417" s="550"/>
    </row>
    <row r="418" spans="1:68" ht="16.5" customHeight="1" x14ac:dyDescent="0.25">
      <c r="A418" s="569" t="s">
        <v>655</v>
      </c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  <c r="Z418" s="561"/>
      <c r="AA418" s="542"/>
      <c r="AB418" s="542"/>
      <c r="AC418" s="542"/>
    </row>
    <row r="419" spans="1:68" ht="14.25" customHeight="1" x14ac:dyDescent="0.25">
      <c r="A419" s="560" t="s">
        <v>64</v>
      </c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  <c r="Z419" s="561"/>
      <c r="AA419" s="543"/>
      <c r="AB419" s="543"/>
      <c r="AC419" s="543"/>
    </row>
    <row r="420" spans="1:68" ht="27" customHeight="1" x14ac:dyDescent="0.25">
      <c r="A420" s="54" t="s">
        <v>656</v>
      </c>
      <c r="B420" s="54" t="s">
        <v>657</v>
      </c>
      <c r="C420" s="31">
        <v>4301031347</v>
      </c>
      <c r="D420" s="558">
        <v>4680115885110</v>
      </c>
      <c r="E420" s="559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82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52"/>
      <c r="R420" s="552"/>
      <c r="S420" s="552"/>
      <c r="T420" s="553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567"/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8"/>
      <c r="P421" s="564" t="s">
        <v>75</v>
      </c>
      <c r="Q421" s="565"/>
      <c r="R421" s="565"/>
      <c r="S421" s="565"/>
      <c r="T421" s="565"/>
      <c r="U421" s="565"/>
      <c r="V421" s="566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x14ac:dyDescent="0.2">
      <c r="A422" s="561"/>
      <c r="B422" s="561"/>
      <c r="C422" s="561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8"/>
      <c r="P422" s="564" t="s">
        <v>75</v>
      </c>
      <c r="Q422" s="565"/>
      <c r="R422" s="565"/>
      <c r="S422" s="565"/>
      <c r="T422" s="565"/>
      <c r="U422" s="565"/>
      <c r="V422" s="566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customHeight="1" x14ac:dyDescent="0.2">
      <c r="A423" s="630" t="s">
        <v>659</v>
      </c>
      <c r="B423" s="631"/>
      <c r="C423" s="631"/>
      <c r="D423" s="631"/>
      <c r="E423" s="631"/>
      <c r="F423" s="631"/>
      <c r="G423" s="631"/>
      <c r="H423" s="631"/>
      <c r="I423" s="631"/>
      <c r="J423" s="631"/>
      <c r="K423" s="631"/>
      <c r="L423" s="631"/>
      <c r="M423" s="631"/>
      <c r="N423" s="631"/>
      <c r="O423" s="631"/>
      <c r="P423" s="631"/>
      <c r="Q423" s="631"/>
      <c r="R423" s="631"/>
      <c r="S423" s="631"/>
      <c r="T423" s="631"/>
      <c r="U423" s="631"/>
      <c r="V423" s="631"/>
      <c r="W423" s="631"/>
      <c r="X423" s="631"/>
      <c r="Y423" s="631"/>
      <c r="Z423" s="631"/>
      <c r="AA423" s="48"/>
      <c r="AB423" s="48"/>
      <c r="AC423" s="48"/>
    </row>
    <row r="424" spans="1:68" ht="16.5" customHeight="1" x14ac:dyDescent="0.25">
      <c r="A424" s="569" t="s">
        <v>659</v>
      </c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  <c r="Z424" s="561"/>
      <c r="AA424" s="542"/>
      <c r="AB424" s="542"/>
      <c r="AC424" s="542"/>
    </row>
    <row r="425" spans="1:68" ht="14.25" customHeight="1" x14ac:dyDescent="0.25">
      <c r="A425" s="560" t="s">
        <v>104</v>
      </c>
      <c r="B425" s="561"/>
      <c r="C425" s="561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  <c r="Z425" s="561"/>
      <c r="AA425" s="543"/>
      <c r="AB425" s="543"/>
      <c r="AC425" s="543"/>
    </row>
    <row r="426" spans="1:68" ht="27" customHeight="1" x14ac:dyDescent="0.25">
      <c r="A426" s="54" t="s">
        <v>660</v>
      </c>
      <c r="B426" s="54" t="s">
        <v>661</v>
      </c>
      <c r="C426" s="31">
        <v>4301011795</v>
      </c>
      <c r="D426" s="558">
        <v>4607091389067</v>
      </c>
      <c r="E426" s="559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64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52"/>
      <c r="R426" s="552"/>
      <c r="S426" s="552"/>
      <c r="T426" s="553"/>
      <c r="U426" s="34"/>
      <c r="V426" s="34"/>
      <c r="W426" s="35" t="s">
        <v>69</v>
      </c>
      <c r="X426" s="547">
        <v>0</v>
      </c>
      <c r="Y426" s="548">
        <f t="shared" ref="Y426:Y437" si="47">IFERROR(IF(X426="",0,CEILING((X426/$H426),1)*$H426),"")</f>
        <v>0</v>
      </c>
      <c r="Z426" s="36" t="str">
        <f t="shared" ref="Z426:Z432" si="48">IFERROR(IF(Y426=0,"",ROUNDUP(Y426/H426,0)*0.01196),"")</f>
        <v/>
      </c>
      <c r="AA426" s="56"/>
      <c r="AB426" s="57"/>
      <c r="AC426" s="471" t="s">
        <v>110</v>
      </c>
      <c r="AG426" s="64"/>
      <c r="AJ426" s="68" t="s">
        <v>93</v>
      </c>
      <c r="AK426" s="68">
        <v>42.24</v>
      </c>
      <c r="BB426" s="472" t="s">
        <v>1</v>
      </c>
      <c r="BM426" s="64">
        <f t="shared" ref="BM426:BM437" si="49">IFERROR(X426*I426/H426,"0")</f>
        <v>0</v>
      </c>
      <c r="BN426" s="64">
        <f t="shared" ref="BN426:BN437" si="50">IFERROR(Y426*I426/H426,"0")</f>
        <v>0</v>
      </c>
      <c r="BO426" s="64">
        <f t="shared" ref="BO426:BO437" si="51">IFERROR(1/J426*(X426/H426),"0")</f>
        <v>0</v>
      </c>
      <c r="BP426" s="64">
        <f t="shared" ref="BP426:BP437" si="52">IFERROR(1/J426*(Y426/H426),"0")</f>
        <v>0</v>
      </c>
    </row>
    <row r="427" spans="1:68" ht="27" customHeight="1" x14ac:dyDescent="0.25">
      <c r="A427" s="54" t="s">
        <v>662</v>
      </c>
      <c r="B427" s="54" t="s">
        <v>663</v>
      </c>
      <c r="C427" s="31">
        <v>4301012210</v>
      </c>
      <c r="D427" s="558">
        <v>4607091383522</v>
      </c>
      <c r="E427" s="559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705" t="s">
        <v>664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662</v>
      </c>
      <c r="B428" s="54" t="s">
        <v>666</v>
      </c>
      <c r="C428" s="31">
        <v>4301012145</v>
      </c>
      <c r="D428" s="558">
        <v>4607091383522</v>
      </c>
      <c r="E428" s="559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4301011961</v>
      </c>
      <c r="D429" s="558">
        <v>4680115885271</v>
      </c>
      <c r="E429" s="559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 t="s">
        <v>108</v>
      </c>
      <c r="M429" s="33" t="s">
        <v>109</v>
      </c>
      <c r="N429" s="33"/>
      <c r="O429" s="32">
        <v>60</v>
      </c>
      <c r="P429" s="65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669</v>
      </c>
      <c r="AG429" s="64"/>
      <c r="AJ429" s="68" t="s">
        <v>93</v>
      </c>
      <c r="AK429" s="68">
        <v>42.24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670</v>
      </c>
      <c r="B430" s="54" t="s">
        <v>671</v>
      </c>
      <c r="C430" s="31">
        <v>4301011376</v>
      </c>
      <c r="D430" s="558">
        <v>4680115885226</v>
      </c>
      <c r="E430" s="559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80</v>
      </c>
      <c r="N430" s="33"/>
      <c r="O430" s="32">
        <v>60</v>
      </c>
      <c r="P430" s="81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672</v>
      </c>
      <c r="AG430" s="64"/>
      <c r="AJ430" s="68" t="s">
        <v>93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16.5" customHeight="1" x14ac:dyDescent="0.25">
      <c r="A431" s="54" t="s">
        <v>673</v>
      </c>
      <c r="B431" s="54" t="s">
        <v>674</v>
      </c>
      <c r="C431" s="31">
        <v>4301011774</v>
      </c>
      <c r="D431" s="558">
        <v>4680115884502</v>
      </c>
      <c r="E431" s="559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6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4301011771</v>
      </c>
      <c r="D432" s="558">
        <v>4607091389104</v>
      </c>
      <c r="E432" s="559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5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678</v>
      </c>
      <c r="AG432" s="64"/>
      <c r="AJ432" s="68" t="s">
        <v>93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679</v>
      </c>
      <c r="B433" s="54" t="s">
        <v>680</v>
      </c>
      <c r="C433" s="31">
        <v>4301012125</v>
      </c>
      <c r="D433" s="558">
        <v>4680115886391</v>
      </c>
      <c r="E433" s="559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80</v>
      </c>
      <c r="N433" s="33"/>
      <c r="O433" s="32">
        <v>60</v>
      </c>
      <c r="P433" s="84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681</v>
      </c>
      <c r="B434" s="54" t="s">
        <v>682</v>
      </c>
      <c r="C434" s="31">
        <v>4301012035</v>
      </c>
      <c r="D434" s="558">
        <v>4680115880603</v>
      </c>
      <c r="E434" s="559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8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683</v>
      </c>
      <c r="B435" s="54" t="s">
        <v>684</v>
      </c>
      <c r="C435" s="31">
        <v>4301012036</v>
      </c>
      <c r="D435" s="558">
        <v>4680115882782</v>
      </c>
      <c r="E435" s="559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4301012050</v>
      </c>
      <c r="D436" s="558">
        <v>4680115885479</v>
      </c>
      <c r="E436" s="559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688</v>
      </c>
      <c r="B437" s="54" t="s">
        <v>689</v>
      </c>
      <c r="C437" s="31">
        <v>4301012034</v>
      </c>
      <c r="D437" s="558">
        <v>4607091389982</v>
      </c>
      <c r="E437" s="559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5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x14ac:dyDescent="0.2">
      <c r="A438" s="567"/>
      <c r="B438" s="561"/>
      <c r="C438" s="561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8"/>
      <c r="P438" s="564" t="s">
        <v>75</v>
      </c>
      <c r="Q438" s="565"/>
      <c r="R438" s="565"/>
      <c r="S438" s="565"/>
      <c r="T438" s="565"/>
      <c r="U438" s="565"/>
      <c r="V438" s="566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0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0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0</v>
      </c>
      <c r="AA438" s="550"/>
      <c r="AB438" s="550"/>
      <c r="AC438" s="550"/>
    </row>
    <row r="439" spans="1:68" x14ac:dyDescent="0.2">
      <c r="A439" s="561"/>
      <c r="B439" s="561"/>
      <c r="C439" s="561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8"/>
      <c r="P439" s="564" t="s">
        <v>75</v>
      </c>
      <c r="Q439" s="565"/>
      <c r="R439" s="565"/>
      <c r="S439" s="565"/>
      <c r="T439" s="565"/>
      <c r="U439" s="565"/>
      <c r="V439" s="566"/>
      <c r="W439" s="37" t="s">
        <v>69</v>
      </c>
      <c r="X439" s="549">
        <f>IFERROR(SUM(X426:X437),"0")</f>
        <v>0</v>
      </c>
      <c r="Y439" s="549">
        <f>IFERROR(SUM(Y426:Y437),"0")</f>
        <v>0</v>
      </c>
      <c r="Z439" s="37"/>
      <c r="AA439" s="550"/>
      <c r="AB439" s="550"/>
      <c r="AC439" s="550"/>
    </row>
    <row r="440" spans="1:68" ht="14.25" customHeight="1" x14ac:dyDescent="0.25">
      <c r="A440" s="560" t="s">
        <v>139</v>
      </c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  <c r="Z440" s="561"/>
      <c r="AA440" s="543"/>
      <c r="AB440" s="543"/>
      <c r="AC440" s="543"/>
    </row>
    <row r="441" spans="1:68" ht="16.5" customHeight="1" x14ac:dyDescent="0.25">
      <c r="A441" s="54" t="s">
        <v>690</v>
      </c>
      <c r="B441" s="54" t="s">
        <v>691</v>
      </c>
      <c r="C441" s="31">
        <v>4301020334</v>
      </c>
      <c r="D441" s="558">
        <v>4607091388930</v>
      </c>
      <c r="E441" s="559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 t="s">
        <v>108</v>
      </c>
      <c r="M441" s="33" t="s">
        <v>80</v>
      </c>
      <c r="N441" s="33"/>
      <c r="O441" s="32">
        <v>70</v>
      </c>
      <c r="P441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52"/>
      <c r="R441" s="552"/>
      <c r="S441" s="552"/>
      <c r="T441" s="553"/>
      <c r="U441" s="34"/>
      <c r="V441" s="34"/>
      <c r="W441" s="35" t="s">
        <v>69</v>
      </c>
      <c r="X441" s="547">
        <v>0</v>
      </c>
      <c r="Y441" s="54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95" t="s">
        <v>692</v>
      </c>
      <c r="AG441" s="64"/>
      <c r="AJ441" s="68" t="s">
        <v>93</v>
      </c>
      <c r="AK441" s="68">
        <v>42.24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693</v>
      </c>
      <c r="B442" s="54" t="s">
        <v>694</v>
      </c>
      <c r="C442" s="31">
        <v>4301020384</v>
      </c>
      <c r="D442" s="558">
        <v>4680115886407</v>
      </c>
      <c r="E442" s="559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80</v>
      </c>
      <c r="N442" s="33"/>
      <c r="O442" s="32">
        <v>70</v>
      </c>
      <c r="P442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customHeight="1" x14ac:dyDescent="0.25">
      <c r="A443" s="54" t="s">
        <v>695</v>
      </c>
      <c r="B443" s="54" t="s">
        <v>696</v>
      </c>
      <c r="C443" s="31">
        <v>4301020385</v>
      </c>
      <c r="D443" s="558">
        <v>4680115880054</v>
      </c>
      <c r="E443" s="559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60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567"/>
      <c r="B444" s="561"/>
      <c r="C444" s="561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8"/>
      <c r="P444" s="564" t="s">
        <v>75</v>
      </c>
      <c r="Q444" s="565"/>
      <c r="R444" s="565"/>
      <c r="S444" s="565"/>
      <c r="T444" s="565"/>
      <c r="U444" s="565"/>
      <c r="V444" s="566"/>
      <c r="W444" s="37" t="s">
        <v>76</v>
      </c>
      <c r="X444" s="549">
        <f>IFERROR(X441/H441,"0")+IFERROR(X442/H442,"0")+IFERROR(X443/H443,"0")</f>
        <v>0</v>
      </c>
      <c r="Y444" s="549">
        <f>IFERROR(Y441/H441,"0")+IFERROR(Y442/H442,"0")+IFERROR(Y443/H443,"0")</f>
        <v>0</v>
      </c>
      <c r="Z444" s="549">
        <f>IFERROR(IF(Z441="",0,Z441),"0")+IFERROR(IF(Z442="",0,Z442),"0")+IFERROR(IF(Z443="",0,Z443),"0")</f>
        <v>0</v>
      </c>
      <c r="AA444" s="550"/>
      <c r="AB444" s="550"/>
      <c r="AC444" s="550"/>
    </row>
    <row r="445" spans="1:68" x14ac:dyDescent="0.2">
      <c r="A445" s="561"/>
      <c r="B445" s="561"/>
      <c r="C445" s="561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8"/>
      <c r="P445" s="564" t="s">
        <v>75</v>
      </c>
      <c r="Q445" s="565"/>
      <c r="R445" s="565"/>
      <c r="S445" s="565"/>
      <c r="T445" s="565"/>
      <c r="U445" s="565"/>
      <c r="V445" s="566"/>
      <c r="W445" s="37" t="s">
        <v>69</v>
      </c>
      <c r="X445" s="549">
        <f>IFERROR(SUM(X441:X443),"0")</f>
        <v>0</v>
      </c>
      <c r="Y445" s="549">
        <f>IFERROR(SUM(Y441:Y443),"0")</f>
        <v>0</v>
      </c>
      <c r="Z445" s="37"/>
      <c r="AA445" s="550"/>
      <c r="AB445" s="550"/>
      <c r="AC445" s="550"/>
    </row>
    <row r="446" spans="1:68" ht="14.25" customHeight="1" x14ac:dyDescent="0.25">
      <c r="A446" s="560" t="s">
        <v>64</v>
      </c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  <c r="Z446" s="561"/>
      <c r="AA446" s="543"/>
      <c r="AB446" s="543"/>
      <c r="AC446" s="543"/>
    </row>
    <row r="447" spans="1:68" ht="27" customHeight="1" x14ac:dyDescent="0.25">
      <c r="A447" s="54" t="s">
        <v>697</v>
      </c>
      <c r="B447" s="54" t="s">
        <v>698</v>
      </c>
      <c r="C447" s="31">
        <v>4301031349</v>
      </c>
      <c r="D447" s="558">
        <v>4680115883116</v>
      </c>
      <c r="E447" s="559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 t="s">
        <v>108</v>
      </c>
      <c r="M447" s="33" t="s">
        <v>109</v>
      </c>
      <c r="N447" s="33"/>
      <c r="O447" s="32">
        <v>70</v>
      </c>
      <c r="P447" s="8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7">
        <v>0</v>
      </c>
      <c r="Y447" s="548">
        <f t="shared" ref="Y447:Y452" si="53"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93</v>
      </c>
      <c r="AK447" s="68">
        <v>42.24</v>
      </c>
      <c r="BB447" s="502" t="s">
        <v>1</v>
      </c>
      <c r="BM447" s="64">
        <f t="shared" ref="BM447:BM452" si="54">IFERROR(X447*I447/H447,"0")</f>
        <v>0</v>
      </c>
      <c r="BN447" s="64">
        <f t="shared" ref="BN447:BN452" si="55">IFERROR(Y447*I447/H447,"0")</f>
        <v>0</v>
      </c>
      <c r="BO447" s="64">
        <f t="shared" ref="BO447:BO452" si="56">IFERROR(1/J447*(X447/H447),"0")</f>
        <v>0</v>
      </c>
      <c r="BP447" s="64">
        <f t="shared" ref="BP447:BP452" si="57">IFERROR(1/J447*(Y447/H447),"0")</f>
        <v>0</v>
      </c>
    </row>
    <row r="448" spans="1:68" ht="27" customHeight="1" x14ac:dyDescent="0.25">
      <c r="A448" s="54" t="s">
        <v>700</v>
      </c>
      <c r="B448" s="54" t="s">
        <v>701</v>
      </c>
      <c r="C448" s="31">
        <v>4301031350</v>
      </c>
      <c r="D448" s="558">
        <v>4680115883093</v>
      </c>
      <c r="E448" s="559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3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0</v>
      </c>
      <c r="Y448" s="548">
        <f t="shared" si="53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93</v>
      </c>
      <c r="AK448" s="68">
        <v>42.24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ht="27" customHeight="1" x14ac:dyDescent="0.25">
      <c r="A449" s="54" t="s">
        <v>703</v>
      </c>
      <c r="B449" s="54" t="s">
        <v>704</v>
      </c>
      <c r="C449" s="31">
        <v>4301031353</v>
      </c>
      <c r="D449" s="558">
        <v>4680115883109</v>
      </c>
      <c r="E449" s="559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86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0</v>
      </c>
      <c r="Y449" s="548">
        <f t="shared" si="53"/>
        <v>0</v>
      </c>
      <c r="Z449" s="36" t="str">
        <f>IFERROR(IF(Y449=0,"",ROUNDUP(Y449/H449,0)*0.01196),"")</f>
        <v/>
      </c>
      <c r="AA449" s="56"/>
      <c r="AB449" s="57"/>
      <c r="AC449" s="505" t="s">
        <v>705</v>
      </c>
      <c r="AG449" s="64"/>
      <c r="AJ449" s="68" t="s">
        <v>93</v>
      </c>
      <c r="AK449" s="68">
        <v>42.24</v>
      </c>
      <c r="BB449" s="506" t="s">
        <v>1</v>
      </c>
      <c r="BM449" s="64">
        <f t="shared" si="54"/>
        <v>0</v>
      </c>
      <c r="BN449" s="64">
        <f t="shared" si="55"/>
        <v>0</v>
      </c>
      <c r="BO449" s="64">
        <f t="shared" si="56"/>
        <v>0</v>
      </c>
      <c r="BP449" s="64">
        <f t="shared" si="57"/>
        <v>0</v>
      </c>
    </row>
    <row r="450" spans="1:68" ht="27" customHeight="1" x14ac:dyDescent="0.25">
      <c r="A450" s="54" t="s">
        <v>706</v>
      </c>
      <c r="B450" s="54" t="s">
        <v>707</v>
      </c>
      <c r="C450" s="31">
        <v>4301031419</v>
      </c>
      <c r="D450" s="558">
        <v>4680115882072</v>
      </c>
      <c r="E450" s="559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69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708</v>
      </c>
      <c r="B451" s="54" t="s">
        <v>709</v>
      </c>
      <c r="C451" s="31">
        <v>4301031418</v>
      </c>
      <c r="D451" s="558">
        <v>4680115882102</v>
      </c>
      <c r="E451" s="559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710</v>
      </c>
      <c r="B452" s="54" t="s">
        <v>711</v>
      </c>
      <c r="C452" s="31">
        <v>4301031417</v>
      </c>
      <c r="D452" s="558">
        <v>4680115882096</v>
      </c>
      <c r="E452" s="559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5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x14ac:dyDescent="0.2">
      <c r="A453" s="567"/>
      <c r="B453" s="561"/>
      <c r="C453" s="561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8"/>
      <c r="P453" s="564" t="s">
        <v>75</v>
      </c>
      <c r="Q453" s="565"/>
      <c r="R453" s="565"/>
      <c r="S453" s="565"/>
      <c r="T453" s="565"/>
      <c r="U453" s="565"/>
      <c r="V453" s="566"/>
      <c r="W453" s="37" t="s">
        <v>76</v>
      </c>
      <c r="X453" s="549">
        <f>IFERROR(X447/H447,"0")+IFERROR(X448/H448,"0")+IFERROR(X449/H449,"0")+IFERROR(X450/H450,"0")+IFERROR(X451/H451,"0")+IFERROR(X452/H452,"0")</f>
        <v>0</v>
      </c>
      <c r="Y453" s="549">
        <f>IFERROR(Y447/H447,"0")+IFERROR(Y448/H448,"0")+IFERROR(Y449/H449,"0")+IFERROR(Y450/H450,"0")+IFERROR(Y451/H451,"0")+IFERROR(Y452/H452,"0")</f>
        <v>0</v>
      </c>
      <c r="Z453" s="549">
        <f>IFERROR(IF(Z447="",0,Z447),"0")+IFERROR(IF(Z448="",0,Z448),"0")+IFERROR(IF(Z449="",0,Z449),"0")+IFERROR(IF(Z450="",0,Z450),"0")+IFERROR(IF(Z451="",0,Z451),"0")+IFERROR(IF(Z452="",0,Z452),"0")</f>
        <v>0</v>
      </c>
      <c r="AA453" s="550"/>
      <c r="AB453" s="550"/>
      <c r="AC453" s="550"/>
    </row>
    <row r="454" spans="1:68" x14ac:dyDescent="0.2">
      <c r="A454" s="561"/>
      <c r="B454" s="561"/>
      <c r="C454" s="561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8"/>
      <c r="P454" s="564" t="s">
        <v>75</v>
      </c>
      <c r="Q454" s="565"/>
      <c r="R454" s="565"/>
      <c r="S454" s="565"/>
      <c r="T454" s="565"/>
      <c r="U454" s="565"/>
      <c r="V454" s="566"/>
      <c r="W454" s="37" t="s">
        <v>69</v>
      </c>
      <c r="X454" s="549">
        <f>IFERROR(SUM(X447:X452),"0")</f>
        <v>0</v>
      </c>
      <c r="Y454" s="549">
        <f>IFERROR(SUM(Y447:Y452),"0")</f>
        <v>0</v>
      </c>
      <c r="Z454" s="37"/>
      <c r="AA454" s="550"/>
      <c r="AB454" s="550"/>
      <c r="AC454" s="550"/>
    </row>
    <row r="455" spans="1:68" ht="14.25" customHeight="1" x14ac:dyDescent="0.25">
      <c r="A455" s="560" t="s">
        <v>77</v>
      </c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  <c r="Z455" s="561"/>
      <c r="AA455" s="543"/>
      <c r="AB455" s="543"/>
      <c r="AC455" s="543"/>
    </row>
    <row r="456" spans="1:68" ht="27" customHeight="1" x14ac:dyDescent="0.25">
      <c r="A456" s="54" t="s">
        <v>712</v>
      </c>
      <c r="B456" s="54" t="s">
        <v>713</v>
      </c>
      <c r="C456" s="31">
        <v>4301051064</v>
      </c>
      <c r="D456" s="558">
        <v>4680115883536</v>
      </c>
      <c r="E456" s="559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80</v>
      </c>
      <c r="N456" s="33"/>
      <c r="O456" s="32">
        <v>45</v>
      </c>
      <c r="P456" s="65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52"/>
      <c r="R456" s="552"/>
      <c r="S456" s="552"/>
      <c r="T456" s="553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567"/>
      <c r="B457" s="561"/>
      <c r="C457" s="561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8"/>
      <c r="P457" s="564" t="s">
        <v>75</v>
      </c>
      <c r="Q457" s="565"/>
      <c r="R457" s="565"/>
      <c r="S457" s="565"/>
      <c r="T457" s="565"/>
      <c r="U457" s="565"/>
      <c r="V457" s="566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x14ac:dyDescent="0.2">
      <c r="A458" s="561"/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8"/>
      <c r="P458" s="564" t="s">
        <v>75</v>
      </c>
      <c r="Q458" s="565"/>
      <c r="R458" s="565"/>
      <c r="S458" s="565"/>
      <c r="T458" s="565"/>
      <c r="U458" s="565"/>
      <c r="V458" s="566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customHeight="1" x14ac:dyDescent="0.2">
      <c r="A459" s="630" t="s">
        <v>715</v>
      </c>
      <c r="B459" s="631"/>
      <c r="C459" s="631"/>
      <c r="D459" s="631"/>
      <c r="E459" s="631"/>
      <c r="F459" s="631"/>
      <c r="G459" s="631"/>
      <c r="H459" s="631"/>
      <c r="I459" s="631"/>
      <c r="J459" s="631"/>
      <c r="K459" s="631"/>
      <c r="L459" s="631"/>
      <c r="M459" s="631"/>
      <c r="N459" s="631"/>
      <c r="O459" s="631"/>
      <c r="P459" s="631"/>
      <c r="Q459" s="631"/>
      <c r="R459" s="631"/>
      <c r="S459" s="631"/>
      <c r="T459" s="631"/>
      <c r="U459" s="631"/>
      <c r="V459" s="631"/>
      <c r="W459" s="631"/>
      <c r="X459" s="631"/>
      <c r="Y459" s="631"/>
      <c r="Z459" s="631"/>
      <c r="AA459" s="48"/>
      <c r="AB459" s="48"/>
      <c r="AC459" s="48"/>
    </row>
    <row r="460" spans="1:68" ht="16.5" customHeight="1" x14ac:dyDescent="0.25">
      <c r="A460" s="569" t="s">
        <v>715</v>
      </c>
      <c r="B460" s="561"/>
      <c r="C460" s="561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  <c r="Z460" s="561"/>
      <c r="AA460" s="542"/>
      <c r="AB460" s="542"/>
      <c r="AC460" s="542"/>
    </row>
    <row r="461" spans="1:68" ht="14.25" customHeight="1" x14ac:dyDescent="0.25">
      <c r="A461" s="560" t="s">
        <v>104</v>
      </c>
      <c r="B461" s="561"/>
      <c r="C461" s="561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  <c r="Z461" s="561"/>
      <c r="AA461" s="543"/>
      <c r="AB461" s="543"/>
      <c r="AC461" s="543"/>
    </row>
    <row r="462" spans="1:68" ht="27" customHeight="1" x14ac:dyDescent="0.25">
      <c r="A462" s="54" t="s">
        <v>716</v>
      </c>
      <c r="B462" s="54" t="s">
        <v>717</v>
      </c>
      <c r="C462" s="31">
        <v>4301011763</v>
      </c>
      <c r="D462" s="558">
        <v>4640242181011</v>
      </c>
      <c r="E462" s="559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80</v>
      </c>
      <c r="N462" s="33"/>
      <c r="O462" s="32">
        <v>55</v>
      </c>
      <c r="P462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4301011585</v>
      </c>
      <c r="D463" s="558">
        <v>4640242180441</v>
      </c>
      <c r="E463" s="559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8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4301011584</v>
      </c>
      <c r="D464" s="558">
        <v>4640242180564</v>
      </c>
      <c r="E464" s="559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 t="s">
        <v>108</v>
      </c>
      <c r="M464" s="33" t="s">
        <v>109</v>
      </c>
      <c r="N464" s="33"/>
      <c r="O464" s="32">
        <v>50</v>
      </c>
      <c r="P464" s="6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724</v>
      </c>
      <c r="AG464" s="64"/>
      <c r="AJ464" s="68" t="s">
        <v>93</v>
      </c>
      <c r="AK464" s="68">
        <v>96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725</v>
      </c>
      <c r="B465" s="54" t="s">
        <v>726</v>
      </c>
      <c r="C465" s="31">
        <v>4301011764</v>
      </c>
      <c r="D465" s="558">
        <v>4640242181189</v>
      </c>
      <c r="E465" s="559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80</v>
      </c>
      <c r="N465" s="33"/>
      <c r="O465" s="32">
        <v>55</v>
      </c>
      <c r="P465" s="81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567"/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8"/>
      <c r="P466" s="564" t="s">
        <v>75</v>
      </c>
      <c r="Q466" s="565"/>
      <c r="R466" s="565"/>
      <c r="S466" s="565"/>
      <c r="T466" s="565"/>
      <c r="U466" s="565"/>
      <c r="V466" s="566"/>
      <c r="W466" s="37" t="s">
        <v>76</v>
      </c>
      <c r="X466" s="549">
        <f>IFERROR(X462/H462,"0")+IFERROR(X463/H463,"0")+IFERROR(X464/H464,"0")+IFERROR(X465/H465,"0")</f>
        <v>0</v>
      </c>
      <c r="Y466" s="549">
        <f>IFERROR(Y462/H462,"0")+IFERROR(Y463/H463,"0")+IFERROR(Y464/H464,"0")+IFERROR(Y465/H465,"0")</f>
        <v>0</v>
      </c>
      <c r="Z466" s="549">
        <f>IFERROR(IF(Z462="",0,Z462),"0")+IFERROR(IF(Z463="",0,Z463),"0")+IFERROR(IF(Z464="",0,Z464),"0")+IFERROR(IF(Z465="",0,Z465),"0")</f>
        <v>0</v>
      </c>
      <c r="AA466" s="550"/>
      <c r="AB466" s="550"/>
      <c r="AC466" s="550"/>
    </row>
    <row r="467" spans="1:68" x14ac:dyDescent="0.2">
      <c r="A467" s="561"/>
      <c r="B467" s="561"/>
      <c r="C467" s="561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8"/>
      <c r="P467" s="564" t="s">
        <v>75</v>
      </c>
      <c r="Q467" s="565"/>
      <c r="R467" s="565"/>
      <c r="S467" s="565"/>
      <c r="T467" s="565"/>
      <c r="U467" s="565"/>
      <c r="V467" s="566"/>
      <c r="W467" s="37" t="s">
        <v>69</v>
      </c>
      <c r="X467" s="549">
        <f>IFERROR(SUM(X462:X465),"0")</f>
        <v>0</v>
      </c>
      <c r="Y467" s="549">
        <f>IFERROR(SUM(Y462:Y465),"0")</f>
        <v>0</v>
      </c>
      <c r="Z467" s="37"/>
      <c r="AA467" s="550"/>
      <c r="AB467" s="550"/>
      <c r="AC467" s="550"/>
    </row>
    <row r="468" spans="1:68" ht="14.25" customHeight="1" x14ac:dyDescent="0.25">
      <c r="A468" s="560" t="s">
        <v>139</v>
      </c>
      <c r="B468" s="561"/>
      <c r="C468" s="561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  <c r="Z468" s="561"/>
      <c r="AA468" s="543"/>
      <c r="AB468" s="543"/>
      <c r="AC468" s="543"/>
    </row>
    <row r="469" spans="1:68" ht="27" customHeight="1" x14ac:dyDescent="0.25">
      <c r="A469" s="54" t="s">
        <v>727</v>
      </c>
      <c r="B469" s="54" t="s">
        <v>728</v>
      </c>
      <c r="C469" s="31">
        <v>4301020400</v>
      </c>
      <c r="D469" s="558">
        <v>4640242180519</v>
      </c>
      <c r="E469" s="559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52"/>
      <c r="R469" s="552"/>
      <c r="S469" s="552"/>
      <c r="T469" s="553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730</v>
      </c>
      <c r="B470" s="54" t="s">
        <v>731</v>
      </c>
      <c r="C470" s="31">
        <v>4301020260</v>
      </c>
      <c r="D470" s="558">
        <v>4640242180526</v>
      </c>
      <c r="E470" s="559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567"/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8"/>
      <c r="P471" s="564" t="s">
        <v>75</v>
      </c>
      <c r="Q471" s="565"/>
      <c r="R471" s="565"/>
      <c r="S471" s="565"/>
      <c r="T471" s="565"/>
      <c r="U471" s="565"/>
      <c r="V471" s="566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x14ac:dyDescent="0.2">
      <c r="A472" s="561"/>
      <c r="B472" s="561"/>
      <c r="C472" s="561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8"/>
      <c r="P472" s="564" t="s">
        <v>75</v>
      </c>
      <c r="Q472" s="565"/>
      <c r="R472" s="565"/>
      <c r="S472" s="565"/>
      <c r="T472" s="565"/>
      <c r="U472" s="565"/>
      <c r="V472" s="566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customHeight="1" x14ac:dyDescent="0.25">
      <c r="A473" s="560" t="s">
        <v>64</v>
      </c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  <c r="Z473" s="561"/>
      <c r="AA473" s="543"/>
      <c r="AB473" s="543"/>
      <c r="AC473" s="543"/>
    </row>
    <row r="474" spans="1:68" ht="27" customHeight="1" x14ac:dyDescent="0.25">
      <c r="A474" s="54" t="s">
        <v>733</v>
      </c>
      <c r="B474" s="54" t="s">
        <v>734</v>
      </c>
      <c r="C474" s="31">
        <v>4301031280</v>
      </c>
      <c r="D474" s="558">
        <v>4640242180816</v>
      </c>
      <c r="E474" s="559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 t="s">
        <v>116</v>
      </c>
      <c r="M474" s="33" t="s">
        <v>68</v>
      </c>
      <c r="N474" s="33"/>
      <c r="O474" s="32">
        <v>40</v>
      </c>
      <c r="P474" s="63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7">
        <v>0</v>
      </c>
      <c r="Y474" s="548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93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customHeight="1" x14ac:dyDescent="0.25">
      <c r="A475" s="54" t="s">
        <v>736</v>
      </c>
      <c r="B475" s="54" t="s">
        <v>737</v>
      </c>
      <c r="C475" s="31">
        <v>4301031244</v>
      </c>
      <c r="D475" s="558">
        <v>4640242180595</v>
      </c>
      <c r="E475" s="559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 t="s">
        <v>116</v>
      </c>
      <c r="M475" s="33" t="s">
        <v>68</v>
      </c>
      <c r="N475" s="33"/>
      <c r="O475" s="32">
        <v>40</v>
      </c>
      <c r="P475" s="78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738</v>
      </c>
      <c r="AG475" s="64"/>
      <c r="AJ475" s="68" t="s">
        <v>93</v>
      </c>
      <c r="AK475" s="68">
        <v>50.4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7"/>
      <c r="B476" s="561"/>
      <c r="C476" s="561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8"/>
      <c r="P476" s="564" t="s">
        <v>75</v>
      </c>
      <c r="Q476" s="565"/>
      <c r="R476" s="565"/>
      <c r="S476" s="565"/>
      <c r="T476" s="565"/>
      <c r="U476" s="565"/>
      <c r="V476" s="566"/>
      <c r="W476" s="37" t="s">
        <v>76</v>
      </c>
      <c r="X476" s="549">
        <f>IFERROR(X474/H474,"0")+IFERROR(X475/H475,"0")</f>
        <v>0</v>
      </c>
      <c r="Y476" s="549">
        <f>IFERROR(Y474/H474,"0")+IFERROR(Y475/H475,"0")</f>
        <v>0</v>
      </c>
      <c r="Z476" s="549">
        <f>IFERROR(IF(Z474="",0,Z474),"0")+IFERROR(IF(Z475="",0,Z475),"0")</f>
        <v>0</v>
      </c>
      <c r="AA476" s="550"/>
      <c r="AB476" s="550"/>
      <c r="AC476" s="550"/>
    </row>
    <row r="477" spans="1:68" x14ac:dyDescent="0.2">
      <c r="A477" s="561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8"/>
      <c r="P477" s="564" t="s">
        <v>75</v>
      </c>
      <c r="Q477" s="565"/>
      <c r="R477" s="565"/>
      <c r="S477" s="565"/>
      <c r="T477" s="565"/>
      <c r="U477" s="565"/>
      <c r="V477" s="566"/>
      <c r="W477" s="37" t="s">
        <v>69</v>
      </c>
      <c r="X477" s="549">
        <f>IFERROR(SUM(X474:X475),"0")</f>
        <v>0</v>
      </c>
      <c r="Y477" s="549">
        <f>IFERROR(SUM(Y474:Y475),"0")</f>
        <v>0</v>
      </c>
      <c r="Z477" s="37"/>
      <c r="AA477" s="550"/>
      <c r="AB477" s="550"/>
      <c r="AC477" s="550"/>
    </row>
    <row r="478" spans="1:68" ht="14.25" customHeight="1" x14ac:dyDescent="0.25">
      <c r="A478" s="560" t="s">
        <v>77</v>
      </c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  <c r="Z478" s="561"/>
      <c r="AA478" s="543"/>
      <c r="AB478" s="543"/>
      <c r="AC478" s="543"/>
    </row>
    <row r="479" spans="1:68" ht="27" customHeight="1" x14ac:dyDescent="0.25">
      <c r="A479" s="54" t="s">
        <v>739</v>
      </c>
      <c r="B479" s="54" t="s">
        <v>740</v>
      </c>
      <c r="C479" s="31">
        <v>4301052046</v>
      </c>
      <c r="D479" s="558">
        <v>4640242180533</v>
      </c>
      <c r="E479" s="559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 t="s">
        <v>108</v>
      </c>
      <c r="M479" s="33" t="s">
        <v>87</v>
      </c>
      <c r="N479" s="33"/>
      <c r="O479" s="32">
        <v>45</v>
      </c>
      <c r="P479" s="65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741</v>
      </c>
      <c r="AG479" s="64"/>
      <c r="AJ479" s="68" t="s">
        <v>93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67"/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8"/>
      <c r="P480" s="564" t="s">
        <v>75</v>
      </c>
      <c r="Q480" s="565"/>
      <c r="R480" s="565"/>
      <c r="S480" s="565"/>
      <c r="T480" s="565"/>
      <c r="U480" s="565"/>
      <c r="V480" s="566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x14ac:dyDescent="0.2">
      <c r="A481" s="561"/>
      <c r="B481" s="561"/>
      <c r="C481" s="561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8"/>
      <c r="P481" s="564" t="s">
        <v>75</v>
      </c>
      <c r="Q481" s="565"/>
      <c r="R481" s="565"/>
      <c r="S481" s="565"/>
      <c r="T481" s="565"/>
      <c r="U481" s="565"/>
      <c r="V481" s="566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customHeight="1" x14ac:dyDescent="0.25">
      <c r="A482" s="560" t="s">
        <v>167</v>
      </c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  <c r="Z482" s="561"/>
      <c r="AA482" s="543"/>
      <c r="AB482" s="543"/>
      <c r="AC482" s="543"/>
    </row>
    <row r="483" spans="1:68" ht="27" customHeight="1" x14ac:dyDescent="0.25">
      <c r="A483" s="54" t="s">
        <v>742</v>
      </c>
      <c r="B483" s="54" t="s">
        <v>743</v>
      </c>
      <c r="C483" s="31">
        <v>4301060491</v>
      </c>
      <c r="D483" s="558">
        <v>4640242180120</v>
      </c>
      <c r="E483" s="559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80</v>
      </c>
      <c r="N483" s="33"/>
      <c r="O483" s="32">
        <v>40</v>
      </c>
      <c r="P483" s="80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4301060493</v>
      </c>
      <c r="D484" s="558">
        <v>4640242180137</v>
      </c>
      <c r="E484" s="559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80</v>
      </c>
      <c r="N484" s="33"/>
      <c r="O484" s="32">
        <v>40</v>
      </c>
      <c r="P484" s="85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7"/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8"/>
      <c r="P485" s="564" t="s">
        <v>75</v>
      </c>
      <c r="Q485" s="565"/>
      <c r="R485" s="565"/>
      <c r="S485" s="565"/>
      <c r="T485" s="565"/>
      <c r="U485" s="565"/>
      <c r="V485" s="566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61"/>
      <c r="B486" s="561"/>
      <c r="C486" s="561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8"/>
      <c r="P486" s="564" t="s">
        <v>75</v>
      </c>
      <c r="Q486" s="565"/>
      <c r="R486" s="565"/>
      <c r="S486" s="565"/>
      <c r="T486" s="565"/>
      <c r="U486" s="565"/>
      <c r="V486" s="566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69" t="s">
        <v>748</v>
      </c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  <c r="Z487" s="561"/>
      <c r="AA487" s="542"/>
      <c r="AB487" s="542"/>
      <c r="AC487" s="542"/>
    </row>
    <row r="488" spans="1:68" ht="14.25" customHeight="1" x14ac:dyDescent="0.25">
      <c r="A488" s="560" t="s">
        <v>139</v>
      </c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  <c r="Z488" s="561"/>
      <c r="AA488" s="543"/>
      <c r="AB488" s="543"/>
      <c r="AC488" s="543"/>
    </row>
    <row r="489" spans="1:68" ht="27" customHeight="1" x14ac:dyDescent="0.25">
      <c r="A489" s="54" t="s">
        <v>749</v>
      </c>
      <c r="B489" s="54" t="s">
        <v>750</v>
      </c>
      <c r="C489" s="31">
        <v>4301020314</v>
      </c>
      <c r="D489" s="558">
        <v>4640242180090</v>
      </c>
      <c r="E489" s="559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7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8"/>
      <c r="P490" s="564" t="s">
        <v>75</v>
      </c>
      <c r="Q490" s="565"/>
      <c r="R490" s="565"/>
      <c r="S490" s="565"/>
      <c r="T490" s="565"/>
      <c r="U490" s="565"/>
      <c r="V490" s="566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8"/>
      <c r="P491" s="564" t="s">
        <v>75</v>
      </c>
      <c r="Q491" s="565"/>
      <c r="R491" s="565"/>
      <c r="S491" s="565"/>
      <c r="T491" s="565"/>
      <c r="U491" s="565"/>
      <c r="V491" s="566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16"/>
      <c r="P492" s="708" t="s">
        <v>752</v>
      </c>
      <c r="Q492" s="669"/>
      <c r="R492" s="669"/>
      <c r="S492" s="669"/>
      <c r="T492" s="669"/>
      <c r="U492" s="669"/>
      <c r="V492" s="670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3000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3015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16"/>
      <c r="P493" s="708" t="s">
        <v>753</v>
      </c>
      <c r="Q493" s="669"/>
      <c r="R493" s="669"/>
      <c r="S493" s="669"/>
      <c r="T493" s="669"/>
      <c r="U493" s="669"/>
      <c r="V493" s="670"/>
      <c r="W493" s="37" t="s">
        <v>69</v>
      </c>
      <c r="X493" s="549">
        <f>IFERROR(SUM(BM22:BM489),"0")</f>
        <v>3138.4900284900282</v>
      </c>
      <c r="Y493" s="549">
        <f>IFERROR(SUM(BN22:BN489),"0")</f>
        <v>3154.2120000000004</v>
      </c>
      <c r="Z493" s="37"/>
      <c r="AA493" s="550"/>
      <c r="AB493" s="550"/>
      <c r="AC493" s="550"/>
    </row>
    <row r="494" spans="1:68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16"/>
      <c r="P494" s="708" t="s">
        <v>754</v>
      </c>
      <c r="Q494" s="669"/>
      <c r="R494" s="669"/>
      <c r="S494" s="669"/>
      <c r="T494" s="669"/>
      <c r="U494" s="669"/>
      <c r="V494" s="670"/>
      <c r="W494" s="37" t="s">
        <v>755</v>
      </c>
      <c r="X494" s="38">
        <f>ROUNDUP(SUM(BO22:BO489),0)</f>
        <v>5</v>
      </c>
      <c r="Y494" s="38">
        <f>ROUNDUP(SUM(BP22:BP489),0)</f>
        <v>5</v>
      </c>
      <c r="Z494" s="37"/>
      <c r="AA494" s="550"/>
      <c r="AB494" s="550"/>
      <c r="AC494" s="550"/>
    </row>
    <row r="495" spans="1:68" x14ac:dyDescent="0.2">
      <c r="A495" s="561"/>
      <c r="B495" s="561"/>
      <c r="C495" s="561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716"/>
      <c r="P495" s="708" t="s">
        <v>756</v>
      </c>
      <c r="Q495" s="669"/>
      <c r="R495" s="669"/>
      <c r="S495" s="669"/>
      <c r="T495" s="669"/>
      <c r="U495" s="669"/>
      <c r="V495" s="670"/>
      <c r="W495" s="37" t="s">
        <v>69</v>
      </c>
      <c r="X495" s="549">
        <f>GrossWeightTotal+PalletQtyTotal*25</f>
        <v>3263.4900284900282</v>
      </c>
      <c r="Y495" s="549">
        <f>GrossWeightTotalR+PalletQtyTotalR*25</f>
        <v>3279.2120000000004</v>
      </c>
      <c r="Z495" s="37"/>
      <c r="AA495" s="550"/>
      <c r="AB495" s="550"/>
      <c r="AC495" s="550"/>
    </row>
    <row r="496" spans="1:68" x14ac:dyDescent="0.2">
      <c r="A496" s="561"/>
      <c r="B496" s="561"/>
      <c r="C496" s="561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716"/>
      <c r="P496" s="708" t="s">
        <v>757</v>
      </c>
      <c r="Q496" s="669"/>
      <c r="R496" s="669"/>
      <c r="S496" s="669"/>
      <c r="T496" s="669"/>
      <c r="U496" s="669"/>
      <c r="V496" s="670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313.39031339031339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315</v>
      </c>
      <c r="Z496" s="37"/>
      <c r="AA496" s="550"/>
      <c r="AB496" s="550"/>
      <c r="AC496" s="550"/>
    </row>
    <row r="497" spans="1:32" ht="14.25" customHeight="1" x14ac:dyDescent="0.2">
      <c r="A497" s="561"/>
      <c r="B497" s="561"/>
      <c r="C497" s="561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716"/>
      <c r="P497" s="708" t="s">
        <v>758</v>
      </c>
      <c r="Q497" s="669"/>
      <c r="R497" s="669"/>
      <c r="S497" s="669"/>
      <c r="T497" s="669"/>
      <c r="U497" s="669"/>
      <c r="V497" s="670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5.9786999999999999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44" t="s">
        <v>63</v>
      </c>
      <c r="C499" s="597" t="s">
        <v>102</v>
      </c>
      <c r="D499" s="602"/>
      <c r="E499" s="602"/>
      <c r="F499" s="602"/>
      <c r="G499" s="602"/>
      <c r="H499" s="603"/>
      <c r="I499" s="597" t="s">
        <v>267</v>
      </c>
      <c r="J499" s="602"/>
      <c r="K499" s="602"/>
      <c r="L499" s="602"/>
      <c r="M499" s="602"/>
      <c r="N499" s="602"/>
      <c r="O499" s="602"/>
      <c r="P499" s="602"/>
      <c r="Q499" s="602"/>
      <c r="R499" s="603"/>
      <c r="S499" s="597" t="s">
        <v>554</v>
      </c>
      <c r="T499" s="603"/>
      <c r="U499" s="597" t="s">
        <v>608</v>
      </c>
      <c r="V499" s="602"/>
      <c r="W499" s="603"/>
      <c r="X499" s="544" t="s">
        <v>659</v>
      </c>
      <c r="Y499" s="597" t="s">
        <v>715</v>
      </c>
      <c r="Z499" s="603"/>
      <c r="AB499" s="52"/>
      <c r="AC499" s="52"/>
      <c r="AF499" s="545"/>
    </row>
    <row r="500" spans="1:32" ht="14.25" customHeight="1" thickTop="1" x14ac:dyDescent="0.2">
      <c r="A500" s="871" t="s">
        <v>761</v>
      </c>
      <c r="B500" s="597" t="s">
        <v>63</v>
      </c>
      <c r="C500" s="597" t="s">
        <v>103</v>
      </c>
      <c r="D500" s="597" t="s">
        <v>120</v>
      </c>
      <c r="E500" s="597" t="s">
        <v>174</v>
      </c>
      <c r="F500" s="597" t="s">
        <v>198</v>
      </c>
      <c r="G500" s="597" t="s">
        <v>237</v>
      </c>
      <c r="H500" s="597" t="s">
        <v>102</v>
      </c>
      <c r="I500" s="597" t="s">
        <v>268</v>
      </c>
      <c r="J500" s="597" t="s">
        <v>321</v>
      </c>
      <c r="K500" s="597" t="s">
        <v>380</v>
      </c>
      <c r="L500" s="597" t="s">
        <v>420</v>
      </c>
      <c r="M500" s="597" t="s">
        <v>436</v>
      </c>
      <c r="N500" s="545"/>
      <c r="O500" s="597" t="s">
        <v>447</v>
      </c>
      <c r="P500" s="597" t="s">
        <v>456</v>
      </c>
      <c r="Q500" s="597" t="s">
        <v>469</v>
      </c>
      <c r="R500" s="597" t="s">
        <v>544</v>
      </c>
      <c r="S500" s="597" t="s">
        <v>555</v>
      </c>
      <c r="T500" s="597" t="s">
        <v>590</v>
      </c>
      <c r="U500" s="597" t="s">
        <v>609</v>
      </c>
      <c r="V500" s="597" t="s">
        <v>640</v>
      </c>
      <c r="W500" s="597" t="s">
        <v>655</v>
      </c>
      <c r="X500" s="597" t="s">
        <v>659</v>
      </c>
      <c r="Y500" s="597" t="s">
        <v>715</v>
      </c>
      <c r="Z500" s="597" t="s">
        <v>748</v>
      </c>
      <c r="AB500" s="52"/>
      <c r="AC500" s="52"/>
      <c r="AF500" s="545"/>
    </row>
    <row r="501" spans="1:32" ht="13.5" customHeight="1" thickBot="1" x14ac:dyDescent="0.25">
      <c r="A501" s="872"/>
      <c r="B501" s="598"/>
      <c r="C501" s="598"/>
      <c r="D501" s="598"/>
      <c r="E501" s="598"/>
      <c r="F501" s="598"/>
      <c r="G501" s="598"/>
      <c r="H501" s="598"/>
      <c r="I501" s="598"/>
      <c r="J501" s="598"/>
      <c r="K501" s="598"/>
      <c r="L501" s="598"/>
      <c r="M501" s="598"/>
      <c r="N501" s="545"/>
      <c r="O501" s="598"/>
      <c r="P501" s="598"/>
      <c r="Q501" s="598"/>
      <c r="R501" s="598"/>
      <c r="S501" s="598"/>
      <c r="T501" s="598"/>
      <c r="U501" s="598"/>
      <c r="V501" s="598"/>
      <c r="W501" s="598"/>
      <c r="X501" s="598"/>
      <c r="Y501" s="598"/>
      <c r="Z501" s="598"/>
      <c r="AB501" s="52"/>
      <c r="AC501" s="52"/>
      <c r="AF501" s="545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0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1004.4000000000001</v>
      </c>
      <c r="E502" s="46">
        <f>IFERROR(Y86*1,"0")+IFERROR(Y87*1,"0")+IFERROR(Y88*1,"0")+IFERROR(Y89*1,"0")+IFERROR(Y93*1,"0")+IFERROR(Y94*1,"0")+IFERROR(Y95*1,"0")+IFERROR(Y96*1,"0")</f>
        <v>0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502" s="46">
        <f>IFERROR(Y128*1,"0")+IFERROR(Y129*1,"0")+IFERROR(Y133*1,"0")+IFERROR(Y134*1,"0")+IFERROR(Y138*1,"0")+IFERROR(Y139*1,"0")</f>
        <v>0</v>
      </c>
      <c r="H502" s="46">
        <f>IFERROR(Y144*1,"0")+IFERROR(Y145*1,"0")+IFERROR(Y149*1,"0")+IFERROR(Y150*1,"0")+IFERROR(Y151*1,"0")+IFERROR(Y155*1,"0")</f>
        <v>0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2" s="46">
        <f>IFERROR(Y259*1,"0")+IFERROR(Y260*1,"0")+IFERROR(Y261*1,"0")+IFERROR(Y262*1,"0")+IFERROR(Y263*1,"0")</f>
        <v>0</v>
      </c>
      <c r="M502" s="46">
        <f>IFERROR(Y268*1,"0")+IFERROR(Y269*1,"0")+IFERROR(Y270*1,"0")+IFERROR(Y271*1,"0")</f>
        <v>0</v>
      </c>
      <c r="N502" s="545"/>
      <c r="O502" s="46">
        <f>IFERROR(Y276*1,"0")+IFERROR(Y277*1,"0")+IFERROR(Y278*1,"0")</f>
        <v>0</v>
      </c>
      <c r="P502" s="46">
        <f>IFERROR(Y283*1,"0")+IFERROR(Y284*1,"0")+IFERROR(Y288*1,"0")+IFERROR(Y289*1,"0")</f>
        <v>0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2010.6</v>
      </c>
      <c r="R502" s="46">
        <f>IFERROR(Y339*1,"0")+IFERROR(Y340*1,"0")+IFERROR(Y341*1,"0")</f>
        <v>0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0</v>
      </c>
      <c r="T502" s="46">
        <f>IFERROR(Y372*1,"0")+IFERROR(Y373*1,"0")+IFERROR(Y377*1,"0")+IFERROR(Y378*1,"0")+IFERROR(Y382*1,"0")+IFERROR(Y383*1,"0")+IFERROR(Y384*1,"0")</f>
        <v>0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0</v>
      </c>
      <c r="V502" s="46">
        <f>IFERROR(Y408*1,"0")+IFERROR(Y412*1,"0")+IFERROR(Y413*1,"0")+IFERROR(Y414*1,"0")+IFERROR(Y415*1,"0")</f>
        <v>0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0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0</v>
      </c>
      <c r="Z502" s="46">
        <f>IFERROR(Y489*1,"0")</f>
        <v>0</v>
      </c>
      <c r="AB502" s="52"/>
      <c r="AC502" s="52"/>
      <c r="AF502" s="545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X17:X18"/>
    <mergeCell ref="D110:E110"/>
    <mergeCell ref="D408:E408"/>
    <mergeCell ref="P500:P501"/>
    <mergeCell ref="P140:V140"/>
    <mergeCell ref="A335:O336"/>
    <mergeCell ref="A21:Z21"/>
    <mergeCell ref="P438:V438"/>
    <mergeCell ref="D192:E192"/>
    <mergeCell ref="A500:A501"/>
    <mergeCell ref="D42:E42"/>
    <mergeCell ref="P363:T363"/>
    <mergeCell ref="C500:C501"/>
    <mergeCell ref="D173:E173"/>
    <mergeCell ref="P313:T313"/>
    <mergeCell ref="P373:T373"/>
    <mergeCell ref="P307:T307"/>
    <mergeCell ref="P202:T202"/>
    <mergeCell ref="D250:E250"/>
    <mergeCell ref="D123:E123"/>
    <mergeCell ref="A8:C8"/>
    <mergeCell ref="P163:V163"/>
    <mergeCell ref="D268:E268"/>
    <mergeCell ref="P151:T151"/>
    <mergeCell ref="D395:E395"/>
    <mergeCell ref="P449:T449"/>
    <mergeCell ref="P496:V496"/>
    <mergeCell ref="P374:V374"/>
    <mergeCell ref="A10:C10"/>
    <mergeCell ref="P218:T218"/>
    <mergeCell ref="D17:E18"/>
    <mergeCell ref="F9:G9"/>
    <mergeCell ref="D483:E483"/>
    <mergeCell ref="U499:W499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A44:O45"/>
    <mergeCell ref="P383:T383"/>
    <mergeCell ref="A329:O330"/>
    <mergeCell ref="A279:O280"/>
    <mergeCell ref="P174:T174"/>
    <mergeCell ref="P149:T149"/>
    <mergeCell ref="D95:E95"/>
    <mergeCell ref="P447:T447"/>
    <mergeCell ref="Y17:Y18"/>
    <mergeCell ref="U17:V17"/>
    <mergeCell ref="P310:V310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P484:T484"/>
    <mergeCell ref="P288:T288"/>
    <mergeCell ref="A478:Z478"/>
    <mergeCell ref="D234:E234"/>
    <mergeCell ref="P434:T434"/>
    <mergeCell ref="P263:T263"/>
    <mergeCell ref="D171:E171"/>
    <mergeCell ref="W500:W501"/>
    <mergeCell ref="AD17:AF18"/>
    <mergeCell ref="D101:E101"/>
    <mergeCell ref="A132:Z132"/>
    <mergeCell ref="D76:E76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P181:T181"/>
    <mergeCell ref="P357:T357"/>
    <mergeCell ref="D29:E29"/>
    <mergeCell ref="P494:V494"/>
    <mergeCell ref="P430:T430"/>
    <mergeCell ref="P410:V410"/>
    <mergeCell ref="P481:V481"/>
    <mergeCell ref="P102:T102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P465:T465"/>
    <mergeCell ref="D215:E215"/>
    <mergeCell ref="A255:O256"/>
    <mergeCell ref="P194:V194"/>
    <mergeCell ref="A364:O365"/>
    <mergeCell ref="P492:V492"/>
    <mergeCell ref="P415:T415"/>
    <mergeCell ref="P286:V286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P463:T463"/>
    <mergeCell ref="D384:E384"/>
    <mergeCell ref="P341:T341"/>
    <mergeCell ref="D213:E213"/>
    <mergeCell ref="D151:E151"/>
    <mergeCell ref="D449:E449"/>
    <mergeCell ref="A64:O65"/>
    <mergeCell ref="D321:E321"/>
    <mergeCell ref="P278:T278"/>
    <mergeCell ref="D150:E150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U500:U501"/>
    <mergeCell ref="D358:E358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P483:T483"/>
    <mergeCell ref="D155:E155"/>
    <mergeCell ref="D22:E22"/>
    <mergeCell ref="A455:Z455"/>
    <mergeCell ref="D320:E320"/>
    <mergeCell ref="P470:T470"/>
    <mergeCell ref="D447:E447"/>
    <mergeCell ref="D149:E149"/>
    <mergeCell ref="P255:V255"/>
    <mergeCell ref="P295:T295"/>
    <mergeCell ref="P276:T276"/>
    <mergeCell ref="V500:V501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T500:T501"/>
    <mergeCell ref="V6:W9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Z17:Z18"/>
    <mergeCell ref="P265:V265"/>
    <mergeCell ref="P458:V458"/>
    <mergeCell ref="A388:Z388"/>
    <mergeCell ref="AA17:AA18"/>
    <mergeCell ref="H10:M10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D128:E128"/>
    <mergeCell ref="AB17:AB18"/>
    <mergeCell ref="P44:V44"/>
    <mergeCell ref="D367:E367"/>
    <mergeCell ref="P329:V329"/>
    <mergeCell ref="A154:Z154"/>
    <mergeCell ref="P35:T35"/>
    <mergeCell ref="G17:G18"/>
    <mergeCell ref="P333:T333"/>
    <mergeCell ref="D314:E314"/>
    <mergeCell ref="P184:V184"/>
    <mergeCell ref="D465:E465"/>
    <mergeCell ref="D269:E269"/>
    <mergeCell ref="D296:E296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212:T212"/>
    <mergeCell ref="P445:V445"/>
    <mergeCell ref="P457:V457"/>
    <mergeCell ref="P393:T393"/>
    <mergeCell ref="A338:Z338"/>
    <mergeCell ref="D203:E203"/>
    <mergeCell ref="A40:Z40"/>
    <mergeCell ref="P232:T232"/>
    <mergeCell ref="P152:V152"/>
    <mergeCell ref="A275:Z275"/>
    <mergeCell ref="P395:T395"/>
    <mergeCell ref="P96:T96"/>
    <mergeCell ref="P261:T261"/>
    <mergeCell ref="P332:T332"/>
    <mergeCell ref="P217:T217"/>
    <mergeCell ref="D204:E204"/>
    <mergeCell ref="P161:T161"/>
    <mergeCell ref="D420:E420"/>
    <mergeCell ref="A152:O153"/>
    <mergeCell ref="A143:Z143"/>
    <mergeCell ref="P121:V121"/>
    <mergeCell ref="D80:E80"/>
    <mergeCell ref="P61:T61"/>
    <mergeCell ref="P105:T105"/>
    <mergeCell ref="P214:T214"/>
    <mergeCell ref="P270:T270"/>
    <mergeCell ref="P306:T306"/>
    <mergeCell ref="P157:V157"/>
    <mergeCell ref="A38:Z38"/>
    <mergeCell ref="A274:Z274"/>
    <mergeCell ref="P207:T207"/>
    <mergeCell ref="P299:T299"/>
    <mergeCell ref="P221:V221"/>
    <mergeCell ref="D138:E138"/>
    <mergeCell ref="P386:V386"/>
    <mergeCell ref="A211:Z211"/>
    <mergeCell ref="D86:E86"/>
    <mergeCell ref="D54:E54"/>
    <mergeCell ref="D57:E57"/>
    <mergeCell ref="A419:Z419"/>
    <mergeCell ref="P204:T204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P441:T441"/>
    <mergeCell ref="A406:Z406"/>
    <mergeCell ref="P385:V385"/>
    <mergeCell ref="A381:Z381"/>
    <mergeCell ref="P124:V124"/>
    <mergeCell ref="P360:V360"/>
    <mergeCell ref="P489:T489"/>
    <mergeCell ref="D74:E74"/>
    <mergeCell ref="P87:T87"/>
    <mergeCell ref="P451:T451"/>
    <mergeCell ref="D372:E372"/>
    <mergeCell ref="D201:E201"/>
    <mergeCell ref="P224:T224"/>
    <mergeCell ref="A285:O286"/>
    <mergeCell ref="P260:T260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340:E340"/>
    <mergeCell ref="T6:U9"/>
    <mergeCell ref="Q10:R10"/>
    <mergeCell ref="P368:V368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D68:E68"/>
    <mergeCell ref="P71:V71"/>
    <mergeCell ref="P58:V58"/>
    <mergeCell ref="A13:M13"/>
    <mergeCell ref="D61:E61"/>
    <mergeCell ref="D254:E254"/>
    <mergeCell ref="A15:M15"/>
    <mergeCell ref="P238:T238"/>
    <mergeCell ref="A359:O360"/>
    <mergeCell ref="D362:E362"/>
    <mergeCell ref="P235:T235"/>
    <mergeCell ref="D349:E349"/>
    <mergeCell ref="A14:M14"/>
    <mergeCell ref="D109:E109"/>
    <mergeCell ref="P138:T138"/>
    <mergeCell ref="T5:U5"/>
    <mergeCell ref="D119:E119"/>
    <mergeCell ref="P76:T76"/>
    <mergeCell ref="V5:W5"/>
    <mergeCell ref="D246:E246"/>
    <mergeCell ref="P203:T203"/>
    <mergeCell ref="D233:E233"/>
    <mergeCell ref="D111:E111"/>
    <mergeCell ref="A142:Z142"/>
    <mergeCell ref="Q8:R8"/>
    <mergeCell ref="P69:T69"/>
    <mergeCell ref="D219:E219"/>
    <mergeCell ref="D104:E104"/>
    <mergeCell ref="P83:V83"/>
    <mergeCell ref="A79:Z79"/>
    <mergeCell ref="A82:O83"/>
    <mergeCell ref="H17:H18"/>
    <mergeCell ref="H5:M5"/>
    <mergeCell ref="A9:C9"/>
    <mergeCell ref="Q5:R5"/>
    <mergeCell ref="Q6:R6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182:E182"/>
    <mergeCell ref="A466:O467"/>
    <mergeCell ref="D469:E469"/>
    <mergeCell ref="R500:R501"/>
    <mergeCell ref="A272:O27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A5:C5"/>
    <mergeCell ref="A473:Z473"/>
    <mergeCell ref="P340:T340"/>
    <mergeCell ref="P135:V135"/>
    <mergeCell ref="P64:V64"/>
    <mergeCell ref="A423:Z423"/>
    <mergeCell ref="A108:Z108"/>
    <mergeCell ref="D166:E166"/>
    <mergeCell ref="D464:E464"/>
    <mergeCell ref="D402:E402"/>
    <mergeCell ref="A17:A18"/>
    <mergeCell ref="P364:V364"/>
    <mergeCell ref="A189:Z189"/>
    <mergeCell ref="C17:C18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9:E9"/>
    <mergeCell ref="D448:E448"/>
    <mergeCell ref="P119:T119"/>
    <mergeCell ref="P354:V354"/>
    <mergeCell ref="P246:T246"/>
    <mergeCell ref="P183:V183"/>
    <mergeCell ref="P469:T469"/>
    <mergeCell ref="D390:E390"/>
    <mergeCell ref="P491:V491"/>
    <mergeCell ref="P369:V369"/>
    <mergeCell ref="P198:V198"/>
    <mergeCell ref="A487:Z487"/>
    <mergeCell ref="P197:T197"/>
    <mergeCell ref="A354:O355"/>
    <mergeCell ref="A183:O184"/>
    <mergeCell ref="D167:E167"/>
    <mergeCell ref="P351:T351"/>
    <mergeCell ref="P289:T289"/>
    <mergeCell ref="D161:E161"/>
    <mergeCell ref="D403:E403"/>
    <mergeCell ref="D232:E232"/>
    <mergeCell ref="A164:Z164"/>
    <mergeCell ref="D327:E327"/>
    <mergeCell ref="P439:V439"/>
    <mergeCell ref="D398:E398"/>
    <mergeCell ref="X500:X501"/>
    <mergeCell ref="D235:E235"/>
    <mergeCell ref="Z500:Z501"/>
    <mergeCell ref="Q9:R9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A322:O323"/>
    <mergeCell ref="P180:T180"/>
    <mergeCell ref="P118:T118"/>
    <mergeCell ref="P167:T167"/>
    <mergeCell ref="P336:V336"/>
    <mergeCell ref="D88:E88"/>
    <mergeCell ref="A459:Z459"/>
    <mergeCell ref="P403:T403"/>
    <mergeCell ref="P378:T378"/>
    <mergeCell ref="P117:T117"/>
    <mergeCell ref="P55:T55"/>
    <mergeCell ref="Y500:Y501"/>
    <mergeCell ref="P428:T428"/>
    <mergeCell ref="A309:O310"/>
    <mergeCell ref="P284:T284"/>
    <mergeCell ref="A344:Z344"/>
    <mergeCell ref="A229:Z229"/>
    <mergeCell ref="P17:T18"/>
    <mergeCell ref="P323:V323"/>
    <mergeCell ref="A148:Z148"/>
    <mergeCell ref="P129:T129"/>
    <mergeCell ref="P63:T6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456:T456"/>
    <mergeCell ref="S499:T499"/>
    <mergeCell ref="P47:T47"/>
    <mergeCell ref="D1:F1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D377:E377"/>
    <mergeCell ref="P114:V114"/>
    <mergeCell ref="P414:T414"/>
    <mergeCell ref="P352:T352"/>
    <mergeCell ref="P301:V301"/>
    <mergeCell ref="P178:V178"/>
    <mergeCell ref="A177:O178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A282:Z282"/>
    <mergeCell ref="P464:T464"/>
    <mergeCell ref="A187:O188"/>
    <mergeCell ref="D5:E5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268:T268"/>
    <mergeCell ref="D382:E382"/>
    <mergeCell ref="P339:T339"/>
    <mergeCell ref="P230:T230"/>
    <mergeCell ref="P168:T168"/>
    <mergeCell ref="P130:V130"/>
    <mergeCell ref="P59:V59"/>
    <mergeCell ref="A6:C6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D353:E353"/>
    <mergeCell ref="P242:T242"/>
    <mergeCell ref="D55:E55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A311:Z311"/>
    <mergeCell ref="P402:T402"/>
    <mergeCell ref="A485:O486"/>
    <mergeCell ref="P474:T474"/>
    <mergeCell ref="A468:Z468"/>
    <mergeCell ref="P182:T182"/>
    <mergeCell ref="P417:V417"/>
    <mergeCell ref="Q12:R12"/>
    <mergeCell ref="D442:E442"/>
    <mergeCell ref="D144:E144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261:E261"/>
    <mergeCell ref="P169:T169"/>
    <mergeCell ref="A130:O131"/>
    <mergeCell ref="P442:T442"/>
    <mergeCell ref="D118:E118"/>
    <mergeCell ref="P53:T53"/>
    <mergeCell ref="D63:E63"/>
    <mergeCell ref="D52:E52"/>
    <mergeCell ref="A438:O439"/>
    <mergeCell ref="P308:T308"/>
    <mergeCell ref="P427:T427"/>
    <mergeCell ref="A146:O147"/>
    <mergeCell ref="P283:T283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C499:H499"/>
    <mergeCell ref="P234:T234"/>
    <mergeCell ref="D378:E378"/>
    <mergeCell ref="P236:T236"/>
    <mergeCell ref="P334:T334"/>
    <mergeCell ref="P394:T394"/>
    <mergeCell ref="D315:E315"/>
    <mergeCell ref="P452:T452"/>
    <mergeCell ref="A258:Z258"/>
    <mergeCell ref="P37:V37"/>
    <mergeCell ref="P104:T104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W17:W18"/>
    <mergeCell ref="P90:V90"/>
    <mergeCell ref="A120:O121"/>
    <mergeCell ref="R1:T1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P141:V141"/>
    <mergeCell ref="A140:O141"/>
    <mergeCell ref="V10:W10"/>
    <mergeCell ref="D129:E129"/>
    <mergeCell ref="D7:M7"/>
    <mergeCell ref="P91:V91"/>
    <mergeCell ref="P156:V156"/>
    <mergeCell ref="A209:O210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D205:E205"/>
    <mergeCell ref="A379:O380"/>
    <mergeCell ref="D363:E363"/>
    <mergeCell ref="D357:E357"/>
    <mergeCell ref="P172:T172"/>
    <mergeCell ref="P432:T432"/>
    <mergeCell ref="P400:V400"/>
    <mergeCell ref="P73:T73"/>
    <mergeCell ref="P144:T144"/>
    <mergeCell ref="P437:T437"/>
    <mergeCell ref="P315:T315"/>
    <mergeCell ref="P231:T231"/>
    <mergeCell ref="D174:E174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D93:E93"/>
    <mergeCell ref="P277:T277"/>
    <mergeCell ref="D391:E391"/>
    <mergeCell ref="D220:E220"/>
    <mergeCell ref="P199:V199"/>
    <mergeCell ref="A195:Z195"/>
    <mergeCell ref="A198:O199"/>
    <mergeCell ref="A12:M12"/>
    <mergeCell ref="A19:Z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2025-12-16T10:29:37Z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