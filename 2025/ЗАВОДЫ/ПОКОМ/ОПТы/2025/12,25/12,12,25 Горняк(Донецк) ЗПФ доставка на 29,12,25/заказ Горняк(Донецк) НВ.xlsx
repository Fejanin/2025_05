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Don\"/>
    </mc:Choice>
  </mc:AlternateContent>
  <xr:revisionPtr revIDLastSave="0" documentId="13_ncr:1_{1D18FBFF-F3CA-404E-9E80-123F33AC5E1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Y269" i="1" s="1"/>
  <c r="P259" i="1"/>
  <c r="BP258" i="1"/>
  <c r="BO258" i="1"/>
  <c r="BN258" i="1"/>
  <c r="BM258" i="1"/>
  <c r="Z258" i="1"/>
  <c r="Z268" i="1" s="1"/>
  <c r="Y258" i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Y253" i="1"/>
  <c r="P253" i="1"/>
  <c r="BP252" i="1"/>
  <c r="BO252" i="1"/>
  <c r="BN252" i="1"/>
  <c r="BM252" i="1"/>
  <c r="Z252" i="1"/>
  <c r="Z255" i="1" s="1"/>
  <c r="Y252" i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Y245" i="1"/>
  <c r="X245" i="1"/>
  <c r="Z244" i="1"/>
  <c r="X244" i="1"/>
  <c r="BO243" i="1"/>
  <c r="BM243" i="1"/>
  <c r="Z243" i="1"/>
  <c r="Y243" i="1"/>
  <c r="P243" i="1"/>
  <c r="BP242" i="1"/>
  <c r="BO242" i="1"/>
  <c r="BN242" i="1"/>
  <c r="BM242" i="1"/>
  <c r="Z242" i="1"/>
  <c r="Y242" i="1"/>
  <c r="Y244" i="1" s="1"/>
  <c r="P242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4" i="1"/>
  <c r="Y233" i="1"/>
  <c r="X233" i="1"/>
  <c r="BP232" i="1"/>
  <c r="BO232" i="1"/>
  <c r="BN232" i="1"/>
  <c r="BM232" i="1"/>
  <c r="Z232" i="1"/>
  <c r="Z233" i="1" s="1"/>
  <c r="Y232" i="1"/>
  <c r="Y234" i="1" s="1"/>
  <c r="P232" i="1"/>
  <c r="X228" i="1"/>
  <c r="Y227" i="1"/>
  <c r="X227" i="1"/>
  <c r="BP226" i="1"/>
  <c r="BO226" i="1"/>
  <c r="BN226" i="1"/>
  <c r="BM226" i="1"/>
  <c r="Z226" i="1"/>
  <c r="Z227" i="1" s="1"/>
  <c r="Y226" i="1"/>
  <c r="Y228" i="1" s="1"/>
  <c r="P226" i="1"/>
  <c r="X222" i="1"/>
  <c r="Y221" i="1"/>
  <c r="X221" i="1"/>
  <c r="BP220" i="1"/>
  <c r="BO220" i="1"/>
  <c r="BN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Z215" i="1" s="1"/>
  <c r="Y213" i="1"/>
  <c r="P213" i="1"/>
  <c r="X211" i="1"/>
  <c r="Z210" i="1"/>
  <c r="X210" i="1"/>
  <c r="BO209" i="1"/>
  <c r="BM209" i="1"/>
  <c r="Z209" i="1"/>
  <c r="Y209" i="1"/>
  <c r="Y211" i="1" s="1"/>
  <c r="P209" i="1"/>
  <c r="Y206" i="1"/>
  <c r="X206" i="1"/>
  <c r="Z205" i="1"/>
  <c r="X205" i="1"/>
  <c r="BO204" i="1"/>
  <c r="BM204" i="1"/>
  <c r="Z204" i="1"/>
  <c r="Y204" i="1"/>
  <c r="P204" i="1"/>
  <c r="X201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Z200" i="1" s="1"/>
  <c r="Y196" i="1"/>
  <c r="P196" i="1"/>
  <c r="BO195" i="1"/>
  <c r="BM195" i="1"/>
  <c r="Z195" i="1"/>
  <c r="Y195" i="1"/>
  <c r="Y201" i="1" s="1"/>
  <c r="P195" i="1"/>
  <c r="Y193" i="1"/>
  <c r="X193" i="1"/>
  <c r="Z192" i="1"/>
  <c r="X192" i="1"/>
  <c r="BO191" i="1"/>
  <c r="BM191" i="1"/>
  <c r="Z191" i="1"/>
  <c r="Y191" i="1"/>
  <c r="P191" i="1"/>
  <c r="X187" i="1"/>
  <c r="Z186" i="1"/>
  <c r="X186" i="1"/>
  <c r="BO185" i="1"/>
  <c r="BM185" i="1"/>
  <c r="Z185" i="1"/>
  <c r="Y185" i="1"/>
  <c r="Y187" i="1" s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Y172" i="1"/>
  <c r="P172" i="1"/>
  <c r="Y168" i="1"/>
  <c r="X168" i="1"/>
  <c r="Z167" i="1"/>
  <c r="X167" i="1"/>
  <c r="BO166" i="1"/>
  <c r="BM166" i="1"/>
  <c r="Z166" i="1"/>
  <c r="Y166" i="1"/>
  <c r="P166" i="1"/>
  <c r="X163" i="1"/>
  <c r="Z162" i="1"/>
  <c r="X162" i="1"/>
  <c r="BO161" i="1"/>
  <c r="BM161" i="1"/>
  <c r="Z161" i="1"/>
  <c r="Y161" i="1"/>
  <c r="Y163" i="1" s="1"/>
  <c r="P161" i="1"/>
  <c r="Y158" i="1"/>
  <c r="X158" i="1"/>
  <c r="Z157" i="1"/>
  <c r="X157" i="1"/>
  <c r="BO156" i="1"/>
  <c r="BM156" i="1"/>
  <c r="Z156" i="1"/>
  <c r="Y156" i="1"/>
  <c r="P156" i="1"/>
  <c r="X153" i="1"/>
  <c r="Z152" i="1"/>
  <c r="X152" i="1"/>
  <c r="BO151" i="1"/>
  <c r="BM151" i="1"/>
  <c r="Z151" i="1"/>
  <c r="Y151" i="1"/>
  <c r="Y153" i="1" s="1"/>
  <c r="P151" i="1"/>
  <c r="Y148" i="1"/>
  <c r="X148" i="1"/>
  <c r="Z147" i="1"/>
  <c r="X147" i="1"/>
  <c r="BO146" i="1"/>
  <c r="BM146" i="1"/>
  <c r="Z146" i="1"/>
  <c r="Y146" i="1"/>
  <c r="P146" i="1"/>
  <c r="BP145" i="1"/>
  <c r="BO145" i="1"/>
  <c r="BN145" i="1"/>
  <c r="BM145" i="1"/>
  <c r="Z145" i="1"/>
  <c r="Y145" i="1"/>
  <c r="Y147" i="1" s="1"/>
  <c r="P145" i="1"/>
  <c r="X142" i="1"/>
  <c r="X141" i="1"/>
  <c r="BO140" i="1"/>
  <c r="BM140" i="1"/>
  <c r="Z140" i="1"/>
  <c r="Y140" i="1"/>
  <c r="BP140" i="1" s="1"/>
  <c r="P140" i="1"/>
  <c r="BP139" i="1"/>
  <c r="BO139" i="1"/>
  <c r="BN139" i="1"/>
  <c r="BM139" i="1"/>
  <c r="Z139" i="1"/>
  <c r="Z141" i="1" s="1"/>
  <c r="Y139" i="1"/>
  <c r="P139" i="1"/>
  <c r="X136" i="1"/>
  <c r="X135" i="1"/>
  <c r="BP134" i="1"/>
  <c r="BO134" i="1"/>
  <c r="BN134" i="1"/>
  <c r="BM134" i="1"/>
  <c r="Z134" i="1"/>
  <c r="Y134" i="1"/>
  <c r="P134" i="1"/>
  <c r="BO133" i="1"/>
  <c r="BM133" i="1"/>
  <c r="Z133" i="1"/>
  <c r="Z135" i="1" s="1"/>
  <c r="Y133" i="1"/>
  <c r="Y135" i="1" s="1"/>
  <c r="P133" i="1"/>
  <c r="X130" i="1"/>
  <c r="Z129" i="1"/>
  <c r="X129" i="1"/>
  <c r="BO128" i="1"/>
  <c r="BM128" i="1"/>
  <c r="Z128" i="1"/>
  <c r="Y128" i="1"/>
  <c r="Y130" i="1" s="1"/>
  <c r="P128" i="1"/>
  <c r="X126" i="1"/>
  <c r="Z125" i="1"/>
  <c r="X125" i="1"/>
  <c r="BO124" i="1"/>
  <c r="BM124" i="1"/>
  <c r="Z124" i="1"/>
  <c r="Y124" i="1"/>
  <c r="Y126" i="1" s="1"/>
  <c r="P124" i="1"/>
  <c r="X122" i="1"/>
  <c r="X121" i="1"/>
  <c r="BO120" i="1"/>
  <c r="BM120" i="1"/>
  <c r="Z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Y122" i="1" s="1"/>
  <c r="P114" i="1"/>
  <c r="BP113" i="1"/>
  <c r="BO113" i="1"/>
  <c r="BN113" i="1"/>
  <c r="BM113" i="1"/>
  <c r="Z113" i="1"/>
  <c r="Z121" i="1" s="1"/>
  <c r="Y113" i="1"/>
  <c r="Y121" i="1" s="1"/>
  <c r="P113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Z109" i="1" s="1"/>
  <c r="Y107" i="1"/>
  <c r="Y109" i="1" s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Z98" i="1"/>
  <c r="Y98" i="1"/>
  <c r="Y104" i="1" s="1"/>
  <c r="P98" i="1"/>
  <c r="BP97" i="1"/>
  <c r="BO97" i="1"/>
  <c r="BN97" i="1"/>
  <c r="BM97" i="1"/>
  <c r="Z97" i="1"/>
  <c r="Z103" i="1" s="1"/>
  <c r="Y97" i="1"/>
  <c r="Y103" i="1" s="1"/>
  <c r="P97" i="1"/>
  <c r="X94" i="1"/>
  <c r="X93" i="1"/>
  <c r="BP92" i="1"/>
  <c r="BO92" i="1"/>
  <c r="BN92" i="1"/>
  <c r="BM92" i="1"/>
  <c r="Z92" i="1"/>
  <c r="Y92" i="1"/>
  <c r="P92" i="1"/>
  <c r="BO91" i="1"/>
  <c r="BM91" i="1"/>
  <c r="Z91" i="1"/>
  <c r="Z93" i="1" s="1"/>
  <c r="Y91" i="1"/>
  <c r="Y93" i="1" s="1"/>
  <c r="P91" i="1"/>
  <c r="X88" i="1"/>
  <c r="Z87" i="1"/>
  <c r="X87" i="1"/>
  <c r="BO86" i="1"/>
  <c r="BM86" i="1"/>
  <c r="Z86" i="1"/>
  <c r="Y86" i="1"/>
  <c r="Y88" i="1" s="1"/>
  <c r="P86" i="1"/>
  <c r="X83" i="1"/>
  <c r="X82" i="1"/>
  <c r="BO81" i="1"/>
  <c r="BM81" i="1"/>
  <c r="Z81" i="1"/>
  <c r="Y81" i="1"/>
  <c r="Y83" i="1" s="1"/>
  <c r="P81" i="1"/>
  <c r="BP80" i="1"/>
  <c r="BO80" i="1"/>
  <c r="BN80" i="1"/>
  <c r="BM80" i="1"/>
  <c r="Z80" i="1"/>
  <c r="Z82" i="1" s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Y76" i="1" s="1"/>
  <c r="P74" i="1"/>
  <c r="BP73" i="1"/>
  <c r="BO73" i="1"/>
  <c r="BN73" i="1"/>
  <c r="BM73" i="1"/>
  <c r="Z73" i="1"/>
  <c r="Z76" i="1" s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Z70" i="1" s="1"/>
  <c r="Y68" i="1"/>
  <c r="Y70" i="1" s="1"/>
  <c r="P68" i="1"/>
  <c r="X66" i="1"/>
  <c r="Z65" i="1"/>
  <c r="X65" i="1"/>
  <c r="BO64" i="1"/>
  <c r="BM64" i="1"/>
  <c r="Z64" i="1"/>
  <c r="Y64" i="1"/>
  <c r="Y66" i="1" s="1"/>
  <c r="P64" i="1"/>
  <c r="X62" i="1"/>
  <c r="Z61" i="1"/>
  <c r="X61" i="1"/>
  <c r="BO60" i="1"/>
  <c r="BM60" i="1"/>
  <c r="Z60" i="1"/>
  <c r="Y60" i="1"/>
  <c r="Y62" i="1" s="1"/>
  <c r="P60" i="1"/>
  <c r="X57" i="1"/>
  <c r="X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Y57" i="1" s="1"/>
  <c r="P53" i="1"/>
  <c r="BP52" i="1"/>
  <c r="BO52" i="1"/>
  <c r="BN52" i="1"/>
  <c r="BM52" i="1"/>
  <c r="Z52" i="1"/>
  <c r="Z56" i="1" s="1"/>
  <c r="Y52" i="1"/>
  <c r="Y56" i="1" s="1"/>
  <c r="P52" i="1"/>
  <c r="X49" i="1"/>
  <c r="X48" i="1"/>
  <c r="BP47" i="1"/>
  <c r="BO47" i="1"/>
  <c r="BN47" i="1"/>
  <c r="BM47" i="1"/>
  <c r="Z47" i="1"/>
  <c r="Y47" i="1"/>
  <c r="P47" i="1"/>
  <c r="BO46" i="1"/>
  <c r="BM46" i="1"/>
  <c r="Z46" i="1"/>
  <c r="Y46" i="1"/>
  <c r="Y48" i="1" s="1"/>
  <c r="P46" i="1"/>
  <c r="BP45" i="1"/>
  <c r="BO45" i="1"/>
  <c r="BN45" i="1"/>
  <c r="BM45" i="1"/>
  <c r="Z45" i="1"/>
  <c r="Z48" i="1" s="1"/>
  <c r="Y45" i="1"/>
  <c r="Y49" i="1" s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Z41" i="1" s="1"/>
  <c r="Y39" i="1"/>
  <c r="Y41" i="1" s="1"/>
  <c r="P39" i="1"/>
  <c r="X35" i="1"/>
  <c r="X34" i="1"/>
  <c r="BO33" i="1"/>
  <c r="BM33" i="1"/>
  <c r="Z33" i="1"/>
  <c r="Y33" i="1"/>
  <c r="Y35" i="1" s="1"/>
  <c r="P33" i="1"/>
  <c r="BP32" i="1"/>
  <c r="BO32" i="1"/>
  <c r="BN32" i="1"/>
  <c r="BM32" i="1"/>
  <c r="Z32" i="1"/>
  <c r="Z34" i="1" s="1"/>
  <c r="Y32" i="1"/>
  <c r="Y34" i="1" s="1"/>
  <c r="P32" i="1"/>
  <c r="X29" i="1"/>
  <c r="X270" i="1" s="1"/>
  <c r="X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72" i="1" s="1"/>
  <c r="BM22" i="1"/>
  <c r="X271" i="1" s="1"/>
  <c r="X273" i="1" s="1"/>
  <c r="Z22" i="1"/>
  <c r="Z28" i="1" s="1"/>
  <c r="Y22" i="1"/>
  <c r="Y28" i="1" s="1"/>
  <c r="P22" i="1"/>
  <c r="H10" i="1"/>
  <c r="A9" i="1"/>
  <c r="A10" i="1" s="1"/>
  <c r="D7" i="1"/>
  <c r="Q6" i="1"/>
  <c r="P2" i="1"/>
  <c r="F9" i="1" l="1"/>
  <c r="J9" i="1"/>
  <c r="F10" i="1"/>
  <c r="BN22" i="1"/>
  <c r="BP22" i="1"/>
  <c r="BN24" i="1"/>
  <c r="BN26" i="1"/>
  <c r="X274" i="1"/>
  <c r="Y29" i="1"/>
  <c r="BN33" i="1"/>
  <c r="BP33" i="1"/>
  <c r="BN39" i="1"/>
  <c r="BP39" i="1"/>
  <c r="Y42" i="1"/>
  <c r="BN46" i="1"/>
  <c r="BP46" i="1"/>
  <c r="BN53" i="1"/>
  <c r="BP53" i="1"/>
  <c r="BN55" i="1"/>
  <c r="BN60" i="1"/>
  <c r="BP60" i="1"/>
  <c r="Y61" i="1"/>
  <c r="BN64" i="1"/>
  <c r="BP64" i="1"/>
  <c r="Y65" i="1"/>
  <c r="Y274" i="1" s="1"/>
  <c r="BN68" i="1"/>
  <c r="BP68" i="1"/>
  <c r="Y71" i="1"/>
  <c r="BN74" i="1"/>
  <c r="BP74" i="1"/>
  <c r="BN81" i="1"/>
  <c r="BP81" i="1"/>
  <c r="BN86" i="1"/>
  <c r="BP86" i="1"/>
  <c r="Y87" i="1"/>
  <c r="BN91" i="1"/>
  <c r="BP91" i="1"/>
  <c r="Y94" i="1"/>
  <c r="BN98" i="1"/>
  <c r="BP98" i="1"/>
  <c r="BN100" i="1"/>
  <c r="BN102" i="1"/>
  <c r="BN107" i="1"/>
  <c r="BP107" i="1"/>
  <c r="Y110" i="1"/>
  <c r="BN114" i="1"/>
  <c r="BP114" i="1"/>
  <c r="BN116" i="1"/>
  <c r="BN118" i="1"/>
  <c r="BN120" i="1"/>
  <c r="BN124" i="1"/>
  <c r="BP124" i="1"/>
  <c r="Y125" i="1"/>
  <c r="BN128" i="1"/>
  <c r="BP128" i="1"/>
  <c r="Y129" i="1"/>
  <c r="BN133" i="1"/>
  <c r="BP133" i="1"/>
  <c r="Y136" i="1"/>
  <c r="Y142" i="1"/>
  <c r="BN140" i="1"/>
  <c r="Y141" i="1"/>
  <c r="BP146" i="1"/>
  <c r="BN146" i="1"/>
  <c r="Y157" i="1"/>
  <c r="BP156" i="1"/>
  <c r="BN156" i="1"/>
  <c r="Y167" i="1"/>
  <c r="BP166" i="1"/>
  <c r="BN166" i="1"/>
  <c r="Z174" i="1"/>
  <c r="Z275" i="1" s="1"/>
  <c r="Y183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Z249" i="1"/>
  <c r="Y256" i="1"/>
  <c r="Y268" i="1"/>
  <c r="H9" i="1"/>
  <c r="Y152" i="1"/>
  <c r="BP151" i="1"/>
  <c r="BN151" i="1"/>
  <c r="Y162" i="1"/>
  <c r="BP161" i="1"/>
  <c r="BN161" i="1"/>
  <c r="Y175" i="1"/>
  <c r="BP172" i="1"/>
  <c r="BN172" i="1"/>
  <c r="Y174" i="1"/>
  <c r="BP180" i="1"/>
  <c r="BN180" i="1"/>
  <c r="Y182" i="1"/>
  <c r="Y186" i="1"/>
  <c r="BP185" i="1"/>
  <c r="BN185" i="1"/>
  <c r="Y200" i="1"/>
  <c r="BP195" i="1"/>
  <c r="BN195" i="1"/>
  <c r="BP197" i="1"/>
  <c r="BN197" i="1"/>
  <c r="BP199" i="1"/>
  <c r="BN199" i="1"/>
  <c r="Y210" i="1"/>
  <c r="BP209" i="1"/>
  <c r="BN209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Y271" i="1" l="1"/>
  <c r="Y270" i="1"/>
  <c r="Y272" i="1"/>
  <c r="Y273" i="1" l="1"/>
  <c r="B283" i="1" s="1"/>
  <c r="A283" i="1"/>
  <c r="C283" i="1" l="1"/>
</calcChain>
</file>

<file path=xl/sharedStrings.xml><?xml version="1.0" encoding="utf-8"?>
<sst xmlns="http://schemas.openxmlformats.org/spreadsheetml/2006/main" count="1222" uniqueCount="394">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</sst>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topLeftCell="A259" zoomScaleNormal="100" zoomScaleSheetLayoutView="100" workbookViewId="0">
      <selection activeCell="AA276" sqref="AA276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18" t="s">
        <v>0</v>
      </c>
      <c r="E1" s="295"/>
      <c r="F1" s="295"/>
      <c r="G1" s="12" t="s">
        <v>1</v>
      </c>
      <c r="H1" s="318" t="s">
        <v>2</v>
      </c>
      <c r="I1" s="295"/>
      <c r="J1" s="295"/>
      <c r="K1" s="295"/>
      <c r="L1" s="295"/>
      <c r="M1" s="295"/>
      <c r="N1" s="295"/>
      <c r="O1" s="295"/>
      <c r="P1" s="295"/>
      <c r="Q1" s="295"/>
      <c r="R1" s="294" t="s">
        <v>3</v>
      </c>
      <c r="S1" s="295"/>
      <c r="T1" s="2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7" t="s">
        <v>7</v>
      </c>
      <c r="B5" s="320"/>
      <c r="C5" s="321"/>
      <c r="D5" s="324"/>
      <c r="E5" s="325"/>
      <c r="F5" s="437" t="s">
        <v>8</v>
      </c>
      <c r="G5" s="321"/>
      <c r="H5" s="324"/>
      <c r="I5" s="409"/>
      <c r="J5" s="409"/>
      <c r="K5" s="409"/>
      <c r="L5" s="409"/>
      <c r="M5" s="325"/>
      <c r="N5" s="61"/>
      <c r="P5" s="24" t="s">
        <v>9</v>
      </c>
      <c r="Q5" s="443">
        <v>45999</v>
      </c>
      <c r="R5" s="346"/>
      <c r="T5" s="370" t="s">
        <v>10</v>
      </c>
      <c r="U5" s="371"/>
      <c r="V5" s="372" t="s">
        <v>11</v>
      </c>
      <c r="W5" s="346"/>
      <c r="AB5" s="51"/>
      <c r="AC5" s="51"/>
      <c r="AD5" s="51"/>
      <c r="AE5" s="51"/>
    </row>
    <row r="6" spans="1:32" s="262" customFormat="1" ht="24" customHeight="1" x14ac:dyDescent="0.2">
      <c r="A6" s="347" t="s">
        <v>12</v>
      </c>
      <c r="B6" s="320"/>
      <c r="C6" s="321"/>
      <c r="D6" s="411" t="s">
        <v>13</v>
      </c>
      <c r="E6" s="412"/>
      <c r="F6" s="412"/>
      <c r="G6" s="412"/>
      <c r="H6" s="412"/>
      <c r="I6" s="412"/>
      <c r="J6" s="412"/>
      <c r="K6" s="412"/>
      <c r="L6" s="412"/>
      <c r="M6" s="346"/>
      <c r="N6" s="62"/>
      <c r="P6" s="24" t="s">
        <v>14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273"/>
      <c r="T6" s="376" t="s">
        <v>15</v>
      </c>
      <c r="U6" s="371"/>
      <c r="V6" s="399" t="s">
        <v>16</v>
      </c>
      <c r="W6" s="301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5"/>
      <c r="U7" s="371"/>
      <c r="V7" s="400"/>
      <c r="W7" s="401"/>
      <c r="AB7" s="51"/>
      <c r="AC7" s="51"/>
      <c r="AD7" s="51"/>
      <c r="AE7" s="51"/>
    </row>
    <row r="8" spans="1:32" s="262" customFormat="1" ht="25.5" customHeight="1" x14ac:dyDescent="0.2">
      <c r="A8" s="455" t="s">
        <v>17</v>
      </c>
      <c r="B8" s="278"/>
      <c r="C8" s="279"/>
      <c r="D8" s="314" t="s">
        <v>18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19</v>
      </c>
      <c r="Q8" s="352">
        <v>0.41666666666666669</v>
      </c>
      <c r="R8" s="308"/>
      <c r="T8" s="285"/>
      <c r="U8" s="371"/>
      <c r="V8" s="400"/>
      <c r="W8" s="401"/>
      <c r="AB8" s="51"/>
      <c r="AC8" s="51"/>
      <c r="AD8" s="51"/>
      <c r="AE8" s="51"/>
    </row>
    <row r="9" spans="1:32" s="262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58"/>
      <c r="E9" s="281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60"/>
      <c r="P9" s="26" t="s">
        <v>20</v>
      </c>
      <c r="Q9" s="343"/>
      <c r="R9" s="344"/>
      <c r="T9" s="285"/>
      <c r="U9" s="371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58"/>
      <c r="E10" s="281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95" t="str">
        <f>IFERROR(VLOOKUP($D$10,Proxy,2,FALSE),"")</f>
        <v/>
      </c>
      <c r="I10" s="285"/>
      <c r="J10" s="285"/>
      <c r="K10" s="285"/>
      <c r="L10" s="285"/>
      <c r="M10" s="285"/>
      <c r="N10" s="261"/>
      <c r="P10" s="26" t="s">
        <v>21</v>
      </c>
      <c r="Q10" s="377"/>
      <c r="R10" s="378"/>
      <c r="U10" s="24" t="s">
        <v>22</v>
      </c>
      <c r="V10" s="300" t="s">
        <v>23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5"/>
      <c r="R11" s="346"/>
      <c r="U11" s="24" t="s">
        <v>26</v>
      </c>
      <c r="V11" s="416" t="s">
        <v>27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8" t="s">
        <v>28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1"/>
      <c r="N12" s="65"/>
      <c r="P12" s="24" t="s">
        <v>29</v>
      </c>
      <c r="Q12" s="352"/>
      <c r="R12" s="308"/>
      <c r="S12" s="23"/>
      <c r="U12" s="24"/>
      <c r="V12" s="295"/>
      <c r="W12" s="285"/>
      <c r="AB12" s="51"/>
      <c r="AC12" s="51"/>
      <c r="AD12" s="51"/>
      <c r="AE12" s="51"/>
    </row>
    <row r="13" spans="1:32" s="262" customFormat="1" ht="23.25" customHeight="1" x14ac:dyDescent="0.2">
      <c r="A13" s="368" t="s">
        <v>30</v>
      </c>
      <c r="B13" s="320"/>
      <c r="C13" s="320"/>
      <c r="D13" s="320"/>
      <c r="E13" s="320"/>
      <c r="F13" s="320"/>
      <c r="G13" s="320"/>
      <c r="H13" s="320"/>
      <c r="I13" s="320"/>
      <c r="J13" s="320"/>
      <c r="K13" s="320"/>
      <c r="L13" s="320"/>
      <c r="M13" s="321"/>
      <c r="N13" s="65"/>
      <c r="O13" s="26"/>
      <c r="P13" s="26" t="s">
        <v>31</v>
      </c>
      <c r="Q13" s="416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8" t="s">
        <v>32</v>
      </c>
      <c r="B14" s="320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3" t="s">
        <v>33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1"/>
      <c r="N15" s="66"/>
      <c r="P15" s="364" t="s">
        <v>34</v>
      </c>
      <c r="Q15" s="295"/>
      <c r="R15" s="295"/>
      <c r="S15" s="295"/>
      <c r="T15" s="2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35</v>
      </c>
      <c r="B17" s="296" t="s">
        <v>36</v>
      </c>
      <c r="C17" s="357" t="s">
        <v>37</v>
      </c>
      <c r="D17" s="296" t="s">
        <v>38</v>
      </c>
      <c r="E17" s="337"/>
      <c r="F17" s="296" t="s">
        <v>39</v>
      </c>
      <c r="G17" s="296" t="s">
        <v>40</v>
      </c>
      <c r="H17" s="296" t="s">
        <v>41</v>
      </c>
      <c r="I17" s="296" t="s">
        <v>42</v>
      </c>
      <c r="J17" s="296" t="s">
        <v>43</v>
      </c>
      <c r="K17" s="296" t="s">
        <v>44</v>
      </c>
      <c r="L17" s="296" t="s">
        <v>45</v>
      </c>
      <c r="M17" s="296" t="s">
        <v>46</v>
      </c>
      <c r="N17" s="296" t="s">
        <v>47</v>
      </c>
      <c r="O17" s="296" t="s">
        <v>48</v>
      </c>
      <c r="P17" s="296" t="s">
        <v>49</v>
      </c>
      <c r="Q17" s="336"/>
      <c r="R17" s="336"/>
      <c r="S17" s="336"/>
      <c r="T17" s="337"/>
      <c r="U17" s="451" t="s">
        <v>50</v>
      </c>
      <c r="V17" s="321"/>
      <c r="W17" s="296" t="s">
        <v>51</v>
      </c>
      <c r="X17" s="296" t="s">
        <v>52</v>
      </c>
      <c r="Y17" s="452" t="s">
        <v>53</v>
      </c>
      <c r="Z17" s="407" t="s">
        <v>54</v>
      </c>
      <c r="AA17" s="393" t="s">
        <v>55</v>
      </c>
      <c r="AB17" s="393" t="s">
        <v>56</v>
      </c>
      <c r="AC17" s="393" t="s">
        <v>57</v>
      </c>
      <c r="AD17" s="393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97"/>
      <c r="B18" s="297"/>
      <c r="C18" s="297"/>
      <c r="D18" s="338"/>
      <c r="E18" s="340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38"/>
      <c r="Q18" s="339"/>
      <c r="R18" s="339"/>
      <c r="S18" s="339"/>
      <c r="T18" s="340"/>
      <c r="U18" s="70" t="s">
        <v>60</v>
      </c>
      <c r="V18" s="70" t="s">
        <v>61</v>
      </c>
      <c r="W18" s="297"/>
      <c r="X18" s="297"/>
      <c r="Y18" s="453"/>
      <c r="Z18" s="408"/>
      <c r="AA18" s="394"/>
      <c r="AB18" s="394"/>
      <c r="AC18" s="394"/>
      <c r="AD18" s="434"/>
      <c r="AE18" s="435"/>
      <c r="AF18" s="436"/>
      <c r="AG18" s="69"/>
      <c r="BD18" s="68"/>
    </row>
    <row r="19" spans="1:68" ht="27.75" customHeight="1" x14ac:dyDescent="0.2">
      <c r="A19" s="282" t="s">
        <v>62</v>
      </c>
      <c r="B19" s="283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48"/>
      <c r="AB19" s="48"/>
      <c r="AC19" s="48"/>
    </row>
    <row r="20" spans="1:68" ht="16.5" customHeight="1" x14ac:dyDescent="0.25">
      <c r="A20" s="284" t="s">
        <v>62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63"/>
      <c r="AB20" s="263"/>
      <c r="AC20" s="263"/>
    </row>
    <row r="21" spans="1:68" ht="14.25" customHeight="1" x14ac:dyDescent="0.25">
      <c r="A21" s="305" t="s">
        <v>63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2">
        <v>4607111035912</v>
      </c>
      <c r="E22" s="273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5"/>
      <c r="R22" s="275"/>
      <c r="S22" s="275"/>
      <c r="T22" s="276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2">
        <v>4607111035103</v>
      </c>
      <c r="E23" s="273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5"/>
      <c r="R23" s="275"/>
      <c r="S23" s="275"/>
      <c r="T23" s="276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2">
        <v>4607111035929</v>
      </c>
      <c r="E24" s="273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5"/>
      <c r="R24" s="275"/>
      <c r="S24" s="275"/>
      <c r="T24" s="276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2">
        <v>4607111035882</v>
      </c>
      <c r="E25" s="273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5"/>
      <c r="R25" s="275"/>
      <c r="S25" s="275"/>
      <c r="T25" s="276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2">
        <v>4607111035110</v>
      </c>
      <c r="E26" s="273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5"/>
      <c r="R26" s="275"/>
      <c r="S26" s="275"/>
      <c r="T26" s="276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2">
        <v>4607111035905</v>
      </c>
      <c r="E27" s="273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5"/>
      <c r="R27" s="275"/>
      <c r="S27" s="275"/>
      <c r="T27" s="276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8"/>
      <c r="P28" s="277" t="s">
        <v>82</v>
      </c>
      <c r="Q28" s="278"/>
      <c r="R28" s="278"/>
      <c r="S28" s="278"/>
      <c r="T28" s="278"/>
      <c r="U28" s="278"/>
      <c r="V28" s="279"/>
      <c r="W28" s="37" t="s">
        <v>69</v>
      </c>
      <c r="X28" s="270">
        <f>IFERROR(SUM(X22:X27),"0")</f>
        <v>0</v>
      </c>
      <c r="Y28" s="270">
        <f>IFERROR(SUM(Y22:Y27),"0")</f>
        <v>0</v>
      </c>
      <c r="Z28" s="270">
        <f>IFERROR(IF(Z22="",0,Z22),"0")+IFERROR(IF(Z23="",0,Z23),"0")+IFERROR(IF(Z24="",0,Z24),"0")+IFERROR(IF(Z25="",0,Z25),"0")+IFERROR(IF(Z26="",0,Z26),"0")+IFERROR(IF(Z27="",0,Z27),"0")</f>
        <v>0</v>
      </c>
      <c r="AA28" s="271"/>
      <c r="AB28" s="271"/>
      <c r="AC28" s="271"/>
    </row>
    <row r="29" spans="1:68" x14ac:dyDescent="0.2">
      <c r="A29" s="285"/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8"/>
      <c r="P29" s="277" t="s">
        <v>82</v>
      </c>
      <c r="Q29" s="278"/>
      <c r="R29" s="278"/>
      <c r="S29" s="278"/>
      <c r="T29" s="278"/>
      <c r="U29" s="278"/>
      <c r="V29" s="279"/>
      <c r="W29" s="37" t="s">
        <v>83</v>
      </c>
      <c r="X29" s="270">
        <f>IFERROR(SUMPRODUCT(X22:X27*H22:H27),"0")</f>
        <v>0</v>
      </c>
      <c r="Y29" s="270">
        <f>IFERROR(SUMPRODUCT(Y22:Y27*H22:H27),"0")</f>
        <v>0</v>
      </c>
      <c r="Z29" s="37"/>
      <c r="AA29" s="271"/>
      <c r="AB29" s="271"/>
      <c r="AC29" s="271"/>
    </row>
    <row r="30" spans="1:68" ht="16.5" customHeight="1" x14ac:dyDescent="0.25">
      <c r="A30" s="284" t="s">
        <v>84</v>
      </c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63"/>
      <c r="AB30" s="263"/>
      <c r="AC30" s="263"/>
    </row>
    <row r="31" spans="1:68" ht="14.25" customHeight="1" x14ac:dyDescent="0.25">
      <c r="A31" s="305" t="s">
        <v>63</v>
      </c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A31" s="264"/>
      <c r="AB31" s="264"/>
      <c r="AC31" s="264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2">
        <v>4607111039019</v>
      </c>
      <c r="E32" s="273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5"/>
      <c r="R32" s="275"/>
      <c r="S32" s="275"/>
      <c r="T32" s="276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2">
        <v>4607111038708</v>
      </c>
      <c r="E33" s="273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5"/>
      <c r="R33" s="275"/>
      <c r="S33" s="275"/>
      <c r="T33" s="276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8"/>
      <c r="P34" s="277" t="s">
        <v>82</v>
      </c>
      <c r="Q34" s="278"/>
      <c r="R34" s="278"/>
      <c r="S34" s="278"/>
      <c r="T34" s="278"/>
      <c r="U34" s="278"/>
      <c r="V34" s="279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x14ac:dyDescent="0.2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8"/>
      <c r="P35" s="277" t="s">
        <v>82</v>
      </c>
      <c r="Q35" s="278"/>
      <c r="R35" s="278"/>
      <c r="S35" s="278"/>
      <c r="T35" s="278"/>
      <c r="U35" s="278"/>
      <c r="V35" s="279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customHeight="1" x14ac:dyDescent="0.2">
      <c r="A36" s="282" t="s">
        <v>90</v>
      </c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3"/>
      <c r="R36" s="283"/>
      <c r="S36" s="283"/>
      <c r="T36" s="283"/>
      <c r="U36" s="283"/>
      <c r="V36" s="283"/>
      <c r="W36" s="283"/>
      <c r="X36" s="283"/>
      <c r="Y36" s="283"/>
      <c r="Z36" s="283"/>
      <c r="AA36" s="48"/>
      <c r="AB36" s="48"/>
      <c r="AC36" s="48"/>
    </row>
    <row r="37" spans="1:68" ht="16.5" customHeight="1" x14ac:dyDescent="0.25">
      <c r="A37" s="284" t="s">
        <v>91</v>
      </c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63"/>
      <c r="AB37" s="263"/>
      <c r="AC37" s="263"/>
    </row>
    <row r="38" spans="1:68" ht="14.25" customHeight="1" x14ac:dyDescent="0.25">
      <c r="A38" s="305" t="s">
        <v>92</v>
      </c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2">
        <v>4607111036537</v>
      </c>
      <c r="E39" s="273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5"/>
      <c r="R39" s="275"/>
      <c r="S39" s="275"/>
      <c r="T39" s="276"/>
      <c r="U39" s="34"/>
      <c r="V39" s="34"/>
      <c r="W39" s="35" t="s">
        <v>69</v>
      </c>
      <c r="X39" s="268">
        <v>196</v>
      </c>
      <c r="Y39" s="269">
        <f>IFERROR(IF(X39="","",X39),"")</f>
        <v>196</v>
      </c>
      <c r="Z39" s="36">
        <f>IFERROR(IF(X39="","",X39*0.00941),"")</f>
        <v>1.84436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376.6728</v>
      </c>
      <c r="BN39" s="67">
        <f>IFERROR(Y39*I39,"0")</f>
        <v>376.6728</v>
      </c>
      <c r="BO39" s="67">
        <f>IFERROR(X39/J39,"0")</f>
        <v>1.4</v>
      </c>
      <c r="BP39" s="67">
        <f>IFERROR(Y39/J39,"0")</f>
        <v>1.4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2">
        <v>4607111036605</v>
      </c>
      <c r="E40" s="273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5"/>
      <c r="R40" s="275"/>
      <c r="S40" s="275"/>
      <c r="T40" s="276"/>
      <c r="U40" s="34"/>
      <c r="V40" s="34"/>
      <c r="W40" s="35" t="s">
        <v>69</v>
      </c>
      <c r="X40" s="268">
        <v>252</v>
      </c>
      <c r="Y40" s="269">
        <f>IFERROR(IF(X40="","",X40),"")</f>
        <v>252</v>
      </c>
      <c r="Z40" s="36">
        <f>IFERROR(IF(X40="","",X40*0.00941),"")</f>
        <v>2.3713199999999999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484.29359999999997</v>
      </c>
      <c r="BN40" s="67">
        <f>IFERROR(Y40*I40,"0")</f>
        <v>484.29359999999997</v>
      </c>
      <c r="BO40" s="67">
        <f>IFERROR(X40/J40,"0")</f>
        <v>1.8</v>
      </c>
      <c r="BP40" s="67">
        <f>IFERROR(Y40/J40,"0")</f>
        <v>1.8</v>
      </c>
    </row>
    <row r="41" spans="1:68" x14ac:dyDescent="0.2">
      <c r="A41" s="287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8"/>
      <c r="P41" s="277" t="s">
        <v>82</v>
      </c>
      <c r="Q41" s="278"/>
      <c r="R41" s="278"/>
      <c r="S41" s="278"/>
      <c r="T41" s="278"/>
      <c r="U41" s="278"/>
      <c r="V41" s="279"/>
      <c r="W41" s="37" t="s">
        <v>69</v>
      </c>
      <c r="X41" s="270">
        <f>IFERROR(SUM(X39:X40),"0")</f>
        <v>448</v>
      </c>
      <c r="Y41" s="270">
        <f>IFERROR(SUM(Y39:Y40),"0")</f>
        <v>448</v>
      </c>
      <c r="Z41" s="270">
        <f>IFERROR(IF(Z39="",0,Z39),"0")+IFERROR(IF(Z40="",0,Z40),"0")</f>
        <v>4.2156799999999999</v>
      </c>
      <c r="AA41" s="271"/>
      <c r="AB41" s="271"/>
      <c r="AC41" s="271"/>
    </row>
    <row r="42" spans="1:68" x14ac:dyDescent="0.2">
      <c r="A42" s="285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8"/>
      <c r="P42" s="277" t="s">
        <v>82</v>
      </c>
      <c r="Q42" s="278"/>
      <c r="R42" s="278"/>
      <c r="S42" s="278"/>
      <c r="T42" s="278"/>
      <c r="U42" s="278"/>
      <c r="V42" s="279"/>
      <c r="W42" s="37" t="s">
        <v>83</v>
      </c>
      <c r="X42" s="270">
        <f>IFERROR(SUMPRODUCT(X39:X40*H39:H40),"0")</f>
        <v>672</v>
      </c>
      <c r="Y42" s="270">
        <f>IFERROR(SUMPRODUCT(Y39:Y40*H39:H40),"0")</f>
        <v>672</v>
      </c>
      <c r="Z42" s="37"/>
      <c r="AA42" s="271"/>
      <c r="AB42" s="271"/>
      <c r="AC42" s="271"/>
    </row>
    <row r="43" spans="1:68" ht="16.5" customHeight="1" x14ac:dyDescent="0.25">
      <c r="A43" s="284" t="s">
        <v>102</v>
      </c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A43" s="263"/>
      <c r="AB43" s="263"/>
      <c r="AC43" s="263"/>
    </row>
    <row r="44" spans="1:68" ht="14.25" customHeight="1" x14ac:dyDescent="0.25">
      <c r="A44" s="305" t="s">
        <v>63</v>
      </c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2">
        <v>4620207490075</v>
      </c>
      <c r="E45" s="273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9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5"/>
      <c r="R45" s="275"/>
      <c r="S45" s="275"/>
      <c r="T45" s="276"/>
      <c r="U45" s="34"/>
      <c r="V45" s="34"/>
      <c r="W45" s="35" t="s">
        <v>69</v>
      </c>
      <c r="X45" s="268">
        <v>96</v>
      </c>
      <c r="Y45" s="269">
        <f>IFERROR(IF(X45="","",X45),"")</f>
        <v>96</v>
      </c>
      <c r="Z45" s="36">
        <f>IFERROR(IF(X45="","",X45*0.0155),"")</f>
        <v>1.488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563.52</v>
      </c>
      <c r="BN45" s="67">
        <f>IFERROR(Y45*I45,"0")</f>
        <v>563.52</v>
      </c>
      <c r="BO45" s="67">
        <f>IFERROR(X45/J45,"0")</f>
        <v>1.1428571428571428</v>
      </c>
      <c r="BP45" s="67">
        <f>IFERROR(Y45/J45,"0")</f>
        <v>1.1428571428571428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2">
        <v>4620207490174</v>
      </c>
      <c r="E46" s="273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5"/>
      <c r="R46" s="275"/>
      <c r="S46" s="275"/>
      <c r="T46" s="276"/>
      <c r="U46" s="34"/>
      <c r="V46" s="34"/>
      <c r="W46" s="35" t="s">
        <v>69</v>
      </c>
      <c r="X46" s="268">
        <v>36</v>
      </c>
      <c r="Y46" s="269">
        <f>IFERROR(IF(X46="","",X46),"")</f>
        <v>36</v>
      </c>
      <c r="Z46" s="36">
        <f>IFERROR(IF(X46="","",X46*0.0155),"")</f>
        <v>0.55800000000000005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211.32</v>
      </c>
      <c r="BN46" s="67">
        <f>IFERROR(Y46*I46,"0")</f>
        <v>211.32</v>
      </c>
      <c r="BO46" s="67">
        <f>IFERROR(X46/J46,"0")</f>
        <v>0.42857142857142855</v>
      </c>
      <c r="BP46" s="67">
        <f>IFERROR(Y46/J46,"0")</f>
        <v>0.42857142857142855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2">
        <v>4620207490044</v>
      </c>
      <c r="E47" s="273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5"/>
      <c r="R47" s="275"/>
      <c r="S47" s="275"/>
      <c r="T47" s="276"/>
      <c r="U47" s="34"/>
      <c r="V47" s="34"/>
      <c r="W47" s="35" t="s">
        <v>69</v>
      </c>
      <c r="X47" s="268">
        <v>120</v>
      </c>
      <c r="Y47" s="269">
        <f>IFERROR(IF(X47="","",X47),"")</f>
        <v>120</v>
      </c>
      <c r="Z47" s="36">
        <f>IFERROR(IF(X47="","",X47*0.0155),"")</f>
        <v>1.8599999999999999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704.4</v>
      </c>
      <c r="BN47" s="67">
        <f>IFERROR(Y47*I47,"0")</f>
        <v>704.4</v>
      </c>
      <c r="BO47" s="67">
        <f>IFERROR(X47/J47,"0")</f>
        <v>1.4285714285714286</v>
      </c>
      <c r="BP47" s="67">
        <f>IFERROR(Y47/J47,"0")</f>
        <v>1.4285714285714286</v>
      </c>
    </row>
    <row r="48" spans="1:68" x14ac:dyDescent="0.2">
      <c r="A48" s="287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8"/>
      <c r="P48" s="277" t="s">
        <v>82</v>
      </c>
      <c r="Q48" s="278"/>
      <c r="R48" s="278"/>
      <c r="S48" s="278"/>
      <c r="T48" s="278"/>
      <c r="U48" s="278"/>
      <c r="V48" s="279"/>
      <c r="W48" s="37" t="s">
        <v>69</v>
      </c>
      <c r="X48" s="270">
        <f>IFERROR(SUM(X45:X47),"0")</f>
        <v>252</v>
      </c>
      <c r="Y48" s="270">
        <f>IFERROR(SUM(Y45:Y47),"0")</f>
        <v>252</v>
      </c>
      <c r="Z48" s="270">
        <f>IFERROR(IF(Z45="",0,Z45),"0")+IFERROR(IF(Z46="",0,Z46),"0")+IFERROR(IF(Z47="",0,Z47),"0")</f>
        <v>3.9060000000000001</v>
      </c>
      <c r="AA48" s="271"/>
      <c r="AB48" s="271"/>
      <c r="AC48" s="271"/>
    </row>
    <row r="49" spans="1:68" x14ac:dyDescent="0.2">
      <c r="A49" s="285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8"/>
      <c r="P49" s="277" t="s">
        <v>82</v>
      </c>
      <c r="Q49" s="278"/>
      <c r="R49" s="278"/>
      <c r="S49" s="278"/>
      <c r="T49" s="278"/>
      <c r="U49" s="278"/>
      <c r="V49" s="279"/>
      <c r="W49" s="37" t="s">
        <v>83</v>
      </c>
      <c r="X49" s="270">
        <f>IFERROR(SUMPRODUCT(X45:X47*H45:H47),"0")</f>
        <v>1411.1999999999998</v>
      </c>
      <c r="Y49" s="270">
        <f>IFERROR(SUMPRODUCT(Y45:Y47*H45:H47),"0")</f>
        <v>1411.1999999999998</v>
      </c>
      <c r="Z49" s="37"/>
      <c r="AA49" s="271"/>
      <c r="AB49" s="271"/>
      <c r="AC49" s="271"/>
    </row>
    <row r="50" spans="1:68" ht="16.5" customHeight="1" x14ac:dyDescent="0.25">
      <c r="A50" s="284" t="s">
        <v>112</v>
      </c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63"/>
      <c r="AB50" s="263"/>
      <c r="AC50" s="263"/>
    </row>
    <row r="51" spans="1:68" ht="14.25" customHeight="1" x14ac:dyDescent="0.25">
      <c r="A51" s="305" t="s">
        <v>63</v>
      </c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2">
        <v>4607111039385</v>
      </c>
      <c r="E52" s="273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5"/>
      <c r="R52" s="275"/>
      <c r="S52" s="275"/>
      <c r="T52" s="276"/>
      <c r="U52" s="34"/>
      <c r="V52" s="34"/>
      <c r="W52" s="35" t="s">
        <v>69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2">
        <v>4607111038982</v>
      </c>
      <c r="E53" s="273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5"/>
      <c r="R53" s="275"/>
      <c r="S53" s="275"/>
      <c r="T53" s="276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2">
        <v>4607111039354</v>
      </c>
      <c r="E54" s="273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5"/>
      <c r="R54" s="275"/>
      <c r="S54" s="275"/>
      <c r="T54" s="276"/>
      <c r="U54" s="34"/>
      <c r="V54" s="34"/>
      <c r="W54" s="35" t="s">
        <v>69</v>
      </c>
      <c r="X54" s="268">
        <v>24</v>
      </c>
      <c r="Y54" s="269">
        <f>IFERROR(IF(X54="","",X54),"")</f>
        <v>24</v>
      </c>
      <c r="Z54" s="36">
        <f>IFERROR(IF(X54="","",X54*0.0155),"")</f>
        <v>0.372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161.2704</v>
      </c>
      <c r="BN54" s="67">
        <f>IFERROR(Y54*I54,"0")</f>
        <v>161.2704</v>
      </c>
      <c r="BO54" s="67">
        <f>IFERROR(X54/J54,"0")</f>
        <v>0.2857142857142857</v>
      </c>
      <c r="BP54" s="67">
        <f>IFERROR(Y54/J54,"0")</f>
        <v>0.2857142857142857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2">
        <v>4607111039330</v>
      </c>
      <c r="E55" s="273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5"/>
      <c r="R55" s="275"/>
      <c r="S55" s="275"/>
      <c r="T55" s="276"/>
      <c r="U55" s="34"/>
      <c r="V55" s="34"/>
      <c r="W55" s="35" t="s">
        <v>69</v>
      </c>
      <c r="X55" s="268">
        <v>84</v>
      </c>
      <c r="Y55" s="269">
        <f>IFERROR(IF(X55="","",X55),"")</f>
        <v>84</v>
      </c>
      <c r="Z55" s="36">
        <f>IFERROR(IF(X55="","",X55*0.0155),"")</f>
        <v>1.302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613.19999999999993</v>
      </c>
      <c r="BN55" s="67">
        <f>IFERROR(Y55*I55,"0")</f>
        <v>613.19999999999993</v>
      </c>
      <c r="BO55" s="67">
        <f>IFERROR(X55/J55,"0")</f>
        <v>1</v>
      </c>
      <c r="BP55" s="67">
        <f>IFERROR(Y55/J55,"0")</f>
        <v>1</v>
      </c>
    </row>
    <row r="56" spans="1:68" x14ac:dyDescent="0.2">
      <c r="A56" s="287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8"/>
      <c r="P56" s="277" t="s">
        <v>82</v>
      </c>
      <c r="Q56" s="278"/>
      <c r="R56" s="278"/>
      <c r="S56" s="278"/>
      <c r="T56" s="278"/>
      <c r="U56" s="278"/>
      <c r="V56" s="279"/>
      <c r="W56" s="37" t="s">
        <v>69</v>
      </c>
      <c r="X56" s="270">
        <f>IFERROR(SUM(X52:X55),"0")</f>
        <v>108</v>
      </c>
      <c r="Y56" s="270">
        <f>IFERROR(SUM(Y52:Y55),"0")</f>
        <v>108</v>
      </c>
      <c r="Z56" s="270">
        <f>IFERROR(IF(Z52="",0,Z52),"0")+IFERROR(IF(Z53="",0,Z53),"0")+IFERROR(IF(Z54="",0,Z54),"0")+IFERROR(IF(Z55="",0,Z55),"0")</f>
        <v>1.6739999999999999</v>
      </c>
      <c r="AA56" s="271"/>
      <c r="AB56" s="271"/>
      <c r="AC56" s="271"/>
    </row>
    <row r="57" spans="1:68" x14ac:dyDescent="0.2">
      <c r="A57" s="285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8"/>
      <c r="P57" s="277" t="s">
        <v>82</v>
      </c>
      <c r="Q57" s="278"/>
      <c r="R57" s="278"/>
      <c r="S57" s="278"/>
      <c r="T57" s="278"/>
      <c r="U57" s="278"/>
      <c r="V57" s="279"/>
      <c r="W57" s="37" t="s">
        <v>83</v>
      </c>
      <c r="X57" s="270">
        <f>IFERROR(SUMPRODUCT(X52:X55*H52:H55),"0")</f>
        <v>741.6</v>
      </c>
      <c r="Y57" s="270">
        <f>IFERROR(SUMPRODUCT(Y52:Y55*H52:H55),"0")</f>
        <v>741.6</v>
      </c>
      <c r="Z57" s="37"/>
      <c r="AA57" s="271"/>
      <c r="AB57" s="271"/>
      <c r="AC57" s="271"/>
    </row>
    <row r="58" spans="1:68" ht="16.5" customHeight="1" x14ac:dyDescent="0.25">
      <c r="A58" s="284" t="s">
        <v>123</v>
      </c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  <c r="AA58" s="263"/>
      <c r="AB58" s="263"/>
      <c r="AC58" s="263"/>
    </row>
    <row r="59" spans="1:68" ht="14.25" customHeight="1" x14ac:dyDescent="0.25">
      <c r="A59" s="305" t="s">
        <v>63</v>
      </c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  <c r="AA59" s="264"/>
      <c r="AB59" s="264"/>
      <c r="AC59" s="264"/>
    </row>
    <row r="60" spans="1:68" ht="16.5" customHeight="1" x14ac:dyDescent="0.25">
      <c r="A60" s="54" t="s">
        <v>124</v>
      </c>
      <c r="B60" s="54" t="s">
        <v>125</v>
      </c>
      <c r="C60" s="31">
        <v>4301071073</v>
      </c>
      <c r="D60" s="272">
        <v>4620207490822</v>
      </c>
      <c r="E60" s="273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5"/>
      <c r="R60" s="275"/>
      <c r="S60" s="275"/>
      <c r="T60" s="276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8"/>
      <c r="P61" s="277" t="s">
        <v>82</v>
      </c>
      <c r="Q61" s="278"/>
      <c r="R61" s="278"/>
      <c r="S61" s="278"/>
      <c r="T61" s="278"/>
      <c r="U61" s="278"/>
      <c r="V61" s="279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x14ac:dyDescent="0.2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8"/>
      <c r="P62" s="277" t="s">
        <v>82</v>
      </c>
      <c r="Q62" s="278"/>
      <c r="R62" s="278"/>
      <c r="S62" s="278"/>
      <c r="T62" s="278"/>
      <c r="U62" s="278"/>
      <c r="V62" s="279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customHeight="1" x14ac:dyDescent="0.25">
      <c r="A63" s="305" t="s">
        <v>92</v>
      </c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64"/>
      <c r="AB63" s="264"/>
      <c r="AC63" s="264"/>
    </row>
    <row r="64" spans="1:68" ht="27" customHeight="1" x14ac:dyDescent="0.25">
      <c r="A64" s="54" t="s">
        <v>127</v>
      </c>
      <c r="B64" s="54" t="s">
        <v>128</v>
      </c>
      <c r="C64" s="31">
        <v>4301132194</v>
      </c>
      <c r="D64" s="272">
        <v>4607111039712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5"/>
      <c r="R64" s="275"/>
      <c r="S64" s="275"/>
      <c r="T64" s="276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8"/>
      <c r="P65" s="277" t="s">
        <v>82</v>
      </c>
      <c r="Q65" s="278"/>
      <c r="R65" s="278"/>
      <c r="S65" s="278"/>
      <c r="T65" s="278"/>
      <c r="U65" s="278"/>
      <c r="V65" s="279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x14ac:dyDescent="0.2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8"/>
      <c r="P66" s="277" t="s">
        <v>82</v>
      </c>
      <c r="Q66" s="278"/>
      <c r="R66" s="278"/>
      <c r="S66" s="278"/>
      <c r="T66" s="278"/>
      <c r="U66" s="278"/>
      <c r="V66" s="279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customHeight="1" x14ac:dyDescent="0.25">
      <c r="A67" s="305" t="s">
        <v>130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64"/>
      <c r="AB67" s="264"/>
      <c r="AC67" s="264"/>
    </row>
    <row r="68" spans="1:68" ht="16.5" customHeight="1" x14ac:dyDescent="0.25">
      <c r="A68" s="54" t="s">
        <v>131</v>
      </c>
      <c r="B68" s="54" t="s">
        <v>132</v>
      </c>
      <c r="C68" s="31">
        <v>4301136018</v>
      </c>
      <c r="D68" s="272">
        <v>4607111037008</v>
      </c>
      <c r="E68" s="273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5"/>
      <c r="R68" s="275"/>
      <c r="S68" s="275"/>
      <c r="T68" s="276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134</v>
      </c>
      <c r="B69" s="54" t="s">
        <v>135</v>
      </c>
      <c r="C69" s="31">
        <v>4301136015</v>
      </c>
      <c r="D69" s="272">
        <v>4607111037398</v>
      </c>
      <c r="E69" s="273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5"/>
      <c r="R69" s="275"/>
      <c r="S69" s="275"/>
      <c r="T69" s="276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8"/>
      <c r="P70" s="277" t="s">
        <v>82</v>
      </c>
      <c r="Q70" s="278"/>
      <c r="R70" s="278"/>
      <c r="S70" s="278"/>
      <c r="T70" s="278"/>
      <c r="U70" s="278"/>
      <c r="V70" s="279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x14ac:dyDescent="0.2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8"/>
      <c r="P71" s="277" t="s">
        <v>82</v>
      </c>
      <c r="Q71" s="278"/>
      <c r="R71" s="278"/>
      <c r="S71" s="278"/>
      <c r="T71" s="278"/>
      <c r="U71" s="278"/>
      <c r="V71" s="279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customHeight="1" x14ac:dyDescent="0.25">
      <c r="A72" s="305" t="s">
        <v>136</v>
      </c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A72" s="264"/>
      <c r="AB72" s="264"/>
      <c r="AC72" s="264"/>
    </row>
    <row r="73" spans="1:68" ht="27" customHeight="1" x14ac:dyDescent="0.25">
      <c r="A73" s="54" t="s">
        <v>137</v>
      </c>
      <c r="B73" s="54" t="s">
        <v>138</v>
      </c>
      <c r="C73" s="31">
        <v>4301135664</v>
      </c>
      <c r="D73" s="272">
        <v>4607111039705</v>
      </c>
      <c r="E73" s="273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7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5"/>
      <c r="R73" s="275"/>
      <c r="S73" s="275"/>
      <c r="T73" s="276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139</v>
      </c>
      <c r="B74" s="54" t="s">
        <v>140</v>
      </c>
      <c r="C74" s="31">
        <v>4301135665</v>
      </c>
      <c r="D74" s="272">
        <v>4607111039729</v>
      </c>
      <c r="E74" s="273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5"/>
      <c r="R74" s="275"/>
      <c r="S74" s="275"/>
      <c r="T74" s="276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142</v>
      </c>
      <c r="B75" s="54" t="s">
        <v>143</v>
      </c>
      <c r="C75" s="31">
        <v>4301135702</v>
      </c>
      <c r="D75" s="272">
        <v>4620207490228</v>
      </c>
      <c r="E75" s="273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5"/>
      <c r="R75" s="275"/>
      <c r="S75" s="275"/>
      <c r="T75" s="276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8"/>
      <c r="P76" s="277" t="s">
        <v>82</v>
      </c>
      <c r="Q76" s="278"/>
      <c r="R76" s="278"/>
      <c r="S76" s="278"/>
      <c r="T76" s="278"/>
      <c r="U76" s="278"/>
      <c r="V76" s="279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8"/>
      <c r="P77" s="277" t="s">
        <v>82</v>
      </c>
      <c r="Q77" s="278"/>
      <c r="R77" s="278"/>
      <c r="S77" s="278"/>
      <c r="T77" s="278"/>
      <c r="U77" s="278"/>
      <c r="V77" s="279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customHeight="1" x14ac:dyDescent="0.25">
      <c r="A78" s="284" t="s">
        <v>144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63"/>
      <c r="AB78" s="263"/>
      <c r="AC78" s="263"/>
    </row>
    <row r="79" spans="1:68" ht="14.25" customHeight="1" x14ac:dyDescent="0.25">
      <c r="A79" s="305" t="s">
        <v>63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64"/>
      <c r="AB79" s="264"/>
      <c r="AC79" s="264"/>
    </row>
    <row r="80" spans="1:68" ht="27" customHeight="1" x14ac:dyDescent="0.25">
      <c r="A80" s="54" t="s">
        <v>145</v>
      </c>
      <c r="B80" s="54" t="s">
        <v>146</v>
      </c>
      <c r="C80" s="31">
        <v>4301070977</v>
      </c>
      <c r="D80" s="272">
        <v>4607111037411</v>
      </c>
      <c r="E80" s="273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96</v>
      </c>
      <c r="M80" s="33" t="s">
        <v>68</v>
      </c>
      <c r="N80" s="33"/>
      <c r="O80" s="32">
        <v>180</v>
      </c>
      <c r="P80" s="40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5"/>
      <c r="R80" s="275"/>
      <c r="S80" s="275"/>
      <c r="T80" s="276"/>
      <c r="U80" s="34"/>
      <c r="V80" s="34"/>
      <c r="W80" s="35" t="s">
        <v>69</v>
      </c>
      <c r="X80" s="268">
        <v>234</v>
      </c>
      <c r="Y80" s="269">
        <f>IFERROR(IF(X80="","",X80),"")</f>
        <v>234</v>
      </c>
      <c r="Z80" s="36">
        <f>IFERROR(IF(X80="","",X80*0.00502),"")</f>
        <v>1.1746799999999999</v>
      </c>
      <c r="AA80" s="56"/>
      <c r="AB80" s="57"/>
      <c r="AC80" s="120" t="s">
        <v>148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658.28880000000004</v>
      </c>
      <c r="BN80" s="67">
        <f>IFERROR(Y80*I80,"0")</f>
        <v>658.28880000000004</v>
      </c>
      <c r="BO80" s="67">
        <f>IFERROR(X80/J80,"0")</f>
        <v>1</v>
      </c>
      <c r="BP80" s="67">
        <f>IFERROR(Y80/J80,"0")</f>
        <v>1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72">
        <v>4607111036728</v>
      </c>
      <c r="E81" s="273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5"/>
      <c r="R81" s="275"/>
      <c r="S81" s="275"/>
      <c r="T81" s="276"/>
      <c r="U81" s="34"/>
      <c r="V81" s="34"/>
      <c r="W81" s="35" t="s">
        <v>69</v>
      </c>
      <c r="X81" s="268">
        <v>72</v>
      </c>
      <c r="Y81" s="269">
        <f>IFERROR(IF(X81="","",X81),"")</f>
        <v>72</v>
      </c>
      <c r="Z81" s="36">
        <f>IFERROR(IF(X81="","",X81*0.00866),"")</f>
        <v>0.62351999999999996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375.35039999999998</v>
      </c>
      <c r="BN81" s="67">
        <f>IFERROR(Y81*I81,"0")</f>
        <v>375.35039999999998</v>
      </c>
      <c r="BO81" s="67">
        <f>IFERROR(X81/J81,"0")</f>
        <v>0.5</v>
      </c>
      <c r="BP81" s="67">
        <f>IFERROR(Y81/J81,"0")</f>
        <v>0.5</v>
      </c>
    </row>
    <row r="82" spans="1:68" x14ac:dyDescent="0.2">
      <c r="A82" s="287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8"/>
      <c r="P82" s="277" t="s">
        <v>82</v>
      </c>
      <c r="Q82" s="278"/>
      <c r="R82" s="278"/>
      <c r="S82" s="278"/>
      <c r="T82" s="278"/>
      <c r="U82" s="278"/>
      <c r="V82" s="279"/>
      <c r="W82" s="37" t="s">
        <v>69</v>
      </c>
      <c r="X82" s="270">
        <f>IFERROR(SUM(X80:X81),"0")</f>
        <v>306</v>
      </c>
      <c r="Y82" s="270">
        <f>IFERROR(SUM(Y80:Y81),"0")</f>
        <v>306</v>
      </c>
      <c r="Z82" s="270">
        <f>IFERROR(IF(Z80="",0,Z80),"0")+IFERROR(IF(Z81="",0,Z81),"0")</f>
        <v>1.7982</v>
      </c>
      <c r="AA82" s="271"/>
      <c r="AB82" s="271"/>
      <c r="AC82" s="271"/>
    </row>
    <row r="83" spans="1:68" x14ac:dyDescent="0.2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8"/>
      <c r="P83" s="277" t="s">
        <v>82</v>
      </c>
      <c r="Q83" s="278"/>
      <c r="R83" s="278"/>
      <c r="S83" s="278"/>
      <c r="T83" s="278"/>
      <c r="U83" s="278"/>
      <c r="V83" s="279"/>
      <c r="W83" s="37" t="s">
        <v>83</v>
      </c>
      <c r="X83" s="270">
        <f>IFERROR(SUMPRODUCT(X80:X81*H80:H81),"0")</f>
        <v>991.80000000000007</v>
      </c>
      <c r="Y83" s="270">
        <f>IFERROR(SUMPRODUCT(Y80:Y81*H80:H81),"0")</f>
        <v>991.80000000000007</v>
      </c>
      <c r="Z83" s="37"/>
      <c r="AA83" s="271"/>
      <c r="AB83" s="271"/>
      <c r="AC83" s="271"/>
    </row>
    <row r="84" spans="1:68" ht="16.5" customHeight="1" x14ac:dyDescent="0.25">
      <c r="A84" s="284" t="s">
        <v>151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63"/>
      <c r="AB84" s="263"/>
      <c r="AC84" s="263"/>
    </row>
    <row r="85" spans="1:68" ht="14.25" customHeight="1" x14ac:dyDescent="0.25">
      <c r="A85" s="305" t="s">
        <v>136</v>
      </c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64"/>
      <c r="AB85" s="264"/>
      <c r="AC85" s="264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72">
        <v>4607111033659</v>
      </c>
      <c r="E86" s="273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5"/>
      <c r="R86" s="275"/>
      <c r="S86" s="275"/>
      <c r="T86" s="276"/>
      <c r="U86" s="34"/>
      <c r="V86" s="34"/>
      <c r="W86" s="35" t="s">
        <v>69</v>
      </c>
      <c r="X86" s="268">
        <v>42</v>
      </c>
      <c r="Y86" s="269">
        <f>IFERROR(IF(X86="","",X86),"")</f>
        <v>42</v>
      </c>
      <c r="Z86" s="36">
        <f>IFERROR(IF(X86="","",X86*0.01788),"")</f>
        <v>0.75095999999999996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180.75120000000001</v>
      </c>
      <c r="BN86" s="67">
        <f>IFERROR(Y86*I86,"0")</f>
        <v>180.75120000000001</v>
      </c>
      <c r="BO86" s="67">
        <f>IFERROR(X86/J86,"0")</f>
        <v>0.6</v>
      </c>
      <c r="BP86" s="67">
        <f>IFERROR(Y86/J86,"0")</f>
        <v>0.6</v>
      </c>
    </row>
    <row r="87" spans="1:68" x14ac:dyDescent="0.2">
      <c r="A87" s="287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8"/>
      <c r="P87" s="277" t="s">
        <v>82</v>
      </c>
      <c r="Q87" s="278"/>
      <c r="R87" s="278"/>
      <c r="S87" s="278"/>
      <c r="T87" s="278"/>
      <c r="U87" s="278"/>
      <c r="V87" s="279"/>
      <c r="W87" s="37" t="s">
        <v>69</v>
      </c>
      <c r="X87" s="270">
        <f>IFERROR(SUM(X86:X86),"0")</f>
        <v>42</v>
      </c>
      <c r="Y87" s="270">
        <f>IFERROR(SUM(Y86:Y86),"0")</f>
        <v>42</v>
      </c>
      <c r="Z87" s="270">
        <f>IFERROR(IF(Z86="",0,Z86),"0")</f>
        <v>0.75095999999999996</v>
      </c>
      <c r="AA87" s="271"/>
      <c r="AB87" s="271"/>
      <c r="AC87" s="271"/>
    </row>
    <row r="88" spans="1:68" x14ac:dyDescent="0.2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8"/>
      <c r="P88" s="277" t="s">
        <v>82</v>
      </c>
      <c r="Q88" s="278"/>
      <c r="R88" s="278"/>
      <c r="S88" s="278"/>
      <c r="T88" s="278"/>
      <c r="U88" s="278"/>
      <c r="V88" s="279"/>
      <c r="W88" s="37" t="s">
        <v>83</v>
      </c>
      <c r="X88" s="270">
        <f>IFERROR(SUMPRODUCT(X86:X86*H86:H86),"0")</f>
        <v>151.20000000000002</v>
      </c>
      <c r="Y88" s="270">
        <f>IFERROR(SUMPRODUCT(Y86:Y86*H86:H86),"0")</f>
        <v>151.20000000000002</v>
      </c>
      <c r="Z88" s="37"/>
      <c r="AA88" s="271"/>
      <c r="AB88" s="271"/>
      <c r="AC88" s="271"/>
    </row>
    <row r="89" spans="1:68" ht="16.5" customHeight="1" x14ac:dyDescent="0.25">
      <c r="A89" s="284" t="s">
        <v>155</v>
      </c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A89" s="263"/>
      <c r="AB89" s="263"/>
      <c r="AC89" s="263"/>
    </row>
    <row r="90" spans="1:68" ht="14.25" customHeight="1" x14ac:dyDescent="0.25">
      <c r="A90" s="305" t="s">
        <v>156</v>
      </c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A90" s="264"/>
      <c r="AB90" s="264"/>
      <c r="AC90" s="264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72">
        <v>4607111034120</v>
      </c>
      <c r="E91" s="273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5"/>
      <c r="R91" s="275"/>
      <c r="S91" s="275"/>
      <c r="T91" s="276"/>
      <c r="U91" s="34"/>
      <c r="V91" s="34"/>
      <c r="W91" s="35" t="s">
        <v>69</v>
      </c>
      <c r="X91" s="268">
        <v>140</v>
      </c>
      <c r="Y91" s="269">
        <f>IFERROR(IF(X91="","",X91),"")</f>
        <v>140</v>
      </c>
      <c r="Z91" s="36">
        <f>IFERROR(IF(X91="","",X91*0.01788),"")</f>
        <v>2.5032000000000001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602.50400000000002</v>
      </c>
      <c r="BN91" s="67">
        <f>IFERROR(Y91*I91,"0")</f>
        <v>602.50400000000002</v>
      </c>
      <c r="BO91" s="67">
        <f>IFERROR(X91/J91,"0")</f>
        <v>2</v>
      </c>
      <c r="BP91" s="67">
        <f>IFERROR(Y91/J91,"0")</f>
        <v>2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72">
        <v>4607111034137</v>
      </c>
      <c r="E92" s="273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5"/>
      <c r="R92" s="275"/>
      <c r="S92" s="275"/>
      <c r="T92" s="276"/>
      <c r="U92" s="34"/>
      <c r="V92" s="34"/>
      <c r="W92" s="35" t="s">
        <v>69</v>
      </c>
      <c r="X92" s="268">
        <v>56</v>
      </c>
      <c r="Y92" s="269">
        <f>IFERROR(IF(X92="","",X92),"")</f>
        <v>56</v>
      </c>
      <c r="Z92" s="36">
        <f>IFERROR(IF(X92="","",X92*0.01788),"")</f>
        <v>1.0012799999999999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241.00160000000002</v>
      </c>
      <c r="BN92" s="67">
        <f>IFERROR(Y92*I92,"0")</f>
        <v>241.00160000000002</v>
      </c>
      <c r="BO92" s="67">
        <f>IFERROR(X92/J92,"0")</f>
        <v>0.8</v>
      </c>
      <c r="BP92" s="67">
        <f>IFERROR(Y92/J92,"0")</f>
        <v>0.8</v>
      </c>
    </row>
    <row r="93" spans="1:68" x14ac:dyDescent="0.2">
      <c r="A93" s="287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8"/>
      <c r="P93" s="277" t="s">
        <v>82</v>
      </c>
      <c r="Q93" s="278"/>
      <c r="R93" s="278"/>
      <c r="S93" s="278"/>
      <c r="T93" s="278"/>
      <c r="U93" s="278"/>
      <c r="V93" s="279"/>
      <c r="W93" s="37" t="s">
        <v>69</v>
      </c>
      <c r="X93" s="270">
        <f>IFERROR(SUM(X91:X92),"0")</f>
        <v>196</v>
      </c>
      <c r="Y93" s="270">
        <f>IFERROR(SUM(Y91:Y92),"0")</f>
        <v>196</v>
      </c>
      <c r="Z93" s="270">
        <f>IFERROR(IF(Z91="",0,Z91),"0")+IFERROR(IF(Z92="",0,Z92),"0")</f>
        <v>3.50448</v>
      </c>
      <c r="AA93" s="271"/>
      <c r="AB93" s="271"/>
      <c r="AC93" s="271"/>
    </row>
    <row r="94" spans="1:68" x14ac:dyDescent="0.2">
      <c r="A94" s="285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8"/>
      <c r="P94" s="277" t="s">
        <v>82</v>
      </c>
      <c r="Q94" s="278"/>
      <c r="R94" s="278"/>
      <c r="S94" s="278"/>
      <c r="T94" s="278"/>
      <c r="U94" s="278"/>
      <c r="V94" s="279"/>
      <c r="W94" s="37" t="s">
        <v>83</v>
      </c>
      <c r="X94" s="270">
        <f>IFERROR(SUMPRODUCT(X91:X92*H91:H92),"0")</f>
        <v>705.6</v>
      </c>
      <c r="Y94" s="270">
        <f>IFERROR(SUMPRODUCT(Y91:Y92*H91:H92),"0")</f>
        <v>705.6</v>
      </c>
      <c r="Z94" s="37"/>
      <c r="AA94" s="271"/>
      <c r="AB94" s="271"/>
      <c r="AC94" s="271"/>
    </row>
    <row r="95" spans="1:68" ht="16.5" customHeight="1" x14ac:dyDescent="0.25">
      <c r="A95" s="284" t="s">
        <v>163</v>
      </c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63"/>
      <c r="AB95" s="263"/>
      <c r="AC95" s="263"/>
    </row>
    <row r="96" spans="1:68" ht="14.25" customHeight="1" x14ac:dyDescent="0.25">
      <c r="A96" s="305" t="s">
        <v>136</v>
      </c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A96" s="264"/>
      <c r="AB96" s="264"/>
      <c r="AC96" s="264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72">
        <v>4620207491027</v>
      </c>
      <c r="E97" s="273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3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5"/>
      <c r="R97" s="275"/>
      <c r="S97" s="275"/>
      <c r="T97" s="276"/>
      <c r="U97" s="34"/>
      <c r="V97" s="34"/>
      <c r="W97" s="35" t="s">
        <v>69</v>
      </c>
      <c r="X97" s="268">
        <v>154</v>
      </c>
      <c r="Y97" s="269">
        <f t="shared" ref="Y97:Y102" si="6">IFERROR(IF(X97="","",X97),"")</f>
        <v>154</v>
      </c>
      <c r="Z97" s="36">
        <f t="shared" ref="Z97:Z102" si="7">IFERROR(IF(X97="","",X97*0.01788),"")</f>
        <v>2.75352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551.87440000000004</v>
      </c>
      <c r="BN97" s="67">
        <f t="shared" ref="BN97:BN102" si="9">IFERROR(Y97*I97,"0")</f>
        <v>551.87440000000004</v>
      </c>
      <c r="BO97" s="67">
        <f t="shared" ref="BO97:BO102" si="10">IFERROR(X97/J97,"0")</f>
        <v>2.2000000000000002</v>
      </c>
      <c r="BP97" s="67">
        <f t="shared" ref="BP97:BP102" si="11">IFERROR(Y97/J97,"0")</f>
        <v>2.2000000000000002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72">
        <v>4620207491003</v>
      </c>
      <c r="E98" s="273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5"/>
      <c r="R98" s="275"/>
      <c r="S98" s="275"/>
      <c r="T98" s="276"/>
      <c r="U98" s="34"/>
      <c r="V98" s="34"/>
      <c r="W98" s="35" t="s">
        <v>69</v>
      </c>
      <c r="X98" s="268">
        <v>98</v>
      </c>
      <c r="Y98" s="269">
        <f t="shared" si="6"/>
        <v>98</v>
      </c>
      <c r="Z98" s="36">
        <f t="shared" si="7"/>
        <v>1.75224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351.19280000000003</v>
      </c>
      <c r="BN98" s="67">
        <f t="shared" si="9"/>
        <v>351.19280000000003</v>
      </c>
      <c r="BO98" s="67">
        <f t="shared" si="10"/>
        <v>1.4</v>
      </c>
      <c r="BP98" s="67">
        <f t="shared" si="11"/>
        <v>1.4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72">
        <v>4620207491034</v>
      </c>
      <c r="E99" s="273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5"/>
      <c r="R99" s="275"/>
      <c r="S99" s="275"/>
      <c r="T99" s="276"/>
      <c r="U99" s="34"/>
      <c r="V99" s="34"/>
      <c r="W99" s="35" t="s">
        <v>69</v>
      </c>
      <c r="X99" s="268">
        <v>56</v>
      </c>
      <c r="Y99" s="269">
        <f t="shared" si="6"/>
        <v>56</v>
      </c>
      <c r="Z99" s="36">
        <f t="shared" si="7"/>
        <v>1.0012799999999999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200.6816</v>
      </c>
      <c r="BN99" s="67">
        <f t="shared" si="9"/>
        <v>200.6816</v>
      </c>
      <c r="BO99" s="67">
        <f t="shared" si="10"/>
        <v>0.8</v>
      </c>
      <c r="BP99" s="67">
        <f t="shared" si="11"/>
        <v>0.8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72">
        <v>4620207491010</v>
      </c>
      <c r="E100" s="273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5"/>
      <c r="R100" s="275"/>
      <c r="S100" s="275"/>
      <c r="T100" s="276"/>
      <c r="U100" s="34"/>
      <c r="V100" s="34"/>
      <c r="W100" s="35" t="s">
        <v>69</v>
      </c>
      <c r="X100" s="268">
        <v>98</v>
      </c>
      <c r="Y100" s="269">
        <f t="shared" si="6"/>
        <v>98</v>
      </c>
      <c r="Z100" s="36">
        <f t="shared" si="7"/>
        <v>1.75224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351.19280000000003</v>
      </c>
      <c r="BN100" s="67">
        <f t="shared" si="9"/>
        <v>351.19280000000003</v>
      </c>
      <c r="BO100" s="67">
        <f t="shared" si="10"/>
        <v>1.4</v>
      </c>
      <c r="BP100" s="67">
        <f t="shared" si="11"/>
        <v>1.4</v>
      </c>
    </row>
    <row r="101" spans="1:68" ht="27" customHeight="1" x14ac:dyDescent="0.25">
      <c r="A101" s="54" t="s">
        <v>173</v>
      </c>
      <c r="B101" s="54" t="s">
        <v>174</v>
      </c>
      <c r="C101" s="31">
        <v>4301135571</v>
      </c>
      <c r="D101" s="272">
        <v>4607111035028</v>
      </c>
      <c r="E101" s="273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2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5"/>
      <c r="R101" s="275"/>
      <c r="S101" s="275"/>
      <c r="T101" s="276"/>
      <c r="U101" s="34"/>
      <c r="V101" s="34"/>
      <c r="W101" s="35" t="s">
        <v>69</v>
      </c>
      <c r="X101" s="268">
        <v>84</v>
      </c>
      <c r="Y101" s="269">
        <f t="shared" si="6"/>
        <v>84</v>
      </c>
      <c r="Z101" s="36">
        <f t="shared" si="7"/>
        <v>1.5019199999999999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373.69920000000002</v>
      </c>
      <c r="BN101" s="67">
        <f t="shared" si="9"/>
        <v>373.69920000000002</v>
      </c>
      <c r="BO101" s="67">
        <f t="shared" si="10"/>
        <v>1.2</v>
      </c>
      <c r="BP101" s="67">
        <f t="shared" si="11"/>
        <v>1.2</v>
      </c>
    </row>
    <row r="102" spans="1:68" ht="27" customHeight="1" x14ac:dyDescent="0.25">
      <c r="A102" s="54" t="s">
        <v>175</v>
      </c>
      <c r="B102" s="54" t="s">
        <v>176</v>
      </c>
      <c r="C102" s="31">
        <v>4301135285</v>
      </c>
      <c r="D102" s="272">
        <v>4607111036407</v>
      </c>
      <c r="E102" s="273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42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5"/>
      <c r="R102" s="275"/>
      <c r="S102" s="275"/>
      <c r="T102" s="276"/>
      <c r="U102" s="34"/>
      <c r="V102" s="34"/>
      <c r="W102" s="35" t="s">
        <v>69</v>
      </c>
      <c r="X102" s="268">
        <v>28</v>
      </c>
      <c r="Y102" s="269">
        <f t="shared" si="6"/>
        <v>28</v>
      </c>
      <c r="Z102" s="36">
        <f t="shared" si="7"/>
        <v>0.50063999999999997</v>
      </c>
      <c r="AA102" s="56"/>
      <c r="AB102" s="57"/>
      <c r="AC102" s="140" t="s">
        <v>177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126.81760000000001</v>
      </c>
      <c r="BN102" s="67">
        <f t="shared" si="9"/>
        <v>126.81760000000001</v>
      </c>
      <c r="BO102" s="67">
        <f t="shared" si="10"/>
        <v>0.4</v>
      </c>
      <c r="BP102" s="67">
        <f t="shared" si="11"/>
        <v>0.4</v>
      </c>
    </row>
    <row r="103" spans="1:68" x14ac:dyDescent="0.2">
      <c r="A103" s="287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8"/>
      <c r="P103" s="277" t="s">
        <v>82</v>
      </c>
      <c r="Q103" s="278"/>
      <c r="R103" s="278"/>
      <c r="S103" s="278"/>
      <c r="T103" s="278"/>
      <c r="U103" s="278"/>
      <c r="V103" s="279"/>
      <c r="W103" s="37" t="s">
        <v>69</v>
      </c>
      <c r="X103" s="270">
        <f>IFERROR(SUM(X97:X102),"0")</f>
        <v>518</v>
      </c>
      <c r="Y103" s="270">
        <f>IFERROR(SUM(Y97:Y102),"0")</f>
        <v>518</v>
      </c>
      <c r="Z103" s="270">
        <f>IFERROR(IF(Z97="",0,Z97),"0")+IFERROR(IF(Z98="",0,Z98),"0")+IFERROR(IF(Z99="",0,Z99),"0")+IFERROR(IF(Z100="",0,Z100),"0")+IFERROR(IF(Z101="",0,Z101),"0")+IFERROR(IF(Z102="",0,Z102),"0")</f>
        <v>9.2618400000000012</v>
      </c>
      <c r="AA103" s="271"/>
      <c r="AB103" s="271"/>
      <c r="AC103" s="271"/>
    </row>
    <row r="104" spans="1:68" x14ac:dyDescent="0.2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8"/>
      <c r="P104" s="277" t="s">
        <v>82</v>
      </c>
      <c r="Q104" s="278"/>
      <c r="R104" s="278"/>
      <c r="S104" s="278"/>
      <c r="T104" s="278"/>
      <c r="U104" s="278"/>
      <c r="V104" s="279"/>
      <c r="W104" s="37" t="s">
        <v>83</v>
      </c>
      <c r="X104" s="270">
        <f>IFERROR(SUMPRODUCT(X97:X102*H97:H102),"0")</f>
        <v>1609.4399999999998</v>
      </c>
      <c r="Y104" s="270">
        <f>IFERROR(SUMPRODUCT(Y97:Y102*H97:H102),"0")</f>
        <v>1609.4399999999998</v>
      </c>
      <c r="Z104" s="37"/>
      <c r="AA104" s="271"/>
      <c r="AB104" s="271"/>
      <c r="AC104" s="271"/>
    </row>
    <row r="105" spans="1:68" ht="16.5" customHeight="1" x14ac:dyDescent="0.25">
      <c r="A105" s="284" t="s">
        <v>178</v>
      </c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A105" s="263"/>
      <c r="AB105" s="263"/>
      <c r="AC105" s="263"/>
    </row>
    <row r="106" spans="1:68" ht="14.25" customHeight="1" x14ac:dyDescent="0.25">
      <c r="A106" s="305" t="s">
        <v>130</v>
      </c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A106" s="264"/>
      <c r="AB106" s="264"/>
      <c r="AC106" s="264"/>
    </row>
    <row r="107" spans="1:68" ht="27" customHeight="1" x14ac:dyDescent="0.25">
      <c r="A107" s="54" t="s">
        <v>179</v>
      </c>
      <c r="B107" s="54" t="s">
        <v>180</v>
      </c>
      <c r="C107" s="31">
        <v>4301136070</v>
      </c>
      <c r="D107" s="272">
        <v>4607025784012</v>
      </c>
      <c r="E107" s="273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2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5"/>
      <c r="R107" s="275"/>
      <c r="S107" s="275"/>
      <c r="T107" s="276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182</v>
      </c>
      <c r="B108" s="54" t="s">
        <v>183</v>
      </c>
      <c r="C108" s="31">
        <v>4301136079</v>
      </c>
      <c r="D108" s="272">
        <v>4607025784319</v>
      </c>
      <c r="E108" s="273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9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5"/>
      <c r="R108" s="275"/>
      <c r="S108" s="275"/>
      <c r="T108" s="276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7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8"/>
      <c r="P109" s="277" t="s">
        <v>82</v>
      </c>
      <c r="Q109" s="278"/>
      <c r="R109" s="278"/>
      <c r="S109" s="278"/>
      <c r="T109" s="278"/>
      <c r="U109" s="278"/>
      <c r="V109" s="279"/>
      <c r="W109" s="37" t="s">
        <v>69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x14ac:dyDescent="0.2">
      <c r="A110" s="285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8"/>
      <c r="P110" s="277" t="s">
        <v>82</v>
      </c>
      <c r="Q110" s="278"/>
      <c r="R110" s="278"/>
      <c r="S110" s="278"/>
      <c r="T110" s="278"/>
      <c r="U110" s="278"/>
      <c r="V110" s="279"/>
      <c r="W110" s="37" t="s">
        <v>83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customHeight="1" x14ac:dyDescent="0.25">
      <c r="A111" s="284" t="s">
        <v>184</v>
      </c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A111" s="263"/>
      <c r="AB111" s="263"/>
      <c r="AC111" s="263"/>
    </row>
    <row r="112" spans="1:68" ht="14.25" customHeight="1" x14ac:dyDescent="0.25">
      <c r="A112" s="305" t="s">
        <v>63</v>
      </c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64"/>
      <c r="AB112" s="264"/>
      <c r="AC112" s="264"/>
    </row>
    <row r="113" spans="1:68" ht="27" customHeight="1" x14ac:dyDescent="0.25">
      <c r="A113" s="54" t="s">
        <v>185</v>
      </c>
      <c r="B113" s="54" t="s">
        <v>186</v>
      </c>
      <c r="C113" s="31">
        <v>4301071121</v>
      </c>
      <c r="D113" s="272">
        <v>4620207491393</v>
      </c>
      <c r="E113" s="273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75"/>
      <c r="R113" s="275"/>
      <c r="S113" s="275"/>
      <c r="T113" s="276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189</v>
      </c>
      <c r="B114" s="54" t="s">
        <v>190</v>
      </c>
      <c r="C114" s="31">
        <v>4301071074</v>
      </c>
      <c r="D114" s="272">
        <v>4620207491157</v>
      </c>
      <c r="E114" s="273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1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75"/>
      <c r="R114" s="275"/>
      <c r="S114" s="275"/>
      <c r="T114" s="276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72">
        <v>4607111039262</v>
      </c>
      <c r="E115" s="273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5"/>
      <c r="R115" s="275"/>
      <c r="S115" s="275"/>
      <c r="T115" s="276"/>
      <c r="U115" s="34"/>
      <c r="V115" s="34"/>
      <c r="W115" s="35" t="s">
        <v>69</v>
      </c>
      <c r="X115" s="268">
        <v>36</v>
      </c>
      <c r="Y115" s="269">
        <f t="shared" si="12"/>
        <v>36</v>
      </c>
      <c r="Z115" s="36">
        <f t="shared" si="13"/>
        <v>0.55800000000000005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72">
        <v>4607111039248</v>
      </c>
      <c r="E116" s="273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5"/>
      <c r="R116" s="275"/>
      <c r="S116" s="275"/>
      <c r="T116" s="276"/>
      <c r="U116" s="34"/>
      <c r="V116" s="34"/>
      <c r="W116" s="35" t="s">
        <v>69</v>
      </c>
      <c r="X116" s="268">
        <v>132</v>
      </c>
      <c r="Y116" s="269">
        <f t="shared" si="12"/>
        <v>132</v>
      </c>
      <c r="Z116" s="36">
        <f t="shared" si="13"/>
        <v>2.0459999999999998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963.6</v>
      </c>
      <c r="BN116" s="67">
        <f t="shared" si="15"/>
        <v>963.6</v>
      </c>
      <c r="BO116" s="67">
        <f t="shared" si="16"/>
        <v>1.5714285714285714</v>
      </c>
      <c r="BP116" s="67">
        <f t="shared" si="17"/>
        <v>1.5714285714285714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72">
        <v>4607111037145</v>
      </c>
      <c r="E117" s="273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5"/>
      <c r="R117" s="275"/>
      <c r="S117" s="275"/>
      <c r="T117" s="276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72">
        <v>4607111039293</v>
      </c>
      <c r="E118" s="273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5"/>
      <c r="R118" s="275"/>
      <c r="S118" s="275"/>
      <c r="T118" s="276"/>
      <c r="U118" s="34"/>
      <c r="V118" s="34"/>
      <c r="W118" s="35" t="s">
        <v>69</v>
      </c>
      <c r="X118" s="268">
        <v>12</v>
      </c>
      <c r="Y118" s="269">
        <f t="shared" si="12"/>
        <v>12</v>
      </c>
      <c r="Z118" s="36">
        <f t="shared" si="13"/>
        <v>0.186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80.635199999999998</v>
      </c>
      <c r="BN118" s="67">
        <f t="shared" si="15"/>
        <v>80.635199999999998</v>
      </c>
      <c r="BO118" s="67">
        <f t="shared" si="16"/>
        <v>0.14285714285714285</v>
      </c>
      <c r="BP118" s="67">
        <f t="shared" si="17"/>
        <v>0.14285714285714285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72">
        <v>4607111039279</v>
      </c>
      <c r="E119" s="273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5"/>
      <c r="R119" s="275"/>
      <c r="S119" s="275"/>
      <c r="T119" s="276"/>
      <c r="U119" s="34"/>
      <c r="V119" s="34"/>
      <c r="W119" s="35" t="s">
        <v>69</v>
      </c>
      <c r="X119" s="268">
        <v>192</v>
      </c>
      <c r="Y119" s="269">
        <f t="shared" si="12"/>
        <v>192</v>
      </c>
      <c r="Z119" s="36">
        <f t="shared" si="13"/>
        <v>2.976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1401.6</v>
      </c>
      <c r="BN119" s="67">
        <f t="shared" si="15"/>
        <v>1401.6</v>
      </c>
      <c r="BO119" s="67">
        <f t="shared" si="16"/>
        <v>2.2857142857142856</v>
      </c>
      <c r="BP119" s="67">
        <f t="shared" si="17"/>
        <v>2.2857142857142856</v>
      </c>
    </row>
    <row r="120" spans="1:68" ht="27" customHeight="1" x14ac:dyDescent="0.25">
      <c r="A120" s="54" t="s">
        <v>203</v>
      </c>
      <c r="B120" s="54" t="s">
        <v>204</v>
      </c>
      <c r="C120" s="31">
        <v>4301070978</v>
      </c>
      <c r="D120" s="272">
        <v>4607111037435</v>
      </c>
      <c r="E120" s="273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75"/>
      <c r="R120" s="275"/>
      <c r="S120" s="275"/>
      <c r="T120" s="276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87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8"/>
      <c r="P121" s="277" t="s">
        <v>82</v>
      </c>
      <c r="Q121" s="278"/>
      <c r="R121" s="278"/>
      <c r="S121" s="278"/>
      <c r="T121" s="278"/>
      <c r="U121" s="278"/>
      <c r="V121" s="279"/>
      <c r="W121" s="37" t="s">
        <v>69</v>
      </c>
      <c r="X121" s="270">
        <f>IFERROR(SUM(X113:X120),"0")</f>
        <v>372</v>
      </c>
      <c r="Y121" s="270">
        <f>IFERROR(SUM(Y113:Y120),"0")</f>
        <v>372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5.766</v>
      </c>
      <c r="AA121" s="271"/>
      <c r="AB121" s="271"/>
      <c r="AC121" s="271"/>
    </row>
    <row r="122" spans="1:68" x14ac:dyDescent="0.2">
      <c r="A122" s="285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8"/>
      <c r="P122" s="277" t="s">
        <v>82</v>
      </c>
      <c r="Q122" s="278"/>
      <c r="R122" s="278"/>
      <c r="S122" s="278"/>
      <c r="T122" s="278"/>
      <c r="U122" s="278"/>
      <c r="V122" s="279"/>
      <c r="W122" s="37" t="s">
        <v>83</v>
      </c>
      <c r="X122" s="270">
        <f>IFERROR(SUMPRODUCT(X113:X120*H113:H120),"0")</f>
        <v>2575.1999999999998</v>
      </c>
      <c r="Y122" s="270">
        <f>IFERROR(SUMPRODUCT(Y113:Y120*H113:H120),"0")</f>
        <v>2575.1999999999998</v>
      </c>
      <c r="Z122" s="37"/>
      <c r="AA122" s="271"/>
      <c r="AB122" s="271"/>
      <c r="AC122" s="271"/>
    </row>
    <row r="123" spans="1:68" ht="14.25" customHeight="1" x14ac:dyDescent="0.25">
      <c r="A123" s="305" t="s">
        <v>136</v>
      </c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  <c r="AA123" s="264"/>
      <c r="AB123" s="264"/>
      <c r="AC123" s="264"/>
    </row>
    <row r="124" spans="1:68" ht="27" customHeight="1" x14ac:dyDescent="0.25">
      <c r="A124" s="54" t="s">
        <v>206</v>
      </c>
      <c r="B124" s="54" t="s">
        <v>207</v>
      </c>
      <c r="C124" s="31">
        <v>4301135826</v>
      </c>
      <c r="D124" s="272">
        <v>4620207490983</v>
      </c>
      <c r="E124" s="273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5"/>
      <c r="R124" s="275"/>
      <c r="S124" s="275"/>
      <c r="T124" s="276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287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8"/>
      <c r="P125" s="277" t="s">
        <v>82</v>
      </c>
      <c r="Q125" s="278"/>
      <c r="R125" s="278"/>
      <c r="S125" s="278"/>
      <c r="T125" s="278"/>
      <c r="U125" s="278"/>
      <c r="V125" s="279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x14ac:dyDescent="0.2">
      <c r="A126" s="285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8"/>
      <c r="P126" s="277" t="s">
        <v>82</v>
      </c>
      <c r="Q126" s="278"/>
      <c r="R126" s="278"/>
      <c r="S126" s="278"/>
      <c r="T126" s="278"/>
      <c r="U126" s="278"/>
      <c r="V126" s="279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customHeight="1" x14ac:dyDescent="0.25">
      <c r="A127" s="305" t="s">
        <v>209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64"/>
      <c r="AB127" s="264"/>
      <c r="AC127" s="264"/>
    </row>
    <row r="128" spans="1:68" ht="27" customHeight="1" x14ac:dyDescent="0.25">
      <c r="A128" s="54" t="s">
        <v>210</v>
      </c>
      <c r="B128" s="54" t="s">
        <v>211</v>
      </c>
      <c r="C128" s="31">
        <v>4301071094</v>
      </c>
      <c r="D128" s="272">
        <v>4620207491140</v>
      </c>
      <c r="E128" s="273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3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5"/>
      <c r="R128" s="275"/>
      <c r="S128" s="275"/>
      <c r="T128" s="276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7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8"/>
      <c r="P129" s="277" t="s">
        <v>82</v>
      </c>
      <c r="Q129" s="278"/>
      <c r="R129" s="278"/>
      <c r="S129" s="278"/>
      <c r="T129" s="278"/>
      <c r="U129" s="278"/>
      <c r="V129" s="279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x14ac:dyDescent="0.2">
      <c r="A130" s="285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8"/>
      <c r="P130" s="277" t="s">
        <v>82</v>
      </c>
      <c r="Q130" s="278"/>
      <c r="R130" s="278"/>
      <c r="S130" s="278"/>
      <c r="T130" s="278"/>
      <c r="U130" s="278"/>
      <c r="V130" s="279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customHeight="1" x14ac:dyDescent="0.25">
      <c r="A131" s="284" t="s">
        <v>213</v>
      </c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  <c r="AA131" s="263"/>
      <c r="AB131" s="263"/>
      <c r="AC131" s="263"/>
    </row>
    <row r="132" spans="1:68" ht="14.25" customHeight="1" x14ac:dyDescent="0.25">
      <c r="A132" s="305" t="s">
        <v>136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64"/>
      <c r="AB132" s="264"/>
      <c r="AC132" s="264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72">
        <v>4607111034014</v>
      </c>
      <c r="E133" s="273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5"/>
      <c r="R133" s="275"/>
      <c r="S133" s="275"/>
      <c r="T133" s="276"/>
      <c r="U133" s="34"/>
      <c r="V133" s="34"/>
      <c r="W133" s="35" t="s">
        <v>69</v>
      </c>
      <c r="X133" s="268">
        <v>224</v>
      </c>
      <c r="Y133" s="269">
        <f>IFERROR(IF(X133="","",X133),"")</f>
        <v>224</v>
      </c>
      <c r="Z133" s="36">
        <f>IFERROR(IF(X133="","",X133*0.01788),"")</f>
        <v>4.0051199999999998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829.60639999999989</v>
      </c>
      <c r="BN133" s="67">
        <f>IFERROR(Y133*I133,"0")</f>
        <v>829.60639999999989</v>
      </c>
      <c r="BO133" s="67">
        <f>IFERROR(X133/J133,"0")</f>
        <v>3.2</v>
      </c>
      <c r="BP133" s="67">
        <f>IFERROR(Y133/J133,"0")</f>
        <v>3.2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72">
        <v>4607111033994</v>
      </c>
      <c r="E134" s="273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5"/>
      <c r="R134" s="275"/>
      <c r="S134" s="275"/>
      <c r="T134" s="276"/>
      <c r="U134" s="34"/>
      <c r="V134" s="34"/>
      <c r="W134" s="35" t="s">
        <v>69</v>
      </c>
      <c r="X134" s="268">
        <v>154</v>
      </c>
      <c r="Y134" s="269">
        <f>IFERROR(IF(X134="","",X134),"")</f>
        <v>154</v>
      </c>
      <c r="Z134" s="36">
        <f>IFERROR(IF(X134="","",X134*0.01788),"")</f>
        <v>2.75352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570.35439999999994</v>
      </c>
      <c r="BN134" s="67">
        <f>IFERROR(Y134*I134,"0")</f>
        <v>570.35439999999994</v>
      </c>
      <c r="BO134" s="67">
        <f>IFERROR(X134/J134,"0")</f>
        <v>2.2000000000000002</v>
      </c>
      <c r="BP134" s="67">
        <f>IFERROR(Y134/J134,"0")</f>
        <v>2.2000000000000002</v>
      </c>
    </row>
    <row r="135" spans="1:68" x14ac:dyDescent="0.2">
      <c r="A135" s="287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8"/>
      <c r="P135" s="277" t="s">
        <v>82</v>
      </c>
      <c r="Q135" s="278"/>
      <c r="R135" s="278"/>
      <c r="S135" s="278"/>
      <c r="T135" s="278"/>
      <c r="U135" s="278"/>
      <c r="V135" s="279"/>
      <c r="W135" s="37" t="s">
        <v>69</v>
      </c>
      <c r="X135" s="270">
        <f>IFERROR(SUM(X133:X134),"0")</f>
        <v>378</v>
      </c>
      <c r="Y135" s="270">
        <f>IFERROR(SUM(Y133:Y134),"0")</f>
        <v>378</v>
      </c>
      <c r="Z135" s="270">
        <f>IFERROR(IF(Z133="",0,Z133),"0")+IFERROR(IF(Z134="",0,Z134),"0")</f>
        <v>6.7586399999999998</v>
      </c>
      <c r="AA135" s="271"/>
      <c r="AB135" s="271"/>
      <c r="AC135" s="271"/>
    </row>
    <row r="136" spans="1:68" x14ac:dyDescent="0.2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8"/>
      <c r="P136" s="277" t="s">
        <v>82</v>
      </c>
      <c r="Q136" s="278"/>
      <c r="R136" s="278"/>
      <c r="S136" s="278"/>
      <c r="T136" s="278"/>
      <c r="U136" s="278"/>
      <c r="V136" s="279"/>
      <c r="W136" s="37" t="s">
        <v>83</v>
      </c>
      <c r="X136" s="270">
        <f>IFERROR(SUMPRODUCT(X133:X134*H133:H134),"0")</f>
        <v>1134</v>
      </c>
      <c r="Y136" s="270">
        <f>IFERROR(SUMPRODUCT(Y133:Y134*H133:H134),"0")</f>
        <v>1134</v>
      </c>
      <c r="Z136" s="37"/>
      <c r="AA136" s="271"/>
      <c r="AB136" s="271"/>
      <c r="AC136" s="271"/>
    </row>
    <row r="137" spans="1:68" ht="16.5" customHeight="1" x14ac:dyDescent="0.25">
      <c r="A137" s="284" t="s">
        <v>221</v>
      </c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  <c r="AA137" s="263"/>
      <c r="AB137" s="263"/>
      <c r="AC137" s="263"/>
    </row>
    <row r="138" spans="1:68" ht="14.25" customHeight="1" x14ac:dyDescent="0.25">
      <c r="A138" s="305" t="s">
        <v>136</v>
      </c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2">
        <v>4607111039095</v>
      </c>
      <c r="E139" s="273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5"/>
      <c r="R139" s="275"/>
      <c r="S139" s="275"/>
      <c r="T139" s="276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2">
        <v>4607111034199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5"/>
      <c r="R140" s="275"/>
      <c r="S140" s="275"/>
      <c r="T140" s="276"/>
      <c r="U140" s="34"/>
      <c r="V140" s="34"/>
      <c r="W140" s="35" t="s">
        <v>69</v>
      </c>
      <c r="X140" s="268">
        <v>112</v>
      </c>
      <c r="Y140" s="269">
        <f>IFERROR(IF(X140="","",X140),"")</f>
        <v>112</v>
      </c>
      <c r="Z140" s="36">
        <f>IFERROR(IF(X140="","",X140*0.01788),"")</f>
        <v>2.0025599999999999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414.80319999999995</v>
      </c>
      <c r="BN140" s="67">
        <f>IFERROR(Y140*I140,"0")</f>
        <v>414.80319999999995</v>
      </c>
      <c r="BO140" s="67">
        <f>IFERROR(X140/J140,"0")</f>
        <v>1.6</v>
      </c>
      <c r="BP140" s="67">
        <f>IFERROR(Y140/J140,"0")</f>
        <v>1.6</v>
      </c>
    </row>
    <row r="141" spans="1:68" x14ac:dyDescent="0.2">
      <c r="A141" s="287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8"/>
      <c r="P141" s="277" t="s">
        <v>82</v>
      </c>
      <c r="Q141" s="278"/>
      <c r="R141" s="278"/>
      <c r="S141" s="278"/>
      <c r="T141" s="278"/>
      <c r="U141" s="278"/>
      <c r="V141" s="279"/>
      <c r="W141" s="37" t="s">
        <v>69</v>
      </c>
      <c r="X141" s="270">
        <f>IFERROR(SUM(X139:X140),"0")</f>
        <v>112</v>
      </c>
      <c r="Y141" s="270">
        <f>IFERROR(SUM(Y139:Y140),"0")</f>
        <v>112</v>
      </c>
      <c r="Z141" s="270">
        <f>IFERROR(IF(Z139="",0,Z139),"0")+IFERROR(IF(Z140="",0,Z140),"0")</f>
        <v>2.0025599999999999</v>
      </c>
      <c r="AA141" s="271"/>
      <c r="AB141" s="271"/>
      <c r="AC141" s="271"/>
    </row>
    <row r="142" spans="1:68" x14ac:dyDescent="0.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8"/>
      <c r="P142" s="277" t="s">
        <v>82</v>
      </c>
      <c r="Q142" s="278"/>
      <c r="R142" s="278"/>
      <c r="S142" s="278"/>
      <c r="T142" s="278"/>
      <c r="U142" s="278"/>
      <c r="V142" s="279"/>
      <c r="W142" s="37" t="s">
        <v>83</v>
      </c>
      <c r="X142" s="270">
        <f>IFERROR(SUMPRODUCT(X139:X140*H139:H140),"0")</f>
        <v>336</v>
      </c>
      <c r="Y142" s="270">
        <f>IFERROR(SUMPRODUCT(Y139:Y140*H139:H140),"0")</f>
        <v>336</v>
      </c>
      <c r="Z142" s="37"/>
      <c r="AA142" s="271"/>
      <c r="AB142" s="271"/>
      <c r="AC142" s="271"/>
    </row>
    <row r="143" spans="1:68" ht="16.5" customHeight="1" x14ac:dyDescent="0.25">
      <c r="A143" s="284" t="s">
        <v>228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63"/>
      <c r="AB143" s="263"/>
      <c r="AC143" s="263"/>
    </row>
    <row r="144" spans="1:68" ht="14.25" customHeight="1" x14ac:dyDescent="0.25">
      <c r="A144" s="305" t="s">
        <v>136</v>
      </c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2">
        <v>4620207490914</v>
      </c>
      <c r="E145" s="273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5"/>
      <c r="R145" s="275"/>
      <c r="S145" s="275"/>
      <c r="T145" s="276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2">
        <v>4620207490853</v>
      </c>
      <c r="E146" s="273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5"/>
      <c r="R146" s="275"/>
      <c r="S146" s="275"/>
      <c r="T146" s="276"/>
      <c r="U146" s="34"/>
      <c r="V146" s="34"/>
      <c r="W146" s="35" t="s">
        <v>69</v>
      </c>
      <c r="X146" s="268">
        <v>0</v>
      </c>
      <c r="Y146" s="269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216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x14ac:dyDescent="0.2">
      <c r="A147" s="287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8"/>
      <c r="P147" s="277" t="s">
        <v>82</v>
      </c>
      <c r="Q147" s="278"/>
      <c r="R147" s="278"/>
      <c r="S147" s="278"/>
      <c r="T147" s="278"/>
      <c r="U147" s="278"/>
      <c r="V147" s="279"/>
      <c r="W147" s="37" t="s">
        <v>69</v>
      </c>
      <c r="X147" s="270">
        <f>IFERROR(SUM(X145:X146),"0")</f>
        <v>0</v>
      </c>
      <c r="Y147" s="270">
        <f>IFERROR(SUM(Y145:Y146),"0")</f>
        <v>0</v>
      </c>
      <c r="Z147" s="270">
        <f>IFERROR(IF(Z145="",0,Z145),"0")+IFERROR(IF(Z146="",0,Z146),"0")</f>
        <v>0</v>
      </c>
      <c r="AA147" s="271"/>
      <c r="AB147" s="271"/>
      <c r="AC147" s="271"/>
    </row>
    <row r="148" spans="1:68" x14ac:dyDescent="0.2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8"/>
      <c r="P148" s="277" t="s">
        <v>82</v>
      </c>
      <c r="Q148" s="278"/>
      <c r="R148" s="278"/>
      <c r="S148" s="278"/>
      <c r="T148" s="278"/>
      <c r="U148" s="278"/>
      <c r="V148" s="279"/>
      <c r="W148" s="37" t="s">
        <v>83</v>
      </c>
      <c r="X148" s="270">
        <f>IFERROR(SUMPRODUCT(X145:X146*H145:H146),"0")</f>
        <v>0</v>
      </c>
      <c r="Y148" s="270">
        <f>IFERROR(SUMPRODUCT(Y145:Y146*H145:H146),"0")</f>
        <v>0</v>
      </c>
      <c r="Z148" s="37"/>
      <c r="AA148" s="271"/>
      <c r="AB148" s="271"/>
      <c r="AC148" s="271"/>
    </row>
    <row r="149" spans="1:68" ht="16.5" customHeight="1" x14ac:dyDescent="0.25">
      <c r="A149" s="284" t="s">
        <v>233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63"/>
      <c r="AB149" s="263"/>
      <c r="AC149" s="263"/>
    </row>
    <row r="150" spans="1:68" ht="14.25" customHeight="1" x14ac:dyDescent="0.25">
      <c r="A150" s="305" t="s">
        <v>136</v>
      </c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2">
        <v>4607111035806</v>
      </c>
      <c r="E151" s="273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5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5"/>
      <c r="R151" s="275"/>
      <c r="S151" s="275"/>
      <c r="T151" s="276"/>
      <c r="U151" s="34"/>
      <c r="V151" s="34"/>
      <c r="W151" s="35" t="s">
        <v>69</v>
      </c>
      <c r="X151" s="268">
        <v>0</v>
      </c>
      <c r="Y151" s="269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x14ac:dyDescent="0.2">
      <c r="A152" s="287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8"/>
      <c r="P152" s="277" t="s">
        <v>82</v>
      </c>
      <c r="Q152" s="278"/>
      <c r="R152" s="278"/>
      <c r="S152" s="278"/>
      <c r="T152" s="278"/>
      <c r="U152" s="278"/>
      <c r="V152" s="279"/>
      <c r="W152" s="37" t="s">
        <v>69</v>
      </c>
      <c r="X152" s="270">
        <f>IFERROR(SUM(X151:X151),"0")</f>
        <v>0</v>
      </c>
      <c r="Y152" s="270">
        <f>IFERROR(SUM(Y151:Y151),"0")</f>
        <v>0</v>
      </c>
      <c r="Z152" s="270">
        <f>IFERROR(IF(Z151="",0,Z151),"0")</f>
        <v>0</v>
      </c>
      <c r="AA152" s="271"/>
      <c r="AB152" s="271"/>
      <c r="AC152" s="271"/>
    </row>
    <row r="153" spans="1:68" x14ac:dyDescent="0.2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8"/>
      <c r="P153" s="277" t="s">
        <v>82</v>
      </c>
      <c r="Q153" s="278"/>
      <c r="R153" s="278"/>
      <c r="S153" s="278"/>
      <c r="T153" s="278"/>
      <c r="U153" s="278"/>
      <c r="V153" s="279"/>
      <c r="W153" s="37" t="s">
        <v>83</v>
      </c>
      <c r="X153" s="270">
        <f>IFERROR(SUMPRODUCT(X151:X151*H151:H151),"0")</f>
        <v>0</v>
      </c>
      <c r="Y153" s="270">
        <f>IFERROR(SUMPRODUCT(Y151:Y151*H151:H151),"0")</f>
        <v>0</v>
      </c>
      <c r="Z153" s="37"/>
      <c r="AA153" s="271"/>
      <c r="AB153" s="271"/>
      <c r="AC153" s="271"/>
    </row>
    <row r="154" spans="1:68" ht="16.5" customHeight="1" x14ac:dyDescent="0.25">
      <c r="A154" s="284" t="s">
        <v>237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63"/>
      <c r="AB154" s="263"/>
      <c r="AC154" s="263"/>
    </row>
    <row r="155" spans="1:68" ht="14.25" customHeight="1" x14ac:dyDescent="0.25">
      <c r="A155" s="305" t="s">
        <v>136</v>
      </c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A155" s="264"/>
      <c r="AB155" s="264"/>
      <c r="AC155" s="264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2">
        <v>4607111039613</v>
      </c>
      <c r="E156" s="273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5"/>
      <c r="R156" s="275"/>
      <c r="S156" s="275"/>
      <c r="T156" s="276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7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8"/>
      <c r="P157" s="277" t="s">
        <v>82</v>
      </c>
      <c r="Q157" s="278"/>
      <c r="R157" s="278"/>
      <c r="S157" s="278"/>
      <c r="T157" s="278"/>
      <c r="U157" s="278"/>
      <c r="V157" s="279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x14ac:dyDescent="0.2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8"/>
      <c r="P158" s="277" t="s">
        <v>82</v>
      </c>
      <c r="Q158" s="278"/>
      <c r="R158" s="278"/>
      <c r="S158" s="278"/>
      <c r="T158" s="278"/>
      <c r="U158" s="278"/>
      <c r="V158" s="279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customHeight="1" x14ac:dyDescent="0.25">
      <c r="A159" s="284" t="s">
        <v>240</v>
      </c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63"/>
      <c r="AB159" s="263"/>
      <c r="AC159" s="263"/>
    </row>
    <row r="160" spans="1:68" ht="14.25" customHeight="1" x14ac:dyDescent="0.25">
      <c r="A160" s="305" t="s">
        <v>209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64"/>
      <c r="AB160" s="264"/>
      <c r="AC160" s="264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2">
        <v>4607111035646</v>
      </c>
      <c r="E161" s="273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8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5"/>
      <c r="R161" s="275"/>
      <c r="S161" s="275"/>
      <c r="T161" s="276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7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8"/>
      <c r="P162" s="277" t="s">
        <v>82</v>
      </c>
      <c r="Q162" s="278"/>
      <c r="R162" s="278"/>
      <c r="S162" s="278"/>
      <c r="T162" s="278"/>
      <c r="U162" s="278"/>
      <c r="V162" s="279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x14ac:dyDescent="0.2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8"/>
      <c r="P163" s="277" t="s">
        <v>82</v>
      </c>
      <c r="Q163" s="278"/>
      <c r="R163" s="278"/>
      <c r="S163" s="278"/>
      <c r="T163" s="278"/>
      <c r="U163" s="278"/>
      <c r="V163" s="279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customHeight="1" x14ac:dyDescent="0.25">
      <c r="A164" s="284" t="s">
        <v>245</v>
      </c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A164" s="263"/>
      <c r="AB164" s="263"/>
      <c r="AC164" s="263"/>
    </row>
    <row r="165" spans="1:68" ht="14.25" customHeight="1" x14ac:dyDescent="0.25">
      <c r="A165" s="305" t="s">
        <v>136</v>
      </c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2">
        <v>4607111036568</v>
      </c>
      <c r="E166" s="273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5"/>
      <c r="R166" s="275"/>
      <c r="S166" s="275"/>
      <c r="T166" s="276"/>
      <c r="U166" s="34"/>
      <c r="V166" s="34"/>
      <c r="W166" s="35" t="s">
        <v>69</v>
      </c>
      <c r="X166" s="268">
        <v>0</v>
      </c>
      <c r="Y166" s="269">
        <f>IFERROR(IF(X166="","",X166),"")</f>
        <v>0</v>
      </c>
      <c r="Z166" s="36">
        <f>IFERROR(IF(X166="","",X166*0.00941),"")</f>
        <v>0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x14ac:dyDescent="0.2">
      <c r="A167" s="287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8"/>
      <c r="P167" s="277" t="s">
        <v>82</v>
      </c>
      <c r="Q167" s="278"/>
      <c r="R167" s="278"/>
      <c r="S167" s="278"/>
      <c r="T167" s="278"/>
      <c r="U167" s="278"/>
      <c r="V167" s="279"/>
      <c r="W167" s="37" t="s">
        <v>69</v>
      </c>
      <c r="X167" s="270">
        <f>IFERROR(SUM(X166:X166),"0")</f>
        <v>0</v>
      </c>
      <c r="Y167" s="270">
        <f>IFERROR(SUM(Y166:Y166),"0")</f>
        <v>0</v>
      </c>
      <c r="Z167" s="270">
        <f>IFERROR(IF(Z166="",0,Z166),"0")</f>
        <v>0</v>
      </c>
      <c r="AA167" s="271"/>
      <c r="AB167" s="271"/>
      <c r="AC167" s="271"/>
    </row>
    <row r="168" spans="1:68" x14ac:dyDescent="0.2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8"/>
      <c r="P168" s="277" t="s">
        <v>82</v>
      </c>
      <c r="Q168" s="278"/>
      <c r="R168" s="278"/>
      <c r="S168" s="278"/>
      <c r="T168" s="278"/>
      <c r="U168" s="278"/>
      <c r="V168" s="279"/>
      <c r="W168" s="37" t="s">
        <v>83</v>
      </c>
      <c r="X168" s="270">
        <f>IFERROR(SUMPRODUCT(X166:X166*H166:H166),"0")</f>
        <v>0</v>
      </c>
      <c r="Y168" s="270">
        <f>IFERROR(SUMPRODUCT(Y166:Y166*H166:H166),"0")</f>
        <v>0</v>
      </c>
      <c r="Z168" s="37"/>
      <c r="AA168" s="271"/>
      <c r="AB168" s="271"/>
      <c r="AC168" s="271"/>
    </row>
    <row r="169" spans="1:68" ht="27.75" customHeight="1" x14ac:dyDescent="0.2">
      <c r="A169" s="282" t="s">
        <v>249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48"/>
      <c r="AB169" s="48"/>
      <c r="AC169" s="48"/>
    </row>
    <row r="170" spans="1:68" ht="16.5" customHeight="1" x14ac:dyDescent="0.25">
      <c r="A170" s="284" t="s">
        <v>250</v>
      </c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263"/>
      <c r="AB170" s="263"/>
      <c r="AC170" s="263"/>
    </row>
    <row r="171" spans="1:68" ht="14.25" customHeight="1" x14ac:dyDescent="0.25">
      <c r="A171" s="305" t="s">
        <v>63</v>
      </c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A171" s="264"/>
      <c r="AB171" s="264"/>
      <c r="AC171" s="264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2">
        <v>4607111036384</v>
      </c>
      <c r="E172" s="273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5"/>
      <c r="R172" s="275"/>
      <c r="S172" s="275"/>
      <c r="T172" s="276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2">
        <v>4607111036216</v>
      </c>
      <c r="E173" s="273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5"/>
      <c r="R173" s="275"/>
      <c r="S173" s="275"/>
      <c r="T173" s="276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287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8"/>
      <c r="P174" s="277" t="s">
        <v>82</v>
      </c>
      <c r="Q174" s="278"/>
      <c r="R174" s="278"/>
      <c r="S174" s="278"/>
      <c r="T174" s="278"/>
      <c r="U174" s="278"/>
      <c r="V174" s="279"/>
      <c r="W174" s="37" t="s">
        <v>69</v>
      </c>
      <c r="X174" s="270">
        <f>IFERROR(SUM(X172:X173),"0")</f>
        <v>0</v>
      </c>
      <c r="Y174" s="270">
        <f>IFERROR(SUM(Y172:Y173),"0")</f>
        <v>0</v>
      </c>
      <c r="Z174" s="270">
        <f>IFERROR(IF(Z172="",0,Z172),"0")+IFERROR(IF(Z173="",0,Z173),"0")</f>
        <v>0</v>
      </c>
      <c r="AA174" s="271"/>
      <c r="AB174" s="271"/>
      <c r="AC174" s="271"/>
    </row>
    <row r="175" spans="1:68" x14ac:dyDescent="0.2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8"/>
      <c r="P175" s="277" t="s">
        <v>82</v>
      </c>
      <c r="Q175" s="278"/>
      <c r="R175" s="278"/>
      <c r="S175" s="278"/>
      <c r="T175" s="278"/>
      <c r="U175" s="278"/>
      <c r="V175" s="279"/>
      <c r="W175" s="37" t="s">
        <v>83</v>
      </c>
      <c r="X175" s="270">
        <f>IFERROR(SUMPRODUCT(X172:X173*H172:H173),"0")</f>
        <v>0</v>
      </c>
      <c r="Y175" s="270">
        <f>IFERROR(SUMPRODUCT(Y172:Y173*H172:H173),"0")</f>
        <v>0</v>
      </c>
      <c r="Z175" s="37"/>
      <c r="AA175" s="271"/>
      <c r="AB175" s="271"/>
      <c r="AC175" s="271"/>
    </row>
    <row r="176" spans="1:68" ht="27.75" customHeight="1" x14ac:dyDescent="0.2">
      <c r="A176" s="282" t="s">
        <v>257</v>
      </c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48"/>
      <c r="AB176" s="48"/>
      <c r="AC176" s="48"/>
    </row>
    <row r="177" spans="1:68" ht="16.5" customHeight="1" x14ac:dyDescent="0.25">
      <c r="A177" s="284" t="s">
        <v>258</v>
      </c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263"/>
      <c r="AB177" s="263"/>
      <c r="AC177" s="263"/>
    </row>
    <row r="178" spans="1:68" ht="14.25" customHeight="1" x14ac:dyDescent="0.25">
      <c r="A178" s="305" t="s">
        <v>92</v>
      </c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2">
        <v>4607111035691</v>
      </c>
      <c r="E179" s="273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5"/>
      <c r="R179" s="275"/>
      <c r="S179" s="275"/>
      <c r="T179" s="276"/>
      <c r="U179" s="34"/>
      <c r="V179" s="34"/>
      <c r="W179" s="35" t="s">
        <v>69</v>
      </c>
      <c r="X179" s="268">
        <v>0</v>
      </c>
      <c r="Y179" s="269">
        <f>IFERROR(IF(X179="","",X179),"")</f>
        <v>0</v>
      </c>
      <c r="Z179" s="36">
        <f>IFERROR(IF(X179="","",X179*0.01788),"")</f>
        <v>0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2">
        <v>4607111035721</v>
      </c>
      <c r="E180" s="273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4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5"/>
      <c r="R180" s="275"/>
      <c r="S180" s="275"/>
      <c r="T180" s="276"/>
      <c r="U180" s="34"/>
      <c r="V180" s="34"/>
      <c r="W180" s="35" t="s">
        <v>69</v>
      </c>
      <c r="X180" s="268">
        <v>0</v>
      </c>
      <c r="Y180" s="269">
        <f>IFERROR(IF(X180="","",X180),"")</f>
        <v>0</v>
      </c>
      <c r="Z180" s="36">
        <f>IFERROR(IF(X180="","",X180*0.01788),"")</f>
        <v>0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2">
        <v>4607111038487</v>
      </c>
      <c r="E181" s="273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5"/>
      <c r="R181" s="275"/>
      <c r="S181" s="275"/>
      <c r="T181" s="276"/>
      <c r="U181" s="34"/>
      <c r="V181" s="34"/>
      <c r="W181" s="35" t="s">
        <v>69</v>
      </c>
      <c r="X181" s="268">
        <v>0</v>
      </c>
      <c r="Y181" s="269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287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8"/>
      <c r="P182" s="277" t="s">
        <v>82</v>
      </c>
      <c r="Q182" s="278"/>
      <c r="R182" s="278"/>
      <c r="S182" s="278"/>
      <c r="T182" s="278"/>
      <c r="U182" s="278"/>
      <c r="V182" s="279"/>
      <c r="W182" s="37" t="s">
        <v>69</v>
      </c>
      <c r="X182" s="270">
        <f>IFERROR(SUM(X179:X181),"0")</f>
        <v>0</v>
      </c>
      <c r="Y182" s="270">
        <f>IFERROR(SUM(Y179:Y181),"0")</f>
        <v>0</v>
      </c>
      <c r="Z182" s="270">
        <f>IFERROR(IF(Z179="",0,Z179),"0")+IFERROR(IF(Z180="",0,Z180),"0")+IFERROR(IF(Z181="",0,Z181),"0")</f>
        <v>0</v>
      </c>
      <c r="AA182" s="271"/>
      <c r="AB182" s="271"/>
      <c r="AC182" s="271"/>
    </row>
    <row r="183" spans="1:68" x14ac:dyDescent="0.2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8"/>
      <c r="P183" s="277" t="s">
        <v>82</v>
      </c>
      <c r="Q183" s="278"/>
      <c r="R183" s="278"/>
      <c r="S183" s="278"/>
      <c r="T183" s="278"/>
      <c r="U183" s="278"/>
      <c r="V183" s="279"/>
      <c r="W183" s="37" t="s">
        <v>83</v>
      </c>
      <c r="X183" s="270">
        <f>IFERROR(SUMPRODUCT(X179:X181*H179:H181),"0")</f>
        <v>0</v>
      </c>
      <c r="Y183" s="270">
        <f>IFERROR(SUMPRODUCT(Y179:Y181*H179:H181),"0")</f>
        <v>0</v>
      </c>
      <c r="Z183" s="37"/>
      <c r="AA183" s="271"/>
      <c r="AB183" s="271"/>
      <c r="AC183" s="271"/>
    </row>
    <row r="184" spans="1:68" ht="14.25" customHeight="1" x14ac:dyDescent="0.25">
      <c r="A184" s="305" t="s">
        <v>268</v>
      </c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  <c r="AA184" s="264"/>
      <c r="AB184" s="264"/>
      <c r="AC184" s="264"/>
    </row>
    <row r="185" spans="1:68" ht="27" customHeight="1" x14ac:dyDescent="0.25">
      <c r="A185" s="54" t="s">
        <v>269</v>
      </c>
      <c r="B185" s="54" t="s">
        <v>270</v>
      </c>
      <c r="C185" s="31">
        <v>4301051855</v>
      </c>
      <c r="D185" s="272">
        <v>4680115885875</v>
      </c>
      <c r="E185" s="273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7" t="s">
        <v>273</v>
      </c>
      <c r="Q185" s="275"/>
      <c r="R185" s="275"/>
      <c r="S185" s="275"/>
      <c r="T185" s="276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87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8"/>
      <c r="P186" s="277" t="s">
        <v>82</v>
      </c>
      <c r="Q186" s="278"/>
      <c r="R186" s="278"/>
      <c r="S186" s="278"/>
      <c r="T186" s="278"/>
      <c r="U186" s="278"/>
      <c r="V186" s="279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x14ac:dyDescent="0.2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8"/>
      <c r="P187" s="277" t="s">
        <v>82</v>
      </c>
      <c r="Q187" s="278"/>
      <c r="R187" s="278"/>
      <c r="S187" s="278"/>
      <c r="T187" s="278"/>
      <c r="U187" s="278"/>
      <c r="V187" s="279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customHeight="1" x14ac:dyDescent="0.2">
      <c r="A188" s="282" t="s">
        <v>276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48"/>
      <c r="AB188" s="48"/>
      <c r="AC188" s="48"/>
    </row>
    <row r="189" spans="1:68" ht="16.5" customHeight="1" x14ac:dyDescent="0.25">
      <c r="A189" s="284" t="s">
        <v>277</v>
      </c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  <c r="AA189" s="263"/>
      <c r="AB189" s="263"/>
      <c r="AC189" s="263"/>
    </row>
    <row r="190" spans="1:68" ht="14.25" customHeight="1" x14ac:dyDescent="0.25">
      <c r="A190" s="305" t="s">
        <v>92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64"/>
      <c r="AB190" s="264"/>
      <c r="AC190" s="264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72">
        <v>4620207491133</v>
      </c>
      <c r="E191" s="273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75"/>
      <c r="R191" s="275"/>
      <c r="S191" s="275"/>
      <c r="T191" s="276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x14ac:dyDescent="0.2">
      <c r="A192" s="287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8"/>
      <c r="P192" s="277" t="s">
        <v>82</v>
      </c>
      <c r="Q192" s="278"/>
      <c r="R192" s="278"/>
      <c r="S192" s="278"/>
      <c r="T192" s="278"/>
      <c r="U192" s="278"/>
      <c r="V192" s="279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x14ac:dyDescent="0.2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8"/>
      <c r="P193" s="277" t="s">
        <v>82</v>
      </c>
      <c r="Q193" s="278"/>
      <c r="R193" s="278"/>
      <c r="S193" s="278"/>
      <c r="T193" s="278"/>
      <c r="U193" s="278"/>
      <c r="V193" s="279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customHeight="1" x14ac:dyDescent="0.25">
      <c r="A194" s="305" t="s">
        <v>136</v>
      </c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  <c r="AA194" s="264"/>
      <c r="AB194" s="264"/>
      <c r="AC194" s="264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72">
        <v>4620207491188</v>
      </c>
      <c r="E195" s="273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35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75"/>
      <c r="R195" s="275"/>
      <c r="S195" s="275"/>
      <c r="T195" s="276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284</v>
      </c>
      <c r="B196" s="54" t="s">
        <v>285</v>
      </c>
      <c r="C196" s="31">
        <v>4301135707</v>
      </c>
      <c r="D196" s="272">
        <v>4620207490198</v>
      </c>
      <c r="E196" s="273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4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75"/>
      <c r="R196" s="275"/>
      <c r="S196" s="275"/>
      <c r="T196" s="276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4301135829</v>
      </c>
      <c r="D197" s="272">
        <v>4620207490235</v>
      </c>
      <c r="E197" s="273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75"/>
      <c r="R197" s="275"/>
      <c r="S197" s="275"/>
      <c r="T197" s="276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4301135697</v>
      </c>
      <c r="D198" s="272">
        <v>4620207490259</v>
      </c>
      <c r="E198" s="273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75"/>
      <c r="R198" s="275"/>
      <c r="S198" s="275"/>
      <c r="T198" s="276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4301135681</v>
      </c>
      <c r="D199" s="272">
        <v>4620207490143</v>
      </c>
      <c r="E199" s="273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4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75"/>
      <c r="R199" s="275"/>
      <c r="S199" s="275"/>
      <c r="T199" s="276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87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8"/>
      <c r="P200" s="277" t="s">
        <v>82</v>
      </c>
      <c r="Q200" s="278"/>
      <c r="R200" s="278"/>
      <c r="S200" s="278"/>
      <c r="T200" s="278"/>
      <c r="U200" s="278"/>
      <c r="V200" s="279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x14ac:dyDescent="0.2">
      <c r="A201" s="285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8"/>
      <c r="P201" s="277" t="s">
        <v>82</v>
      </c>
      <c r="Q201" s="278"/>
      <c r="R201" s="278"/>
      <c r="S201" s="278"/>
      <c r="T201" s="278"/>
      <c r="U201" s="278"/>
      <c r="V201" s="279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customHeight="1" x14ac:dyDescent="0.25">
      <c r="A202" s="284" t="s">
        <v>295</v>
      </c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  <c r="AA202" s="263"/>
      <c r="AB202" s="263"/>
      <c r="AC202" s="263"/>
    </row>
    <row r="203" spans="1:68" ht="14.25" customHeight="1" x14ac:dyDescent="0.25">
      <c r="A203" s="305" t="s">
        <v>63</v>
      </c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72">
        <v>4620207491096</v>
      </c>
      <c r="E204" s="273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75"/>
      <c r="R204" s="275"/>
      <c r="S204" s="275"/>
      <c r="T204" s="276"/>
      <c r="U204" s="34"/>
      <c r="V204" s="34"/>
      <c r="W204" s="35" t="s">
        <v>69</v>
      </c>
      <c r="X204" s="268">
        <v>0</v>
      </c>
      <c r="Y204" s="269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7"/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8"/>
      <c r="P205" s="277" t="s">
        <v>82</v>
      </c>
      <c r="Q205" s="278"/>
      <c r="R205" s="278"/>
      <c r="S205" s="278"/>
      <c r="T205" s="278"/>
      <c r="U205" s="278"/>
      <c r="V205" s="279"/>
      <c r="W205" s="37" t="s">
        <v>69</v>
      </c>
      <c r="X205" s="270">
        <f>IFERROR(SUM(X204:X204),"0")</f>
        <v>0</v>
      </c>
      <c r="Y205" s="270">
        <f>IFERROR(SUM(Y204:Y204),"0")</f>
        <v>0</v>
      </c>
      <c r="Z205" s="270">
        <f>IFERROR(IF(Z204="",0,Z204),"0")</f>
        <v>0</v>
      </c>
      <c r="AA205" s="271"/>
      <c r="AB205" s="271"/>
      <c r="AC205" s="271"/>
    </row>
    <row r="206" spans="1:68" x14ac:dyDescent="0.2">
      <c r="A206" s="285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8"/>
      <c r="P206" s="277" t="s">
        <v>82</v>
      </c>
      <c r="Q206" s="278"/>
      <c r="R206" s="278"/>
      <c r="S206" s="278"/>
      <c r="T206" s="278"/>
      <c r="U206" s="278"/>
      <c r="V206" s="279"/>
      <c r="W206" s="37" t="s">
        <v>83</v>
      </c>
      <c r="X206" s="270">
        <f>IFERROR(SUMPRODUCT(X204:X204*H204:H204),"0")</f>
        <v>0</v>
      </c>
      <c r="Y206" s="270">
        <f>IFERROR(SUMPRODUCT(Y204:Y204*H204:H204),"0")</f>
        <v>0</v>
      </c>
      <c r="Z206" s="37"/>
      <c r="AA206" s="271"/>
      <c r="AB206" s="271"/>
      <c r="AC206" s="271"/>
    </row>
    <row r="207" spans="1:68" ht="16.5" customHeight="1" x14ac:dyDescent="0.25">
      <c r="A207" s="284" t="s">
        <v>299</v>
      </c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A207" s="263"/>
      <c r="AB207" s="263"/>
      <c r="AC207" s="263"/>
    </row>
    <row r="208" spans="1:68" ht="14.25" customHeight="1" x14ac:dyDescent="0.25">
      <c r="A208" s="305" t="s">
        <v>63</v>
      </c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A208" s="264"/>
      <c r="AB208" s="264"/>
      <c r="AC208" s="264"/>
    </row>
    <row r="209" spans="1:68" ht="27" customHeight="1" x14ac:dyDescent="0.25">
      <c r="A209" s="54" t="s">
        <v>300</v>
      </c>
      <c r="B209" s="54" t="s">
        <v>301</v>
      </c>
      <c r="C209" s="31">
        <v>4301071093</v>
      </c>
      <c r="D209" s="272">
        <v>4620207490709</v>
      </c>
      <c r="E209" s="273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304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75"/>
      <c r="R209" s="275"/>
      <c r="S209" s="275"/>
      <c r="T209" s="276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287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8"/>
      <c r="P210" s="277" t="s">
        <v>82</v>
      </c>
      <c r="Q210" s="278"/>
      <c r="R210" s="278"/>
      <c r="S210" s="278"/>
      <c r="T210" s="278"/>
      <c r="U210" s="278"/>
      <c r="V210" s="279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x14ac:dyDescent="0.2">
      <c r="A211" s="285"/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8"/>
      <c r="P211" s="277" t="s">
        <v>82</v>
      </c>
      <c r="Q211" s="278"/>
      <c r="R211" s="278"/>
      <c r="S211" s="278"/>
      <c r="T211" s="278"/>
      <c r="U211" s="278"/>
      <c r="V211" s="279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customHeight="1" x14ac:dyDescent="0.25">
      <c r="A212" s="305" t="s">
        <v>136</v>
      </c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  <c r="AA212" s="264"/>
      <c r="AB212" s="264"/>
      <c r="AC212" s="264"/>
    </row>
    <row r="213" spans="1:68" ht="27" customHeight="1" x14ac:dyDescent="0.25">
      <c r="A213" s="54" t="s">
        <v>303</v>
      </c>
      <c r="B213" s="54" t="s">
        <v>304</v>
      </c>
      <c r="C213" s="31">
        <v>4301135691</v>
      </c>
      <c r="D213" s="272">
        <v>4620207490549</v>
      </c>
      <c r="E213" s="273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75"/>
      <c r="R213" s="275"/>
      <c r="S213" s="275"/>
      <c r="T213" s="276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customHeight="1" x14ac:dyDescent="0.25">
      <c r="A214" s="54" t="s">
        <v>306</v>
      </c>
      <c r="B214" s="54" t="s">
        <v>307</v>
      </c>
      <c r="C214" s="31">
        <v>4301135694</v>
      </c>
      <c r="D214" s="272">
        <v>4620207490501</v>
      </c>
      <c r="E214" s="273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75"/>
      <c r="R214" s="275"/>
      <c r="S214" s="275"/>
      <c r="T214" s="276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x14ac:dyDescent="0.2">
      <c r="A215" s="287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8"/>
      <c r="P215" s="277" t="s">
        <v>82</v>
      </c>
      <c r="Q215" s="278"/>
      <c r="R215" s="278"/>
      <c r="S215" s="278"/>
      <c r="T215" s="278"/>
      <c r="U215" s="278"/>
      <c r="V215" s="279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x14ac:dyDescent="0.2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8"/>
      <c r="P216" s="277" t="s">
        <v>82</v>
      </c>
      <c r="Q216" s="278"/>
      <c r="R216" s="278"/>
      <c r="S216" s="278"/>
      <c r="T216" s="278"/>
      <c r="U216" s="278"/>
      <c r="V216" s="279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customHeight="1" x14ac:dyDescent="0.2">
      <c r="A217" s="282" t="s">
        <v>308</v>
      </c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  <c r="AA217" s="48"/>
      <c r="AB217" s="48"/>
      <c r="AC217" s="48"/>
    </row>
    <row r="218" spans="1:68" ht="16.5" customHeight="1" x14ac:dyDescent="0.25">
      <c r="A218" s="284" t="s">
        <v>309</v>
      </c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  <c r="AA218" s="263"/>
      <c r="AB218" s="263"/>
      <c r="AC218" s="263"/>
    </row>
    <row r="219" spans="1:68" ht="14.25" customHeight="1" x14ac:dyDescent="0.25">
      <c r="A219" s="305" t="s">
        <v>63</v>
      </c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  <c r="AA219" s="264"/>
      <c r="AB219" s="264"/>
      <c r="AC219" s="264"/>
    </row>
    <row r="220" spans="1:68" ht="27" customHeight="1" x14ac:dyDescent="0.25">
      <c r="A220" s="54" t="s">
        <v>310</v>
      </c>
      <c r="B220" s="54" t="s">
        <v>311</v>
      </c>
      <c r="C220" s="31">
        <v>4301071036</v>
      </c>
      <c r="D220" s="272">
        <v>4607111036162</v>
      </c>
      <c r="E220" s="273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8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75"/>
      <c r="R220" s="275"/>
      <c r="S220" s="275"/>
      <c r="T220" s="276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87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8"/>
      <c r="P221" s="277" t="s">
        <v>82</v>
      </c>
      <c r="Q221" s="278"/>
      <c r="R221" s="278"/>
      <c r="S221" s="278"/>
      <c r="T221" s="278"/>
      <c r="U221" s="278"/>
      <c r="V221" s="279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x14ac:dyDescent="0.2">
      <c r="A222" s="285"/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8"/>
      <c r="P222" s="277" t="s">
        <v>82</v>
      </c>
      <c r="Q222" s="278"/>
      <c r="R222" s="278"/>
      <c r="S222" s="278"/>
      <c r="T222" s="278"/>
      <c r="U222" s="278"/>
      <c r="V222" s="279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customHeight="1" x14ac:dyDescent="0.2">
      <c r="A223" s="282" t="s">
        <v>313</v>
      </c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  <c r="AA223" s="48"/>
      <c r="AB223" s="48"/>
      <c r="AC223" s="48"/>
    </row>
    <row r="224" spans="1:68" ht="16.5" customHeight="1" x14ac:dyDescent="0.25">
      <c r="A224" s="284" t="s">
        <v>314</v>
      </c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  <c r="AA224" s="263"/>
      <c r="AB224" s="263"/>
      <c r="AC224" s="263"/>
    </row>
    <row r="225" spans="1:68" ht="14.25" customHeight="1" x14ac:dyDescent="0.25">
      <c r="A225" s="305" t="s">
        <v>63</v>
      </c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  <c r="AA225" s="264"/>
      <c r="AB225" s="264"/>
      <c r="AC225" s="264"/>
    </row>
    <row r="226" spans="1:68" ht="27" customHeight="1" x14ac:dyDescent="0.25">
      <c r="A226" s="54" t="s">
        <v>315</v>
      </c>
      <c r="B226" s="54" t="s">
        <v>316</v>
      </c>
      <c r="C226" s="31">
        <v>4301071029</v>
      </c>
      <c r="D226" s="272">
        <v>4607111035899</v>
      </c>
      <c r="E226" s="273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180</v>
      </c>
      <c r="P226" s="41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75"/>
      <c r="R226" s="275"/>
      <c r="S226" s="275"/>
      <c r="T226" s="276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71</v>
      </c>
      <c r="AK226" s="71">
        <v>1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287"/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8"/>
      <c r="P227" s="277" t="s">
        <v>82</v>
      </c>
      <c r="Q227" s="278"/>
      <c r="R227" s="278"/>
      <c r="S227" s="278"/>
      <c r="T227" s="278"/>
      <c r="U227" s="278"/>
      <c r="V227" s="279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x14ac:dyDescent="0.2">
      <c r="A228" s="285"/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8"/>
      <c r="P228" s="277" t="s">
        <v>82</v>
      </c>
      <c r="Q228" s="278"/>
      <c r="R228" s="278"/>
      <c r="S228" s="278"/>
      <c r="T228" s="278"/>
      <c r="U228" s="278"/>
      <c r="V228" s="279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customHeight="1" x14ac:dyDescent="0.2">
      <c r="A229" s="282" t="s">
        <v>317</v>
      </c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  <c r="AA229" s="48"/>
      <c r="AB229" s="48"/>
      <c r="AC229" s="48"/>
    </row>
    <row r="230" spans="1:68" ht="16.5" customHeight="1" x14ac:dyDescent="0.25">
      <c r="A230" s="284" t="s">
        <v>318</v>
      </c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  <c r="AA230" s="263"/>
      <c r="AB230" s="263"/>
      <c r="AC230" s="263"/>
    </row>
    <row r="231" spans="1:68" ht="14.25" customHeight="1" x14ac:dyDescent="0.25">
      <c r="A231" s="305" t="s">
        <v>319</v>
      </c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  <c r="AA231" s="264"/>
      <c r="AB231" s="264"/>
      <c r="AC231" s="264"/>
    </row>
    <row r="232" spans="1:68" ht="27" customHeight="1" x14ac:dyDescent="0.25">
      <c r="A232" s="54" t="s">
        <v>320</v>
      </c>
      <c r="B232" s="54" t="s">
        <v>321</v>
      </c>
      <c r="C232" s="31">
        <v>4301133004</v>
      </c>
      <c r="D232" s="272">
        <v>4607111039774</v>
      </c>
      <c r="E232" s="273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8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75"/>
      <c r="R232" s="275"/>
      <c r="S232" s="275"/>
      <c r="T232" s="276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87"/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8"/>
      <c r="P233" s="277" t="s">
        <v>82</v>
      </c>
      <c r="Q233" s="278"/>
      <c r="R233" s="278"/>
      <c r="S233" s="278"/>
      <c r="T233" s="278"/>
      <c r="U233" s="278"/>
      <c r="V233" s="279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x14ac:dyDescent="0.2">
      <c r="A234" s="285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8"/>
      <c r="P234" s="277" t="s">
        <v>82</v>
      </c>
      <c r="Q234" s="278"/>
      <c r="R234" s="278"/>
      <c r="S234" s="278"/>
      <c r="T234" s="278"/>
      <c r="U234" s="278"/>
      <c r="V234" s="279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customHeight="1" x14ac:dyDescent="0.25">
      <c r="A235" s="305" t="s">
        <v>136</v>
      </c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64"/>
      <c r="AB235" s="264"/>
      <c r="AC235" s="264"/>
    </row>
    <row r="236" spans="1:68" ht="37.5" customHeight="1" x14ac:dyDescent="0.25">
      <c r="A236" s="54" t="s">
        <v>323</v>
      </c>
      <c r="B236" s="54" t="s">
        <v>324</v>
      </c>
      <c r="C236" s="31">
        <v>4301135400</v>
      </c>
      <c r="D236" s="272">
        <v>4607111039361</v>
      </c>
      <c r="E236" s="273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0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75"/>
      <c r="R236" s="275"/>
      <c r="S236" s="275"/>
      <c r="T236" s="276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87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8"/>
      <c r="P237" s="277" t="s">
        <v>82</v>
      </c>
      <c r="Q237" s="278"/>
      <c r="R237" s="278"/>
      <c r="S237" s="278"/>
      <c r="T237" s="278"/>
      <c r="U237" s="278"/>
      <c r="V237" s="279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x14ac:dyDescent="0.2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8"/>
      <c r="P238" s="277" t="s">
        <v>82</v>
      </c>
      <c r="Q238" s="278"/>
      <c r="R238" s="278"/>
      <c r="S238" s="278"/>
      <c r="T238" s="278"/>
      <c r="U238" s="278"/>
      <c r="V238" s="279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customHeight="1" x14ac:dyDescent="0.2">
      <c r="A239" s="282" t="s">
        <v>325</v>
      </c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  <c r="AA239" s="48"/>
      <c r="AB239" s="48"/>
      <c r="AC239" s="48"/>
    </row>
    <row r="240" spans="1:68" ht="16.5" customHeight="1" x14ac:dyDescent="0.25">
      <c r="A240" s="284" t="s">
        <v>325</v>
      </c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  <c r="AA240" s="263"/>
      <c r="AB240" s="263"/>
      <c r="AC240" s="263"/>
    </row>
    <row r="241" spans="1:68" ht="14.25" customHeight="1" x14ac:dyDescent="0.25">
      <c r="A241" s="305" t="s">
        <v>63</v>
      </c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A241" s="264"/>
      <c r="AB241" s="264"/>
      <c r="AC241" s="264"/>
    </row>
    <row r="242" spans="1:68" ht="27" customHeight="1" x14ac:dyDescent="0.25">
      <c r="A242" s="54" t="s">
        <v>326</v>
      </c>
      <c r="B242" s="54" t="s">
        <v>327</v>
      </c>
      <c r="C242" s="31">
        <v>4301071014</v>
      </c>
      <c r="D242" s="272">
        <v>4640242181264</v>
      </c>
      <c r="E242" s="273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2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75"/>
      <c r="R242" s="275"/>
      <c r="S242" s="275"/>
      <c r="T242" s="276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72">
        <v>4640242181325</v>
      </c>
      <c r="E243" s="273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4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75"/>
      <c r="R243" s="275"/>
      <c r="S243" s="275"/>
      <c r="T243" s="276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x14ac:dyDescent="0.2">
      <c r="A244" s="287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8"/>
      <c r="P244" s="277" t="s">
        <v>82</v>
      </c>
      <c r="Q244" s="278"/>
      <c r="R244" s="278"/>
      <c r="S244" s="278"/>
      <c r="T244" s="278"/>
      <c r="U244" s="278"/>
      <c r="V244" s="279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x14ac:dyDescent="0.2">
      <c r="A245" s="285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8"/>
      <c r="P245" s="277" t="s">
        <v>82</v>
      </c>
      <c r="Q245" s="278"/>
      <c r="R245" s="278"/>
      <c r="S245" s="278"/>
      <c r="T245" s="278"/>
      <c r="U245" s="278"/>
      <c r="V245" s="279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customHeight="1" x14ac:dyDescent="0.25">
      <c r="A246" s="305" t="s">
        <v>92</v>
      </c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72">
        <v>4640242180397</v>
      </c>
      <c r="E247" s="273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75"/>
      <c r="R247" s="275"/>
      <c r="S247" s="275"/>
      <c r="T247" s="276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customHeight="1" x14ac:dyDescent="0.25">
      <c r="A248" s="54" t="s">
        <v>334</v>
      </c>
      <c r="B248" s="54" t="s">
        <v>335</v>
      </c>
      <c r="C248" s="31">
        <v>4301132104</v>
      </c>
      <c r="D248" s="272">
        <v>4640242181219</v>
      </c>
      <c r="E248" s="273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75"/>
      <c r="R248" s="275"/>
      <c r="S248" s="275"/>
      <c r="T248" s="276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87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8"/>
      <c r="P249" s="277" t="s">
        <v>82</v>
      </c>
      <c r="Q249" s="278"/>
      <c r="R249" s="278"/>
      <c r="S249" s="278"/>
      <c r="T249" s="278"/>
      <c r="U249" s="278"/>
      <c r="V249" s="279"/>
      <c r="W249" s="37" t="s">
        <v>69</v>
      </c>
      <c r="X249" s="270">
        <f>IFERROR(SUM(X247:X248),"0")</f>
        <v>0</v>
      </c>
      <c r="Y249" s="270">
        <f>IFERROR(SUM(Y247:Y248),"0")</f>
        <v>0</v>
      </c>
      <c r="Z249" s="270">
        <f>IFERROR(IF(Z247="",0,Z247),"0")+IFERROR(IF(Z248="",0,Z248),"0")</f>
        <v>0</v>
      </c>
      <c r="AA249" s="271"/>
      <c r="AB249" s="271"/>
      <c r="AC249" s="271"/>
    </row>
    <row r="250" spans="1:68" x14ac:dyDescent="0.2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8"/>
      <c r="P250" s="277" t="s">
        <v>82</v>
      </c>
      <c r="Q250" s="278"/>
      <c r="R250" s="278"/>
      <c r="S250" s="278"/>
      <c r="T250" s="278"/>
      <c r="U250" s="278"/>
      <c r="V250" s="279"/>
      <c r="W250" s="37" t="s">
        <v>83</v>
      </c>
      <c r="X250" s="270">
        <f>IFERROR(SUMPRODUCT(X247:X248*H247:H248),"0")</f>
        <v>0</v>
      </c>
      <c r="Y250" s="270">
        <f>IFERROR(SUMPRODUCT(Y247:Y248*H247:H248),"0")</f>
        <v>0</v>
      </c>
      <c r="Z250" s="37"/>
      <c r="AA250" s="271"/>
      <c r="AB250" s="271"/>
      <c r="AC250" s="271"/>
    </row>
    <row r="251" spans="1:68" ht="14.25" customHeight="1" x14ac:dyDescent="0.25">
      <c r="A251" s="305" t="s">
        <v>130</v>
      </c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A251" s="264"/>
      <c r="AB251" s="264"/>
      <c r="AC251" s="264"/>
    </row>
    <row r="252" spans="1:68" ht="27" customHeight="1" x14ac:dyDescent="0.25">
      <c r="A252" s="54" t="s">
        <v>336</v>
      </c>
      <c r="B252" s="54" t="s">
        <v>337</v>
      </c>
      <c r="C252" s="31">
        <v>4301136051</v>
      </c>
      <c r="D252" s="272">
        <v>4640242180304</v>
      </c>
      <c r="E252" s="273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2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75"/>
      <c r="R252" s="275"/>
      <c r="S252" s="275"/>
      <c r="T252" s="276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72">
        <v>4640242180236</v>
      </c>
      <c r="E253" s="273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75"/>
      <c r="R253" s="275"/>
      <c r="S253" s="275"/>
      <c r="T253" s="276"/>
      <c r="U253" s="34"/>
      <c r="V253" s="34"/>
      <c r="W253" s="35" t="s">
        <v>69</v>
      </c>
      <c r="X253" s="268">
        <v>0</v>
      </c>
      <c r="Y253" s="269">
        <f>IFERROR(IF(X253="","",X253),"")</f>
        <v>0</v>
      </c>
      <c r="Z253" s="36">
        <f>IFERROR(IF(X253="","",X253*0.0155),"")</f>
        <v>0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341</v>
      </c>
      <c r="B254" s="54" t="s">
        <v>342</v>
      </c>
      <c r="C254" s="31">
        <v>4301136052</v>
      </c>
      <c r="D254" s="272">
        <v>4640242180410</v>
      </c>
      <c r="E254" s="273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39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75"/>
      <c r="R254" s="275"/>
      <c r="S254" s="275"/>
      <c r="T254" s="276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87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8"/>
      <c r="P255" s="277" t="s">
        <v>82</v>
      </c>
      <c r="Q255" s="278"/>
      <c r="R255" s="278"/>
      <c r="S255" s="278"/>
      <c r="T255" s="278"/>
      <c r="U255" s="278"/>
      <c r="V255" s="279"/>
      <c r="W255" s="37" t="s">
        <v>69</v>
      </c>
      <c r="X255" s="270">
        <f>IFERROR(SUM(X252:X254),"0")</f>
        <v>0</v>
      </c>
      <c r="Y255" s="270">
        <f>IFERROR(SUM(Y252:Y254),"0")</f>
        <v>0</v>
      </c>
      <c r="Z255" s="270">
        <f>IFERROR(IF(Z252="",0,Z252),"0")+IFERROR(IF(Z253="",0,Z253),"0")+IFERROR(IF(Z254="",0,Z254),"0")</f>
        <v>0</v>
      </c>
      <c r="AA255" s="271"/>
      <c r="AB255" s="271"/>
      <c r="AC255" s="271"/>
    </row>
    <row r="256" spans="1:68" x14ac:dyDescent="0.2">
      <c r="A256" s="285"/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8"/>
      <c r="P256" s="277" t="s">
        <v>82</v>
      </c>
      <c r="Q256" s="278"/>
      <c r="R256" s="278"/>
      <c r="S256" s="278"/>
      <c r="T256" s="278"/>
      <c r="U256" s="278"/>
      <c r="V256" s="279"/>
      <c r="W256" s="37" t="s">
        <v>83</v>
      </c>
      <c r="X256" s="270">
        <f>IFERROR(SUMPRODUCT(X252:X254*H252:H254),"0")</f>
        <v>0</v>
      </c>
      <c r="Y256" s="270">
        <f>IFERROR(SUMPRODUCT(Y252:Y254*H252:H254),"0")</f>
        <v>0</v>
      </c>
      <c r="Z256" s="37"/>
      <c r="AA256" s="271"/>
      <c r="AB256" s="271"/>
      <c r="AC256" s="271"/>
    </row>
    <row r="257" spans="1:68" ht="14.25" customHeight="1" x14ac:dyDescent="0.25">
      <c r="A257" s="305" t="s">
        <v>136</v>
      </c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  <c r="AA257" s="264"/>
      <c r="AB257" s="264"/>
      <c r="AC257" s="264"/>
    </row>
    <row r="258" spans="1:68" ht="37.5" customHeight="1" x14ac:dyDescent="0.25">
      <c r="A258" s="54" t="s">
        <v>343</v>
      </c>
      <c r="B258" s="54" t="s">
        <v>344</v>
      </c>
      <c r="C258" s="31">
        <v>4301135504</v>
      </c>
      <c r="D258" s="272">
        <v>4640242181554</v>
      </c>
      <c r="E258" s="273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75"/>
      <c r="R258" s="275"/>
      <c r="S258" s="275"/>
      <c r="T258" s="276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72">
        <v>4640242181561</v>
      </c>
      <c r="E259" s="273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2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75"/>
      <c r="R259" s="275"/>
      <c r="S259" s="275"/>
      <c r="T259" s="276"/>
      <c r="U259" s="34"/>
      <c r="V259" s="34"/>
      <c r="W259" s="35" t="s">
        <v>69</v>
      </c>
      <c r="X259" s="268">
        <v>0</v>
      </c>
      <c r="Y259" s="269">
        <f t="shared" si="18"/>
        <v>0</v>
      </c>
      <c r="Z259" s="36">
        <f>IFERROR(IF(X259="","",X259*0.00936),"")</f>
        <v>0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72">
        <v>4640242181424</v>
      </c>
      <c r="E260" s="273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8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75"/>
      <c r="R260" s="275"/>
      <c r="S260" s="275"/>
      <c r="T260" s="276"/>
      <c r="U260" s="34"/>
      <c r="V260" s="34"/>
      <c r="W260" s="35" t="s">
        <v>69</v>
      </c>
      <c r="X260" s="268">
        <v>0</v>
      </c>
      <c r="Y260" s="269">
        <f t="shared" si="18"/>
        <v>0</v>
      </c>
      <c r="Z260" s="36">
        <f>IFERROR(IF(X260="","",X260*0.0155),"")</f>
        <v>0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72">
        <v>4640242181523</v>
      </c>
      <c r="E261" s="273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8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75"/>
      <c r="R261" s="275"/>
      <c r="S261" s="275"/>
      <c r="T261" s="276"/>
      <c r="U261" s="34"/>
      <c r="V261" s="34"/>
      <c r="W261" s="35" t="s">
        <v>69</v>
      </c>
      <c r="X261" s="268">
        <v>0</v>
      </c>
      <c r="Y261" s="269">
        <f t="shared" si="18"/>
        <v>0</v>
      </c>
      <c r="Z261" s="36">
        <f t="shared" ref="Z261:Z266" si="23">IFERROR(IF(X261="","",X261*0.00936),"")</f>
        <v>0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72">
        <v>4640242181486</v>
      </c>
      <c r="E262" s="273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219</v>
      </c>
      <c r="M262" s="33" t="s">
        <v>68</v>
      </c>
      <c r="N262" s="33"/>
      <c r="O262" s="32">
        <v>180</v>
      </c>
      <c r="P262" s="44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75"/>
      <c r="R262" s="275"/>
      <c r="S262" s="275"/>
      <c r="T262" s="276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220</v>
      </c>
      <c r="AK262" s="71">
        <v>126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customHeight="1" x14ac:dyDescent="0.25">
      <c r="A263" s="54" t="s">
        <v>355</v>
      </c>
      <c r="B263" s="54" t="s">
        <v>356</v>
      </c>
      <c r="C263" s="31">
        <v>4301135402</v>
      </c>
      <c r="D263" s="272">
        <v>4640242181493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75"/>
      <c r="R263" s="275"/>
      <c r="S263" s="275"/>
      <c r="T263" s="276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customHeight="1" x14ac:dyDescent="0.25">
      <c r="A264" s="54" t="s">
        <v>357</v>
      </c>
      <c r="B264" s="54" t="s">
        <v>358</v>
      </c>
      <c r="C264" s="31">
        <v>4301135403</v>
      </c>
      <c r="D264" s="272">
        <v>4640242181509</v>
      </c>
      <c r="E264" s="273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75"/>
      <c r="R264" s="275"/>
      <c r="S264" s="275"/>
      <c r="T264" s="276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customHeight="1" x14ac:dyDescent="0.25">
      <c r="A265" s="54" t="s">
        <v>359</v>
      </c>
      <c r="B265" s="54" t="s">
        <v>360</v>
      </c>
      <c r="C265" s="31">
        <v>4301135304</v>
      </c>
      <c r="D265" s="272">
        <v>4640242181240</v>
      </c>
      <c r="E265" s="273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75"/>
      <c r="R265" s="275"/>
      <c r="S265" s="275"/>
      <c r="T265" s="276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361</v>
      </c>
      <c r="B266" s="54" t="s">
        <v>362</v>
      </c>
      <c r="C266" s="31">
        <v>4301135610</v>
      </c>
      <c r="D266" s="272">
        <v>4640242181318</v>
      </c>
      <c r="E266" s="273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75"/>
      <c r="R266" s="275"/>
      <c r="S266" s="275"/>
      <c r="T266" s="276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363</v>
      </c>
      <c r="B267" s="54" t="s">
        <v>364</v>
      </c>
      <c r="C267" s="31">
        <v>4301135306</v>
      </c>
      <c r="D267" s="272">
        <v>4640242181387</v>
      </c>
      <c r="E267" s="273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75"/>
      <c r="R267" s="275"/>
      <c r="S267" s="275"/>
      <c r="T267" s="276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87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8"/>
      <c r="P268" s="277" t="s">
        <v>82</v>
      </c>
      <c r="Q268" s="278"/>
      <c r="R268" s="278"/>
      <c r="S268" s="278"/>
      <c r="T268" s="278"/>
      <c r="U268" s="278"/>
      <c r="V268" s="279"/>
      <c r="W268" s="37" t="s">
        <v>69</v>
      </c>
      <c r="X268" s="270">
        <f>IFERROR(SUM(X258:X267),"0")</f>
        <v>0</v>
      </c>
      <c r="Y268" s="270">
        <f>IFERROR(SUM(Y258:Y267),"0")</f>
        <v>0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</v>
      </c>
      <c r="AA268" s="271"/>
      <c r="AB268" s="271"/>
      <c r="AC268" s="271"/>
    </row>
    <row r="269" spans="1:68" x14ac:dyDescent="0.2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8"/>
      <c r="P269" s="277" t="s">
        <v>82</v>
      </c>
      <c r="Q269" s="278"/>
      <c r="R269" s="278"/>
      <c r="S269" s="278"/>
      <c r="T269" s="278"/>
      <c r="U269" s="278"/>
      <c r="V269" s="279"/>
      <c r="W269" s="37" t="s">
        <v>83</v>
      </c>
      <c r="X269" s="270">
        <f>IFERROR(SUMPRODUCT(X258:X267*H258:H267),"0")</f>
        <v>0</v>
      </c>
      <c r="Y269" s="270">
        <f>IFERROR(SUMPRODUCT(Y258:Y267*H258:H267),"0")</f>
        <v>0</v>
      </c>
      <c r="Z269" s="37"/>
      <c r="AA269" s="271"/>
      <c r="AB269" s="271"/>
      <c r="AC269" s="271"/>
    </row>
    <row r="270" spans="1:68" ht="15" customHeight="1" x14ac:dyDescent="0.2">
      <c r="A270" s="454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371"/>
      <c r="P270" s="319" t="s">
        <v>365</v>
      </c>
      <c r="Q270" s="320"/>
      <c r="R270" s="320"/>
      <c r="S270" s="320"/>
      <c r="T270" s="320"/>
      <c r="U270" s="320"/>
      <c r="V270" s="321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10328.039999999999</v>
      </c>
      <c r="Y270" s="270">
        <f>IFERROR(Y29+Y35+Y42+Y49+Y57+Y62+Y66+Y71+Y77+Y83+Y88+Y94+Y104+Y110+Y122+Y126+Y130+Y136+Y142+Y148+Y153+Y158+Y163+Y168+Y175+Y183+Y187+Y193+Y201+Y206+Y211+Y216+Y222+Y228+Y234+Y238+Y245+Y250+Y256+Y269,"0")</f>
        <v>10328.039999999999</v>
      </c>
      <c r="Z270" s="37"/>
      <c r="AA270" s="271"/>
      <c r="AB270" s="271"/>
      <c r="AC270" s="271"/>
    </row>
    <row r="271" spans="1:68" x14ac:dyDescent="0.2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371"/>
      <c r="P271" s="319" t="s">
        <v>366</v>
      </c>
      <c r="Q271" s="320"/>
      <c r="R271" s="320"/>
      <c r="S271" s="320"/>
      <c r="T271" s="320"/>
      <c r="U271" s="320"/>
      <c r="V271" s="321"/>
      <c r="W271" s="37" t="s">
        <v>83</v>
      </c>
      <c r="X271" s="270">
        <f>IFERROR(SUM(BM22:BM267),"0")</f>
        <v>11630.536</v>
      </c>
      <c r="Y271" s="270">
        <f>IFERROR(SUM(BN22:BN267),"0")</f>
        <v>11630.536</v>
      </c>
      <c r="Z271" s="37"/>
      <c r="AA271" s="271"/>
      <c r="AB271" s="271"/>
      <c r="AC271" s="271"/>
    </row>
    <row r="272" spans="1:68" x14ac:dyDescent="0.2">
      <c r="A272" s="285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371"/>
      <c r="P272" s="319" t="s">
        <v>367</v>
      </c>
      <c r="Q272" s="320"/>
      <c r="R272" s="320"/>
      <c r="S272" s="320"/>
      <c r="T272" s="320"/>
      <c r="U272" s="320"/>
      <c r="V272" s="321"/>
      <c r="W272" s="37" t="s">
        <v>368</v>
      </c>
      <c r="X272" s="38">
        <f>ROUNDUP(SUM(BO22:BO267),0)</f>
        <v>32</v>
      </c>
      <c r="Y272" s="38">
        <f>ROUNDUP(SUM(BP22:BP267),0)</f>
        <v>32</v>
      </c>
      <c r="Z272" s="37"/>
      <c r="AA272" s="271"/>
      <c r="AB272" s="271"/>
      <c r="AC272" s="271"/>
    </row>
    <row r="273" spans="1:32" x14ac:dyDescent="0.2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371"/>
      <c r="P273" s="319" t="s">
        <v>369</v>
      </c>
      <c r="Q273" s="320"/>
      <c r="R273" s="320"/>
      <c r="S273" s="320"/>
      <c r="T273" s="320"/>
      <c r="U273" s="320"/>
      <c r="V273" s="321"/>
      <c r="W273" s="37" t="s">
        <v>83</v>
      </c>
      <c r="X273" s="270">
        <f>GrossWeightTotal+PalletQtyTotal*25</f>
        <v>12430.536</v>
      </c>
      <c r="Y273" s="270">
        <f>GrossWeightTotalR+PalletQtyTotalR*25</f>
        <v>12430.536</v>
      </c>
      <c r="Z273" s="37"/>
      <c r="AA273" s="271"/>
      <c r="AB273" s="271"/>
      <c r="AC273" s="271"/>
    </row>
    <row r="274" spans="1:32" x14ac:dyDescent="0.2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371"/>
      <c r="P274" s="319" t="s">
        <v>370</v>
      </c>
      <c r="Q274" s="320"/>
      <c r="R274" s="320"/>
      <c r="S274" s="320"/>
      <c r="T274" s="320"/>
      <c r="U274" s="320"/>
      <c r="V274" s="321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2732</v>
      </c>
      <c r="Y274" s="270">
        <f>IFERROR(Y28+Y34+Y41+Y48+Y56+Y61+Y65+Y70+Y76+Y82+Y87+Y93+Y103+Y109+Y121+Y125+Y129+Y135+Y141+Y147+Y152+Y157+Y162+Y167+Y174+Y182+Y186+Y192+Y200+Y205+Y210+Y215+Y221+Y227+Y233+Y237+Y244+Y249+Y255+Y268,"0")</f>
        <v>2732</v>
      </c>
      <c r="Z274" s="37"/>
      <c r="AA274" s="271"/>
      <c r="AB274" s="271"/>
      <c r="AC274" s="271"/>
    </row>
    <row r="275" spans="1:32" ht="14.25" customHeight="1" x14ac:dyDescent="0.2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371"/>
      <c r="P275" s="319" t="s">
        <v>371</v>
      </c>
      <c r="Q275" s="320"/>
      <c r="R275" s="320"/>
      <c r="S275" s="320"/>
      <c r="T275" s="320"/>
      <c r="U275" s="320"/>
      <c r="V275" s="321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39.638359999999999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89" t="s">
        <v>62</v>
      </c>
      <c r="C277" s="355"/>
      <c r="D277" s="289" t="s">
        <v>90</v>
      </c>
      <c r="E277" s="354"/>
      <c r="F277" s="354"/>
      <c r="G277" s="354"/>
      <c r="H277" s="354"/>
      <c r="I277" s="354"/>
      <c r="J277" s="354"/>
      <c r="K277" s="354"/>
      <c r="L277" s="354"/>
      <c r="M277" s="354"/>
      <c r="N277" s="354"/>
      <c r="O277" s="354"/>
      <c r="P277" s="354"/>
      <c r="Q277" s="354"/>
      <c r="R277" s="354"/>
      <c r="S277" s="354"/>
      <c r="T277" s="354"/>
      <c r="U277" s="355"/>
      <c r="V277" s="265" t="s">
        <v>249</v>
      </c>
      <c r="W277" s="265" t="s">
        <v>257</v>
      </c>
      <c r="X277" s="289" t="s">
        <v>276</v>
      </c>
      <c r="Y277" s="354"/>
      <c r="Z277" s="355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29" t="s">
        <v>374</v>
      </c>
      <c r="B278" s="289" t="s">
        <v>62</v>
      </c>
      <c r="C278" s="289" t="s">
        <v>84</v>
      </c>
      <c r="D278" s="289" t="s">
        <v>91</v>
      </c>
      <c r="E278" s="289" t="s">
        <v>102</v>
      </c>
      <c r="F278" s="289" t="s">
        <v>112</v>
      </c>
      <c r="G278" s="289" t="s">
        <v>123</v>
      </c>
      <c r="H278" s="289" t="s">
        <v>144</v>
      </c>
      <c r="I278" s="289" t="s">
        <v>151</v>
      </c>
      <c r="J278" s="289" t="s">
        <v>155</v>
      </c>
      <c r="K278" s="289" t="s">
        <v>163</v>
      </c>
      <c r="L278" s="289" t="s">
        <v>178</v>
      </c>
      <c r="M278" s="289" t="s">
        <v>184</v>
      </c>
      <c r="N278" s="266"/>
      <c r="O278" s="289" t="s">
        <v>213</v>
      </c>
      <c r="P278" s="289" t="s">
        <v>221</v>
      </c>
      <c r="Q278" s="289" t="s">
        <v>228</v>
      </c>
      <c r="R278" s="289" t="s">
        <v>233</v>
      </c>
      <c r="S278" s="289" t="s">
        <v>237</v>
      </c>
      <c r="T278" s="289" t="s">
        <v>240</v>
      </c>
      <c r="U278" s="289" t="s">
        <v>245</v>
      </c>
      <c r="V278" s="289" t="s">
        <v>250</v>
      </c>
      <c r="W278" s="289" t="s">
        <v>258</v>
      </c>
      <c r="X278" s="289" t="s">
        <v>277</v>
      </c>
      <c r="Y278" s="289" t="s">
        <v>295</v>
      </c>
      <c r="Z278" s="289" t="s">
        <v>299</v>
      </c>
      <c r="AA278" s="289" t="s">
        <v>309</v>
      </c>
      <c r="AB278" s="289" t="s">
        <v>314</v>
      </c>
      <c r="AC278" s="289" t="s">
        <v>318</v>
      </c>
      <c r="AD278" s="289" t="s">
        <v>325</v>
      </c>
      <c r="AF278" s="266"/>
    </row>
    <row r="279" spans="1:32" ht="13.5" customHeight="1" thickBot="1" x14ac:dyDescent="0.25">
      <c r="A279" s="33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66"/>
      <c r="O279" s="290"/>
      <c r="P279" s="290"/>
      <c r="Q279" s="290"/>
      <c r="R279" s="290"/>
      <c r="S279" s="290"/>
      <c r="T279" s="290"/>
      <c r="U279" s="290"/>
      <c r="V279" s="290"/>
      <c r="W279" s="290"/>
      <c r="X279" s="290"/>
      <c r="Y279" s="290"/>
      <c r="Z279" s="290"/>
      <c r="AA279" s="290"/>
      <c r="AB279" s="290"/>
      <c r="AC279" s="290"/>
      <c r="AD279" s="290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0</v>
      </c>
      <c r="C280" s="46">
        <f>IFERROR(X32*H32,"0")+IFERROR(X33*H33,"0")</f>
        <v>0</v>
      </c>
      <c r="D280" s="46">
        <f>IFERROR(X39*H39,"0")+IFERROR(X40*H40,"0")</f>
        <v>672</v>
      </c>
      <c r="E280" s="46">
        <f>IFERROR(X45*H45,"0")+IFERROR(X46*H46,"0")+IFERROR(X47*H47,"0")</f>
        <v>1411.1999999999998</v>
      </c>
      <c r="F280" s="46">
        <f>IFERROR(X52*H52,"0")+IFERROR(X53*H53,"0")+IFERROR(X54*H54,"0")+IFERROR(X55*H55,"0")</f>
        <v>741.6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991.80000000000007</v>
      </c>
      <c r="I280" s="46">
        <f>IFERROR(X86*H86,"0")</f>
        <v>151.20000000000002</v>
      </c>
      <c r="J280" s="46">
        <f>IFERROR(X91*H91,"0")+IFERROR(X92*H92,"0")</f>
        <v>705.6</v>
      </c>
      <c r="K280" s="46">
        <f>IFERROR(X97*H97,"0")+IFERROR(X98*H98,"0")+IFERROR(X99*H99,"0")+IFERROR(X100*H100,"0")+IFERROR(X101*H101,"0")+IFERROR(X102*H102,"0")</f>
        <v>1609.4399999999998</v>
      </c>
      <c r="L280" s="46">
        <f>IFERROR(X107*H107,"0")+IFERROR(X108*H108,"0")</f>
        <v>0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2575.1999999999998</v>
      </c>
      <c r="N280" s="266"/>
      <c r="O280" s="46">
        <f>IFERROR(X133*H133,"0")+IFERROR(X134*H134,"0")</f>
        <v>1134</v>
      </c>
      <c r="P280" s="46">
        <f>IFERROR(X139*H139,"0")+IFERROR(X140*H140,"0")</f>
        <v>336</v>
      </c>
      <c r="Q280" s="46">
        <f>IFERROR(X145*H145,"0")+IFERROR(X146*H146,"0")</f>
        <v>0</v>
      </c>
      <c r="R280" s="46">
        <f>IFERROR(X151*H151,"0")</f>
        <v>0</v>
      </c>
      <c r="S280" s="46">
        <f>IFERROR(X156*H156,"0")</f>
        <v>0</v>
      </c>
      <c r="T280" s="46">
        <f>IFERROR(X161*H161,"0")</f>
        <v>0</v>
      </c>
      <c r="U280" s="46">
        <f>IFERROR(X166*H166,"0")</f>
        <v>0</v>
      </c>
      <c r="V280" s="46">
        <f>IFERROR(X172*H172,"0")+IFERROR(X173*H173,"0")</f>
        <v>0</v>
      </c>
      <c r="W280" s="46">
        <f>IFERROR(X179*H179,"0")+IFERROR(X180*H180,"0")+IFERROR(X181*H181,"0")+IFERROR(X185*H185,"0")</f>
        <v>0</v>
      </c>
      <c r="X280" s="46">
        <f>IFERROR(X191*H191,"0")+IFERROR(X195*H195,"0")+IFERROR(X196*H196,"0")+IFERROR(X197*H197,"0")+IFERROR(X198*H198,"0")+IFERROR(X199*H199,"0")</f>
        <v>0</v>
      </c>
      <c r="Y280" s="46">
        <f>IFERROR(X204*H204,"0")</f>
        <v>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0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5719.8</v>
      </c>
      <c r="B283" s="60">
        <f>SUMPRODUCT(--(BB:BB="ПГП"),--(W:W="кор"),H:H,Y:Y)+SUMPRODUCT(--(BB:BB="ПГП"),--(W:W="кг"),Y:Y)</f>
        <v>4608.24</v>
      </c>
      <c r="C283" s="60">
        <f>SUMPRODUCT(--(BB:BB="КИЗ"),--(W:W="кор"),H:H,Y:Y)+SUMPRODUCT(--(BB:BB="КИЗ"),--(W:W="кг"),Y:Y)</f>
        <v>0</v>
      </c>
    </row>
  </sheetData>
  <sheetProtection algorithmName="SHA-512" hashValue="JOJwziUq+lkZ09M8RjNi+uUXbJvDfmy2qVcJmdBJKlMY6oZubh41ns+/+YsP+zuYCq+kP+L/ahEIo7v3w91o9Q==" saltValue="WLqaCTpwJO88v7O1IKX8C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A51:Z51"/>
    <mergeCell ref="A178:Z178"/>
    <mergeCell ref="N17:N18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A20:Z20"/>
    <mergeCell ref="D252:E252"/>
    <mergeCell ref="A112:Z112"/>
    <mergeCell ref="P66:V66"/>
    <mergeCell ref="D247:E247"/>
    <mergeCell ref="A127:Z127"/>
    <mergeCell ref="E278:E279"/>
    <mergeCell ref="D33:E33"/>
    <mergeCell ref="D226:E226"/>
    <mergeCell ref="A106:Z106"/>
    <mergeCell ref="AA278:AA279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P114:T114"/>
    <mergeCell ref="D22:E22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P129:V129"/>
    <mergeCell ref="P101:T101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94:V94"/>
    <mergeCell ref="A212:Z212"/>
    <mergeCell ref="A90:Z90"/>
    <mergeCell ref="P237:V237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D181:E181"/>
    <mergeCell ref="A221:O222"/>
    <mergeCell ref="P91:T91"/>
    <mergeCell ref="T278:T279"/>
    <mergeCell ref="P156:T156"/>
    <mergeCell ref="P56:V56"/>
    <mergeCell ref="D39:E39"/>
    <mergeCell ref="A13:M13"/>
    <mergeCell ref="P244:V244"/>
    <mergeCell ref="P115:T115"/>
    <mergeCell ref="D254:E254"/>
    <mergeCell ref="A15:M15"/>
    <mergeCell ref="A61:O62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P249:V249"/>
    <mergeCell ref="P28:V28"/>
    <mergeCell ref="P221:V221"/>
    <mergeCell ref="P215:V215"/>
    <mergeCell ref="A67:Z67"/>
    <mergeCell ref="A160:Z160"/>
    <mergeCell ref="V6:W9"/>
    <mergeCell ref="D74:E74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B278:B279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P135:V135"/>
    <mergeCell ref="D179:E179"/>
    <mergeCell ref="D166:E166"/>
    <mergeCell ref="P195:T195"/>
    <mergeCell ref="A17:A18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Q9:R9"/>
    <mergeCell ref="P49:V49"/>
    <mergeCell ref="A159:Z159"/>
    <mergeCell ref="D24:E24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D261:E261"/>
    <mergeCell ref="P119:T119"/>
    <mergeCell ref="P183:V183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D60:E60"/>
    <mergeCell ref="P73:T73"/>
    <mergeCell ref="P87:V87"/>
    <mergeCell ref="P245:V245"/>
    <mergeCell ref="H9:I9"/>
    <mergeCell ref="D45:E45"/>
    <mergeCell ref="P211:V211"/>
    <mergeCell ref="A36:Z36"/>
    <mergeCell ref="P88:V88"/>
    <mergeCell ref="A78:Z78"/>
    <mergeCell ref="P153:V153"/>
    <mergeCell ref="D53:E53"/>
    <mergeCell ref="D47:E47"/>
    <mergeCell ref="A50:Z50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3 X117 X120 X124 X128 X139 X145 X161 X172 X185 X195 X197 X199 X209 X213:X214 X220 X226 X232 X236 X242:X243 X248 X254 X258 X264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4:X116 X118:X119 X133 X140 X146 X151 X156 X166 X173 X179:X181 X191 X196 X198 X204 X247 X252:X253 X259:X261 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62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wt31DQS/EaCH0cMI6arnfqM5smkrDphYEFto8gxSNTBcR/jEHzLg8C5jD/FsBuzfQiQrH/cfZZeH9oBcyn6Ayg==" saltValue="jp0iHQbfYlnqpXyqZnls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2025-12-24T06:47:25Z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