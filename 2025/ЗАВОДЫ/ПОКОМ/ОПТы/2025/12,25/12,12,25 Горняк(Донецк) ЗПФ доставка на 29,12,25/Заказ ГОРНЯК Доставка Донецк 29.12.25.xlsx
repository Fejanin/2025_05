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2,25 Горняк(Донецк) ЗПФ доставка на 29,12,25\"/>
    </mc:Choice>
  </mc:AlternateContent>
  <xr:revisionPtr revIDLastSave="0" documentId="13_ncr:1_{B1F7B4A0-3543-4C08-B14B-F3D981EA8D7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<sst xmlns="http://schemas.openxmlformats.org/spreadsheetml/2006/main" count="165" uniqueCount="72">
  <si>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</si>
  <si>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</si>
  <si>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</si>
  <si>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</si>
  <si>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</si>
  <si>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</si>
  <si>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</si>
  <si>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</si>
  <si>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</si>
  <si>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</si>
  <si>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</si>
  <si>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</si>
  <si>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</si>
  <si>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</si>
  <si>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</si>
  <si>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</si>
  <si>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</si>
  <si>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</si>
  <si>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</si>
  <si>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</si>
  <si>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</si>
  <si>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</si>
  <si>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</si>
  <si>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</si>
  <si>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</si>
  <si>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</si>
  <si>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</si>
  <si>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</si>
  <si>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</si>
  <si>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</si>
  <si>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</si>
  <si>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</si>
  <si>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</si>
  <si>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</si>
  <si>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</si>
  <si>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</si>
  <si>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</si>
  <si>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</si>
  <si>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</si>
  <si>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</si>
  <si>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</si>
  <si>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</si>
  <si>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</si>
  <si>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</si>
  <si>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</si>
  <si>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</si>
  <si>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</si>
  <si>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</si>
  <si>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</si>
  <si>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</si>
  <si>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</si>
  <si>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</si>
  <si>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</si>
  <si>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</si>
  <si>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</si>
  <si>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</si>
  <si>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</si>
  <si>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</si>
  <si>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</si>
  <si>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</si>
  <si>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</si>
  <si>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</si>
  <si>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</si>
  <si>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</si>
  <si>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</si>
  <si>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</si>
  <si>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</si>
  <si>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</si>
  <si>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</si>
  <si>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</si>
  <si>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</si>
  <si>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29.12.25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</si>
</sst>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P12" sqref="P12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196</v>
      </c>
      <c r="J8" s="77">
        <f t="shared" ref="J8:J37" si="0">I8*$D8</f>
        <v>294</v>
      </c>
      <c r="K8" s="48">
        <f t="shared" ref="K8:K37" si="1">I8*$E8</f>
        <v>376.6728</v>
      </c>
      <c r="L8" s="48">
        <f t="shared" ref="L8:L37" si="2">I8/$F8</f>
        <v>1.4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252</v>
      </c>
      <c r="J9" s="77">
        <f t="shared" si="0"/>
        <v>378</v>
      </c>
      <c r="K9" s="48">
        <f t="shared" si="1"/>
        <v>484.29359999999997</v>
      </c>
      <c r="L9" s="48">
        <f t="shared" si="2"/>
        <v>1.8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36</v>
      </c>
      <c r="J11" s="77">
        <f t="shared" si="0"/>
        <v>201.6</v>
      </c>
      <c r="K11" s="48">
        <f t="shared" si="1"/>
        <v>211.32</v>
      </c>
      <c r="L11" s="48">
        <f t="shared" si="2"/>
        <v>0.42857142857142855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120</v>
      </c>
      <c r="J12" s="77">
        <f t="shared" si="0"/>
        <v>672</v>
      </c>
      <c r="K12" s="48">
        <f t="shared" si="1"/>
        <v>704.4</v>
      </c>
      <c r="L12" s="48">
        <f t="shared" si="2"/>
        <v>1.4285714285714286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24</v>
      </c>
      <c r="J17" s="77">
        <f t="shared" si="0"/>
        <v>153.60000000000002</v>
      </c>
      <c r="K17" s="48">
        <f t="shared" si="1"/>
        <v>161.2704</v>
      </c>
      <c r="L17" s="48">
        <f t="shared" si="2"/>
        <v>0.2857142857142857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84</v>
      </c>
      <c r="J18" s="77">
        <f t="shared" si="0"/>
        <v>588</v>
      </c>
      <c r="K18" s="48">
        <f t="shared" si="1"/>
        <v>613.19999999999993</v>
      </c>
      <c r="L18" s="48">
        <f t="shared" si="2"/>
        <v>1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234</v>
      </c>
      <c r="J19" s="77">
        <f t="shared" si="0"/>
        <v>631.80000000000007</v>
      </c>
      <c r="K19" s="48">
        <f t="shared" si="1"/>
        <v>658.28880000000004</v>
      </c>
      <c r="L19" s="48">
        <f t="shared" si="2"/>
        <v>1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72</v>
      </c>
      <c r="J20" s="77">
        <f t="shared" si="0"/>
        <v>360</v>
      </c>
      <c r="K20" s="48">
        <f t="shared" si="1"/>
        <v>375.35039999999998</v>
      </c>
      <c r="L20" s="48">
        <f t="shared" si="2"/>
        <v>0.5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42</v>
      </c>
      <c r="J21" s="77">
        <f t="shared" si="0"/>
        <v>151.20000000000002</v>
      </c>
      <c r="K21" s="48">
        <f t="shared" si="1"/>
        <v>180.75120000000001</v>
      </c>
      <c r="L21" s="48">
        <f t="shared" si="2"/>
        <v>0.6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140</v>
      </c>
      <c r="J22" s="77">
        <f t="shared" si="0"/>
        <v>504</v>
      </c>
      <c r="K22" s="48">
        <f t="shared" si="1"/>
        <v>602.50400000000002</v>
      </c>
      <c r="L22" s="48">
        <f t="shared" si="2"/>
        <v>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56</v>
      </c>
      <c r="J23" s="77">
        <f t="shared" si="0"/>
        <v>201.6</v>
      </c>
      <c r="K23" s="48">
        <f t="shared" si="1"/>
        <v>241.00160000000002</v>
      </c>
      <c r="L23" s="48">
        <f t="shared" si="2"/>
        <v>0.8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154</v>
      </c>
      <c r="J24" s="77">
        <f t="shared" si="0"/>
        <v>443.52</v>
      </c>
      <c r="K24" s="48">
        <f t="shared" si="1"/>
        <v>551.87440000000004</v>
      </c>
      <c r="L24" s="48">
        <f t="shared" si="2"/>
        <v>2.2000000000000002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98</v>
      </c>
      <c r="J25" s="77">
        <f t="shared" si="0"/>
        <v>282.24</v>
      </c>
      <c r="K25" s="48">
        <f t="shared" si="1"/>
        <v>351.19280000000003</v>
      </c>
      <c r="L25" s="48">
        <f t="shared" si="2"/>
        <v>1.4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56</v>
      </c>
      <c r="J26" s="77">
        <f t="shared" si="0"/>
        <v>161.28</v>
      </c>
      <c r="K26" s="48">
        <f t="shared" si="1"/>
        <v>200.6816</v>
      </c>
      <c r="L26" s="48">
        <f t="shared" si="2"/>
        <v>0.8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98</v>
      </c>
      <c r="J27" s="77">
        <f t="shared" si="0"/>
        <v>282.24</v>
      </c>
      <c r="K27" s="48">
        <f t="shared" si="1"/>
        <v>351.19280000000003</v>
      </c>
      <c r="L27" s="48">
        <f t="shared" si="2"/>
        <v>1.4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84</v>
      </c>
      <c r="J28" s="77">
        <f t="shared" si="0"/>
        <v>322.56</v>
      </c>
      <c r="K28" s="48">
        <f t="shared" si="1"/>
        <v>373.69920000000002</v>
      </c>
      <c r="L28" s="48">
        <f t="shared" si="2"/>
        <v>1.2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132</v>
      </c>
      <c r="J31" s="77">
        <f t="shared" si="0"/>
        <v>924</v>
      </c>
      <c r="K31" s="48">
        <f t="shared" si="1"/>
        <v>963.6</v>
      </c>
      <c r="L31" s="48">
        <f t="shared" si="2"/>
        <v>1.5714285714285714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12</v>
      </c>
      <c r="J32" s="77">
        <f t="shared" si="0"/>
        <v>76.800000000000011</v>
      </c>
      <c r="K32" s="48">
        <f t="shared" si="1"/>
        <v>80.635199999999998</v>
      </c>
      <c r="L32" s="48">
        <f t="shared" si="2"/>
        <v>0.14285714285714285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192</v>
      </c>
      <c r="J33" s="77">
        <f t="shared" si="0"/>
        <v>1344</v>
      </c>
      <c r="K33" s="48">
        <f t="shared" si="1"/>
        <v>1401.6</v>
      </c>
      <c r="L33" s="48">
        <f t="shared" si="2"/>
        <v>2.2857142857142856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224</v>
      </c>
      <c r="J34" s="77">
        <f t="shared" si="0"/>
        <v>672</v>
      </c>
      <c r="K34" s="48">
        <f t="shared" si="1"/>
        <v>829.60639999999989</v>
      </c>
      <c r="L34" s="48">
        <f t="shared" si="2"/>
        <v>3.2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154</v>
      </c>
      <c r="J35" s="77">
        <f t="shared" si="0"/>
        <v>462</v>
      </c>
      <c r="K35" s="48">
        <f t="shared" si="1"/>
        <v>570.35439999999994</v>
      </c>
      <c r="L35" s="48">
        <f t="shared" si="2"/>
        <v>2.2000000000000002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112</v>
      </c>
      <c r="J37" s="77">
        <f t="shared" si="0"/>
        <v>336</v>
      </c>
      <c r="K37" s="48">
        <f t="shared" si="1"/>
        <v>414.80319999999995</v>
      </c>
      <c r="L37" s="48">
        <f t="shared" si="2"/>
        <v>1.6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2732</v>
      </c>
      <c r="J59" s="30">
        <f>SUM(J8:J58)</f>
        <v>10328.040000000001</v>
      </c>
      <c r="K59" s="30">
        <f>SUM(K8:K58)</f>
        <v>11630.536</v>
      </c>
      <c r="L59" s="49">
        <f>SUM(L8:L58)</f>
        <v>31.214285714285712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12254.821714285714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2025-12-24T06:46:16Z</dcterms:modified>
</cp:coreProperties>
</file>