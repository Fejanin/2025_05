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F3A21DB8-CDBB-4583-B84E-F76442E3793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X503" i="1" s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X412" i="1"/>
  <c r="Y411" i="1"/>
  <c r="X411" i="1"/>
  <c r="BP410" i="1"/>
  <c r="BO410" i="1"/>
  <c r="BN410" i="1"/>
  <c r="BM410" i="1"/>
  <c r="Z410" i="1"/>
  <c r="Z411" i="1" s="1"/>
  <c r="Y410" i="1"/>
  <c r="P410" i="1"/>
  <c r="X407" i="1"/>
  <c r="Y406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X377" i="1"/>
  <c r="Y376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Y366" i="1" s="1"/>
  <c r="P364" i="1"/>
  <c r="X362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5" i="1"/>
  <c r="Y324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Y325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Y311" i="1" s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P290" i="1"/>
  <c r="X288" i="1"/>
  <c r="Y287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BO261" i="1"/>
  <c r="BM261" i="1"/>
  <c r="Y261" i="1"/>
  <c r="L503" i="1" s="1"/>
  <c r="P261" i="1"/>
  <c r="X258" i="1"/>
  <c r="X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BP254" i="1" s="1"/>
  <c r="P254" i="1"/>
  <c r="BP253" i="1"/>
  <c r="BO253" i="1"/>
  <c r="BN253" i="1"/>
  <c r="BM253" i="1"/>
  <c r="Z253" i="1"/>
  <c r="Y253" i="1"/>
  <c r="P253" i="1"/>
  <c r="BO252" i="1"/>
  <c r="BM252" i="1"/>
  <c r="Y252" i="1"/>
  <c r="Y257" i="1" s="1"/>
  <c r="P252" i="1"/>
  <c r="X250" i="1"/>
  <c r="X249" i="1"/>
  <c r="BO248" i="1"/>
  <c r="BM248" i="1"/>
  <c r="Y248" i="1"/>
  <c r="Y249" i="1" s="1"/>
  <c r="P248" i="1"/>
  <c r="X246" i="1"/>
  <c r="X245" i="1"/>
  <c r="BO244" i="1"/>
  <c r="BM244" i="1"/>
  <c r="Y244" i="1"/>
  <c r="Y245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K503" i="1" s="1"/>
  <c r="P232" i="1"/>
  <c r="X229" i="1"/>
  <c r="X228" i="1"/>
  <c r="BO227" i="1"/>
  <c r="BM227" i="1"/>
  <c r="Y227" i="1"/>
  <c r="BP227" i="1" s="1"/>
  <c r="P227" i="1"/>
  <c r="BP226" i="1"/>
  <c r="BO226" i="1"/>
  <c r="BN226" i="1"/>
  <c r="BM226" i="1"/>
  <c r="Z226" i="1"/>
  <c r="Y226" i="1"/>
  <c r="Y228" i="1" s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Y224" i="1" s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Y212" i="1" s="1"/>
  <c r="P203" i="1"/>
  <c r="X201" i="1"/>
  <c r="X200" i="1"/>
  <c r="BO199" i="1"/>
  <c r="BM199" i="1"/>
  <c r="Y199" i="1"/>
  <c r="BP199" i="1" s="1"/>
  <c r="P199" i="1"/>
  <c r="BP198" i="1"/>
  <c r="BO198" i="1"/>
  <c r="BN198" i="1"/>
  <c r="BM198" i="1"/>
  <c r="Z198" i="1"/>
  <c r="Y198" i="1"/>
  <c r="Y200" i="1" s="1"/>
  <c r="P198" i="1"/>
  <c r="X196" i="1"/>
  <c r="X195" i="1"/>
  <c r="BP194" i="1"/>
  <c r="BO194" i="1"/>
  <c r="BN194" i="1"/>
  <c r="BM194" i="1"/>
  <c r="Z194" i="1"/>
  <c r="Y194" i="1"/>
  <c r="P194" i="1"/>
  <c r="BO193" i="1"/>
  <c r="BM193" i="1"/>
  <c r="Y193" i="1"/>
  <c r="Y196" i="1" s="1"/>
  <c r="P193" i="1"/>
  <c r="X190" i="1"/>
  <c r="X189" i="1"/>
  <c r="BO188" i="1"/>
  <c r="BM188" i="1"/>
  <c r="Y188" i="1"/>
  <c r="Y189" i="1" s="1"/>
  <c r="P188" i="1"/>
  <c r="X186" i="1"/>
  <c r="X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Y185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Y179" i="1" s="1"/>
  <c r="P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BO149" i="1"/>
  <c r="BM149" i="1"/>
  <c r="Y149" i="1"/>
  <c r="BP149" i="1" s="1"/>
  <c r="BO148" i="1"/>
  <c r="BM148" i="1"/>
  <c r="Y148" i="1"/>
  <c r="Y155" i="1" s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3" i="1" s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F503" i="1" s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3" i="1" s="1"/>
  <c r="X24" i="1"/>
  <c r="BP23" i="1"/>
  <c r="BO23" i="1"/>
  <c r="BN23" i="1"/>
  <c r="BM23" i="1"/>
  <c r="Z23" i="1"/>
  <c r="Y23" i="1"/>
  <c r="P23" i="1"/>
  <c r="BO22" i="1"/>
  <c r="X495" i="1" s="1"/>
  <c r="BM22" i="1"/>
  <c r="X494" i="1" s="1"/>
  <c r="X496" i="1" s="1"/>
  <c r="Y22" i="1"/>
  <c r="Y25" i="1" s="1"/>
  <c r="P22" i="1"/>
  <c r="H10" i="1"/>
  <c r="A9" i="1"/>
  <c r="F10" i="1" s="1"/>
  <c r="D7" i="1"/>
  <c r="Q6" i="1"/>
  <c r="P2" i="1"/>
  <c r="Z112" i="1" l="1"/>
  <c r="Z139" i="1"/>
  <c r="Z381" i="1"/>
  <c r="Z44" i="1"/>
  <c r="Z366" i="1"/>
  <c r="H9" i="1"/>
  <c r="A10" i="1"/>
  <c r="Y44" i="1"/>
  <c r="Y59" i="1"/>
  <c r="Y65" i="1"/>
  <c r="Y69" i="1"/>
  <c r="Y77" i="1"/>
  <c r="Y81" i="1"/>
  <c r="Y90" i="1"/>
  <c r="Y180" i="1"/>
  <c r="Y186" i="1"/>
  <c r="Y195" i="1"/>
  <c r="Y201" i="1"/>
  <c r="Y211" i="1"/>
  <c r="Y223" i="1"/>
  <c r="Y229" i="1"/>
  <c r="Y242" i="1"/>
  <c r="Y246" i="1"/>
  <c r="Y250" i="1"/>
  <c r="Y258" i="1"/>
  <c r="Y267" i="1"/>
  <c r="BP273" i="1"/>
  <c r="BN273" i="1"/>
  <c r="Z273" i="1"/>
  <c r="Y275" i="1"/>
  <c r="Y281" i="1"/>
  <c r="BP278" i="1"/>
  <c r="BN278" i="1"/>
  <c r="Z278" i="1"/>
  <c r="BP291" i="1"/>
  <c r="BN291" i="1"/>
  <c r="Z291" i="1"/>
  <c r="Z292" i="1" s="1"/>
  <c r="Y293" i="1"/>
  <c r="Q503" i="1"/>
  <c r="Y303" i="1"/>
  <c r="BP296" i="1"/>
  <c r="BN296" i="1"/>
  <c r="Z296" i="1"/>
  <c r="BP300" i="1"/>
  <c r="BN300" i="1"/>
  <c r="Z300" i="1"/>
  <c r="BP308" i="1"/>
  <c r="BN308" i="1"/>
  <c r="Z308" i="1"/>
  <c r="BP316" i="1"/>
  <c r="BN316" i="1"/>
  <c r="Z316" i="1"/>
  <c r="BP328" i="1"/>
  <c r="BN328" i="1"/>
  <c r="Z328" i="1"/>
  <c r="Z331" i="1" s="1"/>
  <c r="BP336" i="1"/>
  <c r="BN336" i="1"/>
  <c r="Z336" i="1"/>
  <c r="Y338" i="1"/>
  <c r="R503" i="1"/>
  <c r="Y344" i="1"/>
  <c r="BP341" i="1"/>
  <c r="BN341" i="1"/>
  <c r="Z341" i="1"/>
  <c r="BP351" i="1"/>
  <c r="BN351" i="1"/>
  <c r="Z351" i="1"/>
  <c r="BP355" i="1"/>
  <c r="BN355" i="1"/>
  <c r="Z355" i="1"/>
  <c r="Y357" i="1"/>
  <c r="Y362" i="1"/>
  <c r="BP359" i="1"/>
  <c r="BN359" i="1"/>
  <c r="Z359" i="1"/>
  <c r="Z361" i="1" s="1"/>
  <c r="BP380" i="1"/>
  <c r="BN380" i="1"/>
  <c r="Z380" i="1"/>
  <c r="Y382" i="1"/>
  <c r="Y387" i="1"/>
  <c r="BP384" i="1"/>
  <c r="BN384" i="1"/>
  <c r="Z384" i="1"/>
  <c r="BP394" i="1"/>
  <c r="BN394" i="1"/>
  <c r="Z394" i="1"/>
  <c r="BP398" i="1"/>
  <c r="BN398" i="1"/>
  <c r="Z398" i="1"/>
  <c r="BP415" i="1"/>
  <c r="BN415" i="1"/>
  <c r="Z415" i="1"/>
  <c r="Z418" i="1" s="1"/>
  <c r="B503" i="1"/>
  <c r="J503" i="1"/>
  <c r="S503" i="1"/>
  <c r="Y24" i="1"/>
  <c r="Y32" i="1"/>
  <c r="Y96" i="1"/>
  <c r="Y105" i="1"/>
  <c r="Y113" i="1"/>
  <c r="Y119" i="1"/>
  <c r="Y130" i="1"/>
  <c r="Y134" i="1"/>
  <c r="Y140" i="1"/>
  <c r="Y145" i="1"/>
  <c r="Y154" i="1"/>
  <c r="Y190" i="1"/>
  <c r="F9" i="1"/>
  <c r="J9" i="1"/>
  <c r="Z22" i="1"/>
  <c r="Z24" i="1" s="1"/>
  <c r="BN22" i="1"/>
  <c r="BP22" i="1"/>
  <c r="X497" i="1"/>
  <c r="Z28" i="1"/>
  <c r="Z32" i="1" s="1"/>
  <c r="BN28" i="1"/>
  <c r="Z30" i="1"/>
  <c r="BN30" i="1"/>
  <c r="C503" i="1"/>
  <c r="Z42" i="1"/>
  <c r="BN42" i="1"/>
  <c r="Y45" i="1"/>
  <c r="Y493" i="1" s="1"/>
  <c r="D503" i="1"/>
  <c r="Z53" i="1"/>
  <c r="Z58" i="1" s="1"/>
  <c r="BN53" i="1"/>
  <c r="Z55" i="1"/>
  <c r="BN55" i="1"/>
  <c r="Z57" i="1"/>
  <c r="BN57" i="1"/>
  <c r="Y58" i="1"/>
  <c r="Z61" i="1"/>
  <c r="Z64" i="1" s="1"/>
  <c r="BN61" i="1"/>
  <c r="BP61" i="1"/>
  <c r="Z63" i="1"/>
  <c r="BN63" i="1"/>
  <c r="Z67" i="1"/>
  <c r="Z69" i="1" s="1"/>
  <c r="BN67" i="1"/>
  <c r="BP67" i="1"/>
  <c r="Z73" i="1"/>
  <c r="Z76" i="1" s="1"/>
  <c r="BN73" i="1"/>
  <c r="Z75" i="1"/>
  <c r="BN75" i="1"/>
  <c r="Z79" i="1"/>
  <c r="Z81" i="1" s="1"/>
  <c r="BN79" i="1"/>
  <c r="BP79" i="1"/>
  <c r="E503" i="1"/>
  <c r="Z86" i="1"/>
  <c r="Z89" i="1" s="1"/>
  <c r="BN86" i="1"/>
  <c r="Z88" i="1"/>
  <c r="BN88" i="1"/>
  <c r="Y89" i="1"/>
  <c r="Z92" i="1"/>
  <c r="BN92" i="1"/>
  <c r="BP92" i="1"/>
  <c r="Z94" i="1"/>
  <c r="BN94" i="1"/>
  <c r="Z101" i="1"/>
  <c r="Z105" i="1" s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3" i="1"/>
  <c r="Z128" i="1"/>
  <c r="Z129" i="1" s="1"/>
  <c r="BN128" i="1"/>
  <c r="Y129" i="1"/>
  <c r="Z132" i="1"/>
  <c r="Z134" i="1" s="1"/>
  <c r="BN132" i="1"/>
  <c r="BP132" i="1"/>
  <c r="Z138" i="1"/>
  <c r="BN138" i="1"/>
  <c r="Z143" i="1"/>
  <c r="Z145" i="1" s="1"/>
  <c r="BN143" i="1"/>
  <c r="BP143" i="1"/>
  <c r="Y146" i="1"/>
  <c r="Z148" i="1"/>
  <c r="BN148" i="1"/>
  <c r="BP148" i="1"/>
  <c r="Z149" i="1"/>
  <c r="BN149" i="1"/>
  <c r="Z150" i="1"/>
  <c r="BN150" i="1"/>
  <c r="Z152" i="1"/>
  <c r="BN152" i="1"/>
  <c r="I503" i="1"/>
  <c r="Y165" i="1"/>
  <c r="Z168" i="1"/>
  <c r="Z179" i="1" s="1"/>
  <c r="BN168" i="1"/>
  <c r="Z170" i="1"/>
  <c r="BN170" i="1"/>
  <c r="Z172" i="1"/>
  <c r="BN172" i="1"/>
  <c r="Z174" i="1"/>
  <c r="BN174" i="1"/>
  <c r="Z176" i="1"/>
  <c r="BN176" i="1"/>
  <c r="Z178" i="1"/>
  <c r="BN178" i="1"/>
  <c r="Z182" i="1"/>
  <c r="Z185" i="1" s="1"/>
  <c r="BN182" i="1"/>
  <c r="BP182" i="1"/>
  <c r="Z184" i="1"/>
  <c r="BN184" i="1"/>
  <c r="Z188" i="1"/>
  <c r="Z189" i="1" s="1"/>
  <c r="BN188" i="1"/>
  <c r="BP188" i="1"/>
  <c r="Z193" i="1"/>
  <c r="Z195" i="1" s="1"/>
  <c r="BN193" i="1"/>
  <c r="BP193" i="1"/>
  <c r="Z199" i="1"/>
  <c r="Z200" i="1" s="1"/>
  <c r="BN199" i="1"/>
  <c r="Z203" i="1"/>
  <c r="BN203" i="1"/>
  <c r="BP203" i="1"/>
  <c r="Z205" i="1"/>
  <c r="BN205" i="1"/>
  <c r="Z207" i="1"/>
  <c r="BN207" i="1"/>
  <c r="Z209" i="1"/>
  <c r="BN209" i="1"/>
  <c r="Z215" i="1"/>
  <c r="Z223" i="1" s="1"/>
  <c r="BN215" i="1"/>
  <c r="Z217" i="1"/>
  <c r="BN217" i="1"/>
  <c r="Z219" i="1"/>
  <c r="BN219" i="1"/>
  <c r="Z221" i="1"/>
  <c r="BN221" i="1"/>
  <c r="Z227" i="1"/>
  <c r="Z228" i="1" s="1"/>
  <c r="BN227" i="1"/>
  <c r="Z232" i="1"/>
  <c r="Z241" i="1" s="1"/>
  <c r="BN232" i="1"/>
  <c r="BP232" i="1"/>
  <c r="Z234" i="1"/>
  <c r="BN234" i="1"/>
  <c r="Z236" i="1"/>
  <c r="BN236" i="1"/>
  <c r="Z238" i="1"/>
  <c r="BN238" i="1"/>
  <c r="Z240" i="1"/>
  <c r="BN240" i="1"/>
  <c r="Y241" i="1"/>
  <c r="Z244" i="1"/>
  <c r="Z245" i="1" s="1"/>
  <c r="BN244" i="1"/>
  <c r="BP244" i="1"/>
  <c r="Z248" i="1"/>
  <c r="Z249" i="1" s="1"/>
  <c r="BN248" i="1"/>
  <c r="BP248" i="1"/>
  <c r="Z252" i="1"/>
  <c r="Z257" i="1" s="1"/>
  <c r="BN252" i="1"/>
  <c r="BP252" i="1"/>
  <c r="Z254" i="1"/>
  <c r="BN254" i="1"/>
  <c r="Z256" i="1"/>
  <c r="BN256" i="1"/>
  <c r="Z261" i="1"/>
  <c r="BN261" i="1"/>
  <c r="BP261" i="1"/>
  <c r="Z263" i="1"/>
  <c r="BN263" i="1"/>
  <c r="Z265" i="1"/>
  <c r="BN265" i="1"/>
  <c r="Y266" i="1"/>
  <c r="BP271" i="1"/>
  <c r="BN271" i="1"/>
  <c r="Z271" i="1"/>
  <c r="BP280" i="1"/>
  <c r="BN280" i="1"/>
  <c r="Z280" i="1"/>
  <c r="Y282" i="1"/>
  <c r="P503" i="1"/>
  <c r="Y288" i="1"/>
  <c r="BP285" i="1"/>
  <c r="BN285" i="1"/>
  <c r="Z285" i="1"/>
  <c r="Z287" i="1" s="1"/>
  <c r="Y292" i="1"/>
  <c r="BP298" i="1"/>
  <c r="BN298" i="1"/>
  <c r="Z298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Z318" i="1" s="1"/>
  <c r="Y318" i="1"/>
  <c r="Z324" i="1"/>
  <c r="BP322" i="1"/>
  <c r="BN322" i="1"/>
  <c r="Z322" i="1"/>
  <c r="Y331" i="1"/>
  <c r="BP330" i="1"/>
  <c r="BN330" i="1"/>
  <c r="Z330" i="1"/>
  <c r="Y332" i="1"/>
  <c r="Y337" i="1"/>
  <c r="BP334" i="1"/>
  <c r="BN334" i="1"/>
  <c r="Z334" i="1"/>
  <c r="Z337" i="1" s="1"/>
  <c r="BP343" i="1"/>
  <c r="BN343" i="1"/>
  <c r="Z343" i="1"/>
  <c r="Y345" i="1"/>
  <c r="Y356" i="1"/>
  <c r="BP349" i="1"/>
  <c r="BN349" i="1"/>
  <c r="Z349" i="1"/>
  <c r="Z356" i="1" s="1"/>
  <c r="BP353" i="1"/>
  <c r="BN353" i="1"/>
  <c r="Z353" i="1"/>
  <c r="Y361" i="1"/>
  <c r="BP365" i="1"/>
  <c r="BN365" i="1"/>
  <c r="Z365" i="1"/>
  <c r="Y367" i="1"/>
  <c r="Y370" i="1"/>
  <c r="BP369" i="1"/>
  <c r="BN369" i="1"/>
  <c r="Z369" i="1"/>
  <c r="Z370" i="1" s="1"/>
  <c r="Y371" i="1"/>
  <c r="T503" i="1"/>
  <c r="Y377" i="1"/>
  <c r="BP374" i="1"/>
  <c r="BN374" i="1"/>
  <c r="Z374" i="1"/>
  <c r="Z376" i="1" s="1"/>
  <c r="Y381" i="1"/>
  <c r="BP386" i="1"/>
  <c r="BN386" i="1"/>
  <c r="Z386" i="1"/>
  <c r="Y388" i="1"/>
  <c r="U503" i="1"/>
  <c r="Y401" i="1"/>
  <c r="BP392" i="1"/>
  <c r="BN392" i="1"/>
  <c r="Z392" i="1"/>
  <c r="BP396" i="1"/>
  <c r="BN396" i="1"/>
  <c r="Z396" i="1"/>
  <c r="BP400" i="1"/>
  <c r="BN400" i="1"/>
  <c r="Z400" i="1"/>
  <c r="Y402" i="1"/>
  <c r="Y407" i="1"/>
  <c r="BP404" i="1"/>
  <c r="BN404" i="1"/>
  <c r="Z404" i="1"/>
  <c r="Z406" i="1" s="1"/>
  <c r="BP417" i="1"/>
  <c r="BN417" i="1"/>
  <c r="Z417" i="1"/>
  <c r="BP431" i="1"/>
  <c r="BN431" i="1"/>
  <c r="Z431" i="1"/>
  <c r="BP435" i="1"/>
  <c r="BN435" i="1"/>
  <c r="Z435" i="1"/>
  <c r="BP439" i="1"/>
  <c r="BN439" i="1"/>
  <c r="Z439" i="1"/>
  <c r="Y441" i="1"/>
  <c r="Y446" i="1"/>
  <c r="BP443" i="1"/>
  <c r="BN443" i="1"/>
  <c r="Z443" i="1"/>
  <c r="Y447" i="1"/>
  <c r="BP451" i="1"/>
  <c r="BN451" i="1"/>
  <c r="Z451" i="1"/>
  <c r="Y455" i="1"/>
  <c r="Z468" i="1"/>
  <c r="BP465" i="1"/>
  <c r="BN465" i="1"/>
  <c r="Z465" i="1"/>
  <c r="Y503" i="1"/>
  <c r="Y469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O503" i="1"/>
  <c r="M503" i="1"/>
  <c r="Y274" i="1"/>
  <c r="V503" i="1"/>
  <c r="Y412" i="1"/>
  <c r="Y419" i="1"/>
  <c r="Y418" i="1"/>
  <c r="BP429" i="1"/>
  <c r="BN429" i="1"/>
  <c r="Z429" i="1"/>
  <c r="BP433" i="1"/>
  <c r="BN433" i="1"/>
  <c r="Z433" i="1"/>
  <c r="BP437" i="1"/>
  <c r="BN437" i="1"/>
  <c r="Z437" i="1"/>
  <c r="BP445" i="1"/>
  <c r="BN445" i="1"/>
  <c r="Z445" i="1"/>
  <c r="Y456" i="1"/>
  <c r="BP449" i="1"/>
  <c r="BN449" i="1"/>
  <c r="Z449" i="1"/>
  <c r="Z455" i="1" s="1"/>
  <c r="BP453" i="1"/>
  <c r="BN453" i="1"/>
  <c r="Z453" i="1"/>
  <c r="Y468" i="1"/>
  <c r="BP467" i="1"/>
  <c r="BN467" i="1"/>
  <c r="Z467" i="1"/>
  <c r="Y474" i="1"/>
  <c r="BP471" i="1"/>
  <c r="BN471" i="1"/>
  <c r="Z471" i="1"/>
  <c r="Z473" i="1" s="1"/>
  <c r="Y486" i="1"/>
  <c r="Y440" i="1"/>
  <c r="Z446" i="1" l="1"/>
  <c r="Z401" i="1"/>
  <c r="Y495" i="1"/>
  <c r="Y497" i="1"/>
  <c r="Z387" i="1"/>
  <c r="Z302" i="1"/>
  <c r="Z440" i="1"/>
  <c r="Z274" i="1"/>
  <c r="Z266" i="1"/>
  <c r="Z211" i="1"/>
  <c r="Z154" i="1"/>
  <c r="Z119" i="1"/>
  <c r="Z96" i="1"/>
  <c r="Z498" i="1" s="1"/>
  <c r="Y494" i="1"/>
  <c r="Y496" i="1" s="1"/>
  <c r="Z344" i="1"/>
  <c r="Z281" i="1"/>
</calcChain>
</file>

<file path=xl/sharedStrings.xml><?xml version="1.0" encoding="utf-8"?>
<sst xmlns="http://schemas.openxmlformats.org/spreadsheetml/2006/main" count="2366" uniqueCount="777">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</sst>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0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31" t="s">
        <v>0</v>
      </c>
      <c r="E1" s="585"/>
      <c r="F1" s="585"/>
      <c r="G1" s="12" t="s">
        <v>1</v>
      </c>
      <c r="H1" s="631" t="s">
        <v>2</v>
      </c>
      <c r="I1" s="585"/>
      <c r="J1" s="585"/>
      <c r="K1" s="585"/>
      <c r="L1" s="585"/>
      <c r="M1" s="585"/>
      <c r="N1" s="585"/>
      <c r="O1" s="585"/>
      <c r="P1" s="585"/>
      <c r="Q1" s="585"/>
      <c r="R1" s="584" t="s">
        <v>3</v>
      </c>
      <c r="S1" s="585"/>
      <c r="T1" s="58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1" t="s">
        <v>8</v>
      </c>
      <c r="B5" s="672"/>
      <c r="C5" s="673"/>
      <c r="D5" s="636"/>
      <c r="E5" s="637"/>
      <c r="F5" s="843" t="s">
        <v>9</v>
      </c>
      <c r="G5" s="673"/>
      <c r="H5" s="636"/>
      <c r="I5" s="785"/>
      <c r="J5" s="785"/>
      <c r="K5" s="785"/>
      <c r="L5" s="785"/>
      <c r="M5" s="637"/>
      <c r="N5" s="58"/>
      <c r="P5" s="24" t="s">
        <v>10</v>
      </c>
      <c r="Q5" s="856">
        <v>46016</v>
      </c>
      <c r="R5" s="669"/>
      <c r="T5" s="721" t="s">
        <v>11</v>
      </c>
      <c r="U5" s="722"/>
      <c r="V5" s="723" t="s">
        <v>12</v>
      </c>
      <c r="W5" s="669"/>
      <c r="AB5" s="51"/>
      <c r="AC5" s="51"/>
      <c r="AD5" s="51"/>
      <c r="AE5" s="51"/>
    </row>
    <row r="6" spans="1:32" s="543" customFormat="1" ht="24" customHeight="1" x14ac:dyDescent="0.2">
      <c r="A6" s="671" t="s">
        <v>13</v>
      </c>
      <c r="B6" s="672"/>
      <c r="C6" s="673"/>
      <c r="D6" s="787" t="s">
        <v>14</v>
      </c>
      <c r="E6" s="788"/>
      <c r="F6" s="788"/>
      <c r="G6" s="788"/>
      <c r="H6" s="788"/>
      <c r="I6" s="788"/>
      <c r="J6" s="788"/>
      <c r="K6" s="788"/>
      <c r="L6" s="788"/>
      <c r="M6" s="669"/>
      <c r="N6" s="59"/>
      <c r="P6" s="24" t="s">
        <v>15</v>
      </c>
      <c r="Q6" s="864" t="str">
        <f>IF(Q5=0," ",CHOOSE(WEEKDAY(Q5,2),"Понедельник","Вторник","Среда","Четверг","Пятница","Суббота","Воскресенье"))</f>
        <v>Четверг</v>
      </c>
      <c r="R6" s="565"/>
      <c r="T6" s="727" t="s">
        <v>16</v>
      </c>
      <c r="U6" s="722"/>
      <c r="V6" s="772" t="s">
        <v>17</v>
      </c>
      <c r="W6" s="603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62"/>
      <c r="U7" s="722"/>
      <c r="V7" s="773"/>
      <c r="W7" s="774"/>
      <c r="AB7" s="51"/>
      <c r="AC7" s="51"/>
      <c r="AD7" s="51"/>
      <c r="AE7" s="51"/>
    </row>
    <row r="8" spans="1:32" s="543" customFormat="1" ht="25.5" customHeight="1" x14ac:dyDescent="0.2">
      <c r="A8" s="874" t="s">
        <v>18</v>
      </c>
      <c r="B8" s="569"/>
      <c r="C8" s="570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82">
        <v>0.41666666666666669</v>
      </c>
      <c r="R8" s="612"/>
      <c r="T8" s="562"/>
      <c r="U8" s="722"/>
      <c r="V8" s="773"/>
      <c r="W8" s="774"/>
      <c r="AB8" s="51"/>
      <c r="AC8" s="51"/>
      <c r="AD8" s="51"/>
      <c r="AE8" s="51"/>
    </row>
    <row r="9" spans="1:32" s="543" customFormat="1" ht="39.950000000000003" customHeight="1" x14ac:dyDescent="0.2">
      <c r="A9" s="6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89"/>
      <c r="E9" s="572"/>
      <c r="F9" s="6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1"/>
      <c r="P9" s="26" t="s">
        <v>21</v>
      </c>
      <c r="Q9" s="666"/>
      <c r="R9" s="667"/>
      <c r="T9" s="562"/>
      <c r="U9" s="722"/>
      <c r="V9" s="775"/>
      <c r="W9" s="776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89"/>
      <c r="E10" s="572"/>
      <c r="F10" s="6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4" t="str">
        <f>IFERROR(VLOOKUP($D$10,Proxy,2,FALSE),"")</f>
        <v/>
      </c>
      <c r="I10" s="562"/>
      <c r="J10" s="562"/>
      <c r="K10" s="562"/>
      <c r="L10" s="562"/>
      <c r="M10" s="562"/>
      <c r="N10" s="542"/>
      <c r="P10" s="26" t="s">
        <v>22</v>
      </c>
      <c r="Q10" s="728"/>
      <c r="R10" s="729"/>
      <c r="U10" s="24" t="s">
        <v>23</v>
      </c>
      <c r="V10" s="602" t="s">
        <v>24</v>
      </c>
      <c r="W10" s="603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8"/>
      <c r="R11" s="669"/>
      <c r="U11" s="24" t="s">
        <v>27</v>
      </c>
      <c r="V11" s="807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3" t="s">
        <v>29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30</v>
      </c>
      <c r="Q12" s="682"/>
      <c r="R12" s="612"/>
      <c r="S12" s="23"/>
      <c r="U12" s="24"/>
      <c r="V12" s="585"/>
      <c r="W12" s="562"/>
      <c r="AB12" s="51"/>
      <c r="AC12" s="51"/>
      <c r="AD12" s="51"/>
      <c r="AE12" s="51"/>
    </row>
    <row r="13" spans="1:32" s="543" customFormat="1" ht="23.25" customHeight="1" x14ac:dyDescent="0.2">
      <c r="A13" s="713" t="s">
        <v>31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32</v>
      </c>
      <c r="Q13" s="807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3" t="s">
        <v>33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41" t="s">
        <v>34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702" t="s">
        <v>35</v>
      </c>
      <c r="Q15" s="585"/>
      <c r="R15" s="585"/>
      <c r="S15" s="585"/>
      <c r="T15" s="58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3"/>
      <c r="Q16" s="703"/>
      <c r="R16" s="703"/>
      <c r="S16" s="703"/>
      <c r="T16" s="7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86" t="s">
        <v>38</v>
      </c>
      <c r="D17" s="596" t="s">
        <v>39</v>
      </c>
      <c r="E17" s="654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3"/>
      <c r="R17" s="653"/>
      <c r="S17" s="653"/>
      <c r="T17" s="654"/>
      <c r="U17" s="869" t="s">
        <v>51</v>
      </c>
      <c r="V17" s="673"/>
      <c r="W17" s="596" t="s">
        <v>52</v>
      </c>
      <c r="X17" s="596" t="s">
        <v>53</v>
      </c>
      <c r="Y17" s="872" t="s">
        <v>54</v>
      </c>
      <c r="Z17" s="783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8"/>
      <c r="AF17" s="839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5"/>
      <c r="E18" s="657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5"/>
      <c r="Q18" s="656"/>
      <c r="R18" s="656"/>
      <c r="S18" s="656"/>
      <c r="T18" s="657"/>
      <c r="U18" s="67" t="s">
        <v>61</v>
      </c>
      <c r="V18" s="67" t="s">
        <v>62</v>
      </c>
      <c r="W18" s="597"/>
      <c r="X18" s="597"/>
      <c r="Y18" s="873"/>
      <c r="Z18" s="784"/>
      <c r="AA18" s="763"/>
      <c r="AB18" s="763"/>
      <c r="AC18" s="763"/>
      <c r="AD18" s="840"/>
      <c r="AE18" s="841"/>
      <c r="AF18" s="842"/>
      <c r="AG18" s="66"/>
      <c r="BD18" s="65"/>
    </row>
    <row r="19" spans="1:68" ht="27.75" customHeight="1" x14ac:dyDescent="0.2">
      <c r="A19" s="716" t="s">
        <v>63</v>
      </c>
      <c r="B19" s="717"/>
      <c r="C19" s="717"/>
      <c r="D19" s="717"/>
      <c r="E19" s="717"/>
      <c r="F19" s="717"/>
      <c r="G19" s="717"/>
      <c r="H19" s="717"/>
      <c r="I19" s="717"/>
      <c r="J19" s="717"/>
      <c r="K19" s="717"/>
      <c r="L19" s="717"/>
      <c r="M19" s="717"/>
      <c r="N19" s="717"/>
      <c r="O19" s="717"/>
      <c r="P19" s="717"/>
      <c r="Q19" s="717"/>
      <c r="R19" s="717"/>
      <c r="S19" s="717"/>
      <c r="T19" s="717"/>
      <c r="U19" s="717"/>
      <c r="V19" s="717"/>
      <c r="W19" s="717"/>
      <c r="X19" s="717"/>
      <c r="Y19" s="717"/>
      <c r="Z19" s="717"/>
      <c r="AA19" s="48"/>
      <c r="AB19" s="48"/>
      <c r="AC19" s="48"/>
    </row>
    <row r="20" spans="1:68" ht="16.5" customHeight="1" x14ac:dyDescent="0.25">
      <c r="A20" s="566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7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8" t="s">
        <v>75</v>
      </c>
      <c r="Q24" s="569"/>
      <c r="R24" s="569"/>
      <c r="S24" s="569"/>
      <c r="T24" s="569"/>
      <c r="U24" s="569"/>
      <c r="V24" s="570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8" t="s">
        <v>75</v>
      </c>
      <c r="Q25" s="569"/>
      <c r="R25" s="569"/>
      <c r="S25" s="569"/>
      <c r="T25" s="569"/>
      <c r="U25" s="569"/>
      <c r="V25" s="570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7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4">
        <v>4607091388237</v>
      </c>
      <c r="E28" s="565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4">
        <v>4680115887350</v>
      </c>
      <c r="E29" s="565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4">
        <v>4680115885905</v>
      </c>
      <c r="E30" s="565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4"/>
      <c r="R31" s="554"/>
      <c r="S31" s="554"/>
      <c r="T31" s="555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1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8" t="s">
        <v>75</v>
      </c>
      <c r="Q32" s="569"/>
      <c r="R32" s="569"/>
      <c r="S32" s="569"/>
      <c r="T32" s="569"/>
      <c r="U32" s="569"/>
      <c r="V32" s="570"/>
      <c r="W32" s="37" t="s">
        <v>76</v>
      </c>
      <c r="X32" s="551">
        <f>IFERROR(X27/H27,"0")+IFERROR(X28/H28,"0")+IFERROR(X29/H29,"0")+IFERROR(X30/H30,"0")+IFERROR(X31/H31,"0")</f>
        <v>0</v>
      </c>
      <c r="Y32" s="551">
        <f>IFERROR(Y27/H27,"0")+IFERROR(Y28/H28,"0")+IFERROR(Y29/H29,"0")+IFERROR(Y30/H30,"0")+IFERROR(Y31/H31,"0")</f>
        <v>0</v>
      </c>
      <c r="Z32" s="551">
        <f>IFERROR(IF(Z27="",0,Z27),"0")+IFERROR(IF(Z28="",0,Z28),"0")+IFERROR(IF(Z29="",0,Z29),"0")+IFERROR(IF(Z30="",0,Z30),"0")+IFERROR(IF(Z31="",0,Z31),"0")</f>
        <v>0</v>
      </c>
      <c r="AA32" s="552"/>
      <c r="AB32" s="552"/>
      <c r="AC32" s="552"/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68" t="s">
        <v>75</v>
      </c>
      <c r="Q33" s="569"/>
      <c r="R33" s="569"/>
      <c r="S33" s="569"/>
      <c r="T33" s="569"/>
      <c r="U33" s="569"/>
      <c r="V33" s="570"/>
      <c r="W33" s="37" t="s">
        <v>69</v>
      </c>
      <c r="X33" s="551">
        <f>IFERROR(SUM(X27:X31),"0")</f>
        <v>0</v>
      </c>
      <c r="Y33" s="551">
        <f>IFERROR(SUM(Y27:Y31),"0")</f>
        <v>0</v>
      </c>
      <c r="Z33" s="37"/>
      <c r="AA33" s="552"/>
      <c r="AB33" s="552"/>
      <c r="AC33" s="552"/>
    </row>
    <row r="34" spans="1:68" ht="14.25" customHeight="1" x14ac:dyDescent="0.25">
      <c r="A34" s="567" t="s">
        <v>95</v>
      </c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2"/>
      <c r="P34" s="562"/>
      <c r="Q34" s="562"/>
      <c r="R34" s="562"/>
      <c r="S34" s="562"/>
      <c r="T34" s="562"/>
      <c r="U34" s="562"/>
      <c r="V34" s="562"/>
      <c r="W34" s="562"/>
      <c r="X34" s="562"/>
      <c r="Y34" s="562"/>
      <c r="Z34" s="562"/>
      <c r="AA34" s="545"/>
      <c r="AB34" s="545"/>
      <c r="AC34" s="545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4"/>
      <c r="R35" s="554"/>
      <c r="S35" s="554"/>
      <c r="T35" s="555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1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8" t="s">
        <v>75</v>
      </c>
      <c r="Q36" s="569"/>
      <c r="R36" s="569"/>
      <c r="S36" s="569"/>
      <c r="T36" s="569"/>
      <c r="U36" s="569"/>
      <c r="V36" s="570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68" t="s">
        <v>75</v>
      </c>
      <c r="Q37" s="569"/>
      <c r="R37" s="569"/>
      <c r="S37" s="569"/>
      <c r="T37" s="569"/>
      <c r="U37" s="569"/>
      <c r="V37" s="570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customHeight="1" x14ac:dyDescent="0.2">
      <c r="A38" s="716" t="s">
        <v>101</v>
      </c>
      <c r="B38" s="717"/>
      <c r="C38" s="717"/>
      <c r="D38" s="717"/>
      <c r="E38" s="717"/>
      <c r="F38" s="717"/>
      <c r="G38" s="717"/>
      <c r="H38" s="717"/>
      <c r="I38" s="717"/>
      <c r="J38" s="717"/>
      <c r="K38" s="717"/>
      <c r="L38" s="717"/>
      <c r="M38" s="717"/>
      <c r="N38" s="717"/>
      <c r="O38" s="717"/>
      <c r="P38" s="717"/>
      <c r="Q38" s="717"/>
      <c r="R38" s="717"/>
      <c r="S38" s="717"/>
      <c r="T38" s="717"/>
      <c r="U38" s="717"/>
      <c r="V38" s="717"/>
      <c r="W38" s="717"/>
      <c r="X38" s="717"/>
      <c r="Y38" s="717"/>
      <c r="Z38" s="717"/>
      <c r="AA38" s="48"/>
      <c r="AB38" s="48"/>
      <c r="AC38" s="48"/>
    </row>
    <row r="39" spans="1:68" ht="16.5" customHeight="1" x14ac:dyDescent="0.25">
      <c r="A39" s="566" t="s">
        <v>102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4"/>
      <c r="AB39" s="544"/>
      <c r="AC39" s="544"/>
    </row>
    <row r="40" spans="1:68" ht="14.25" customHeight="1" x14ac:dyDescent="0.25">
      <c r="A40" s="567" t="s">
        <v>103</v>
      </c>
      <c r="B40" s="562"/>
      <c r="C40" s="562"/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45"/>
      <c r="AB40" s="545"/>
      <c r="AC40" s="545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3500</v>
      </c>
      <c r="Y41" s="550">
        <f>IFERROR(IF(X41="",0,CEILING((X41/$H41),1)*$H41),"")</f>
        <v>3510.0000000000005</v>
      </c>
      <c r="Z41" s="36">
        <f>IFERROR(IF(Y41=0,"",ROUNDUP(Y41/H41,0)*0.01898),"")</f>
        <v>6.1684999999999999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3632.87037037037</v>
      </c>
      <c r="BN41" s="64">
        <f>IFERROR(Y41*I41/H41,"0")</f>
        <v>3643.2500000000005</v>
      </c>
      <c r="BO41" s="64">
        <f>IFERROR(1/J41*(X41/H41),"0")</f>
        <v>5.0636574074074074</v>
      </c>
      <c r="BP41" s="64">
        <f>IFERROR(1/J41*(Y41/H41),"0")</f>
        <v>5.078125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48">
        <v>0.4</v>
      </c>
      <c r="G43" s="32">
        <v>10</v>
      </c>
      <c r="H43" s="548">
        <v>4</v>
      </c>
      <c r="I43" s="548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4"/>
      <c r="R43" s="554"/>
      <c r="S43" s="554"/>
      <c r="T43" s="555"/>
      <c r="U43" s="34"/>
      <c r="V43" s="34"/>
      <c r="W43" s="35" t="s">
        <v>69</v>
      </c>
      <c r="X43" s="549">
        <v>32</v>
      </c>
      <c r="Y43" s="550">
        <f>IFERROR(IF(X43="",0,CEILING((X43/$H43),1)*$H43),"")</f>
        <v>32</v>
      </c>
      <c r="Z43" s="36">
        <f>IFERROR(IF(Y43=0,"",ROUNDUP(Y43/H43,0)*0.00902),"")</f>
        <v>7.2160000000000002E-2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33.520000000000003</v>
      </c>
      <c r="BN43" s="64">
        <f>IFERROR(Y43*I43/H43,"0")</f>
        <v>33.520000000000003</v>
      </c>
      <c r="BO43" s="64">
        <f>IFERROR(1/J43*(X43/H43),"0")</f>
        <v>6.0606060606060608E-2</v>
      </c>
      <c r="BP43" s="64">
        <f>IFERROR(1/J43*(Y43/H43),"0")</f>
        <v>6.0606060606060608E-2</v>
      </c>
    </row>
    <row r="44" spans="1:68" x14ac:dyDescent="0.2">
      <c r="A44" s="561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8" t="s">
        <v>75</v>
      </c>
      <c r="Q44" s="569"/>
      <c r="R44" s="569"/>
      <c r="S44" s="569"/>
      <c r="T44" s="569"/>
      <c r="U44" s="569"/>
      <c r="V44" s="570"/>
      <c r="W44" s="37" t="s">
        <v>76</v>
      </c>
      <c r="X44" s="551">
        <f>IFERROR(X41/H41,"0")+IFERROR(X42/H42,"0")+IFERROR(X43/H43,"0")</f>
        <v>332.07407407407408</v>
      </c>
      <c r="Y44" s="551">
        <f>IFERROR(Y41/H41,"0")+IFERROR(Y42/H42,"0")+IFERROR(Y43/H43,"0")</f>
        <v>333</v>
      </c>
      <c r="Z44" s="551">
        <f>IFERROR(IF(Z41="",0,Z41),"0")+IFERROR(IF(Z42="",0,Z42),"0")+IFERROR(IF(Z43="",0,Z43),"0")</f>
        <v>6.2406600000000001</v>
      </c>
      <c r="AA44" s="552"/>
      <c r="AB44" s="552"/>
      <c r="AC44" s="552"/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68" t="s">
        <v>75</v>
      </c>
      <c r="Q45" s="569"/>
      <c r="R45" s="569"/>
      <c r="S45" s="569"/>
      <c r="T45" s="569"/>
      <c r="U45" s="569"/>
      <c r="V45" s="570"/>
      <c r="W45" s="37" t="s">
        <v>69</v>
      </c>
      <c r="X45" s="551">
        <f>IFERROR(SUM(X41:X43),"0")</f>
        <v>3532</v>
      </c>
      <c r="Y45" s="551">
        <f>IFERROR(SUM(Y41:Y43),"0")</f>
        <v>3542.0000000000005</v>
      </c>
      <c r="Z45" s="37"/>
      <c r="AA45" s="552"/>
      <c r="AB45" s="552"/>
      <c r="AC45" s="552"/>
    </row>
    <row r="46" spans="1:68" ht="14.25" customHeight="1" x14ac:dyDescent="0.25">
      <c r="A46" s="567" t="s">
        <v>77</v>
      </c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2"/>
      <c r="P46" s="562"/>
      <c r="Q46" s="562"/>
      <c r="R46" s="562"/>
      <c r="S46" s="562"/>
      <c r="T46" s="562"/>
      <c r="U46" s="562"/>
      <c r="V46" s="562"/>
      <c r="W46" s="562"/>
      <c r="X46" s="562"/>
      <c r="Y46" s="562"/>
      <c r="Z46" s="562"/>
      <c r="AA46" s="545"/>
      <c r="AB46" s="545"/>
      <c r="AC46" s="545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4"/>
      <c r="R47" s="554"/>
      <c r="S47" s="554"/>
      <c r="T47" s="555"/>
      <c r="U47" s="34"/>
      <c r="V47" s="34"/>
      <c r="W47" s="35" t="s">
        <v>69</v>
      </c>
      <c r="X47" s="549">
        <v>0</v>
      </c>
      <c r="Y47" s="55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1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8" t="s">
        <v>75</v>
      </c>
      <c r="Q48" s="569"/>
      <c r="R48" s="569"/>
      <c r="S48" s="569"/>
      <c r="T48" s="569"/>
      <c r="U48" s="569"/>
      <c r="V48" s="570"/>
      <c r="W48" s="37" t="s">
        <v>76</v>
      </c>
      <c r="X48" s="551">
        <f>IFERROR(X47/H47,"0")</f>
        <v>0</v>
      </c>
      <c r="Y48" s="551">
        <f>IFERROR(Y47/H47,"0")</f>
        <v>0</v>
      </c>
      <c r="Z48" s="551">
        <f>IFERROR(IF(Z47="",0,Z47),"0")</f>
        <v>0</v>
      </c>
      <c r="AA48" s="552"/>
      <c r="AB48" s="552"/>
      <c r="AC48" s="552"/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68" t="s">
        <v>75</v>
      </c>
      <c r="Q49" s="569"/>
      <c r="R49" s="569"/>
      <c r="S49" s="569"/>
      <c r="T49" s="569"/>
      <c r="U49" s="569"/>
      <c r="V49" s="570"/>
      <c r="W49" s="37" t="s">
        <v>69</v>
      </c>
      <c r="X49" s="551">
        <f>IFERROR(SUM(X47:X47),"0")</f>
        <v>0</v>
      </c>
      <c r="Y49" s="551">
        <f>IFERROR(SUM(Y47:Y47),"0")</f>
        <v>0</v>
      </c>
      <c r="Z49" s="37"/>
      <c r="AA49" s="552"/>
      <c r="AB49" s="552"/>
      <c r="AC49" s="552"/>
    </row>
    <row r="50" spans="1:68" ht="16.5" customHeight="1" x14ac:dyDescent="0.25">
      <c r="A50" s="566" t="s">
        <v>119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4"/>
      <c r="AB50" s="544"/>
      <c r="AC50" s="544"/>
    </row>
    <row r="51" spans="1:68" ht="14.25" customHeight="1" x14ac:dyDescent="0.25">
      <c r="A51" s="567" t="s">
        <v>103</v>
      </c>
      <c r="B51" s="562"/>
      <c r="C51" s="562"/>
      <c r="D51" s="562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2"/>
      <c r="AA51" s="545"/>
      <c r="AB51" s="545"/>
      <c r="AC51" s="545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200</v>
      </c>
      <c r="Y52" s="550">
        <f t="shared" ref="Y52:Y57" si="0">IFERROR(IF(X52="",0,CEILING((X52/$H52),1)*$H52),"")</f>
        <v>201.6</v>
      </c>
      <c r="Z52" s="36">
        <f>IFERROR(IF(Y52=0,"",ROUNDUP(Y52/H52,0)*0.01898),"")</f>
        <v>0.34164</v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207.32142857142858</v>
      </c>
      <c r="BN52" s="64">
        <f t="shared" ref="BN52:BN57" si="2">IFERROR(Y52*I52/H52,"0")</f>
        <v>208.98000000000002</v>
      </c>
      <c r="BO52" s="64">
        <f t="shared" ref="BO52:BO57" si="3">IFERROR(1/J52*(X52/H52),"0")</f>
        <v>0.27901785714285715</v>
      </c>
      <c r="BP52" s="64">
        <f t="shared" ref="BP52:BP57" si="4">IFERROR(1/J52*(Y52/H52),"0")</f>
        <v>0.28125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4"/>
      <c r="R53" s="554"/>
      <c r="S53" s="554"/>
      <c r="T53" s="555"/>
      <c r="U53" s="34"/>
      <c r="V53" s="34"/>
      <c r="W53" s="35" t="s">
        <v>69</v>
      </c>
      <c r="X53" s="549">
        <v>450</v>
      </c>
      <c r="Y53" s="550">
        <f t="shared" si="0"/>
        <v>453.6</v>
      </c>
      <c r="Z53" s="36">
        <f>IFERROR(IF(Y53=0,"",ROUNDUP(Y53/H53,0)*0.01898),"")</f>
        <v>0.79715999999999998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467.08333333333331</v>
      </c>
      <c r="BN53" s="64">
        <f t="shared" si="2"/>
        <v>470.82000000000005</v>
      </c>
      <c r="BO53" s="64">
        <f t="shared" si="3"/>
        <v>0.65104166666666663</v>
      </c>
      <c r="BP53" s="64">
        <f t="shared" si="4"/>
        <v>0.65625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3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4"/>
      <c r="R57" s="554"/>
      <c r="S57" s="554"/>
      <c r="T57" s="555"/>
      <c r="U57" s="34"/>
      <c r="V57" s="34"/>
      <c r="W57" s="35" t="s">
        <v>69</v>
      </c>
      <c r="X57" s="549">
        <v>0</v>
      </c>
      <c r="Y57" s="550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1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8" t="s">
        <v>75</v>
      </c>
      <c r="Q58" s="569"/>
      <c r="R58" s="569"/>
      <c r="S58" s="569"/>
      <c r="T58" s="569"/>
      <c r="U58" s="569"/>
      <c r="V58" s="570"/>
      <c r="W58" s="37" t="s">
        <v>76</v>
      </c>
      <c r="X58" s="551">
        <f>IFERROR(X52/H52,"0")+IFERROR(X53/H53,"0")+IFERROR(X54/H54,"0")+IFERROR(X55/H55,"0")+IFERROR(X56/H56,"0")+IFERROR(X57/H57,"0")</f>
        <v>59.523809523809518</v>
      </c>
      <c r="Y58" s="551">
        <f>IFERROR(Y52/H52,"0")+IFERROR(Y53/H53,"0")+IFERROR(Y54/H54,"0")+IFERROR(Y55/H55,"0")+IFERROR(Y56/H56,"0")+IFERROR(Y57/H57,"0")</f>
        <v>60</v>
      </c>
      <c r="Z58" s="551">
        <f>IFERROR(IF(Z52="",0,Z52),"0")+IFERROR(IF(Z53="",0,Z53),"0")+IFERROR(IF(Z54="",0,Z54),"0")+IFERROR(IF(Z55="",0,Z55),"0")+IFERROR(IF(Z56="",0,Z56),"0")+IFERROR(IF(Z57="",0,Z57),"0")</f>
        <v>1.1388</v>
      </c>
      <c r="AA58" s="552"/>
      <c r="AB58" s="552"/>
      <c r="AC58" s="552"/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68" t="s">
        <v>75</v>
      </c>
      <c r="Q59" s="569"/>
      <c r="R59" s="569"/>
      <c r="S59" s="569"/>
      <c r="T59" s="569"/>
      <c r="U59" s="569"/>
      <c r="V59" s="570"/>
      <c r="W59" s="37" t="s">
        <v>69</v>
      </c>
      <c r="X59" s="551">
        <f>IFERROR(SUM(X52:X57),"0")</f>
        <v>650</v>
      </c>
      <c r="Y59" s="551">
        <f>IFERROR(SUM(Y52:Y57),"0")</f>
        <v>655.20000000000005</v>
      </c>
      <c r="Z59" s="37"/>
      <c r="AA59" s="552"/>
      <c r="AB59" s="552"/>
      <c r="AC59" s="552"/>
    </row>
    <row r="60" spans="1:68" ht="14.25" customHeight="1" x14ac:dyDescent="0.25">
      <c r="A60" s="567" t="s">
        <v>138</v>
      </c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2"/>
      <c r="P60" s="562"/>
      <c r="Q60" s="562"/>
      <c r="R60" s="562"/>
      <c r="S60" s="562"/>
      <c r="T60" s="562"/>
      <c r="U60" s="562"/>
      <c r="V60" s="562"/>
      <c r="W60" s="562"/>
      <c r="X60" s="562"/>
      <c r="Y60" s="562"/>
      <c r="Z60" s="562"/>
      <c r="AA60" s="545"/>
      <c r="AB60" s="545"/>
      <c r="AC60" s="545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300</v>
      </c>
      <c r="Y61" s="550">
        <f>IFERROR(IF(X61="",0,CEILING((X61/$H61),1)*$H61),"")</f>
        <v>302.40000000000003</v>
      </c>
      <c r="Z61" s="36">
        <f>IFERROR(IF(Y61=0,"",ROUNDUP(Y61/H61,0)*0.01898),"")</f>
        <v>0.53144000000000002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311.38888888888891</v>
      </c>
      <c r="BN61" s="64">
        <f>IFERROR(Y61*I61/H61,"0")</f>
        <v>313.88</v>
      </c>
      <c r="BO61" s="64">
        <f>IFERROR(1/J61*(X61/H61),"0")</f>
        <v>0.43402777777777773</v>
      </c>
      <c r="BP61" s="64">
        <f>IFERROR(1/J61*(Y61/H61),"0")</f>
        <v>0.4375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4"/>
      <c r="R63" s="554"/>
      <c r="S63" s="554"/>
      <c r="T63" s="555"/>
      <c r="U63" s="34"/>
      <c r="V63" s="34"/>
      <c r="W63" s="35" t="s">
        <v>69</v>
      </c>
      <c r="X63" s="549">
        <v>0</v>
      </c>
      <c r="Y63" s="550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1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8" t="s">
        <v>75</v>
      </c>
      <c r="Q64" s="569"/>
      <c r="R64" s="569"/>
      <c r="S64" s="569"/>
      <c r="T64" s="569"/>
      <c r="U64" s="569"/>
      <c r="V64" s="570"/>
      <c r="W64" s="37" t="s">
        <v>76</v>
      </c>
      <c r="X64" s="551">
        <f>IFERROR(X61/H61,"0")+IFERROR(X62/H62,"0")+IFERROR(X63/H63,"0")</f>
        <v>27.777777777777775</v>
      </c>
      <c r="Y64" s="551">
        <f>IFERROR(Y61/H61,"0")+IFERROR(Y62/H62,"0")+IFERROR(Y63/H63,"0")</f>
        <v>28</v>
      </c>
      <c r="Z64" s="551">
        <f>IFERROR(IF(Z61="",0,Z61),"0")+IFERROR(IF(Z62="",0,Z62),"0")+IFERROR(IF(Z63="",0,Z63),"0")</f>
        <v>0.53144000000000002</v>
      </c>
      <c r="AA64" s="552"/>
      <c r="AB64" s="552"/>
      <c r="AC64" s="552"/>
    </row>
    <row r="65" spans="1:68" x14ac:dyDescent="0.2">
      <c r="A65" s="562"/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3"/>
      <c r="P65" s="568" t="s">
        <v>75</v>
      </c>
      <c r="Q65" s="569"/>
      <c r="R65" s="569"/>
      <c r="S65" s="569"/>
      <c r="T65" s="569"/>
      <c r="U65" s="569"/>
      <c r="V65" s="570"/>
      <c r="W65" s="37" t="s">
        <v>69</v>
      </c>
      <c r="X65" s="551">
        <f>IFERROR(SUM(X61:X63),"0")</f>
        <v>300</v>
      </c>
      <c r="Y65" s="551">
        <f>IFERROR(SUM(Y61:Y63),"0")</f>
        <v>302.40000000000003</v>
      </c>
      <c r="Z65" s="37"/>
      <c r="AA65" s="552"/>
      <c r="AB65" s="552"/>
      <c r="AC65" s="552"/>
    </row>
    <row r="66" spans="1:68" ht="14.25" customHeight="1" x14ac:dyDescent="0.25">
      <c r="A66" s="567" t="s">
        <v>64</v>
      </c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2"/>
      <c r="P66" s="562"/>
      <c r="Q66" s="562"/>
      <c r="R66" s="562"/>
      <c r="S66" s="562"/>
      <c r="T66" s="562"/>
      <c r="U66" s="562"/>
      <c r="V66" s="562"/>
      <c r="W66" s="562"/>
      <c r="X66" s="562"/>
      <c r="Y66" s="562"/>
      <c r="Z66" s="562"/>
      <c r="AA66" s="545"/>
      <c r="AB66" s="545"/>
      <c r="AC66" s="545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4"/>
      <c r="R68" s="554"/>
      <c r="S68" s="554"/>
      <c r="T68" s="555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1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8" t="s">
        <v>75</v>
      </c>
      <c r="Q69" s="569"/>
      <c r="R69" s="569"/>
      <c r="S69" s="569"/>
      <c r="T69" s="569"/>
      <c r="U69" s="569"/>
      <c r="V69" s="570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68" t="s">
        <v>75</v>
      </c>
      <c r="Q70" s="569"/>
      <c r="R70" s="569"/>
      <c r="S70" s="569"/>
      <c r="T70" s="569"/>
      <c r="U70" s="569"/>
      <c r="V70" s="570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customHeight="1" x14ac:dyDescent="0.25">
      <c r="A71" s="567" t="s">
        <v>77</v>
      </c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2"/>
      <c r="P71" s="562"/>
      <c r="Q71" s="562"/>
      <c r="R71" s="562"/>
      <c r="S71" s="562"/>
      <c r="T71" s="562"/>
      <c r="U71" s="562"/>
      <c r="V71" s="562"/>
      <c r="W71" s="562"/>
      <c r="X71" s="562"/>
      <c r="Y71" s="562"/>
      <c r="Z71" s="562"/>
      <c r="AA71" s="545"/>
      <c r="AB71" s="545"/>
      <c r="AC71" s="54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5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4"/>
      <c r="R75" s="554"/>
      <c r="S75" s="554"/>
      <c r="T75" s="555"/>
      <c r="U75" s="34"/>
      <c r="V75" s="34"/>
      <c r="W75" s="35" t="s">
        <v>69</v>
      </c>
      <c r="X75" s="549">
        <v>0</v>
      </c>
      <c r="Y75" s="55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1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8" t="s">
        <v>75</v>
      </c>
      <c r="Q76" s="569"/>
      <c r="R76" s="569"/>
      <c r="S76" s="569"/>
      <c r="T76" s="569"/>
      <c r="U76" s="569"/>
      <c r="V76" s="570"/>
      <c r="W76" s="37" t="s">
        <v>76</v>
      </c>
      <c r="X76" s="551">
        <f>IFERROR(X72/H72,"0")+IFERROR(X73/H73,"0")+IFERROR(X74/H74,"0")+IFERROR(X75/H75,"0")</f>
        <v>0</v>
      </c>
      <c r="Y76" s="551">
        <f>IFERROR(Y72/H72,"0")+IFERROR(Y73/H73,"0")+IFERROR(Y74/H74,"0")+IFERROR(Y75/H75,"0")</f>
        <v>0</v>
      </c>
      <c r="Z76" s="551">
        <f>IFERROR(IF(Z72="",0,Z72),"0")+IFERROR(IF(Z73="",0,Z73),"0")+IFERROR(IF(Z74="",0,Z74),"0")+IFERROR(IF(Z75="",0,Z75),"0")</f>
        <v>0</v>
      </c>
      <c r="AA76" s="552"/>
      <c r="AB76" s="552"/>
      <c r="AC76" s="552"/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68" t="s">
        <v>75</v>
      </c>
      <c r="Q77" s="569"/>
      <c r="R77" s="569"/>
      <c r="S77" s="569"/>
      <c r="T77" s="569"/>
      <c r="U77" s="569"/>
      <c r="V77" s="570"/>
      <c r="W77" s="37" t="s">
        <v>69</v>
      </c>
      <c r="X77" s="551">
        <f>IFERROR(SUM(X72:X75),"0")</f>
        <v>0</v>
      </c>
      <c r="Y77" s="551">
        <f>IFERROR(SUM(Y72:Y75),"0")</f>
        <v>0</v>
      </c>
      <c r="Z77" s="37"/>
      <c r="AA77" s="552"/>
      <c r="AB77" s="552"/>
      <c r="AC77" s="552"/>
    </row>
    <row r="78" spans="1:68" ht="14.25" customHeight="1" x14ac:dyDescent="0.25">
      <c r="A78" s="567" t="s">
        <v>163</v>
      </c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2"/>
      <c r="P78" s="562"/>
      <c r="Q78" s="562"/>
      <c r="R78" s="562"/>
      <c r="S78" s="562"/>
      <c r="T78" s="562"/>
      <c r="U78" s="562"/>
      <c r="V78" s="562"/>
      <c r="W78" s="562"/>
      <c r="X78" s="562"/>
      <c r="Y78" s="562"/>
      <c r="Z78" s="562"/>
      <c r="AA78" s="545"/>
      <c r="AB78" s="545"/>
      <c r="AC78" s="54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78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4"/>
      <c r="R80" s="554"/>
      <c r="S80" s="554"/>
      <c r="T80" s="555"/>
      <c r="U80" s="34"/>
      <c r="V80" s="34"/>
      <c r="W80" s="35" t="s">
        <v>69</v>
      </c>
      <c r="X80" s="549">
        <v>0</v>
      </c>
      <c r="Y80" s="55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1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8" t="s">
        <v>75</v>
      </c>
      <c r="Q81" s="569"/>
      <c r="R81" s="569"/>
      <c r="S81" s="569"/>
      <c r="T81" s="569"/>
      <c r="U81" s="569"/>
      <c r="V81" s="570"/>
      <c r="W81" s="37" t="s">
        <v>76</v>
      </c>
      <c r="X81" s="551">
        <f>IFERROR(X79/H79,"0")+IFERROR(X80/H80,"0")</f>
        <v>0</v>
      </c>
      <c r="Y81" s="551">
        <f>IFERROR(Y79/H79,"0")+IFERROR(Y80/H80,"0")</f>
        <v>0</v>
      </c>
      <c r="Z81" s="551">
        <f>IFERROR(IF(Z79="",0,Z79),"0")+IFERROR(IF(Z80="",0,Z80),"0")</f>
        <v>0</v>
      </c>
      <c r="AA81" s="552"/>
      <c r="AB81" s="552"/>
      <c r="AC81" s="552"/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68" t="s">
        <v>75</v>
      </c>
      <c r="Q82" s="569"/>
      <c r="R82" s="569"/>
      <c r="S82" s="569"/>
      <c r="T82" s="569"/>
      <c r="U82" s="569"/>
      <c r="V82" s="570"/>
      <c r="W82" s="37" t="s">
        <v>69</v>
      </c>
      <c r="X82" s="551">
        <f>IFERROR(SUM(X79:X80),"0")</f>
        <v>0</v>
      </c>
      <c r="Y82" s="551">
        <f>IFERROR(SUM(Y79:Y80),"0")</f>
        <v>0</v>
      </c>
      <c r="Z82" s="37"/>
      <c r="AA82" s="552"/>
      <c r="AB82" s="552"/>
      <c r="AC82" s="552"/>
    </row>
    <row r="83" spans="1:68" ht="16.5" customHeight="1" x14ac:dyDescent="0.25">
      <c r="A83" s="566" t="s">
        <v>170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4"/>
      <c r="AB83" s="544"/>
      <c r="AC83" s="544"/>
    </row>
    <row r="84" spans="1:68" ht="14.25" customHeight="1" x14ac:dyDescent="0.25">
      <c r="A84" s="567" t="s">
        <v>103</v>
      </c>
      <c r="B84" s="562"/>
      <c r="C84" s="562"/>
      <c r="D84" s="562"/>
      <c r="E84" s="562"/>
      <c r="F84" s="562"/>
      <c r="G84" s="562"/>
      <c r="H84" s="562"/>
      <c r="I84" s="562"/>
      <c r="J84" s="562"/>
      <c r="K84" s="562"/>
      <c r="L84" s="562"/>
      <c r="M84" s="562"/>
      <c r="N84" s="562"/>
      <c r="O84" s="562"/>
      <c r="P84" s="562"/>
      <c r="Q84" s="562"/>
      <c r="R84" s="562"/>
      <c r="S84" s="562"/>
      <c r="T84" s="562"/>
      <c r="U84" s="562"/>
      <c r="V84" s="562"/>
      <c r="W84" s="562"/>
      <c r="X84" s="562"/>
      <c r="Y84" s="562"/>
      <c r="Z84" s="562"/>
      <c r="AA84" s="545"/>
      <c r="AB84" s="545"/>
      <c r="AC84" s="54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4"/>
      <c r="R85" s="554"/>
      <c r="S85" s="554"/>
      <c r="T85" s="555"/>
      <c r="U85" s="34"/>
      <c r="V85" s="34"/>
      <c r="W85" s="35" t="s">
        <v>69</v>
      </c>
      <c r="X85" s="549">
        <v>700</v>
      </c>
      <c r="Y85" s="550">
        <f>IFERROR(IF(X85="",0,CEILING((X85/$H85),1)*$H85),"")</f>
        <v>702</v>
      </c>
      <c r="Z85" s="36">
        <f>IFERROR(IF(Y85=0,"",ROUNDUP(Y85/H85,0)*0.01898),"")</f>
        <v>1.2337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726.57407407407413</v>
      </c>
      <c r="BN85" s="64">
        <f>IFERROR(Y85*I85/H85,"0")</f>
        <v>728.65000000000009</v>
      </c>
      <c r="BO85" s="64">
        <f>IFERROR(1/J85*(X85/H85),"0")</f>
        <v>1.0127314814814814</v>
      </c>
      <c r="BP85" s="64">
        <f>IFERROR(1/J85*(Y85/H85),"0")</f>
        <v>1.015625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4"/>
      <c r="R88" s="554"/>
      <c r="S88" s="554"/>
      <c r="T88" s="555"/>
      <c r="U88" s="34"/>
      <c r="V88" s="34"/>
      <c r="W88" s="35" t="s">
        <v>69</v>
      </c>
      <c r="X88" s="549">
        <v>0</v>
      </c>
      <c r="Y88" s="550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1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8" t="s">
        <v>75</v>
      </c>
      <c r="Q89" s="569"/>
      <c r="R89" s="569"/>
      <c r="S89" s="569"/>
      <c r="T89" s="569"/>
      <c r="U89" s="569"/>
      <c r="V89" s="570"/>
      <c r="W89" s="37" t="s">
        <v>76</v>
      </c>
      <c r="X89" s="551">
        <f>IFERROR(X85/H85,"0")+IFERROR(X86/H86,"0")+IFERROR(X87/H87,"0")+IFERROR(X88/H88,"0")</f>
        <v>64.81481481481481</v>
      </c>
      <c r="Y89" s="551">
        <f>IFERROR(Y85/H85,"0")+IFERROR(Y86/H86,"0")+IFERROR(Y87/H87,"0")+IFERROR(Y88/H88,"0")</f>
        <v>65</v>
      </c>
      <c r="Z89" s="551">
        <f>IFERROR(IF(Z85="",0,Z85),"0")+IFERROR(IF(Z86="",0,Z86),"0")+IFERROR(IF(Z87="",0,Z87),"0")+IFERROR(IF(Z88="",0,Z88),"0")</f>
        <v>1.2337</v>
      </c>
      <c r="AA89" s="552"/>
      <c r="AB89" s="552"/>
      <c r="AC89" s="552"/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68" t="s">
        <v>75</v>
      </c>
      <c r="Q90" s="569"/>
      <c r="R90" s="569"/>
      <c r="S90" s="569"/>
      <c r="T90" s="569"/>
      <c r="U90" s="569"/>
      <c r="V90" s="570"/>
      <c r="W90" s="37" t="s">
        <v>69</v>
      </c>
      <c r="X90" s="551">
        <f>IFERROR(SUM(X85:X88),"0")</f>
        <v>700</v>
      </c>
      <c r="Y90" s="551">
        <f>IFERROR(SUM(Y85:Y88),"0")</f>
        <v>702</v>
      </c>
      <c r="Z90" s="37"/>
      <c r="AA90" s="552"/>
      <c r="AB90" s="552"/>
      <c r="AC90" s="552"/>
    </row>
    <row r="91" spans="1:68" ht="14.25" customHeight="1" x14ac:dyDescent="0.25">
      <c r="A91" s="567" t="s">
        <v>77</v>
      </c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2"/>
      <c r="P91" s="562"/>
      <c r="Q91" s="562"/>
      <c r="R91" s="562"/>
      <c r="S91" s="562"/>
      <c r="T91" s="562"/>
      <c r="U91" s="562"/>
      <c r="V91" s="562"/>
      <c r="W91" s="562"/>
      <c r="X91" s="562"/>
      <c r="Y91" s="562"/>
      <c r="Z91" s="562"/>
      <c r="AA91" s="545"/>
      <c r="AB91" s="545"/>
      <c r="AC91" s="545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225</v>
      </c>
      <c r="Y92" s="550">
        <f>IFERROR(IF(X92="",0,CEILING((X92/$H92),1)*$H92),"")</f>
        <v>226.79999999999998</v>
      </c>
      <c r="Z92" s="36">
        <f>IFERROR(IF(Y92=0,"",ROUNDUP(Y92/H92,0)*0.01898),"")</f>
        <v>0.53144000000000002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238.72222222222223</v>
      </c>
      <c r="BN92" s="64">
        <f>IFERROR(Y92*I92/H92,"0")</f>
        <v>240.63199999999998</v>
      </c>
      <c r="BO92" s="64">
        <f>IFERROR(1/J92*(X92/H92),"0")</f>
        <v>0.43402777777777779</v>
      </c>
      <c r="BP92" s="64">
        <f>IFERROR(1/J92*(Y92/H92),"0")</f>
        <v>0.4375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188</v>
      </c>
      <c r="B94" s="54" t="s">
        <v>189</v>
      </c>
      <c r="C94" s="31">
        <v>4301051718</v>
      </c>
      <c r="D94" s="564">
        <v>4607091385731</v>
      </c>
      <c r="E94" s="565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190</v>
      </c>
      <c r="B95" s="54" t="s">
        <v>191</v>
      </c>
      <c r="C95" s="31">
        <v>4301051438</v>
      </c>
      <c r="D95" s="564">
        <v>4680115880894</v>
      </c>
      <c r="E95" s="565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4"/>
      <c r="R95" s="554"/>
      <c r="S95" s="554"/>
      <c r="T95" s="555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1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8" t="s">
        <v>75</v>
      </c>
      <c r="Q96" s="569"/>
      <c r="R96" s="569"/>
      <c r="S96" s="569"/>
      <c r="T96" s="569"/>
      <c r="U96" s="569"/>
      <c r="V96" s="570"/>
      <c r="W96" s="37" t="s">
        <v>76</v>
      </c>
      <c r="X96" s="551">
        <f>IFERROR(X92/H92,"0")+IFERROR(X93/H93,"0")+IFERROR(X94/H94,"0")+IFERROR(X95/H95,"0")</f>
        <v>27.777777777777779</v>
      </c>
      <c r="Y96" s="551">
        <f>IFERROR(Y92/H92,"0")+IFERROR(Y93/H93,"0")+IFERROR(Y94/H94,"0")+IFERROR(Y95/H95,"0")</f>
        <v>28</v>
      </c>
      <c r="Z96" s="551">
        <f>IFERROR(IF(Z92="",0,Z92),"0")+IFERROR(IF(Z93="",0,Z93),"0")+IFERROR(IF(Z94="",0,Z94),"0")+IFERROR(IF(Z95="",0,Z95),"0")</f>
        <v>0.53144000000000002</v>
      </c>
      <c r="AA96" s="552"/>
      <c r="AB96" s="552"/>
      <c r="AC96" s="552"/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68" t="s">
        <v>75</v>
      </c>
      <c r="Q97" s="569"/>
      <c r="R97" s="569"/>
      <c r="S97" s="569"/>
      <c r="T97" s="569"/>
      <c r="U97" s="569"/>
      <c r="V97" s="570"/>
      <c r="W97" s="37" t="s">
        <v>69</v>
      </c>
      <c r="X97" s="551">
        <f>IFERROR(SUM(X92:X95),"0")</f>
        <v>225</v>
      </c>
      <c r="Y97" s="551">
        <f>IFERROR(SUM(Y92:Y95),"0")</f>
        <v>226.79999999999998</v>
      </c>
      <c r="Z97" s="37"/>
      <c r="AA97" s="552"/>
      <c r="AB97" s="552"/>
      <c r="AC97" s="552"/>
    </row>
    <row r="98" spans="1:68" ht="16.5" customHeight="1" x14ac:dyDescent="0.25">
      <c r="A98" s="566" t="s">
        <v>193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4"/>
      <c r="AB98" s="544"/>
      <c r="AC98" s="544"/>
    </row>
    <row r="99" spans="1:68" ht="14.25" customHeight="1" x14ac:dyDescent="0.25">
      <c r="A99" s="567" t="s">
        <v>103</v>
      </c>
      <c r="B99" s="562"/>
      <c r="C99" s="562"/>
      <c r="D99" s="562"/>
      <c r="E99" s="562"/>
      <c r="F99" s="562"/>
      <c r="G99" s="562"/>
      <c r="H99" s="562"/>
      <c r="I99" s="562"/>
      <c r="J99" s="562"/>
      <c r="K99" s="562"/>
      <c r="L99" s="562"/>
      <c r="M99" s="562"/>
      <c r="N99" s="562"/>
      <c r="O99" s="562"/>
      <c r="P99" s="562"/>
      <c r="Q99" s="562"/>
      <c r="R99" s="562"/>
      <c r="S99" s="562"/>
      <c r="T99" s="562"/>
      <c r="U99" s="562"/>
      <c r="V99" s="562"/>
      <c r="W99" s="562"/>
      <c r="X99" s="562"/>
      <c r="Y99" s="562"/>
      <c r="Z99" s="562"/>
      <c r="AA99" s="545"/>
      <c r="AB99" s="545"/>
      <c r="AC99" s="545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64">
        <v>4680115882133</v>
      </c>
      <c r="E100" s="565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450</v>
      </c>
      <c r="Y100" s="550">
        <f>IFERROR(IF(X100="",0,CEILING((X100/$H100),1)*$H100),"")</f>
        <v>453.6</v>
      </c>
      <c r="Z100" s="36">
        <f>IFERROR(IF(Y100=0,"",ROUNDUP(Y100/H100,0)*0.01898),"")</f>
        <v>0.79715999999999998</v>
      </c>
      <c r="AA100" s="56"/>
      <c r="AB100" s="57"/>
      <c r="AC100" s="143" t="s">
        <v>196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467.08333333333331</v>
      </c>
      <c r="BN100" s="64">
        <f>IFERROR(Y100*I100/H100,"0")</f>
        <v>470.82000000000005</v>
      </c>
      <c r="BO100" s="64">
        <f>IFERROR(1/J100*(X100/H100),"0")</f>
        <v>0.65104166666666663</v>
      </c>
      <c r="BP100" s="64">
        <f>IFERROR(1/J100*(Y100/H100),"0")</f>
        <v>0.65625</v>
      </c>
    </row>
    <row r="101" spans="1:68" ht="27" customHeight="1" x14ac:dyDescent="0.25">
      <c r="A101" s="54" t="s">
        <v>197</v>
      </c>
      <c r="B101" s="54" t="s">
        <v>198</v>
      </c>
      <c r="C101" s="31">
        <v>4301012051</v>
      </c>
      <c r="D101" s="564">
        <v>4680115887718</v>
      </c>
      <c r="E101" s="565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4301011417</v>
      </c>
      <c r="D102" s="564">
        <v>4680115880269</v>
      </c>
      <c r="E102" s="565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2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4301011415</v>
      </c>
      <c r="D103" s="564">
        <v>4680115880429</v>
      </c>
      <c r="E103" s="565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4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204</v>
      </c>
      <c r="B104" s="54" t="s">
        <v>205</v>
      </c>
      <c r="C104" s="31">
        <v>4301011462</v>
      </c>
      <c r="D104" s="564">
        <v>4680115881457</v>
      </c>
      <c r="E104" s="565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4"/>
      <c r="R104" s="554"/>
      <c r="S104" s="554"/>
      <c r="T104" s="555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1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8" t="s">
        <v>75</v>
      </c>
      <c r="Q105" s="569"/>
      <c r="R105" s="569"/>
      <c r="S105" s="569"/>
      <c r="T105" s="569"/>
      <c r="U105" s="569"/>
      <c r="V105" s="570"/>
      <c r="W105" s="37" t="s">
        <v>76</v>
      </c>
      <c r="X105" s="551">
        <f>IFERROR(X100/H100,"0")+IFERROR(X101/H101,"0")+IFERROR(X102/H102,"0")+IFERROR(X103/H103,"0")+IFERROR(X104/H104,"0")</f>
        <v>41.666666666666664</v>
      </c>
      <c r="Y105" s="551">
        <f>IFERROR(Y100/H100,"0")+IFERROR(Y101/H101,"0")+IFERROR(Y102/H102,"0")+IFERROR(Y103/H103,"0")+IFERROR(Y104/H104,"0")</f>
        <v>42</v>
      </c>
      <c r="Z105" s="551">
        <f>IFERROR(IF(Z100="",0,Z100),"0")+IFERROR(IF(Z101="",0,Z101),"0")+IFERROR(IF(Z102="",0,Z102),"0")+IFERROR(IF(Z103="",0,Z103),"0")+IFERROR(IF(Z104="",0,Z104),"0")</f>
        <v>0.79715999999999998</v>
      </c>
      <c r="AA105" s="552"/>
      <c r="AB105" s="552"/>
      <c r="AC105" s="552"/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68" t="s">
        <v>75</v>
      </c>
      <c r="Q106" s="569"/>
      <c r="R106" s="569"/>
      <c r="S106" s="569"/>
      <c r="T106" s="569"/>
      <c r="U106" s="569"/>
      <c r="V106" s="570"/>
      <c r="W106" s="37" t="s">
        <v>69</v>
      </c>
      <c r="X106" s="551">
        <f>IFERROR(SUM(X100:X104),"0")</f>
        <v>450</v>
      </c>
      <c r="Y106" s="551">
        <f>IFERROR(SUM(Y100:Y104),"0")</f>
        <v>453.6</v>
      </c>
      <c r="Z106" s="37"/>
      <c r="AA106" s="552"/>
      <c r="AB106" s="552"/>
      <c r="AC106" s="552"/>
    </row>
    <row r="107" spans="1:68" ht="14.25" customHeight="1" x14ac:dyDescent="0.25">
      <c r="A107" s="567" t="s">
        <v>138</v>
      </c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2"/>
      <c r="P107" s="562"/>
      <c r="Q107" s="562"/>
      <c r="R107" s="562"/>
      <c r="S107" s="562"/>
      <c r="T107" s="562"/>
      <c r="U107" s="562"/>
      <c r="V107" s="562"/>
      <c r="W107" s="562"/>
      <c r="X107" s="562"/>
      <c r="Y107" s="562"/>
      <c r="Z107" s="562"/>
      <c r="AA107" s="545"/>
      <c r="AB107" s="545"/>
      <c r="AC107" s="545"/>
    </row>
    <row r="108" spans="1:68" ht="16.5" customHeight="1" x14ac:dyDescent="0.25">
      <c r="A108" s="54" t="s">
        <v>206</v>
      </c>
      <c r="B108" s="54" t="s">
        <v>207</v>
      </c>
      <c r="C108" s="31">
        <v>4301020345</v>
      </c>
      <c r="D108" s="564">
        <v>4680115881488</v>
      </c>
      <c r="E108" s="565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6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209</v>
      </c>
      <c r="B109" s="54" t="s">
        <v>210</v>
      </c>
      <c r="C109" s="31">
        <v>4301020186</v>
      </c>
      <c r="D109" s="564">
        <v>4680115887664</v>
      </c>
      <c r="E109" s="565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77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213</v>
      </c>
      <c r="B110" s="54" t="s">
        <v>214</v>
      </c>
      <c r="C110" s="31">
        <v>4301020346</v>
      </c>
      <c r="D110" s="564">
        <v>4680115882775</v>
      </c>
      <c r="E110" s="565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5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215</v>
      </c>
      <c r="B111" s="54" t="s">
        <v>216</v>
      </c>
      <c r="C111" s="31">
        <v>4301020344</v>
      </c>
      <c r="D111" s="564">
        <v>4680115880658</v>
      </c>
      <c r="E111" s="565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0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4"/>
      <c r="R111" s="554"/>
      <c r="S111" s="554"/>
      <c r="T111" s="555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1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8" t="s">
        <v>75</v>
      </c>
      <c r="Q112" s="569"/>
      <c r="R112" s="569"/>
      <c r="S112" s="569"/>
      <c r="T112" s="569"/>
      <c r="U112" s="569"/>
      <c r="V112" s="570"/>
      <c r="W112" s="37" t="s">
        <v>76</v>
      </c>
      <c r="X112" s="551">
        <f>IFERROR(X108/H108,"0")+IFERROR(X109/H109,"0")+IFERROR(X110/H110,"0")+IFERROR(X111/H111,"0")</f>
        <v>0</v>
      </c>
      <c r="Y112" s="551">
        <f>IFERROR(Y108/H108,"0")+IFERROR(Y109/H109,"0")+IFERROR(Y110/H110,"0")+IFERROR(Y111/H111,"0")</f>
        <v>0</v>
      </c>
      <c r="Z112" s="551">
        <f>IFERROR(IF(Z108="",0,Z108),"0")+IFERROR(IF(Z109="",0,Z109),"0")+IFERROR(IF(Z110="",0,Z110),"0")+IFERROR(IF(Z111="",0,Z111),"0")</f>
        <v>0</v>
      </c>
      <c r="AA112" s="552"/>
      <c r="AB112" s="552"/>
      <c r="AC112" s="552"/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68" t="s">
        <v>75</v>
      </c>
      <c r="Q113" s="569"/>
      <c r="R113" s="569"/>
      <c r="S113" s="569"/>
      <c r="T113" s="569"/>
      <c r="U113" s="569"/>
      <c r="V113" s="570"/>
      <c r="W113" s="37" t="s">
        <v>69</v>
      </c>
      <c r="X113" s="551">
        <f>IFERROR(SUM(X108:X111),"0")</f>
        <v>0</v>
      </c>
      <c r="Y113" s="551">
        <f>IFERROR(SUM(Y108:Y111),"0")</f>
        <v>0</v>
      </c>
      <c r="Z113" s="37"/>
      <c r="AA113" s="552"/>
      <c r="AB113" s="552"/>
      <c r="AC113" s="552"/>
    </row>
    <row r="114" spans="1:68" ht="14.25" customHeight="1" x14ac:dyDescent="0.25">
      <c r="A114" s="567" t="s">
        <v>77</v>
      </c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2"/>
      <c r="P114" s="562"/>
      <c r="Q114" s="562"/>
      <c r="R114" s="562"/>
      <c r="S114" s="562"/>
      <c r="T114" s="562"/>
      <c r="U114" s="562"/>
      <c r="V114" s="562"/>
      <c r="W114" s="562"/>
      <c r="X114" s="562"/>
      <c r="Y114" s="562"/>
      <c r="Z114" s="562"/>
      <c r="AA114" s="545"/>
      <c r="AB114" s="545"/>
      <c r="AC114" s="545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64">
        <v>4607091385168</v>
      </c>
      <c r="E115" s="565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475</v>
      </c>
      <c r="Y115" s="550">
        <f>IFERROR(IF(X115="",0,CEILING((X115/$H115),1)*$H115),"")</f>
        <v>477.9</v>
      </c>
      <c r="Z115" s="36">
        <f>IFERROR(IF(Y115=0,"",ROUNDUP(Y115/H115,0)*0.01898),"")</f>
        <v>1.11982</v>
      </c>
      <c r="AA115" s="56"/>
      <c r="AB115" s="57"/>
      <c r="AC115" s="161" t="s">
        <v>219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503.61728395061726</v>
      </c>
      <c r="BN115" s="64">
        <f>IFERROR(Y115*I115/H115,"0")</f>
        <v>506.69199999999995</v>
      </c>
      <c r="BO115" s="64">
        <f>IFERROR(1/J115*(X115/H115),"0")</f>
        <v>0.91628086419753085</v>
      </c>
      <c r="BP115" s="64">
        <f>IFERROR(1/J115*(Y115/H115),"0")</f>
        <v>0.921875</v>
      </c>
    </row>
    <row r="116" spans="1:68" ht="27" customHeight="1" x14ac:dyDescent="0.25">
      <c r="A116" s="54" t="s">
        <v>220</v>
      </c>
      <c r="B116" s="54" t="s">
        <v>221</v>
      </c>
      <c r="C116" s="31">
        <v>4301051730</v>
      </c>
      <c r="D116" s="564">
        <v>4607091383256</v>
      </c>
      <c r="E116" s="565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64">
        <v>4607091385748</v>
      </c>
      <c r="E117" s="565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54</v>
      </c>
      <c r="Y117" s="550">
        <f>IFERROR(IF(X117="",0,CEILING((X117/$H117),1)*$H117),"")</f>
        <v>54</v>
      </c>
      <c r="Z117" s="36">
        <f>IFERROR(IF(Y117=0,"",ROUNDUP(Y117/H117,0)*0.00651),"")</f>
        <v>0.13020000000000001</v>
      </c>
      <c r="AA117" s="56"/>
      <c r="AB117" s="57"/>
      <c r="AC117" s="165" t="s">
        <v>219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59.039999999999992</v>
      </c>
      <c r="BN117" s="64">
        <f>IFERROR(Y117*I117/H117,"0")</f>
        <v>59.039999999999992</v>
      </c>
      <c r="BO117" s="64">
        <f>IFERROR(1/J117*(X117/H117),"0")</f>
        <v>0.1098901098901099</v>
      </c>
      <c r="BP117" s="64">
        <f>IFERROR(1/J117*(Y117/H117),"0")</f>
        <v>0.1098901098901099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64">
        <v>4680115884533</v>
      </c>
      <c r="E118" s="565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7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4"/>
      <c r="R118" s="554"/>
      <c r="S118" s="554"/>
      <c r="T118" s="555"/>
      <c r="U118" s="34"/>
      <c r="V118" s="34"/>
      <c r="W118" s="35" t="s">
        <v>69</v>
      </c>
      <c r="X118" s="549">
        <v>0</v>
      </c>
      <c r="Y118" s="55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1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8" t="s">
        <v>75</v>
      </c>
      <c r="Q119" s="569"/>
      <c r="R119" s="569"/>
      <c r="S119" s="569"/>
      <c r="T119" s="569"/>
      <c r="U119" s="569"/>
      <c r="V119" s="570"/>
      <c r="W119" s="37" t="s">
        <v>76</v>
      </c>
      <c r="X119" s="551">
        <f>IFERROR(X115/H115,"0")+IFERROR(X116/H116,"0")+IFERROR(X117/H117,"0")+IFERROR(X118/H118,"0")</f>
        <v>78.641975308641975</v>
      </c>
      <c r="Y119" s="551">
        <f>IFERROR(Y115/H115,"0")+IFERROR(Y116/H116,"0")+IFERROR(Y117/H117,"0")+IFERROR(Y118/H118,"0")</f>
        <v>79</v>
      </c>
      <c r="Z119" s="551">
        <f>IFERROR(IF(Z115="",0,Z115),"0")+IFERROR(IF(Z116="",0,Z116),"0")+IFERROR(IF(Z117="",0,Z117),"0")+IFERROR(IF(Z118="",0,Z118),"0")</f>
        <v>1.2500200000000001</v>
      </c>
      <c r="AA119" s="552"/>
      <c r="AB119" s="552"/>
      <c r="AC119" s="552"/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68" t="s">
        <v>75</v>
      </c>
      <c r="Q120" s="569"/>
      <c r="R120" s="569"/>
      <c r="S120" s="569"/>
      <c r="T120" s="569"/>
      <c r="U120" s="569"/>
      <c r="V120" s="570"/>
      <c r="W120" s="37" t="s">
        <v>69</v>
      </c>
      <c r="X120" s="551">
        <f>IFERROR(SUM(X115:X118),"0")</f>
        <v>529</v>
      </c>
      <c r="Y120" s="551">
        <f>IFERROR(SUM(Y115:Y118),"0")</f>
        <v>531.9</v>
      </c>
      <c r="Z120" s="37"/>
      <c r="AA120" s="552"/>
      <c r="AB120" s="552"/>
      <c r="AC120" s="552"/>
    </row>
    <row r="121" spans="1:68" ht="14.25" customHeight="1" x14ac:dyDescent="0.25">
      <c r="A121" s="567" t="s">
        <v>163</v>
      </c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2"/>
      <c r="P121" s="562"/>
      <c r="Q121" s="562"/>
      <c r="R121" s="562"/>
      <c r="S121" s="562"/>
      <c r="T121" s="562"/>
      <c r="U121" s="562"/>
      <c r="V121" s="562"/>
      <c r="W121" s="562"/>
      <c r="X121" s="562"/>
      <c r="Y121" s="562"/>
      <c r="Z121" s="562"/>
      <c r="AA121" s="545"/>
      <c r="AB121" s="545"/>
      <c r="AC121" s="545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64">
        <v>4680115880238</v>
      </c>
      <c r="E122" s="565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1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4"/>
      <c r="R122" s="554"/>
      <c r="S122" s="554"/>
      <c r="T122" s="555"/>
      <c r="U122" s="34"/>
      <c r="V122" s="34"/>
      <c r="W122" s="35" t="s">
        <v>69</v>
      </c>
      <c r="X122" s="549">
        <v>0</v>
      </c>
      <c r="Y122" s="550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61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8" t="s">
        <v>75</v>
      </c>
      <c r="Q123" s="569"/>
      <c r="R123" s="569"/>
      <c r="S123" s="569"/>
      <c r="T123" s="569"/>
      <c r="U123" s="569"/>
      <c r="V123" s="570"/>
      <c r="W123" s="37" t="s">
        <v>76</v>
      </c>
      <c r="X123" s="551">
        <f>IFERROR(X122/H122,"0")</f>
        <v>0</v>
      </c>
      <c r="Y123" s="551">
        <f>IFERROR(Y122/H122,"0")</f>
        <v>0</v>
      </c>
      <c r="Z123" s="551">
        <f>IFERROR(IF(Z122="",0,Z122),"0")</f>
        <v>0</v>
      </c>
      <c r="AA123" s="552"/>
      <c r="AB123" s="552"/>
      <c r="AC123" s="552"/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68" t="s">
        <v>75</v>
      </c>
      <c r="Q124" s="569"/>
      <c r="R124" s="569"/>
      <c r="S124" s="569"/>
      <c r="T124" s="569"/>
      <c r="U124" s="569"/>
      <c r="V124" s="570"/>
      <c r="W124" s="37" t="s">
        <v>69</v>
      </c>
      <c r="X124" s="551">
        <f>IFERROR(SUM(X122:X122),"0")</f>
        <v>0</v>
      </c>
      <c r="Y124" s="551">
        <f>IFERROR(SUM(Y122:Y122),"0")</f>
        <v>0</v>
      </c>
      <c r="Z124" s="37"/>
      <c r="AA124" s="552"/>
      <c r="AB124" s="552"/>
      <c r="AC124" s="552"/>
    </row>
    <row r="125" spans="1:68" ht="16.5" customHeight="1" x14ac:dyDescent="0.25">
      <c r="A125" s="566" t="s">
        <v>230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4"/>
      <c r="AB125" s="544"/>
      <c r="AC125" s="544"/>
    </row>
    <row r="126" spans="1:68" ht="14.25" customHeight="1" x14ac:dyDescent="0.25">
      <c r="A126" s="567" t="s">
        <v>103</v>
      </c>
      <c r="B126" s="562"/>
      <c r="C126" s="562"/>
      <c r="D126" s="562"/>
      <c r="E126" s="562"/>
      <c r="F126" s="562"/>
      <c r="G126" s="562"/>
      <c r="H126" s="562"/>
      <c r="I126" s="562"/>
      <c r="J126" s="562"/>
      <c r="K126" s="562"/>
      <c r="L126" s="562"/>
      <c r="M126" s="562"/>
      <c r="N126" s="562"/>
      <c r="O126" s="562"/>
      <c r="P126" s="562"/>
      <c r="Q126" s="562"/>
      <c r="R126" s="562"/>
      <c r="S126" s="562"/>
      <c r="T126" s="562"/>
      <c r="U126" s="562"/>
      <c r="V126" s="562"/>
      <c r="W126" s="562"/>
      <c r="X126" s="562"/>
      <c r="Y126" s="562"/>
      <c r="Z126" s="562"/>
      <c r="AA126" s="545"/>
      <c r="AB126" s="545"/>
      <c r="AC126" s="545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64">
        <v>4680115882577</v>
      </c>
      <c r="E127" s="565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231</v>
      </c>
      <c r="B128" s="54" t="s">
        <v>234</v>
      </c>
      <c r="C128" s="31">
        <v>4301011564</v>
      </c>
      <c r="D128" s="564">
        <v>4680115882577</v>
      </c>
      <c r="E128" s="565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3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4"/>
      <c r="R128" s="554"/>
      <c r="S128" s="554"/>
      <c r="T128" s="555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1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8" t="s">
        <v>75</v>
      </c>
      <c r="Q129" s="569"/>
      <c r="R129" s="569"/>
      <c r="S129" s="569"/>
      <c r="T129" s="569"/>
      <c r="U129" s="569"/>
      <c r="V129" s="570"/>
      <c r="W129" s="37" t="s">
        <v>76</v>
      </c>
      <c r="X129" s="551">
        <f>IFERROR(X127/H127,"0")+IFERROR(X128/H128,"0")</f>
        <v>0</v>
      </c>
      <c r="Y129" s="551">
        <f>IFERROR(Y127/H127,"0")+IFERROR(Y128/H128,"0")</f>
        <v>0</v>
      </c>
      <c r="Z129" s="551">
        <f>IFERROR(IF(Z127="",0,Z127),"0")+IFERROR(IF(Z128="",0,Z128),"0")</f>
        <v>0</v>
      </c>
      <c r="AA129" s="552"/>
      <c r="AB129" s="552"/>
      <c r="AC129" s="552"/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68" t="s">
        <v>75</v>
      </c>
      <c r="Q130" s="569"/>
      <c r="R130" s="569"/>
      <c r="S130" s="569"/>
      <c r="T130" s="569"/>
      <c r="U130" s="569"/>
      <c r="V130" s="570"/>
      <c r="W130" s="37" t="s">
        <v>69</v>
      </c>
      <c r="X130" s="551">
        <f>IFERROR(SUM(X127:X128),"0")</f>
        <v>0</v>
      </c>
      <c r="Y130" s="551">
        <f>IFERROR(SUM(Y127:Y128),"0")</f>
        <v>0</v>
      </c>
      <c r="Z130" s="37"/>
      <c r="AA130" s="552"/>
      <c r="AB130" s="552"/>
      <c r="AC130" s="552"/>
    </row>
    <row r="131" spans="1:68" ht="14.25" customHeight="1" x14ac:dyDescent="0.25">
      <c r="A131" s="567" t="s">
        <v>64</v>
      </c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2"/>
      <c r="P131" s="562"/>
      <c r="Q131" s="562"/>
      <c r="R131" s="562"/>
      <c r="S131" s="562"/>
      <c r="T131" s="562"/>
      <c r="U131" s="562"/>
      <c r="V131" s="562"/>
      <c r="W131" s="562"/>
      <c r="X131" s="562"/>
      <c r="Y131" s="562"/>
      <c r="Z131" s="562"/>
      <c r="AA131" s="545"/>
      <c r="AB131" s="545"/>
      <c r="AC131" s="545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64">
        <v>4680115883444</v>
      </c>
      <c r="E132" s="565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6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64">
        <v>4680115883444</v>
      </c>
      <c r="E133" s="565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2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4"/>
      <c r="R133" s="554"/>
      <c r="S133" s="554"/>
      <c r="T133" s="555"/>
      <c r="U133" s="34"/>
      <c r="V133" s="34"/>
      <c r="W133" s="35" t="s">
        <v>69</v>
      </c>
      <c r="X133" s="549">
        <v>0</v>
      </c>
      <c r="Y133" s="55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61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8" t="s">
        <v>75</v>
      </c>
      <c r="Q134" s="569"/>
      <c r="R134" s="569"/>
      <c r="S134" s="569"/>
      <c r="T134" s="569"/>
      <c r="U134" s="569"/>
      <c r="V134" s="570"/>
      <c r="W134" s="37" t="s">
        <v>76</v>
      </c>
      <c r="X134" s="551">
        <f>IFERROR(X132/H132,"0")+IFERROR(X133/H133,"0")</f>
        <v>0</v>
      </c>
      <c r="Y134" s="551">
        <f>IFERROR(Y132/H132,"0")+IFERROR(Y133/H133,"0")</f>
        <v>0</v>
      </c>
      <c r="Z134" s="551">
        <f>IFERROR(IF(Z132="",0,Z132),"0")+IFERROR(IF(Z133="",0,Z133),"0")</f>
        <v>0</v>
      </c>
      <c r="AA134" s="552"/>
      <c r="AB134" s="552"/>
      <c r="AC134" s="552"/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68" t="s">
        <v>75</v>
      </c>
      <c r="Q135" s="569"/>
      <c r="R135" s="569"/>
      <c r="S135" s="569"/>
      <c r="T135" s="569"/>
      <c r="U135" s="569"/>
      <c r="V135" s="570"/>
      <c r="W135" s="37" t="s">
        <v>69</v>
      </c>
      <c r="X135" s="551">
        <f>IFERROR(SUM(X132:X133),"0")</f>
        <v>0</v>
      </c>
      <c r="Y135" s="551">
        <f>IFERROR(SUM(Y132:Y133),"0")</f>
        <v>0</v>
      </c>
      <c r="Z135" s="37"/>
      <c r="AA135" s="552"/>
      <c r="AB135" s="552"/>
      <c r="AC135" s="552"/>
    </row>
    <row r="136" spans="1:68" ht="14.25" customHeight="1" x14ac:dyDescent="0.25">
      <c r="A136" s="567" t="s">
        <v>77</v>
      </c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2"/>
      <c r="P136" s="562"/>
      <c r="Q136" s="562"/>
      <c r="R136" s="562"/>
      <c r="S136" s="562"/>
      <c r="T136" s="562"/>
      <c r="U136" s="562"/>
      <c r="V136" s="562"/>
      <c r="W136" s="562"/>
      <c r="X136" s="562"/>
      <c r="Y136" s="562"/>
      <c r="Z136" s="562"/>
      <c r="AA136" s="545"/>
      <c r="AB136" s="545"/>
      <c r="AC136" s="545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64">
        <v>4680115882584</v>
      </c>
      <c r="E137" s="565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64">
        <v>4680115882584</v>
      </c>
      <c r="E138" s="565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4"/>
      <c r="R138" s="554"/>
      <c r="S138" s="554"/>
      <c r="T138" s="555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1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8" t="s">
        <v>75</v>
      </c>
      <c r="Q139" s="569"/>
      <c r="R139" s="569"/>
      <c r="S139" s="569"/>
      <c r="T139" s="569"/>
      <c r="U139" s="569"/>
      <c r="V139" s="570"/>
      <c r="W139" s="37" t="s">
        <v>76</v>
      </c>
      <c r="X139" s="551">
        <f>IFERROR(X137/H137,"0")+IFERROR(X138/H138,"0")</f>
        <v>0</v>
      </c>
      <c r="Y139" s="551">
        <f>IFERROR(Y137/H137,"0")+IFERROR(Y138/H138,"0")</f>
        <v>0</v>
      </c>
      <c r="Z139" s="551">
        <f>IFERROR(IF(Z137="",0,Z137),"0")+IFERROR(IF(Z138="",0,Z138),"0")</f>
        <v>0</v>
      </c>
      <c r="AA139" s="552"/>
      <c r="AB139" s="552"/>
      <c r="AC139" s="552"/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68" t="s">
        <v>75</v>
      </c>
      <c r="Q140" s="569"/>
      <c r="R140" s="569"/>
      <c r="S140" s="569"/>
      <c r="T140" s="569"/>
      <c r="U140" s="569"/>
      <c r="V140" s="570"/>
      <c r="W140" s="37" t="s">
        <v>69</v>
      </c>
      <c r="X140" s="551">
        <f>IFERROR(SUM(X137:X138),"0")</f>
        <v>0</v>
      </c>
      <c r="Y140" s="551">
        <f>IFERROR(SUM(Y137:Y138),"0")</f>
        <v>0</v>
      </c>
      <c r="Z140" s="37"/>
      <c r="AA140" s="552"/>
      <c r="AB140" s="552"/>
      <c r="AC140" s="552"/>
    </row>
    <row r="141" spans="1:68" ht="16.5" customHeight="1" x14ac:dyDescent="0.25">
      <c r="A141" s="566" t="s">
        <v>101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4"/>
      <c r="AB141" s="544"/>
      <c r="AC141" s="544"/>
    </row>
    <row r="142" spans="1:68" ht="14.25" customHeight="1" x14ac:dyDescent="0.25">
      <c r="A142" s="567" t="s">
        <v>103</v>
      </c>
      <c r="B142" s="562"/>
      <c r="C142" s="562"/>
      <c r="D142" s="562"/>
      <c r="E142" s="562"/>
      <c r="F142" s="562"/>
      <c r="G142" s="562"/>
      <c r="H142" s="562"/>
      <c r="I142" s="562"/>
      <c r="J142" s="562"/>
      <c r="K142" s="562"/>
      <c r="L142" s="562"/>
      <c r="M142" s="562"/>
      <c r="N142" s="562"/>
      <c r="O142" s="562"/>
      <c r="P142" s="562"/>
      <c r="Q142" s="562"/>
      <c r="R142" s="562"/>
      <c r="S142" s="562"/>
      <c r="T142" s="562"/>
      <c r="U142" s="562"/>
      <c r="V142" s="562"/>
      <c r="W142" s="562"/>
      <c r="X142" s="562"/>
      <c r="Y142" s="562"/>
      <c r="Z142" s="562"/>
      <c r="AA142" s="545"/>
      <c r="AB142" s="545"/>
      <c r="AC142" s="545"/>
    </row>
    <row r="143" spans="1:68" ht="27" customHeight="1" x14ac:dyDescent="0.25">
      <c r="A143" s="54" t="s">
        <v>242</v>
      </c>
      <c r="B143" s="54" t="s">
        <v>243</v>
      </c>
      <c r="C143" s="31">
        <v>4301012244</v>
      </c>
      <c r="D143" s="564">
        <v>4680115887374</v>
      </c>
      <c r="E143" s="565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4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245</v>
      </c>
      <c r="B144" s="54" t="s">
        <v>246</v>
      </c>
      <c r="C144" s="31">
        <v>4301011705</v>
      </c>
      <c r="D144" s="564">
        <v>4607091384604</v>
      </c>
      <c r="E144" s="565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4"/>
      <c r="R144" s="554"/>
      <c r="S144" s="554"/>
      <c r="T144" s="555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1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8" t="s">
        <v>75</v>
      </c>
      <c r="Q145" s="569"/>
      <c r="R145" s="569"/>
      <c r="S145" s="569"/>
      <c r="T145" s="569"/>
      <c r="U145" s="569"/>
      <c r="V145" s="570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68" t="s">
        <v>75</v>
      </c>
      <c r="Q146" s="569"/>
      <c r="R146" s="569"/>
      <c r="S146" s="569"/>
      <c r="T146" s="569"/>
      <c r="U146" s="569"/>
      <c r="V146" s="570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customHeight="1" x14ac:dyDescent="0.25">
      <c r="A147" s="567" t="s">
        <v>64</v>
      </c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2"/>
      <c r="P147" s="562"/>
      <c r="Q147" s="562"/>
      <c r="R147" s="562"/>
      <c r="S147" s="562"/>
      <c r="T147" s="562"/>
      <c r="U147" s="562"/>
      <c r="V147" s="562"/>
      <c r="W147" s="562"/>
      <c r="X147" s="562"/>
      <c r="Y147" s="562"/>
      <c r="Z147" s="562"/>
      <c r="AA147" s="545"/>
      <c r="AB147" s="545"/>
      <c r="AC147" s="545"/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64">
        <v>4680115887428</v>
      </c>
      <c r="E148" s="565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112</v>
      </c>
      <c r="L148" s="32"/>
      <c r="M148" s="33" t="s">
        <v>68</v>
      </c>
      <c r="N148" s="33"/>
      <c r="O148" s="32">
        <v>40</v>
      </c>
      <c r="P148" s="641" t="s">
        <v>250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4301031453</v>
      </c>
      <c r="D149" s="564">
        <v>4680115887336</v>
      </c>
      <c r="E149" s="565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68" t="s">
        <v>255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257</v>
      </c>
      <c r="B150" s="54" t="s">
        <v>258</v>
      </c>
      <c r="C150" s="31">
        <v>4301031456</v>
      </c>
      <c r="D150" s="564">
        <v>4680115887398</v>
      </c>
      <c r="E150" s="565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112</v>
      </c>
      <c r="L150" s="32"/>
      <c r="M150" s="33" t="s">
        <v>68</v>
      </c>
      <c r="N150" s="33"/>
      <c r="O150" s="32">
        <v>40</v>
      </c>
      <c r="P150" s="580" t="s">
        <v>259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64">
        <v>4607091387667</v>
      </c>
      <c r="E151" s="565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106</v>
      </c>
      <c r="L151" s="32" t="s">
        <v>107</v>
      </c>
      <c r="M151" s="33" t="s">
        <v>108</v>
      </c>
      <c r="N151" s="33"/>
      <c r="O151" s="32">
        <v>40</v>
      </c>
      <c r="P151" s="87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64">
        <v>4607091387636</v>
      </c>
      <c r="E152" s="565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64">
        <v>4607091382426</v>
      </c>
      <c r="E153" s="565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106</v>
      </c>
      <c r="L153" s="32" t="s">
        <v>107</v>
      </c>
      <c r="M153" s="33" t="s">
        <v>68</v>
      </c>
      <c r="N153" s="33"/>
      <c r="O153" s="32">
        <v>40</v>
      </c>
      <c r="P153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4"/>
      <c r="R153" s="554"/>
      <c r="S153" s="554"/>
      <c r="T153" s="555"/>
      <c r="U153" s="34"/>
      <c r="V153" s="34"/>
      <c r="W153" s="35" t="s">
        <v>69</v>
      </c>
      <c r="X153" s="549">
        <v>50</v>
      </c>
      <c r="Y153" s="550">
        <f t="shared" si="5"/>
        <v>54</v>
      </c>
      <c r="Z153" s="36">
        <f>IFERROR(IF(Y153=0,"",ROUNDUP(Y153/H153,0)*0.01898),"")</f>
        <v>0.11388000000000001</v>
      </c>
      <c r="AA153" s="56"/>
      <c r="AB153" s="57"/>
      <c r="AC153" s="197" t="s">
        <v>269</v>
      </c>
      <c r="AG153" s="64"/>
      <c r="AJ153" s="68" t="s">
        <v>92</v>
      </c>
      <c r="AK153" s="68">
        <v>72</v>
      </c>
      <c r="BB153" s="198" t="s">
        <v>1</v>
      </c>
      <c r="BM153" s="64">
        <f t="shared" si="6"/>
        <v>53.111111111111114</v>
      </c>
      <c r="BN153" s="64">
        <f t="shared" si="7"/>
        <v>57.36</v>
      </c>
      <c r="BO153" s="64">
        <f t="shared" si="8"/>
        <v>8.6805555555555552E-2</v>
      </c>
      <c r="BP153" s="64">
        <f t="shared" si="9"/>
        <v>9.375E-2</v>
      </c>
    </row>
    <row r="154" spans="1:68" x14ac:dyDescent="0.2">
      <c r="A154" s="561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8" t="s">
        <v>75</v>
      </c>
      <c r="Q154" s="569"/>
      <c r="R154" s="569"/>
      <c r="S154" s="569"/>
      <c r="T154" s="569"/>
      <c r="U154" s="569"/>
      <c r="V154" s="570"/>
      <c r="W154" s="37" t="s">
        <v>76</v>
      </c>
      <c r="X154" s="551">
        <f>IFERROR(X148/H148,"0")+IFERROR(X149/H149,"0")+IFERROR(X150/H150,"0")+IFERROR(X151/H151,"0")+IFERROR(X152/H152,"0")+IFERROR(X153/H153,"0")</f>
        <v>5.5555555555555554</v>
      </c>
      <c r="Y154" s="551">
        <f>IFERROR(Y148/H148,"0")+IFERROR(Y149/H149,"0")+IFERROR(Y150/H150,"0")+IFERROR(Y151/H151,"0")+IFERROR(Y152/H152,"0")+IFERROR(Y153/H153,"0")</f>
        <v>6</v>
      </c>
      <c r="Z154" s="551">
        <f>IFERROR(IF(Z148="",0,Z148),"0")+IFERROR(IF(Z149="",0,Z149),"0")+IFERROR(IF(Z150="",0,Z150),"0")+IFERROR(IF(Z151="",0,Z151),"0")+IFERROR(IF(Z152="",0,Z152),"0")+IFERROR(IF(Z153="",0,Z153),"0")</f>
        <v>0.11388000000000001</v>
      </c>
      <c r="AA154" s="552"/>
      <c r="AB154" s="552"/>
      <c r="AC154" s="552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68" t="s">
        <v>75</v>
      </c>
      <c r="Q155" s="569"/>
      <c r="R155" s="569"/>
      <c r="S155" s="569"/>
      <c r="T155" s="569"/>
      <c r="U155" s="569"/>
      <c r="V155" s="570"/>
      <c r="W155" s="37" t="s">
        <v>69</v>
      </c>
      <c r="X155" s="551">
        <f>IFERROR(SUM(X148:X153),"0")</f>
        <v>50</v>
      </c>
      <c r="Y155" s="551">
        <f>IFERROR(SUM(Y148:Y153),"0")</f>
        <v>54</v>
      </c>
      <c r="Z155" s="37"/>
      <c r="AA155" s="552"/>
      <c r="AB155" s="552"/>
      <c r="AC155" s="552"/>
    </row>
    <row r="156" spans="1:68" ht="14.25" customHeight="1" x14ac:dyDescent="0.25">
      <c r="A156" s="567" t="s">
        <v>77</v>
      </c>
      <c r="B156" s="562"/>
      <c r="C156" s="562"/>
      <c r="D156" s="562"/>
      <c r="E156" s="562"/>
      <c r="F156" s="562"/>
      <c r="G156" s="562"/>
      <c r="H156" s="562"/>
      <c r="I156" s="562"/>
      <c r="J156" s="562"/>
      <c r="K156" s="562"/>
      <c r="L156" s="562"/>
      <c r="M156" s="562"/>
      <c r="N156" s="562"/>
      <c r="O156" s="562"/>
      <c r="P156" s="562"/>
      <c r="Q156" s="562"/>
      <c r="R156" s="562"/>
      <c r="S156" s="562"/>
      <c r="T156" s="562"/>
      <c r="U156" s="562"/>
      <c r="V156" s="562"/>
      <c r="W156" s="562"/>
      <c r="X156" s="562"/>
      <c r="Y156" s="562"/>
      <c r="Z156" s="562"/>
      <c r="AA156" s="545"/>
      <c r="AB156" s="545"/>
      <c r="AC156" s="545"/>
    </row>
    <row r="157" spans="1:68" ht="27" customHeight="1" x14ac:dyDescent="0.25">
      <c r="A157" s="54" t="s">
        <v>270</v>
      </c>
      <c r="B157" s="54" t="s">
        <v>271</v>
      </c>
      <c r="C157" s="31">
        <v>4301052064</v>
      </c>
      <c r="D157" s="564">
        <v>4680115887459</v>
      </c>
      <c r="E157" s="565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4"/>
      <c r="R157" s="554"/>
      <c r="S157" s="554"/>
      <c r="T157" s="555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1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8" t="s">
        <v>75</v>
      </c>
      <c r="Q158" s="569"/>
      <c r="R158" s="569"/>
      <c r="S158" s="569"/>
      <c r="T158" s="569"/>
      <c r="U158" s="569"/>
      <c r="V158" s="570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68" t="s">
        <v>75</v>
      </c>
      <c r="Q159" s="569"/>
      <c r="R159" s="569"/>
      <c r="S159" s="569"/>
      <c r="T159" s="569"/>
      <c r="U159" s="569"/>
      <c r="V159" s="570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customHeight="1" x14ac:dyDescent="0.2">
      <c r="A160" s="716" t="s">
        <v>273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48"/>
      <c r="AB160" s="48"/>
      <c r="AC160" s="48"/>
    </row>
    <row r="161" spans="1:68" ht="16.5" customHeight="1" x14ac:dyDescent="0.25">
      <c r="A161" s="566" t="s">
        <v>274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4"/>
      <c r="AB161" s="544"/>
      <c r="AC161" s="544"/>
    </row>
    <row r="162" spans="1:68" ht="14.25" customHeight="1" x14ac:dyDescent="0.25">
      <c r="A162" s="567" t="s">
        <v>138</v>
      </c>
      <c r="B162" s="562"/>
      <c r="C162" s="562"/>
      <c r="D162" s="562"/>
      <c r="E162" s="562"/>
      <c r="F162" s="562"/>
      <c r="G162" s="562"/>
      <c r="H162" s="562"/>
      <c r="I162" s="562"/>
      <c r="J162" s="562"/>
      <c r="K162" s="562"/>
      <c r="L162" s="562"/>
      <c r="M162" s="562"/>
      <c r="N162" s="562"/>
      <c r="O162" s="562"/>
      <c r="P162" s="562"/>
      <c r="Q162" s="562"/>
      <c r="R162" s="562"/>
      <c r="S162" s="562"/>
      <c r="T162" s="562"/>
      <c r="U162" s="562"/>
      <c r="V162" s="562"/>
      <c r="W162" s="562"/>
      <c r="X162" s="562"/>
      <c r="Y162" s="562"/>
      <c r="Z162" s="562"/>
      <c r="AA162" s="545"/>
      <c r="AB162" s="545"/>
      <c r="AC162" s="545"/>
    </row>
    <row r="163" spans="1:68" ht="27" customHeight="1" x14ac:dyDescent="0.25">
      <c r="A163" s="54" t="s">
        <v>275</v>
      </c>
      <c r="B163" s="54" t="s">
        <v>276</v>
      </c>
      <c r="C163" s="31">
        <v>4301020323</v>
      </c>
      <c r="D163" s="564">
        <v>4680115886223</v>
      </c>
      <c r="E163" s="565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4"/>
      <c r="R163" s="554"/>
      <c r="S163" s="554"/>
      <c r="T163" s="555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1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8" t="s">
        <v>75</v>
      </c>
      <c r="Q164" s="569"/>
      <c r="R164" s="569"/>
      <c r="S164" s="569"/>
      <c r="T164" s="569"/>
      <c r="U164" s="569"/>
      <c r="V164" s="570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68" t="s">
        <v>75</v>
      </c>
      <c r="Q165" s="569"/>
      <c r="R165" s="569"/>
      <c r="S165" s="569"/>
      <c r="T165" s="569"/>
      <c r="U165" s="569"/>
      <c r="V165" s="570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customHeight="1" x14ac:dyDescent="0.25">
      <c r="A166" s="567" t="s">
        <v>64</v>
      </c>
      <c r="B166" s="562"/>
      <c r="C166" s="562"/>
      <c r="D166" s="562"/>
      <c r="E166" s="562"/>
      <c r="F166" s="562"/>
      <c r="G166" s="562"/>
      <c r="H166" s="562"/>
      <c r="I166" s="562"/>
      <c r="J166" s="562"/>
      <c r="K166" s="562"/>
      <c r="L166" s="562"/>
      <c r="M166" s="562"/>
      <c r="N166" s="562"/>
      <c r="O166" s="562"/>
      <c r="P166" s="562"/>
      <c r="Q166" s="562"/>
      <c r="R166" s="562"/>
      <c r="S166" s="562"/>
      <c r="T166" s="562"/>
      <c r="U166" s="562"/>
      <c r="V166" s="562"/>
      <c r="W166" s="562"/>
      <c r="X166" s="562"/>
      <c r="Y166" s="562"/>
      <c r="Z166" s="562"/>
      <c r="AA166" s="545"/>
      <c r="AB166" s="545"/>
      <c r="AC166" s="545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64">
        <v>4680115880993</v>
      </c>
      <c r="E167" s="565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112</v>
      </c>
      <c r="L167" s="32" t="s">
        <v>115</v>
      </c>
      <c r="M167" s="33" t="s">
        <v>68</v>
      </c>
      <c r="N167" s="33"/>
      <c r="O167" s="32">
        <v>40</v>
      </c>
      <c r="P167" s="67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160</v>
      </c>
      <c r="Y167" s="550">
        <f t="shared" ref="Y167:Y178" si="10">IFERROR(IF(X167="",0,CEILING((X167/$H167),1)*$H167),"")</f>
        <v>163.80000000000001</v>
      </c>
      <c r="Z167" s="36">
        <f>IFERROR(IF(Y167=0,"",ROUNDUP(Y167/H167,0)*0.00902),"")</f>
        <v>0.35177999999999998</v>
      </c>
      <c r="AA167" s="56"/>
      <c r="AB167" s="57"/>
      <c r="AC167" s="203" t="s">
        <v>280</v>
      </c>
      <c r="AG167" s="64"/>
      <c r="AJ167" s="68" t="s">
        <v>92</v>
      </c>
      <c r="AK167" s="68">
        <v>50.4</v>
      </c>
      <c r="BB167" s="204" t="s">
        <v>1</v>
      </c>
      <c r="BM167" s="64">
        <f t="shared" ref="BM167:BM178" si="11">IFERROR(X167*I167/H167,"0")</f>
        <v>169.52380952380952</v>
      </c>
      <c r="BN167" s="64">
        <f t="shared" ref="BN167:BN178" si="12">IFERROR(Y167*I167/H167,"0")</f>
        <v>173.55</v>
      </c>
      <c r="BO167" s="64">
        <f t="shared" ref="BO167:BO178" si="13">IFERROR(1/J167*(X167/H167),"0")</f>
        <v>0.28860028860028858</v>
      </c>
      <c r="BP167" s="64">
        <f t="shared" ref="BP167:BP178" si="14">IFERROR(1/J167*(Y167/H167),"0")</f>
        <v>0.29545454545454547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64">
        <v>4680115881761</v>
      </c>
      <c r="E168" s="565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112</v>
      </c>
      <c r="L168" s="32"/>
      <c r="M168" s="33" t="s">
        <v>68</v>
      </c>
      <c r="N168" s="33"/>
      <c r="O168" s="32">
        <v>40</v>
      </c>
      <c r="P168" s="6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64">
        <v>4680115881563</v>
      </c>
      <c r="E169" s="565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64">
        <v>4680115887565</v>
      </c>
      <c r="E170" s="565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64">
        <v>4680115880986</v>
      </c>
      <c r="E171" s="565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4301031443</v>
      </c>
      <c r="D172" s="564">
        <v>4680115887213</v>
      </c>
      <c r="E172" s="565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64">
        <v>4680115881785</v>
      </c>
      <c r="E173" s="565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64">
        <v>4680115886537</v>
      </c>
      <c r="E174" s="565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64">
        <v>4680115887596</v>
      </c>
      <c r="E175" s="565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176</v>
      </c>
      <c r="L175" s="32"/>
      <c r="M175" s="33" t="s">
        <v>68</v>
      </c>
      <c r="N175" s="33"/>
      <c r="O175" s="32">
        <v>45</v>
      </c>
      <c r="P175" s="78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64">
        <v>4680115881679</v>
      </c>
      <c r="E176" s="565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306</v>
      </c>
      <c r="B177" s="54" t="s">
        <v>307</v>
      </c>
      <c r="C177" s="31">
        <v>4301031158</v>
      </c>
      <c r="D177" s="564">
        <v>4680115880191</v>
      </c>
      <c r="E177" s="565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4301031245</v>
      </c>
      <c r="D178" s="564">
        <v>4680115883963</v>
      </c>
      <c r="E178" s="565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1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1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63"/>
      <c r="P179" s="568" t="s">
        <v>75</v>
      </c>
      <c r="Q179" s="569"/>
      <c r="R179" s="569"/>
      <c r="S179" s="569"/>
      <c r="T179" s="569"/>
      <c r="U179" s="569"/>
      <c r="V179" s="570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38.095238095238095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39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0.35177999999999998</v>
      </c>
      <c r="AA179" s="552"/>
      <c r="AB179" s="552"/>
      <c r="AC179" s="552"/>
    </row>
    <row r="180" spans="1:68" x14ac:dyDescent="0.2">
      <c r="A180" s="562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8" t="s">
        <v>75</v>
      </c>
      <c r="Q180" s="569"/>
      <c r="R180" s="569"/>
      <c r="S180" s="569"/>
      <c r="T180" s="569"/>
      <c r="U180" s="569"/>
      <c r="V180" s="570"/>
      <c r="W180" s="37" t="s">
        <v>69</v>
      </c>
      <c r="X180" s="551">
        <f>IFERROR(SUM(X167:X178),"0")</f>
        <v>160</v>
      </c>
      <c r="Y180" s="551">
        <f>IFERROR(SUM(Y167:Y178),"0")</f>
        <v>163.80000000000001</v>
      </c>
      <c r="Z180" s="37"/>
      <c r="AA180" s="552"/>
      <c r="AB180" s="552"/>
      <c r="AC180" s="552"/>
    </row>
    <row r="181" spans="1:68" ht="14.25" customHeight="1" x14ac:dyDescent="0.25">
      <c r="A181" s="567" t="s">
        <v>95</v>
      </c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2"/>
      <c r="P181" s="562"/>
      <c r="Q181" s="562"/>
      <c r="R181" s="562"/>
      <c r="S181" s="562"/>
      <c r="T181" s="562"/>
      <c r="U181" s="562"/>
      <c r="V181" s="562"/>
      <c r="W181" s="562"/>
      <c r="X181" s="562"/>
      <c r="Y181" s="562"/>
      <c r="Z181" s="562"/>
      <c r="AA181" s="545"/>
      <c r="AB181" s="545"/>
      <c r="AC181" s="545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64">
        <v>4680115886780</v>
      </c>
      <c r="E182" s="565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4"/>
      <c r="R182" s="554"/>
      <c r="S182" s="554"/>
      <c r="T182" s="555"/>
      <c r="U182" s="34"/>
      <c r="V182" s="34"/>
      <c r="W182" s="35" t="s">
        <v>69</v>
      </c>
      <c r="X182" s="549">
        <v>0</v>
      </c>
      <c r="Y182" s="550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64">
        <v>4680115886742</v>
      </c>
      <c r="E183" s="565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64">
        <v>4680115886766</v>
      </c>
      <c r="E184" s="565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1"/>
      <c r="B185" s="562"/>
      <c r="C185" s="562"/>
      <c r="D185" s="562"/>
      <c r="E185" s="562"/>
      <c r="F185" s="562"/>
      <c r="G185" s="562"/>
      <c r="H185" s="562"/>
      <c r="I185" s="562"/>
      <c r="J185" s="562"/>
      <c r="K185" s="562"/>
      <c r="L185" s="562"/>
      <c r="M185" s="562"/>
      <c r="N185" s="562"/>
      <c r="O185" s="563"/>
      <c r="P185" s="568" t="s">
        <v>75</v>
      </c>
      <c r="Q185" s="569"/>
      <c r="R185" s="569"/>
      <c r="S185" s="569"/>
      <c r="T185" s="569"/>
      <c r="U185" s="569"/>
      <c r="V185" s="570"/>
      <c r="W185" s="37" t="s">
        <v>76</v>
      </c>
      <c r="X185" s="551">
        <f>IFERROR(X182/H182,"0")+IFERROR(X183/H183,"0")+IFERROR(X184/H184,"0")</f>
        <v>0</v>
      </c>
      <c r="Y185" s="551">
        <f>IFERROR(Y182/H182,"0")+IFERROR(Y183/H183,"0")+IFERROR(Y184/H184,"0")</f>
        <v>0</v>
      </c>
      <c r="Z185" s="551">
        <f>IFERROR(IF(Z182="",0,Z182),"0")+IFERROR(IF(Z183="",0,Z183),"0")+IFERROR(IF(Z184="",0,Z184),"0")</f>
        <v>0</v>
      </c>
      <c r="AA185" s="552"/>
      <c r="AB185" s="552"/>
      <c r="AC185" s="552"/>
    </row>
    <row r="186" spans="1:68" x14ac:dyDescent="0.2">
      <c r="A186" s="562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8" t="s">
        <v>75</v>
      </c>
      <c r="Q186" s="569"/>
      <c r="R186" s="569"/>
      <c r="S186" s="569"/>
      <c r="T186" s="569"/>
      <c r="U186" s="569"/>
      <c r="V186" s="570"/>
      <c r="W186" s="37" t="s">
        <v>69</v>
      </c>
      <c r="X186" s="551">
        <f>IFERROR(SUM(X182:X184),"0")</f>
        <v>0</v>
      </c>
      <c r="Y186" s="551">
        <f>IFERROR(SUM(Y182:Y184),"0")</f>
        <v>0</v>
      </c>
      <c r="Z186" s="37"/>
      <c r="AA186" s="552"/>
      <c r="AB186" s="552"/>
      <c r="AC186" s="552"/>
    </row>
    <row r="187" spans="1:68" ht="14.25" customHeight="1" x14ac:dyDescent="0.25">
      <c r="A187" s="567" t="s">
        <v>321</v>
      </c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2"/>
      <c r="P187" s="562"/>
      <c r="Q187" s="562"/>
      <c r="R187" s="562"/>
      <c r="S187" s="562"/>
      <c r="T187" s="562"/>
      <c r="U187" s="562"/>
      <c r="V187" s="562"/>
      <c r="W187" s="562"/>
      <c r="X187" s="562"/>
      <c r="Y187" s="562"/>
      <c r="Z187" s="562"/>
      <c r="AA187" s="545"/>
      <c r="AB187" s="545"/>
      <c r="AC187" s="545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64">
        <v>4680115886797</v>
      </c>
      <c r="E188" s="565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4"/>
      <c r="R188" s="554"/>
      <c r="S188" s="554"/>
      <c r="T188" s="555"/>
      <c r="U188" s="34"/>
      <c r="V188" s="34"/>
      <c r="W188" s="35" t="s">
        <v>69</v>
      </c>
      <c r="X188" s="549">
        <v>0</v>
      </c>
      <c r="Y188" s="55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1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68" t="s">
        <v>75</v>
      </c>
      <c r="Q189" s="569"/>
      <c r="R189" s="569"/>
      <c r="S189" s="569"/>
      <c r="T189" s="569"/>
      <c r="U189" s="569"/>
      <c r="V189" s="570"/>
      <c r="W189" s="37" t="s">
        <v>76</v>
      </c>
      <c r="X189" s="551">
        <f>IFERROR(X188/H188,"0")</f>
        <v>0</v>
      </c>
      <c r="Y189" s="551">
        <f>IFERROR(Y188/H188,"0")</f>
        <v>0</v>
      </c>
      <c r="Z189" s="551">
        <f>IFERROR(IF(Z188="",0,Z188),"0")</f>
        <v>0</v>
      </c>
      <c r="AA189" s="552"/>
      <c r="AB189" s="552"/>
      <c r="AC189" s="552"/>
    </row>
    <row r="190" spans="1:68" x14ac:dyDescent="0.2">
      <c r="A190" s="562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8" t="s">
        <v>75</v>
      </c>
      <c r="Q190" s="569"/>
      <c r="R190" s="569"/>
      <c r="S190" s="569"/>
      <c r="T190" s="569"/>
      <c r="U190" s="569"/>
      <c r="V190" s="570"/>
      <c r="W190" s="37" t="s">
        <v>69</v>
      </c>
      <c r="X190" s="551">
        <f>IFERROR(SUM(X188:X188),"0")</f>
        <v>0</v>
      </c>
      <c r="Y190" s="551">
        <f>IFERROR(SUM(Y188:Y188),"0")</f>
        <v>0</v>
      </c>
      <c r="Z190" s="37"/>
      <c r="AA190" s="552"/>
      <c r="AB190" s="552"/>
      <c r="AC190" s="552"/>
    </row>
    <row r="191" spans="1:68" ht="16.5" customHeight="1" x14ac:dyDescent="0.25">
      <c r="A191" s="566" t="s">
        <v>324</v>
      </c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2"/>
      <c r="P191" s="562"/>
      <c r="Q191" s="562"/>
      <c r="R191" s="562"/>
      <c r="S191" s="562"/>
      <c r="T191" s="562"/>
      <c r="U191" s="562"/>
      <c r="V191" s="562"/>
      <c r="W191" s="562"/>
      <c r="X191" s="562"/>
      <c r="Y191" s="562"/>
      <c r="Z191" s="562"/>
      <c r="AA191" s="544"/>
      <c r="AB191" s="544"/>
      <c r="AC191" s="544"/>
    </row>
    <row r="192" spans="1:68" ht="14.25" customHeight="1" x14ac:dyDescent="0.25">
      <c r="A192" s="567" t="s">
        <v>103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5"/>
      <c r="AB192" s="545"/>
      <c r="AC192" s="545"/>
    </row>
    <row r="193" spans="1:68" ht="27" customHeight="1" x14ac:dyDescent="0.25">
      <c r="A193" s="54" t="s">
        <v>325</v>
      </c>
      <c r="B193" s="54" t="s">
        <v>326</v>
      </c>
      <c r="C193" s="31">
        <v>4301011450</v>
      </c>
      <c r="D193" s="564">
        <v>4680115881402</v>
      </c>
      <c r="E193" s="565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106</v>
      </c>
      <c r="L193" s="32"/>
      <c r="M193" s="33" t="s">
        <v>108</v>
      </c>
      <c r="N193" s="33"/>
      <c r="O193" s="32">
        <v>55</v>
      </c>
      <c r="P193" s="7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4"/>
      <c r="R193" s="554"/>
      <c r="S193" s="554"/>
      <c r="T193" s="555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328</v>
      </c>
      <c r="B194" s="54" t="s">
        <v>329</v>
      </c>
      <c r="C194" s="31">
        <v>4301011768</v>
      </c>
      <c r="D194" s="564">
        <v>4680115881396</v>
      </c>
      <c r="E194" s="565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 t="s">
        <v>90</v>
      </c>
      <c r="M194" s="33" t="s">
        <v>108</v>
      </c>
      <c r="N194" s="33"/>
      <c r="O194" s="32">
        <v>55</v>
      </c>
      <c r="P194" s="65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1"/>
      <c r="B195" s="562"/>
      <c r="C195" s="562"/>
      <c r="D195" s="562"/>
      <c r="E195" s="562"/>
      <c r="F195" s="562"/>
      <c r="G195" s="562"/>
      <c r="H195" s="562"/>
      <c r="I195" s="562"/>
      <c r="J195" s="562"/>
      <c r="K195" s="562"/>
      <c r="L195" s="562"/>
      <c r="M195" s="562"/>
      <c r="N195" s="562"/>
      <c r="O195" s="563"/>
      <c r="P195" s="568" t="s">
        <v>75</v>
      </c>
      <c r="Q195" s="569"/>
      <c r="R195" s="569"/>
      <c r="S195" s="569"/>
      <c r="T195" s="569"/>
      <c r="U195" s="569"/>
      <c r="V195" s="570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x14ac:dyDescent="0.2">
      <c r="A196" s="562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8" t="s">
        <v>75</v>
      </c>
      <c r="Q196" s="569"/>
      <c r="R196" s="569"/>
      <c r="S196" s="569"/>
      <c r="T196" s="569"/>
      <c r="U196" s="569"/>
      <c r="V196" s="570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customHeight="1" x14ac:dyDescent="0.25">
      <c r="A197" s="567" t="s">
        <v>138</v>
      </c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2"/>
      <c r="P197" s="562"/>
      <c r="Q197" s="562"/>
      <c r="R197" s="562"/>
      <c r="S197" s="562"/>
      <c r="T197" s="562"/>
      <c r="U197" s="562"/>
      <c r="V197" s="562"/>
      <c r="W197" s="562"/>
      <c r="X197" s="562"/>
      <c r="Y197" s="562"/>
      <c r="Z197" s="562"/>
      <c r="AA197" s="545"/>
      <c r="AB197" s="545"/>
      <c r="AC197" s="545"/>
    </row>
    <row r="198" spans="1:68" ht="16.5" customHeight="1" x14ac:dyDescent="0.25">
      <c r="A198" s="54" t="s">
        <v>330</v>
      </c>
      <c r="B198" s="54" t="s">
        <v>331</v>
      </c>
      <c r="C198" s="31">
        <v>4301020261</v>
      </c>
      <c r="D198" s="564">
        <v>4680115882935</v>
      </c>
      <c r="E198" s="565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106</v>
      </c>
      <c r="L198" s="32"/>
      <c r="M198" s="33" t="s">
        <v>108</v>
      </c>
      <c r="N198" s="33"/>
      <c r="O198" s="32">
        <v>50</v>
      </c>
      <c r="P198" s="83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4"/>
      <c r="R198" s="554"/>
      <c r="S198" s="554"/>
      <c r="T198" s="555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333</v>
      </c>
      <c r="B199" s="54" t="s">
        <v>334</v>
      </c>
      <c r="C199" s="31">
        <v>4301020220</v>
      </c>
      <c r="D199" s="564">
        <v>4680115880764</v>
      </c>
      <c r="E199" s="565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108</v>
      </c>
      <c r="N199" s="33"/>
      <c r="O199" s="32">
        <v>50</v>
      </c>
      <c r="P199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1"/>
      <c r="B200" s="562"/>
      <c r="C200" s="562"/>
      <c r="D200" s="562"/>
      <c r="E200" s="562"/>
      <c r="F200" s="562"/>
      <c r="G200" s="562"/>
      <c r="H200" s="562"/>
      <c r="I200" s="562"/>
      <c r="J200" s="562"/>
      <c r="K200" s="562"/>
      <c r="L200" s="562"/>
      <c r="M200" s="562"/>
      <c r="N200" s="562"/>
      <c r="O200" s="563"/>
      <c r="P200" s="568" t="s">
        <v>75</v>
      </c>
      <c r="Q200" s="569"/>
      <c r="R200" s="569"/>
      <c r="S200" s="569"/>
      <c r="T200" s="569"/>
      <c r="U200" s="569"/>
      <c r="V200" s="570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x14ac:dyDescent="0.2">
      <c r="A201" s="562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8" t="s">
        <v>75</v>
      </c>
      <c r="Q201" s="569"/>
      <c r="R201" s="569"/>
      <c r="S201" s="569"/>
      <c r="T201" s="569"/>
      <c r="U201" s="569"/>
      <c r="V201" s="570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customHeight="1" x14ac:dyDescent="0.25">
      <c r="A202" s="567" t="s">
        <v>64</v>
      </c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2"/>
      <c r="P202" s="562"/>
      <c r="Q202" s="562"/>
      <c r="R202" s="562"/>
      <c r="S202" s="562"/>
      <c r="T202" s="562"/>
      <c r="U202" s="562"/>
      <c r="V202" s="562"/>
      <c r="W202" s="562"/>
      <c r="X202" s="562"/>
      <c r="Y202" s="562"/>
      <c r="Z202" s="562"/>
      <c r="AA202" s="545"/>
      <c r="AB202" s="545"/>
      <c r="AC202" s="545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64">
        <v>4680115882683</v>
      </c>
      <c r="E203" s="565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2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4"/>
      <c r="R203" s="554"/>
      <c r="S203" s="554"/>
      <c r="T203" s="555"/>
      <c r="U203" s="34"/>
      <c r="V203" s="34"/>
      <c r="W203" s="35" t="s">
        <v>69</v>
      </c>
      <c r="X203" s="549">
        <v>200</v>
      </c>
      <c r="Y203" s="550">
        <f t="shared" ref="Y203:Y210" si="15">IFERROR(IF(X203="",0,CEILING((X203/$H203),1)*$H203),"")</f>
        <v>205.20000000000002</v>
      </c>
      <c r="Z203" s="36">
        <f>IFERROR(IF(Y203=0,"",ROUNDUP(Y203/H203,0)*0.00902),"")</f>
        <v>0.34276000000000001</v>
      </c>
      <c r="AA203" s="56"/>
      <c r="AB203" s="57"/>
      <c r="AC203" s="243" t="s">
        <v>337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6">IFERROR(X203*I203/H203,"0")</f>
        <v>207.03703703703701</v>
      </c>
      <c r="BN203" s="64">
        <f t="shared" ref="BN203:BN210" si="17">IFERROR(Y203*I203/H203,"0")</f>
        <v>212.42</v>
      </c>
      <c r="BO203" s="64">
        <f t="shared" ref="BO203:BO210" si="18">IFERROR(1/J203*(X203/H203),"0")</f>
        <v>0.28058361391694725</v>
      </c>
      <c r="BP203" s="64">
        <f t="shared" ref="BP203:BP210" si="19">IFERROR(1/J203*(Y203/H203),"0")</f>
        <v>0.2878787878787879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64">
        <v>4680115882690</v>
      </c>
      <c r="E204" s="565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200</v>
      </c>
      <c r="Y204" s="550">
        <f t="shared" si="15"/>
        <v>205.20000000000002</v>
      </c>
      <c r="Z204" s="36">
        <f>IFERROR(IF(Y204=0,"",ROUNDUP(Y204/H204,0)*0.00902),"")</f>
        <v>0.34276000000000001</v>
      </c>
      <c r="AA204" s="56"/>
      <c r="AB204" s="57"/>
      <c r="AC204" s="245" t="s">
        <v>340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6"/>
        <v>207.03703703703701</v>
      </c>
      <c r="BN204" s="64">
        <f t="shared" si="17"/>
        <v>212.42</v>
      </c>
      <c r="BO204" s="64">
        <f t="shared" si="18"/>
        <v>0.28058361391694725</v>
      </c>
      <c r="BP204" s="64">
        <f t="shared" si="19"/>
        <v>0.2878787878787879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64">
        <v>4680115882669</v>
      </c>
      <c r="E205" s="565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150</v>
      </c>
      <c r="Y205" s="550">
        <f t="shared" si="15"/>
        <v>151.20000000000002</v>
      </c>
      <c r="Z205" s="36">
        <f>IFERROR(IF(Y205=0,"",ROUNDUP(Y205/H205,0)*0.00902),"")</f>
        <v>0.25256000000000001</v>
      </c>
      <c r="AA205" s="56"/>
      <c r="AB205" s="57"/>
      <c r="AC205" s="247" t="s">
        <v>343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155.27777777777777</v>
      </c>
      <c r="BN205" s="64">
        <f t="shared" si="17"/>
        <v>156.52000000000001</v>
      </c>
      <c r="BO205" s="64">
        <f t="shared" si="18"/>
        <v>0.21043771043771042</v>
      </c>
      <c r="BP205" s="64">
        <f t="shared" si="19"/>
        <v>0.21212121212121213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64">
        <v>4680115882676</v>
      </c>
      <c r="E206" s="565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200</v>
      </c>
      <c r="Y206" s="550">
        <f t="shared" si="15"/>
        <v>205.20000000000002</v>
      </c>
      <c r="Z206" s="36">
        <f>IFERROR(IF(Y206=0,"",ROUNDUP(Y206/H206,0)*0.00902),"")</f>
        <v>0.34276000000000001</v>
      </c>
      <c r="AA206" s="56"/>
      <c r="AB206" s="57"/>
      <c r="AC206" s="249" t="s">
        <v>346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207.03703703703701</v>
      </c>
      <c r="BN206" s="64">
        <f t="shared" si="17"/>
        <v>212.42</v>
      </c>
      <c r="BO206" s="64">
        <f t="shared" si="18"/>
        <v>0.28058361391694725</v>
      </c>
      <c r="BP206" s="64">
        <f t="shared" si="19"/>
        <v>0.2878787878787879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64">
        <v>4680115884014</v>
      </c>
      <c r="E207" s="565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64">
        <v>4680115884007</v>
      </c>
      <c r="E208" s="565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64">
        <v>4680115884038</v>
      </c>
      <c r="E209" s="565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64">
        <v>4680115884021</v>
      </c>
      <c r="E210" s="565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61"/>
      <c r="B211" s="562"/>
      <c r="C211" s="562"/>
      <c r="D211" s="562"/>
      <c r="E211" s="562"/>
      <c r="F211" s="562"/>
      <c r="G211" s="562"/>
      <c r="H211" s="562"/>
      <c r="I211" s="562"/>
      <c r="J211" s="562"/>
      <c r="K211" s="562"/>
      <c r="L211" s="562"/>
      <c r="M211" s="562"/>
      <c r="N211" s="562"/>
      <c r="O211" s="563"/>
      <c r="P211" s="568" t="s">
        <v>75</v>
      </c>
      <c r="Q211" s="569"/>
      <c r="R211" s="569"/>
      <c r="S211" s="569"/>
      <c r="T211" s="569"/>
      <c r="U211" s="569"/>
      <c r="V211" s="570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138.88888888888889</v>
      </c>
      <c r="Y211" s="551">
        <f>IFERROR(Y203/H203,"0")+IFERROR(Y204/H204,"0")+IFERROR(Y205/H205,"0")+IFERROR(Y206/H206,"0")+IFERROR(Y207/H207,"0")+IFERROR(Y208/H208,"0")+IFERROR(Y209/H209,"0")+IFERROR(Y210/H210,"0")</f>
        <v>142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1.28084</v>
      </c>
      <c r="AA211" s="552"/>
      <c r="AB211" s="552"/>
      <c r="AC211" s="552"/>
    </row>
    <row r="212" spans="1:68" x14ac:dyDescent="0.2">
      <c r="A212" s="562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8" t="s">
        <v>75</v>
      </c>
      <c r="Q212" s="569"/>
      <c r="R212" s="569"/>
      <c r="S212" s="569"/>
      <c r="T212" s="569"/>
      <c r="U212" s="569"/>
      <c r="V212" s="570"/>
      <c r="W212" s="37" t="s">
        <v>69</v>
      </c>
      <c r="X212" s="551">
        <f>IFERROR(SUM(X203:X210),"0")</f>
        <v>750</v>
      </c>
      <c r="Y212" s="551">
        <f>IFERROR(SUM(Y203:Y210),"0")</f>
        <v>766.80000000000007</v>
      </c>
      <c r="Z212" s="37"/>
      <c r="AA212" s="552"/>
      <c r="AB212" s="552"/>
      <c r="AC212" s="552"/>
    </row>
    <row r="213" spans="1:68" ht="14.25" customHeight="1" x14ac:dyDescent="0.25">
      <c r="A213" s="567" t="s">
        <v>77</v>
      </c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2"/>
      <c r="P213" s="562"/>
      <c r="Q213" s="562"/>
      <c r="R213" s="562"/>
      <c r="S213" s="562"/>
      <c r="T213" s="562"/>
      <c r="U213" s="562"/>
      <c r="V213" s="562"/>
      <c r="W213" s="562"/>
      <c r="X213" s="562"/>
      <c r="Y213" s="562"/>
      <c r="Z213" s="562"/>
      <c r="AA213" s="545"/>
      <c r="AB213" s="545"/>
      <c r="AC213" s="545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64">
        <v>4680115881594</v>
      </c>
      <c r="E214" s="565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106</v>
      </c>
      <c r="L214" s="32"/>
      <c r="M214" s="33" t="s">
        <v>80</v>
      </c>
      <c r="N214" s="33"/>
      <c r="O214" s="32">
        <v>40</v>
      </c>
      <c r="P214" s="81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4"/>
      <c r="R214" s="554"/>
      <c r="S214" s="554"/>
      <c r="T214" s="555"/>
      <c r="U214" s="34"/>
      <c r="V214" s="34"/>
      <c r="W214" s="35" t="s">
        <v>69</v>
      </c>
      <c r="X214" s="549">
        <v>0</v>
      </c>
      <c r="Y214" s="550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64">
        <v>4680115881617</v>
      </c>
      <c r="E215" s="565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106</v>
      </c>
      <c r="L215" s="32"/>
      <c r="M215" s="33" t="s">
        <v>80</v>
      </c>
      <c r="N215" s="33"/>
      <c r="O215" s="32">
        <v>40</v>
      </c>
      <c r="P215" s="5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64">
        <v>4680115880573</v>
      </c>
      <c r="E216" s="565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106</v>
      </c>
      <c r="L216" s="32" t="s">
        <v>107</v>
      </c>
      <c r="M216" s="33" t="s">
        <v>80</v>
      </c>
      <c r="N216" s="33"/>
      <c r="O216" s="32">
        <v>45</v>
      </c>
      <c r="P216" s="7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75</v>
      </c>
      <c r="Y216" s="550">
        <f t="shared" si="20"/>
        <v>78.3</v>
      </c>
      <c r="Z216" s="36">
        <f>IFERROR(IF(Y216=0,"",ROUNDUP(Y216/H216,0)*0.01898),"")</f>
        <v>0.17082</v>
      </c>
      <c r="AA216" s="56"/>
      <c r="AB216" s="57"/>
      <c r="AC216" s="263" t="s">
        <v>363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21"/>
        <v>79.258620689655189</v>
      </c>
      <c r="BN216" s="64">
        <f t="shared" si="22"/>
        <v>82.746000000000009</v>
      </c>
      <c r="BO216" s="64">
        <f t="shared" si="23"/>
        <v>0.13469827586206898</v>
      </c>
      <c r="BP216" s="64">
        <f t="shared" si="24"/>
        <v>0.140625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64">
        <v>4680115882195</v>
      </c>
      <c r="E217" s="565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7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92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4301051752</v>
      </c>
      <c r="D218" s="564">
        <v>4680115882607</v>
      </c>
      <c r="E218" s="565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 t="s">
        <v>92</v>
      </c>
      <c r="AK218" s="68">
        <v>25.2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64">
        <v>4680115880092</v>
      </c>
      <c r="E219" s="565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48</v>
      </c>
      <c r="Y219" s="550">
        <f t="shared" si="20"/>
        <v>48</v>
      </c>
      <c r="Z219" s="36">
        <f t="shared" si="25"/>
        <v>0.13020000000000001</v>
      </c>
      <c r="AA219" s="56"/>
      <c r="AB219" s="57"/>
      <c r="AC219" s="269" t="s">
        <v>363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53.040000000000006</v>
      </c>
      <c r="BN219" s="64">
        <f t="shared" si="22"/>
        <v>53.040000000000006</v>
      </c>
      <c r="BO219" s="64">
        <f t="shared" si="23"/>
        <v>0.1098901098901099</v>
      </c>
      <c r="BP219" s="64">
        <f t="shared" si="24"/>
        <v>0.1098901098901099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64">
        <v>4680115880221</v>
      </c>
      <c r="E220" s="565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64">
        <v>4680115880504</v>
      </c>
      <c r="E221" s="565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64">
        <v>4680115882164</v>
      </c>
      <c r="E222" s="565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x14ac:dyDescent="0.2">
      <c r="A223" s="561"/>
      <c r="B223" s="562"/>
      <c r="C223" s="562"/>
      <c r="D223" s="562"/>
      <c r="E223" s="562"/>
      <c r="F223" s="562"/>
      <c r="G223" s="562"/>
      <c r="H223" s="562"/>
      <c r="I223" s="562"/>
      <c r="J223" s="562"/>
      <c r="K223" s="562"/>
      <c r="L223" s="562"/>
      <c r="M223" s="562"/>
      <c r="N223" s="562"/>
      <c r="O223" s="563"/>
      <c r="P223" s="568" t="s">
        <v>75</v>
      </c>
      <c r="Q223" s="569"/>
      <c r="R223" s="569"/>
      <c r="S223" s="569"/>
      <c r="T223" s="569"/>
      <c r="U223" s="569"/>
      <c r="V223" s="570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28.620689655172413</v>
      </c>
      <c r="Y223" s="551">
        <f>IFERROR(Y214/H214,"0")+IFERROR(Y215/H215,"0")+IFERROR(Y216/H216,"0")+IFERROR(Y217/H217,"0")+IFERROR(Y218/H218,"0")+IFERROR(Y219/H219,"0")+IFERROR(Y220/H220,"0")+IFERROR(Y221/H221,"0")+IFERROR(Y222/H222,"0")</f>
        <v>29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0.30102000000000001</v>
      </c>
      <c r="AA223" s="552"/>
      <c r="AB223" s="552"/>
      <c r="AC223" s="552"/>
    </row>
    <row r="224" spans="1:68" x14ac:dyDescent="0.2">
      <c r="A224" s="562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8" t="s">
        <v>75</v>
      </c>
      <c r="Q224" s="569"/>
      <c r="R224" s="569"/>
      <c r="S224" s="569"/>
      <c r="T224" s="569"/>
      <c r="U224" s="569"/>
      <c r="V224" s="570"/>
      <c r="W224" s="37" t="s">
        <v>69</v>
      </c>
      <c r="X224" s="551">
        <f>IFERROR(SUM(X214:X222),"0")</f>
        <v>123</v>
      </c>
      <c r="Y224" s="551">
        <f>IFERROR(SUM(Y214:Y222),"0")</f>
        <v>126.3</v>
      </c>
      <c r="Z224" s="37"/>
      <c r="AA224" s="552"/>
      <c r="AB224" s="552"/>
      <c r="AC224" s="552"/>
    </row>
    <row r="225" spans="1:68" ht="14.25" customHeight="1" x14ac:dyDescent="0.25">
      <c r="A225" s="567" t="s">
        <v>163</v>
      </c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2"/>
      <c r="P225" s="562"/>
      <c r="Q225" s="562"/>
      <c r="R225" s="562"/>
      <c r="S225" s="562"/>
      <c r="T225" s="562"/>
      <c r="U225" s="562"/>
      <c r="V225" s="562"/>
      <c r="W225" s="562"/>
      <c r="X225" s="562"/>
      <c r="Y225" s="562"/>
      <c r="Z225" s="562"/>
      <c r="AA225" s="545"/>
      <c r="AB225" s="545"/>
      <c r="AC225" s="545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64">
        <v>4680115880818</v>
      </c>
      <c r="E226" s="565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4"/>
      <c r="R226" s="554"/>
      <c r="S226" s="554"/>
      <c r="T226" s="555"/>
      <c r="U226" s="34"/>
      <c r="V226" s="34"/>
      <c r="W226" s="35" t="s">
        <v>69</v>
      </c>
      <c r="X226" s="549">
        <v>0</v>
      </c>
      <c r="Y226" s="550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64">
        <v>4680115880801</v>
      </c>
      <c r="E227" s="565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1"/>
      <c r="B228" s="562"/>
      <c r="C228" s="562"/>
      <c r="D228" s="562"/>
      <c r="E228" s="562"/>
      <c r="F228" s="562"/>
      <c r="G228" s="562"/>
      <c r="H228" s="562"/>
      <c r="I228" s="562"/>
      <c r="J228" s="562"/>
      <c r="K228" s="562"/>
      <c r="L228" s="562"/>
      <c r="M228" s="562"/>
      <c r="N228" s="562"/>
      <c r="O228" s="563"/>
      <c r="P228" s="568" t="s">
        <v>75</v>
      </c>
      <c r="Q228" s="569"/>
      <c r="R228" s="569"/>
      <c r="S228" s="569"/>
      <c r="T228" s="569"/>
      <c r="U228" s="569"/>
      <c r="V228" s="570"/>
      <c r="W228" s="37" t="s">
        <v>76</v>
      </c>
      <c r="X228" s="551">
        <f>IFERROR(X226/H226,"0")+IFERROR(X227/H227,"0")</f>
        <v>0</v>
      </c>
      <c r="Y228" s="551">
        <f>IFERROR(Y226/H226,"0")+IFERROR(Y227/H227,"0")</f>
        <v>0</v>
      </c>
      <c r="Z228" s="551">
        <f>IFERROR(IF(Z226="",0,Z226),"0")+IFERROR(IF(Z227="",0,Z227),"0")</f>
        <v>0</v>
      </c>
      <c r="AA228" s="552"/>
      <c r="AB228" s="552"/>
      <c r="AC228" s="552"/>
    </row>
    <row r="229" spans="1:68" x14ac:dyDescent="0.2">
      <c r="A229" s="562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8" t="s">
        <v>75</v>
      </c>
      <c r="Q229" s="569"/>
      <c r="R229" s="569"/>
      <c r="S229" s="569"/>
      <c r="T229" s="569"/>
      <c r="U229" s="569"/>
      <c r="V229" s="570"/>
      <c r="W229" s="37" t="s">
        <v>69</v>
      </c>
      <c r="X229" s="551">
        <f>IFERROR(SUM(X226:X227),"0")</f>
        <v>0</v>
      </c>
      <c r="Y229" s="551">
        <f>IFERROR(SUM(Y226:Y227),"0")</f>
        <v>0</v>
      </c>
      <c r="Z229" s="37"/>
      <c r="AA229" s="552"/>
      <c r="AB229" s="552"/>
      <c r="AC229" s="552"/>
    </row>
    <row r="230" spans="1:68" ht="16.5" customHeight="1" x14ac:dyDescent="0.25">
      <c r="A230" s="566" t="s">
        <v>383</v>
      </c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2"/>
      <c r="P230" s="562"/>
      <c r="Q230" s="562"/>
      <c r="R230" s="562"/>
      <c r="S230" s="562"/>
      <c r="T230" s="562"/>
      <c r="U230" s="562"/>
      <c r="V230" s="562"/>
      <c r="W230" s="562"/>
      <c r="X230" s="562"/>
      <c r="Y230" s="562"/>
      <c r="Z230" s="562"/>
      <c r="AA230" s="544"/>
      <c r="AB230" s="544"/>
      <c r="AC230" s="544"/>
    </row>
    <row r="231" spans="1:68" ht="14.25" customHeight="1" x14ac:dyDescent="0.25">
      <c r="A231" s="567" t="s">
        <v>103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5"/>
      <c r="AB231" s="545"/>
      <c r="AC231" s="545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64">
        <v>4680115884137</v>
      </c>
      <c r="E232" s="565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106</v>
      </c>
      <c r="L232" s="32"/>
      <c r="M232" s="33" t="s">
        <v>108</v>
      </c>
      <c r="N232" s="33"/>
      <c r="O232" s="32">
        <v>55</v>
      </c>
      <c r="P232" s="75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4"/>
      <c r="R232" s="554"/>
      <c r="S232" s="554"/>
      <c r="T232" s="555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customHeight="1" x14ac:dyDescent="0.25">
      <c r="A233" s="54" t="s">
        <v>387</v>
      </c>
      <c r="B233" s="54" t="s">
        <v>388</v>
      </c>
      <c r="C233" s="31">
        <v>4301011724</v>
      </c>
      <c r="D233" s="564">
        <v>4680115884236</v>
      </c>
      <c r="E233" s="565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106</v>
      </c>
      <c r="L233" s="32"/>
      <c r="M233" s="33" t="s">
        <v>108</v>
      </c>
      <c r="N233" s="33"/>
      <c r="O233" s="32">
        <v>55</v>
      </c>
      <c r="P233" s="74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64">
        <v>4680115884175</v>
      </c>
      <c r="E234" s="565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564">
        <v>4680115884144</v>
      </c>
      <c r="E235" s="565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112</v>
      </c>
      <c r="L235" s="32" t="s">
        <v>115</v>
      </c>
      <c r="M235" s="33" t="s">
        <v>108</v>
      </c>
      <c r="N235" s="33"/>
      <c r="O235" s="32">
        <v>55</v>
      </c>
      <c r="P235" s="7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 t="s">
        <v>92</v>
      </c>
      <c r="AK235" s="68">
        <v>48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393</v>
      </c>
      <c r="B236" s="54" t="s">
        <v>395</v>
      </c>
      <c r="C236" s="31">
        <v>4301012196</v>
      </c>
      <c r="D236" s="564">
        <v>4680115884144</v>
      </c>
      <c r="E236" s="565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112</v>
      </c>
      <c r="L236" s="32"/>
      <c r="M236" s="33" t="s">
        <v>108</v>
      </c>
      <c r="N236" s="33"/>
      <c r="O236" s="32">
        <v>55</v>
      </c>
      <c r="P236" s="61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4301012149</v>
      </c>
      <c r="D237" s="564">
        <v>4680115886551</v>
      </c>
      <c r="E237" s="565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112</v>
      </c>
      <c r="L237" s="32"/>
      <c r="M237" s="33" t="s">
        <v>108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399</v>
      </c>
      <c r="B238" s="54" t="s">
        <v>400</v>
      </c>
      <c r="C238" s="31">
        <v>4301012228</v>
      </c>
      <c r="D238" s="564">
        <v>4680115887282</v>
      </c>
      <c r="E238" s="565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108</v>
      </c>
      <c r="N238" s="33"/>
      <c r="O238" s="32">
        <v>55</v>
      </c>
      <c r="P238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4301011722</v>
      </c>
      <c r="D239" s="564">
        <v>4680115884205</v>
      </c>
      <c r="E239" s="565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112</v>
      </c>
      <c r="L239" s="32" t="s">
        <v>115</v>
      </c>
      <c r="M239" s="33" t="s">
        <v>108</v>
      </c>
      <c r="N239" s="33"/>
      <c r="O239" s="32">
        <v>55</v>
      </c>
      <c r="P239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 t="s">
        <v>92</v>
      </c>
      <c r="AK239" s="68">
        <v>48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403</v>
      </c>
      <c r="C240" s="31">
        <v>4301012195</v>
      </c>
      <c r="D240" s="564">
        <v>4680115884205</v>
      </c>
      <c r="E240" s="565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112</v>
      </c>
      <c r="L240" s="32"/>
      <c r="M240" s="33" t="s">
        <v>108</v>
      </c>
      <c r="N240" s="33"/>
      <c r="O240" s="32">
        <v>55</v>
      </c>
      <c r="P240" s="64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1"/>
      <c r="B241" s="562"/>
      <c r="C241" s="562"/>
      <c r="D241" s="562"/>
      <c r="E241" s="562"/>
      <c r="F241" s="562"/>
      <c r="G241" s="562"/>
      <c r="H241" s="562"/>
      <c r="I241" s="562"/>
      <c r="J241" s="562"/>
      <c r="K241" s="562"/>
      <c r="L241" s="562"/>
      <c r="M241" s="562"/>
      <c r="N241" s="562"/>
      <c r="O241" s="563"/>
      <c r="P241" s="568" t="s">
        <v>75</v>
      </c>
      <c r="Q241" s="569"/>
      <c r="R241" s="569"/>
      <c r="S241" s="569"/>
      <c r="T241" s="569"/>
      <c r="U241" s="569"/>
      <c r="V241" s="570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0</v>
      </c>
      <c r="Y241" s="551">
        <f>IFERROR(Y232/H232,"0")+IFERROR(Y233/H233,"0")+IFERROR(Y234/H234,"0")+IFERROR(Y235/H235,"0")+IFERROR(Y236/H236,"0")+IFERROR(Y237/H237,"0")+IFERROR(Y238/H238,"0")+IFERROR(Y239/H239,"0")+IFERROR(Y240/H240,"0")</f>
        <v>0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2"/>
      <c r="AB241" s="552"/>
      <c r="AC241" s="552"/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8" t="s">
        <v>75</v>
      </c>
      <c r="Q242" s="569"/>
      <c r="R242" s="569"/>
      <c r="S242" s="569"/>
      <c r="T242" s="569"/>
      <c r="U242" s="569"/>
      <c r="V242" s="570"/>
      <c r="W242" s="37" t="s">
        <v>69</v>
      </c>
      <c r="X242" s="551">
        <f>IFERROR(SUM(X232:X240),"0")</f>
        <v>0</v>
      </c>
      <c r="Y242" s="551">
        <f>IFERROR(SUM(Y232:Y240),"0")</f>
        <v>0</v>
      </c>
      <c r="Z242" s="37"/>
      <c r="AA242" s="552"/>
      <c r="AB242" s="552"/>
      <c r="AC242" s="552"/>
    </row>
    <row r="243" spans="1:68" ht="14.25" customHeight="1" x14ac:dyDescent="0.25">
      <c r="A243" s="567" t="s">
        <v>138</v>
      </c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2"/>
      <c r="P243" s="562"/>
      <c r="Q243" s="562"/>
      <c r="R243" s="562"/>
      <c r="S243" s="562"/>
      <c r="T243" s="562"/>
      <c r="U243" s="562"/>
      <c r="V243" s="562"/>
      <c r="W243" s="562"/>
      <c r="X243" s="562"/>
      <c r="Y243" s="562"/>
      <c r="Z243" s="562"/>
      <c r="AA243" s="545"/>
      <c r="AB243" s="545"/>
      <c r="AC243" s="545"/>
    </row>
    <row r="244" spans="1:68" ht="27" customHeight="1" x14ac:dyDescent="0.25">
      <c r="A244" s="54" t="s">
        <v>404</v>
      </c>
      <c r="B244" s="54" t="s">
        <v>405</v>
      </c>
      <c r="C244" s="31">
        <v>4301020377</v>
      </c>
      <c r="D244" s="564">
        <v>4680115885981</v>
      </c>
      <c r="E244" s="565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4"/>
      <c r="R244" s="554"/>
      <c r="S244" s="554"/>
      <c r="T244" s="555"/>
      <c r="U244" s="34"/>
      <c r="V244" s="34"/>
      <c r="W244" s="35" t="s">
        <v>69</v>
      </c>
      <c r="X244" s="549">
        <v>0</v>
      </c>
      <c r="Y244" s="550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1"/>
      <c r="B245" s="562"/>
      <c r="C245" s="562"/>
      <c r="D245" s="562"/>
      <c r="E245" s="562"/>
      <c r="F245" s="562"/>
      <c r="G245" s="562"/>
      <c r="H245" s="562"/>
      <c r="I245" s="562"/>
      <c r="J245" s="562"/>
      <c r="K245" s="562"/>
      <c r="L245" s="562"/>
      <c r="M245" s="562"/>
      <c r="N245" s="562"/>
      <c r="O245" s="563"/>
      <c r="P245" s="568" t="s">
        <v>75</v>
      </c>
      <c r="Q245" s="569"/>
      <c r="R245" s="569"/>
      <c r="S245" s="569"/>
      <c r="T245" s="569"/>
      <c r="U245" s="569"/>
      <c r="V245" s="570"/>
      <c r="W245" s="37" t="s">
        <v>76</v>
      </c>
      <c r="X245" s="551">
        <f>IFERROR(X244/H244,"0")</f>
        <v>0</v>
      </c>
      <c r="Y245" s="551">
        <f>IFERROR(Y244/H244,"0")</f>
        <v>0</v>
      </c>
      <c r="Z245" s="551">
        <f>IFERROR(IF(Z244="",0,Z244),"0")</f>
        <v>0</v>
      </c>
      <c r="AA245" s="552"/>
      <c r="AB245" s="552"/>
      <c r="AC245" s="552"/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8" t="s">
        <v>75</v>
      </c>
      <c r="Q246" s="569"/>
      <c r="R246" s="569"/>
      <c r="S246" s="569"/>
      <c r="T246" s="569"/>
      <c r="U246" s="569"/>
      <c r="V246" s="570"/>
      <c r="W246" s="37" t="s">
        <v>69</v>
      </c>
      <c r="X246" s="551">
        <f>IFERROR(SUM(X244:X244),"0")</f>
        <v>0</v>
      </c>
      <c r="Y246" s="551">
        <f>IFERROR(SUM(Y244:Y244),"0")</f>
        <v>0</v>
      </c>
      <c r="Z246" s="37"/>
      <c r="AA246" s="552"/>
      <c r="AB246" s="552"/>
      <c r="AC246" s="552"/>
    </row>
    <row r="247" spans="1:68" ht="14.25" customHeight="1" x14ac:dyDescent="0.25">
      <c r="A247" s="567" t="s">
        <v>407</v>
      </c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2"/>
      <c r="P247" s="562"/>
      <c r="Q247" s="562"/>
      <c r="R247" s="562"/>
      <c r="S247" s="562"/>
      <c r="T247" s="562"/>
      <c r="U247" s="562"/>
      <c r="V247" s="562"/>
      <c r="W247" s="562"/>
      <c r="X247" s="562"/>
      <c r="Y247" s="562"/>
      <c r="Z247" s="562"/>
      <c r="AA247" s="545"/>
      <c r="AB247" s="545"/>
      <c r="AC247" s="545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64">
        <v>4680115886803</v>
      </c>
      <c r="E248" s="565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4"/>
      <c r="R248" s="554"/>
      <c r="S248" s="554"/>
      <c r="T248" s="555"/>
      <c r="U248" s="34"/>
      <c r="V248" s="34"/>
      <c r="W248" s="35" t="s">
        <v>69</v>
      </c>
      <c r="X248" s="549">
        <v>0</v>
      </c>
      <c r="Y248" s="55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1"/>
      <c r="B249" s="562"/>
      <c r="C249" s="562"/>
      <c r="D249" s="562"/>
      <c r="E249" s="562"/>
      <c r="F249" s="562"/>
      <c r="G249" s="562"/>
      <c r="H249" s="562"/>
      <c r="I249" s="562"/>
      <c r="J249" s="562"/>
      <c r="K249" s="562"/>
      <c r="L249" s="562"/>
      <c r="M249" s="562"/>
      <c r="N249" s="562"/>
      <c r="O249" s="563"/>
      <c r="P249" s="568" t="s">
        <v>75</v>
      </c>
      <c r="Q249" s="569"/>
      <c r="R249" s="569"/>
      <c r="S249" s="569"/>
      <c r="T249" s="569"/>
      <c r="U249" s="569"/>
      <c r="V249" s="570"/>
      <c r="W249" s="37" t="s">
        <v>76</v>
      </c>
      <c r="X249" s="551">
        <f>IFERROR(X248/H248,"0")</f>
        <v>0</v>
      </c>
      <c r="Y249" s="551">
        <f>IFERROR(Y248/H248,"0")</f>
        <v>0</v>
      </c>
      <c r="Z249" s="551">
        <f>IFERROR(IF(Z248="",0,Z248),"0")</f>
        <v>0</v>
      </c>
      <c r="AA249" s="552"/>
      <c r="AB249" s="552"/>
      <c r="AC249" s="552"/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8" t="s">
        <v>75</v>
      </c>
      <c r="Q250" s="569"/>
      <c r="R250" s="569"/>
      <c r="S250" s="569"/>
      <c r="T250" s="569"/>
      <c r="U250" s="569"/>
      <c r="V250" s="570"/>
      <c r="W250" s="37" t="s">
        <v>69</v>
      </c>
      <c r="X250" s="551">
        <f>IFERROR(SUM(X248:X248),"0")</f>
        <v>0</v>
      </c>
      <c r="Y250" s="551">
        <f>IFERROR(SUM(Y248:Y248),"0")</f>
        <v>0</v>
      </c>
      <c r="Z250" s="37"/>
      <c r="AA250" s="552"/>
      <c r="AB250" s="552"/>
      <c r="AC250" s="552"/>
    </row>
    <row r="251" spans="1:68" ht="14.25" customHeight="1" x14ac:dyDescent="0.25">
      <c r="A251" s="567" t="s">
        <v>411</v>
      </c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2"/>
      <c r="P251" s="562"/>
      <c r="Q251" s="562"/>
      <c r="R251" s="562"/>
      <c r="S251" s="562"/>
      <c r="T251" s="562"/>
      <c r="U251" s="562"/>
      <c r="V251" s="562"/>
      <c r="W251" s="562"/>
      <c r="X251" s="562"/>
      <c r="Y251" s="562"/>
      <c r="Z251" s="562"/>
      <c r="AA251" s="545"/>
      <c r="AB251" s="545"/>
      <c r="AC251" s="545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64">
        <v>4680115886704</v>
      </c>
      <c r="E252" s="565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4"/>
      <c r="R252" s="554"/>
      <c r="S252" s="554"/>
      <c r="T252" s="555"/>
      <c r="U252" s="34"/>
      <c r="V252" s="34"/>
      <c r="W252" s="35" t="s">
        <v>69</v>
      </c>
      <c r="X252" s="549">
        <v>0</v>
      </c>
      <c r="Y252" s="550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64">
        <v>4680115886681</v>
      </c>
      <c r="E253" s="565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4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64">
        <v>4680115886735</v>
      </c>
      <c r="E254" s="565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64">
        <v>4680115886728</v>
      </c>
      <c r="E255" s="565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5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64">
        <v>4680115886711</v>
      </c>
      <c r="E256" s="565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1"/>
      <c r="B257" s="562"/>
      <c r="C257" s="562"/>
      <c r="D257" s="562"/>
      <c r="E257" s="562"/>
      <c r="F257" s="562"/>
      <c r="G257" s="562"/>
      <c r="H257" s="562"/>
      <c r="I257" s="562"/>
      <c r="J257" s="562"/>
      <c r="K257" s="562"/>
      <c r="L257" s="562"/>
      <c r="M257" s="562"/>
      <c r="N257" s="562"/>
      <c r="O257" s="563"/>
      <c r="P257" s="568" t="s">
        <v>75</v>
      </c>
      <c r="Q257" s="569"/>
      <c r="R257" s="569"/>
      <c r="S257" s="569"/>
      <c r="T257" s="569"/>
      <c r="U257" s="569"/>
      <c r="V257" s="570"/>
      <c r="W257" s="37" t="s">
        <v>76</v>
      </c>
      <c r="X257" s="551">
        <f>IFERROR(X252/H252,"0")+IFERROR(X253/H253,"0")+IFERROR(X254/H254,"0")+IFERROR(X255/H255,"0")+IFERROR(X256/H256,"0")</f>
        <v>0</v>
      </c>
      <c r="Y257" s="551">
        <f>IFERROR(Y252/H252,"0")+IFERROR(Y253/H253,"0")+IFERROR(Y254/H254,"0")+IFERROR(Y255/H255,"0")+IFERROR(Y256/H256,"0")</f>
        <v>0</v>
      </c>
      <c r="Z257" s="551">
        <f>IFERROR(IF(Z252="",0,Z252),"0")+IFERROR(IF(Z253="",0,Z253),"0")+IFERROR(IF(Z254="",0,Z254),"0")+IFERROR(IF(Z255="",0,Z255),"0")+IFERROR(IF(Z256="",0,Z256),"0")</f>
        <v>0</v>
      </c>
      <c r="AA257" s="552"/>
      <c r="AB257" s="552"/>
      <c r="AC257" s="552"/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8" t="s">
        <v>75</v>
      </c>
      <c r="Q258" s="569"/>
      <c r="R258" s="569"/>
      <c r="S258" s="569"/>
      <c r="T258" s="569"/>
      <c r="U258" s="569"/>
      <c r="V258" s="570"/>
      <c r="W258" s="37" t="s">
        <v>69</v>
      </c>
      <c r="X258" s="551">
        <f>IFERROR(SUM(X252:X256),"0")</f>
        <v>0</v>
      </c>
      <c r="Y258" s="551">
        <f>IFERROR(SUM(Y252:Y256),"0")</f>
        <v>0</v>
      </c>
      <c r="Z258" s="37"/>
      <c r="AA258" s="552"/>
      <c r="AB258" s="552"/>
      <c r="AC258" s="552"/>
    </row>
    <row r="259" spans="1:68" ht="16.5" customHeight="1" x14ac:dyDescent="0.25">
      <c r="A259" s="566" t="s">
        <v>423</v>
      </c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2"/>
      <c r="P259" s="562"/>
      <c r="Q259" s="562"/>
      <c r="R259" s="562"/>
      <c r="S259" s="562"/>
      <c r="T259" s="562"/>
      <c r="U259" s="562"/>
      <c r="V259" s="562"/>
      <c r="W259" s="562"/>
      <c r="X259" s="562"/>
      <c r="Y259" s="562"/>
      <c r="Z259" s="562"/>
      <c r="AA259" s="544"/>
      <c r="AB259" s="544"/>
      <c r="AC259" s="544"/>
    </row>
    <row r="260" spans="1:68" ht="14.25" customHeight="1" x14ac:dyDescent="0.25">
      <c r="A260" s="567" t="s">
        <v>103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5"/>
      <c r="AB260" s="545"/>
      <c r="AC260" s="545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64">
        <v>4680115885837</v>
      </c>
      <c r="E261" s="565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106</v>
      </c>
      <c r="L261" s="32" t="s">
        <v>107</v>
      </c>
      <c r="M261" s="33" t="s">
        <v>108</v>
      </c>
      <c r="N261" s="33"/>
      <c r="O261" s="32">
        <v>55</v>
      </c>
      <c r="P261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4"/>
      <c r="R261" s="554"/>
      <c r="S261" s="554"/>
      <c r="T261" s="555"/>
      <c r="U261" s="34"/>
      <c r="V261" s="34"/>
      <c r="W261" s="35" t="s">
        <v>69</v>
      </c>
      <c r="X261" s="549">
        <v>0</v>
      </c>
      <c r="Y261" s="55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64">
        <v>4680115885851</v>
      </c>
      <c r="E262" s="565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106</v>
      </c>
      <c r="L262" s="32"/>
      <c r="M262" s="33" t="s">
        <v>108</v>
      </c>
      <c r="N262" s="33"/>
      <c r="O262" s="32">
        <v>55</v>
      </c>
      <c r="P262" s="85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64">
        <v>4680115885806</v>
      </c>
      <c r="E263" s="565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64">
        <v>4680115885844</v>
      </c>
      <c r="E264" s="565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112</v>
      </c>
      <c r="L264" s="32"/>
      <c r="M264" s="33" t="s">
        <v>108</v>
      </c>
      <c r="N264" s="33"/>
      <c r="O264" s="32">
        <v>55</v>
      </c>
      <c r="P264" s="69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64">
        <v>4680115885820</v>
      </c>
      <c r="E265" s="565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112</v>
      </c>
      <c r="L265" s="32" t="s">
        <v>115</v>
      </c>
      <c r="M265" s="33" t="s">
        <v>108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1"/>
      <c r="B266" s="562"/>
      <c r="C266" s="562"/>
      <c r="D266" s="562"/>
      <c r="E266" s="562"/>
      <c r="F266" s="562"/>
      <c r="G266" s="562"/>
      <c r="H266" s="562"/>
      <c r="I266" s="562"/>
      <c r="J266" s="562"/>
      <c r="K266" s="562"/>
      <c r="L266" s="562"/>
      <c r="M266" s="562"/>
      <c r="N266" s="562"/>
      <c r="O266" s="563"/>
      <c r="P266" s="568" t="s">
        <v>75</v>
      </c>
      <c r="Q266" s="569"/>
      <c r="R266" s="569"/>
      <c r="S266" s="569"/>
      <c r="T266" s="569"/>
      <c r="U266" s="569"/>
      <c r="V266" s="570"/>
      <c r="W266" s="37" t="s">
        <v>76</v>
      </c>
      <c r="X266" s="551">
        <f>IFERROR(X261/H261,"0")+IFERROR(X262/H262,"0")+IFERROR(X263/H263,"0")+IFERROR(X264/H264,"0")+IFERROR(X265/H265,"0")</f>
        <v>0</v>
      </c>
      <c r="Y266" s="551">
        <f>IFERROR(Y261/H261,"0")+IFERROR(Y262/H262,"0")+IFERROR(Y263/H263,"0")+IFERROR(Y264/H264,"0")+IFERROR(Y265/H265,"0")</f>
        <v>0</v>
      </c>
      <c r="Z266" s="551">
        <f>IFERROR(IF(Z261="",0,Z261),"0")+IFERROR(IF(Z262="",0,Z262),"0")+IFERROR(IF(Z263="",0,Z263),"0")+IFERROR(IF(Z264="",0,Z264),"0")+IFERROR(IF(Z265="",0,Z265),"0")</f>
        <v>0</v>
      </c>
      <c r="AA266" s="552"/>
      <c r="AB266" s="552"/>
      <c r="AC266" s="552"/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8" t="s">
        <v>75</v>
      </c>
      <c r="Q267" s="569"/>
      <c r="R267" s="569"/>
      <c r="S267" s="569"/>
      <c r="T267" s="569"/>
      <c r="U267" s="569"/>
      <c r="V267" s="570"/>
      <c r="W267" s="37" t="s">
        <v>69</v>
      </c>
      <c r="X267" s="551">
        <f>IFERROR(SUM(X261:X265),"0")</f>
        <v>0</v>
      </c>
      <c r="Y267" s="551">
        <f>IFERROR(SUM(Y261:Y265),"0")</f>
        <v>0</v>
      </c>
      <c r="Z267" s="37"/>
      <c r="AA267" s="552"/>
      <c r="AB267" s="552"/>
      <c r="AC267" s="552"/>
    </row>
    <row r="268" spans="1:68" ht="16.5" customHeight="1" x14ac:dyDescent="0.25">
      <c r="A268" s="566" t="s">
        <v>439</v>
      </c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2"/>
      <c r="P268" s="562"/>
      <c r="Q268" s="562"/>
      <c r="R268" s="562"/>
      <c r="S268" s="562"/>
      <c r="T268" s="562"/>
      <c r="U268" s="562"/>
      <c r="V268" s="562"/>
      <c r="W268" s="562"/>
      <c r="X268" s="562"/>
      <c r="Y268" s="562"/>
      <c r="Z268" s="562"/>
      <c r="AA268" s="544"/>
      <c r="AB268" s="544"/>
      <c r="AC268" s="544"/>
    </row>
    <row r="269" spans="1:68" ht="14.25" customHeight="1" x14ac:dyDescent="0.25">
      <c r="A269" s="567" t="s">
        <v>103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5"/>
      <c r="AB269" s="545"/>
      <c r="AC269" s="545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564">
        <v>4607091383423</v>
      </c>
      <c r="E270" s="565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106</v>
      </c>
      <c r="L270" s="32"/>
      <c r="M270" s="33" t="s">
        <v>80</v>
      </c>
      <c r="N270" s="33"/>
      <c r="O270" s="32">
        <v>35</v>
      </c>
      <c r="P270" s="81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4"/>
      <c r="R270" s="554"/>
      <c r="S270" s="554"/>
      <c r="T270" s="555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4301012199</v>
      </c>
      <c r="D271" s="564">
        <v>4680115886957</v>
      </c>
      <c r="E271" s="565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106</v>
      </c>
      <c r="L271" s="32"/>
      <c r="M271" s="33" t="s">
        <v>80</v>
      </c>
      <c r="N271" s="33"/>
      <c r="O271" s="32">
        <v>30</v>
      </c>
      <c r="P271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564">
        <v>4680115885660</v>
      </c>
      <c r="E272" s="565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4301012176</v>
      </c>
      <c r="D273" s="564">
        <v>4680115886773</v>
      </c>
      <c r="E273" s="565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106</v>
      </c>
      <c r="L273" s="32"/>
      <c r="M273" s="33" t="s">
        <v>108</v>
      </c>
      <c r="N273" s="33"/>
      <c r="O273" s="32">
        <v>31</v>
      </c>
      <c r="P273" s="64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1"/>
      <c r="B274" s="562"/>
      <c r="C274" s="562"/>
      <c r="D274" s="562"/>
      <c r="E274" s="562"/>
      <c r="F274" s="562"/>
      <c r="G274" s="562"/>
      <c r="H274" s="562"/>
      <c r="I274" s="562"/>
      <c r="J274" s="562"/>
      <c r="K274" s="562"/>
      <c r="L274" s="562"/>
      <c r="M274" s="562"/>
      <c r="N274" s="562"/>
      <c r="O274" s="563"/>
      <c r="P274" s="568" t="s">
        <v>75</v>
      </c>
      <c r="Q274" s="569"/>
      <c r="R274" s="569"/>
      <c r="S274" s="569"/>
      <c r="T274" s="569"/>
      <c r="U274" s="569"/>
      <c r="V274" s="570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8" t="s">
        <v>75</v>
      </c>
      <c r="Q275" s="569"/>
      <c r="R275" s="569"/>
      <c r="S275" s="569"/>
      <c r="T275" s="569"/>
      <c r="U275" s="569"/>
      <c r="V275" s="570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customHeight="1" x14ac:dyDescent="0.25">
      <c r="A276" s="566" t="s">
        <v>450</v>
      </c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2"/>
      <c r="P276" s="562"/>
      <c r="Q276" s="562"/>
      <c r="R276" s="562"/>
      <c r="S276" s="562"/>
      <c r="T276" s="562"/>
      <c r="U276" s="562"/>
      <c r="V276" s="562"/>
      <c r="W276" s="562"/>
      <c r="X276" s="562"/>
      <c r="Y276" s="562"/>
      <c r="Z276" s="562"/>
      <c r="AA276" s="544"/>
      <c r="AB276" s="544"/>
      <c r="AC276" s="544"/>
    </row>
    <row r="277" spans="1:68" ht="14.25" customHeight="1" x14ac:dyDescent="0.25">
      <c r="A277" s="567" t="s">
        <v>77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5"/>
      <c r="AB277" s="545"/>
      <c r="AC277" s="545"/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564">
        <v>4680115886186</v>
      </c>
      <c r="E278" s="565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4"/>
      <c r="R278" s="554"/>
      <c r="S278" s="554"/>
      <c r="T278" s="555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64">
        <v>4680115881228</v>
      </c>
      <c r="E279" s="565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64">
        <v>4680115881211</v>
      </c>
      <c r="E280" s="565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1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63"/>
      <c r="P281" s="568" t="s">
        <v>75</v>
      </c>
      <c r="Q281" s="569"/>
      <c r="R281" s="569"/>
      <c r="S281" s="569"/>
      <c r="T281" s="569"/>
      <c r="U281" s="569"/>
      <c r="V281" s="570"/>
      <c r="W281" s="37" t="s">
        <v>76</v>
      </c>
      <c r="X281" s="551">
        <f>IFERROR(X278/H278,"0")+IFERROR(X279/H279,"0")+IFERROR(X280/H280,"0")</f>
        <v>0</v>
      </c>
      <c r="Y281" s="551">
        <f>IFERROR(Y278/H278,"0")+IFERROR(Y279/H279,"0")+IFERROR(Y280/H280,"0")</f>
        <v>0</v>
      </c>
      <c r="Z281" s="551">
        <f>IFERROR(IF(Z278="",0,Z278),"0")+IFERROR(IF(Z279="",0,Z279),"0")+IFERROR(IF(Z280="",0,Z280),"0")</f>
        <v>0</v>
      </c>
      <c r="AA281" s="552"/>
      <c r="AB281" s="552"/>
      <c r="AC281" s="552"/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8" t="s">
        <v>75</v>
      </c>
      <c r="Q282" s="569"/>
      <c r="R282" s="569"/>
      <c r="S282" s="569"/>
      <c r="T282" s="569"/>
      <c r="U282" s="569"/>
      <c r="V282" s="570"/>
      <c r="W282" s="37" t="s">
        <v>69</v>
      </c>
      <c r="X282" s="551">
        <f>IFERROR(SUM(X278:X280),"0")</f>
        <v>0</v>
      </c>
      <c r="Y282" s="551">
        <f>IFERROR(SUM(Y278:Y280),"0")</f>
        <v>0</v>
      </c>
      <c r="Z282" s="37"/>
      <c r="AA282" s="552"/>
      <c r="AB282" s="552"/>
      <c r="AC282" s="552"/>
    </row>
    <row r="283" spans="1:68" ht="16.5" customHeight="1" x14ac:dyDescent="0.25">
      <c r="A283" s="566" t="s">
        <v>459</v>
      </c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2"/>
      <c r="P283" s="562"/>
      <c r="Q283" s="562"/>
      <c r="R283" s="562"/>
      <c r="S283" s="562"/>
      <c r="T283" s="562"/>
      <c r="U283" s="562"/>
      <c r="V283" s="562"/>
      <c r="W283" s="562"/>
      <c r="X283" s="562"/>
      <c r="Y283" s="562"/>
      <c r="Z283" s="562"/>
      <c r="AA283" s="544"/>
      <c r="AB283" s="544"/>
      <c r="AC283" s="544"/>
    </row>
    <row r="284" spans="1:68" ht="14.25" customHeight="1" x14ac:dyDescent="0.25">
      <c r="A284" s="567" t="s">
        <v>64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5"/>
      <c r="AB284" s="545"/>
      <c r="AC284" s="545"/>
    </row>
    <row r="285" spans="1:68" ht="27" customHeight="1" x14ac:dyDescent="0.25">
      <c r="A285" s="54" t="s">
        <v>460</v>
      </c>
      <c r="B285" s="54" t="s">
        <v>461</v>
      </c>
      <c r="C285" s="31">
        <v>4301031307</v>
      </c>
      <c r="D285" s="564">
        <v>4680115880344</v>
      </c>
      <c r="E285" s="565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4"/>
      <c r="R285" s="554"/>
      <c r="S285" s="554"/>
      <c r="T285" s="555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463</v>
      </c>
      <c r="B286" s="54" t="s">
        <v>464</v>
      </c>
      <c r="C286" s="31">
        <v>4301031429</v>
      </c>
      <c r="D286" s="564">
        <v>4680115886919</v>
      </c>
      <c r="E286" s="565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1"/>
      <c r="B287" s="562"/>
      <c r="C287" s="562"/>
      <c r="D287" s="562"/>
      <c r="E287" s="562"/>
      <c r="F287" s="562"/>
      <c r="G287" s="562"/>
      <c r="H287" s="562"/>
      <c r="I287" s="562"/>
      <c r="J287" s="562"/>
      <c r="K287" s="562"/>
      <c r="L287" s="562"/>
      <c r="M287" s="562"/>
      <c r="N287" s="562"/>
      <c r="O287" s="563"/>
      <c r="P287" s="568" t="s">
        <v>75</v>
      </c>
      <c r="Q287" s="569"/>
      <c r="R287" s="569"/>
      <c r="S287" s="569"/>
      <c r="T287" s="569"/>
      <c r="U287" s="569"/>
      <c r="V287" s="570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8" t="s">
        <v>75</v>
      </c>
      <c r="Q288" s="569"/>
      <c r="R288" s="569"/>
      <c r="S288" s="569"/>
      <c r="T288" s="569"/>
      <c r="U288" s="569"/>
      <c r="V288" s="570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customHeight="1" x14ac:dyDescent="0.25">
      <c r="A289" s="567" t="s">
        <v>77</v>
      </c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2"/>
      <c r="P289" s="562"/>
      <c r="Q289" s="562"/>
      <c r="R289" s="562"/>
      <c r="S289" s="562"/>
      <c r="T289" s="562"/>
      <c r="U289" s="562"/>
      <c r="V289" s="562"/>
      <c r="W289" s="562"/>
      <c r="X289" s="562"/>
      <c r="Y289" s="562"/>
      <c r="Z289" s="562"/>
      <c r="AA289" s="545"/>
      <c r="AB289" s="545"/>
      <c r="AC289" s="545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64">
        <v>4680115884618</v>
      </c>
      <c r="E290" s="565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112</v>
      </c>
      <c r="L290" s="32" t="s">
        <v>115</v>
      </c>
      <c r="M290" s="33" t="s">
        <v>80</v>
      </c>
      <c r="N290" s="33"/>
      <c r="O290" s="32">
        <v>45</v>
      </c>
      <c r="P290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4"/>
      <c r="R290" s="554"/>
      <c r="S290" s="554"/>
      <c r="T290" s="555"/>
      <c r="U290" s="34"/>
      <c r="V290" s="34"/>
      <c r="W290" s="35" t="s">
        <v>69</v>
      </c>
      <c r="X290" s="549">
        <v>0</v>
      </c>
      <c r="Y290" s="550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469</v>
      </c>
      <c r="B291" s="54" t="s">
        <v>470</v>
      </c>
      <c r="C291" s="31">
        <v>4301052057</v>
      </c>
      <c r="D291" s="564">
        <v>4680115887114</v>
      </c>
      <c r="E291" s="565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112</v>
      </c>
      <c r="L291" s="32"/>
      <c r="M291" s="33" t="s">
        <v>80</v>
      </c>
      <c r="N291" s="33"/>
      <c r="O291" s="32">
        <v>45</v>
      </c>
      <c r="P291" s="8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1"/>
      <c r="B292" s="562"/>
      <c r="C292" s="562"/>
      <c r="D292" s="562"/>
      <c r="E292" s="562"/>
      <c r="F292" s="562"/>
      <c r="G292" s="562"/>
      <c r="H292" s="562"/>
      <c r="I292" s="562"/>
      <c r="J292" s="562"/>
      <c r="K292" s="562"/>
      <c r="L292" s="562"/>
      <c r="M292" s="562"/>
      <c r="N292" s="562"/>
      <c r="O292" s="563"/>
      <c r="P292" s="568" t="s">
        <v>75</v>
      </c>
      <c r="Q292" s="569"/>
      <c r="R292" s="569"/>
      <c r="S292" s="569"/>
      <c r="T292" s="569"/>
      <c r="U292" s="569"/>
      <c r="V292" s="570"/>
      <c r="W292" s="37" t="s">
        <v>76</v>
      </c>
      <c r="X292" s="551">
        <f>IFERROR(X290/H290,"0")+IFERROR(X291/H291,"0")</f>
        <v>0</v>
      </c>
      <c r="Y292" s="551">
        <f>IFERROR(Y290/H290,"0")+IFERROR(Y291/H291,"0")</f>
        <v>0</v>
      </c>
      <c r="Z292" s="551">
        <f>IFERROR(IF(Z290="",0,Z290),"0")+IFERROR(IF(Z291="",0,Z291),"0")</f>
        <v>0</v>
      </c>
      <c r="AA292" s="552"/>
      <c r="AB292" s="552"/>
      <c r="AC292" s="552"/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8" t="s">
        <v>75</v>
      </c>
      <c r="Q293" s="569"/>
      <c r="R293" s="569"/>
      <c r="S293" s="569"/>
      <c r="T293" s="569"/>
      <c r="U293" s="569"/>
      <c r="V293" s="570"/>
      <c r="W293" s="37" t="s">
        <v>69</v>
      </c>
      <c r="X293" s="551">
        <f>IFERROR(SUM(X290:X291),"0")</f>
        <v>0</v>
      </c>
      <c r="Y293" s="551">
        <f>IFERROR(SUM(Y290:Y291),"0")</f>
        <v>0</v>
      </c>
      <c r="Z293" s="37"/>
      <c r="AA293" s="552"/>
      <c r="AB293" s="552"/>
      <c r="AC293" s="552"/>
    </row>
    <row r="294" spans="1:68" ht="16.5" customHeight="1" x14ac:dyDescent="0.25">
      <c r="A294" s="566" t="s">
        <v>472</v>
      </c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2"/>
      <c r="P294" s="562"/>
      <c r="Q294" s="562"/>
      <c r="R294" s="562"/>
      <c r="S294" s="562"/>
      <c r="T294" s="562"/>
      <c r="U294" s="562"/>
      <c r="V294" s="562"/>
      <c r="W294" s="562"/>
      <c r="X294" s="562"/>
      <c r="Y294" s="562"/>
      <c r="Z294" s="562"/>
      <c r="AA294" s="544"/>
      <c r="AB294" s="544"/>
      <c r="AC294" s="544"/>
    </row>
    <row r="295" spans="1:68" ht="14.25" customHeight="1" x14ac:dyDescent="0.25">
      <c r="A295" s="567" t="s">
        <v>103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5"/>
      <c r="AB295" s="545"/>
      <c r="AC295" s="545"/>
    </row>
    <row r="296" spans="1:68" ht="27" customHeight="1" x14ac:dyDescent="0.25">
      <c r="A296" s="54" t="s">
        <v>473</v>
      </c>
      <c r="B296" s="54" t="s">
        <v>474</v>
      </c>
      <c r="C296" s="31">
        <v>4301012126</v>
      </c>
      <c r="D296" s="564">
        <v>4607091386004</v>
      </c>
      <c r="E296" s="565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106</v>
      </c>
      <c r="L296" s="32"/>
      <c r="M296" s="33" t="s">
        <v>108</v>
      </c>
      <c r="N296" s="33"/>
      <c r="O296" s="32">
        <v>55</v>
      </c>
      <c r="P296" s="73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4"/>
      <c r="R296" s="554"/>
      <c r="S296" s="554"/>
      <c r="T296" s="555"/>
      <c r="U296" s="34"/>
      <c r="V296" s="34"/>
      <c r="W296" s="35" t="s">
        <v>69</v>
      </c>
      <c r="X296" s="549">
        <v>0</v>
      </c>
      <c r="Y296" s="550">
        <f t="shared" ref="Y296:Y301" si="31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 t="shared" ref="BM296:BM301" si="32">IFERROR(X296*I296/H296,"0")</f>
        <v>0</v>
      </c>
      <c r="BN296" s="64">
        <f t="shared" ref="BN296:BN301" si="33">IFERROR(Y296*I296/H296,"0")</f>
        <v>0</v>
      </c>
      <c r="BO296" s="64">
        <f t="shared" ref="BO296:BO301" si="34">IFERROR(1/J296*(X296/H296),"0")</f>
        <v>0</v>
      </c>
      <c r="BP296" s="64">
        <f t="shared" ref="BP296:BP301" si="35">IFERROR(1/J296*(Y296/H296),"0")</f>
        <v>0</v>
      </c>
    </row>
    <row r="297" spans="1:68" ht="27" customHeight="1" x14ac:dyDescent="0.25">
      <c r="A297" s="54" t="s">
        <v>476</v>
      </c>
      <c r="B297" s="54" t="s">
        <v>477</v>
      </c>
      <c r="C297" s="31">
        <v>4301012024</v>
      </c>
      <c r="D297" s="564">
        <v>4680115885615</v>
      </c>
      <c r="E297" s="565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106</v>
      </c>
      <c r="L297" s="32" t="s">
        <v>107</v>
      </c>
      <c r="M297" s="33" t="s">
        <v>80</v>
      </c>
      <c r="N297" s="33"/>
      <c r="O297" s="32">
        <v>55</v>
      </c>
      <c r="P297" s="85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 t="shared" si="31"/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 t="s">
        <v>92</v>
      </c>
      <c r="AK297" s="68">
        <v>86.4</v>
      </c>
      <c r="BB297" s="348" t="s">
        <v>1</v>
      </c>
      <c r="BM297" s="64">
        <f t="shared" si="32"/>
        <v>0</v>
      </c>
      <c r="BN297" s="64">
        <f t="shared" si="33"/>
        <v>0</v>
      </c>
      <c r="BO297" s="64">
        <f t="shared" si="34"/>
        <v>0</v>
      </c>
      <c r="BP297" s="64">
        <f t="shared" si="35"/>
        <v>0</v>
      </c>
    </row>
    <row r="298" spans="1:68" ht="37.5" customHeight="1" x14ac:dyDescent="0.25">
      <c r="A298" s="54" t="s">
        <v>479</v>
      </c>
      <c r="B298" s="54" t="s">
        <v>480</v>
      </c>
      <c r="C298" s="31">
        <v>4301011858</v>
      </c>
      <c r="D298" s="564">
        <v>4680115885646</v>
      </c>
      <c r="E298" s="565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106</v>
      </c>
      <c r="L298" s="32" t="s">
        <v>107</v>
      </c>
      <c r="M298" s="33" t="s">
        <v>108</v>
      </c>
      <c r="N298" s="33"/>
      <c r="O298" s="32">
        <v>55</v>
      </c>
      <c r="P298" s="83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27" customHeight="1" x14ac:dyDescent="0.25">
      <c r="A299" s="54" t="s">
        <v>482</v>
      </c>
      <c r="B299" s="54" t="s">
        <v>483</v>
      </c>
      <c r="C299" s="31">
        <v>4301012016</v>
      </c>
      <c r="D299" s="564">
        <v>4680115885554</v>
      </c>
      <c r="E299" s="565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106</v>
      </c>
      <c r="L299" s="32"/>
      <c r="M299" s="33" t="s">
        <v>80</v>
      </c>
      <c r="N299" s="33"/>
      <c r="O299" s="32">
        <v>55</v>
      </c>
      <c r="P299" s="7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484</v>
      </c>
      <c r="AG299" s="64"/>
      <c r="AJ299" s="68"/>
      <c r="AK299" s="68">
        <v>0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485</v>
      </c>
      <c r="B300" s="54" t="s">
        <v>486</v>
      </c>
      <c r="C300" s="31">
        <v>4301011857</v>
      </c>
      <c r="D300" s="564">
        <v>4680115885622</v>
      </c>
      <c r="E300" s="565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112</v>
      </c>
      <c r="L300" s="32" t="s">
        <v>115</v>
      </c>
      <c r="M300" s="33" t="s">
        <v>108</v>
      </c>
      <c r="N300" s="33"/>
      <c r="O300" s="32">
        <v>55</v>
      </c>
      <c r="P300" s="68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 t="shared" si="31"/>
        <v>0</v>
      </c>
      <c r="Z300" s="36" t="str">
        <f>IFERROR(IF(Y300=0,"",ROUNDUP(Y300/H300,0)*0.00902),"")</f>
        <v/>
      </c>
      <c r="AA300" s="56"/>
      <c r="AB300" s="57"/>
      <c r="AC300" s="353" t="s">
        <v>478</v>
      </c>
      <c r="AG300" s="64"/>
      <c r="AJ300" s="68" t="s">
        <v>92</v>
      </c>
      <c r="AK300" s="68">
        <v>48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4301011859</v>
      </c>
      <c r="D301" s="564">
        <v>4680115885608</v>
      </c>
      <c r="E301" s="565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112</v>
      </c>
      <c r="L301" s="32" t="s">
        <v>115</v>
      </c>
      <c r="M301" s="33" t="s">
        <v>108</v>
      </c>
      <c r="N301" s="33"/>
      <c r="O301" s="32">
        <v>55</v>
      </c>
      <c r="P301" s="8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489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8" t="s">
        <v>75</v>
      </c>
      <c r="Q302" s="569"/>
      <c r="R302" s="569"/>
      <c r="S302" s="569"/>
      <c r="T302" s="569"/>
      <c r="U302" s="569"/>
      <c r="V302" s="570"/>
      <c r="W302" s="37" t="s">
        <v>76</v>
      </c>
      <c r="X302" s="551">
        <f>IFERROR(X296/H296,"0")+IFERROR(X297/H297,"0")+IFERROR(X298/H298,"0")+IFERROR(X299/H299,"0")+IFERROR(X300/H300,"0")+IFERROR(X301/H301,"0")</f>
        <v>0</v>
      </c>
      <c r="Y302" s="551">
        <f>IFERROR(Y296/H296,"0")+IFERROR(Y297/H297,"0")+IFERROR(Y298/H298,"0")+IFERROR(Y299/H299,"0")+IFERROR(Y300/H300,"0")+IFERROR(Y301/H301,"0")</f>
        <v>0</v>
      </c>
      <c r="Z302" s="551">
        <f>IFERROR(IF(Z296="",0,Z296),"0")+IFERROR(IF(Z297="",0,Z297),"0")+IFERROR(IF(Z298="",0,Z298),"0")+IFERROR(IF(Z299="",0,Z299),"0")+IFERROR(IF(Z300="",0,Z300),"0")+IFERROR(IF(Z301="",0,Z301),"0")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8" t="s">
        <v>75</v>
      </c>
      <c r="Q303" s="569"/>
      <c r="R303" s="569"/>
      <c r="S303" s="569"/>
      <c r="T303" s="569"/>
      <c r="U303" s="569"/>
      <c r="V303" s="570"/>
      <c r="W303" s="37" t="s">
        <v>69</v>
      </c>
      <c r="X303" s="551">
        <f>IFERROR(SUM(X296:X301),"0")</f>
        <v>0</v>
      </c>
      <c r="Y303" s="551">
        <f>IFERROR(SUM(Y296:Y301),"0")</f>
        <v>0</v>
      </c>
      <c r="Z303" s="37"/>
      <c r="AA303" s="552"/>
      <c r="AB303" s="552"/>
      <c r="AC303" s="552"/>
    </row>
    <row r="304" spans="1:68" ht="14.25" customHeight="1" x14ac:dyDescent="0.25">
      <c r="A304" s="567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5"/>
      <c r="AB304" s="545"/>
      <c r="AC304" s="545"/>
    </row>
    <row r="305" spans="1:68" ht="27" customHeight="1" x14ac:dyDescent="0.25">
      <c r="A305" s="54" t="s">
        <v>490</v>
      </c>
      <c r="B305" s="54" t="s">
        <v>491</v>
      </c>
      <c r="C305" s="31">
        <v>4301030878</v>
      </c>
      <c r="D305" s="564">
        <v>4607091387193</v>
      </c>
      <c r="E305" s="565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112</v>
      </c>
      <c r="L305" s="32" t="s">
        <v>115</v>
      </c>
      <c r="M305" s="33" t="s">
        <v>68</v>
      </c>
      <c r="N305" s="33"/>
      <c r="O305" s="32">
        <v>35</v>
      </c>
      <c r="P305" s="6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50</v>
      </c>
      <c r="Y305" s="550">
        <f t="shared" ref="Y305:Y310" si="36">IFERROR(IF(X305="",0,CEILING((X305/$H305),1)*$H305),"")</f>
        <v>50.400000000000006</v>
      </c>
      <c r="Z305" s="36">
        <f>IFERROR(IF(Y305=0,"",ROUNDUP(Y305/H305,0)*0.00902),"")</f>
        <v>0.10824</v>
      </c>
      <c r="AA305" s="56"/>
      <c r="AB305" s="57"/>
      <c r="AC305" s="357" t="s">
        <v>492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7">IFERROR(X305*I305/H305,"0")</f>
        <v>52.976190476190474</v>
      </c>
      <c r="BN305" s="64">
        <f t="shared" ref="BN305:BN310" si="38">IFERROR(Y305*I305/H305,"0")</f>
        <v>53.400000000000006</v>
      </c>
      <c r="BO305" s="64">
        <f t="shared" ref="BO305:BO310" si="39">IFERROR(1/J305*(X305/H305),"0")</f>
        <v>9.0187590187590191E-2</v>
      </c>
      <c r="BP305" s="64">
        <f t="shared" ref="BP305:BP310" si="40">IFERROR(1/J305*(Y305/H305),"0")</f>
        <v>9.0909090909090912E-2</v>
      </c>
    </row>
    <row r="306" spans="1:68" ht="27" customHeight="1" x14ac:dyDescent="0.25">
      <c r="A306" s="54" t="s">
        <v>493</v>
      </c>
      <c r="B306" s="54" t="s">
        <v>494</v>
      </c>
      <c r="C306" s="31">
        <v>4301031153</v>
      </c>
      <c r="D306" s="564">
        <v>4607091387230</v>
      </c>
      <c r="E306" s="565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112</v>
      </c>
      <c r="L306" s="32" t="s">
        <v>115</v>
      </c>
      <c r="M306" s="33" t="s">
        <v>68</v>
      </c>
      <c r="N306" s="33"/>
      <c r="O306" s="32">
        <v>40</v>
      </c>
      <c r="P306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150</v>
      </c>
      <c r="Y306" s="550">
        <f t="shared" si="36"/>
        <v>151.20000000000002</v>
      </c>
      <c r="Z306" s="36">
        <f>IFERROR(IF(Y306=0,"",ROUNDUP(Y306/H306,0)*0.00902),"")</f>
        <v>0.32472000000000001</v>
      </c>
      <c r="AA306" s="56"/>
      <c r="AB306" s="57"/>
      <c r="AC306" s="359" t="s">
        <v>495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7"/>
        <v>158.92857142857142</v>
      </c>
      <c r="BN306" s="64">
        <f t="shared" si="38"/>
        <v>160.20000000000002</v>
      </c>
      <c r="BO306" s="64">
        <f t="shared" si="39"/>
        <v>0.27056277056277056</v>
      </c>
      <c r="BP306" s="64">
        <f t="shared" si="40"/>
        <v>0.27272727272727271</v>
      </c>
    </row>
    <row r="307" spans="1:68" ht="27" customHeight="1" x14ac:dyDescent="0.25">
      <c r="A307" s="54" t="s">
        <v>496</v>
      </c>
      <c r="B307" s="54" t="s">
        <v>497</v>
      </c>
      <c r="C307" s="31">
        <v>4301031154</v>
      </c>
      <c r="D307" s="564">
        <v>4607091387292</v>
      </c>
      <c r="E307" s="565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112</v>
      </c>
      <c r="L307" s="32"/>
      <c r="M307" s="33" t="s">
        <v>68</v>
      </c>
      <c r="N307" s="33"/>
      <c r="O307" s="32">
        <v>45</v>
      </c>
      <c r="P307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498</v>
      </c>
      <c r="AG307" s="64"/>
      <c r="AJ307" s="68"/>
      <c r="AK307" s="68">
        <v>0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customHeight="1" x14ac:dyDescent="0.25">
      <c r="A308" s="54" t="s">
        <v>499</v>
      </c>
      <c r="B308" s="54" t="s">
        <v>500</v>
      </c>
      <c r="C308" s="31">
        <v>4301031152</v>
      </c>
      <c r="D308" s="564">
        <v>4607091387285</v>
      </c>
      <c r="E308" s="565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70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6"/>
        <v>0</v>
      </c>
      <c r="Z308" s="36" t="str">
        <f>IFERROR(IF(Y308=0,"",ROUNDUP(Y308/H308,0)*0.00502),"")</f>
        <v/>
      </c>
      <c r="AA308" s="56"/>
      <c r="AB308" s="57"/>
      <c r="AC308" s="363" t="s">
        <v>495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4301031305</v>
      </c>
      <c r="D309" s="564">
        <v>4607091389845</v>
      </c>
      <c r="E309" s="565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292</v>
      </c>
      <c r="M309" s="33" t="s">
        <v>68</v>
      </c>
      <c r="N309" s="33"/>
      <c r="O309" s="32">
        <v>40</v>
      </c>
      <c r="P309" s="7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503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4301031066</v>
      </c>
      <c r="D310" s="564">
        <v>4607091383836</v>
      </c>
      <c r="E310" s="565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6"/>
        <v>0</v>
      </c>
      <c r="Z310" s="36" t="str">
        <f>IFERROR(IF(Y310=0,"",ROUNDUP(Y310/H310,0)*0.00651),"")</f>
        <v/>
      </c>
      <c r="AA310" s="56"/>
      <c r="AB310" s="57"/>
      <c r="AC310" s="367" t="s">
        <v>506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8" t="s">
        <v>75</v>
      </c>
      <c r="Q311" s="569"/>
      <c r="R311" s="569"/>
      <c r="S311" s="569"/>
      <c r="T311" s="569"/>
      <c r="U311" s="569"/>
      <c r="V311" s="570"/>
      <c r="W311" s="37" t="s">
        <v>76</v>
      </c>
      <c r="X311" s="551">
        <f>IFERROR(X305/H305,"0")+IFERROR(X306/H306,"0")+IFERROR(X307/H307,"0")+IFERROR(X308/H308,"0")+IFERROR(X309/H309,"0")+IFERROR(X310/H310,"0")</f>
        <v>47.61904761904762</v>
      </c>
      <c r="Y311" s="551">
        <f>IFERROR(Y305/H305,"0")+IFERROR(Y306/H306,"0")+IFERROR(Y307/H307,"0")+IFERROR(Y308/H308,"0")+IFERROR(Y309/H309,"0")+IFERROR(Y310/H310,"0")</f>
        <v>48</v>
      </c>
      <c r="Z311" s="551">
        <f>IFERROR(IF(Z305="",0,Z305),"0")+IFERROR(IF(Z306="",0,Z306),"0")+IFERROR(IF(Z307="",0,Z307),"0")+IFERROR(IF(Z308="",0,Z308),"0")+IFERROR(IF(Z309="",0,Z309),"0")+IFERROR(IF(Z310="",0,Z310),"0")</f>
        <v>0.43296000000000001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8" t="s">
        <v>75</v>
      </c>
      <c r="Q312" s="569"/>
      <c r="R312" s="569"/>
      <c r="S312" s="569"/>
      <c r="T312" s="569"/>
      <c r="U312" s="569"/>
      <c r="V312" s="570"/>
      <c r="W312" s="37" t="s">
        <v>69</v>
      </c>
      <c r="X312" s="551">
        <f>IFERROR(SUM(X305:X310),"0")</f>
        <v>200</v>
      </c>
      <c r="Y312" s="551">
        <f>IFERROR(SUM(Y305:Y310),"0")</f>
        <v>201.60000000000002</v>
      </c>
      <c r="Z312" s="37"/>
      <c r="AA312" s="552"/>
      <c r="AB312" s="552"/>
      <c r="AC312" s="552"/>
    </row>
    <row r="313" spans="1:68" ht="14.25" customHeight="1" x14ac:dyDescent="0.25">
      <c r="A313" s="567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5"/>
      <c r="AB313" s="545"/>
      <c r="AC313" s="545"/>
    </row>
    <row r="314" spans="1:68" ht="27" customHeight="1" x14ac:dyDescent="0.25">
      <c r="A314" s="54" t="s">
        <v>507</v>
      </c>
      <c r="B314" s="54" t="s">
        <v>508</v>
      </c>
      <c r="C314" s="31">
        <v>4301051100</v>
      </c>
      <c r="D314" s="564">
        <v>4607091387766</v>
      </c>
      <c r="E314" s="565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106</v>
      </c>
      <c r="L314" s="32" t="s">
        <v>107</v>
      </c>
      <c r="M314" s="33" t="s">
        <v>80</v>
      </c>
      <c r="N314" s="33"/>
      <c r="O314" s="32">
        <v>40</v>
      </c>
      <c r="P314" s="78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510</v>
      </c>
      <c r="B315" s="54" t="s">
        <v>511</v>
      </c>
      <c r="C315" s="31">
        <v>4301051818</v>
      </c>
      <c r="D315" s="564">
        <v>4607091387957</v>
      </c>
      <c r="E315" s="565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106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513</v>
      </c>
      <c r="B316" s="54" t="s">
        <v>514</v>
      </c>
      <c r="C316" s="31">
        <v>4301051819</v>
      </c>
      <c r="D316" s="564">
        <v>4607091387964</v>
      </c>
      <c r="E316" s="565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106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516</v>
      </c>
      <c r="B317" s="54" t="s">
        <v>517</v>
      </c>
      <c r="C317" s="31">
        <v>4301051734</v>
      </c>
      <c r="D317" s="564">
        <v>4680115884588</v>
      </c>
      <c r="E317" s="565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518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8" t="s">
        <v>75</v>
      </c>
      <c r="Q318" s="569"/>
      <c r="R318" s="569"/>
      <c r="S318" s="569"/>
      <c r="T318" s="569"/>
      <c r="U318" s="569"/>
      <c r="V318" s="570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8" t="s">
        <v>75</v>
      </c>
      <c r="Q319" s="569"/>
      <c r="R319" s="569"/>
      <c r="S319" s="569"/>
      <c r="T319" s="569"/>
      <c r="U319" s="569"/>
      <c r="V319" s="570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7" t="s">
        <v>163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5"/>
      <c r="AB320" s="545"/>
      <c r="AC320" s="545"/>
    </row>
    <row r="321" spans="1:68" ht="27" customHeight="1" x14ac:dyDescent="0.25">
      <c r="A321" s="54" t="s">
        <v>519</v>
      </c>
      <c r="B321" s="54" t="s">
        <v>520</v>
      </c>
      <c r="C321" s="31">
        <v>4301060387</v>
      </c>
      <c r="D321" s="564">
        <v>4607091380880</v>
      </c>
      <c r="E321" s="565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106</v>
      </c>
      <c r="L321" s="32" t="s">
        <v>107</v>
      </c>
      <c r="M321" s="33" t="s">
        <v>80</v>
      </c>
      <c r="N321" s="33"/>
      <c r="O321" s="32">
        <v>30</v>
      </c>
      <c r="P321" s="80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522</v>
      </c>
      <c r="B322" s="54" t="s">
        <v>523</v>
      </c>
      <c r="C322" s="31">
        <v>4301060406</v>
      </c>
      <c r="D322" s="564">
        <v>4607091384482</v>
      </c>
      <c r="E322" s="565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106</v>
      </c>
      <c r="L322" s="32" t="s">
        <v>107</v>
      </c>
      <c r="M322" s="33" t="s">
        <v>80</v>
      </c>
      <c r="N322" s="33"/>
      <c r="O322" s="32">
        <v>30</v>
      </c>
      <c r="P322" s="7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50</v>
      </c>
      <c r="Y322" s="550">
        <f>IFERROR(IF(X322="",0,CEILING((X322/$H322),1)*$H322),"")</f>
        <v>54.6</v>
      </c>
      <c r="Z322" s="36">
        <f>IFERROR(IF(Y322=0,"",ROUNDUP(Y322/H322,0)*0.01898),"")</f>
        <v>0.13286000000000001</v>
      </c>
      <c r="AA322" s="56"/>
      <c r="AB322" s="57"/>
      <c r="AC322" s="379" t="s">
        <v>524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53.166666666666671</v>
      </c>
      <c r="BN322" s="64">
        <f>IFERROR(Y322*I322/H322,"0")</f>
        <v>58.058000000000007</v>
      </c>
      <c r="BO322" s="64">
        <f>IFERROR(1/J322*(X322/H322),"0")</f>
        <v>0.10016025641025642</v>
      </c>
      <c r="BP322" s="64">
        <f>IFERROR(1/J322*(Y322/H322),"0")</f>
        <v>0.109375</v>
      </c>
    </row>
    <row r="323" spans="1:68" ht="16.5" customHeight="1" x14ac:dyDescent="0.25">
      <c r="A323" s="54" t="s">
        <v>525</v>
      </c>
      <c r="B323" s="54" t="s">
        <v>526</v>
      </c>
      <c r="C323" s="31">
        <v>4301060484</v>
      </c>
      <c r="D323" s="564">
        <v>4607091380897</v>
      </c>
      <c r="E323" s="565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106</v>
      </c>
      <c r="L323" s="32" t="s">
        <v>107</v>
      </c>
      <c r="M323" s="33" t="s">
        <v>86</v>
      </c>
      <c r="N323" s="33"/>
      <c r="O323" s="32">
        <v>30</v>
      </c>
      <c r="P323" s="8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527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8" t="s">
        <v>75</v>
      </c>
      <c r="Q324" s="569"/>
      <c r="R324" s="569"/>
      <c r="S324" s="569"/>
      <c r="T324" s="569"/>
      <c r="U324" s="569"/>
      <c r="V324" s="570"/>
      <c r="W324" s="37" t="s">
        <v>76</v>
      </c>
      <c r="X324" s="551">
        <f>IFERROR(X321/H321,"0")+IFERROR(X322/H322,"0")+IFERROR(X323/H323,"0")</f>
        <v>6.4102564102564106</v>
      </c>
      <c r="Y324" s="551">
        <f>IFERROR(Y321/H321,"0")+IFERROR(Y322/H322,"0")+IFERROR(Y323/H323,"0")</f>
        <v>7</v>
      </c>
      <c r="Z324" s="551">
        <f>IFERROR(IF(Z321="",0,Z321),"0")+IFERROR(IF(Z322="",0,Z322),"0")+IFERROR(IF(Z323="",0,Z323),"0")</f>
        <v>0.13286000000000001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8" t="s">
        <v>75</v>
      </c>
      <c r="Q325" s="569"/>
      <c r="R325" s="569"/>
      <c r="S325" s="569"/>
      <c r="T325" s="569"/>
      <c r="U325" s="569"/>
      <c r="V325" s="570"/>
      <c r="W325" s="37" t="s">
        <v>69</v>
      </c>
      <c r="X325" s="551">
        <f>IFERROR(SUM(X321:X323),"0")</f>
        <v>50</v>
      </c>
      <c r="Y325" s="551">
        <f>IFERROR(SUM(Y321:Y323),"0")</f>
        <v>54.6</v>
      </c>
      <c r="Z325" s="37"/>
      <c r="AA325" s="552"/>
      <c r="AB325" s="552"/>
      <c r="AC325" s="552"/>
    </row>
    <row r="326" spans="1:68" ht="14.25" customHeight="1" x14ac:dyDescent="0.25">
      <c r="A326" s="567" t="s">
        <v>95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5"/>
      <c r="AB326" s="545"/>
      <c r="AC326" s="545"/>
    </row>
    <row r="327" spans="1:68" ht="27" customHeight="1" x14ac:dyDescent="0.25">
      <c r="A327" s="54" t="s">
        <v>528</v>
      </c>
      <c r="B327" s="54" t="s">
        <v>529</v>
      </c>
      <c r="C327" s="31">
        <v>4301030235</v>
      </c>
      <c r="D327" s="564">
        <v>4607091388381</v>
      </c>
      <c r="E327" s="565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112</v>
      </c>
      <c r="L327" s="32"/>
      <c r="M327" s="33" t="s">
        <v>98</v>
      </c>
      <c r="N327" s="33"/>
      <c r="O327" s="32">
        <v>180</v>
      </c>
      <c r="P327" s="76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530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531</v>
      </c>
      <c r="B328" s="54" t="s">
        <v>532</v>
      </c>
      <c r="C328" s="31">
        <v>4301030232</v>
      </c>
      <c r="D328" s="564">
        <v>4607091388374</v>
      </c>
      <c r="E328" s="565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112</v>
      </c>
      <c r="L328" s="32"/>
      <c r="M328" s="33" t="s">
        <v>98</v>
      </c>
      <c r="N328" s="33"/>
      <c r="O328" s="32">
        <v>180</v>
      </c>
      <c r="P328" s="57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4301032015</v>
      </c>
      <c r="D329" s="564">
        <v>4607091383102</v>
      </c>
      <c r="E329" s="565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98</v>
      </c>
      <c r="N329" s="33"/>
      <c r="O329" s="32">
        <v>180</v>
      </c>
      <c r="P329" s="6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4301030233</v>
      </c>
      <c r="D330" s="564">
        <v>4607091388404</v>
      </c>
      <c r="E330" s="565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90</v>
      </c>
      <c r="M330" s="33" t="s">
        <v>98</v>
      </c>
      <c r="N330" s="33"/>
      <c r="O330" s="32">
        <v>180</v>
      </c>
      <c r="P330" s="7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8" t="s">
        <v>75</v>
      </c>
      <c r="Q331" s="569"/>
      <c r="R331" s="569"/>
      <c r="S331" s="569"/>
      <c r="T331" s="569"/>
      <c r="U331" s="569"/>
      <c r="V331" s="570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8" t="s">
        <v>75</v>
      </c>
      <c r="Q332" s="569"/>
      <c r="R332" s="569"/>
      <c r="S332" s="569"/>
      <c r="T332" s="569"/>
      <c r="U332" s="569"/>
      <c r="V332" s="570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customHeight="1" x14ac:dyDescent="0.25">
      <c r="A333" s="567" t="s">
        <v>538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5"/>
      <c r="AB333" s="545"/>
      <c r="AC333" s="545"/>
    </row>
    <row r="334" spans="1:68" ht="16.5" customHeight="1" x14ac:dyDescent="0.25">
      <c r="A334" s="54" t="s">
        <v>539</v>
      </c>
      <c r="B334" s="54" t="s">
        <v>540</v>
      </c>
      <c r="C334" s="31">
        <v>4301180007</v>
      </c>
      <c r="D334" s="564">
        <v>4680115881808</v>
      </c>
      <c r="E334" s="565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541</v>
      </c>
      <c r="N334" s="33"/>
      <c r="O334" s="32">
        <v>730</v>
      </c>
      <c r="P334" s="6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542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543</v>
      </c>
      <c r="B335" s="54" t="s">
        <v>544</v>
      </c>
      <c r="C335" s="31">
        <v>4301180006</v>
      </c>
      <c r="D335" s="564">
        <v>4680115881822</v>
      </c>
      <c r="E335" s="565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541</v>
      </c>
      <c r="N335" s="33"/>
      <c r="O335" s="32">
        <v>730</v>
      </c>
      <c r="P335" s="79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542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4301180001</v>
      </c>
      <c r="D336" s="564">
        <v>4680115880016</v>
      </c>
      <c r="E336" s="565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541</v>
      </c>
      <c r="N336" s="33"/>
      <c r="O336" s="32">
        <v>730</v>
      </c>
      <c r="P336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542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8" t="s">
        <v>75</v>
      </c>
      <c r="Q337" s="569"/>
      <c r="R337" s="569"/>
      <c r="S337" s="569"/>
      <c r="T337" s="569"/>
      <c r="U337" s="569"/>
      <c r="V337" s="570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8" t="s">
        <v>75</v>
      </c>
      <c r="Q338" s="569"/>
      <c r="R338" s="569"/>
      <c r="S338" s="569"/>
      <c r="T338" s="569"/>
      <c r="U338" s="569"/>
      <c r="V338" s="570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customHeight="1" x14ac:dyDescent="0.25">
      <c r="A339" s="566" t="s">
        <v>547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7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5"/>
      <c r="AB340" s="545"/>
      <c r="AC340" s="545"/>
    </row>
    <row r="341" spans="1:68" ht="27" customHeight="1" x14ac:dyDescent="0.25">
      <c r="A341" s="54" t="s">
        <v>548</v>
      </c>
      <c r="B341" s="54" t="s">
        <v>549</v>
      </c>
      <c r="C341" s="31">
        <v>4301051489</v>
      </c>
      <c r="D341" s="564">
        <v>4607091387919</v>
      </c>
      <c r="E341" s="565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106</v>
      </c>
      <c r="L341" s="32" t="s">
        <v>107</v>
      </c>
      <c r="M341" s="33" t="s">
        <v>86</v>
      </c>
      <c r="N341" s="33"/>
      <c r="O341" s="32">
        <v>45</v>
      </c>
      <c r="P341" s="8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550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551</v>
      </c>
      <c r="B342" s="54" t="s">
        <v>552</v>
      </c>
      <c r="C342" s="31">
        <v>4301051461</v>
      </c>
      <c r="D342" s="564">
        <v>4680115883604</v>
      </c>
      <c r="E342" s="565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554</v>
      </c>
      <c r="B343" s="54" t="s">
        <v>555</v>
      </c>
      <c r="C343" s="31">
        <v>4301051864</v>
      </c>
      <c r="D343" s="564">
        <v>4680115883567</v>
      </c>
      <c r="E343" s="565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556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8" t="s">
        <v>75</v>
      </c>
      <c r="Q344" s="569"/>
      <c r="R344" s="569"/>
      <c r="S344" s="569"/>
      <c r="T344" s="569"/>
      <c r="U344" s="569"/>
      <c r="V344" s="570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8" t="s">
        <v>75</v>
      </c>
      <c r="Q345" s="569"/>
      <c r="R345" s="569"/>
      <c r="S345" s="569"/>
      <c r="T345" s="569"/>
      <c r="U345" s="569"/>
      <c r="V345" s="570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customHeight="1" x14ac:dyDescent="0.2">
      <c r="A346" s="716" t="s">
        <v>557</v>
      </c>
      <c r="B346" s="717"/>
      <c r="C346" s="717"/>
      <c r="D346" s="717"/>
      <c r="E346" s="717"/>
      <c r="F346" s="717"/>
      <c r="G346" s="717"/>
      <c r="H346" s="717"/>
      <c r="I346" s="717"/>
      <c r="J346" s="717"/>
      <c r="K346" s="717"/>
      <c r="L346" s="717"/>
      <c r="M346" s="717"/>
      <c r="N346" s="717"/>
      <c r="O346" s="717"/>
      <c r="P346" s="717"/>
      <c r="Q346" s="717"/>
      <c r="R346" s="717"/>
      <c r="S346" s="717"/>
      <c r="T346" s="717"/>
      <c r="U346" s="717"/>
      <c r="V346" s="717"/>
      <c r="W346" s="717"/>
      <c r="X346" s="717"/>
      <c r="Y346" s="717"/>
      <c r="Z346" s="717"/>
      <c r="AA346" s="48"/>
      <c r="AB346" s="48"/>
      <c r="AC346" s="48"/>
    </row>
    <row r="347" spans="1:68" ht="16.5" customHeight="1" x14ac:dyDescent="0.25">
      <c r="A347" s="566" t="s">
        <v>558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7" t="s">
        <v>103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5"/>
      <c r="AB348" s="545"/>
      <c r="AC348" s="545"/>
    </row>
    <row r="349" spans="1:68" ht="37.5" customHeight="1" x14ac:dyDescent="0.25">
      <c r="A349" s="54" t="s">
        <v>559</v>
      </c>
      <c r="B349" s="54" t="s">
        <v>560</v>
      </c>
      <c r="C349" s="31">
        <v>4301011869</v>
      </c>
      <c r="D349" s="564">
        <v>4680115884847</v>
      </c>
      <c r="E349" s="565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106</v>
      </c>
      <c r="L349" s="32"/>
      <c r="M349" s="33" t="s">
        <v>68</v>
      </c>
      <c r="N349" s="33"/>
      <c r="O349" s="32">
        <v>60</v>
      </c>
      <c r="P349" s="8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1300</v>
      </c>
      <c r="Y349" s="550">
        <f t="shared" ref="Y349:Y355" si="41">IFERROR(IF(X349="",0,CEILING((X349/$H349),1)*$H349),"")</f>
        <v>1305</v>
      </c>
      <c r="Z349" s="36">
        <f>IFERROR(IF(Y349=0,"",ROUNDUP(Y349/H349,0)*0.02175),"")</f>
        <v>1.8922499999999998</v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ref="BM349:BM355" si="42">IFERROR(X349*I349/H349,"0")</f>
        <v>1340.7333333333333</v>
      </c>
      <c r="BN349" s="64">
        <f t="shared" ref="BN349:BN355" si="43">IFERROR(Y349*I349/H349,"0")</f>
        <v>1345.89</v>
      </c>
      <c r="BO349" s="64">
        <f t="shared" ref="BO349:BO355" si="44">IFERROR(1/J349*(X349/H349),"0")</f>
        <v>1.8055555555555556</v>
      </c>
      <c r="BP349" s="64">
        <f t="shared" ref="BP349:BP355" si="45">IFERROR(1/J349*(Y349/H349),"0")</f>
        <v>1.8125</v>
      </c>
    </row>
    <row r="350" spans="1:68" ht="27" customHeight="1" x14ac:dyDescent="0.25">
      <c r="A350" s="54" t="s">
        <v>562</v>
      </c>
      <c r="B350" s="54" t="s">
        <v>563</v>
      </c>
      <c r="C350" s="31">
        <v>4301011870</v>
      </c>
      <c r="D350" s="564">
        <v>4680115884854</v>
      </c>
      <c r="E350" s="565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106</v>
      </c>
      <c r="L350" s="32"/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750</v>
      </c>
      <c r="Y350" s="550">
        <f t="shared" si="41"/>
        <v>750</v>
      </c>
      <c r="Z350" s="36">
        <f>IFERROR(IF(Y350=0,"",ROUNDUP(Y350/H350,0)*0.02175),"")</f>
        <v>1.0874999999999999</v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42"/>
        <v>773.5</v>
      </c>
      <c r="BN350" s="64">
        <f t="shared" si="43"/>
        <v>773.5</v>
      </c>
      <c r="BO350" s="64">
        <f t="shared" si="44"/>
        <v>1.0416666666666665</v>
      </c>
      <c r="BP350" s="64">
        <f t="shared" si="45"/>
        <v>1.0416666666666665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64">
        <v>4680115887046</v>
      </c>
      <c r="E351" s="565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106</v>
      </c>
      <c r="L351" s="32"/>
      <c r="M351" s="33" t="s">
        <v>86</v>
      </c>
      <c r="N351" s="33"/>
      <c r="O351" s="32">
        <v>60</v>
      </c>
      <c r="P351" s="69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0</v>
      </c>
      <c r="Y351" s="550">
        <f t="shared" si="41"/>
        <v>0</v>
      </c>
      <c r="Z351" s="36" t="str">
        <f>IFERROR(IF(Y351=0,"",ROUNDUP(Y351/H351,0)*0.02175),"")</f>
        <v/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42"/>
        <v>0</v>
      </c>
      <c r="BN351" s="64">
        <f t="shared" si="43"/>
        <v>0</v>
      </c>
      <c r="BO351" s="64">
        <f t="shared" si="44"/>
        <v>0</v>
      </c>
      <c r="BP351" s="64">
        <f t="shared" si="45"/>
        <v>0</v>
      </c>
    </row>
    <row r="352" spans="1:68" ht="37.5" customHeight="1" x14ac:dyDescent="0.25">
      <c r="A352" s="54" t="s">
        <v>568</v>
      </c>
      <c r="B352" s="54" t="s">
        <v>569</v>
      </c>
      <c r="C352" s="31">
        <v>4301011867</v>
      </c>
      <c r="D352" s="564">
        <v>4680115884830</v>
      </c>
      <c r="E352" s="565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2000</v>
      </c>
      <c r="Y352" s="550">
        <f t="shared" si="41"/>
        <v>2010</v>
      </c>
      <c r="Z352" s="36">
        <f>IFERROR(IF(Y352=0,"",ROUNDUP(Y352/H352,0)*0.02175),"")</f>
        <v>2.9144999999999999</v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42"/>
        <v>2062.6666666666665</v>
      </c>
      <c r="BN352" s="64">
        <f t="shared" si="43"/>
        <v>2072.98</v>
      </c>
      <c r="BO352" s="64">
        <f t="shared" si="44"/>
        <v>2.7777777777777777</v>
      </c>
      <c r="BP352" s="64">
        <f t="shared" si="45"/>
        <v>2.7916666666666665</v>
      </c>
    </row>
    <row r="353" spans="1:68" ht="27" customHeight="1" x14ac:dyDescent="0.25">
      <c r="A353" s="54" t="s">
        <v>571</v>
      </c>
      <c r="B353" s="54" t="s">
        <v>572</v>
      </c>
      <c r="C353" s="31">
        <v>4301011433</v>
      </c>
      <c r="D353" s="564">
        <v>4680115882638</v>
      </c>
      <c r="E353" s="565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112</v>
      </c>
      <c r="L353" s="32"/>
      <c r="M353" s="33" t="s">
        <v>108</v>
      </c>
      <c r="N353" s="33"/>
      <c r="O353" s="32">
        <v>90</v>
      </c>
      <c r="P353" s="6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41"/>
        <v>0</v>
      </c>
      <c r="Z353" s="36" t="str">
        <f>IFERROR(IF(Y353=0,"",ROUNDUP(Y353/H353,0)*0.00902),"")</f>
        <v/>
      </c>
      <c r="AA353" s="56"/>
      <c r="AB353" s="57"/>
      <c r="AC353" s="411" t="s">
        <v>573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574</v>
      </c>
      <c r="B354" s="54" t="s">
        <v>575</v>
      </c>
      <c r="C354" s="31">
        <v>4301011952</v>
      </c>
      <c r="D354" s="564">
        <v>4680115884922</v>
      </c>
      <c r="E354" s="565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112</v>
      </c>
      <c r="L354" s="32"/>
      <c r="M354" s="33" t="s">
        <v>68</v>
      </c>
      <c r="N354" s="33"/>
      <c r="O354" s="32">
        <v>60</v>
      </c>
      <c r="P354" s="82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37.5" customHeight="1" x14ac:dyDescent="0.25">
      <c r="A355" s="54" t="s">
        <v>576</v>
      </c>
      <c r="B355" s="54" t="s">
        <v>577</v>
      </c>
      <c r="C355" s="31">
        <v>4301011868</v>
      </c>
      <c r="D355" s="564">
        <v>4680115884861</v>
      </c>
      <c r="E355" s="565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112</v>
      </c>
      <c r="L355" s="32" t="s">
        <v>115</v>
      </c>
      <c r="M355" s="33" t="s">
        <v>68</v>
      </c>
      <c r="N355" s="33"/>
      <c r="O355" s="32">
        <v>60</v>
      </c>
      <c r="P355" s="86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570</v>
      </c>
      <c r="AG355" s="64"/>
      <c r="AJ355" s="68" t="s">
        <v>92</v>
      </c>
      <c r="AK355" s="68">
        <v>60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8" t="s">
        <v>75</v>
      </c>
      <c r="Q356" s="569"/>
      <c r="R356" s="569"/>
      <c r="S356" s="569"/>
      <c r="T356" s="569"/>
      <c r="U356" s="569"/>
      <c r="V356" s="570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270</v>
      </c>
      <c r="Y356" s="551">
        <f>IFERROR(Y349/H349,"0")+IFERROR(Y350/H350,"0")+IFERROR(Y351/H351,"0")+IFERROR(Y352/H352,"0")+IFERROR(Y353/H353,"0")+IFERROR(Y354/H354,"0")+IFERROR(Y355/H355,"0")</f>
        <v>271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5.8942499999999995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8" t="s">
        <v>75</v>
      </c>
      <c r="Q357" s="569"/>
      <c r="R357" s="569"/>
      <c r="S357" s="569"/>
      <c r="T357" s="569"/>
      <c r="U357" s="569"/>
      <c r="V357" s="570"/>
      <c r="W357" s="37" t="s">
        <v>69</v>
      </c>
      <c r="X357" s="551">
        <f>IFERROR(SUM(X349:X355),"0")</f>
        <v>4050</v>
      </c>
      <c r="Y357" s="551">
        <f>IFERROR(SUM(Y349:Y355),"0")</f>
        <v>4065</v>
      </c>
      <c r="Z357" s="37"/>
      <c r="AA357" s="552"/>
      <c r="AB357" s="552"/>
      <c r="AC357" s="552"/>
    </row>
    <row r="358" spans="1:68" ht="14.25" customHeight="1" x14ac:dyDescent="0.25">
      <c r="A358" s="567" t="s">
        <v>138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5"/>
      <c r="AB358" s="545"/>
      <c r="AC358" s="545"/>
    </row>
    <row r="359" spans="1:68" ht="27" customHeight="1" x14ac:dyDescent="0.25">
      <c r="A359" s="54" t="s">
        <v>578</v>
      </c>
      <c r="B359" s="54" t="s">
        <v>579</v>
      </c>
      <c r="C359" s="31">
        <v>4301020178</v>
      </c>
      <c r="D359" s="564">
        <v>4607091383980</v>
      </c>
      <c r="E359" s="565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106</v>
      </c>
      <c r="L359" s="32"/>
      <c r="M359" s="33" t="s">
        <v>108</v>
      </c>
      <c r="N359" s="33"/>
      <c r="O359" s="32">
        <v>50</v>
      </c>
      <c r="P359" s="8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1200</v>
      </c>
      <c r="Y359" s="550">
        <f>IFERROR(IF(X359="",0,CEILING((X359/$H359),1)*$H359),"")</f>
        <v>1200</v>
      </c>
      <c r="Z359" s="36">
        <f>IFERROR(IF(Y359=0,"",ROUNDUP(Y359/H359,0)*0.02175),"")</f>
        <v>1.7399999999999998</v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1237.5999999999999</v>
      </c>
      <c r="BN359" s="64">
        <f>IFERROR(Y359*I359/H359,"0")</f>
        <v>1237.5999999999999</v>
      </c>
      <c r="BO359" s="64">
        <f>IFERROR(1/J359*(X359/H359),"0")</f>
        <v>1.6666666666666665</v>
      </c>
      <c r="BP359" s="64">
        <f>IFERROR(1/J359*(Y359/H359),"0")</f>
        <v>1.6666666666666665</v>
      </c>
    </row>
    <row r="360" spans="1:68" ht="27" customHeight="1" x14ac:dyDescent="0.25">
      <c r="A360" s="54" t="s">
        <v>581</v>
      </c>
      <c r="B360" s="54" t="s">
        <v>582</v>
      </c>
      <c r="C360" s="31">
        <v>4301020179</v>
      </c>
      <c r="D360" s="564">
        <v>4607091384178</v>
      </c>
      <c r="E360" s="565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112</v>
      </c>
      <c r="L360" s="32"/>
      <c r="M360" s="33" t="s">
        <v>108</v>
      </c>
      <c r="N360" s="33"/>
      <c r="O360" s="32">
        <v>50</v>
      </c>
      <c r="P360" s="8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583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8" t="s">
        <v>75</v>
      </c>
      <c r="Q361" s="569"/>
      <c r="R361" s="569"/>
      <c r="S361" s="569"/>
      <c r="T361" s="569"/>
      <c r="U361" s="569"/>
      <c r="V361" s="570"/>
      <c r="W361" s="37" t="s">
        <v>76</v>
      </c>
      <c r="X361" s="551">
        <f>IFERROR(X359/H359,"0")+IFERROR(X360/H360,"0")</f>
        <v>80</v>
      </c>
      <c r="Y361" s="551">
        <f>IFERROR(Y359/H359,"0")+IFERROR(Y360/H360,"0")</f>
        <v>80</v>
      </c>
      <c r="Z361" s="551">
        <f>IFERROR(IF(Z359="",0,Z359),"0")+IFERROR(IF(Z360="",0,Z360),"0")</f>
        <v>1.7399999999999998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8" t="s">
        <v>75</v>
      </c>
      <c r="Q362" s="569"/>
      <c r="R362" s="569"/>
      <c r="S362" s="569"/>
      <c r="T362" s="569"/>
      <c r="U362" s="569"/>
      <c r="V362" s="570"/>
      <c r="W362" s="37" t="s">
        <v>69</v>
      </c>
      <c r="X362" s="551">
        <f>IFERROR(SUM(X359:X360),"0")</f>
        <v>1200</v>
      </c>
      <c r="Y362" s="551">
        <f>IFERROR(SUM(Y359:Y360),"0")</f>
        <v>1200</v>
      </c>
      <c r="Z362" s="37"/>
      <c r="AA362" s="552"/>
      <c r="AB362" s="552"/>
      <c r="AC362" s="552"/>
    </row>
    <row r="363" spans="1:68" ht="14.25" customHeight="1" x14ac:dyDescent="0.25">
      <c r="A363" s="567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5"/>
      <c r="AB363" s="545"/>
      <c r="AC363" s="545"/>
    </row>
    <row r="364" spans="1:68" ht="27" customHeight="1" x14ac:dyDescent="0.25">
      <c r="A364" s="54" t="s">
        <v>584</v>
      </c>
      <c r="B364" s="54" t="s">
        <v>585</v>
      </c>
      <c r="C364" s="31">
        <v>4301051903</v>
      </c>
      <c r="D364" s="564">
        <v>4607091383928</v>
      </c>
      <c r="E364" s="565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106</v>
      </c>
      <c r="L364" s="32" t="s">
        <v>107</v>
      </c>
      <c r="M364" s="33" t="s">
        <v>80</v>
      </c>
      <c r="N364" s="33"/>
      <c r="O364" s="32">
        <v>40</v>
      </c>
      <c r="P364" s="8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50</v>
      </c>
      <c r="Y364" s="550">
        <f>IFERROR(IF(X364="",0,CEILING((X364/$H364),1)*$H364),"")</f>
        <v>54</v>
      </c>
      <c r="Z364" s="36">
        <f>IFERROR(IF(Y364=0,"",ROUNDUP(Y364/H364,0)*0.01898),"")</f>
        <v>0.11388000000000001</v>
      </c>
      <c r="AA364" s="56"/>
      <c r="AB364" s="57"/>
      <c r="AC364" s="421" t="s">
        <v>586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52.777777777777779</v>
      </c>
      <c r="BN364" s="64">
        <f>IFERROR(Y364*I364/H364,"0")</f>
        <v>57</v>
      </c>
      <c r="BO364" s="64">
        <f>IFERROR(1/J364*(X364/H364),"0")</f>
        <v>8.6805555555555552E-2</v>
      </c>
      <c r="BP364" s="64">
        <f>IFERROR(1/J364*(Y364/H364),"0")</f>
        <v>9.375E-2</v>
      </c>
    </row>
    <row r="365" spans="1:68" ht="27" customHeight="1" x14ac:dyDescent="0.25">
      <c r="A365" s="54" t="s">
        <v>587</v>
      </c>
      <c r="B365" s="54" t="s">
        <v>588</v>
      </c>
      <c r="C365" s="31">
        <v>4301051897</v>
      </c>
      <c r="D365" s="564">
        <v>4607091384260</v>
      </c>
      <c r="E365" s="565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106</v>
      </c>
      <c r="L365" s="32" t="s">
        <v>107</v>
      </c>
      <c r="M365" s="33" t="s">
        <v>80</v>
      </c>
      <c r="N365" s="33"/>
      <c r="O365" s="32">
        <v>40</v>
      </c>
      <c r="P365" s="82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60</v>
      </c>
      <c r="Y365" s="550">
        <f>IFERROR(IF(X365="",0,CEILING((X365/$H365),1)*$H365),"")</f>
        <v>63</v>
      </c>
      <c r="Z365" s="36">
        <f>IFERROR(IF(Y365=0,"",ROUNDUP(Y365/H365,0)*0.01898),"")</f>
        <v>0.13286000000000001</v>
      </c>
      <c r="AA365" s="56"/>
      <c r="AB365" s="57"/>
      <c r="AC365" s="423" t="s">
        <v>589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63.293333333333329</v>
      </c>
      <c r="BN365" s="64">
        <f>IFERROR(Y365*I365/H365,"0")</f>
        <v>66.457999999999998</v>
      </c>
      <c r="BO365" s="64">
        <f>IFERROR(1/J365*(X365/H365),"0")</f>
        <v>0.10416666666666667</v>
      </c>
      <c r="BP365" s="64">
        <f>IFERROR(1/J365*(Y365/H365),"0")</f>
        <v>0.109375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8" t="s">
        <v>75</v>
      </c>
      <c r="Q366" s="569"/>
      <c r="R366" s="569"/>
      <c r="S366" s="569"/>
      <c r="T366" s="569"/>
      <c r="U366" s="569"/>
      <c r="V366" s="570"/>
      <c r="W366" s="37" t="s">
        <v>76</v>
      </c>
      <c r="X366" s="551">
        <f>IFERROR(X364/H364,"0")+IFERROR(X365/H365,"0")</f>
        <v>12.222222222222221</v>
      </c>
      <c r="Y366" s="551">
        <f>IFERROR(Y364/H364,"0")+IFERROR(Y365/H365,"0")</f>
        <v>13</v>
      </c>
      <c r="Z366" s="551">
        <f>IFERROR(IF(Z364="",0,Z364),"0")+IFERROR(IF(Z365="",0,Z365),"0")</f>
        <v>0.24674000000000001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8" t="s">
        <v>75</v>
      </c>
      <c r="Q367" s="569"/>
      <c r="R367" s="569"/>
      <c r="S367" s="569"/>
      <c r="T367" s="569"/>
      <c r="U367" s="569"/>
      <c r="V367" s="570"/>
      <c r="W367" s="37" t="s">
        <v>69</v>
      </c>
      <c r="X367" s="551">
        <f>IFERROR(SUM(X364:X365),"0")</f>
        <v>110</v>
      </c>
      <c r="Y367" s="551">
        <f>IFERROR(SUM(Y364:Y365),"0")</f>
        <v>117</v>
      </c>
      <c r="Z367" s="37"/>
      <c r="AA367" s="552"/>
      <c r="AB367" s="552"/>
      <c r="AC367" s="552"/>
    </row>
    <row r="368" spans="1:68" ht="14.25" customHeight="1" x14ac:dyDescent="0.25">
      <c r="A368" s="567" t="s">
        <v>163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5"/>
      <c r="AB368" s="545"/>
      <c r="AC368" s="545"/>
    </row>
    <row r="369" spans="1:68" ht="16.5" customHeight="1" x14ac:dyDescent="0.25">
      <c r="A369" s="54" t="s">
        <v>590</v>
      </c>
      <c r="B369" s="54" t="s">
        <v>591</v>
      </c>
      <c r="C369" s="31">
        <v>4301060524</v>
      </c>
      <c r="D369" s="564">
        <v>4607091384673</v>
      </c>
      <c r="E369" s="565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106</v>
      </c>
      <c r="L369" s="32"/>
      <c r="M369" s="33" t="s">
        <v>80</v>
      </c>
      <c r="N369" s="33"/>
      <c r="O369" s="32">
        <v>40</v>
      </c>
      <c r="P369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70</v>
      </c>
      <c r="Y369" s="550">
        <f>IFERROR(IF(X369="",0,CEILING((X369/$H369),1)*$H369),"")</f>
        <v>72</v>
      </c>
      <c r="Z369" s="36">
        <f>IFERROR(IF(Y369=0,"",ROUNDUP(Y369/H369,0)*0.01898),"")</f>
        <v>0.15184</v>
      </c>
      <c r="AA369" s="56"/>
      <c r="AB369" s="57"/>
      <c r="AC369" s="425" t="s">
        <v>592</v>
      </c>
      <c r="AG369" s="64"/>
      <c r="AJ369" s="68"/>
      <c r="AK369" s="68">
        <v>0</v>
      </c>
      <c r="BB369" s="426" t="s">
        <v>1</v>
      </c>
      <c r="BM369" s="64">
        <f>IFERROR(X369*I369/H369,"0")</f>
        <v>73.842222222222219</v>
      </c>
      <c r="BN369" s="64">
        <f>IFERROR(Y369*I369/H369,"0")</f>
        <v>75.951999999999998</v>
      </c>
      <c r="BO369" s="64">
        <f>IFERROR(1/J369*(X369/H369),"0")</f>
        <v>0.12152777777777778</v>
      </c>
      <c r="BP369" s="64">
        <f>IFERROR(1/J369*(Y369/H369),"0")</f>
        <v>0.125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8" t="s">
        <v>75</v>
      </c>
      <c r="Q370" s="569"/>
      <c r="R370" s="569"/>
      <c r="S370" s="569"/>
      <c r="T370" s="569"/>
      <c r="U370" s="569"/>
      <c r="V370" s="570"/>
      <c r="W370" s="37" t="s">
        <v>76</v>
      </c>
      <c r="X370" s="551">
        <f>IFERROR(X369/H369,"0")</f>
        <v>7.7777777777777777</v>
      </c>
      <c r="Y370" s="551">
        <f>IFERROR(Y369/H369,"0")</f>
        <v>8</v>
      </c>
      <c r="Z370" s="551">
        <f>IFERROR(IF(Z369="",0,Z369),"0")</f>
        <v>0.15184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8" t="s">
        <v>75</v>
      </c>
      <c r="Q371" s="569"/>
      <c r="R371" s="569"/>
      <c r="S371" s="569"/>
      <c r="T371" s="569"/>
      <c r="U371" s="569"/>
      <c r="V371" s="570"/>
      <c r="W371" s="37" t="s">
        <v>69</v>
      </c>
      <c r="X371" s="551">
        <f>IFERROR(SUM(X369:X369),"0")</f>
        <v>70</v>
      </c>
      <c r="Y371" s="551">
        <f>IFERROR(SUM(Y369:Y369),"0")</f>
        <v>72</v>
      </c>
      <c r="Z371" s="37"/>
      <c r="AA371" s="552"/>
      <c r="AB371" s="552"/>
      <c r="AC371" s="552"/>
    </row>
    <row r="372" spans="1:68" ht="16.5" customHeight="1" x14ac:dyDescent="0.25">
      <c r="A372" s="566" t="s">
        <v>593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7" t="s">
        <v>103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5"/>
      <c r="AB373" s="545"/>
      <c r="AC373" s="545"/>
    </row>
    <row r="374" spans="1:68" ht="37.5" customHeight="1" x14ac:dyDescent="0.25">
      <c r="A374" s="54" t="s">
        <v>594</v>
      </c>
      <c r="B374" s="54" t="s">
        <v>595</v>
      </c>
      <c r="C374" s="31">
        <v>4301011875</v>
      </c>
      <c r="D374" s="564">
        <v>4680115884885</v>
      </c>
      <c r="E374" s="565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106</v>
      </c>
      <c r="L374" s="32" t="s">
        <v>107</v>
      </c>
      <c r="M374" s="33" t="s">
        <v>68</v>
      </c>
      <c r="N374" s="33"/>
      <c r="O374" s="32">
        <v>60</v>
      </c>
      <c r="P374" s="7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596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597</v>
      </c>
      <c r="B375" s="54" t="s">
        <v>598</v>
      </c>
      <c r="C375" s="31">
        <v>4301011871</v>
      </c>
      <c r="D375" s="564">
        <v>4680115884908</v>
      </c>
      <c r="E375" s="565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112</v>
      </c>
      <c r="L375" s="32" t="s">
        <v>115</v>
      </c>
      <c r="M375" s="33" t="s">
        <v>68</v>
      </c>
      <c r="N375" s="33"/>
      <c r="O375" s="32">
        <v>60</v>
      </c>
      <c r="P375" s="74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596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8" t="s">
        <v>75</v>
      </c>
      <c r="Q376" s="569"/>
      <c r="R376" s="569"/>
      <c r="S376" s="569"/>
      <c r="T376" s="569"/>
      <c r="U376" s="569"/>
      <c r="V376" s="570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8" t="s">
        <v>75</v>
      </c>
      <c r="Q377" s="569"/>
      <c r="R377" s="569"/>
      <c r="S377" s="569"/>
      <c r="T377" s="569"/>
      <c r="U377" s="569"/>
      <c r="V377" s="570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67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5"/>
      <c r="AB378" s="545"/>
      <c r="AC378" s="545"/>
    </row>
    <row r="379" spans="1:68" ht="27" customHeight="1" x14ac:dyDescent="0.25">
      <c r="A379" s="54" t="s">
        <v>599</v>
      </c>
      <c r="B379" s="54" t="s">
        <v>600</v>
      </c>
      <c r="C379" s="31">
        <v>4301031457</v>
      </c>
      <c r="D379" s="564">
        <v>4607091384802</v>
      </c>
      <c r="E379" s="565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112</v>
      </c>
      <c r="L379" s="32"/>
      <c r="M379" s="33" t="s">
        <v>68</v>
      </c>
      <c r="N379" s="33"/>
      <c r="O379" s="32">
        <v>50</v>
      </c>
      <c r="P379" s="60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601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599</v>
      </c>
      <c r="B380" s="54" t="s">
        <v>602</v>
      </c>
      <c r="C380" s="31">
        <v>4301031303</v>
      </c>
      <c r="D380" s="564">
        <v>4607091384802</v>
      </c>
      <c r="E380" s="565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112</v>
      </c>
      <c r="L380" s="32" t="s">
        <v>115</v>
      </c>
      <c r="M380" s="33" t="s">
        <v>68</v>
      </c>
      <c r="N380" s="33"/>
      <c r="O380" s="32">
        <v>35</v>
      </c>
      <c r="P380" s="73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8" t="s">
        <v>75</v>
      </c>
      <c r="Q381" s="569"/>
      <c r="R381" s="569"/>
      <c r="S381" s="569"/>
      <c r="T381" s="569"/>
      <c r="U381" s="569"/>
      <c r="V381" s="570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8" t="s">
        <v>75</v>
      </c>
      <c r="Q382" s="569"/>
      <c r="R382" s="569"/>
      <c r="S382" s="569"/>
      <c r="T382" s="569"/>
      <c r="U382" s="569"/>
      <c r="V382" s="570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7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5"/>
      <c r="AB383" s="545"/>
      <c r="AC383" s="545"/>
    </row>
    <row r="384" spans="1:68" ht="27" customHeight="1" x14ac:dyDescent="0.25">
      <c r="A384" s="54" t="s">
        <v>604</v>
      </c>
      <c r="B384" s="54" t="s">
        <v>605</v>
      </c>
      <c r="C384" s="31">
        <v>4301051899</v>
      </c>
      <c r="D384" s="564">
        <v>4607091384246</v>
      </c>
      <c r="E384" s="565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106</v>
      </c>
      <c r="L384" s="32" t="s">
        <v>107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2100</v>
      </c>
      <c r="Y384" s="550">
        <f>IFERROR(IF(X384="",0,CEILING((X384/$H384),1)*$H384),"")</f>
        <v>2106</v>
      </c>
      <c r="Z384" s="36">
        <f>IFERROR(IF(Y384=0,"",ROUNDUP(Y384/H384,0)*0.01898),"")</f>
        <v>4.4413200000000002</v>
      </c>
      <c r="AA384" s="56"/>
      <c r="AB384" s="57"/>
      <c r="AC384" s="435" t="s">
        <v>606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2215.2666666666664</v>
      </c>
      <c r="BN384" s="64">
        <f>IFERROR(Y384*I384/H384,"0")</f>
        <v>2221.5959999999995</v>
      </c>
      <c r="BO384" s="64">
        <f>IFERROR(1/J384*(X384/H384),"0")</f>
        <v>3.6458333333333335</v>
      </c>
      <c r="BP384" s="64">
        <f>IFERROR(1/J384*(Y384/H384),"0")</f>
        <v>3.65625</v>
      </c>
    </row>
    <row r="385" spans="1:68" ht="27" customHeight="1" x14ac:dyDescent="0.25">
      <c r="A385" s="54" t="s">
        <v>607</v>
      </c>
      <c r="B385" s="54" t="s">
        <v>608</v>
      </c>
      <c r="C385" s="31">
        <v>4301051660</v>
      </c>
      <c r="D385" s="564">
        <v>4607091384253</v>
      </c>
      <c r="E385" s="565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606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607</v>
      </c>
      <c r="B386" s="54" t="s">
        <v>609</v>
      </c>
      <c r="C386" s="31">
        <v>4301052069</v>
      </c>
      <c r="D386" s="564">
        <v>4607091384253</v>
      </c>
      <c r="E386" s="565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610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8" t="s">
        <v>75</v>
      </c>
      <c r="Q387" s="569"/>
      <c r="R387" s="569"/>
      <c r="S387" s="569"/>
      <c r="T387" s="569"/>
      <c r="U387" s="569"/>
      <c r="V387" s="570"/>
      <c r="W387" s="37" t="s">
        <v>76</v>
      </c>
      <c r="X387" s="551">
        <f>IFERROR(X384/H384,"0")+IFERROR(X385/H385,"0")+IFERROR(X386/H386,"0")</f>
        <v>233.33333333333334</v>
      </c>
      <c r="Y387" s="551">
        <f>IFERROR(Y384/H384,"0")+IFERROR(Y385/H385,"0")+IFERROR(Y386/H386,"0")</f>
        <v>234</v>
      </c>
      <c r="Z387" s="551">
        <f>IFERROR(IF(Z384="",0,Z384),"0")+IFERROR(IF(Z385="",0,Z385),"0")+IFERROR(IF(Z386="",0,Z386),"0")</f>
        <v>4.4413200000000002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8" t="s">
        <v>75</v>
      </c>
      <c r="Q388" s="569"/>
      <c r="R388" s="569"/>
      <c r="S388" s="569"/>
      <c r="T388" s="569"/>
      <c r="U388" s="569"/>
      <c r="V388" s="570"/>
      <c r="W388" s="37" t="s">
        <v>69</v>
      </c>
      <c r="X388" s="551">
        <f>IFERROR(SUM(X384:X386),"0")</f>
        <v>2100</v>
      </c>
      <c r="Y388" s="551">
        <f>IFERROR(SUM(Y384:Y386),"0")</f>
        <v>2106</v>
      </c>
      <c r="Z388" s="37"/>
      <c r="AA388" s="552"/>
      <c r="AB388" s="552"/>
      <c r="AC388" s="552"/>
    </row>
    <row r="389" spans="1:68" ht="27.75" customHeight="1" x14ac:dyDescent="0.2">
      <c r="A389" s="716" t="s">
        <v>611</v>
      </c>
      <c r="B389" s="717"/>
      <c r="C389" s="717"/>
      <c r="D389" s="717"/>
      <c r="E389" s="717"/>
      <c r="F389" s="717"/>
      <c r="G389" s="717"/>
      <c r="H389" s="717"/>
      <c r="I389" s="717"/>
      <c r="J389" s="717"/>
      <c r="K389" s="717"/>
      <c r="L389" s="717"/>
      <c r="M389" s="717"/>
      <c r="N389" s="717"/>
      <c r="O389" s="717"/>
      <c r="P389" s="717"/>
      <c r="Q389" s="717"/>
      <c r="R389" s="717"/>
      <c r="S389" s="717"/>
      <c r="T389" s="717"/>
      <c r="U389" s="717"/>
      <c r="V389" s="717"/>
      <c r="W389" s="717"/>
      <c r="X389" s="717"/>
      <c r="Y389" s="717"/>
      <c r="Z389" s="717"/>
      <c r="AA389" s="48"/>
      <c r="AB389" s="48"/>
      <c r="AC389" s="48"/>
    </row>
    <row r="390" spans="1:68" ht="16.5" customHeight="1" x14ac:dyDescent="0.25">
      <c r="A390" s="566" t="s">
        <v>612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7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5"/>
      <c r="AB391" s="545"/>
      <c r="AC391" s="545"/>
    </row>
    <row r="392" spans="1:68" ht="27" customHeight="1" x14ac:dyDescent="0.25">
      <c r="A392" s="54" t="s">
        <v>613</v>
      </c>
      <c r="B392" s="54" t="s">
        <v>614</v>
      </c>
      <c r="C392" s="31">
        <v>4301031405</v>
      </c>
      <c r="D392" s="564">
        <v>4680115886100</v>
      </c>
      <c r="E392" s="565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112</v>
      </c>
      <c r="L392" s="32" t="s">
        <v>115</v>
      </c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6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7">IFERROR(X392*I392/H392,"0")</f>
        <v>0</v>
      </c>
      <c r="BN392" s="64">
        <f t="shared" ref="BN392:BN400" si="48">IFERROR(Y392*I392/H392,"0")</f>
        <v>0</v>
      </c>
      <c r="BO392" s="64">
        <f t="shared" ref="BO392:BO400" si="49">IFERROR(1/J392*(X392/H392),"0")</f>
        <v>0</v>
      </c>
      <c r="BP392" s="64">
        <f t="shared" ref="BP392:BP400" si="50">IFERROR(1/J392*(Y392/H392),"0")</f>
        <v>0</v>
      </c>
    </row>
    <row r="393" spans="1:68" ht="27" customHeight="1" x14ac:dyDescent="0.25">
      <c r="A393" s="54" t="s">
        <v>616</v>
      </c>
      <c r="B393" s="54" t="s">
        <v>617</v>
      </c>
      <c r="C393" s="31">
        <v>4301031406</v>
      </c>
      <c r="D393" s="564">
        <v>4680115886117</v>
      </c>
      <c r="E393" s="565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112</v>
      </c>
      <c r="L393" s="32"/>
      <c r="M393" s="33" t="s">
        <v>68</v>
      </c>
      <c r="N393" s="33"/>
      <c r="O393" s="32">
        <v>50</v>
      </c>
      <c r="P393" s="75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6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7"/>
        <v>0</v>
      </c>
      <c r="BN393" s="64">
        <f t="shared" si="48"/>
        <v>0</v>
      </c>
      <c r="BO393" s="64">
        <f t="shared" si="49"/>
        <v>0</v>
      </c>
      <c r="BP393" s="64">
        <f t="shared" si="50"/>
        <v>0</v>
      </c>
    </row>
    <row r="394" spans="1:68" ht="27" customHeight="1" x14ac:dyDescent="0.25">
      <c r="A394" s="54" t="s">
        <v>619</v>
      </c>
      <c r="B394" s="54" t="s">
        <v>620</v>
      </c>
      <c r="C394" s="31">
        <v>4301031402</v>
      </c>
      <c r="D394" s="564">
        <v>4680115886124</v>
      </c>
      <c r="E394" s="565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621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customHeight="1" x14ac:dyDescent="0.25">
      <c r="A395" s="54" t="s">
        <v>622</v>
      </c>
      <c r="B395" s="54" t="s">
        <v>623</v>
      </c>
      <c r="C395" s="31">
        <v>4301031366</v>
      </c>
      <c r="D395" s="564">
        <v>4680115883147</v>
      </c>
      <c r="E395" s="565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6"/>
        <v>0</v>
      </c>
      <c r="Z395" s="36" t="str">
        <f t="shared" ref="Z395:Z400" si="51">IFERROR(IF(Y395=0,"",ROUNDUP(Y395/H395,0)*0.00502),"")</f>
        <v/>
      </c>
      <c r="AA395" s="56"/>
      <c r="AB395" s="57"/>
      <c r="AC395" s="447" t="s">
        <v>615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4301031362</v>
      </c>
      <c r="D396" s="564">
        <v>4607091384338</v>
      </c>
      <c r="E396" s="565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6"/>
        <v>0</v>
      </c>
      <c r="Z396" s="36" t="str">
        <f t="shared" si="51"/>
        <v/>
      </c>
      <c r="AA396" s="56"/>
      <c r="AB396" s="57"/>
      <c r="AC396" s="449" t="s">
        <v>615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37.5" customHeight="1" x14ac:dyDescent="0.25">
      <c r="A397" s="54" t="s">
        <v>626</v>
      </c>
      <c r="B397" s="54" t="s">
        <v>627</v>
      </c>
      <c r="C397" s="31">
        <v>4301031361</v>
      </c>
      <c r="D397" s="564">
        <v>4607091389524</v>
      </c>
      <c r="E397" s="565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6"/>
        <v>0</v>
      </c>
      <c r="Z397" s="36" t="str">
        <f t="shared" si="51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4301031364</v>
      </c>
      <c r="D398" s="564">
        <v>4680115883161</v>
      </c>
      <c r="E398" s="565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6"/>
        <v>0</v>
      </c>
      <c r="Z398" s="36" t="str">
        <f t="shared" si="51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customHeight="1" x14ac:dyDescent="0.25">
      <c r="A399" s="54" t="s">
        <v>632</v>
      </c>
      <c r="B399" s="54" t="s">
        <v>633</v>
      </c>
      <c r="C399" s="31">
        <v>4301031358</v>
      </c>
      <c r="D399" s="564">
        <v>4607091389531</v>
      </c>
      <c r="E399" s="565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6"/>
        <v>0</v>
      </c>
      <c r="Z399" s="36" t="str">
        <f t="shared" si="51"/>
        <v/>
      </c>
      <c r="AA399" s="56"/>
      <c r="AB399" s="57"/>
      <c r="AC399" s="455" t="s">
        <v>634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37.5" customHeight="1" x14ac:dyDescent="0.25">
      <c r="A400" s="54" t="s">
        <v>635</v>
      </c>
      <c r="B400" s="54" t="s">
        <v>636</v>
      </c>
      <c r="C400" s="31">
        <v>4301031360</v>
      </c>
      <c r="D400" s="564">
        <v>4607091384345</v>
      </c>
      <c r="E400" s="565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6"/>
        <v>0</v>
      </c>
      <c r="Z400" s="36" t="str">
        <f t="shared" si="51"/>
        <v/>
      </c>
      <c r="AA400" s="56"/>
      <c r="AB400" s="57"/>
      <c r="AC400" s="457" t="s">
        <v>631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8" t="s">
        <v>75</v>
      </c>
      <c r="Q401" s="569"/>
      <c r="R401" s="569"/>
      <c r="S401" s="569"/>
      <c r="T401" s="569"/>
      <c r="U401" s="569"/>
      <c r="V401" s="570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8" t="s">
        <v>75</v>
      </c>
      <c r="Q402" s="569"/>
      <c r="R402" s="569"/>
      <c r="S402" s="569"/>
      <c r="T402" s="569"/>
      <c r="U402" s="569"/>
      <c r="V402" s="570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customHeight="1" x14ac:dyDescent="0.25">
      <c r="A403" s="567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5"/>
      <c r="AB403" s="545"/>
      <c r="AC403" s="545"/>
    </row>
    <row r="404" spans="1:68" ht="27" customHeight="1" x14ac:dyDescent="0.25">
      <c r="A404" s="54" t="s">
        <v>637</v>
      </c>
      <c r="B404" s="54" t="s">
        <v>638</v>
      </c>
      <c r="C404" s="31">
        <v>4301051284</v>
      </c>
      <c r="D404" s="564">
        <v>4607091384352</v>
      </c>
      <c r="E404" s="565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112</v>
      </c>
      <c r="L404" s="32" t="s">
        <v>115</v>
      </c>
      <c r="M404" s="33" t="s">
        <v>80</v>
      </c>
      <c r="N404" s="33"/>
      <c r="O404" s="32">
        <v>45</v>
      </c>
      <c r="P404" s="5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639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640</v>
      </c>
      <c r="B405" s="54" t="s">
        <v>641</v>
      </c>
      <c r="C405" s="31">
        <v>4301051431</v>
      </c>
      <c r="D405" s="564">
        <v>4607091389654</v>
      </c>
      <c r="E405" s="565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642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8" t="s">
        <v>75</v>
      </c>
      <c r="Q406" s="569"/>
      <c r="R406" s="569"/>
      <c r="S406" s="569"/>
      <c r="T406" s="569"/>
      <c r="U406" s="569"/>
      <c r="V406" s="570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8" t="s">
        <v>75</v>
      </c>
      <c r="Q407" s="569"/>
      <c r="R407" s="569"/>
      <c r="S407" s="569"/>
      <c r="T407" s="569"/>
      <c r="U407" s="569"/>
      <c r="V407" s="570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66" t="s">
        <v>643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7" t="s">
        <v>138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5"/>
      <c r="AB409" s="545"/>
      <c r="AC409" s="545"/>
    </row>
    <row r="410" spans="1:68" ht="27" customHeight="1" x14ac:dyDescent="0.25">
      <c r="A410" s="54" t="s">
        <v>644</v>
      </c>
      <c r="B410" s="54" t="s">
        <v>645</v>
      </c>
      <c r="C410" s="31">
        <v>4301020319</v>
      </c>
      <c r="D410" s="564">
        <v>4680115885240</v>
      </c>
      <c r="E410" s="565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646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8" t="s">
        <v>75</v>
      </c>
      <c r="Q411" s="569"/>
      <c r="R411" s="569"/>
      <c r="S411" s="569"/>
      <c r="T411" s="569"/>
      <c r="U411" s="569"/>
      <c r="V411" s="570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8" t="s">
        <v>75</v>
      </c>
      <c r="Q412" s="569"/>
      <c r="R412" s="569"/>
      <c r="S412" s="569"/>
      <c r="T412" s="569"/>
      <c r="U412" s="569"/>
      <c r="V412" s="570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7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5"/>
      <c r="AB413" s="545"/>
      <c r="AC413" s="545"/>
    </row>
    <row r="414" spans="1:68" ht="27" customHeight="1" x14ac:dyDescent="0.25">
      <c r="A414" s="54" t="s">
        <v>647</v>
      </c>
      <c r="B414" s="54" t="s">
        <v>648</v>
      </c>
      <c r="C414" s="31">
        <v>4301031403</v>
      </c>
      <c r="D414" s="564">
        <v>4680115886094</v>
      </c>
      <c r="E414" s="565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112</v>
      </c>
      <c r="L414" s="32" t="s">
        <v>115</v>
      </c>
      <c r="M414" s="33" t="s">
        <v>108</v>
      </c>
      <c r="N414" s="33"/>
      <c r="O414" s="32">
        <v>50</v>
      </c>
      <c r="P414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649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650</v>
      </c>
      <c r="B415" s="54" t="s">
        <v>651</v>
      </c>
      <c r="C415" s="31">
        <v>4301031363</v>
      </c>
      <c r="D415" s="564">
        <v>4607091389425</v>
      </c>
      <c r="E415" s="565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4301031373</v>
      </c>
      <c r="D416" s="564">
        <v>4680115880771</v>
      </c>
      <c r="E416" s="565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655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656</v>
      </c>
      <c r="B417" s="54" t="s">
        <v>657</v>
      </c>
      <c r="C417" s="31">
        <v>4301031359</v>
      </c>
      <c r="D417" s="564">
        <v>4607091389500</v>
      </c>
      <c r="E417" s="565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655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8" t="s">
        <v>75</v>
      </c>
      <c r="Q418" s="569"/>
      <c r="R418" s="569"/>
      <c r="S418" s="569"/>
      <c r="T418" s="569"/>
      <c r="U418" s="569"/>
      <c r="V418" s="570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8" t="s">
        <v>75</v>
      </c>
      <c r="Q419" s="569"/>
      <c r="R419" s="569"/>
      <c r="S419" s="569"/>
      <c r="T419" s="569"/>
      <c r="U419" s="569"/>
      <c r="V419" s="570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customHeight="1" x14ac:dyDescent="0.25">
      <c r="A420" s="566" t="s">
        <v>658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7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5"/>
      <c r="AB421" s="545"/>
      <c r="AC421" s="545"/>
    </row>
    <row r="422" spans="1:68" ht="27" customHeight="1" x14ac:dyDescent="0.25">
      <c r="A422" s="54" t="s">
        <v>659</v>
      </c>
      <c r="B422" s="54" t="s">
        <v>660</v>
      </c>
      <c r="C422" s="31">
        <v>4301031347</v>
      </c>
      <c r="D422" s="564">
        <v>4680115885110</v>
      </c>
      <c r="E422" s="565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661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8" t="s">
        <v>75</v>
      </c>
      <c r="Q423" s="569"/>
      <c r="R423" s="569"/>
      <c r="S423" s="569"/>
      <c r="T423" s="569"/>
      <c r="U423" s="569"/>
      <c r="V423" s="570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8" t="s">
        <v>75</v>
      </c>
      <c r="Q424" s="569"/>
      <c r="R424" s="569"/>
      <c r="S424" s="569"/>
      <c r="T424" s="569"/>
      <c r="U424" s="569"/>
      <c r="V424" s="570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716" t="s">
        <v>662</v>
      </c>
      <c r="B425" s="717"/>
      <c r="C425" s="717"/>
      <c r="D425" s="717"/>
      <c r="E425" s="717"/>
      <c r="F425" s="717"/>
      <c r="G425" s="717"/>
      <c r="H425" s="717"/>
      <c r="I425" s="717"/>
      <c r="J425" s="717"/>
      <c r="K425" s="717"/>
      <c r="L425" s="717"/>
      <c r="M425" s="717"/>
      <c r="N425" s="717"/>
      <c r="O425" s="717"/>
      <c r="P425" s="717"/>
      <c r="Q425" s="717"/>
      <c r="R425" s="717"/>
      <c r="S425" s="717"/>
      <c r="T425" s="717"/>
      <c r="U425" s="717"/>
      <c r="V425" s="717"/>
      <c r="W425" s="717"/>
      <c r="X425" s="717"/>
      <c r="Y425" s="717"/>
      <c r="Z425" s="717"/>
      <c r="AA425" s="48"/>
      <c r="AB425" s="48"/>
      <c r="AC425" s="48"/>
    </row>
    <row r="426" spans="1:68" ht="16.5" customHeight="1" x14ac:dyDescent="0.25">
      <c r="A426" s="566" t="s">
        <v>662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7" t="s">
        <v>103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5"/>
      <c r="AB427" s="545"/>
      <c r="AC427" s="545"/>
    </row>
    <row r="428" spans="1:68" ht="27" customHeight="1" x14ac:dyDescent="0.25">
      <c r="A428" s="54" t="s">
        <v>663</v>
      </c>
      <c r="B428" s="54" t="s">
        <v>664</v>
      </c>
      <c r="C428" s="31">
        <v>4301011795</v>
      </c>
      <c r="D428" s="564">
        <v>4607091389067</v>
      </c>
      <c r="E428" s="565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106</v>
      </c>
      <c r="L428" s="32" t="s">
        <v>107</v>
      </c>
      <c r="M428" s="33" t="s">
        <v>108</v>
      </c>
      <c r="N428" s="33"/>
      <c r="O428" s="32">
        <v>60</v>
      </c>
      <c r="P428" s="65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300</v>
      </c>
      <c r="Y428" s="550">
        <f t="shared" ref="Y428:Y439" si="52">IFERROR(IF(X428="",0,CEILING((X428/$H428),1)*$H428),"")</f>
        <v>300.96000000000004</v>
      </c>
      <c r="Z428" s="36">
        <f t="shared" ref="Z428:Z434" si="53">IFERROR(IF(Y428=0,"",ROUNDUP(Y428/H428,0)*0.01196),"")</f>
        <v>0.68171999999999999</v>
      </c>
      <c r="AA428" s="56"/>
      <c r="AB428" s="57"/>
      <c r="AC428" s="475" t="s">
        <v>109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54">IFERROR(X428*I428/H428,"0")</f>
        <v>319.88636363636363</v>
      </c>
      <c r="BN428" s="64">
        <f t="shared" ref="BN428:BN439" si="55">IFERROR(Y428*I428/H428,"0")</f>
        <v>320.91000000000003</v>
      </c>
      <c r="BO428" s="64">
        <f t="shared" ref="BO428:BO439" si="56">IFERROR(1/J428*(X428/H428),"0")</f>
        <v>0.54632867132867136</v>
      </c>
      <c r="BP428" s="64">
        <f t="shared" ref="BP428:BP439" si="57">IFERROR(1/J428*(Y428/H428),"0")</f>
        <v>0.54807692307692313</v>
      </c>
    </row>
    <row r="429" spans="1:68" ht="27" customHeight="1" x14ac:dyDescent="0.25">
      <c r="A429" s="54" t="s">
        <v>665</v>
      </c>
      <c r="B429" s="54" t="s">
        <v>666</v>
      </c>
      <c r="C429" s="31">
        <v>4301012145</v>
      </c>
      <c r="D429" s="564">
        <v>4607091383522</v>
      </c>
      <c r="E429" s="565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106</v>
      </c>
      <c r="L429" s="32"/>
      <c r="M429" s="33" t="s">
        <v>108</v>
      </c>
      <c r="N429" s="33"/>
      <c r="O429" s="32">
        <v>60</v>
      </c>
      <c r="P429" s="66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52"/>
        <v>0</v>
      </c>
      <c r="Z429" s="36" t="str">
        <f t="shared" si="53"/>
        <v/>
      </c>
      <c r="AA429" s="56"/>
      <c r="AB429" s="57"/>
      <c r="AC429" s="477" t="s">
        <v>667</v>
      </c>
      <c r="AG429" s="64"/>
      <c r="AJ429" s="68"/>
      <c r="AK429" s="68">
        <v>0</v>
      </c>
      <c r="BB429" s="478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665</v>
      </c>
      <c r="B430" s="54" t="s">
        <v>668</v>
      </c>
      <c r="C430" s="31">
        <v>4301012210</v>
      </c>
      <c r="D430" s="564">
        <v>4607091383522</v>
      </c>
      <c r="E430" s="565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106</v>
      </c>
      <c r="L430" s="32"/>
      <c r="M430" s="33" t="s">
        <v>108</v>
      </c>
      <c r="N430" s="33"/>
      <c r="O430" s="32">
        <v>60</v>
      </c>
      <c r="P430" s="82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52"/>
        <v>0</v>
      </c>
      <c r="Z430" s="36" t="str">
        <f t="shared" si="53"/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4301011961</v>
      </c>
      <c r="D431" s="564">
        <v>4680115885271</v>
      </c>
      <c r="E431" s="565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106</v>
      </c>
      <c r="L431" s="32" t="s">
        <v>107</v>
      </c>
      <c r="M431" s="33" t="s">
        <v>108</v>
      </c>
      <c r="N431" s="33"/>
      <c r="O431" s="32">
        <v>60</v>
      </c>
      <c r="P431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52"/>
        <v>0</v>
      </c>
      <c r="Z431" s="36" t="str">
        <f t="shared" si="53"/>
        <v/>
      </c>
      <c r="AA431" s="56"/>
      <c r="AB431" s="57"/>
      <c r="AC431" s="481" t="s">
        <v>671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672</v>
      </c>
      <c r="B432" s="54" t="s">
        <v>673</v>
      </c>
      <c r="C432" s="31">
        <v>4301011376</v>
      </c>
      <c r="D432" s="564">
        <v>4680115885226</v>
      </c>
      <c r="E432" s="565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106</v>
      </c>
      <c r="L432" s="32" t="s">
        <v>107</v>
      </c>
      <c r="M432" s="33" t="s">
        <v>80</v>
      </c>
      <c r="N432" s="33"/>
      <c r="O432" s="32">
        <v>60</v>
      </c>
      <c r="P432" s="5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300</v>
      </c>
      <c r="Y432" s="550">
        <f t="shared" si="52"/>
        <v>300.96000000000004</v>
      </c>
      <c r="Z432" s="36">
        <f t="shared" si="53"/>
        <v>0.68171999999999999</v>
      </c>
      <c r="AA432" s="56"/>
      <c r="AB432" s="57"/>
      <c r="AC432" s="483" t="s">
        <v>674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319.88636363636363</v>
      </c>
      <c r="BN432" s="64">
        <f t="shared" si="55"/>
        <v>320.91000000000003</v>
      </c>
      <c r="BO432" s="64">
        <f t="shared" si="56"/>
        <v>0.54632867132867136</v>
      </c>
      <c r="BP432" s="64">
        <f t="shared" si="57"/>
        <v>0.54807692307692313</v>
      </c>
    </row>
    <row r="433" spans="1:68" ht="16.5" customHeight="1" x14ac:dyDescent="0.25">
      <c r="A433" s="54" t="s">
        <v>675</v>
      </c>
      <c r="B433" s="54" t="s">
        <v>676</v>
      </c>
      <c r="C433" s="31">
        <v>4301011774</v>
      </c>
      <c r="D433" s="564">
        <v>4680115884502</v>
      </c>
      <c r="E433" s="565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106</v>
      </c>
      <c r="L433" s="32"/>
      <c r="M433" s="33" t="s">
        <v>108</v>
      </c>
      <c r="N433" s="33"/>
      <c r="O433" s="32">
        <v>60</v>
      </c>
      <c r="P433" s="8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52"/>
        <v>0</v>
      </c>
      <c r="Z433" s="36" t="str">
        <f t="shared" si="53"/>
        <v/>
      </c>
      <c r="AA433" s="56"/>
      <c r="AB433" s="57"/>
      <c r="AC433" s="485" t="s">
        <v>677</v>
      </c>
      <c r="AG433" s="64"/>
      <c r="AJ433" s="68"/>
      <c r="AK433" s="68">
        <v>0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678</v>
      </c>
      <c r="B434" s="54" t="s">
        <v>679</v>
      </c>
      <c r="C434" s="31">
        <v>4301011771</v>
      </c>
      <c r="D434" s="564">
        <v>4607091389104</v>
      </c>
      <c r="E434" s="565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106</v>
      </c>
      <c r="L434" s="32" t="s">
        <v>107</v>
      </c>
      <c r="M434" s="33" t="s">
        <v>108</v>
      </c>
      <c r="N434" s="33"/>
      <c r="O434" s="32">
        <v>60</v>
      </c>
      <c r="P434" s="86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800</v>
      </c>
      <c r="Y434" s="550">
        <f t="shared" si="52"/>
        <v>802.56000000000006</v>
      </c>
      <c r="Z434" s="36">
        <f t="shared" si="53"/>
        <v>1.81792</v>
      </c>
      <c r="AA434" s="56"/>
      <c r="AB434" s="57"/>
      <c r="AC434" s="487" t="s">
        <v>680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853.030303030303</v>
      </c>
      <c r="BN434" s="64">
        <f t="shared" si="55"/>
        <v>855.76</v>
      </c>
      <c r="BO434" s="64">
        <f t="shared" si="56"/>
        <v>1.4568764568764567</v>
      </c>
      <c r="BP434" s="64">
        <f t="shared" si="57"/>
        <v>1.4615384615384617</v>
      </c>
    </row>
    <row r="435" spans="1:68" ht="27" customHeight="1" x14ac:dyDescent="0.25">
      <c r="A435" s="54" t="s">
        <v>681</v>
      </c>
      <c r="B435" s="54" t="s">
        <v>682</v>
      </c>
      <c r="C435" s="31">
        <v>4301012125</v>
      </c>
      <c r="D435" s="564">
        <v>4680115886391</v>
      </c>
      <c r="E435" s="565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52"/>
        <v>0</v>
      </c>
      <c r="Z435" s="36" t="str">
        <f>IFERROR(IF(Y435=0,"",ROUNDUP(Y435/H435,0)*0.00651),"")</f>
        <v/>
      </c>
      <c r="AA435" s="56"/>
      <c r="AB435" s="57"/>
      <c r="AC435" s="489" t="s">
        <v>109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4301012035</v>
      </c>
      <c r="D436" s="564">
        <v>4680115880603</v>
      </c>
      <c r="E436" s="565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112</v>
      </c>
      <c r="L436" s="32"/>
      <c r="M436" s="33" t="s">
        <v>108</v>
      </c>
      <c r="N436" s="33"/>
      <c r="O436" s="32">
        <v>60</v>
      </c>
      <c r="P436" s="86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52"/>
        <v>0</v>
      </c>
      <c r="Z436" s="36" t="str">
        <f>IFERROR(IF(Y436=0,"",ROUNDUP(Y436/H436,0)*0.00902),"")</f>
        <v/>
      </c>
      <c r="AA436" s="56"/>
      <c r="AB436" s="57"/>
      <c r="AC436" s="491" t="s">
        <v>109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4301012036</v>
      </c>
      <c r="D437" s="564">
        <v>4680115882782</v>
      </c>
      <c r="E437" s="565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112</v>
      </c>
      <c r="L437" s="32"/>
      <c r="M437" s="33" t="s">
        <v>108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52"/>
        <v>0</v>
      </c>
      <c r="Z437" s="36" t="str">
        <f>IFERROR(IF(Y437=0,"",ROUNDUP(Y437/H437,0)*0.00937),"")</f>
        <v/>
      </c>
      <c r="AA437" s="56"/>
      <c r="AB437" s="57"/>
      <c r="AC437" s="493" t="s">
        <v>671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4301012050</v>
      </c>
      <c r="D438" s="564">
        <v>4680115885479</v>
      </c>
      <c r="E438" s="565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108</v>
      </c>
      <c r="N438" s="33"/>
      <c r="O438" s="32">
        <v>60</v>
      </c>
      <c r="P438" s="72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52"/>
        <v>0</v>
      </c>
      <c r="Z438" s="36" t="str">
        <f>IFERROR(IF(Y438=0,"",ROUNDUP(Y438/H438,0)*0.00651),"")</f>
        <v/>
      </c>
      <c r="AA438" s="56"/>
      <c r="AB438" s="57"/>
      <c r="AC438" s="495" t="s">
        <v>689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4301012034</v>
      </c>
      <c r="D439" s="564">
        <v>4607091389982</v>
      </c>
      <c r="E439" s="565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112</v>
      </c>
      <c r="L439" s="32"/>
      <c r="M439" s="33" t="s">
        <v>108</v>
      </c>
      <c r="N439" s="33"/>
      <c r="O439" s="32">
        <v>60</v>
      </c>
      <c r="P439" s="8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52"/>
        <v>0</v>
      </c>
      <c r="Z439" s="36" t="str">
        <f>IFERROR(IF(Y439=0,"",ROUNDUP(Y439/H439,0)*0.00902),"")</f>
        <v/>
      </c>
      <c r="AA439" s="56"/>
      <c r="AB439" s="57"/>
      <c r="AC439" s="497" t="s">
        <v>680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8" t="s">
        <v>75</v>
      </c>
      <c r="Q440" s="569"/>
      <c r="R440" s="569"/>
      <c r="S440" s="569"/>
      <c r="T440" s="569"/>
      <c r="U440" s="569"/>
      <c r="V440" s="570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265.15151515151513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266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3.1813599999999997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8" t="s">
        <v>75</v>
      </c>
      <c r="Q441" s="569"/>
      <c r="R441" s="569"/>
      <c r="S441" s="569"/>
      <c r="T441" s="569"/>
      <c r="U441" s="569"/>
      <c r="V441" s="570"/>
      <c r="W441" s="37" t="s">
        <v>69</v>
      </c>
      <c r="X441" s="551">
        <f>IFERROR(SUM(X428:X439),"0")</f>
        <v>1400</v>
      </c>
      <c r="Y441" s="551">
        <f>IFERROR(SUM(Y428:Y439),"0")</f>
        <v>1404.48</v>
      </c>
      <c r="Z441" s="37"/>
      <c r="AA441" s="552"/>
      <c r="AB441" s="552"/>
      <c r="AC441" s="552"/>
    </row>
    <row r="442" spans="1:68" ht="14.25" customHeight="1" x14ac:dyDescent="0.25">
      <c r="A442" s="567" t="s">
        <v>138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5"/>
      <c r="AB442" s="545"/>
      <c r="AC442" s="545"/>
    </row>
    <row r="443" spans="1:68" ht="16.5" customHeight="1" x14ac:dyDescent="0.25">
      <c r="A443" s="54" t="s">
        <v>692</v>
      </c>
      <c r="B443" s="54" t="s">
        <v>693</v>
      </c>
      <c r="C443" s="31">
        <v>4301020334</v>
      </c>
      <c r="D443" s="564">
        <v>4607091388930</v>
      </c>
      <c r="E443" s="565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106</v>
      </c>
      <c r="L443" s="32" t="s">
        <v>107</v>
      </c>
      <c r="M443" s="33" t="s">
        <v>80</v>
      </c>
      <c r="N443" s="33"/>
      <c r="O443" s="32">
        <v>70</v>
      </c>
      <c r="P443" s="60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600</v>
      </c>
      <c r="Y443" s="550">
        <f>IFERROR(IF(X443="",0,CEILING((X443/$H443),1)*$H443),"")</f>
        <v>601.92000000000007</v>
      </c>
      <c r="Z443" s="36">
        <f>IFERROR(IF(Y443=0,"",ROUNDUP(Y443/H443,0)*0.01196),"")</f>
        <v>1.36344</v>
      </c>
      <c r="AA443" s="56"/>
      <c r="AB443" s="57"/>
      <c r="AC443" s="499" t="s">
        <v>694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639.77272727272725</v>
      </c>
      <c r="BN443" s="64">
        <f>IFERROR(Y443*I443/H443,"0")</f>
        <v>641.82000000000005</v>
      </c>
      <c r="BO443" s="64">
        <f>IFERROR(1/J443*(X443/H443),"0")</f>
        <v>1.0926573426573427</v>
      </c>
      <c r="BP443" s="64">
        <f>IFERROR(1/J443*(Y443/H443),"0")</f>
        <v>1.0961538461538463</v>
      </c>
    </row>
    <row r="444" spans="1:68" ht="16.5" customHeight="1" x14ac:dyDescent="0.25">
      <c r="A444" s="54" t="s">
        <v>695</v>
      </c>
      <c r="B444" s="54" t="s">
        <v>696</v>
      </c>
      <c r="C444" s="31">
        <v>4301020384</v>
      </c>
      <c r="D444" s="564">
        <v>4680115886407</v>
      </c>
      <c r="E444" s="565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694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4301020385</v>
      </c>
      <c r="D445" s="564">
        <v>4680115880054</v>
      </c>
      <c r="E445" s="565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112</v>
      </c>
      <c r="L445" s="32"/>
      <c r="M445" s="33" t="s">
        <v>108</v>
      </c>
      <c r="N445" s="33"/>
      <c r="O445" s="32">
        <v>70</v>
      </c>
      <c r="P445" s="6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694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8" t="s">
        <v>75</v>
      </c>
      <c r="Q446" s="569"/>
      <c r="R446" s="569"/>
      <c r="S446" s="569"/>
      <c r="T446" s="569"/>
      <c r="U446" s="569"/>
      <c r="V446" s="570"/>
      <c r="W446" s="37" t="s">
        <v>76</v>
      </c>
      <c r="X446" s="551">
        <f>IFERROR(X443/H443,"0")+IFERROR(X444/H444,"0")+IFERROR(X445/H445,"0")</f>
        <v>113.63636363636363</v>
      </c>
      <c r="Y446" s="551">
        <f>IFERROR(Y443/H443,"0")+IFERROR(Y444/H444,"0")+IFERROR(Y445/H445,"0")</f>
        <v>114.00000000000001</v>
      </c>
      <c r="Z446" s="551">
        <f>IFERROR(IF(Z443="",0,Z443),"0")+IFERROR(IF(Z444="",0,Z444),"0")+IFERROR(IF(Z445="",0,Z445),"0")</f>
        <v>1.36344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8" t="s">
        <v>75</v>
      </c>
      <c r="Q447" s="569"/>
      <c r="R447" s="569"/>
      <c r="S447" s="569"/>
      <c r="T447" s="569"/>
      <c r="U447" s="569"/>
      <c r="V447" s="570"/>
      <c r="W447" s="37" t="s">
        <v>69</v>
      </c>
      <c r="X447" s="551">
        <f>IFERROR(SUM(X443:X445),"0")</f>
        <v>600</v>
      </c>
      <c r="Y447" s="551">
        <f>IFERROR(SUM(Y443:Y445),"0")</f>
        <v>601.92000000000007</v>
      </c>
      <c r="Z447" s="37"/>
      <c r="AA447" s="552"/>
      <c r="AB447" s="552"/>
      <c r="AC447" s="552"/>
    </row>
    <row r="448" spans="1:68" ht="14.25" customHeight="1" x14ac:dyDescent="0.25">
      <c r="A448" s="567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5"/>
      <c r="AB448" s="545"/>
      <c r="AC448" s="545"/>
    </row>
    <row r="449" spans="1:68" ht="27" customHeight="1" x14ac:dyDescent="0.25">
      <c r="A449" s="54" t="s">
        <v>699</v>
      </c>
      <c r="B449" s="54" t="s">
        <v>700</v>
      </c>
      <c r="C449" s="31">
        <v>4301031349</v>
      </c>
      <c r="D449" s="564">
        <v>4680115883116</v>
      </c>
      <c r="E449" s="565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106</v>
      </c>
      <c r="L449" s="32" t="s">
        <v>107</v>
      </c>
      <c r="M449" s="33" t="s">
        <v>108</v>
      </c>
      <c r="N449" s="33"/>
      <c r="O449" s="32">
        <v>70</v>
      </c>
      <c r="P449" s="8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300</v>
      </c>
      <c r="Y449" s="550">
        <f t="shared" ref="Y449:Y454" si="58">IFERROR(IF(X449="",0,CEILING((X449/$H449),1)*$H449),"")</f>
        <v>300.96000000000004</v>
      </c>
      <c r="Z449" s="36">
        <f>IFERROR(IF(Y449=0,"",ROUNDUP(Y449/H449,0)*0.01196),"")</f>
        <v>0.68171999999999999</v>
      </c>
      <c r="AA449" s="56"/>
      <c r="AB449" s="57"/>
      <c r="AC449" s="505" t="s">
        <v>701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9">IFERROR(X449*I449/H449,"0")</f>
        <v>319.88636363636363</v>
      </c>
      <c r="BN449" s="64">
        <f t="shared" ref="BN449:BN454" si="60">IFERROR(Y449*I449/H449,"0")</f>
        <v>320.91000000000003</v>
      </c>
      <c r="BO449" s="64">
        <f t="shared" ref="BO449:BO454" si="61">IFERROR(1/J449*(X449/H449),"0")</f>
        <v>0.54632867132867136</v>
      </c>
      <c r="BP449" s="64">
        <f t="shared" ref="BP449:BP454" si="62">IFERROR(1/J449*(Y449/H449),"0")</f>
        <v>0.54807692307692313</v>
      </c>
    </row>
    <row r="450" spans="1:68" ht="27" customHeight="1" x14ac:dyDescent="0.25">
      <c r="A450" s="54" t="s">
        <v>702</v>
      </c>
      <c r="B450" s="54" t="s">
        <v>703</v>
      </c>
      <c r="C450" s="31">
        <v>4301031350</v>
      </c>
      <c r="D450" s="564">
        <v>4680115883093</v>
      </c>
      <c r="E450" s="565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106</v>
      </c>
      <c r="L450" s="32" t="s">
        <v>107</v>
      </c>
      <c r="M450" s="33" t="s">
        <v>68</v>
      </c>
      <c r="N450" s="33"/>
      <c r="O450" s="32">
        <v>70</v>
      </c>
      <c r="P450" s="7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150</v>
      </c>
      <c r="Y450" s="550">
        <f t="shared" si="58"/>
        <v>153.12</v>
      </c>
      <c r="Z450" s="36">
        <f>IFERROR(IF(Y450=0,"",ROUNDUP(Y450/H450,0)*0.01196),"")</f>
        <v>0.34683999999999998</v>
      </c>
      <c r="AA450" s="56"/>
      <c r="AB450" s="57"/>
      <c r="AC450" s="507" t="s">
        <v>704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9"/>
        <v>159.94318181818181</v>
      </c>
      <c r="BN450" s="64">
        <f t="shared" si="60"/>
        <v>163.26999999999998</v>
      </c>
      <c r="BO450" s="64">
        <f t="shared" si="61"/>
        <v>0.27316433566433568</v>
      </c>
      <c r="BP450" s="64">
        <f t="shared" si="62"/>
        <v>0.27884615384615385</v>
      </c>
    </row>
    <row r="451" spans="1:68" ht="27" customHeight="1" x14ac:dyDescent="0.25">
      <c r="A451" s="54" t="s">
        <v>705</v>
      </c>
      <c r="B451" s="54" t="s">
        <v>706</v>
      </c>
      <c r="C451" s="31">
        <v>4301031353</v>
      </c>
      <c r="D451" s="564">
        <v>4680115883109</v>
      </c>
      <c r="E451" s="565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106</v>
      </c>
      <c r="L451" s="32" t="s">
        <v>107</v>
      </c>
      <c r="M451" s="33" t="s">
        <v>68</v>
      </c>
      <c r="N451" s="33"/>
      <c r="O451" s="32">
        <v>70</v>
      </c>
      <c r="P451" s="73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300</v>
      </c>
      <c r="Y451" s="550">
        <f t="shared" si="58"/>
        <v>300.96000000000004</v>
      </c>
      <c r="Z451" s="36">
        <f>IFERROR(IF(Y451=0,"",ROUNDUP(Y451/H451,0)*0.01196),"")</f>
        <v>0.68171999999999999</v>
      </c>
      <c r="AA451" s="56"/>
      <c r="AB451" s="57"/>
      <c r="AC451" s="509" t="s">
        <v>707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319.88636363636363</v>
      </c>
      <c r="BN451" s="64">
        <f t="shared" si="60"/>
        <v>320.91000000000003</v>
      </c>
      <c r="BO451" s="64">
        <f t="shared" si="61"/>
        <v>0.54632867132867136</v>
      </c>
      <c r="BP451" s="64">
        <f t="shared" si="62"/>
        <v>0.54807692307692313</v>
      </c>
    </row>
    <row r="452" spans="1:68" ht="27" customHeight="1" x14ac:dyDescent="0.25">
      <c r="A452" s="54" t="s">
        <v>708</v>
      </c>
      <c r="B452" s="54" t="s">
        <v>709</v>
      </c>
      <c r="C452" s="31">
        <v>4301031419</v>
      </c>
      <c r="D452" s="564">
        <v>4680115882072</v>
      </c>
      <c r="E452" s="565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112</v>
      </c>
      <c r="L452" s="32"/>
      <c r="M452" s="33" t="s">
        <v>108</v>
      </c>
      <c r="N452" s="33"/>
      <c r="O452" s="32">
        <v>70</v>
      </c>
      <c r="P452" s="5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8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4301031418</v>
      </c>
      <c r="D453" s="564">
        <v>4680115882102</v>
      </c>
      <c r="E453" s="565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112</v>
      </c>
      <c r="L453" s="32"/>
      <c r="M453" s="33" t="s">
        <v>68</v>
      </c>
      <c r="N453" s="33"/>
      <c r="O453" s="32">
        <v>70</v>
      </c>
      <c r="P453" s="6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4301031417</v>
      </c>
      <c r="D454" s="564">
        <v>4680115882096</v>
      </c>
      <c r="E454" s="565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112</v>
      </c>
      <c r="L454" s="32"/>
      <c r="M454" s="33" t="s">
        <v>68</v>
      </c>
      <c r="N454" s="33"/>
      <c r="O454" s="32">
        <v>70</v>
      </c>
      <c r="P454" s="5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707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8" t="s">
        <v>75</v>
      </c>
      <c r="Q455" s="569"/>
      <c r="R455" s="569"/>
      <c r="S455" s="569"/>
      <c r="T455" s="569"/>
      <c r="U455" s="569"/>
      <c r="V455" s="570"/>
      <c r="W455" s="37" t="s">
        <v>76</v>
      </c>
      <c r="X455" s="551">
        <f>IFERROR(X449/H449,"0")+IFERROR(X450/H450,"0")+IFERROR(X451/H451,"0")+IFERROR(X452/H452,"0")+IFERROR(X453/H453,"0")+IFERROR(X454/H454,"0")</f>
        <v>142.04545454545453</v>
      </c>
      <c r="Y455" s="551">
        <f>IFERROR(Y449/H449,"0")+IFERROR(Y450/H450,"0")+IFERROR(Y451/H451,"0")+IFERROR(Y452/H452,"0")+IFERROR(Y453/H453,"0")+IFERROR(Y454/H454,"0")</f>
        <v>143</v>
      </c>
      <c r="Z455" s="551">
        <f>IFERROR(IF(Z449="",0,Z449),"0")+IFERROR(IF(Z450="",0,Z450),"0")+IFERROR(IF(Z451="",0,Z451),"0")+IFERROR(IF(Z452="",0,Z452),"0")+IFERROR(IF(Z453="",0,Z453),"0")+IFERROR(IF(Z454="",0,Z454),"0")</f>
        <v>1.71028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8" t="s">
        <v>75</v>
      </c>
      <c r="Q456" s="569"/>
      <c r="R456" s="569"/>
      <c r="S456" s="569"/>
      <c r="T456" s="569"/>
      <c r="U456" s="569"/>
      <c r="V456" s="570"/>
      <c r="W456" s="37" t="s">
        <v>69</v>
      </c>
      <c r="X456" s="551">
        <f>IFERROR(SUM(X449:X454),"0")</f>
        <v>750</v>
      </c>
      <c r="Y456" s="551">
        <f>IFERROR(SUM(Y449:Y454),"0")</f>
        <v>755.04000000000008</v>
      </c>
      <c r="Z456" s="37"/>
      <c r="AA456" s="552"/>
      <c r="AB456" s="552"/>
      <c r="AC456" s="552"/>
    </row>
    <row r="457" spans="1:68" ht="14.25" customHeight="1" x14ac:dyDescent="0.25">
      <c r="A457" s="567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5"/>
      <c r="AB457" s="545"/>
      <c r="AC457" s="545"/>
    </row>
    <row r="458" spans="1:68" ht="27" customHeight="1" x14ac:dyDescent="0.25">
      <c r="A458" s="54" t="s">
        <v>714</v>
      </c>
      <c r="B458" s="54" t="s">
        <v>715</v>
      </c>
      <c r="C458" s="31">
        <v>4301051064</v>
      </c>
      <c r="D458" s="564">
        <v>4680115883536</v>
      </c>
      <c r="E458" s="565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716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8" t="s">
        <v>75</v>
      </c>
      <c r="Q459" s="569"/>
      <c r="R459" s="569"/>
      <c r="S459" s="569"/>
      <c r="T459" s="569"/>
      <c r="U459" s="569"/>
      <c r="V459" s="570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8" t="s">
        <v>75</v>
      </c>
      <c r="Q460" s="569"/>
      <c r="R460" s="569"/>
      <c r="S460" s="569"/>
      <c r="T460" s="569"/>
      <c r="U460" s="569"/>
      <c r="V460" s="570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716" t="s">
        <v>717</v>
      </c>
      <c r="B461" s="717"/>
      <c r="C461" s="717"/>
      <c r="D461" s="717"/>
      <c r="E461" s="717"/>
      <c r="F461" s="717"/>
      <c r="G461" s="717"/>
      <c r="H461" s="717"/>
      <c r="I461" s="717"/>
      <c r="J461" s="717"/>
      <c r="K461" s="717"/>
      <c r="L461" s="717"/>
      <c r="M461" s="717"/>
      <c r="N461" s="717"/>
      <c r="O461" s="717"/>
      <c r="P461" s="717"/>
      <c r="Q461" s="717"/>
      <c r="R461" s="717"/>
      <c r="S461" s="717"/>
      <c r="T461" s="717"/>
      <c r="U461" s="717"/>
      <c r="V461" s="717"/>
      <c r="W461" s="717"/>
      <c r="X461" s="717"/>
      <c r="Y461" s="717"/>
      <c r="Z461" s="717"/>
      <c r="AA461" s="48"/>
      <c r="AB461" s="48"/>
      <c r="AC461" s="48"/>
    </row>
    <row r="462" spans="1:68" ht="16.5" customHeight="1" x14ac:dyDescent="0.25">
      <c r="A462" s="566" t="s">
        <v>717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7" t="s">
        <v>103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5"/>
      <c r="AB463" s="545"/>
      <c r="AC463" s="545"/>
    </row>
    <row r="464" spans="1:68" ht="27" customHeight="1" x14ac:dyDescent="0.25">
      <c r="A464" s="54" t="s">
        <v>718</v>
      </c>
      <c r="B464" s="54" t="s">
        <v>719</v>
      </c>
      <c r="C464" s="31">
        <v>4301011763</v>
      </c>
      <c r="D464" s="564">
        <v>4640242181011</v>
      </c>
      <c r="E464" s="565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106</v>
      </c>
      <c r="L464" s="32"/>
      <c r="M464" s="33" t="s">
        <v>80</v>
      </c>
      <c r="N464" s="33"/>
      <c r="O464" s="32">
        <v>55</v>
      </c>
      <c r="P464" s="6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4301011585</v>
      </c>
      <c r="D465" s="564">
        <v>4640242180441</v>
      </c>
      <c r="E465" s="565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106</v>
      </c>
      <c r="L465" s="32"/>
      <c r="M465" s="33" t="s">
        <v>108</v>
      </c>
      <c r="N465" s="33"/>
      <c r="O465" s="32">
        <v>50</v>
      </c>
      <c r="P465" s="81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4301011584</v>
      </c>
      <c r="D466" s="564">
        <v>4640242180564</v>
      </c>
      <c r="E466" s="565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106</v>
      </c>
      <c r="L466" s="32" t="s">
        <v>107</v>
      </c>
      <c r="M466" s="33" t="s">
        <v>108</v>
      </c>
      <c r="N466" s="33"/>
      <c r="O466" s="32">
        <v>50</v>
      </c>
      <c r="P466" s="64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726</v>
      </c>
      <c r="AG466" s="64"/>
      <c r="AJ466" s="68" t="s">
        <v>92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727</v>
      </c>
      <c r="B467" s="54" t="s">
        <v>728</v>
      </c>
      <c r="C467" s="31">
        <v>4301011764</v>
      </c>
      <c r="D467" s="564">
        <v>4640242181189</v>
      </c>
      <c r="E467" s="565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112</v>
      </c>
      <c r="L467" s="32"/>
      <c r="M467" s="33" t="s">
        <v>80</v>
      </c>
      <c r="N467" s="33"/>
      <c r="O467" s="32">
        <v>55</v>
      </c>
      <c r="P467" s="68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720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8" t="s">
        <v>75</v>
      </c>
      <c r="Q468" s="569"/>
      <c r="R468" s="569"/>
      <c r="S468" s="569"/>
      <c r="T468" s="569"/>
      <c r="U468" s="569"/>
      <c r="V468" s="570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8" t="s">
        <v>75</v>
      </c>
      <c r="Q469" s="569"/>
      <c r="R469" s="569"/>
      <c r="S469" s="569"/>
      <c r="T469" s="569"/>
      <c r="U469" s="569"/>
      <c r="V469" s="570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7" t="s">
        <v>138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5"/>
      <c r="AB470" s="545"/>
      <c r="AC470" s="545"/>
    </row>
    <row r="471" spans="1:68" ht="27" customHeight="1" x14ac:dyDescent="0.25">
      <c r="A471" s="54" t="s">
        <v>729</v>
      </c>
      <c r="B471" s="54" t="s">
        <v>730</v>
      </c>
      <c r="C471" s="31">
        <v>4301020400</v>
      </c>
      <c r="D471" s="564">
        <v>4640242180519</v>
      </c>
      <c r="E471" s="565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106</v>
      </c>
      <c r="L471" s="32"/>
      <c r="M471" s="33" t="s">
        <v>108</v>
      </c>
      <c r="N471" s="33"/>
      <c r="O471" s="32">
        <v>50</v>
      </c>
      <c r="P471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732</v>
      </c>
      <c r="B472" s="54" t="s">
        <v>733</v>
      </c>
      <c r="C472" s="31">
        <v>4301020260</v>
      </c>
      <c r="D472" s="564">
        <v>4640242180526</v>
      </c>
      <c r="E472" s="565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106</v>
      </c>
      <c r="L472" s="32"/>
      <c r="M472" s="33" t="s">
        <v>108</v>
      </c>
      <c r="N472" s="33"/>
      <c r="O472" s="32">
        <v>50</v>
      </c>
      <c r="P472" s="76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734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8" t="s">
        <v>75</v>
      </c>
      <c r="Q473" s="569"/>
      <c r="R473" s="569"/>
      <c r="S473" s="569"/>
      <c r="T473" s="569"/>
      <c r="U473" s="569"/>
      <c r="V473" s="570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8" t="s">
        <v>75</v>
      </c>
      <c r="Q474" s="569"/>
      <c r="R474" s="569"/>
      <c r="S474" s="569"/>
      <c r="T474" s="569"/>
      <c r="U474" s="569"/>
      <c r="V474" s="570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7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5"/>
      <c r="AB475" s="545"/>
      <c r="AC475" s="545"/>
    </row>
    <row r="476" spans="1:68" ht="27" customHeight="1" x14ac:dyDescent="0.25">
      <c r="A476" s="54" t="s">
        <v>735</v>
      </c>
      <c r="B476" s="54" t="s">
        <v>736</v>
      </c>
      <c r="C476" s="31">
        <v>4301031244</v>
      </c>
      <c r="D476" s="564">
        <v>4640242180595</v>
      </c>
      <c r="E476" s="565"/>
      <c r="F476" s="548">
        <v>0.7</v>
      </c>
      <c r="G476" s="32">
        <v>6</v>
      </c>
      <c r="H476" s="548">
        <v>4.2</v>
      </c>
      <c r="I476" s="548">
        <v>4.45</v>
      </c>
      <c r="J476" s="32">
        <v>132</v>
      </c>
      <c r="K476" s="32" t="s">
        <v>112</v>
      </c>
      <c r="L476" s="32" t="s">
        <v>115</v>
      </c>
      <c r="M476" s="33" t="s">
        <v>68</v>
      </c>
      <c r="N476" s="33"/>
      <c r="O476" s="32">
        <v>40</v>
      </c>
      <c r="P476" s="63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737</v>
      </c>
      <c r="AG476" s="64"/>
      <c r="AJ476" s="68" t="s">
        <v>92</v>
      </c>
      <c r="AK476" s="68">
        <v>50.4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8" t="s">
        <v>75</v>
      </c>
      <c r="Q477" s="569"/>
      <c r="R477" s="569"/>
      <c r="S477" s="569"/>
      <c r="T477" s="569"/>
      <c r="U477" s="569"/>
      <c r="V477" s="570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8" t="s">
        <v>75</v>
      </c>
      <c r="Q478" s="569"/>
      <c r="R478" s="569"/>
      <c r="S478" s="569"/>
      <c r="T478" s="569"/>
      <c r="U478" s="569"/>
      <c r="V478" s="570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7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5"/>
      <c r="AB479" s="545"/>
      <c r="AC479" s="545"/>
    </row>
    <row r="480" spans="1:68" ht="27" customHeight="1" x14ac:dyDescent="0.25">
      <c r="A480" s="54" t="s">
        <v>738</v>
      </c>
      <c r="B480" s="54" t="s">
        <v>739</v>
      </c>
      <c r="C480" s="31">
        <v>4301052046</v>
      </c>
      <c r="D480" s="564">
        <v>4640242180533</v>
      </c>
      <c r="E480" s="565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106</v>
      </c>
      <c r="L480" s="32" t="s">
        <v>107</v>
      </c>
      <c r="M480" s="33" t="s">
        <v>86</v>
      </c>
      <c r="N480" s="33"/>
      <c r="O480" s="32">
        <v>45</v>
      </c>
      <c r="P480" s="68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740</v>
      </c>
      <c r="AG480" s="64"/>
      <c r="AJ480" s="68" t="s">
        <v>92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8" t="s">
        <v>75</v>
      </c>
      <c r="Q481" s="569"/>
      <c r="R481" s="569"/>
      <c r="S481" s="569"/>
      <c r="T481" s="569"/>
      <c r="U481" s="569"/>
      <c r="V481" s="570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8" t="s">
        <v>75</v>
      </c>
      <c r="Q482" s="569"/>
      <c r="R482" s="569"/>
      <c r="S482" s="569"/>
      <c r="T482" s="569"/>
      <c r="U482" s="569"/>
      <c r="V482" s="570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customHeight="1" x14ac:dyDescent="0.25">
      <c r="A483" s="567" t="s">
        <v>163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5"/>
      <c r="AB483" s="545"/>
      <c r="AC483" s="545"/>
    </row>
    <row r="484" spans="1:68" ht="27" customHeight="1" x14ac:dyDescent="0.25">
      <c r="A484" s="54" t="s">
        <v>741</v>
      </c>
      <c r="B484" s="54" t="s">
        <v>742</v>
      </c>
      <c r="C484" s="31">
        <v>4301060491</v>
      </c>
      <c r="D484" s="564">
        <v>4640242180120</v>
      </c>
      <c r="E484" s="565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106</v>
      </c>
      <c r="L484" s="32"/>
      <c r="M484" s="33" t="s">
        <v>80</v>
      </c>
      <c r="N484" s="33"/>
      <c r="O484" s="32">
        <v>40</v>
      </c>
      <c r="P484" s="8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744</v>
      </c>
      <c r="B485" s="54" t="s">
        <v>745</v>
      </c>
      <c r="C485" s="31">
        <v>4301060493</v>
      </c>
      <c r="D485" s="564">
        <v>4640242180137</v>
      </c>
      <c r="E485" s="565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106</v>
      </c>
      <c r="L485" s="32"/>
      <c r="M485" s="33" t="s">
        <v>80</v>
      </c>
      <c r="N485" s="33"/>
      <c r="O485" s="32">
        <v>40</v>
      </c>
      <c r="P485" s="7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746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8" t="s">
        <v>75</v>
      </c>
      <c r="Q486" s="569"/>
      <c r="R486" s="569"/>
      <c r="S486" s="569"/>
      <c r="T486" s="569"/>
      <c r="U486" s="569"/>
      <c r="V486" s="570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8" t="s">
        <v>75</v>
      </c>
      <c r="Q487" s="569"/>
      <c r="R487" s="569"/>
      <c r="S487" s="569"/>
      <c r="T487" s="569"/>
      <c r="U487" s="569"/>
      <c r="V487" s="570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66" t="s">
        <v>747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7" t="s">
        <v>138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5"/>
      <c r="AB489" s="545"/>
      <c r="AC489" s="545"/>
    </row>
    <row r="490" spans="1:68" ht="27" customHeight="1" x14ac:dyDescent="0.25">
      <c r="A490" s="54" t="s">
        <v>748</v>
      </c>
      <c r="B490" s="54" t="s">
        <v>749</v>
      </c>
      <c r="C490" s="31">
        <v>4301020314</v>
      </c>
      <c r="D490" s="564">
        <v>4640242180090</v>
      </c>
      <c r="E490" s="565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106</v>
      </c>
      <c r="L490" s="32"/>
      <c r="M490" s="33" t="s">
        <v>108</v>
      </c>
      <c r="N490" s="33"/>
      <c r="O490" s="32">
        <v>50</v>
      </c>
      <c r="P490" s="80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750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8" t="s">
        <v>75</v>
      </c>
      <c r="Q491" s="569"/>
      <c r="R491" s="569"/>
      <c r="S491" s="569"/>
      <c r="T491" s="569"/>
      <c r="U491" s="569"/>
      <c r="V491" s="570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8" t="s">
        <v>75</v>
      </c>
      <c r="Q492" s="569"/>
      <c r="R492" s="569"/>
      <c r="S492" s="569"/>
      <c r="T492" s="569"/>
      <c r="U492" s="569"/>
      <c r="V492" s="570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8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22"/>
      <c r="P493" s="709" t="s">
        <v>751</v>
      </c>
      <c r="Q493" s="672"/>
      <c r="R493" s="672"/>
      <c r="S493" s="672"/>
      <c r="T493" s="672"/>
      <c r="U493" s="672"/>
      <c r="V493" s="673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17999</v>
      </c>
      <c r="Y493" s="551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18102.440000000002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22"/>
      <c r="P494" s="709" t="s">
        <v>752</v>
      </c>
      <c r="Q494" s="672"/>
      <c r="R494" s="672"/>
      <c r="S494" s="672"/>
      <c r="T494" s="672"/>
      <c r="U494" s="672"/>
      <c r="V494" s="673"/>
      <c r="W494" s="37" t="s">
        <v>69</v>
      </c>
      <c r="X494" s="551">
        <f>IFERROR(SUM(BM22:BM490),"0")</f>
        <v>18795.586460195827</v>
      </c>
      <c r="Y494" s="551">
        <f>IFERROR(SUM(BN22:BN490),"0")</f>
        <v>18903.883999999998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22"/>
      <c r="P495" s="709" t="s">
        <v>753</v>
      </c>
      <c r="Q495" s="672"/>
      <c r="R495" s="672"/>
      <c r="S495" s="672"/>
      <c r="T495" s="672"/>
      <c r="U495" s="672"/>
      <c r="V495" s="673"/>
      <c r="W495" s="37" t="s">
        <v>754</v>
      </c>
      <c r="X495" s="38">
        <f>ROUNDUP(SUM(BO22:BO490),0)</f>
        <v>29</v>
      </c>
      <c r="Y495" s="38">
        <f>ROUNDUP(SUM(BP22:BP490),0)</f>
        <v>29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22"/>
      <c r="P496" s="709" t="s">
        <v>755</v>
      </c>
      <c r="Q496" s="672"/>
      <c r="R496" s="672"/>
      <c r="S496" s="672"/>
      <c r="T496" s="672"/>
      <c r="U496" s="672"/>
      <c r="V496" s="673"/>
      <c r="W496" s="37" t="s">
        <v>69</v>
      </c>
      <c r="X496" s="551">
        <f>GrossWeightTotal+PalletQtyTotal*25</f>
        <v>19520.586460195827</v>
      </c>
      <c r="Y496" s="551">
        <f>GrossWeightTotalR+PalletQtyTotalR*25</f>
        <v>19628.883999999998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22"/>
      <c r="P497" s="709" t="s">
        <v>756</v>
      </c>
      <c r="Q497" s="672"/>
      <c r="R497" s="672"/>
      <c r="S497" s="672"/>
      <c r="T497" s="672"/>
      <c r="U497" s="672"/>
      <c r="V497" s="673"/>
      <c r="W497" s="37" t="s">
        <v>754</v>
      </c>
      <c r="X497" s="551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2021.6332388343881</v>
      </c>
      <c r="Y497" s="551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2035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22"/>
      <c r="P498" s="709" t="s">
        <v>757</v>
      </c>
      <c r="Q498" s="672"/>
      <c r="R498" s="672"/>
      <c r="S498" s="672"/>
      <c r="T498" s="672"/>
      <c r="U498" s="672"/>
      <c r="V498" s="673"/>
      <c r="W498" s="39" t="s">
        <v>758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33.06579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759</v>
      </c>
      <c r="B500" s="546" t="s">
        <v>63</v>
      </c>
      <c r="C500" s="592" t="s">
        <v>101</v>
      </c>
      <c r="D500" s="744"/>
      <c r="E500" s="744"/>
      <c r="F500" s="744"/>
      <c r="G500" s="744"/>
      <c r="H500" s="745"/>
      <c r="I500" s="592" t="s">
        <v>273</v>
      </c>
      <c r="J500" s="744"/>
      <c r="K500" s="744"/>
      <c r="L500" s="744"/>
      <c r="M500" s="744"/>
      <c r="N500" s="744"/>
      <c r="O500" s="744"/>
      <c r="P500" s="744"/>
      <c r="Q500" s="744"/>
      <c r="R500" s="745"/>
      <c r="S500" s="592" t="s">
        <v>557</v>
      </c>
      <c r="T500" s="745"/>
      <c r="U500" s="592" t="s">
        <v>611</v>
      </c>
      <c r="V500" s="744"/>
      <c r="W500" s="745"/>
      <c r="X500" s="546" t="s">
        <v>662</v>
      </c>
      <c r="Y500" s="592" t="s">
        <v>717</v>
      </c>
      <c r="Z500" s="745"/>
      <c r="AB500" s="52"/>
      <c r="AC500" s="52"/>
      <c r="AF500" s="547"/>
    </row>
    <row r="501" spans="1:32" ht="14.25" customHeight="1" thickTop="1" x14ac:dyDescent="0.2">
      <c r="A501" s="796" t="s">
        <v>760</v>
      </c>
      <c r="B501" s="592" t="s">
        <v>63</v>
      </c>
      <c r="C501" s="592" t="s">
        <v>102</v>
      </c>
      <c r="D501" s="592" t="s">
        <v>119</v>
      </c>
      <c r="E501" s="592" t="s">
        <v>170</v>
      </c>
      <c r="F501" s="592" t="s">
        <v>193</v>
      </c>
      <c r="G501" s="592" t="s">
        <v>230</v>
      </c>
      <c r="H501" s="592" t="s">
        <v>101</v>
      </c>
      <c r="I501" s="592" t="s">
        <v>274</v>
      </c>
      <c r="J501" s="592" t="s">
        <v>324</v>
      </c>
      <c r="K501" s="592" t="s">
        <v>383</v>
      </c>
      <c r="L501" s="592" t="s">
        <v>423</v>
      </c>
      <c r="M501" s="592" t="s">
        <v>439</v>
      </c>
      <c r="N501" s="547"/>
      <c r="O501" s="592" t="s">
        <v>450</v>
      </c>
      <c r="P501" s="592" t="s">
        <v>459</v>
      </c>
      <c r="Q501" s="592" t="s">
        <v>472</v>
      </c>
      <c r="R501" s="592" t="s">
        <v>547</v>
      </c>
      <c r="S501" s="592" t="s">
        <v>558</v>
      </c>
      <c r="T501" s="592" t="s">
        <v>593</v>
      </c>
      <c r="U501" s="592" t="s">
        <v>612</v>
      </c>
      <c r="V501" s="592" t="s">
        <v>643</v>
      </c>
      <c r="W501" s="592" t="s">
        <v>658</v>
      </c>
      <c r="X501" s="592" t="s">
        <v>662</v>
      </c>
      <c r="Y501" s="592" t="s">
        <v>717</v>
      </c>
      <c r="Z501" s="592" t="s">
        <v>747</v>
      </c>
      <c r="AB501" s="52"/>
      <c r="AC501" s="52"/>
      <c r="AF501" s="547"/>
    </row>
    <row r="502" spans="1:32" ht="13.5" customHeight="1" thickBot="1" x14ac:dyDescent="0.25">
      <c r="A502" s="797"/>
      <c r="B502" s="593"/>
      <c r="C502" s="593"/>
      <c r="D502" s="593"/>
      <c r="E502" s="593"/>
      <c r="F502" s="593"/>
      <c r="G502" s="593"/>
      <c r="H502" s="593"/>
      <c r="I502" s="593"/>
      <c r="J502" s="593"/>
      <c r="K502" s="593"/>
      <c r="L502" s="593"/>
      <c r="M502" s="593"/>
      <c r="N502" s="547"/>
      <c r="O502" s="593"/>
      <c r="P502" s="593"/>
      <c r="Q502" s="593"/>
      <c r="R502" s="593"/>
      <c r="S502" s="593"/>
      <c r="T502" s="593"/>
      <c r="U502" s="593"/>
      <c r="V502" s="593"/>
      <c r="W502" s="593"/>
      <c r="X502" s="593"/>
      <c r="Y502" s="593"/>
      <c r="Z502" s="593"/>
      <c r="AB502" s="52"/>
      <c r="AC502" s="52"/>
      <c r="AF502" s="547"/>
    </row>
    <row r="503" spans="1:32" ht="18" customHeight="1" thickTop="1" thickBot="1" x14ac:dyDescent="0.25">
      <c r="A503" s="40" t="s">
        <v>761</v>
      </c>
      <c r="B503" s="46">
        <f>IFERROR(Y22*1,"0")+IFERROR(Y23*1,"0")+IFERROR(Y27*1,"0")+IFERROR(Y28*1,"0")+IFERROR(Y29*1,"0")+IFERROR(Y30*1,"0")+IFERROR(Y31*1,"0")+IFERROR(Y35*1,"0")</f>
        <v>0</v>
      </c>
      <c r="C503" s="46">
        <f>IFERROR(Y41*1,"0")+IFERROR(Y42*1,"0")+IFERROR(Y43*1,"0")+IFERROR(Y47*1,"0")</f>
        <v>3542.0000000000005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957.60000000000014</v>
      </c>
      <c r="E503" s="46">
        <f>IFERROR(Y85*1,"0")+IFERROR(Y86*1,"0")+IFERROR(Y87*1,"0")+IFERROR(Y88*1,"0")+IFERROR(Y92*1,"0")+IFERROR(Y93*1,"0")+IFERROR(Y94*1,"0")+IFERROR(Y95*1,"0")</f>
        <v>928.8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985.5</v>
      </c>
      <c r="G503" s="46">
        <f>IFERROR(Y127*1,"0")+IFERROR(Y128*1,"0")+IFERROR(Y132*1,"0")+IFERROR(Y133*1,"0")+IFERROR(Y137*1,"0")+IFERROR(Y138*1,"0")</f>
        <v>0</v>
      </c>
      <c r="H503" s="46">
        <f>IFERROR(Y143*1,"0")+IFERROR(Y144*1,"0")+IFERROR(Y148*1,"0")+IFERROR(Y149*1,"0")+IFERROR(Y150*1,"0")+IFERROR(Y151*1,"0")+IFERROR(Y152*1,"0")+IFERROR(Y153*1,"0")+IFERROR(Y157*1,"0")</f>
        <v>54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163.80000000000001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893.1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3" s="46">
        <f>IFERROR(Y261*1,"0")+IFERROR(Y262*1,"0")+IFERROR(Y263*1,"0")+IFERROR(Y264*1,"0")+IFERROR(Y265*1,"0")</f>
        <v>0</v>
      </c>
      <c r="M503" s="46">
        <f>IFERROR(Y270*1,"0")+IFERROR(Y271*1,"0")+IFERROR(Y272*1,"0")+IFERROR(Y273*1,"0")</f>
        <v>0</v>
      </c>
      <c r="N503" s="547"/>
      <c r="O503" s="46">
        <f>IFERROR(Y278*1,"0")+IFERROR(Y279*1,"0")+IFERROR(Y280*1,"0")</f>
        <v>0</v>
      </c>
      <c r="P503" s="46">
        <f>IFERROR(Y285*1,"0")+IFERROR(Y286*1,"0")+IFERROR(Y290*1,"0")+IFERROR(Y291*1,"0")</f>
        <v>0</v>
      </c>
      <c r="Q503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256.20000000000005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5454</v>
      </c>
      <c r="T503" s="46">
        <f>IFERROR(Y374*1,"0")+IFERROR(Y375*1,"0")+IFERROR(Y379*1,"0")+IFERROR(Y380*1,"0")+IFERROR(Y384*1,"0")+IFERROR(Y385*1,"0")+IFERROR(Y386*1,"0")</f>
        <v>2106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2761.44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DM0emxmGB/S4cUMNHveKYiIjZ+h0gFY2VrpA6OGP73z3gk+yu9QmZ87Pd3vaU3/wDNHV4kTR+WN59vVtdnLmuw==" saltValue="XoxdV1O4nFrtHfW2gDdoa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P360:T360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A413:Z413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66:O367"/>
    <mergeCell ref="V12:W12"/>
    <mergeCell ref="A200:O201"/>
    <mergeCell ref="D458:E458"/>
    <mergeCell ref="D433:E433"/>
    <mergeCell ref="D262:E262"/>
    <mergeCell ref="D237:E237"/>
    <mergeCell ref="A39:Z39"/>
    <mergeCell ref="A44:O45"/>
    <mergeCell ref="P85:T85"/>
    <mergeCell ref="D291:E291"/>
    <mergeCell ref="D239:E239"/>
    <mergeCell ref="P174:T174"/>
    <mergeCell ref="P149:T149"/>
    <mergeCell ref="A339:Z339"/>
    <mergeCell ref="D95:E95"/>
    <mergeCell ref="U17:V17"/>
    <mergeCell ref="P410:T410"/>
    <mergeCell ref="P385:T385"/>
    <mergeCell ref="A266:O267"/>
    <mergeCell ref="D57:E57"/>
    <mergeCell ref="Y17:Y18"/>
    <mergeCell ref="D355:E355"/>
    <mergeCell ref="P356:V356"/>
    <mergeCell ref="A181:Z181"/>
    <mergeCell ref="Q5:R5"/>
    <mergeCell ref="P297:T297"/>
    <mergeCell ref="P435:T435"/>
    <mergeCell ref="D278:E278"/>
    <mergeCell ref="P291:T291"/>
    <mergeCell ref="D163:E163"/>
    <mergeCell ref="P484:T484"/>
    <mergeCell ref="D405:E405"/>
    <mergeCell ref="D234:E234"/>
    <mergeCell ref="A24:O25"/>
    <mergeCell ref="P434:T434"/>
    <mergeCell ref="P263:T263"/>
    <mergeCell ref="D244:E244"/>
    <mergeCell ref="D342:E342"/>
    <mergeCell ref="P355:T355"/>
    <mergeCell ref="D171:E171"/>
    <mergeCell ref="D336:E336"/>
    <mergeCell ref="Q6:R6"/>
    <mergeCell ref="P436:T436"/>
    <mergeCell ref="A425:Z425"/>
    <mergeCell ref="A189:O190"/>
    <mergeCell ref="D102:E102"/>
    <mergeCell ref="P81:V81"/>
    <mergeCell ref="A269:Z269"/>
    <mergeCell ref="P495:V495"/>
    <mergeCell ref="A320:Z320"/>
    <mergeCell ref="A347:Z347"/>
    <mergeCell ref="A114:Z114"/>
    <mergeCell ref="P439:T439"/>
    <mergeCell ref="A191:Z191"/>
    <mergeCell ref="P433:T433"/>
    <mergeCell ref="P262:T262"/>
    <mergeCell ref="A107:Z107"/>
    <mergeCell ref="D341:E341"/>
    <mergeCell ref="D170:E170"/>
    <mergeCell ref="P303:V303"/>
    <mergeCell ref="P199:T199"/>
    <mergeCell ref="P419:V419"/>
    <mergeCell ref="P145:V145"/>
    <mergeCell ref="D133:E133"/>
    <mergeCell ref="P381:V381"/>
    <mergeCell ref="A231:Z231"/>
    <mergeCell ref="A333:Z333"/>
    <mergeCell ref="P185:V185"/>
    <mergeCell ref="D271:E271"/>
    <mergeCell ref="A468:O469"/>
    <mergeCell ref="A479:Z479"/>
    <mergeCell ref="D173:E173"/>
    <mergeCell ref="P493:V493"/>
    <mergeCell ref="D452:E452"/>
    <mergeCell ref="P371:V371"/>
    <mergeCell ref="D252:E252"/>
    <mergeCell ref="A20:Z20"/>
    <mergeCell ref="A411:O412"/>
    <mergeCell ref="A348:Z348"/>
    <mergeCell ref="P110:T110"/>
    <mergeCell ref="D218:E218"/>
    <mergeCell ref="A51:Z51"/>
    <mergeCell ref="P72:T72"/>
    <mergeCell ref="A58:O59"/>
    <mergeCell ref="D54:E54"/>
    <mergeCell ref="D42:E42"/>
    <mergeCell ref="D471:E471"/>
    <mergeCell ref="A131:Z131"/>
    <mergeCell ref="P307:T307"/>
    <mergeCell ref="P444:T444"/>
    <mergeCell ref="D110:E110"/>
    <mergeCell ref="D286:E286"/>
    <mergeCell ref="P387:V387"/>
    <mergeCell ref="AD17:AF18"/>
    <mergeCell ref="A481:O482"/>
    <mergeCell ref="D101:E101"/>
    <mergeCell ref="A337:O338"/>
    <mergeCell ref="F5:G5"/>
    <mergeCell ref="A488:Z488"/>
    <mergeCell ref="P411:V411"/>
    <mergeCell ref="A463:Z463"/>
    <mergeCell ref="P67:T67"/>
    <mergeCell ref="D430:E430"/>
    <mergeCell ref="P119:V119"/>
    <mergeCell ref="D175:E175"/>
    <mergeCell ref="A36:O37"/>
    <mergeCell ref="P253:T253"/>
    <mergeCell ref="D392:E392"/>
    <mergeCell ref="P469:V469"/>
    <mergeCell ref="A294:Z294"/>
    <mergeCell ref="D221:E221"/>
    <mergeCell ref="A370:O371"/>
    <mergeCell ref="V11:W11"/>
    <mergeCell ref="P57:T57"/>
    <mergeCell ref="P75:T75"/>
    <mergeCell ref="P342:T342"/>
    <mergeCell ref="P406:V406"/>
    <mergeCell ref="P2:W3"/>
    <mergeCell ref="P498:V498"/>
    <mergeCell ref="P133:T133"/>
    <mergeCell ref="P298:T298"/>
    <mergeCell ref="D437:E437"/>
    <mergeCell ref="P369:T369"/>
    <mergeCell ref="P198:T198"/>
    <mergeCell ref="P127:T127"/>
    <mergeCell ref="P54:T54"/>
    <mergeCell ref="D35:E35"/>
    <mergeCell ref="D404:E404"/>
    <mergeCell ref="P312:V312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A344:O345"/>
    <mergeCell ref="P128:T128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A247:Z247"/>
    <mergeCell ref="P189:V189"/>
    <mergeCell ref="P456:V456"/>
    <mergeCell ref="A483:Z483"/>
    <mergeCell ref="P287:V287"/>
    <mergeCell ref="D177:E177"/>
    <mergeCell ref="P281:V281"/>
    <mergeCell ref="P354:T354"/>
    <mergeCell ref="D226:E226"/>
    <mergeCell ref="P183:T183"/>
    <mergeCell ref="P365:T365"/>
    <mergeCell ref="A245:O246"/>
    <mergeCell ref="U500:W500"/>
    <mergeCell ref="I501:I502"/>
    <mergeCell ref="K501:K502"/>
    <mergeCell ref="D323:E323"/>
    <mergeCell ref="D394:E394"/>
    <mergeCell ref="D450:E450"/>
    <mergeCell ref="P492:V492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62:T62"/>
    <mergeCell ref="P317:T317"/>
    <mergeCell ref="D279:E279"/>
    <mergeCell ref="D152:E152"/>
    <mergeCell ref="D29:E29"/>
    <mergeCell ref="D23:E23"/>
    <mergeCell ref="D265:E265"/>
    <mergeCell ref="D216:E216"/>
    <mergeCell ref="P195:V195"/>
    <mergeCell ref="A134:O135"/>
    <mergeCell ref="A125:Z125"/>
    <mergeCell ref="N17:N18"/>
    <mergeCell ref="F17:F18"/>
    <mergeCell ref="D17:E18"/>
    <mergeCell ref="X17:X18"/>
    <mergeCell ref="V501:V502"/>
    <mergeCell ref="P359:T359"/>
    <mergeCell ref="X501:X502"/>
    <mergeCell ref="P490:T490"/>
    <mergeCell ref="D436:E436"/>
    <mergeCell ref="A105:O106"/>
    <mergeCell ref="D227:E227"/>
    <mergeCell ref="P321:T321"/>
    <mergeCell ref="A9:C9"/>
    <mergeCell ref="P323:T323"/>
    <mergeCell ref="A91:Z91"/>
    <mergeCell ref="P337:V337"/>
    <mergeCell ref="P70:V70"/>
    <mergeCell ref="A389:Z389"/>
    <mergeCell ref="A156:Z156"/>
    <mergeCell ref="P32:V32"/>
    <mergeCell ref="P474:V474"/>
    <mergeCell ref="P134:V134"/>
    <mergeCell ref="I500:R500"/>
    <mergeCell ref="P401:V401"/>
    <mergeCell ref="P97:V97"/>
    <mergeCell ref="Q13:R13"/>
    <mergeCell ref="A391:Z391"/>
    <mergeCell ref="A318:O319"/>
    <mergeCell ref="Y501:Y502"/>
    <mergeCell ref="D299:E299"/>
    <mergeCell ref="A501:A502"/>
    <mergeCell ref="A230:Z230"/>
    <mergeCell ref="D222:E222"/>
    <mergeCell ref="P35:T35"/>
    <mergeCell ref="P399:T399"/>
    <mergeCell ref="A295:Z295"/>
    <mergeCell ref="A81:O82"/>
    <mergeCell ref="D314:E314"/>
    <mergeCell ref="P242:V242"/>
    <mergeCell ref="P407:V407"/>
    <mergeCell ref="A403:Z403"/>
    <mergeCell ref="D80:E80"/>
    <mergeCell ref="P382:V382"/>
    <mergeCell ref="P357:V357"/>
    <mergeCell ref="P188:T188"/>
    <mergeCell ref="A225:Z225"/>
    <mergeCell ref="A461:Z461"/>
    <mergeCell ref="P123:V123"/>
    <mergeCell ref="D434:E434"/>
    <mergeCell ref="P482:V482"/>
    <mergeCell ref="A241:O242"/>
    <mergeCell ref="P111:T111"/>
    <mergeCell ref="S500:T500"/>
    <mergeCell ref="P175:T175"/>
    <mergeCell ref="P266:V266"/>
    <mergeCell ref="A292:O293"/>
    <mergeCell ref="P331:V331"/>
    <mergeCell ref="D143:E143"/>
    <mergeCell ref="P398:T398"/>
    <mergeCell ref="P227:T227"/>
    <mergeCell ref="P177:T177"/>
    <mergeCell ref="A223:O224"/>
    <mergeCell ref="P226:T226"/>
    <mergeCell ref="P335:T335"/>
    <mergeCell ref="D256:E256"/>
    <mergeCell ref="D207:E207"/>
    <mergeCell ref="A493:O498"/>
    <mergeCell ref="P176:T176"/>
    <mergeCell ref="A284:Z284"/>
    <mergeCell ref="D149:E149"/>
    <mergeCell ref="Y500:Z500"/>
    <mergeCell ref="D385:E385"/>
    <mergeCell ref="P301:T301"/>
    <mergeCell ref="P178:T178"/>
    <mergeCell ref="P214:T214"/>
    <mergeCell ref="P270:T270"/>
    <mergeCell ref="H5:M5"/>
    <mergeCell ref="P473:V473"/>
    <mergeCell ref="A228:O229"/>
    <mergeCell ref="P158:V158"/>
    <mergeCell ref="D439:E439"/>
    <mergeCell ref="P396:T396"/>
    <mergeCell ref="A390:Z390"/>
    <mergeCell ref="D317:E317"/>
    <mergeCell ref="D6:M6"/>
    <mergeCell ref="P93:T93"/>
    <mergeCell ref="P120:V120"/>
    <mergeCell ref="D85:E85"/>
    <mergeCell ref="G17:G18"/>
    <mergeCell ref="P61:T61"/>
    <mergeCell ref="P41:T41"/>
    <mergeCell ref="D22:E22"/>
    <mergeCell ref="D86:E86"/>
    <mergeCell ref="D384:E384"/>
    <mergeCell ref="P341:T341"/>
    <mergeCell ref="A457:Z457"/>
    <mergeCell ref="A387:O388"/>
    <mergeCell ref="D151:E151"/>
    <mergeCell ref="D449:E449"/>
    <mergeCell ref="A64:O65"/>
    <mergeCell ref="V6:W9"/>
    <mergeCell ref="D364:E364"/>
    <mergeCell ref="P109:T109"/>
    <mergeCell ref="D435:E435"/>
    <mergeCell ref="D217:E217"/>
    <mergeCell ref="D484:E484"/>
    <mergeCell ref="P222:T222"/>
    <mergeCell ref="P193:T193"/>
    <mergeCell ref="P22:T22"/>
    <mergeCell ref="P314:T314"/>
    <mergeCell ref="D428:E428"/>
    <mergeCell ref="D415:E415"/>
    <mergeCell ref="A455:O456"/>
    <mergeCell ref="A346:Z346"/>
    <mergeCell ref="P80:T80"/>
    <mergeCell ref="D194:E194"/>
    <mergeCell ref="Z17:Z18"/>
    <mergeCell ref="A283:Z283"/>
    <mergeCell ref="A448:Z448"/>
    <mergeCell ref="A277:Z277"/>
    <mergeCell ref="P44:V44"/>
    <mergeCell ref="D321:E321"/>
    <mergeCell ref="P278:T278"/>
    <mergeCell ref="D150:E150"/>
    <mergeCell ref="A489:Z489"/>
    <mergeCell ref="P468:V468"/>
    <mergeCell ref="A160:Z160"/>
    <mergeCell ref="A141:Z141"/>
    <mergeCell ref="W501:W502"/>
    <mergeCell ref="AA17:AA18"/>
    <mergeCell ref="H10:M10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F501:F502"/>
    <mergeCell ref="H501:H502"/>
    <mergeCell ref="P343:T343"/>
    <mergeCell ref="D153:E153"/>
    <mergeCell ref="P256:T256"/>
    <mergeCell ref="D128:E128"/>
    <mergeCell ref="D199:E199"/>
    <mergeCell ref="A112:O113"/>
    <mergeCell ref="AB17:AB18"/>
    <mergeCell ref="D465:E465"/>
    <mergeCell ref="D296:E296"/>
    <mergeCell ref="P275:V275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129:V129"/>
    <mergeCell ref="P101:T101"/>
    <mergeCell ref="P465:T465"/>
    <mergeCell ref="D386:E386"/>
    <mergeCell ref="D215:E215"/>
    <mergeCell ref="P250:V250"/>
    <mergeCell ref="M501:M502"/>
    <mergeCell ref="O501:O502"/>
    <mergeCell ref="P380:T380"/>
    <mergeCell ref="Q501:Q502"/>
    <mergeCell ref="P58:V58"/>
    <mergeCell ref="A13:M13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P375:T375"/>
    <mergeCell ref="P204:T204"/>
    <mergeCell ref="D62:E62"/>
    <mergeCell ref="C500:H500"/>
    <mergeCell ref="D56:E56"/>
    <mergeCell ref="D193:E193"/>
    <mergeCell ref="P206:T206"/>
    <mergeCell ref="D127:E127"/>
    <mergeCell ref="P233:T233"/>
    <mergeCell ref="D176:E176"/>
    <mergeCell ref="D485:E485"/>
    <mergeCell ref="P447:V447"/>
    <mergeCell ref="P216:T216"/>
    <mergeCell ref="D137:E137"/>
    <mergeCell ref="P124:V124"/>
    <mergeCell ref="D422:E422"/>
    <mergeCell ref="D74:E74"/>
    <mergeCell ref="P87:T87"/>
    <mergeCell ref="P451:T451"/>
    <mergeCell ref="A470:Z470"/>
    <mergeCell ref="D335:E335"/>
    <mergeCell ref="D188:E188"/>
    <mergeCell ref="A440:O441"/>
    <mergeCell ref="P322:T322"/>
    <mergeCell ref="D132:E132"/>
    <mergeCell ref="D399:E399"/>
    <mergeCell ref="P309:T309"/>
    <mergeCell ref="D178:E178"/>
    <mergeCell ref="D172:E172"/>
    <mergeCell ref="P88:T88"/>
    <mergeCell ref="P153:T153"/>
    <mergeCell ref="P338:V338"/>
    <mergeCell ref="D285:E285"/>
    <mergeCell ref="P155:V155"/>
    <mergeCell ref="T5:U5"/>
    <mergeCell ref="V5:W5"/>
    <mergeCell ref="P374:T374"/>
    <mergeCell ref="P203:T203"/>
    <mergeCell ref="A491:O492"/>
    <mergeCell ref="D233:E233"/>
    <mergeCell ref="D111:E111"/>
    <mergeCell ref="P212:V212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T6:U9"/>
    <mergeCell ref="P319:V319"/>
    <mergeCell ref="Q10:R10"/>
    <mergeCell ref="A442:Z442"/>
    <mergeCell ref="D41:E41"/>
    <mergeCell ref="P296:T296"/>
    <mergeCell ref="A486:O487"/>
    <mergeCell ref="G501:G502"/>
    <mergeCell ref="P370:V370"/>
    <mergeCell ref="A251:Z251"/>
    <mergeCell ref="P497:V497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P228:V228"/>
    <mergeCell ref="P293:V293"/>
    <mergeCell ref="D343:E343"/>
    <mergeCell ref="P397:T397"/>
    <mergeCell ref="P200:V200"/>
    <mergeCell ref="P74:T74"/>
    <mergeCell ref="P310:T310"/>
    <mergeCell ref="P292:V292"/>
    <mergeCell ref="D182:E182"/>
    <mergeCell ref="D480:E480"/>
    <mergeCell ref="D280:E280"/>
    <mergeCell ref="Z501:Z502"/>
    <mergeCell ref="P486:V486"/>
    <mergeCell ref="P146:V146"/>
    <mergeCell ref="D63:E63"/>
    <mergeCell ref="D330:E330"/>
    <mergeCell ref="P305:T305"/>
    <mergeCell ref="A421:Z421"/>
    <mergeCell ref="A304:Z304"/>
    <mergeCell ref="A98:Z98"/>
    <mergeCell ref="P344:V344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D398:E398"/>
    <mergeCell ref="E501:E502"/>
    <mergeCell ref="A17:A18"/>
    <mergeCell ref="P300:T300"/>
    <mergeCell ref="K17:K18"/>
    <mergeCell ref="C17:C18"/>
    <mergeCell ref="P431:T431"/>
    <mergeCell ref="D103:E103"/>
    <mergeCell ref="D168:E168"/>
    <mergeCell ref="D466:E466"/>
    <mergeCell ref="P137:T137"/>
    <mergeCell ref="D118:E118"/>
    <mergeCell ref="P53:T53"/>
    <mergeCell ref="D167:E167"/>
    <mergeCell ref="P351:T351"/>
    <mergeCell ref="P422:T422"/>
    <mergeCell ref="D232:E232"/>
    <mergeCell ref="A406:O407"/>
    <mergeCell ref="P264:T264"/>
    <mergeCell ref="P239:T239"/>
    <mergeCell ref="P68:T68"/>
    <mergeCell ref="A418:O419"/>
    <mergeCell ref="P186:V186"/>
    <mergeCell ref="A356:O357"/>
    <mergeCell ref="A185:O186"/>
    <mergeCell ref="A5:C5"/>
    <mergeCell ref="P418:V418"/>
    <mergeCell ref="P412:V412"/>
    <mergeCell ref="A408:Z408"/>
    <mergeCell ref="P64:V64"/>
    <mergeCell ref="P135:V135"/>
    <mergeCell ref="P362:V362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P367:V367"/>
    <mergeCell ref="A249:O250"/>
    <mergeCell ref="D52:E52"/>
    <mergeCell ref="D27:E27"/>
    <mergeCell ref="P15:T16"/>
    <mergeCell ref="P23:T23"/>
    <mergeCell ref="D454:E454"/>
    <mergeCell ref="P480:T480"/>
    <mergeCell ref="P280:T280"/>
    <mergeCell ref="Q12:R12"/>
    <mergeCell ref="A274:O275"/>
    <mergeCell ref="D261:E261"/>
    <mergeCell ref="P169:T169"/>
    <mergeCell ref="P467:T467"/>
    <mergeCell ref="P196:V196"/>
    <mergeCell ref="P491:V491"/>
    <mergeCell ref="A69:O70"/>
    <mergeCell ref="P308:T308"/>
    <mergeCell ref="D416:E416"/>
    <mergeCell ref="D264:E264"/>
    <mergeCell ref="D93:E93"/>
    <mergeCell ref="D220:E220"/>
    <mergeCell ref="A12:M12"/>
    <mergeCell ref="A19:Z19"/>
    <mergeCell ref="P163:T163"/>
    <mergeCell ref="D109:E109"/>
    <mergeCell ref="A14:M14"/>
    <mergeCell ref="D467:E467"/>
    <mergeCell ref="P138:T138"/>
    <mergeCell ref="P318:V318"/>
    <mergeCell ref="P25:V25"/>
    <mergeCell ref="A6:C6"/>
    <mergeCell ref="D309:E309"/>
    <mergeCell ref="P118:T118"/>
    <mergeCell ref="P416:T416"/>
    <mergeCell ref="P167:T167"/>
    <mergeCell ref="D88:E88"/>
    <mergeCell ref="A161:Z161"/>
    <mergeCell ref="D148:E148"/>
    <mergeCell ref="P117:T117"/>
    <mergeCell ref="A324:O325"/>
    <mergeCell ref="D115:E115"/>
    <mergeCell ref="P55:T55"/>
    <mergeCell ref="P182:T182"/>
    <mergeCell ref="D43:E43"/>
    <mergeCell ref="D68:E68"/>
    <mergeCell ref="J9:M9"/>
    <mergeCell ref="A154:O155"/>
    <mergeCell ref="P143:T143"/>
    <mergeCell ref="P248:T248"/>
    <mergeCell ref="A129:O130"/>
    <mergeCell ref="P235:T235"/>
    <mergeCell ref="D349:E349"/>
    <mergeCell ref="P306:T306"/>
    <mergeCell ref="A38:Z38"/>
    <mergeCell ref="Q9:R9"/>
    <mergeCell ref="P267:V267"/>
    <mergeCell ref="D451:E451"/>
    <mergeCell ref="D255:E255"/>
    <mergeCell ref="P49:V49"/>
    <mergeCell ref="P36:V36"/>
    <mergeCell ref="P478:V478"/>
    <mergeCell ref="Q11:R11"/>
    <mergeCell ref="D322:E322"/>
    <mergeCell ref="P205:T205"/>
    <mergeCell ref="A195:O196"/>
    <mergeCell ref="D453:E453"/>
    <mergeCell ref="D476:E476"/>
    <mergeCell ref="P455:V455"/>
    <mergeCell ref="A147:Z147"/>
    <mergeCell ref="P249:V249"/>
    <mergeCell ref="P207:T207"/>
    <mergeCell ref="A302:O303"/>
    <mergeCell ref="A372:Z372"/>
    <mergeCell ref="P299:T299"/>
    <mergeCell ref="D138:E138"/>
    <mergeCell ref="A40:Z40"/>
    <mergeCell ref="P393:T393"/>
    <mergeCell ref="D374:E374"/>
    <mergeCell ref="I17:I18"/>
    <mergeCell ref="A48:O49"/>
    <mergeCell ref="D306:E306"/>
    <mergeCell ref="A119:O120"/>
    <mergeCell ref="P424:V424"/>
    <mergeCell ref="P414:T414"/>
    <mergeCell ref="P352:T352"/>
    <mergeCell ref="D72:E72"/>
    <mergeCell ref="A326:Z326"/>
    <mergeCell ref="D235:E235"/>
    <mergeCell ref="D203:E203"/>
    <mergeCell ref="P165:V165"/>
    <mergeCell ref="P232:T232"/>
    <mergeCell ref="P330:T330"/>
    <mergeCell ref="P395:T395"/>
    <mergeCell ref="A340:Z340"/>
    <mergeCell ref="D359:E359"/>
    <mergeCell ref="H17:H18"/>
    <mergeCell ref="P261:T261"/>
    <mergeCell ref="D204:E204"/>
    <mergeCell ref="P217:T217"/>
    <mergeCell ref="D198:E198"/>
    <mergeCell ref="D31:E31"/>
    <mergeCell ref="D329:E329"/>
    <mergeCell ref="P286:T286"/>
    <mergeCell ref="D400:E400"/>
    <mergeCell ref="D108:E108"/>
    <mergeCell ref="D375:E375"/>
    <mergeCell ref="P429:T429"/>
    <mergeCell ref="D369:E369"/>
    <mergeCell ref="P52:T52"/>
    <mergeCell ref="P350:T350"/>
    <mergeCell ref="P201:V201"/>
    <mergeCell ref="P139:V139"/>
    <mergeCell ref="A26:Z26"/>
    <mergeCell ref="P59:V59"/>
    <mergeCell ref="P168:T168"/>
    <mergeCell ref="P130:V130"/>
    <mergeCell ref="P190:V190"/>
    <mergeCell ref="P466:T466"/>
    <mergeCell ref="A71:Z71"/>
    <mergeCell ref="D1:F1"/>
    <mergeCell ref="A313:Z313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D334:E334"/>
    <mergeCell ref="P112:V112"/>
    <mergeCell ref="P428:T428"/>
    <mergeCell ref="D100:E100"/>
    <mergeCell ref="P17:T18"/>
    <mergeCell ref="P63:T63"/>
    <mergeCell ref="P194:T194"/>
    <mergeCell ref="D210:E210"/>
    <mergeCell ref="A123:O124"/>
    <mergeCell ref="D308:E308"/>
    <mergeCell ref="A46:Z46"/>
    <mergeCell ref="D380:E380"/>
    <mergeCell ref="D209:E209"/>
    <mergeCell ref="D87:E87"/>
    <mergeCell ref="P464:T464"/>
    <mergeCell ref="D445:E445"/>
    <mergeCell ref="D301:E301"/>
    <mergeCell ref="A423:O424"/>
    <mergeCell ref="D122:E122"/>
    <mergeCell ref="P116:T116"/>
    <mergeCell ref="P103:T103"/>
    <mergeCell ref="A166:Z166"/>
    <mergeCell ref="D438:E438"/>
    <mergeCell ref="S501:S502"/>
    <mergeCell ref="D432:E432"/>
    <mergeCell ref="D236:E236"/>
    <mergeCell ref="U501:U502"/>
    <mergeCell ref="A179:O180"/>
    <mergeCell ref="P171:T171"/>
    <mergeCell ref="D117:E117"/>
    <mergeCell ref="D353:E353"/>
    <mergeCell ref="D92:E92"/>
    <mergeCell ref="P453:T453"/>
    <mergeCell ref="D290:E290"/>
    <mergeCell ref="D94:E94"/>
    <mergeCell ref="D417:E417"/>
    <mergeCell ref="P471:T471"/>
    <mergeCell ref="A401:O402"/>
    <mergeCell ref="P148:T148"/>
    <mergeCell ref="P240:T240"/>
    <mergeCell ref="A96:O97"/>
    <mergeCell ref="D354:E354"/>
    <mergeCell ref="A475:Z475"/>
    <mergeCell ref="P460:V460"/>
    <mergeCell ref="P106:V106"/>
    <mergeCell ref="P164:V164"/>
    <mergeCell ref="D316:E316"/>
    <mergeCell ref="P45:V45"/>
    <mergeCell ref="P487:V487"/>
    <mergeCell ref="P95:T95"/>
    <mergeCell ref="H1:Q1"/>
    <mergeCell ref="A268:Z268"/>
    <mergeCell ref="A243:Z243"/>
    <mergeCell ref="P274:V274"/>
    <mergeCell ref="A99:Z99"/>
    <mergeCell ref="P345:V345"/>
    <mergeCell ref="D214:E214"/>
    <mergeCell ref="P246:V246"/>
    <mergeCell ref="D28:E28"/>
    <mergeCell ref="P405:T405"/>
    <mergeCell ref="P476:T476"/>
    <mergeCell ref="P257:V257"/>
    <mergeCell ref="P184:T184"/>
    <mergeCell ref="D55:E55"/>
    <mergeCell ref="D30:E30"/>
    <mergeCell ref="D67:E67"/>
    <mergeCell ref="D5:E5"/>
    <mergeCell ref="P42:T42"/>
    <mergeCell ref="A32:O33"/>
    <mergeCell ref="P33:V33"/>
    <mergeCell ref="P273:T273"/>
    <mergeCell ref="D7:M7"/>
    <mergeCell ref="A373:Z373"/>
    <mergeCell ref="D365:E365"/>
    <mergeCell ref="P236:T236"/>
    <mergeCell ref="D79:E79"/>
    <mergeCell ref="P92:T92"/>
    <mergeCell ref="P334:T334"/>
    <mergeCell ref="P394:T394"/>
    <mergeCell ref="D315:E315"/>
    <mergeCell ref="D144:E144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A211:O212"/>
    <mergeCell ref="D8:M8"/>
    <mergeCell ref="D300:E300"/>
    <mergeCell ref="P237:T237"/>
    <mergeCell ref="P31:T31"/>
    <mergeCell ref="P329:T329"/>
    <mergeCell ref="A473:O474"/>
    <mergeCell ref="P159:V159"/>
    <mergeCell ref="D47:E47"/>
    <mergeCell ref="P209:T209"/>
    <mergeCell ref="P445:T445"/>
    <mergeCell ref="A50:Z50"/>
    <mergeCell ref="W17:W18"/>
    <mergeCell ref="P96:V96"/>
    <mergeCell ref="P90:V90"/>
    <mergeCell ref="P332:V332"/>
    <mergeCell ref="P388:V388"/>
    <mergeCell ref="A331:O332"/>
    <mergeCell ref="P459:V459"/>
    <mergeCell ref="A213:Z213"/>
    <mergeCell ref="A376:O377"/>
    <mergeCell ref="P234:T234"/>
    <mergeCell ref="P325:V325"/>
    <mergeCell ref="P154:V154"/>
    <mergeCell ref="D429:E429"/>
    <mergeCell ref="P458:T458"/>
    <mergeCell ref="A459:O460"/>
    <mergeCell ref="A462:Z462"/>
    <mergeCell ref="P180:V180"/>
    <mergeCell ref="A446:O447"/>
    <mergeCell ref="R501:R502"/>
    <mergeCell ref="A311:O312"/>
    <mergeCell ref="P452:T452"/>
    <mergeCell ref="T501:T502"/>
    <mergeCell ref="P377:V377"/>
    <mergeCell ref="A202:Z202"/>
    <mergeCell ref="P37:V37"/>
    <mergeCell ref="P104:T104"/>
    <mergeCell ref="B17:B18"/>
    <mergeCell ref="P441:V441"/>
    <mergeCell ref="A260:Z260"/>
    <mergeCell ref="A60:Z60"/>
    <mergeCell ref="P477:V477"/>
    <mergeCell ref="C501:C502"/>
    <mergeCell ref="A358:Z358"/>
    <mergeCell ref="P404:T404"/>
    <mergeCell ref="P252:T252"/>
    <mergeCell ref="P56:T56"/>
    <mergeCell ref="A197:Z197"/>
    <mergeCell ref="P379:T379"/>
    <mergeCell ref="D360:E360"/>
    <mergeCell ref="D431:E431"/>
    <mergeCell ref="P170:T170"/>
    <mergeCell ref="P316:T316"/>
    <mergeCell ref="P28:T28"/>
    <mergeCell ref="P392:T392"/>
    <mergeCell ref="P221:T221"/>
    <mergeCell ref="R1:T1"/>
    <mergeCell ref="P386:T386"/>
    <mergeCell ref="D307:E307"/>
    <mergeCell ref="P215:T215"/>
    <mergeCell ref="A145:O146"/>
    <mergeCell ref="A139:O140"/>
    <mergeCell ref="A381:O382"/>
    <mergeCell ref="P229:V229"/>
    <mergeCell ref="A89:O90"/>
    <mergeCell ref="P152:T152"/>
    <mergeCell ref="P77:V77"/>
    <mergeCell ref="D73:E73"/>
    <mergeCell ref="A76:O77"/>
    <mergeCell ref="P30:T30"/>
    <mergeCell ref="P179:V179"/>
    <mergeCell ref="P290:T290"/>
    <mergeCell ref="V10:W10"/>
    <mergeCell ref="P113:V113"/>
    <mergeCell ref="D253:E253"/>
    <mergeCell ref="D53:E53"/>
    <mergeCell ref="D351:E351"/>
    <mergeCell ref="A34:Z34"/>
    <mergeCell ref="P245:V245"/>
    <mergeCell ref="A368:Z368"/>
    <mergeCell ref="H9:I9"/>
    <mergeCell ref="P224:V224"/>
    <mergeCell ref="P24:V24"/>
    <mergeCell ref="P211:V211"/>
    <mergeCell ref="P89:V89"/>
    <mergeCell ref="A383:Z383"/>
    <mergeCell ref="D297:E297"/>
    <mergeCell ref="A78:Z78"/>
    <mergeCell ref="P324:V324"/>
    <mergeCell ref="D263:E263"/>
    <mergeCell ref="P220:T220"/>
    <mergeCell ref="A363:Z363"/>
    <mergeCell ref="D238:E238"/>
    <mergeCell ref="P86:T86"/>
    <mergeCell ref="A287:O288"/>
    <mergeCell ref="P328:T328"/>
    <mergeCell ref="A281:O282"/>
    <mergeCell ref="A378:Z378"/>
    <mergeCell ref="D205:E205"/>
    <mergeCell ref="P157:T157"/>
    <mergeCell ref="P172:T172"/>
    <mergeCell ref="P79:T79"/>
    <mergeCell ref="P244:T244"/>
    <mergeCell ref="P73:T73"/>
    <mergeCell ref="P437:T437"/>
    <mergeCell ref="P315:T315"/>
    <mergeCell ref="P144:T144"/>
    <mergeCell ref="A361:O362"/>
    <mergeCell ref="D174:E174"/>
    <mergeCell ref="D472:E472"/>
    <mergeCell ref="A83:Z83"/>
    <mergeCell ref="D410:E410"/>
    <mergeCell ref="A276:Z276"/>
    <mergeCell ref="P454:T454"/>
    <mergeCell ref="P384:T384"/>
    <mergeCell ref="A158:O159"/>
    <mergeCell ref="P150:T150"/>
    <mergeCell ref="P432:T432"/>
    <mergeCell ref="P446:V446"/>
    <mergeCell ref="P402:V402"/>
    <mergeCell ref="P443:T443"/>
    <mergeCell ref="A84:Z84"/>
    <mergeCell ref="D443:E443"/>
    <mergeCell ref="P400:T400"/>
    <mergeCell ref="D272:E27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51 X153 X167 X169 X171 X173 X176 X194 X203:X208 X210 X216:X222 X226 X235 X239 X261 X263 X265 X280 X290 X297:X298 X300:X301 X305:X306 X308:X310 X314 X317 X321:X323 X330 X341:X343 X355 X364:X365 X374:X375 X380 X384:X385 X392 X394 X404:X405 X414 X428 X431:X432 X434 X443 X449:X451 X466 X476 X480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52"/>
    </row>
    <row r="3" spans="2:8" x14ac:dyDescent="0.2">
      <c r="B3" s="47" t="s">
        <v>763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764</v>
      </c>
      <c r="D6" s="47" t="s">
        <v>765</v>
      </c>
      <c r="E6" s="47"/>
    </row>
    <row r="8" spans="2:8" x14ac:dyDescent="0.2">
      <c r="B8" s="47" t="s">
        <v>19</v>
      </c>
      <c r="C8" s="47" t="s">
        <v>764</v>
      </c>
      <c r="D8" s="47"/>
      <c r="E8" s="47"/>
    </row>
    <row r="10" spans="2:8" x14ac:dyDescent="0.2">
      <c r="B10" s="47" t="s">
        <v>766</v>
      </c>
      <c r="C10" s="47"/>
      <c r="D10" s="47"/>
      <c r="E10" s="47"/>
    </row>
    <row r="11" spans="2:8" x14ac:dyDescent="0.2">
      <c r="B11" s="47" t="s">
        <v>767</v>
      </c>
      <c r="C11" s="47"/>
      <c r="D11" s="47"/>
      <c r="E11" s="47"/>
    </row>
    <row r="12" spans="2:8" x14ac:dyDescent="0.2">
      <c r="B12" s="47" t="s">
        <v>768</v>
      </c>
      <c r="C12" s="47"/>
      <c r="D12" s="47"/>
      <c r="E12" s="47"/>
    </row>
    <row r="13" spans="2:8" x14ac:dyDescent="0.2">
      <c r="B13" s="47" t="s">
        <v>769</v>
      </c>
      <c r="C13" s="47"/>
      <c r="D13" s="47"/>
      <c r="E13" s="47"/>
    </row>
    <row r="14" spans="2:8" x14ac:dyDescent="0.2">
      <c r="B14" s="47" t="s">
        <v>770</v>
      </c>
      <c r="C14" s="47"/>
      <c r="D14" s="47"/>
      <c r="E14" s="47"/>
    </row>
    <row r="15" spans="2:8" x14ac:dyDescent="0.2">
      <c r="B15" s="47" t="s">
        <v>771</v>
      </c>
      <c r="C15" s="47"/>
      <c r="D15" s="47"/>
      <c r="E15" s="47"/>
    </row>
    <row r="16" spans="2:8" x14ac:dyDescent="0.2">
      <c r="B16" s="47" t="s">
        <v>772</v>
      </c>
      <c r="C16" s="47"/>
      <c r="D16" s="47"/>
      <c r="E16" s="47"/>
    </row>
    <row r="17" spans="2:5" x14ac:dyDescent="0.2">
      <c r="B17" s="47" t="s">
        <v>773</v>
      </c>
      <c r="C17" s="47"/>
      <c r="D17" s="47"/>
      <c r="E17" s="47"/>
    </row>
    <row r="18" spans="2:5" x14ac:dyDescent="0.2">
      <c r="B18" s="47" t="s">
        <v>774</v>
      </c>
      <c r="C18" s="47"/>
      <c r="D18" s="47"/>
      <c r="E18" s="47"/>
    </row>
    <row r="19" spans="2:5" x14ac:dyDescent="0.2">
      <c r="B19" s="47" t="s">
        <v>775</v>
      </c>
      <c r="C19" s="47"/>
      <c r="D19" s="47"/>
      <c r="E19" s="47"/>
    </row>
    <row r="20" spans="2:5" x14ac:dyDescent="0.2">
      <c r="B20" s="47" t="s">
        <v>776</v>
      </c>
      <c r="C20" s="47"/>
      <c r="D20" s="47"/>
      <c r="E20" s="47"/>
    </row>
  </sheetData>
  <sheetProtection algorithmName="SHA-512" hashValue="u6bdAkUNxgUmFswo/XKxloMUJZAXQTm0YSPZNxoiFS6c/diHEQnSHAToAXtJ8NmxY833/kXBIaJJGsPfgCfukg==" saltValue="7FOVmPpP0WgW6e5zblyH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2025-12-22T07:58:29Z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