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7-24.12.25_Д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<sst xmlns="http://schemas.openxmlformats.org/spreadsheetml/2006/main" count="165" uniqueCount="72">
  <si>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</si>
  <si>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</si>
  <si>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</si>
  <si>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</si>
  <si>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</si>
  <si>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</si>
  <si>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</si>
  <si>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</si>
  <si>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</si>
  <si>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</si>
  <si>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</si>
  <si>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</si>
  <si>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</si>
  <si>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</si>
  <si>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</si>
  <si>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</si>
  <si>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</si>
  <si>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</si>
  <si>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</si>
  <si>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</si>
  <si>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</si>
  <si>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</si>
  <si>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</si>
  <si>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</si>
  <si>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</si>
  <si>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</si>
  <si>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</si>
  <si>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</si>
  <si>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</si>
  <si>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</si>
  <si>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</si>
  <si>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</si>
  <si>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</si>
  <si>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</si>
  <si>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</si>
  <si>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</si>
  <si>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</si>
  <si>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</si>
  <si>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</si>
  <si>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</si>
  <si>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</si>
  <si>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</si>
  <si>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</si>
  <si>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</si>
  <si>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</si>
  <si>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</si>
  <si>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</si>
  <si>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</si>
  <si>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</si>
  <si>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</si>
  <si>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</si>
  <si>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</si>
  <si>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</si>
  <si>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</si>
  <si>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</si>
  <si>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</si>
  <si>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</si>
  <si>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</si>
  <si>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</si>
  <si>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</si>
  <si>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</si>
  <si>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</si>
  <si>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</si>
  <si>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</si>
  <si>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</si>
  <si>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</si>
  <si>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</si>
  <si>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</si>
  <si>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</si>
  <si>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</si>
  <si>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</si>
  <si>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 24.12.25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</si>
</sst>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35" activePane="bottomRight" state="frozen"/>
      <selection pane="topRight" activeCell="F1" sqref="F1"/>
      <selection pane="bottomLeft" activeCell="A8" sqref="A8"/>
      <selection pane="bottomRight" activeCell="P45" sqref="P45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98</v>
      </c>
      <c r="J8" s="77">
        <f t="shared" ref="J8:J37" si="0">I8*$D8</f>
        <v>147</v>
      </c>
      <c r="K8" s="48">
        <f t="shared" ref="K8:K37" si="1">I8*$E8</f>
        <v>188.3364</v>
      </c>
      <c r="L8" s="48">
        <f t="shared" ref="L8:L37" si="2">I8/$F8</f>
        <v>0.7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98</v>
      </c>
      <c r="J9" s="77">
        <f t="shared" si="0"/>
        <v>147</v>
      </c>
      <c r="K9" s="48">
        <f t="shared" si="1"/>
        <v>188.3364</v>
      </c>
      <c r="L9" s="48">
        <f t="shared" si="2"/>
        <v>0.7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36</v>
      </c>
      <c r="J10" s="77">
        <f t="shared" si="0"/>
        <v>201.6</v>
      </c>
      <c r="K10" s="48">
        <f t="shared" si="1"/>
        <v>211.32</v>
      </c>
      <c r="L10" s="48">
        <f t="shared" si="2"/>
        <v>0.42857142857142855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24</v>
      </c>
      <c r="J11" s="77">
        <f t="shared" si="0"/>
        <v>134.39999999999998</v>
      </c>
      <c r="K11" s="48">
        <f t="shared" si="1"/>
        <v>140.88</v>
      </c>
      <c r="L11" s="48">
        <f t="shared" si="2"/>
        <v>0.2857142857142857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60</v>
      </c>
      <c r="J12" s="77">
        <f t="shared" si="0"/>
        <v>336</v>
      </c>
      <c r="K12" s="48">
        <f t="shared" si="1"/>
        <v>352.2</v>
      </c>
      <c r="L12" s="48">
        <f t="shared" si="2"/>
        <v>0.7142857142857143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12</v>
      </c>
      <c r="J17" s="77">
        <f t="shared" si="0"/>
        <v>76.800000000000011</v>
      </c>
      <c r="K17" s="48">
        <f t="shared" si="1"/>
        <v>80.635199999999998</v>
      </c>
      <c r="L17" s="48">
        <f t="shared" si="2"/>
        <v>0.14285714285714285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48</v>
      </c>
      <c r="J18" s="77">
        <f t="shared" si="0"/>
        <v>336</v>
      </c>
      <c r="K18" s="48">
        <f t="shared" si="1"/>
        <v>350.4</v>
      </c>
      <c r="L18" s="48">
        <f t="shared" si="2"/>
        <v>0.5714285714285714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60</v>
      </c>
      <c r="J20" s="77">
        <f t="shared" si="0"/>
        <v>300</v>
      </c>
      <c r="K20" s="48">
        <f t="shared" si="1"/>
        <v>312.79199999999997</v>
      </c>
      <c r="L20" s="48">
        <f t="shared" si="2"/>
        <v>0.41666666666666669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42</v>
      </c>
      <c r="J21" s="77">
        <f t="shared" si="0"/>
        <v>151.20000000000002</v>
      </c>
      <c r="K21" s="48">
        <f t="shared" si="1"/>
        <v>180.75120000000001</v>
      </c>
      <c r="L21" s="48">
        <f t="shared" si="2"/>
        <v>0.6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70</v>
      </c>
      <c r="J22" s="77">
        <f t="shared" si="0"/>
        <v>252</v>
      </c>
      <c r="K22" s="48">
        <f t="shared" si="1"/>
        <v>301.25200000000001</v>
      </c>
      <c r="L22" s="48">
        <f t="shared" si="2"/>
        <v>1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70</v>
      </c>
      <c r="J23" s="77">
        <f t="shared" si="0"/>
        <v>252</v>
      </c>
      <c r="K23" s="48">
        <f t="shared" si="1"/>
        <v>301.25200000000001</v>
      </c>
      <c r="L23" s="48">
        <f t="shared" si="2"/>
        <v>1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70</v>
      </c>
      <c r="J24" s="77">
        <f t="shared" si="0"/>
        <v>201.6</v>
      </c>
      <c r="K24" s="48">
        <f t="shared" si="1"/>
        <v>250.852</v>
      </c>
      <c r="L24" s="48">
        <f t="shared" si="2"/>
        <v>1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70</v>
      </c>
      <c r="J25" s="77">
        <f t="shared" si="0"/>
        <v>201.6</v>
      </c>
      <c r="K25" s="48">
        <f t="shared" si="1"/>
        <v>250.852</v>
      </c>
      <c r="L25" s="48">
        <f t="shared" si="2"/>
        <v>1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28</v>
      </c>
      <c r="J26" s="77">
        <f t="shared" si="0"/>
        <v>80.64</v>
      </c>
      <c r="K26" s="48">
        <f t="shared" si="1"/>
        <v>100.3408</v>
      </c>
      <c r="L26" s="48">
        <f t="shared" si="2"/>
        <v>0.4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70</v>
      </c>
      <c r="J27" s="77">
        <f t="shared" si="0"/>
        <v>201.6</v>
      </c>
      <c r="K27" s="48">
        <f t="shared" si="1"/>
        <v>250.852</v>
      </c>
      <c r="L27" s="48">
        <f t="shared" si="2"/>
        <v>1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42</v>
      </c>
      <c r="J28" s="77">
        <f t="shared" si="0"/>
        <v>161.28</v>
      </c>
      <c r="K28" s="48">
        <f t="shared" si="1"/>
        <v>186.84960000000001</v>
      </c>
      <c r="L28" s="48">
        <f t="shared" si="2"/>
        <v>0.6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14</v>
      </c>
      <c r="J29" s="77">
        <f t="shared" si="0"/>
        <v>58.800000000000004</v>
      </c>
      <c r="K29" s="48">
        <f t="shared" si="1"/>
        <v>63.408800000000006</v>
      </c>
      <c r="L29" s="48">
        <f t="shared" si="2"/>
        <v>0.2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24</v>
      </c>
      <c r="J30" s="77">
        <f t="shared" si="0"/>
        <v>153.60000000000002</v>
      </c>
      <c r="K30" s="48">
        <f t="shared" si="1"/>
        <v>161.2704</v>
      </c>
      <c r="L30" s="48">
        <f t="shared" si="2"/>
        <v>0.2857142857142857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72</v>
      </c>
      <c r="J31" s="77">
        <f t="shared" si="0"/>
        <v>504</v>
      </c>
      <c r="K31" s="48">
        <f t="shared" si="1"/>
        <v>525.6</v>
      </c>
      <c r="L31" s="48">
        <f t="shared" si="2"/>
        <v>0.8571428571428571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36</v>
      </c>
      <c r="J32" s="77">
        <f t="shared" si="0"/>
        <v>230.4</v>
      </c>
      <c r="K32" s="48">
        <f t="shared" si="1"/>
        <v>241.90559999999999</v>
      </c>
      <c r="L32" s="48">
        <f t="shared" si="2"/>
        <v>0.42857142857142855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132</v>
      </c>
      <c r="J33" s="77">
        <f t="shared" si="0"/>
        <v>924</v>
      </c>
      <c r="K33" s="48">
        <f t="shared" si="1"/>
        <v>963.6</v>
      </c>
      <c r="L33" s="48">
        <f t="shared" si="2"/>
        <v>1.5714285714285714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168</v>
      </c>
      <c r="J34" s="77">
        <f t="shared" si="0"/>
        <v>504</v>
      </c>
      <c r="K34" s="48">
        <f t="shared" si="1"/>
        <v>622.20479999999998</v>
      </c>
      <c r="L34" s="48">
        <f t="shared" si="2"/>
        <v>2.4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154</v>
      </c>
      <c r="J35" s="77">
        <f t="shared" si="0"/>
        <v>462</v>
      </c>
      <c r="K35" s="48">
        <f t="shared" si="1"/>
        <v>570.35439999999994</v>
      </c>
      <c r="L35" s="48">
        <f t="shared" si="2"/>
        <v>2.2000000000000002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84</v>
      </c>
      <c r="J37" s="77">
        <f t="shared" si="0"/>
        <v>252</v>
      </c>
      <c r="K37" s="48">
        <f t="shared" si="1"/>
        <v>311.10239999999999</v>
      </c>
      <c r="L37" s="48">
        <f t="shared" si="2"/>
        <v>1.2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84</v>
      </c>
      <c r="J38" s="77">
        <f t="shared" ref="J38:J58" si="3">I38*$D38</f>
        <v>201.6</v>
      </c>
      <c r="K38" s="48">
        <f t="shared" ref="K38:K58" si="4">I38*$E38</f>
        <v>225.12</v>
      </c>
      <c r="L38" s="48">
        <f t="shared" ref="L38:L58" si="5">I38/$F38</f>
        <v>1.2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28</v>
      </c>
      <c r="J39" s="77">
        <f t="shared" si="3"/>
        <v>67.2</v>
      </c>
      <c r="K39" s="48">
        <f t="shared" si="4"/>
        <v>75.040000000000006</v>
      </c>
      <c r="L39" s="48">
        <f t="shared" si="5"/>
        <v>0.4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42</v>
      </c>
      <c r="J40" s="77">
        <f t="shared" si="3"/>
        <v>126</v>
      </c>
      <c r="K40" s="48">
        <f t="shared" si="4"/>
        <v>155.55119999999999</v>
      </c>
      <c r="L40" s="48">
        <f t="shared" si="5"/>
        <v>0.6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56</v>
      </c>
      <c r="J43" s="77">
        <f t="shared" si="3"/>
        <v>94.08</v>
      </c>
      <c r="K43" s="48">
        <f t="shared" si="4"/>
        <v>117.70079999999999</v>
      </c>
      <c r="L43" s="48">
        <f t="shared" si="5"/>
        <v>0.4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70</v>
      </c>
      <c r="J44" s="77">
        <f t="shared" si="3"/>
        <v>210</v>
      </c>
      <c r="K44" s="48">
        <f t="shared" si="4"/>
        <v>237.16</v>
      </c>
      <c r="L44" s="48">
        <f t="shared" si="5"/>
        <v>1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140</v>
      </c>
      <c r="J45" s="77">
        <f t="shared" si="3"/>
        <v>420</v>
      </c>
      <c r="K45" s="48">
        <f t="shared" si="4"/>
        <v>474.32</v>
      </c>
      <c r="L45" s="48">
        <f t="shared" si="5"/>
        <v>2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240</v>
      </c>
      <c r="J51" s="77">
        <f t="shared" si="3"/>
        <v>1440</v>
      </c>
      <c r="K51" s="48">
        <f t="shared" si="4"/>
        <v>1502.3999999999999</v>
      </c>
      <c r="L51" s="48">
        <f t="shared" si="5"/>
        <v>2.8571428571428572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504</v>
      </c>
      <c r="J53" s="77">
        <f t="shared" si="3"/>
        <v>1864.8000000000002</v>
      </c>
      <c r="K53" s="48">
        <f t="shared" si="4"/>
        <v>1961.568</v>
      </c>
      <c r="L53" s="48">
        <f t="shared" si="5"/>
        <v>4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2746</v>
      </c>
      <c r="J59" s="30">
        <f>SUM(J8:J58)</f>
        <v>10693.2</v>
      </c>
      <c r="K59" s="30">
        <f>SUM(K8:K58)</f>
        <v>11856.207999999999</v>
      </c>
      <c r="L59" s="49">
        <f>SUM(L8:L58)</f>
        <v>32.159523809523805</v>
      </c>
      <c r="M59" s="47">
        <f>ROUNDUP(L59,0)</f>
        <v>33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12499.398476190476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 Супаков</cp:lastModifiedBy>
  <cp:lastPrinted>2024-07-25T10:24:37Z</cp:lastPrinted>
  <dcterms:created xsi:type="dcterms:W3CDTF">2022-04-04T13:38:25Z</dcterms:created>
  <dcterms:modified xsi:type="dcterms:W3CDTF">2025-12-05T12:05:14Z</dcterms:modified>
</cp:coreProperties>
</file>