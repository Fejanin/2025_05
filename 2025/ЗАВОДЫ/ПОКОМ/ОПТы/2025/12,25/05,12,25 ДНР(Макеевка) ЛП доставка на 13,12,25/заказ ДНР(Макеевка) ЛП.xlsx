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7AB11FB7-A762-4A22-A3A3-EC6CCCDC7CA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F10" i="1"/>
  <c r="J9" i="1"/>
  <c r="F9" i="1"/>
  <c r="A9" i="1"/>
  <c r="A10" i="1" s="1"/>
  <c r="D7" i="1"/>
  <c r="Q6" i="1"/>
  <c r="P2" i="1"/>
  <c r="Z360" i="1" l="1"/>
  <c r="Y24" i="1"/>
  <c r="Y32" i="1"/>
  <c r="Y44" i="1"/>
  <c r="Y59" i="1"/>
  <c r="Y65" i="1"/>
  <c r="Y70" i="1"/>
  <c r="BP74" i="1"/>
  <c r="BN74" i="1"/>
  <c r="Z74" i="1"/>
  <c r="Z89" i="1"/>
  <c r="BP87" i="1"/>
  <c r="BN87" i="1"/>
  <c r="Z87" i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Z204" i="1" s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Z312" i="1" s="1"/>
  <c r="Y312" i="1"/>
  <c r="Z318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Z77" i="1" s="1"/>
  <c r="Y78" i="1"/>
  <c r="Y83" i="1"/>
  <c r="BP80" i="1"/>
  <c r="BN80" i="1"/>
  <c r="Z80" i="1"/>
  <c r="Z82" i="1" s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Z286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Z375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Z464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49" i="1" l="1"/>
  <c r="Z395" i="1"/>
  <c r="Z235" i="1"/>
  <c r="Z434" i="1"/>
  <c r="Z350" i="1"/>
  <c r="Z331" i="1"/>
  <c r="Z216" i="1"/>
  <c r="Y492" i="1"/>
  <c r="Z104" i="1"/>
  <c r="Z470" i="1"/>
  <c r="Z338" i="1"/>
  <c r="Z296" i="1"/>
  <c r="Z172" i="1"/>
  <c r="Z117" i="1"/>
  <c r="Z96" i="1"/>
  <c r="Z70" i="1"/>
  <c r="Z496" i="1" s="1"/>
  <c r="Y491" i="1"/>
  <c r="Y493" i="1"/>
  <c r="Z149" i="1"/>
  <c r="Y495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<sst xmlns="http://schemas.openxmlformats.org/spreadsheetml/2006/main" count="2352" uniqueCount="768">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</sst>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100</v>
      </c>
      <c r="Y41" s="54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9.2592592592592595</v>
      </c>
      <c r="Y44" s="547">
        <f>IFERROR(Y41/H41,"0")+IFERROR(Y42/H42,"0")+IFERROR(Y43/H43,"0")</f>
        <v>10</v>
      </c>
      <c r="Z44" s="547">
        <f>IFERROR(IF(Z41="",0,Z41),"0")+IFERROR(IF(Z42="",0,Z42),"0")+IFERROR(IF(Z43="",0,Z43),"0")</f>
        <v>0.1898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100</v>
      </c>
      <c r="Y45" s="547">
        <f>IFERROR(SUM(Y41:Y43),"0")</f>
        <v>108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400</v>
      </c>
      <c r="Y92" s="546">
        <f>IFERROR(IF(X92="",0,CEILING((X92/$H92),1)*$H92),"")</f>
        <v>405</v>
      </c>
      <c r="Z92" s="36">
        <f>IFERROR(IF(Y92=0,"",ROUNDUP(Y92/H92,0)*0.01898),"")</f>
        <v>0.94900000000000007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424.39506172839509</v>
      </c>
      <c r="BN92" s="64">
        <f>IFERROR(Y92*I92/H92,"0")</f>
        <v>429.7</v>
      </c>
      <c r="BO92" s="64">
        <f>IFERROR(1/J92*(X92/H92),"0")</f>
        <v>0.77160493827160492</v>
      </c>
      <c r="BP92" s="64">
        <f>IFERROR(1/J92*(Y92/H92),"0")</f>
        <v>0.78125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180</v>
      </c>
      <c r="Y94" s="546">
        <f>IFERROR(IF(X94="",0,CEILING((X94/$H94),1)*$H94),"")</f>
        <v>180.9</v>
      </c>
      <c r="Z94" s="36">
        <f>IFERROR(IF(Y94=0,"",ROUNDUP(Y94/H94,0)*0.00651),"")</f>
        <v>0.43617</v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196.79999999999998</v>
      </c>
      <c r="BN94" s="64">
        <f>IFERROR(Y94*I94/H94,"0")</f>
        <v>197.78399999999999</v>
      </c>
      <c r="BO94" s="64">
        <f>IFERROR(1/J94*(X94/H94),"0")</f>
        <v>0.36630036630036628</v>
      </c>
      <c r="BP94" s="64">
        <f>IFERROR(1/J94*(Y94/H94),"0")</f>
        <v>0.36813186813186816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116.04938271604937</v>
      </c>
      <c r="Y96" s="547">
        <f>IFERROR(Y92/H92,"0")+IFERROR(Y93/H93,"0")+IFERROR(Y94/H94,"0")+IFERROR(Y95/H95,"0")</f>
        <v>117</v>
      </c>
      <c r="Z96" s="547">
        <f>IFERROR(IF(Z92="",0,Z92),"0")+IFERROR(IF(Z93="",0,Z93),"0")+IFERROR(IF(Z94="",0,Z94),"0")+IFERROR(IF(Z95="",0,Z95),"0")</f>
        <v>1.38517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580</v>
      </c>
      <c r="Y97" s="547">
        <f>IFERROR(SUM(Y92:Y95),"0")</f>
        <v>585.9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500</v>
      </c>
      <c r="Y100" s="546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518.98148148148141</v>
      </c>
      <c r="BN100" s="64">
        <f>IFERROR(Y100*I100/H100,"0")</f>
        <v>526.87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46.296296296296291</v>
      </c>
      <c r="Y104" s="547">
        <f>IFERROR(Y100/H100,"0")+IFERROR(Y101/H101,"0")+IFERROR(Y102/H102,"0")+IFERROR(Y103/H103,"0")</f>
        <v>47</v>
      </c>
      <c r="Z104" s="547">
        <f>IFERROR(IF(Z100="",0,Z100),"0")+IFERROR(IF(Z101="",0,Z101),"0")+IFERROR(IF(Z102="",0,Z102),"0")+IFERROR(IF(Z103="",0,Z103),"0")</f>
        <v>0.89205999999999996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500</v>
      </c>
      <c r="Y105" s="547">
        <f>IFERROR(SUM(Y100:Y103),"0")</f>
        <v>507.6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300</v>
      </c>
      <c r="Y113" s="546">
        <f>IFERROR(IF(X113="",0,CEILING((X113/$H113),1)*$H113),"")</f>
        <v>307.8</v>
      </c>
      <c r="Z113" s="36">
        <f>IFERROR(IF(Y113=0,"",ROUNDUP(Y113/H113,0)*0.01898),"")</f>
        <v>0.72123999999999999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318.07407407407402</v>
      </c>
      <c r="BN113" s="64">
        <f>IFERROR(Y113*I113/H113,"0")</f>
        <v>326.34399999999999</v>
      </c>
      <c r="BO113" s="64">
        <f>IFERROR(1/J113*(X113/H113),"0")</f>
        <v>0.57870370370370372</v>
      </c>
      <c r="BP113" s="64">
        <f>IFERROR(1/J113*(Y113/H113),"0")</f>
        <v>0.59375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450</v>
      </c>
      <c r="Y115" s="546">
        <f>IFERROR(IF(X115="",0,CEILING((X115/$H115),1)*$H115),"")</f>
        <v>450.90000000000003</v>
      </c>
      <c r="Z115" s="36">
        <f>IFERROR(IF(Y115=0,"",ROUNDUP(Y115/H115,0)*0.00651),"")</f>
        <v>1.08717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492</v>
      </c>
      <c r="BN115" s="64">
        <f>IFERROR(Y115*I115/H115,"0")</f>
        <v>492.98399999999998</v>
      </c>
      <c r="BO115" s="64">
        <f>IFERROR(1/J115*(X115/H115),"0")</f>
        <v>0.91575091575091572</v>
      </c>
      <c r="BP115" s="64">
        <f>IFERROR(1/J115*(Y115/H115),"0")</f>
        <v>0.91758241758241765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203.7037037037037</v>
      </c>
      <c r="Y117" s="547">
        <f>IFERROR(Y113/H113,"0")+IFERROR(Y114/H114,"0")+IFERROR(Y115/H115,"0")+IFERROR(Y116/H116,"0")</f>
        <v>205</v>
      </c>
      <c r="Z117" s="547">
        <f>IFERROR(IF(Z113="",0,Z113),"0")+IFERROR(IF(Z114="",0,Z114),"0")+IFERROR(IF(Z115="",0,Z115),"0")+IFERROR(IF(Z116="",0,Z116),"0")</f>
        <v>1.8084099999999999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750</v>
      </c>
      <c r="Y118" s="547">
        <f>IFERROR(SUM(Y113:Y116),"0")</f>
        <v>758.7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0</v>
      </c>
      <c r="Y300" s="546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0</v>
      </c>
      <c r="Y305" s="547">
        <f>IFERROR(Y299/H299,"0")+IFERROR(Y300/H300,"0")+IFERROR(Y301/H301,"0")+IFERROR(Y302/H302,"0")+IFERROR(Y303/H303,"0")+IFERROR(Y304/H304,"0")</f>
        <v>0</v>
      </c>
      <c r="Z305" s="547">
        <f>IFERROR(IF(Z299="",0,Z299),"0")+IFERROR(IF(Z300="",0,Z300),"0")+IFERROR(IF(Z301="",0,Z301),"0")+IFERROR(IF(Z302="",0,Z302),"0")+IFERROR(IF(Z303="",0,Z303),"0")+IFERROR(IF(Z304="",0,Z304),"0")</f>
        <v>0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0</v>
      </c>
      <c r="Y306" s="547">
        <f>IFERROR(SUM(Y299:Y304),"0")</f>
        <v>0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252</v>
      </c>
      <c r="Y336" s="546">
        <f>IFERROR(IF(X336="",0,CEILING((X336/$H336),1)*$H336),"")</f>
        <v>252</v>
      </c>
      <c r="Z336" s="36">
        <f>IFERROR(IF(Y336=0,"",ROUNDUP(Y336/H336,0)*0.00651),"")</f>
        <v>0.78120000000000001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282.23999999999995</v>
      </c>
      <c r="BN336" s="64">
        <f>IFERROR(Y336*I336/H336,"0")</f>
        <v>282.23999999999995</v>
      </c>
      <c r="BO336" s="64">
        <f>IFERROR(1/J336*(X336/H336),"0")</f>
        <v>0.65934065934065944</v>
      </c>
      <c r="BP336" s="64">
        <f>IFERROR(1/J336*(Y336/H336),"0")</f>
        <v>0.65934065934065944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42</v>
      </c>
      <c r="Y337" s="546">
        <f>IFERROR(IF(X337="",0,CEILING((X337/$H337),1)*$H337),"")</f>
        <v>42</v>
      </c>
      <c r="Z337" s="36">
        <f>IFERROR(IF(Y337=0,"",ROUNDUP(Y337/H337,0)*0.00651),"")</f>
        <v>0.13020000000000001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46.8</v>
      </c>
      <c r="BN337" s="64">
        <f>IFERROR(Y337*I337/H337,"0")</f>
        <v>46.8</v>
      </c>
      <c r="BO337" s="64">
        <f>IFERROR(1/J337*(X337/H337),"0")</f>
        <v>0.1098901098901099</v>
      </c>
      <c r="BP337" s="64">
        <f>IFERROR(1/J337*(Y337/H337),"0")</f>
        <v>0.1098901098901099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140</v>
      </c>
      <c r="Y338" s="547">
        <f>IFERROR(Y335/H335,"0")+IFERROR(Y336/H336,"0")+IFERROR(Y337/H337,"0")</f>
        <v>140</v>
      </c>
      <c r="Z338" s="547">
        <f>IFERROR(IF(Z335="",0,Z335),"0")+IFERROR(IF(Z336="",0,Z336),"0")+IFERROR(IF(Z337="",0,Z337),"0")</f>
        <v>0.91139999999999999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294</v>
      </c>
      <c r="Y339" s="547">
        <f>IFERROR(SUM(Y335:Y337),"0")</f>
        <v>294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970</v>
      </c>
      <c r="Y343" s="546">
        <f t="shared" ref="Y343:Y349" si="36">IFERROR(IF(X343="",0,CEILING((X343/$H343),1)*$H343),"")</f>
        <v>975</v>
      </c>
      <c r="Z343" s="36">
        <f>IFERROR(IF(Y343=0,"",ROUNDUP(Y343/H343,0)*0.02175),"")</f>
        <v>1.4137499999999998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1000.3933333333334</v>
      </c>
      <c r="BN343" s="64">
        <f t="shared" ref="BN343:BN349" si="38">IFERROR(Y343*I343/H343,"0")</f>
        <v>1005.55</v>
      </c>
      <c r="BO343" s="64">
        <f t="shared" ref="BO343:BO349" si="39">IFERROR(1/J343*(X343/H343),"0")</f>
        <v>1.3472222222222223</v>
      </c>
      <c r="BP343" s="64">
        <f t="shared" ref="BP343:BP349" si="40">IFERROR(1/J343*(Y343/H343),"0")</f>
        <v>1.3541666666666665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1370</v>
      </c>
      <c r="Y344" s="546">
        <f t="shared" si="36"/>
        <v>1380</v>
      </c>
      <c r="Z344" s="36">
        <f>IFERROR(IF(Y344=0,"",ROUNDUP(Y344/H344,0)*0.02175),"")</f>
        <v>2.0009999999999999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1412.9266666666667</v>
      </c>
      <c r="BN344" s="64">
        <f t="shared" si="38"/>
        <v>1423.2400000000002</v>
      </c>
      <c r="BO344" s="64">
        <f t="shared" si="39"/>
        <v>1.9027777777777777</v>
      </c>
      <c r="BP344" s="64">
        <f t="shared" si="40"/>
        <v>1.9166666666666665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1950</v>
      </c>
      <c r="Y345" s="546">
        <f t="shared" si="36"/>
        <v>1950</v>
      </c>
      <c r="Z345" s="36">
        <f>IFERROR(IF(Y345=0,"",ROUNDUP(Y345/H345,0)*0.02175),"")</f>
        <v>2.8274999999999997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2011.1</v>
      </c>
      <c r="BN345" s="64">
        <f t="shared" si="38"/>
        <v>2011.1</v>
      </c>
      <c r="BO345" s="64">
        <f t="shared" si="39"/>
        <v>2.708333333333333</v>
      </c>
      <c r="BP345" s="64">
        <f t="shared" si="40"/>
        <v>2.708333333333333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286</v>
      </c>
      <c r="Y350" s="547">
        <f>IFERROR(Y343/H343,"0")+IFERROR(Y344/H344,"0")+IFERROR(Y345/H345,"0")+IFERROR(Y346/H346,"0")+IFERROR(Y347/H347,"0")+IFERROR(Y348/H348,"0")+IFERROR(Y349/H349,"0")</f>
        <v>287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6.2422499999999994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4290</v>
      </c>
      <c r="Y351" s="547">
        <f>IFERROR(SUM(Y343:Y349),"0")</f>
        <v>4305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1950</v>
      </c>
      <c r="Y353" s="546">
        <f>IFERROR(IF(X353="",0,CEILING((X353/$H353),1)*$H353),"")</f>
        <v>1950</v>
      </c>
      <c r="Z353" s="36">
        <f>IFERROR(IF(Y353=0,"",ROUNDUP(Y353/H353,0)*0.02175),"")</f>
        <v>2.8274999999999997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2011.1</v>
      </c>
      <c r="BN353" s="64">
        <f>IFERROR(Y353*I353/H353,"0")</f>
        <v>2011.1</v>
      </c>
      <c r="BO353" s="64">
        <f>IFERROR(1/J353*(X353/H353),"0")</f>
        <v>2.708333333333333</v>
      </c>
      <c r="BP353" s="64">
        <f>IFERROR(1/J353*(Y353/H353),"0")</f>
        <v>2.708333333333333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130</v>
      </c>
      <c r="Y355" s="547">
        <f>IFERROR(Y353/H353,"0")+IFERROR(Y354/H354,"0")</f>
        <v>130</v>
      </c>
      <c r="Z355" s="547">
        <f>IFERROR(IF(Z353="",0,Z353),"0")+IFERROR(IF(Z354="",0,Z354),"0")</f>
        <v>2.8274999999999997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1950</v>
      </c>
      <c r="Y356" s="547">
        <f>IFERROR(SUM(Y353:Y354),"0")</f>
        <v>1950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4870</v>
      </c>
      <c r="Y378" s="546">
        <f>IFERROR(IF(X378="",0,CEILING((X378/$H378),1)*$H378),"")</f>
        <v>4878</v>
      </c>
      <c r="Z378" s="36">
        <f>IFERROR(IF(Y378=0,"",ROUNDUP(Y378/H378,0)*0.01898),"")</f>
        <v>10.28716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5137.3088888888888</v>
      </c>
      <c r="BN378" s="64">
        <f>IFERROR(Y378*I378/H378,"0")</f>
        <v>5145.7479999999996</v>
      </c>
      <c r="BO378" s="64">
        <f>IFERROR(1/J378*(X378/H378),"0")</f>
        <v>8.4548611111111107</v>
      </c>
      <c r="BP378" s="64">
        <f>IFERROR(1/J378*(Y378/H378),"0")</f>
        <v>8.46875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80</v>
      </c>
      <c r="Y379" s="546">
        <f>IFERROR(IF(X379="",0,CEILING((X379/$H379),1)*$H379),"")</f>
        <v>81.599999999999994</v>
      </c>
      <c r="Z379" s="36">
        <f>IFERROR(IF(Y379=0,"",ROUNDUP(Y379/H379,0)*0.00651),"")</f>
        <v>0.22134000000000001</v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88.800000000000011</v>
      </c>
      <c r="BN379" s="64">
        <f>IFERROR(Y379*I379/H379,"0")</f>
        <v>90.575999999999993</v>
      </c>
      <c r="BO379" s="64">
        <f>IFERROR(1/J379*(X379/H379),"0")</f>
        <v>0.18315018315018317</v>
      </c>
      <c r="BP379" s="64">
        <f>IFERROR(1/J379*(Y379/H379),"0")</f>
        <v>0.18681318681318682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574.44444444444446</v>
      </c>
      <c r="Y381" s="547">
        <f>IFERROR(Y378/H378,"0")+IFERROR(Y379/H379,"0")+IFERROR(Y380/H380,"0")</f>
        <v>576</v>
      </c>
      <c r="Z381" s="547">
        <f>IFERROR(IF(Z378="",0,Z378),"0")+IFERROR(IF(Z379="",0,Z379),"0")+IFERROR(IF(Z380="",0,Z380),"0")</f>
        <v>10.5085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4950</v>
      </c>
      <c r="Y382" s="547">
        <f>IFERROR(SUM(Y378:Y380),"0")</f>
        <v>4959.6000000000004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100</v>
      </c>
      <c r="Y422" s="546">
        <f t="shared" ref="Y422:Y433" si="47">IFERROR(IF(X422="",0,CEILING((X422/$H422),1)*$H422),"")</f>
        <v>100.32000000000001</v>
      </c>
      <c r="Z422" s="36">
        <f t="shared" ref="Z422:Z428" si="48">IFERROR(IF(Y422=0,"",ROUNDUP(Y422/H422,0)*0.01196),"")</f>
        <v>0.22724</v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106.62878787878788</v>
      </c>
      <c r="BN422" s="64">
        <f t="shared" ref="BN422:BN433" si="50">IFERROR(Y422*I422/H422,"0")</f>
        <v>106.97</v>
      </c>
      <c r="BO422" s="64">
        <f t="shared" ref="BO422:BO433" si="51">IFERROR(1/J422*(X422/H422),"0")</f>
        <v>0.18210955710955709</v>
      </c>
      <c r="BP422" s="64">
        <f t="shared" ref="BP422:BP433" si="52">IFERROR(1/J422*(Y422/H422),"0")</f>
        <v>0.18269230769230771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100</v>
      </c>
      <c r="Y425" s="546">
        <f t="shared" si="47"/>
        <v>100.32000000000001</v>
      </c>
      <c r="Z425" s="36">
        <f t="shared" si="48"/>
        <v>0.22724</v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106.62878787878788</v>
      </c>
      <c r="BN425" s="64">
        <f t="shared" si="50"/>
        <v>106.97</v>
      </c>
      <c r="BO425" s="64">
        <f t="shared" si="51"/>
        <v>0.18210955710955709</v>
      </c>
      <c r="BP425" s="64">
        <f t="shared" si="52"/>
        <v>0.18269230769230771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1950</v>
      </c>
      <c r="Y426" s="546">
        <f t="shared" si="47"/>
        <v>1953.6000000000001</v>
      </c>
      <c r="Z426" s="36">
        <f t="shared" si="48"/>
        <v>4.4252000000000002</v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2079.2613636363635</v>
      </c>
      <c r="BN426" s="64">
        <f t="shared" si="50"/>
        <v>2083.1</v>
      </c>
      <c r="BO426" s="64">
        <f t="shared" si="51"/>
        <v>3.5511363636363638</v>
      </c>
      <c r="BP426" s="64">
        <f t="shared" si="52"/>
        <v>3.5576923076923079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970</v>
      </c>
      <c r="Y428" s="546">
        <f t="shared" si="47"/>
        <v>971.5200000000001</v>
      </c>
      <c r="Z428" s="36">
        <f t="shared" si="48"/>
        <v>2.2006399999999999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1034.2992424242423</v>
      </c>
      <c r="BN428" s="64">
        <f t="shared" si="50"/>
        <v>1035.92</v>
      </c>
      <c r="BO428" s="64">
        <f t="shared" si="51"/>
        <v>1.7664627039627039</v>
      </c>
      <c r="BP428" s="64">
        <f t="shared" si="52"/>
        <v>1.7692307692307694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590.90909090909088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592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7.0803200000000004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3120</v>
      </c>
      <c r="Y435" s="547">
        <f>IFERROR(SUM(Y422:Y433),"0")</f>
        <v>3125.76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970</v>
      </c>
      <c r="Y437" s="546">
        <f>IFERROR(IF(X437="",0,CEILING((X437/$H437),1)*$H437),"")</f>
        <v>971.5200000000001</v>
      </c>
      <c r="Z437" s="36">
        <f>IFERROR(IF(Y437=0,"",ROUNDUP(Y437/H437,0)*0.01196),"")</f>
        <v>2.2006399999999999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1034.2992424242423</v>
      </c>
      <c r="BN437" s="64">
        <f>IFERROR(Y437*I437/H437,"0")</f>
        <v>1035.92</v>
      </c>
      <c r="BO437" s="64">
        <f>IFERROR(1/J437*(X437/H437),"0")</f>
        <v>1.7664627039627039</v>
      </c>
      <c r="BP437" s="64">
        <f>IFERROR(1/J437*(Y437/H437),"0")</f>
        <v>1.7692307692307694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183.71212121212119</v>
      </c>
      <c r="Y440" s="547">
        <f>IFERROR(Y437/H437,"0")+IFERROR(Y438/H438,"0")+IFERROR(Y439/H439,"0")</f>
        <v>184</v>
      </c>
      <c r="Z440" s="547">
        <f>IFERROR(IF(Z437="",0,Z437),"0")+IFERROR(IF(Z438="",0,Z438),"0")+IFERROR(IF(Z439="",0,Z439),"0")</f>
        <v>2.2006399999999999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970</v>
      </c>
      <c r="Y441" s="547">
        <f>IFERROR(SUM(Y437:Y439),"0")</f>
        <v>971.5200000000001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500</v>
      </c>
      <c r="Y444" s="546">
        <f t="shared" si="53"/>
        <v>501.6</v>
      </c>
      <c r="Z444" s="36">
        <f>IFERROR(IF(Y444=0,"",ROUNDUP(Y444/H444,0)*0.01196),"")</f>
        <v>1.1362000000000001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533.14393939393938</v>
      </c>
      <c r="BN444" s="64">
        <f t="shared" si="55"/>
        <v>534.85</v>
      </c>
      <c r="BO444" s="64">
        <f t="shared" si="56"/>
        <v>0.91054778554778548</v>
      </c>
      <c r="BP444" s="64">
        <f t="shared" si="57"/>
        <v>0.91346153846153855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94.696969696969688</v>
      </c>
      <c r="Y449" s="547">
        <f>IFERROR(Y443/H443,"0")+IFERROR(Y444/H444,"0")+IFERROR(Y445/H445,"0")+IFERROR(Y446/H446,"0")+IFERROR(Y447/H447,"0")+IFERROR(Y448/H448,"0")</f>
        <v>95</v>
      </c>
      <c r="Z449" s="547">
        <f>IFERROR(IF(Z443="",0,Z443),"0")+IFERROR(IF(Z444="",0,Z444),"0")+IFERROR(IF(Z445="",0,Z445),"0")+IFERROR(IF(Z446="",0,Z446),"0")+IFERROR(IF(Z447="",0,Z447),"0")+IFERROR(IF(Z448="",0,Z448),"0")</f>
        <v>1.1362000000000001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500</v>
      </c>
      <c r="Y450" s="547">
        <f>IFERROR(SUM(Y443:Y448),"0")</f>
        <v>501.6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18004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18067.68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18938.977166105502</v>
      </c>
      <c r="Y492" s="547">
        <f>IFERROR(SUM(BN22:BN488),"0")</f>
        <v>19005.865999999995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30</v>
      </c>
      <c r="Y493" s="38">
        <f>ROUNDUP(SUM(BP22:BP488),0)</f>
        <v>31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19688.977166105502</v>
      </c>
      <c r="Y494" s="547">
        <f>GrossWeightTotalR+PalletQtyTotalR*25</f>
        <v>19780.865999999995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2375.0712682379344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2383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35.182250000000003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108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IFERROR(Y86*1,"0")+IFERROR(Y87*1,"0")+IFERROR(Y88*1,"0")+IFERROR(Y92*1,"0")+IFERROR(Y93*1,"0")+IFERROR(Y94*1,"0")+IFERROR(Y95*1,"0")</f>
        <v>585.9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1266.3000000000002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0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1" s="46">
        <f>IFERROR(Y335*1,"0")+IFERROR(Y336*1,"0")+IFERROR(Y337*1,"0")</f>
        <v>294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6255</v>
      </c>
      <c r="T501" s="46">
        <f>IFERROR(Y368*1,"0")+IFERROR(Y369*1,"0")+IFERROR(Y373*1,"0")+IFERROR(Y374*1,"0")+IFERROR(Y378*1,"0")+IFERROR(Y379*1,"0")+IFERROR(Y380*1,"0")</f>
        <v>4959.6000000000004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4598.880000000001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2025-12-08T07:45:13Z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