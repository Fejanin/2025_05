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12,25 Горняк(Донецк) ЗПФ на погрузку с филиалами 05,01,26 (26,12 на завод)\"/>
    </mc:Choice>
  </mc:AlternateContent>
  <xr:revisionPtr revIDLastSave="0" documentId="13_ncr:1_{1DF3C755-6DE4-4947-A283-8FCC31F817B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<sst xmlns="http://schemas.openxmlformats.org/spreadsheetml/2006/main" count="165" uniqueCount="72">
  <si>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</si>
  <si>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</si>
  <si>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</si>
  <si>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</si>
  <si>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</si>
  <si>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</si>
  <si>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</si>
  <si>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</si>
  <si>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</si>
  <si>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</si>
  <si>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</si>
  <si>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</si>
  <si>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</si>
  <si>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</si>
  <si>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</si>
  <si>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</si>
  <si>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</si>
  <si>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</si>
  <si>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</si>
  <si>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</si>
  <si>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</si>
  <si>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</si>
  <si>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</si>
  <si>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</si>
  <si>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</si>
  <si>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</si>
  <si>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</si>
  <si>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</si>
  <si>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</si>
  <si>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</si>
  <si>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</si>
  <si>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</si>
  <si>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</si>
  <si>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</si>
  <si>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</si>
  <si>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</si>
  <si>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</si>
  <si>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</si>
  <si>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</si>
  <si>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</si>
  <si>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</si>
  <si>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</si>
  <si>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</si>
  <si>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</si>
  <si>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</si>
  <si>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</si>
  <si>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</si>
  <si>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</si>
  <si>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</si>
  <si>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</si>
  <si>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</si>
  <si>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</si>
  <si>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</si>
  <si>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</si>
  <si>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</si>
  <si>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</si>
  <si>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</si>
  <si>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</si>
  <si>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</si>
  <si>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</si>
  <si>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</si>
  <si>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</si>
  <si>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</si>
  <si>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</si>
  <si>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</si>
  <si>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</si>
  <si>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</si>
  <si>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</si>
  <si>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</si>
  <si>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</si>
  <si>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</si>
  <si>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 06.01.26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</si>
</sst>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40" activePane="bottomRight" state="frozen"/>
      <selection pane="topRight" activeCell="F1" sqref="F1"/>
      <selection pane="bottomLeft" activeCell="A8" sqref="A8"/>
      <selection pane="bottomRight" activeCell="Q49" sqref="Q49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140</v>
      </c>
      <c r="J8" s="77">
        <f t="shared" ref="J8:J37" si="0">I8*$D8</f>
        <v>210</v>
      </c>
      <c r="K8" s="48">
        <f t="shared" ref="K8:K37" si="1">I8*$E8</f>
        <v>269.05200000000002</v>
      </c>
      <c r="L8" s="48">
        <f t="shared" ref="L8:L37" si="2">I8/$F8</f>
        <v>1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126</v>
      </c>
      <c r="J9" s="77">
        <f t="shared" si="0"/>
        <v>189</v>
      </c>
      <c r="K9" s="48">
        <f t="shared" si="1"/>
        <v>242.14679999999998</v>
      </c>
      <c r="L9" s="48">
        <f t="shared" si="2"/>
        <v>0.9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96</v>
      </c>
      <c r="J10" s="77">
        <f t="shared" si="0"/>
        <v>537.59999999999991</v>
      </c>
      <c r="K10" s="48">
        <f t="shared" si="1"/>
        <v>563.52</v>
      </c>
      <c r="L10" s="48">
        <f t="shared" si="2"/>
        <v>1.1428571428571428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60</v>
      </c>
      <c r="J11" s="77">
        <f t="shared" si="0"/>
        <v>336</v>
      </c>
      <c r="K11" s="48">
        <f t="shared" si="1"/>
        <v>352.2</v>
      </c>
      <c r="L11" s="48">
        <f t="shared" si="2"/>
        <v>0.7142857142857143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132</v>
      </c>
      <c r="J12" s="77">
        <f t="shared" si="0"/>
        <v>739.19999999999993</v>
      </c>
      <c r="K12" s="48">
        <f t="shared" si="1"/>
        <v>774.84</v>
      </c>
      <c r="L12" s="48">
        <f t="shared" si="2"/>
        <v>1.5714285714285714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12</v>
      </c>
      <c r="J17" s="77">
        <f t="shared" si="0"/>
        <v>76.800000000000011</v>
      </c>
      <c r="K17" s="48">
        <f t="shared" si="1"/>
        <v>80.635199999999998</v>
      </c>
      <c r="L17" s="48">
        <f t="shared" si="2"/>
        <v>0.14285714285714285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12</v>
      </c>
      <c r="J18" s="77">
        <f t="shared" si="0"/>
        <v>84</v>
      </c>
      <c r="K18" s="48">
        <f t="shared" si="1"/>
        <v>87.6</v>
      </c>
      <c r="L18" s="48">
        <f t="shared" si="2"/>
        <v>0.14285714285714285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0</v>
      </c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0</v>
      </c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28</v>
      </c>
      <c r="J21" s="77">
        <f t="shared" si="0"/>
        <v>100.8</v>
      </c>
      <c r="K21" s="48">
        <f t="shared" si="1"/>
        <v>120.50080000000001</v>
      </c>
      <c r="L21" s="48">
        <f t="shared" si="2"/>
        <v>0.4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126</v>
      </c>
      <c r="J22" s="77">
        <f t="shared" si="0"/>
        <v>453.6</v>
      </c>
      <c r="K22" s="48">
        <f t="shared" si="1"/>
        <v>542.25360000000001</v>
      </c>
      <c r="L22" s="48">
        <f t="shared" si="2"/>
        <v>1.8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112</v>
      </c>
      <c r="J23" s="77">
        <f t="shared" si="0"/>
        <v>403.2</v>
      </c>
      <c r="K23" s="48">
        <f t="shared" si="1"/>
        <v>482.00320000000005</v>
      </c>
      <c r="L23" s="48">
        <f t="shared" si="2"/>
        <v>1.6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70</v>
      </c>
      <c r="J24" s="77">
        <f t="shared" si="0"/>
        <v>201.6</v>
      </c>
      <c r="K24" s="48">
        <f t="shared" si="1"/>
        <v>250.852</v>
      </c>
      <c r="L24" s="48">
        <f t="shared" si="2"/>
        <v>1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154</v>
      </c>
      <c r="J25" s="77">
        <f t="shared" si="0"/>
        <v>443.52</v>
      </c>
      <c r="K25" s="48">
        <f t="shared" si="1"/>
        <v>551.87440000000004</v>
      </c>
      <c r="L25" s="48">
        <f t="shared" si="2"/>
        <v>2.2000000000000002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70</v>
      </c>
      <c r="J26" s="77">
        <f t="shared" si="0"/>
        <v>201.6</v>
      </c>
      <c r="K26" s="48">
        <f t="shared" si="1"/>
        <v>250.852</v>
      </c>
      <c r="L26" s="48">
        <f t="shared" si="2"/>
        <v>1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154</v>
      </c>
      <c r="J27" s="77">
        <f t="shared" si="0"/>
        <v>443.52</v>
      </c>
      <c r="K27" s="48">
        <f t="shared" si="1"/>
        <v>551.87440000000004</v>
      </c>
      <c r="L27" s="48">
        <f t="shared" si="2"/>
        <v>2.2000000000000002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84</v>
      </c>
      <c r="J28" s="77">
        <f t="shared" si="0"/>
        <v>322.56</v>
      </c>
      <c r="K28" s="48">
        <f t="shared" si="1"/>
        <v>373.69920000000002</v>
      </c>
      <c r="L28" s="48">
        <f t="shared" si="2"/>
        <v>1.2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28</v>
      </c>
      <c r="J29" s="77">
        <f t="shared" si="0"/>
        <v>117.60000000000001</v>
      </c>
      <c r="K29" s="48">
        <f t="shared" si="1"/>
        <v>126.81760000000001</v>
      </c>
      <c r="L29" s="48">
        <f t="shared" si="2"/>
        <v>0.4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0</v>
      </c>
      <c r="J30" s="77">
        <f t="shared" si="0"/>
        <v>0</v>
      </c>
      <c r="K30" s="48">
        <f t="shared" si="1"/>
        <v>0</v>
      </c>
      <c r="L30" s="48">
        <f t="shared" si="2"/>
        <v>0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96</v>
      </c>
      <c r="J31" s="77">
        <f t="shared" si="0"/>
        <v>672</v>
      </c>
      <c r="K31" s="48">
        <f t="shared" si="1"/>
        <v>700.8</v>
      </c>
      <c r="L31" s="48">
        <f t="shared" si="2"/>
        <v>1.1428571428571428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36</v>
      </c>
      <c r="J32" s="77">
        <f t="shared" si="0"/>
        <v>230.4</v>
      </c>
      <c r="K32" s="48">
        <f t="shared" si="1"/>
        <v>241.90559999999999</v>
      </c>
      <c r="L32" s="48">
        <f t="shared" si="2"/>
        <v>0.42857142857142855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216</v>
      </c>
      <c r="J33" s="77">
        <f t="shared" si="0"/>
        <v>1512</v>
      </c>
      <c r="K33" s="48">
        <f t="shared" si="1"/>
        <v>1576.8</v>
      </c>
      <c r="L33" s="48">
        <f t="shared" si="2"/>
        <v>2.5714285714285716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238</v>
      </c>
      <c r="J34" s="77">
        <f t="shared" si="0"/>
        <v>714</v>
      </c>
      <c r="K34" s="48">
        <f t="shared" si="1"/>
        <v>881.45679999999993</v>
      </c>
      <c r="L34" s="48">
        <f t="shared" si="2"/>
        <v>3.4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/>
      <c r="J35" s="77">
        <f t="shared" si="0"/>
        <v>0</v>
      </c>
      <c r="K35" s="48">
        <f t="shared" si="1"/>
        <v>0</v>
      </c>
      <c r="L35" s="48">
        <f t="shared" si="2"/>
        <v>0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/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/>
      <c r="J37" s="77">
        <f t="shared" si="0"/>
        <v>0</v>
      </c>
      <c r="K37" s="48">
        <f t="shared" si="1"/>
        <v>0</v>
      </c>
      <c r="L37" s="48">
        <f t="shared" si="2"/>
        <v>0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/>
      <c r="J38" s="77">
        <f t="shared" ref="J38:J58" si="3">I38*$D38</f>
        <v>0</v>
      </c>
      <c r="K38" s="48">
        <f t="shared" ref="K38:K58" si="4">I38*$E38</f>
        <v>0</v>
      </c>
      <c r="L38" s="48">
        <f t="shared" ref="L38:L58" si="5">I38/$F38</f>
        <v>0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/>
      <c r="J39" s="77">
        <f t="shared" si="3"/>
        <v>0</v>
      </c>
      <c r="K39" s="48">
        <f t="shared" si="4"/>
        <v>0</v>
      </c>
      <c r="L39" s="48">
        <f t="shared" si="5"/>
        <v>0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/>
      <c r="J40" s="77">
        <f t="shared" si="3"/>
        <v>0</v>
      </c>
      <c r="K40" s="48">
        <f t="shared" si="4"/>
        <v>0</v>
      </c>
      <c r="L40" s="48">
        <f t="shared" si="5"/>
        <v>0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/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/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/>
      <c r="J43" s="77">
        <f t="shared" si="3"/>
        <v>0</v>
      </c>
      <c r="K43" s="48">
        <f t="shared" si="4"/>
        <v>0</v>
      </c>
      <c r="L43" s="48">
        <f t="shared" si="5"/>
        <v>0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/>
      <c r="J44" s="77">
        <f t="shared" si="3"/>
        <v>0</v>
      </c>
      <c r="K44" s="48">
        <f t="shared" si="4"/>
        <v>0</v>
      </c>
      <c r="L44" s="48">
        <f t="shared" si="5"/>
        <v>0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/>
      <c r="J45" s="77">
        <f t="shared" si="3"/>
        <v>0</v>
      </c>
      <c r="K45" s="48">
        <f t="shared" si="4"/>
        <v>0</v>
      </c>
      <c r="L45" s="48">
        <f t="shared" si="5"/>
        <v>0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/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/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/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/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/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/>
      <c r="J51" s="77">
        <f t="shared" si="3"/>
        <v>0</v>
      </c>
      <c r="K51" s="48">
        <f t="shared" si="4"/>
        <v>0</v>
      </c>
      <c r="L51" s="48">
        <f t="shared" si="5"/>
        <v>0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/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/>
      <c r="J53" s="77">
        <f t="shared" si="3"/>
        <v>0</v>
      </c>
      <c r="K53" s="48">
        <f t="shared" si="4"/>
        <v>0</v>
      </c>
      <c r="L53" s="48">
        <f t="shared" si="5"/>
        <v>0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/>
      <c r="J54" s="77">
        <f t="shared" si="3"/>
        <v>0</v>
      </c>
      <c r="K54" s="48">
        <f t="shared" si="4"/>
        <v>0</v>
      </c>
      <c r="L54" s="48">
        <f t="shared" si="5"/>
        <v>0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/>
      <c r="J55" s="77">
        <f t="shared" si="3"/>
        <v>0</v>
      </c>
      <c r="K55" s="48">
        <f t="shared" si="4"/>
        <v>0</v>
      </c>
      <c r="L55" s="48">
        <f t="shared" si="5"/>
        <v>0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/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/>
      <c r="J57" s="77">
        <f t="shared" si="3"/>
        <v>0</v>
      </c>
      <c r="K57" s="48">
        <f t="shared" si="4"/>
        <v>0</v>
      </c>
      <c r="L57" s="48">
        <f t="shared" si="5"/>
        <v>0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/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1990</v>
      </c>
      <c r="J59" s="30">
        <f>SUM(J8:J58)</f>
        <v>7989</v>
      </c>
      <c r="K59" s="30">
        <f>SUM(K8:K58)</f>
        <v>9021.6836000000003</v>
      </c>
      <c r="L59" s="49">
        <f>SUM(L8:L58)</f>
        <v>24.957142857142852</v>
      </c>
      <c r="M59" s="47">
        <f>ROUNDUP(L59,0)</f>
        <v>25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9520.8264571428572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2025-12-26T09:55:42Z</dcterms:modified>
</cp:coreProperties>
</file>