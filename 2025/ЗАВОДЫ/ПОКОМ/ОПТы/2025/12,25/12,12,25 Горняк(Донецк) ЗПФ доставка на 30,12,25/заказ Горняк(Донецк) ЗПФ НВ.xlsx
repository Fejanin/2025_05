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1D8EE6A2-F5BA-457C-9FBB-88190ECA89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Y142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30" i="1" s="1"/>
  <c r="P128" i="1"/>
  <c r="X126" i="1"/>
  <c r="Z125" i="1"/>
  <c r="X125" i="1"/>
  <c r="BO124" i="1"/>
  <c r="BM124" i="1"/>
  <c r="Z124" i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Y122" i="1" s="1"/>
  <c r="P113" i="1"/>
  <c r="X110" i="1"/>
  <c r="X109" i="1"/>
  <c r="BO108" i="1"/>
  <c r="BN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N46" i="1"/>
  <c r="BM46" i="1"/>
  <c r="Z46" i="1"/>
  <c r="Y46" i="1"/>
  <c r="BP46" i="1" s="1"/>
  <c r="P46" i="1"/>
  <c r="BO45" i="1"/>
  <c r="BM45" i="1"/>
  <c r="Z45" i="1"/>
  <c r="Z48" i="1" s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Y35" i="1" s="1"/>
  <c r="P32" i="1"/>
  <c r="X29" i="1"/>
  <c r="X270" i="1" s="1"/>
  <c r="X28" i="1"/>
  <c r="X274" i="1" s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Y29" i="1"/>
  <c r="BN33" i="1"/>
  <c r="Y34" i="1"/>
  <c r="Y274" i="1" s="1"/>
  <c r="BN39" i="1"/>
  <c r="BP39" i="1"/>
  <c r="Y42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Z174" i="1"/>
  <c r="Z275" i="1" s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25" i="1"/>
  <c r="BN27" i="1"/>
  <c r="BN32" i="1"/>
  <c r="BP32" i="1"/>
  <c r="BN40" i="1"/>
  <c r="BN45" i="1"/>
  <c r="BP45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0" i="1" l="1"/>
  <c r="Y271" i="1"/>
  <c r="Y272" i="1"/>
  <c r="C283" i="1" l="1"/>
  <c r="Y273" i="1"/>
  <c r="B283" i="1"/>
  <c r="A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<sst xmlns="http://schemas.openxmlformats.org/spreadsheetml/2006/main" count="1222" uniqueCount="394">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</sst>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6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168</v>
      </c>
      <c r="Y145" s="269">
        <f>IFERROR(IF(X145="","",X145),"")</f>
        <v>168</v>
      </c>
      <c r="Z145" s="36">
        <f>IFERROR(IF(X145="","",X145*0.01788),"")</f>
        <v>3.0038399999999998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450.24</v>
      </c>
      <c r="BN145" s="67">
        <f>IFERROR(Y145*I145,"0")</f>
        <v>450.24</v>
      </c>
      <c r="BO145" s="67">
        <f>IFERROR(X145/J145,"0")</f>
        <v>2.4</v>
      </c>
      <c r="BP145" s="67">
        <f>IFERROR(Y145/J145,"0")</f>
        <v>2.4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210</v>
      </c>
      <c r="Y147" s="270">
        <f>IFERROR(SUM(Y145:Y146),"0")</f>
        <v>210</v>
      </c>
      <c r="Z147" s="270">
        <f>IFERROR(IF(Z145="",0,Z145),"0")+IFERROR(IF(Z146="",0,Z146),"0")</f>
        <v>3.7547999999999999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504</v>
      </c>
      <c r="Y148" s="270">
        <f>IFERROR(SUMPRODUCT(Y145:Y146*H145:H146),"0")</f>
        <v>504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56</v>
      </c>
      <c r="Y151" s="269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56</v>
      </c>
      <c r="Y152" s="270">
        <f>IFERROR(SUM(Y151:Y151),"0")</f>
        <v>56</v>
      </c>
      <c r="Z152" s="270">
        <f>IFERROR(IF(Z151="",0,Z151),"0")</f>
        <v>1.0012799999999999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168</v>
      </c>
      <c r="Y153" s="270">
        <f>IFERROR(SUMPRODUCT(Y151:Y151*H151:H151),"0")</f>
        <v>168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112</v>
      </c>
      <c r="Y166" s="269">
        <f>IFERROR(IF(X166="","",X166),"")</f>
        <v>112</v>
      </c>
      <c r="Z166" s="36">
        <f>IFERROR(IF(X166="","",X166*0.00941),"")</f>
        <v>1.05392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235.40159999999997</v>
      </c>
      <c r="BN166" s="67">
        <f>IFERROR(Y166*I166,"0")</f>
        <v>235.40159999999997</v>
      </c>
      <c r="BO166" s="67">
        <f>IFERROR(X166/J166,"0")</f>
        <v>0.8</v>
      </c>
      <c r="BP166" s="67">
        <f>IFERROR(Y166/J166,"0")</f>
        <v>0.8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112</v>
      </c>
      <c r="Y167" s="270">
        <f>IFERROR(SUM(Y166:Y166),"0")</f>
        <v>112</v>
      </c>
      <c r="Z167" s="270">
        <f>IFERROR(IF(Z166="",0,Z166),"0")</f>
        <v>1.05392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188.16</v>
      </c>
      <c r="Y168" s="270">
        <f>IFERROR(SUMPRODUCT(Y166:Y166*H166:H166),"0")</f>
        <v>188.16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182</v>
      </c>
      <c r="Y179" s="269">
        <f>IFERROR(IF(X179="","",X179),"")</f>
        <v>182</v>
      </c>
      <c r="Z179" s="36">
        <f>IFERROR(IF(X179="","",X179*0.01788),"")</f>
        <v>3.2541600000000002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616.61599999999999</v>
      </c>
      <c r="BN179" s="67">
        <f>IFERROR(Y179*I179,"0")</f>
        <v>616.61599999999999</v>
      </c>
      <c r="BO179" s="67">
        <f>IFERROR(X179/J179,"0")</f>
        <v>2.6</v>
      </c>
      <c r="BP179" s="67">
        <f>IFERROR(Y179/J179,"0")</f>
        <v>2.6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168</v>
      </c>
      <c r="Y180" s="269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350</v>
      </c>
      <c r="Y182" s="270">
        <f>IFERROR(SUM(Y179:Y181),"0")</f>
        <v>350</v>
      </c>
      <c r="Z182" s="270">
        <f>IFERROR(IF(Z179="",0,Z179),"0")+IFERROR(IF(Z180="",0,Z180),"0")+IFERROR(IF(Z181="",0,Z181),"0")</f>
        <v>6.258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1050</v>
      </c>
      <c r="Y183" s="270">
        <f>IFERROR(SUMPRODUCT(Y179:Y181*H179:H181),"0")</f>
        <v>1050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216</v>
      </c>
      <c r="Y247" s="269">
        <f>IFERROR(IF(X247="","",X247),"")</f>
        <v>216</v>
      </c>
      <c r="Z247" s="36">
        <f>IFERROR(IF(X247="","",X247*0.0155),"")</f>
        <v>3.3479999999999999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1352.1599999999999</v>
      </c>
      <c r="BN247" s="67">
        <f>IFERROR(Y247*I247,"0")</f>
        <v>1352.1599999999999</v>
      </c>
      <c r="BO247" s="67">
        <f>IFERROR(X247/J247,"0")</f>
        <v>2.5714285714285716</v>
      </c>
      <c r="BP247" s="67">
        <f>IFERROR(Y247/J247,"0")</f>
        <v>2.5714285714285716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216</v>
      </c>
      <c r="Y249" s="270">
        <f>IFERROR(SUM(Y247:Y248),"0")</f>
        <v>216</v>
      </c>
      <c r="Z249" s="270">
        <f>IFERROR(IF(Z247="",0,Z247),"0")+IFERROR(IF(Z248="",0,Z248),"0")</f>
        <v>3.3479999999999999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1296</v>
      </c>
      <c r="Y250" s="270">
        <f>IFERROR(SUMPRODUCT(Y247:Y248*H247:H248),"0")</f>
        <v>1296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532</v>
      </c>
      <c r="Y259" s="269">
        <f t="shared" si="18"/>
        <v>532</v>
      </c>
      <c r="Z259" s="36">
        <f>IFERROR(IF(X259="","",X259*0.00936),"")</f>
        <v>4.9795199999999999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2070.5439999999999</v>
      </c>
      <c r="BN259" s="67">
        <f t="shared" si="20"/>
        <v>2070.5439999999999</v>
      </c>
      <c r="BO259" s="67">
        <f t="shared" si="21"/>
        <v>4.2222222222222223</v>
      </c>
      <c r="BP259" s="67">
        <f t="shared" si="22"/>
        <v>4.2222222222222223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252</v>
      </c>
      <c r="Y260" s="269">
        <f t="shared" si="18"/>
        <v>252</v>
      </c>
      <c r="Z260" s="36">
        <f>IFERROR(IF(X260="","",X260*0.0155),"")</f>
        <v>3.9060000000000001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1445.22</v>
      </c>
      <c r="BN260" s="67">
        <f t="shared" si="20"/>
        <v>1445.22</v>
      </c>
      <c r="BO260" s="67">
        <f t="shared" si="21"/>
        <v>3</v>
      </c>
      <c r="BP260" s="67">
        <f t="shared" si="22"/>
        <v>3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140</v>
      </c>
      <c r="Y261" s="269">
        <f t="shared" si="18"/>
        <v>140</v>
      </c>
      <c r="Z261" s="36">
        <f t="shared" ref="Z261:Z266" si="23">IFERROR(IF(X261="","",X261*0.00936),"")</f>
        <v>1.3104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446.88</v>
      </c>
      <c r="BN261" s="67">
        <f t="shared" si="20"/>
        <v>446.88</v>
      </c>
      <c r="BO261" s="67">
        <f t="shared" si="21"/>
        <v>1.1111111111111112</v>
      </c>
      <c r="BP261" s="67">
        <f t="shared" si="22"/>
        <v>1.1111111111111112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378</v>
      </c>
      <c r="Y262" s="269">
        <f t="shared" si="18"/>
        <v>378</v>
      </c>
      <c r="Z262" s="36">
        <f t="shared" si="23"/>
        <v>3.5380799999999999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1471.1759999999999</v>
      </c>
      <c r="BN262" s="67">
        <f t="shared" si="20"/>
        <v>1471.1759999999999</v>
      </c>
      <c r="BO262" s="67">
        <f t="shared" si="21"/>
        <v>3</v>
      </c>
      <c r="BP262" s="67">
        <f t="shared" si="22"/>
        <v>3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56</v>
      </c>
      <c r="Y263" s="269">
        <f t="shared" si="18"/>
        <v>56</v>
      </c>
      <c r="Z263" s="36">
        <f t="shared" si="23"/>
        <v>0.52415999999999996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217.952</v>
      </c>
      <c r="BN263" s="67">
        <f t="shared" si="20"/>
        <v>217.952</v>
      </c>
      <c r="BO263" s="67">
        <f t="shared" si="21"/>
        <v>0.44444444444444442</v>
      </c>
      <c r="BP263" s="67">
        <f t="shared" si="22"/>
        <v>0.44444444444444442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1358</v>
      </c>
      <c r="Y268" s="270">
        <f>IFERROR(SUM(Y258:Y267),"0")</f>
        <v>1358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14.258159999999998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5380.2</v>
      </c>
      <c r="Y269" s="270">
        <f>IFERROR(SUMPRODUCT(Y258:Y267*H258:H267),"0")</f>
        <v>5380.2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8586.36</v>
      </c>
      <c r="Y270" s="270">
        <f>IFERROR(Y29+Y35+Y42+Y49+Y57+Y62+Y66+Y71+Y77+Y83+Y88+Y94+Y104+Y110+Y122+Y126+Y130+Y136+Y142+Y148+Y153+Y158+Y163+Y168+Y175+Y183+Y187+Y193+Y201+Y206+Y211+Y216+Y222+Y228+Y234+Y238+Y245+Y250+Y256+Y269,"0")</f>
        <v>8586.36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9195.3351999999995</v>
      </c>
      <c r="Y271" s="270">
        <f>IFERROR(SUM(BN22:BN267),"0")</f>
        <v>9195.3351999999995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24</v>
      </c>
      <c r="Y272" s="38">
        <f>ROUNDUP(SUM(BP22:BP267),0)</f>
        <v>24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9795.3351999999995</v>
      </c>
      <c r="Y273" s="270">
        <f>GrossWeightTotalR+PalletQtyTotalR*25</f>
        <v>9795.3351999999995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2302</v>
      </c>
      <c r="Y274" s="270">
        <f>IFERROR(Y28+Y34+Y41+Y48+Y56+Y61+Y65+Y70+Y76+Y82+Y87+Y93+Y103+Y109+Y121+Y125+Y129+Y135+Y141+Y147+Y152+Y157+Y162+Y167+Y174+Y182+Y186+Y192+Y200+Y205+Y210+Y215+Y221+Y227+Y233+Y237+Y244+Y249+Y255+Y268,"0")</f>
        <v>2302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29.674160000000001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504</v>
      </c>
      <c r="R280" s="46">
        <f>IFERROR(X151*H151,"0")</f>
        <v>168</v>
      </c>
      <c r="S280" s="46">
        <f>IFERROR(X156*H156,"0")</f>
        <v>0</v>
      </c>
      <c r="T280" s="46">
        <f>IFERROR(X161*H161,"0")</f>
        <v>0</v>
      </c>
      <c r="U280" s="46">
        <f>IFERROR(X166*H166,"0")</f>
        <v>188.16</v>
      </c>
      <c r="V280" s="46">
        <f>IFERROR(X172*H172,"0")+IFERROR(X173*H173,"0")</f>
        <v>0</v>
      </c>
      <c r="W280" s="46">
        <f>IFERROR(X179*H179,"0")+IFERROR(X180*H180,"0")+IFERROR(X181*H181,"0")+IFERROR(X185*H185,"0")</f>
        <v>1050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6676.2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8586.36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2025-12-25T07:00:52Z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