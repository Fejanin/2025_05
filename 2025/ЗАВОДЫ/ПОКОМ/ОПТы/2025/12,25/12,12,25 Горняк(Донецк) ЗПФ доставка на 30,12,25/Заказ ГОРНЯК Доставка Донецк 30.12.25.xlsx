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93-30.12.25_Д\"/>
    </mc:Choice>
  </mc:AlternateContent>
  <xr:revisionPtr revIDLastSave="0" documentId="8_{AD9F5CFB-AB4D-4C9C-9E77-815B33D09C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<sst xmlns="http://schemas.openxmlformats.org/spreadsheetml/2006/main" count="165" uniqueCount="72">
  <si>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</si>
  <si>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</si>
  <si>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</si>
  <si>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</si>
  <si>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</si>
  <si>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</si>
  <si>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</si>
  <si>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</si>
  <si>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</si>
  <si>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</si>
  <si>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</si>
  <si>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</si>
  <si>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</si>
  <si>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</si>
  <si>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</si>
  <si>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</si>
  <si>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</si>
  <si>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</si>
  <si>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</si>
  <si>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</si>
  <si>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</si>
  <si>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</si>
  <si>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</si>
  <si>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</si>
  <si>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</si>
  <si>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</si>
  <si>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</si>
  <si>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</si>
  <si>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</si>
  <si>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</si>
  <si>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</si>
  <si>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</si>
  <si>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</si>
  <si>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</si>
  <si>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</si>
  <si>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</si>
  <si>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</si>
  <si>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</si>
  <si>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</si>
  <si>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</si>
  <si>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</si>
  <si>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</si>
  <si>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</si>
  <si>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</si>
  <si>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</si>
  <si>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</si>
  <si>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</si>
  <si>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</si>
  <si>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</si>
  <si>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</si>
  <si>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</si>
  <si>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</si>
  <si>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</si>
  <si>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</si>
  <si>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</si>
  <si>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</si>
  <si>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</si>
  <si>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</si>
  <si>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</si>
  <si>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</si>
  <si>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</si>
  <si>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</si>
  <si>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</si>
  <si>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</si>
  <si>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</si>
  <si>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</si>
  <si>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</si>
  <si>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</si>
  <si>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</si>
  <si>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</si>
  <si>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</si>
  <si>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 30.12.25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</si>
</sst>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39" activePane="bottomRight" state="frozen"/>
      <selection pane="topRight" activeCell="F1" sqref="F1"/>
      <selection pane="bottomLeft" activeCell="A8" sqref="A8"/>
      <selection pane="bottomRight" activeCell="I7" sqref="I7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/>
      <c r="J8" s="77">
        <f t="shared" ref="J8:J37" si="0">I8*$D8</f>
        <v>0</v>
      </c>
      <c r="K8" s="48">
        <f t="shared" ref="K8:K37" si="1">I8*$E8</f>
        <v>0</v>
      </c>
      <c r="L8" s="48">
        <f t="shared" ref="L8:L37" si="2">I8/$F8</f>
        <v>0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/>
      <c r="J9" s="77">
        <f t="shared" si="0"/>
        <v>0</v>
      </c>
      <c r="K9" s="48">
        <f t="shared" si="1"/>
        <v>0</v>
      </c>
      <c r="L9" s="48">
        <f t="shared" si="2"/>
        <v>0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/>
      <c r="J10" s="77">
        <f t="shared" si="0"/>
        <v>0</v>
      </c>
      <c r="K10" s="48">
        <f t="shared" si="1"/>
        <v>0</v>
      </c>
      <c r="L10" s="48">
        <f t="shared" si="2"/>
        <v>0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/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/>
      <c r="J12" s="77">
        <f t="shared" si="0"/>
        <v>0</v>
      </c>
      <c r="K12" s="48">
        <f t="shared" si="1"/>
        <v>0</v>
      </c>
      <c r="L12" s="48">
        <f t="shared" si="2"/>
        <v>0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/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/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/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/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/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/>
      <c r="J18" s="77">
        <f t="shared" si="0"/>
        <v>0</v>
      </c>
      <c r="K18" s="48">
        <f t="shared" si="1"/>
        <v>0</v>
      </c>
      <c r="L18" s="48">
        <f t="shared" si="2"/>
        <v>0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/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/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/>
      <c r="J21" s="77">
        <f t="shared" si="0"/>
        <v>0</v>
      </c>
      <c r="K21" s="48">
        <f t="shared" si="1"/>
        <v>0</v>
      </c>
      <c r="L21" s="48">
        <f t="shared" si="2"/>
        <v>0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/>
      <c r="J22" s="77">
        <f t="shared" si="0"/>
        <v>0</v>
      </c>
      <c r="K22" s="48">
        <f t="shared" si="1"/>
        <v>0</v>
      </c>
      <c r="L22" s="48">
        <f t="shared" si="2"/>
        <v>0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/>
      <c r="J23" s="77">
        <f t="shared" si="0"/>
        <v>0</v>
      </c>
      <c r="K23" s="48">
        <f t="shared" si="1"/>
        <v>0</v>
      </c>
      <c r="L23" s="48">
        <f t="shared" si="2"/>
        <v>0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/>
      <c r="J24" s="77">
        <f t="shared" si="0"/>
        <v>0</v>
      </c>
      <c r="K24" s="48">
        <f t="shared" si="1"/>
        <v>0</v>
      </c>
      <c r="L24" s="48">
        <f t="shared" si="2"/>
        <v>0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/>
      <c r="J25" s="77">
        <f t="shared" si="0"/>
        <v>0</v>
      </c>
      <c r="K25" s="48">
        <f t="shared" si="1"/>
        <v>0</v>
      </c>
      <c r="L25" s="48">
        <f t="shared" si="2"/>
        <v>0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/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/>
      <c r="J27" s="77">
        <f t="shared" si="0"/>
        <v>0</v>
      </c>
      <c r="K27" s="48">
        <f t="shared" si="1"/>
        <v>0</v>
      </c>
      <c r="L27" s="48">
        <f t="shared" si="2"/>
        <v>0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/>
      <c r="J28" s="77">
        <f t="shared" si="0"/>
        <v>0</v>
      </c>
      <c r="K28" s="48">
        <f t="shared" si="1"/>
        <v>0</v>
      </c>
      <c r="L28" s="48">
        <f t="shared" si="2"/>
        <v>0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/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/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/>
      <c r="J31" s="77">
        <f t="shared" si="0"/>
        <v>0</v>
      </c>
      <c r="K31" s="48">
        <f t="shared" si="1"/>
        <v>0</v>
      </c>
      <c r="L31" s="48">
        <f t="shared" si="2"/>
        <v>0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/>
      <c r="J32" s="77">
        <f t="shared" si="0"/>
        <v>0</v>
      </c>
      <c r="K32" s="48">
        <f t="shared" si="1"/>
        <v>0</v>
      </c>
      <c r="L32" s="48">
        <f t="shared" si="2"/>
        <v>0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/>
      <c r="J33" s="77">
        <f t="shared" si="0"/>
        <v>0</v>
      </c>
      <c r="K33" s="48">
        <f t="shared" si="1"/>
        <v>0</v>
      </c>
      <c r="L33" s="48">
        <f t="shared" si="2"/>
        <v>0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/>
      <c r="J34" s="77">
        <f t="shared" si="0"/>
        <v>0</v>
      </c>
      <c r="K34" s="48">
        <f t="shared" si="1"/>
        <v>0</v>
      </c>
      <c r="L34" s="48">
        <f t="shared" si="2"/>
        <v>0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168</v>
      </c>
      <c r="J38" s="77">
        <f t="shared" ref="J38:J58" si="3">I38*$D38</f>
        <v>403.2</v>
      </c>
      <c r="K38" s="48">
        <f t="shared" ref="K38:K58" si="4">I38*$E38</f>
        <v>450.24</v>
      </c>
      <c r="L38" s="48">
        <f t="shared" ref="L38:L58" si="5">I38/$F38</f>
        <v>2.4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42</v>
      </c>
      <c r="J39" s="77">
        <f t="shared" si="3"/>
        <v>100.8</v>
      </c>
      <c r="K39" s="48">
        <f t="shared" si="4"/>
        <v>112.56</v>
      </c>
      <c r="L39" s="48">
        <f t="shared" si="5"/>
        <v>0.6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56</v>
      </c>
      <c r="J40" s="77">
        <f t="shared" si="3"/>
        <v>168</v>
      </c>
      <c r="K40" s="48">
        <f t="shared" si="4"/>
        <v>207.40159999999997</v>
      </c>
      <c r="L40" s="48">
        <f t="shared" si="5"/>
        <v>0.8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112</v>
      </c>
      <c r="J43" s="77">
        <f t="shared" si="3"/>
        <v>188.16</v>
      </c>
      <c r="K43" s="48">
        <f t="shared" si="4"/>
        <v>235.40159999999997</v>
      </c>
      <c r="L43" s="48">
        <f t="shared" si="5"/>
        <v>0.8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168</v>
      </c>
      <c r="J44" s="77">
        <f t="shared" si="3"/>
        <v>504</v>
      </c>
      <c r="K44" s="48">
        <f t="shared" si="4"/>
        <v>569.18399999999997</v>
      </c>
      <c r="L44" s="48">
        <f t="shared" si="5"/>
        <v>2.4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182</v>
      </c>
      <c r="J45" s="77">
        <f t="shared" si="3"/>
        <v>546</v>
      </c>
      <c r="K45" s="48">
        <f t="shared" si="4"/>
        <v>616.61599999999999</v>
      </c>
      <c r="L45" s="48">
        <f t="shared" si="5"/>
        <v>2.6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216</v>
      </c>
      <c r="J51" s="77">
        <f t="shared" si="3"/>
        <v>1296</v>
      </c>
      <c r="K51" s="48">
        <f t="shared" si="4"/>
        <v>1352.1599999999999</v>
      </c>
      <c r="L51" s="48">
        <f t="shared" si="5"/>
        <v>2.5714285714285716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532</v>
      </c>
      <c r="J53" s="77">
        <f t="shared" si="3"/>
        <v>1968.4</v>
      </c>
      <c r="K53" s="48">
        <f t="shared" si="4"/>
        <v>2070.5439999999999</v>
      </c>
      <c r="L53" s="48">
        <f t="shared" si="5"/>
        <v>4.2222222222222223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252</v>
      </c>
      <c r="J54" s="77">
        <f t="shared" si="3"/>
        <v>1386</v>
      </c>
      <c r="K54" s="48">
        <f t="shared" si="4"/>
        <v>1445.22</v>
      </c>
      <c r="L54" s="48">
        <f t="shared" si="5"/>
        <v>3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140</v>
      </c>
      <c r="J55" s="77">
        <f t="shared" si="3"/>
        <v>420</v>
      </c>
      <c r="K55" s="48">
        <f t="shared" si="4"/>
        <v>446.88</v>
      </c>
      <c r="L55" s="48">
        <f t="shared" si="5"/>
        <v>1.1111111111111112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56</v>
      </c>
      <c r="J56" s="77">
        <f t="shared" si="3"/>
        <v>207.20000000000002</v>
      </c>
      <c r="K56" s="48">
        <f t="shared" si="4"/>
        <v>217.952</v>
      </c>
      <c r="L56" s="48">
        <f t="shared" si="5"/>
        <v>0.44444444444444442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378</v>
      </c>
      <c r="J57" s="77">
        <f t="shared" si="3"/>
        <v>1398.6000000000001</v>
      </c>
      <c r="K57" s="48">
        <f t="shared" si="4"/>
        <v>1471.1759999999999</v>
      </c>
      <c r="L57" s="48">
        <f t="shared" si="5"/>
        <v>3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2302</v>
      </c>
      <c r="J59" s="30">
        <f>SUM(J8:J58)</f>
        <v>8586.3599999999988</v>
      </c>
      <c r="K59" s="30">
        <f>SUM(K8:K58)</f>
        <v>9195.3351999999995</v>
      </c>
      <c r="L59" s="49">
        <f>SUM(L8:L58)</f>
        <v>23.949206349206346</v>
      </c>
      <c r="M59" s="47">
        <f>ROUNDUP(L59,0)</f>
        <v>24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9674.3193269841267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Андрей Мельников</cp:lastModifiedBy>
  <cp:lastPrinted>2024-07-25T10:24:37Z</cp:lastPrinted>
  <dcterms:created xsi:type="dcterms:W3CDTF">2022-04-04T13:38:25Z</dcterms:created>
  <dcterms:modified xsi:type="dcterms:W3CDTF">2025-12-12T11:14:37Z</dcterms:modified>
</cp:coreProperties>
</file>