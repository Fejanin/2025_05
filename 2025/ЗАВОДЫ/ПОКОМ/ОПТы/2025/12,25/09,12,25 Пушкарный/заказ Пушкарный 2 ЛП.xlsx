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F1BEB55-9357-43FE-8CF6-6BAA013D6EE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1" i="1" l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Y178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8" i="1"/>
  <c r="Y127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X111" i="1"/>
  <c r="Y110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Y89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1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5" i="1" s="1"/>
  <c r="BO23" i="1"/>
  <c r="BM23" i="1"/>
  <c r="Y23" i="1"/>
  <c r="BP23" i="1" s="1"/>
  <c r="P23" i="1"/>
  <c r="BP22" i="1"/>
  <c r="BO22" i="1"/>
  <c r="BN22" i="1"/>
  <c r="BM22" i="1"/>
  <c r="Z22" i="1"/>
  <c r="Y22" i="1"/>
  <c r="H10" i="1"/>
  <c r="A9" i="1"/>
  <c r="F10" i="1" s="1"/>
  <c r="D7" i="1"/>
  <c r="Q6" i="1"/>
  <c r="P2" i="1"/>
  <c r="H9" i="1" l="1"/>
  <c r="A10" i="1"/>
  <c r="Y25" i="1"/>
  <c r="Y33" i="1"/>
  <c r="Y37" i="1"/>
  <c r="Y45" i="1"/>
  <c r="Y49" i="1"/>
  <c r="Y58" i="1"/>
  <c r="Y64" i="1"/>
  <c r="Z70" i="1"/>
  <c r="BP68" i="1"/>
  <c r="BN68" i="1"/>
  <c r="Z68" i="1"/>
  <c r="BP76" i="1"/>
  <c r="BN76" i="1"/>
  <c r="Z76" i="1"/>
  <c r="Y78" i="1"/>
  <c r="Y83" i="1"/>
  <c r="BP80" i="1"/>
  <c r="BN80" i="1"/>
  <c r="Z80" i="1"/>
  <c r="Z82" i="1" s="1"/>
  <c r="BP93" i="1"/>
  <c r="BN93" i="1"/>
  <c r="Z93" i="1"/>
  <c r="Z96" i="1" s="1"/>
  <c r="BP102" i="1"/>
  <c r="BN102" i="1"/>
  <c r="Z102" i="1"/>
  <c r="BP114" i="1"/>
  <c r="BN114" i="1"/>
  <c r="Z114" i="1"/>
  <c r="Z117" i="1" s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Z251" i="1" s="1"/>
  <c r="Y251" i="1"/>
  <c r="BP256" i="1"/>
  <c r="BN256" i="1"/>
  <c r="Z256" i="1"/>
  <c r="L501" i="1"/>
  <c r="Y260" i="1"/>
  <c r="BP265" i="1"/>
  <c r="BN265" i="1"/>
  <c r="Z265" i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Z464" i="1" s="1"/>
  <c r="Y465" i="1"/>
  <c r="Y501" i="1"/>
  <c r="F9" i="1"/>
  <c r="J9" i="1"/>
  <c r="B501" i="1"/>
  <c r="X492" i="1"/>
  <c r="X493" i="1"/>
  <c r="Z23" i="1"/>
  <c r="Z24" i="1" s="1"/>
  <c r="BN23" i="1"/>
  <c r="Y492" i="1" s="1"/>
  <c r="Y24" i="1"/>
  <c r="X491" i="1"/>
  <c r="Z27" i="1"/>
  <c r="BN27" i="1"/>
  <c r="BP27" i="1"/>
  <c r="Y493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Y71" i="1"/>
  <c r="Y70" i="1"/>
  <c r="BP74" i="1"/>
  <c r="BN74" i="1"/>
  <c r="Z74" i="1"/>
  <c r="Z77" i="1" s="1"/>
  <c r="Y82" i="1"/>
  <c r="Z89" i="1"/>
  <c r="BP87" i="1"/>
  <c r="BN87" i="1"/>
  <c r="Z87" i="1"/>
  <c r="Y96" i="1"/>
  <c r="BP95" i="1"/>
  <c r="BN95" i="1"/>
  <c r="Z95" i="1"/>
  <c r="Y97" i="1"/>
  <c r="F501" i="1"/>
  <c r="Y105" i="1"/>
  <c r="BP100" i="1"/>
  <c r="BN100" i="1"/>
  <c r="Z100" i="1"/>
  <c r="Z104" i="1" s="1"/>
  <c r="Y104" i="1"/>
  <c r="BP108" i="1"/>
  <c r="BN108" i="1"/>
  <c r="Z108" i="1"/>
  <c r="Z110" i="1" s="1"/>
  <c r="Y117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Y132" i="1"/>
  <c r="Y137" i="1"/>
  <c r="BP142" i="1"/>
  <c r="BN142" i="1"/>
  <c r="Z142" i="1"/>
  <c r="Z143" i="1" s="1"/>
  <c r="Y144" i="1"/>
  <c r="Y149" i="1"/>
  <c r="BP146" i="1"/>
  <c r="BN146" i="1"/>
  <c r="Z146" i="1"/>
  <c r="Z149" i="1" s="1"/>
  <c r="BP164" i="1"/>
  <c r="BN164" i="1"/>
  <c r="Z164" i="1"/>
  <c r="BP168" i="1"/>
  <c r="BN168" i="1"/>
  <c r="Z168" i="1"/>
  <c r="Y172" i="1"/>
  <c r="BP176" i="1"/>
  <c r="BN176" i="1"/>
  <c r="Z176" i="1"/>
  <c r="Z178" i="1" s="1"/>
  <c r="Y193" i="1"/>
  <c r="BP197" i="1"/>
  <c r="BN197" i="1"/>
  <c r="Z197" i="1"/>
  <c r="Z204" i="1" s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Z260" i="1" s="1"/>
  <c r="BP267" i="1"/>
  <c r="BN267" i="1"/>
  <c r="Z267" i="1"/>
  <c r="Z268" i="1" s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BP469" i="1"/>
  <c r="BN469" i="1"/>
  <c r="Z469" i="1"/>
  <c r="Y471" i="1"/>
  <c r="Y476" i="1"/>
  <c r="BP473" i="1"/>
  <c r="BN473" i="1"/>
  <c r="Z473" i="1"/>
  <c r="Z475" i="1" s="1"/>
  <c r="Y475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Z449" i="1" s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Y494" i="1" l="1"/>
  <c r="Z235" i="1"/>
  <c r="Z434" i="1"/>
  <c r="Z350" i="1"/>
  <c r="Z331" i="1"/>
  <c r="Z216" i="1"/>
  <c r="Z172" i="1"/>
  <c r="Y491" i="1"/>
  <c r="Z395" i="1"/>
  <c r="Z296" i="1"/>
  <c r="Z312" i="1"/>
  <c r="Z44" i="1"/>
  <c r="Z32" i="1"/>
  <c r="Z496" i="1" s="1"/>
  <c r="Y495" i="1"/>
  <c r="X494" i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<sst xmlns="http://schemas.openxmlformats.org/spreadsheetml/2006/main" count="2352" uniqueCount="768">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</sst>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400</v>
      </c>
      <c r="Y41" s="546">
        <f>IFERROR(IF(X41="",0,CEILING((X41/$H41),1)*$H41),"")</f>
        <v>410.40000000000003</v>
      </c>
      <c r="Z41" s="36">
        <f>IFERROR(IF(Y41=0,"",ROUNDUP(Y41/H41,0)*0.01898),"")</f>
        <v>0.72123999999999999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415.18518518518516</v>
      </c>
      <c r="BN41" s="64">
        <f>IFERROR(Y41*I41/H41,"0")</f>
        <v>425.98</v>
      </c>
      <c r="BO41" s="64">
        <f>IFERROR(1/J41*(X41/H41),"0")</f>
        <v>0.57870370370370372</v>
      </c>
      <c r="BP41" s="64">
        <f>IFERROR(1/J41*(Y41/H41),"0")</f>
        <v>0.59375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200</v>
      </c>
      <c r="Y42" s="546">
        <f>IFERROR(IF(X42="",0,CEILING((X42/$H42),1)*$H42),"")</f>
        <v>200</v>
      </c>
      <c r="Z42" s="36">
        <f>IFERROR(IF(Y42=0,"",ROUNDUP(Y42/H42,0)*0.00902),"")</f>
        <v>0.45100000000000001</v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209.50000000000003</v>
      </c>
      <c r="BN42" s="64">
        <f>IFERROR(Y42*I42/H42,"0")</f>
        <v>209.50000000000003</v>
      </c>
      <c r="BO42" s="64">
        <f>IFERROR(1/J42*(X42/H42),"0")</f>
        <v>0.37878787878787878</v>
      </c>
      <c r="BP42" s="64">
        <f>IFERROR(1/J42*(Y42/H42),"0")</f>
        <v>0.37878787878787878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87.037037037037038</v>
      </c>
      <c r="Y44" s="547">
        <f>IFERROR(Y41/H41,"0")+IFERROR(Y42/H42,"0")+IFERROR(Y43/H43,"0")</f>
        <v>88</v>
      </c>
      <c r="Z44" s="547">
        <f>IFERROR(IF(Z41="",0,Z41),"0")+IFERROR(IF(Z42="",0,Z42),"0")+IFERROR(IF(Z43="",0,Z43),"0")</f>
        <v>1.1722399999999999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600</v>
      </c>
      <c r="Y45" s="547">
        <f>IFERROR(SUM(Y41:Y43),"0")</f>
        <v>610.40000000000009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1300</v>
      </c>
      <c r="Y53" s="546">
        <f t="shared" si="0"/>
        <v>1306.8000000000002</v>
      </c>
      <c r="Z53" s="36">
        <f>IFERROR(IF(Y53=0,"",ROUNDUP(Y53/H53,0)*0.01898),"")</f>
        <v>2.2965800000000001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1349.351851851852</v>
      </c>
      <c r="BN53" s="64">
        <f t="shared" si="2"/>
        <v>1356.41</v>
      </c>
      <c r="BO53" s="64">
        <f t="shared" si="3"/>
        <v>1.880787037037037</v>
      </c>
      <c r="BP53" s="64">
        <f t="shared" si="4"/>
        <v>1.8906250000000002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1782</v>
      </c>
      <c r="Y57" s="546">
        <f t="shared" si="0"/>
        <v>1782</v>
      </c>
      <c r="Z57" s="36">
        <f>IFERROR(IF(Y57=0,"",ROUNDUP(Y57/H57,0)*0.00902),"")</f>
        <v>3.57192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1857.24</v>
      </c>
      <c r="BN57" s="64">
        <f t="shared" si="2"/>
        <v>1857.24</v>
      </c>
      <c r="BO57" s="64">
        <f t="shared" si="3"/>
        <v>3</v>
      </c>
      <c r="BP57" s="64">
        <f t="shared" si="4"/>
        <v>3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516.37037037037032</v>
      </c>
      <c r="Y58" s="547">
        <f>IFERROR(Y52/H52,"0")+IFERROR(Y53/H53,"0")+IFERROR(Y54/H54,"0")+IFERROR(Y55/H55,"0")+IFERROR(Y56/H56,"0")+IFERROR(Y57/H57,"0")</f>
        <v>517</v>
      </c>
      <c r="Z58" s="547">
        <f>IFERROR(IF(Z52="",0,Z52),"0")+IFERROR(IF(Z53="",0,Z53),"0")+IFERROR(IF(Z54="",0,Z54),"0")+IFERROR(IF(Z55="",0,Z55),"0")+IFERROR(IF(Z56="",0,Z56),"0")+IFERROR(IF(Z57="",0,Z57),"0")</f>
        <v>5.8685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3082</v>
      </c>
      <c r="Y59" s="547">
        <f>IFERROR(SUM(Y52:Y57),"0")</f>
        <v>3088.8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1780</v>
      </c>
      <c r="Y61" s="546">
        <f>IFERROR(IF(X61="",0,CEILING((X61/$H61),1)*$H61),"")</f>
        <v>1782.0000000000002</v>
      </c>
      <c r="Z61" s="36">
        <f>IFERROR(IF(Y61=0,"",ROUNDUP(Y61/H61,0)*0.01898),"")</f>
        <v>3.1316999999999999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1847.5740740740741</v>
      </c>
      <c r="BN61" s="64">
        <f>IFERROR(Y61*I61/H61,"0")</f>
        <v>1849.6500000000003</v>
      </c>
      <c r="BO61" s="64">
        <f>IFERROR(1/J61*(X61/H61),"0")</f>
        <v>2.5752314814814814</v>
      </c>
      <c r="BP61" s="64">
        <f>IFERROR(1/J61*(Y61/H61),"0")</f>
        <v>2.578125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491</v>
      </c>
      <c r="Y63" s="546">
        <f>IFERROR(IF(X63="",0,CEILING((X63/$H63),1)*$H63),"")</f>
        <v>491.40000000000003</v>
      </c>
      <c r="Z63" s="36">
        <f>IFERROR(IF(Y63=0,"",ROUNDUP(Y63/H63,0)*0.00651),"")</f>
        <v>1.18482</v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523.73333333333323</v>
      </c>
      <c r="BN63" s="64">
        <f>IFERROR(Y63*I63/H63,"0")</f>
        <v>524.16</v>
      </c>
      <c r="BO63" s="64">
        <f>IFERROR(1/J63*(X63/H63),"0")</f>
        <v>0.99918599918599926</v>
      </c>
      <c r="BP63" s="64">
        <f>IFERROR(1/J63*(Y63/H63),"0")</f>
        <v>1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346.66666666666663</v>
      </c>
      <c r="Y64" s="547">
        <f>IFERROR(Y61/H61,"0")+IFERROR(Y62/H62,"0")+IFERROR(Y63/H63,"0")</f>
        <v>347</v>
      </c>
      <c r="Z64" s="547">
        <f>IFERROR(IF(Z61="",0,Z61),"0")+IFERROR(IF(Z62="",0,Z62),"0")+IFERROR(IF(Z63="",0,Z63),"0")</f>
        <v>4.3165199999999997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2271</v>
      </c>
      <c r="Y65" s="547">
        <f>IFERROR(SUM(Y61:Y63),"0")</f>
        <v>2273.4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225</v>
      </c>
      <c r="Y88" s="546">
        <f>IFERROR(IF(X88="",0,CEILING((X88/$H88),1)*$H88),"")</f>
        <v>225</v>
      </c>
      <c r="Z88" s="36">
        <f>IFERROR(IF(Y88=0,"",ROUNDUP(Y88/H88,0)*0.00902),"")</f>
        <v>0.45100000000000001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234.5</v>
      </c>
      <c r="BN88" s="64">
        <f>IFERROR(Y88*I88/H88,"0")</f>
        <v>234.5</v>
      </c>
      <c r="BO88" s="64">
        <f>IFERROR(1/J88*(X88/H88),"0")</f>
        <v>0.37878787878787878</v>
      </c>
      <c r="BP88" s="64">
        <f>IFERROR(1/J88*(Y88/H88),"0")</f>
        <v>0.37878787878787878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50</v>
      </c>
      <c r="Y89" s="547">
        <f>IFERROR(Y86/H86,"0")+IFERROR(Y87/H87,"0")+IFERROR(Y88/H88,"0")</f>
        <v>50</v>
      </c>
      <c r="Z89" s="547">
        <f>IFERROR(IF(Z86="",0,Z86),"0")+IFERROR(IF(Z87="",0,Z87),"0")+IFERROR(IF(Z88="",0,Z88),"0")</f>
        <v>0.45100000000000001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225</v>
      </c>
      <c r="Y90" s="547">
        <f>IFERROR(SUM(Y86:Y88),"0")</f>
        <v>225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300</v>
      </c>
      <c r="Y92" s="546">
        <f>IFERROR(IF(X92="",0,CEILING((X92/$H92),1)*$H92),"")</f>
        <v>307.8</v>
      </c>
      <c r="Z92" s="36">
        <f>IFERROR(IF(Y92=0,"",ROUNDUP(Y92/H92,0)*0.01898),"")</f>
        <v>0.72123999999999999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318.2962962962963</v>
      </c>
      <c r="BN92" s="64">
        <f>IFERROR(Y92*I92/H92,"0")</f>
        <v>326.572</v>
      </c>
      <c r="BO92" s="64">
        <f>IFERROR(1/J92*(X92/H92),"0")</f>
        <v>0.57870370370370372</v>
      </c>
      <c r="BP92" s="64">
        <f>IFERROR(1/J92*(Y92/H92),"0")</f>
        <v>0.59375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37.037037037037038</v>
      </c>
      <c r="Y96" s="547">
        <f>IFERROR(Y92/H92,"0")+IFERROR(Y93/H93,"0")+IFERROR(Y94/H94,"0")+IFERROR(Y95/H95,"0")</f>
        <v>38</v>
      </c>
      <c r="Z96" s="547">
        <f>IFERROR(IF(Z92="",0,Z92),"0")+IFERROR(IF(Z93="",0,Z93),"0")+IFERROR(IF(Z94="",0,Z94),"0")+IFERROR(IF(Z95="",0,Z95),"0")</f>
        <v>0.72123999999999999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300</v>
      </c>
      <c r="Y97" s="547">
        <f>IFERROR(SUM(Y92:Y95),"0")</f>
        <v>307.8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700</v>
      </c>
      <c r="Y113" s="546">
        <f>IFERROR(IF(X113="",0,CEILING((X113/$H113),1)*$H113),"")</f>
        <v>704.69999999999993</v>
      </c>
      <c r="Z113" s="36">
        <f>IFERROR(IF(Y113=0,"",ROUNDUP(Y113/H113,0)*0.01898),"")</f>
        <v>1.65126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742.17283950617275</v>
      </c>
      <c r="BN113" s="64">
        <f>IFERROR(Y113*I113/H113,"0")</f>
        <v>747.15599999999995</v>
      </c>
      <c r="BO113" s="64">
        <f>IFERROR(1/J113*(X113/H113),"0")</f>
        <v>1.3503086419753088</v>
      </c>
      <c r="BP113" s="64">
        <f>IFERROR(1/J113*(Y113/H113),"0")</f>
        <v>1.359375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86.41975308641976</v>
      </c>
      <c r="Y117" s="547">
        <f>IFERROR(Y113/H113,"0")+IFERROR(Y114/H114,"0")+IFERROR(Y115/H115,"0")+IFERROR(Y116/H116,"0")</f>
        <v>87</v>
      </c>
      <c r="Z117" s="547">
        <f>IFERROR(IF(Z113="",0,Z113),"0")+IFERROR(IF(Z114="",0,Z114),"0")+IFERROR(IF(Z115="",0,Z115),"0")+IFERROR(IF(Z116="",0,Z116),"0")</f>
        <v>1.65126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700</v>
      </c>
      <c r="Y118" s="547">
        <f>IFERROR(SUM(Y113:Y116),"0")</f>
        <v>704.69999999999993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150</v>
      </c>
      <c r="Y196" s="546">
        <f t="shared" ref="Y196:Y203" si="10">IFERROR(IF(X196="",0,CEILING((X196/$H196),1)*$H196),"")</f>
        <v>151.20000000000002</v>
      </c>
      <c r="Z196" s="36">
        <f>IFERROR(IF(Y196=0,"",ROUNDUP(Y196/H196,0)*0.00902),"")</f>
        <v>0.25256000000000001</v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155.27777777777777</v>
      </c>
      <c r="BN196" s="64">
        <f t="shared" ref="BN196:BN203" si="12">IFERROR(Y196*I196/H196,"0")</f>
        <v>156.52000000000001</v>
      </c>
      <c r="BO196" s="64">
        <f t="shared" ref="BO196:BO203" si="13">IFERROR(1/J196*(X196/H196),"0")</f>
        <v>0.21043771043771042</v>
      </c>
      <c r="BP196" s="64">
        <f t="shared" ref="BP196:BP203" si="14">IFERROR(1/J196*(Y196/H196),"0")</f>
        <v>0.21212121212121213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150</v>
      </c>
      <c r="Y197" s="546">
        <f t="shared" si="10"/>
        <v>151.20000000000002</v>
      </c>
      <c r="Z197" s="36">
        <f>IFERROR(IF(Y197=0,"",ROUNDUP(Y197/H197,0)*0.00902),"")</f>
        <v>0.25256000000000001</v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155.27777777777777</v>
      </c>
      <c r="BN197" s="64">
        <f t="shared" si="12"/>
        <v>156.52000000000001</v>
      </c>
      <c r="BO197" s="64">
        <f t="shared" si="13"/>
        <v>0.21043771043771042</v>
      </c>
      <c r="BP197" s="64">
        <f t="shared" si="14"/>
        <v>0.21212121212121213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150</v>
      </c>
      <c r="Y198" s="546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155.27777777777777</v>
      </c>
      <c r="BN198" s="64">
        <f t="shared" si="12"/>
        <v>156.52000000000001</v>
      </c>
      <c r="BO198" s="64">
        <f t="shared" si="13"/>
        <v>0.21043771043771042</v>
      </c>
      <c r="BP198" s="64">
        <f t="shared" si="14"/>
        <v>0.21212121212121213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83.333333333333329</v>
      </c>
      <c r="Y204" s="547">
        <f>IFERROR(Y196/H196,"0")+IFERROR(Y197/H197,"0")+IFERROR(Y198/H198,"0")+IFERROR(Y199/H199,"0")+IFERROR(Y200/H200,"0")+IFERROR(Y201/H201,"0")+IFERROR(Y202/H202,"0")+IFERROR(Y203/H203,"0")</f>
        <v>84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0.75768000000000002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450</v>
      </c>
      <c r="Y205" s="547">
        <f>IFERROR(SUM(Y196:Y203),"0")</f>
        <v>453.6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600</v>
      </c>
      <c r="Y257" s="546">
        <f>IFERROR(IF(X257="",0,CEILING((X257/$H257),1)*$H257),"")</f>
        <v>604.80000000000007</v>
      </c>
      <c r="Z257" s="36">
        <f>IFERROR(IF(Y257=0,"",ROUNDUP(Y257/H257,0)*0.01898),"")</f>
        <v>1.06288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622.77777777777783</v>
      </c>
      <c r="BN257" s="64">
        <f>IFERROR(Y257*I257/H257,"0")</f>
        <v>627.76</v>
      </c>
      <c r="BO257" s="64">
        <f>IFERROR(1/J257*(X257/H257),"0")</f>
        <v>0.86805555555555547</v>
      </c>
      <c r="BP257" s="64">
        <f>IFERROR(1/J257*(Y257/H257),"0")</f>
        <v>0.875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80</v>
      </c>
      <c r="Y259" s="546">
        <f>IFERROR(IF(X259="",0,CEILING((X259/$H259),1)*$H259),"")</f>
        <v>80</v>
      </c>
      <c r="Z259" s="36">
        <f>IFERROR(IF(Y259=0,"",ROUNDUP(Y259/H259,0)*0.00902),"")</f>
        <v>0.1804</v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83.800000000000011</v>
      </c>
      <c r="BN259" s="64">
        <f>IFERROR(Y259*I259/H259,"0")</f>
        <v>83.800000000000011</v>
      </c>
      <c r="BO259" s="64">
        <f>IFERROR(1/J259*(X259/H259),"0")</f>
        <v>0.15151515151515152</v>
      </c>
      <c r="BP259" s="64">
        <f>IFERROR(1/J259*(Y259/H259),"0")</f>
        <v>0.15151515151515152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75.555555555555543</v>
      </c>
      <c r="Y260" s="547">
        <f>IFERROR(Y255/H255,"0")+IFERROR(Y256/H256,"0")+IFERROR(Y257/H257,"0")+IFERROR(Y258/H258,"0")+IFERROR(Y259/H259,"0")</f>
        <v>76</v>
      </c>
      <c r="Z260" s="547">
        <f>IFERROR(IF(Z255="",0,Z255),"0")+IFERROR(IF(Z256="",0,Z256),"0")+IFERROR(IF(Z257="",0,Z257),"0")+IFERROR(IF(Z258="",0,Z258),"0")+IFERROR(IF(Z259="",0,Z259),"0")</f>
        <v>1.2432799999999999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680</v>
      </c>
      <c r="Y261" s="547">
        <f>IFERROR(SUM(Y255:Y259),"0")</f>
        <v>684.80000000000007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700</v>
      </c>
      <c r="Y290" s="546">
        <f t="shared" ref="Y290:Y295" si="26">IFERROR(IF(X290="",0,CEILING((X290/$H290),1)*$H290),"")</f>
        <v>702</v>
      </c>
      <c r="Z290" s="36">
        <f>IFERROR(IF(Y290=0,"",ROUNDUP(Y290/H290,0)*0.01898),"")</f>
        <v>1.2337</v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726.57407407407413</v>
      </c>
      <c r="BN290" s="64">
        <f t="shared" ref="BN290:BN295" si="28">IFERROR(Y290*I290/H290,"0")</f>
        <v>728.65000000000009</v>
      </c>
      <c r="BO290" s="64">
        <f t="shared" ref="BO290:BO295" si="29">IFERROR(1/J290*(X290/H290),"0")</f>
        <v>1.0127314814814814</v>
      </c>
      <c r="BP290" s="64">
        <f t="shared" ref="BP290:BP295" si="30">IFERROR(1/J290*(Y290/H290),"0")</f>
        <v>1.015625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200</v>
      </c>
      <c r="Y291" s="546">
        <f t="shared" si="26"/>
        <v>205.20000000000002</v>
      </c>
      <c r="Z291" s="36">
        <f>IFERROR(IF(Y291=0,"",ROUNDUP(Y291/H291,0)*0.01898),"")</f>
        <v>0.36062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207.59259259259258</v>
      </c>
      <c r="BN291" s="64">
        <f t="shared" si="28"/>
        <v>212.99</v>
      </c>
      <c r="BO291" s="64">
        <f t="shared" si="29"/>
        <v>0.28935185185185186</v>
      </c>
      <c r="BP291" s="64">
        <f t="shared" si="30"/>
        <v>0.296875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300</v>
      </c>
      <c r="Y292" s="546">
        <f t="shared" si="26"/>
        <v>302.40000000000003</v>
      </c>
      <c r="Z292" s="36">
        <f>IFERROR(IF(Y292=0,"",ROUNDUP(Y292/H292,0)*0.01898),"")</f>
        <v>0.53144000000000002</v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311.38888888888891</v>
      </c>
      <c r="BN292" s="64">
        <f t="shared" si="28"/>
        <v>313.88</v>
      </c>
      <c r="BO292" s="64">
        <f t="shared" si="29"/>
        <v>0.43402777777777773</v>
      </c>
      <c r="BP292" s="64">
        <f t="shared" si="30"/>
        <v>0.4375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111.1111111111111</v>
      </c>
      <c r="Y296" s="547">
        <f>IFERROR(Y290/H290,"0")+IFERROR(Y291/H291,"0")+IFERROR(Y292/H292,"0")+IFERROR(Y293/H293,"0")+IFERROR(Y294/H294,"0")+IFERROR(Y295/H295,"0")</f>
        <v>112</v>
      </c>
      <c r="Z296" s="547">
        <f>IFERROR(IF(Z290="",0,Z290),"0")+IFERROR(IF(Z291="",0,Z291),"0")+IFERROR(IF(Z292="",0,Z292),"0")+IFERROR(IF(Z293="",0,Z293),"0")+IFERROR(IF(Z294="",0,Z294),"0")+IFERROR(IF(Z295="",0,Z295),"0")</f>
        <v>2.1257600000000001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1200</v>
      </c>
      <c r="Y297" s="547">
        <f>IFERROR(SUM(Y290:Y295),"0")</f>
        <v>1209.6000000000001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400</v>
      </c>
      <c r="Y299" s="546">
        <f t="shared" ref="Y299:Y304" si="31">IFERROR(IF(X299="",0,CEILING((X299/$H299),1)*$H299),"")</f>
        <v>403.20000000000005</v>
      </c>
      <c r="Z299" s="36">
        <f>IFERROR(IF(Y299=0,"",ROUNDUP(Y299/H299,0)*0.00902),"")</f>
        <v>0.86592000000000002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423.8095238095238</v>
      </c>
      <c r="BN299" s="64">
        <f t="shared" ref="BN299:BN304" si="33">IFERROR(Y299*I299/H299,"0")</f>
        <v>427.20000000000005</v>
      </c>
      <c r="BO299" s="64">
        <f t="shared" ref="BO299:BO304" si="34">IFERROR(1/J299*(X299/H299),"0")</f>
        <v>0.72150072150072153</v>
      </c>
      <c r="BP299" s="64">
        <f t="shared" ref="BP299:BP304" si="35">IFERROR(1/J299*(Y299/H299),"0")</f>
        <v>0.72727272727272729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400</v>
      </c>
      <c r="Y300" s="546">
        <f t="shared" si="31"/>
        <v>403.20000000000005</v>
      </c>
      <c r="Z300" s="36">
        <f>IFERROR(IF(Y300=0,"",ROUNDUP(Y300/H300,0)*0.00902),"")</f>
        <v>0.86592000000000002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423.8095238095238</v>
      </c>
      <c r="BN300" s="64">
        <f t="shared" si="33"/>
        <v>427.20000000000005</v>
      </c>
      <c r="BO300" s="64">
        <f t="shared" si="34"/>
        <v>0.72150072150072153</v>
      </c>
      <c r="BP300" s="64">
        <f t="shared" si="35"/>
        <v>0.72727272727272729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42</v>
      </c>
      <c r="Y302" s="546">
        <f t="shared" si="31"/>
        <v>42</v>
      </c>
      <c r="Z302" s="36">
        <f>IFERROR(IF(Y302=0,"",ROUNDUP(Y302/H302,0)*0.00502),"")</f>
        <v>0.1004</v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44.599999999999994</v>
      </c>
      <c r="BN302" s="64">
        <f t="shared" si="33"/>
        <v>44.599999999999994</v>
      </c>
      <c r="BO302" s="64">
        <f t="shared" si="34"/>
        <v>8.5470085470085472E-2</v>
      </c>
      <c r="BP302" s="64">
        <f t="shared" si="35"/>
        <v>8.5470085470085472E-2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210.47619047619048</v>
      </c>
      <c r="Y305" s="547">
        <f>IFERROR(Y299/H299,"0")+IFERROR(Y300/H300,"0")+IFERROR(Y301/H301,"0")+IFERROR(Y302/H302,"0")+IFERROR(Y303/H303,"0")+IFERROR(Y304/H304,"0")</f>
        <v>212</v>
      </c>
      <c r="Z305" s="547">
        <f>IFERROR(IF(Z299="",0,Z299),"0")+IFERROR(IF(Z300="",0,Z300),"0")+IFERROR(IF(Z301="",0,Z301),"0")+IFERROR(IF(Z302="",0,Z302),"0")+IFERROR(IF(Z303="",0,Z303),"0")+IFERROR(IF(Z304="",0,Z304),"0")</f>
        <v>1.8322400000000001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842</v>
      </c>
      <c r="Y306" s="547">
        <f>IFERROR(SUM(Y299:Y304),"0")</f>
        <v>848.40000000000009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1970</v>
      </c>
      <c r="Y308" s="546">
        <f>IFERROR(IF(X308="",0,CEILING((X308/$H308),1)*$H308),"")</f>
        <v>1973.3999999999999</v>
      </c>
      <c r="Z308" s="36">
        <f>IFERROR(IF(Y308=0,"",ROUNDUP(Y308/H308,0)*0.01898),"")</f>
        <v>4.8019400000000001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2093.251282051282</v>
      </c>
      <c r="BN308" s="64">
        <f>IFERROR(Y308*I308/H308,"0")</f>
        <v>2096.864</v>
      </c>
      <c r="BO308" s="64">
        <f>IFERROR(1/J308*(X308/H308),"0")</f>
        <v>3.9463141025641026</v>
      </c>
      <c r="BP308" s="64">
        <f>IFERROR(1/J308*(Y308/H308),"0")</f>
        <v>3.953125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252.56410256410257</v>
      </c>
      <c r="Y312" s="547">
        <f>IFERROR(Y308/H308,"0")+IFERROR(Y309/H309,"0")+IFERROR(Y310/H310,"0")+IFERROR(Y311/H311,"0")</f>
        <v>253</v>
      </c>
      <c r="Z312" s="547">
        <f>IFERROR(IF(Z308="",0,Z308),"0")+IFERROR(IF(Z309="",0,Z309),"0")+IFERROR(IF(Z310="",0,Z310),"0")+IFERROR(IF(Z311="",0,Z311),"0")</f>
        <v>4.8019400000000001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1970</v>
      </c>
      <c r="Y313" s="547">
        <f>IFERROR(SUM(Y308:Y311),"0")</f>
        <v>1973.3999999999999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400</v>
      </c>
      <c r="Y316" s="546">
        <f>IFERROR(IF(X316="",0,CEILING((X316/$H316),1)*$H316),"")</f>
        <v>405.59999999999997</v>
      </c>
      <c r="Z316" s="36">
        <f>IFERROR(IF(Y316=0,"",ROUNDUP(Y316/H316,0)*0.01898),"")</f>
        <v>0.98696000000000006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425.33333333333337</v>
      </c>
      <c r="BN316" s="64">
        <f>IFERROR(Y316*I316/H316,"0")</f>
        <v>431.28799999999995</v>
      </c>
      <c r="BO316" s="64">
        <f>IFERROR(1/J316*(X316/H316),"0")</f>
        <v>0.80128205128205132</v>
      </c>
      <c r="BP316" s="64">
        <f>IFERROR(1/J316*(Y316/H316),"0")</f>
        <v>0.8125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51.282051282051285</v>
      </c>
      <c r="Y318" s="547">
        <f>IFERROR(Y315/H315,"0")+IFERROR(Y316/H316,"0")+IFERROR(Y317/H317,"0")</f>
        <v>52</v>
      </c>
      <c r="Z318" s="547">
        <f>IFERROR(IF(Z315="",0,Z315),"0")+IFERROR(IF(Z316="",0,Z316),"0")+IFERROR(IF(Z317="",0,Z317),"0")</f>
        <v>0.98696000000000006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400</v>
      </c>
      <c r="Y319" s="547">
        <f>IFERROR(SUM(Y315:Y317),"0")</f>
        <v>405.59999999999997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400</v>
      </c>
      <c r="Y335" s="546">
        <f>IFERROR(IF(X335="",0,CEILING((X335/$H335),1)*$H335),"")</f>
        <v>405</v>
      </c>
      <c r="Z335" s="36">
        <f>IFERROR(IF(Y335=0,"",ROUNDUP(Y335/H335,0)*0.01898),"")</f>
        <v>0.94900000000000007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424.39506172839509</v>
      </c>
      <c r="BN335" s="64">
        <f>IFERROR(Y335*I335/H335,"0")</f>
        <v>429.7</v>
      </c>
      <c r="BO335" s="64">
        <f>IFERROR(1/J335*(X335/H335),"0")</f>
        <v>0.77160493827160492</v>
      </c>
      <c r="BP335" s="64">
        <f>IFERROR(1/J335*(Y335/H335),"0")</f>
        <v>0.78125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140</v>
      </c>
      <c r="Y336" s="546">
        <f>IFERROR(IF(X336="",0,CEILING((X336/$H336),1)*$H336),"")</f>
        <v>140.70000000000002</v>
      </c>
      <c r="Z336" s="36">
        <f>IFERROR(IF(Y336=0,"",ROUNDUP(Y336/H336,0)*0.00651),"")</f>
        <v>0.43617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156.79999999999998</v>
      </c>
      <c r="BN336" s="64">
        <f>IFERROR(Y336*I336/H336,"0")</f>
        <v>157.584</v>
      </c>
      <c r="BO336" s="64">
        <f>IFERROR(1/J336*(X336/H336),"0")</f>
        <v>0.36630036630036628</v>
      </c>
      <c r="BP336" s="64">
        <f>IFERROR(1/J336*(Y336/H336),"0")</f>
        <v>0.36813186813186816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105</v>
      </c>
      <c r="Y337" s="546">
        <f>IFERROR(IF(X337="",0,CEILING((X337/$H337),1)*$H337),"")</f>
        <v>105</v>
      </c>
      <c r="Z337" s="36">
        <f>IFERROR(IF(Y337=0,"",ROUNDUP(Y337/H337,0)*0.00651),"")</f>
        <v>0.32550000000000001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116.99999999999999</v>
      </c>
      <c r="BN337" s="64">
        <f>IFERROR(Y337*I337/H337,"0")</f>
        <v>116.99999999999999</v>
      </c>
      <c r="BO337" s="64">
        <f>IFERROR(1/J337*(X337/H337),"0")</f>
        <v>0.27472527472527475</v>
      </c>
      <c r="BP337" s="64">
        <f>IFERROR(1/J337*(Y337/H337),"0")</f>
        <v>0.27472527472527475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166.04938271604937</v>
      </c>
      <c r="Y338" s="547">
        <f>IFERROR(Y335/H335,"0")+IFERROR(Y336/H336,"0")+IFERROR(Y337/H337,"0")</f>
        <v>167</v>
      </c>
      <c r="Z338" s="547">
        <f>IFERROR(IF(Z335="",0,Z335),"0")+IFERROR(IF(Z336="",0,Z336),"0")+IFERROR(IF(Z337="",0,Z337),"0")</f>
        <v>1.7106699999999999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645</v>
      </c>
      <c r="Y339" s="547">
        <f>IFERROR(SUM(Y335:Y337),"0")</f>
        <v>650.70000000000005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0</v>
      </c>
      <c r="Y343" s="546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0</v>
      </c>
      <c r="Y350" s="547">
        <f>IFERROR(Y343/H343,"0")+IFERROR(Y344/H344,"0")+IFERROR(Y345/H345,"0")+IFERROR(Y346/H346,"0")+IFERROR(Y347/H347,"0")+IFERROR(Y348/H348,"0")+IFERROR(Y349/H349,"0")</f>
        <v>0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0</v>
      </c>
      <c r="Y351" s="547">
        <f>IFERROR(SUM(Y343:Y349),"0")</f>
        <v>0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0</v>
      </c>
      <c r="Y355" s="547">
        <f>IFERROR(Y353/H353,"0")+IFERROR(Y354/H354,"0")</f>
        <v>0</v>
      </c>
      <c r="Z355" s="547">
        <f>IFERROR(IF(Z353="",0,Z353),"0")+IFERROR(IF(Z354="",0,Z354),"0")</f>
        <v>0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0</v>
      </c>
      <c r="Y356" s="547">
        <f>IFERROR(SUM(Y353:Y354),"0")</f>
        <v>0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450</v>
      </c>
      <c r="Y358" s="546">
        <f>IFERROR(IF(X358="",0,CEILING((X358/$H358),1)*$H358),"")</f>
        <v>450</v>
      </c>
      <c r="Z358" s="36">
        <f>IFERROR(IF(Y358=0,"",ROUNDUP(Y358/H358,0)*0.01898),"")</f>
        <v>0.94900000000000007</v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475</v>
      </c>
      <c r="BN358" s="64">
        <f>IFERROR(Y358*I358/H358,"0")</f>
        <v>475</v>
      </c>
      <c r="BO358" s="64">
        <f>IFERROR(1/J358*(X358/H358),"0")</f>
        <v>0.78125</v>
      </c>
      <c r="BP358" s="64">
        <f>IFERROR(1/J358*(Y358/H358),"0")</f>
        <v>0.78125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90</v>
      </c>
      <c r="Y359" s="546">
        <f>IFERROR(IF(X359="",0,CEILING((X359/$H359),1)*$H359),"")</f>
        <v>90</v>
      </c>
      <c r="Z359" s="36">
        <f>IFERROR(IF(Y359=0,"",ROUNDUP(Y359/H359,0)*0.01898),"")</f>
        <v>0.1898</v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94.94</v>
      </c>
      <c r="BN359" s="64">
        <f>IFERROR(Y359*I359/H359,"0")</f>
        <v>94.94</v>
      </c>
      <c r="BO359" s="64">
        <f>IFERROR(1/J359*(X359/H359),"0")</f>
        <v>0.15625</v>
      </c>
      <c r="BP359" s="64">
        <f>IFERROR(1/J359*(Y359/H359),"0")</f>
        <v>0.15625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60</v>
      </c>
      <c r="Y360" s="547">
        <f>IFERROR(Y358/H358,"0")+IFERROR(Y359/H359,"0")</f>
        <v>60</v>
      </c>
      <c r="Z360" s="547">
        <f>IFERROR(IF(Z358="",0,Z358),"0")+IFERROR(IF(Z359="",0,Z359),"0")</f>
        <v>1.1388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540</v>
      </c>
      <c r="Y361" s="547">
        <f>IFERROR(SUM(Y358:Y359),"0")</f>
        <v>540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1650</v>
      </c>
      <c r="Y424" s="546">
        <f t="shared" si="47"/>
        <v>1652.64</v>
      </c>
      <c r="Z424" s="36">
        <f t="shared" si="48"/>
        <v>3.7434799999999999</v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1759.375</v>
      </c>
      <c r="BN424" s="64">
        <f t="shared" si="50"/>
        <v>1762.1899999999998</v>
      </c>
      <c r="BO424" s="64">
        <f t="shared" si="51"/>
        <v>3.0048076923076925</v>
      </c>
      <c r="BP424" s="64">
        <f t="shared" si="52"/>
        <v>3.0096153846153846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550</v>
      </c>
      <c r="Y428" s="546">
        <f t="shared" si="47"/>
        <v>554.4</v>
      </c>
      <c r="Z428" s="36">
        <f t="shared" si="48"/>
        <v>1.2558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586.45833333333326</v>
      </c>
      <c r="BN428" s="64">
        <f t="shared" si="50"/>
        <v>591.15</v>
      </c>
      <c r="BO428" s="64">
        <f t="shared" si="51"/>
        <v>1.0016025641025641</v>
      </c>
      <c r="BP428" s="64">
        <f t="shared" si="52"/>
        <v>1.0096153846153846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416.66666666666663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418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4.9992799999999997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2200</v>
      </c>
      <c r="Y435" s="547">
        <f>IFERROR(SUM(Y422:Y433),"0")</f>
        <v>2207.04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1100</v>
      </c>
      <c r="Y437" s="546">
        <f>IFERROR(IF(X437="",0,CEILING((X437/$H437),1)*$H437),"")</f>
        <v>1103.52</v>
      </c>
      <c r="Z437" s="36">
        <f>IFERROR(IF(Y437=0,"",ROUNDUP(Y437/H437,0)*0.01196),"")</f>
        <v>2.4996399999999999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1172.9166666666665</v>
      </c>
      <c r="BN437" s="64">
        <f>IFERROR(Y437*I437/H437,"0")</f>
        <v>1176.6699999999998</v>
      </c>
      <c r="BO437" s="64">
        <f>IFERROR(1/J437*(X437/H437),"0")</f>
        <v>2.0032051282051282</v>
      </c>
      <c r="BP437" s="64">
        <f>IFERROR(1/J437*(Y437/H437),"0")</f>
        <v>2.0096153846153846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208.33333333333331</v>
      </c>
      <c r="Y440" s="547">
        <f>IFERROR(Y437/H437,"0")+IFERROR(Y438/H438,"0")+IFERROR(Y439/H439,"0")</f>
        <v>209</v>
      </c>
      <c r="Z440" s="547">
        <f>IFERROR(IF(Z437="",0,Z437),"0")+IFERROR(IF(Z438="",0,Z438),"0")+IFERROR(IF(Z439="",0,Z439),"0")</f>
        <v>2.4996399999999999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1100</v>
      </c>
      <c r="Y441" s="547">
        <f>IFERROR(SUM(Y437:Y439),"0")</f>
        <v>1103.52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200</v>
      </c>
      <c r="Y444" s="546">
        <f t="shared" si="53"/>
        <v>200.64000000000001</v>
      </c>
      <c r="Z444" s="36">
        <f>IFERROR(IF(Y444=0,"",ROUNDUP(Y444/H444,0)*0.01196),"")</f>
        <v>0.45448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213.25757575757575</v>
      </c>
      <c r="BN444" s="64">
        <f t="shared" si="55"/>
        <v>213.94</v>
      </c>
      <c r="BO444" s="64">
        <f t="shared" si="56"/>
        <v>0.36421911421911418</v>
      </c>
      <c r="BP444" s="64">
        <f t="shared" si="57"/>
        <v>0.36538461538461542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550</v>
      </c>
      <c r="Y445" s="546">
        <f t="shared" si="53"/>
        <v>554.4</v>
      </c>
      <c r="Z445" s="36">
        <f>IFERROR(IF(Y445=0,"",ROUNDUP(Y445/H445,0)*0.01196),"")</f>
        <v>1.2558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586.45833333333326</v>
      </c>
      <c r="BN445" s="64">
        <f t="shared" si="55"/>
        <v>591.15</v>
      </c>
      <c r="BO445" s="64">
        <f t="shared" si="56"/>
        <v>1.0016025641025641</v>
      </c>
      <c r="BP445" s="64">
        <f t="shared" si="57"/>
        <v>1.0096153846153846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142.04545454545453</v>
      </c>
      <c r="Y449" s="547">
        <f>IFERROR(Y443/H443,"0")+IFERROR(Y444/H444,"0")+IFERROR(Y445/H445,"0")+IFERROR(Y446/H446,"0")+IFERROR(Y447/H447,"0")+IFERROR(Y448/H448,"0")</f>
        <v>143</v>
      </c>
      <c r="Z449" s="547">
        <f>IFERROR(IF(Z443="",0,Z443),"0")+IFERROR(IF(Z444="",0,Z444),"0")+IFERROR(IF(Z445="",0,Z445),"0")+IFERROR(IF(Z446="",0,Z446),"0")+IFERROR(IF(Z447="",0,Z447),"0")+IFERROR(IF(Z448="",0,Z448),"0")</f>
        <v>1.71028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750</v>
      </c>
      <c r="Y450" s="547">
        <f>IFERROR(SUM(Y443:Y448),"0")</f>
        <v>755.04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17955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18041.800000000003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18912.924880736547</v>
      </c>
      <c r="Y492" s="547">
        <f>IFERROR(SUM(BN22:BN488),"0")</f>
        <v>19004.284000000003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32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19712.924880736547</v>
      </c>
      <c r="Y494" s="547">
        <f>GrossWeightTotalR+PalletQtyTotalR*25</f>
        <v>19804.284000000003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2900.9480457813793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2913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37.987289999999994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610.40000000000009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5362.2</v>
      </c>
      <c r="E501" s="46">
        <f>IFERROR(Y86*1,"0")+IFERROR(Y87*1,"0")+IFERROR(Y88*1,"0")+IFERROR(Y92*1,"0")+IFERROR(Y93*1,"0")+IFERROR(Y94*1,"0")+IFERROR(Y95*1,"0")</f>
        <v>532.79999999999995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704.69999999999993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453.6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684.80000000000007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4437</v>
      </c>
      <c r="R501" s="46">
        <f>IFERROR(Y335*1,"0")+IFERROR(Y336*1,"0")+IFERROR(Y337*1,"0")</f>
        <v>650.70000000000005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540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4065.6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2025-12-09T08:33:29Z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