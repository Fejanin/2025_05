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CAD13615-465E-49C0-9369-720D2793025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<sst xmlns="http://schemas.openxmlformats.org/spreadsheetml/2006/main" count="1222" uniqueCount="394">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</sst>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64" sqref="AA26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168</v>
      </c>
      <c r="Y260" s="269">
        <f t="shared" si="18"/>
        <v>168</v>
      </c>
      <c r="Z260" s="36">
        <f>IFERROR(IF(X260="","",X260*0.0155),"")</f>
        <v>2.6040000000000001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963.48</v>
      </c>
      <c r="BN260" s="67">
        <f t="shared" si="20"/>
        <v>963.48</v>
      </c>
      <c r="BO260" s="67">
        <f t="shared" si="21"/>
        <v>2</v>
      </c>
      <c r="BP260" s="67">
        <f t="shared" si="22"/>
        <v>2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112</v>
      </c>
      <c r="Y261" s="269">
        <f t="shared" si="18"/>
        <v>112</v>
      </c>
      <c r="Z261" s="36">
        <f t="shared" ref="Z261:Z266" si="23">IFERROR(IF(X261="","",X261*0.00936),"")</f>
        <v>1.0483199999999999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357.50400000000002</v>
      </c>
      <c r="BN261" s="67">
        <f t="shared" si="20"/>
        <v>357.50400000000002</v>
      </c>
      <c r="BO261" s="67">
        <f t="shared" si="21"/>
        <v>0.88888888888888884</v>
      </c>
      <c r="BP261" s="67">
        <f t="shared" si="22"/>
        <v>0.88888888888888884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630</v>
      </c>
      <c r="Y262" s="269">
        <f t="shared" si="18"/>
        <v>630</v>
      </c>
      <c r="Z262" s="36">
        <f t="shared" si="23"/>
        <v>5.8967999999999998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2451.96</v>
      </c>
      <c r="BN262" s="67">
        <f t="shared" si="20"/>
        <v>2451.96</v>
      </c>
      <c r="BO262" s="67">
        <f t="shared" si="21"/>
        <v>5</v>
      </c>
      <c r="BP262" s="67">
        <f t="shared" si="22"/>
        <v>5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910</v>
      </c>
      <c r="Y268" s="270">
        <f>IFERROR(SUM(Y258:Y267),"0")</f>
        <v>910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9.5491200000000003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3591</v>
      </c>
      <c r="Y269" s="270">
        <f>IFERROR(SUMPRODUCT(Y258:Y267*H258:H267),"0")</f>
        <v>3591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3591</v>
      </c>
      <c r="Y270" s="270">
        <f>IFERROR(Y29+Y35+Y42+Y49+Y57+Y62+Y66+Y71+Y77+Y83+Y88+Y94+Y104+Y110+Y122+Y126+Y130+Y136+Y142+Y148+Y153+Y158+Y163+Y168+Y175+Y183+Y187+Y193+Y201+Y206+Y211+Y216+Y222+Y228+Y234+Y238+Y245+Y250+Y256+Y269,"0")</f>
        <v>3591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3772.944</v>
      </c>
      <c r="Y271" s="270">
        <f>IFERROR(SUM(BN22:BN267),"0")</f>
        <v>3772.944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8</v>
      </c>
      <c r="Y272" s="38">
        <f>ROUNDUP(SUM(BP22:BP267),0)</f>
        <v>8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3972.944</v>
      </c>
      <c r="Y273" s="270">
        <f>GrossWeightTotalR+PalletQtyTotalR*25</f>
        <v>3972.944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910</v>
      </c>
      <c r="Y274" s="270">
        <f>IFERROR(Y28+Y34+Y41+Y48+Y56+Y61+Y65+Y70+Y76+Y82+Y87+Y93+Y103+Y109+Y121+Y125+Y129+Y135+Y141+Y147+Y152+Y157+Y162+Y167+Y174+Y182+Y186+Y192+Y200+Y205+Y210+Y215+Y221+Y227+Y233+Y237+Y244+Y249+Y255+Y268,"0")</f>
        <v>910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9.5491200000000003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3591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3591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