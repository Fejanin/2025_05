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B17CC4DE-45FB-4EC3-B0CF-77432FEAFA5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Y480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Y475" i="1" s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7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Y426" i="1"/>
  <c r="X426" i="1"/>
  <c r="X425" i="1"/>
  <c r="BP424" i="1"/>
  <c r="BO424" i="1"/>
  <c r="BN424" i="1"/>
  <c r="BM424" i="1"/>
  <c r="Z424" i="1"/>
  <c r="Z425" i="1" s="1"/>
  <c r="Y424" i="1"/>
  <c r="Y425" i="1" s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Y408" i="1" s="1"/>
  <c r="P406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U506" i="1" s="1"/>
  <c r="P394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Y383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X373" i="1"/>
  <c r="Y372" i="1"/>
  <c r="X372" i="1"/>
  <c r="BP371" i="1"/>
  <c r="BO371" i="1"/>
  <c r="BN371" i="1"/>
  <c r="BM371" i="1"/>
  <c r="Z371" i="1"/>
  <c r="Z372" i="1" s="1"/>
  <c r="Y371" i="1"/>
  <c r="Y373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P361" i="1"/>
  <c r="BO361" i="1"/>
  <c r="BN361" i="1"/>
  <c r="BM361" i="1"/>
  <c r="Z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Y359" i="1" s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Y259" i="1" s="1"/>
  <c r="P254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Y247" i="1" s="1"/>
  <c r="P246" i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K506" i="1" s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Y230" i="1" s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Y226" i="1" s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P62" i="1"/>
  <c r="BP61" i="1"/>
  <c r="BO61" i="1"/>
  <c r="BN61" i="1"/>
  <c r="BM61" i="1"/>
  <c r="Z61" i="1"/>
  <c r="Y61" i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O43" i="1"/>
  <c r="BM43" i="1"/>
  <c r="Y43" i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BO23" i="1"/>
  <c r="BM23" i="1"/>
  <c r="Y23" i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BP23" i="1" l="1"/>
  <c r="Y498" i="1" s="1"/>
  <c r="BN23" i="1"/>
  <c r="Y497" i="1" s="1"/>
  <c r="Z23" i="1"/>
  <c r="Z24" i="1" s="1"/>
  <c r="B506" i="1"/>
  <c r="Y25" i="1"/>
  <c r="Y32" i="1"/>
  <c r="BP27" i="1"/>
  <c r="BN27" i="1"/>
  <c r="Z27" i="1"/>
  <c r="BP31" i="1"/>
  <c r="BN31" i="1"/>
  <c r="Z31" i="1"/>
  <c r="Y33" i="1"/>
  <c r="Y36" i="1"/>
  <c r="BP35" i="1"/>
  <c r="BN35" i="1"/>
  <c r="Z35" i="1"/>
  <c r="Z36" i="1" s="1"/>
  <c r="Y37" i="1"/>
  <c r="C506" i="1"/>
  <c r="Y44" i="1"/>
  <c r="BP41" i="1"/>
  <c r="BN41" i="1"/>
  <c r="Z41" i="1"/>
  <c r="BP54" i="1"/>
  <c r="BN54" i="1"/>
  <c r="Z54" i="1"/>
  <c r="Y58" i="1"/>
  <c r="BP62" i="1"/>
  <c r="BN62" i="1"/>
  <c r="Z62" i="1"/>
  <c r="Z64" i="1" s="1"/>
  <c r="BP74" i="1"/>
  <c r="BN74" i="1"/>
  <c r="Z74" i="1"/>
  <c r="BP87" i="1"/>
  <c r="BN87" i="1"/>
  <c r="Z87" i="1"/>
  <c r="BP95" i="1"/>
  <c r="BN95" i="1"/>
  <c r="Z95" i="1"/>
  <c r="Y97" i="1"/>
  <c r="F506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Y198" i="1"/>
  <c r="BP195" i="1"/>
  <c r="BN195" i="1"/>
  <c r="Z195" i="1"/>
  <c r="Z197" i="1" s="1"/>
  <c r="J506" i="1"/>
  <c r="BP207" i="1"/>
  <c r="BN207" i="1"/>
  <c r="Z207" i="1"/>
  <c r="BP211" i="1"/>
  <c r="BN211" i="1"/>
  <c r="Z211" i="1"/>
  <c r="BP219" i="1"/>
  <c r="BN219" i="1"/>
  <c r="Z219" i="1"/>
  <c r="BP223" i="1"/>
  <c r="BN223" i="1"/>
  <c r="Z223" i="1"/>
  <c r="Y24" i="1"/>
  <c r="X500" i="1"/>
  <c r="BP29" i="1"/>
  <c r="BN29" i="1"/>
  <c r="Z29" i="1"/>
  <c r="BP43" i="1"/>
  <c r="BN43" i="1"/>
  <c r="Z43" i="1"/>
  <c r="Y45" i="1"/>
  <c r="Y48" i="1"/>
  <c r="BP47" i="1"/>
  <c r="BN47" i="1"/>
  <c r="Z47" i="1"/>
  <c r="Z48" i="1" s="1"/>
  <c r="Y49" i="1"/>
  <c r="D506" i="1"/>
  <c r="Y59" i="1"/>
  <c r="BP52" i="1"/>
  <c r="BN52" i="1"/>
  <c r="Z52" i="1"/>
  <c r="BP56" i="1"/>
  <c r="BN56" i="1"/>
  <c r="Z56" i="1"/>
  <c r="Y65" i="1"/>
  <c r="Y64" i="1"/>
  <c r="BP68" i="1"/>
  <c r="BN68" i="1"/>
  <c r="Z68" i="1"/>
  <c r="Z69" i="1" s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6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6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4" i="1"/>
  <c r="BP205" i="1"/>
  <c r="BN205" i="1"/>
  <c r="Z205" i="1"/>
  <c r="Z213" i="1" s="1"/>
  <c r="BP209" i="1"/>
  <c r="BN209" i="1"/>
  <c r="Z209" i="1"/>
  <c r="Y213" i="1"/>
  <c r="BP217" i="1"/>
  <c r="BN217" i="1"/>
  <c r="Z217" i="1"/>
  <c r="Z225" i="1" s="1"/>
  <c r="BP221" i="1"/>
  <c r="BN221" i="1"/>
  <c r="Z221" i="1"/>
  <c r="Y225" i="1"/>
  <c r="BP229" i="1"/>
  <c r="BN229" i="1"/>
  <c r="Z229" i="1"/>
  <c r="Z230" i="1" s="1"/>
  <c r="Y231" i="1"/>
  <c r="Y244" i="1"/>
  <c r="Y248" i="1"/>
  <c r="Y252" i="1"/>
  <c r="Y260" i="1"/>
  <c r="L506" i="1"/>
  <c r="Y268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BP311" i="1"/>
  <c r="BN311" i="1"/>
  <c r="Z311" i="1"/>
  <c r="BP319" i="1"/>
  <c r="BN319" i="1"/>
  <c r="Z319" i="1"/>
  <c r="Y321" i="1"/>
  <c r="Y326" i="1"/>
  <c r="BP323" i="1"/>
  <c r="BN323" i="1"/>
  <c r="Z323" i="1"/>
  <c r="BP331" i="1"/>
  <c r="BN331" i="1"/>
  <c r="Z331" i="1"/>
  <c r="BP344" i="1"/>
  <c r="BN344" i="1"/>
  <c r="Z344" i="1"/>
  <c r="Z346" i="1" s="1"/>
  <c r="BP354" i="1"/>
  <c r="BN354" i="1"/>
  <c r="Z354" i="1"/>
  <c r="Y358" i="1"/>
  <c r="BP362" i="1"/>
  <c r="BN362" i="1"/>
  <c r="Z362" i="1"/>
  <c r="Z363" i="1" s="1"/>
  <c r="Y364" i="1"/>
  <c r="Y369" i="1"/>
  <c r="BP366" i="1"/>
  <c r="BN366" i="1"/>
  <c r="Z366" i="1"/>
  <c r="Z368" i="1" s="1"/>
  <c r="BP387" i="1"/>
  <c r="BN387" i="1"/>
  <c r="Z387" i="1"/>
  <c r="Z389" i="1" s="1"/>
  <c r="BP397" i="1"/>
  <c r="BN397" i="1"/>
  <c r="Z397" i="1"/>
  <c r="BP401" i="1"/>
  <c r="BN401" i="1"/>
  <c r="Z401" i="1"/>
  <c r="BP418" i="1"/>
  <c r="BN418" i="1"/>
  <c r="Z418" i="1"/>
  <c r="BP454" i="1"/>
  <c r="BN454" i="1"/>
  <c r="Z454" i="1"/>
  <c r="BP468" i="1"/>
  <c r="BN468" i="1"/>
  <c r="Z468" i="1"/>
  <c r="S506" i="1"/>
  <c r="H9" i="1"/>
  <c r="X497" i="1"/>
  <c r="X498" i="1"/>
  <c r="X496" i="1"/>
  <c r="H506" i="1"/>
  <c r="Y145" i="1"/>
  <c r="I506" i="1"/>
  <c r="Y165" i="1"/>
  <c r="Z234" i="1"/>
  <c r="Z243" i="1" s="1"/>
  <c r="BN234" i="1"/>
  <c r="BP234" i="1"/>
  <c r="Z236" i="1"/>
  <c r="BN236" i="1"/>
  <c r="Z238" i="1"/>
  <c r="BN238" i="1"/>
  <c r="Z240" i="1"/>
  <c r="BN240" i="1"/>
  <c r="Z242" i="1"/>
  <c r="BN242" i="1"/>
  <c r="Y243" i="1"/>
  <c r="Z246" i="1"/>
  <c r="Z247" i="1" s="1"/>
  <c r="BN246" i="1"/>
  <c r="BP246" i="1"/>
  <c r="Z250" i="1"/>
  <c r="Z251" i="1" s="1"/>
  <c r="BN250" i="1"/>
  <c r="BP250" i="1"/>
  <c r="Z254" i="1"/>
  <c r="Z259" i="1" s="1"/>
  <c r="BN254" i="1"/>
  <c r="BP254" i="1"/>
  <c r="Z256" i="1"/>
  <c r="BN256" i="1"/>
  <c r="Z258" i="1"/>
  <c r="BN258" i="1"/>
  <c r="Z263" i="1"/>
  <c r="BN263" i="1"/>
  <c r="BP263" i="1"/>
  <c r="Z265" i="1"/>
  <c r="BN265" i="1"/>
  <c r="BP274" i="1"/>
  <c r="BN274" i="1"/>
  <c r="Z274" i="1"/>
  <c r="Y284" i="1"/>
  <c r="Y283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Y313" i="1"/>
  <c r="BP317" i="1"/>
  <c r="BN317" i="1"/>
  <c r="Z317" i="1"/>
  <c r="Z320" i="1" s="1"/>
  <c r="BP325" i="1"/>
  <c r="BN325" i="1"/>
  <c r="Z325" i="1"/>
  <c r="Y327" i="1"/>
  <c r="Y334" i="1"/>
  <c r="BP329" i="1"/>
  <c r="BN329" i="1"/>
  <c r="Z329" i="1"/>
  <c r="Z333" i="1" s="1"/>
  <c r="Y333" i="1"/>
  <c r="BP337" i="1"/>
  <c r="BN337" i="1"/>
  <c r="Z337" i="1"/>
  <c r="Z339" i="1" s="1"/>
  <c r="Y346" i="1"/>
  <c r="BP352" i="1"/>
  <c r="BN352" i="1"/>
  <c r="Z352" i="1"/>
  <c r="BP356" i="1"/>
  <c r="BN356" i="1"/>
  <c r="Z356" i="1"/>
  <c r="Z358" i="1" s="1"/>
  <c r="Y363" i="1"/>
  <c r="Y368" i="1"/>
  <c r="BP377" i="1"/>
  <c r="BN377" i="1"/>
  <c r="Z377" i="1"/>
  <c r="Z378" i="1" s="1"/>
  <c r="Y379" i="1"/>
  <c r="Y384" i="1"/>
  <c r="BP381" i="1"/>
  <c r="BN381" i="1"/>
  <c r="Z381" i="1"/>
  <c r="Z383" i="1" s="1"/>
  <c r="Y390" i="1"/>
  <c r="Y389" i="1"/>
  <c r="BP395" i="1"/>
  <c r="BN395" i="1"/>
  <c r="Z395" i="1"/>
  <c r="Z403" i="1" s="1"/>
  <c r="BP399" i="1"/>
  <c r="BN399" i="1"/>
  <c r="Z399" i="1"/>
  <c r="Y403" i="1"/>
  <c r="BP407" i="1"/>
  <c r="BN407" i="1"/>
  <c r="Z407" i="1"/>
  <c r="Z408" i="1" s="1"/>
  <c r="Y409" i="1"/>
  <c r="V506" i="1"/>
  <c r="Y413" i="1"/>
  <c r="BP412" i="1"/>
  <c r="BN412" i="1"/>
  <c r="Z412" i="1"/>
  <c r="Z413" i="1" s="1"/>
  <c r="Y414" i="1"/>
  <c r="Y421" i="1"/>
  <c r="BP416" i="1"/>
  <c r="BN416" i="1"/>
  <c r="Z416" i="1"/>
  <c r="Z420" i="1" s="1"/>
  <c r="Y420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48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O506" i="1"/>
  <c r="P506" i="1"/>
  <c r="Y289" i="1"/>
  <c r="Y304" i="1"/>
  <c r="R506" i="1"/>
  <c r="Y347" i="1"/>
  <c r="T506" i="1"/>
  <c r="Y378" i="1"/>
  <c r="Y404" i="1"/>
  <c r="BP432" i="1"/>
  <c r="BN432" i="1"/>
  <c r="Z432" i="1"/>
  <c r="BP436" i="1"/>
  <c r="BN436" i="1"/>
  <c r="Z436" i="1"/>
  <c r="BP440" i="1"/>
  <c r="BN440" i="1"/>
  <c r="Z440" i="1"/>
  <c r="Y449" i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Z470" i="1" s="1"/>
  <c r="Y470" i="1"/>
  <c r="BP474" i="1"/>
  <c r="BN474" i="1"/>
  <c r="Z474" i="1"/>
  <c r="Z475" i="1" s="1"/>
  <c r="Y476" i="1"/>
  <c r="Y481" i="1"/>
  <c r="BP478" i="1"/>
  <c r="BN478" i="1"/>
  <c r="Z478" i="1"/>
  <c r="Z480" i="1" s="1"/>
  <c r="Y489" i="1"/>
  <c r="Y506" i="1"/>
  <c r="Y499" i="1" l="1"/>
  <c r="Z442" i="1"/>
  <c r="Z313" i="1"/>
  <c r="Z276" i="1"/>
  <c r="Z44" i="1"/>
  <c r="Z32" i="1"/>
  <c r="Z501" i="1" s="1"/>
  <c r="Y496" i="1"/>
  <c r="Z268" i="1"/>
  <c r="X499" i="1"/>
  <c r="Z326" i="1"/>
  <c r="Z154" i="1"/>
  <c r="Z58" i="1"/>
  <c r="Y500" i="1"/>
  <c r="Z181" i="1"/>
  <c r="Z112" i="1"/>
  <c r="Z105" i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<sst xmlns="http://schemas.openxmlformats.org/spreadsheetml/2006/main" count="2385" uniqueCount="784">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</sst>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77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0</v>
      </c>
      <c r="Y44" s="557">
        <f>IFERROR(Y41/H41,"0")+IFERROR(Y42/H42,"0")+IFERROR(Y43/H43,"0")</f>
        <v>0</v>
      </c>
      <c r="Z44" s="557">
        <f>IFERROR(IF(Z41="",0,Z41),"0")+IFERROR(IF(Z42="",0,Z42),"0")+IFERROR(IF(Z43="",0,Z43),"0")</f>
        <v>0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0</v>
      </c>
      <c r="Y45" s="557">
        <f>IFERROR(SUM(Y41:Y43),"0")</f>
        <v>0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500</v>
      </c>
      <c r="Y53" s="556">
        <f t="shared" si="0"/>
        <v>507.6</v>
      </c>
      <c r="Z53" s="36">
        <f>IFERROR(IF(Y53=0,"",ROUNDUP(Y53/H53,0)*0.01898),"")</f>
        <v>0.89205999999999996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518.98148148148141</v>
      </c>
      <c r="BN53" s="64">
        <f t="shared" si="2"/>
        <v>526.87</v>
      </c>
      <c r="BO53" s="64">
        <f t="shared" si="3"/>
        <v>0.72337962962962954</v>
      </c>
      <c r="BP53" s="64">
        <f t="shared" si="4"/>
        <v>0.734375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46.296296296296291</v>
      </c>
      <c r="Y58" s="557">
        <f>IFERROR(Y52/H52,"0")+IFERROR(Y53/H53,"0")+IFERROR(Y54/H54,"0")+IFERROR(Y55/H55,"0")+IFERROR(Y56/H56,"0")+IFERROR(Y57/H57,"0")</f>
        <v>47</v>
      </c>
      <c r="Z58" s="557">
        <f>IFERROR(IF(Z52="",0,Z52),"0")+IFERROR(IF(Z53="",0,Z53),"0")+IFERROR(IF(Z54="",0,Z54),"0")+IFERROR(IF(Z55="",0,Z55),"0")+IFERROR(IF(Z56="",0,Z56),"0")+IFERROR(IF(Z57="",0,Z57),"0")</f>
        <v>0.89205999999999996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500</v>
      </c>
      <c r="Y59" s="557">
        <f>IFERROR(SUM(Y52:Y57),"0")</f>
        <v>507.6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0</v>
      </c>
      <c r="Y64" s="557">
        <f>IFERROR(Y61/H61,"0")+IFERROR(Y62/H62,"0")+IFERROR(Y63/H63,"0")</f>
        <v>0</v>
      </c>
      <c r="Z64" s="557">
        <f>IFERROR(IF(Z61="",0,Z61),"0")+IFERROR(IF(Z62="",0,Z62),"0")+IFERROR(IF(Z63="",0,Z63),"0")</f>
        <v>0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0</v>
      </c>
      <c r="Y65" s="557">
        <f>IFERROR(SUM(Y61:Y63),"0")</f>
        <v>0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1000</v>
      </c>
      <c r="Y85" s="556">
        <f>IFERROR(IF(X85="",0,CEILING((X85/$H85),1)*$H85),"")</f>
        <v>1004.4000000000001</v>
      </c>
      <c r="Z85" s="36">
        <f>IFERROR(IF(Y85=0,"",ROUNDUP(Y85/H85,0)*0.01898),"")</f>
        <v>1.7651399999999999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1037.9629629629628</v>
      </c>
      <c r="BN85" s="64">
        <f>IFERROR(Y85*I85/H85,"0")</f>
        <v>1042.5300000000002</v>
      </c>
      <c r="BO85" s="64">
        <f>IFERROR(1/J85*(X85/H85),"0")</f>
        <v>1.4467592592592591</v>
      </c>
      <c r="BP85" s="64">
        <f>IFERROR(1/J85*(Y85/H85),"0")</f>
        <v>1.453125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92.592592592592581</v>
      </c>
      <c r="Y89" s="557">
        <f>IFERROR(Y85/H85,"0")+IFERROR(Y86/H86,"0")+IFERROR(Y87/H87,"0")+IFERROR(Y88/H88,"0")</f>
        <v>93</v>
      </c>
      <c r="Z89" s="557">
        <f>IFERROR(IF(Z85="",0,Z85),"0")+IFERROR(IF(Z86="",0,Z86),"0")+IFERROR(IF(Z87="",0,Z87),"0")+IFERROR(IF(Z88="",0,Z88),"0")</f>
        <v>1.7651399999999999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1000</v>
      </c>
      <c r="Y90" s="557">
        <f>IFERROR(SUM(Y85:Y88),"0")</f>
        <v>1004.4000000000001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500</v>
      </c>
      <c r="Y92" s="556">
        <f>IFERROR(IF(X92="",0,CEILING((X92/$H92),1)*$H92),"")</f>
        <v>502.2</v>
      </c>
      <c r="Z92" s="36">
        <f>IFERROR(IF(Y92=0,"",ROUNDUP(Y92/H92,0)*0.01898),"")</f>
        <v>1.17676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530.49382716049388</v>
      </c>
      <c r="BN92" s="64">
        <f>IFERROR(Y92*I92/H92,"0")</f>
        <v>532.82799999999997</v>
      </c>
      <c r="BO92" s="64">
        <f>IFERROR(1/J92*(X92/H92),"0")</f>
        <v>0.96450617283950624</v>
      </c>
      <c r="BP92" s="64">
        <f>IFERROR(1/J92*(Y92/H92),"0")</f>
        <v>0.96875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225</v>
      </c>
      <c r="Y94" s="556">
        <f>IFERROR(IF(X94="",0,CEILING((X94/$H94),1)*$H94),"")</f>
        <v>226.8</v>
      </c>
      <c r="Z94" s="36">
        <f>IFERROR(IF(Y94=0,"",ROUNDUP(Y94/H94,0)*0.00651),"")</f>
        <v>0.54683999999999999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246</v>
      </c>
      <c r="BN94" s="64">
        <f>IFERROR(Y94*I94/H94,"0")</f>
        <v>247.96799999999999</v>
      </c>
      <c r="BO94" s="64">
        <f>IFERROR(1/J94*(X94/H94),"0")</f>
        <v>0.45787545787545786</v>
      </c>
      <c r="BP94" s="64">
        <f>IFERROR(1/J94*(Y94/H94),"0")</f>
        <v>0.46153846153846156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145.06172839506172</v>
      </c>
      <c r="Y96" s="557">
        <f>IFERROR(Y92/H92,"0")+IFERROR(Y93/H93,"0")+IFERROR(Y94/H94,"0")+IFERROR(Y95/H95,"0")</f>
        <v>146</v>
      </c>
      <c r="Z96" s="557">
        <f>IFERROR(IF(Z92="",0,Z92),"0")+IFERROR(IF(Z93="",0,Z93),"0")+IFERROR(IF(Z94="",0,Z94),"0")+IFERROR(IF(Z95="",0,Z95),"0")</f>
        <v>1.7236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725</v>
      </c>
      <c r="Y97" s="557">
        <f>IFERROR(SUM(Y92:Y95),"0")</f>
        <v>729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200</v>
      </c>
      <c r="Y100" s="556">
        <f>IFERROR(IF(X100="",0,CEILING((X100/$H100),1)*$H100),"")</f>
        <v>205.20000000000002</v>
      </c>
      <c r="Z100" s="36">
        <f>IFERROR(IF(Y100=0,"",ROUNDUP(Y100/H100,0)*0.01898),"")</f>
        <v>0.36062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207.59259259259258</v>
      </c>
      <c r="BN100" s="64">
        <f>IFERROR(Y100*I100/H100,"0")</f>
        <v>212.99</v>
      </c>
      <c r="BO100" s="64">
        <f>IFERROR(1/J100*(X100/H100),"0")</f>
        <v>0.28935185185185186</v>
      </c>
      <c r="BP100" s="64">
        <f>IFERROR(1/J100*(Y100/H100),"0")</f>
        <v>0.296875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18.518518518518519</v>
      </c>
      <c r="Y105" s="557">
        <f>IFERROR(Y100/H100,"0")+IFERROR(Y101/H101,"0")+IFERROR(Y102/H102,"0")+IFERROR(Y103/H103,"0")+IFERROR(Y104/H104,"0")</f>
        <v>19</v>
      </c>
      <c r="Z105" s="557">
        <f>IFERROR(IF(Z100="",0,Z100),"0")+IFERROR(IF(Z101="",0,Z101),"0")+IFERROR(IF(Z102="",0,Z102),"0")+IFERROR(IF(Z103="",0,Z103),"0")+IFERROR(IF(Z104="",0,Z104),"0")</f>
        <v>0.36062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200</v>
      </c>
      <c r="Y106" s="557">
        <f>IFERROR(SUM(Y100:Y104),"0")</f>
        <v>205.20000000000002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500</v>
      </c>
      <c r="Y115" s="556">
        <f>IFERROR(IF(X115="",0,CEILING((X115/$H115),1)*$H115),"")</f>
        <v>502.2</v>
      </c>
      <c r="Z115" s="36">
        <f>IFERROR(IF(Y115=0,"",ROUNDUP(Y115/H115,0)*0.01898),"")</f>
        <v>1.17676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530.12345679012344</v>
      </c>
      <c r="BN115" s="64">
        <f>IFERROR(Y115*I115/H115,"0")</f>
        <v>532.4559999999999</v>
      </c>
      <c r="BO115" s="64">
        <f>IFERROR(1/J115*(X115/H115),"0")</f>
        <v>0.96450617283950624</v>
      </c>
      <c r="BP115" s="64">
        <f>IFERROR(1/J115*(Y115/H115),"0")</f>
        <v>0.96875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675</v>
      </c>
      <c r="Y117" s="556">
        <f>IFERROR(IF(X117="",0,CEILING((X117/$H117),1)*$H117),"")</f>
        <v>675</v>
      </c>
      <c r="Z117" s="36">
        <f>IFERROR(IF(Y117=0,"",ROUNDUP(Y117/H117,0)*0.00651),"")</f>
        <v>1.6274999999999999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737.99999999999989</v>
      </c>
      <c r="BN117" s="64">
        <f>IFERROR(Y117*I117/H117,"0")</f>
        <v>737.99999999999989</v>
      </c>
      <c r="BO117" s="64">
        <f>IFERROR(1/J117*(X117/H117),"0")</f>
        <v>1.3736263736263736</v>
      </c>
      <c r="BP117" s="64">
        <f>IFERROR(1/J117*(Y117/H117),"0")</f>
        <v>1.3736263736263736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311.72839506172835</v>
      </c>
      <c r="Y119" s="557">
        <f>IFERROR(Y115/H115,"0")+IFERROR(Y116/H116,"0")+IFERROR(Y117/H117,"0")+IFERROR(Y118/H118,"0")</f>
        <v>312</v>
      </c>
      <c r="Z119" s="557">
        <f>IFERROR(IF(Z115="",0,Z115),"0")+IFERROR(IF(Z116="",0,Z116),"0")+IFERROR(IF(Z117="",0,Z117),"0")+IFERROR(IF(Z118="",0,Z118),"0")</f>
        <v>2.8042600000000002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1175</v>
      </c>
      <c r="Y120" s="557">
        <f>IFERROR(SUM(Y115:Y118),"0")</f>
        <v>1177.2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200</v>
      </c>
      <c r="Y221" s="556">
        <f t="shared" si="20"/>
        <v>201.6</v>
      </c>
      <c r="Z221" s="36">
        <f t="shared" si="25"/>
        <v>0.54683999999999999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80</v>
      </c>
      <c r="Y222" s="556">
        <f t="shared" si="20"/>
        <v>81.599999999999994</v>
      </c>
      <c r="Z222" s="36">
        <f t="shared" si="25"/>
        <v>0.22134000000000001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88.40000000000002</v>
      </c>
      <c r="BN222" s="64">
        <f t="shared" si="22"/>
        <v>90.168000000000006</v>
      </c>
      <c r="BO222" s="64">
        <f t="shared" si="23"/>
        <v>0.18315018315018317</v>
      </c>
      <c r="BP222" s="64">
        <f t="shared" si="24"/>
        <v>0.18681318681318682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116.66666666666669</v>
      </c>
      <c r="Y225" s="557">
        <f>IFERROR(Y216/H216,"0")+IFERROR(Y217/H217,"0")+IFERROR(Y218/H218,"0")+IFERROR(Y219/H219,"0")+IFERROR(Y220/H220,"0")+IFERROR(Y221/H221,"0")+IFERROR(Y222/H222,"0")+IFERROR(Y223/H223,"0")+IFERROR(Y224/H224,"0")</f>
        <v>118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0.76817999999999997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280</v>
      </c>
      <c r="Y226" s="557">
        <f>IFERROR(SUM(Y216:Y224),"0")</f>
        <v>283.2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0</v>
      </c>
      <c r="Y268" s="557">
        <f>IFERROR(Y263/H263,"0")+IFERROR(Y264/H264,"0")+IFERROR(Y265/H265,"0")+IFERROR(Y266/H266,"0")+IFERROR(Y267/H267,"0")</f>
        <v>0</v>
      </c>
      <c r="Z268" s="557">
        <f>IFERROR(IF(Z263="",0,Z263),"0")+IFERROR(IF(Z264="",0,Z264),"0")+IFERROR(IF(Z265="",0,Z265),"0")+IFERROR(IF(Z266="",0,Z266),"0")+IFERROR(IF(Z267="",0,Z267),"0")</f>
        <v>0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0</v>
      </c>
      <c r="Y269" s="557">
        <f>IFERROR(SUM(Y263:Y267),"0")</f>
        <v>0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200</v>
      </c>
      <c r="Y324" s="556">
        <f>IFERROR(IF(X324="",0,CEILING((X324/$H324),1)*$H324),"")</f>
        <v>202.79999999999998</v>
      </c>
      <c r="Z324" s="36">
        <f>IFERROR(IF(Y324=0,"",ROUNDUP(Y324/H324,0)*0.01898),"")</f>
        <v>0.49348000000000003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212.66666666666669</v>
      </c>
      <c r="BN324" s="64">
        <f>IFERROR(Y324*I324/H324,"0")</f>
        <v>215.64399999999998</v>
      </c>
      <c r="BO324" s="64">
        <f>IFERROR(1/J324*(X324/H324),"0")</f>
        <v>0.40064102564102566</v>
      </c>
      <c r="BP324" s="64">
        <f>IFERROR(1/J324*(Y324/H324),"0")</f>
        <v>0.40625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25.641025641025642</v>
      </c>
      <c r="Y326" s="557">
        <f>IFERROR(Y323/H323,"0")+IFERROR(Y324/H324,"0")+IFERROR(Y325/H325,"0")</f>
        <v>26</v>
      </c>
      <c r="Z326" s="557">
        <f>IFERROR(IF(Z323="",0,Z323),"0")+IFERROR(IF(Z324="",0,Z324),"0")+IFERROR(IF(Z325="",0,Z325),"0")</f>
        <v>0.49348000000000003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200</v>
      </c>
      <c r="Y327" s="557">
        <f>IFERROR(SUM(Y323:Y325),"0")</f>
        <v>202.79999999999998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0</v>
      </c>
      <c r="Y346" s="557">
        <f>IFERROR(Y343/H343,"0")+IFERROR(Y344/H344,"0")+IFERROR(Y345/H345,"0")</f>
        <v>0</v>
      </c>
      <c r="Z346" s="557">
        <f>IFERROR(IF(Z343="",0,Z343),"0")+IFERROR(IF(Z344="",0,Z344),"0")+IFERROR(IF(Z345="",0,Z345),"0")</f>
        <v>0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0</v>
      </c>
      <c r="Y347" s="557">
        <f>IFERROR(SUM(Y343:Y345),"0")</f>
        <v>0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3000</v>
      </c>
      <c r="Y351" s="556">
        <f t="shared" ref="Y351:Y357" si="41">IFERROR(IF(X351="",0,CEILING((X351/$H351),1)*$H351),"")</f>
        <v>3000</v>
      </c>
      <c r="Z351" s="36">
        <f>IFERROR(IF(Y351=0,"",ROUNDUP(Y351/H351,0)*0.02175),"")</f>
        <v>4.3499999999999996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3094</v>
      </c>
      <c r="BN351" s="64">
        <f t="shared" ref="BN351:BN357" si="43">IFERROR(Y351*I351/H351,"0")</f>
        <v>3094</v>
      </c>
      <c r="BO351" s="64">
        <f t="shared" ref="BO351:BO357" si="44">IFERROR(1/J351*(X351/H351),"0")</f>
        <v>4.1666666666666661</v>
      </c>
      <c r="BP351" s="64">
        <f t="shared" ref="BP351:BP357" si="45">IFERROR(1/J351*(Y351/H351),"0")</f>
        <v>4.1666666666666661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0</v>
      </c>
      <c r="Y352" s="556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3000</v>
      </c>
      <c r="Y353" s="556">
        <f t="shared" si="41"/>
        <v>3000</v>
      </c>
      <c r="Z353" s="36">
        <f>IFERROR(IF(Y353=0,"",ROUNDUP(Y353/H353,0)*0.02175),"")</f>
        <v>4.3499999999999996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3094</v>
      </c>
      <c r="BN353" s="64">
        <f t="shared" si="43"/>
        <v>3094</v>
      </c>
      <c r="BO353" s="64">
        <f t="shared" si="44"/>
        <v>4.1666666666666661</v>
      </c>
      <c r="BP353" s="64">
        <f t="shared" si="45"/>
        <v>4.1666666666666661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400</v>
      </c>
      <c r="Y358" s="557">
        <f>IFERROR(Y351/H351,"0")+IFERROR(Y352/H352,"0")+IFERROR(Y353/H353,"0")+IFERROR(Y354/H354,"0")+IFERROR(Y355/H355,"0")+IFERROR(Y356/H356,"0")+IFERROR(Y357/H357,"0")</f>
        <v>400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8.6999999999999993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6000</v>
      </c>
      <c r="Y359" s="557">
        <f>IFERROR(SUM(Y351:Y357),"0")</f>
        <v>6000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1000</v>
      </c>
      <c r="Y361" s="556">
        <f>IFERROR(IF(X361="",0,CEILING((X361/$H361),1)*$H361),"")</f>
        <v>1005</v>
      </c>
      <c r="Z361" s="36">
        <f>IFERROR(IF(Y361=0,"",ROUNDUP(Y361/H361,0)*0.02175),"")</f>
        <v>1.4572499999999999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1031.3333333333333</v>
      </c>
      <c r="BN361" s="64">
        <f>IFERROR(Y361*I361/H361,"0")</f>
        <v>1036.49</v>
      </c>
      <c r="BO361" s="64">
        <f>IFERROR(1/J361*(X361/H361),"0")</f>
        <v>1.3888888888888888</v>
      </c>
      <c r="BP361" s="64">
        <f>IFERROR(1/J361*(Y361/H361),"0")</f>
        <v>1.3958333333333333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66.666666666666671</v>
      </c>
      <c r="Y363" s="557">
        <f>IFERROR(Y361/H361,"0")+IFERROR(Y362/H362,"0")</f>
        <v>67</v>
      </c>
      <c r="Z363" s="557">
        <f>IFERROR(IF(Z361="",0,Z361),"0")+IFERROR(IF(Z362="",0,Z362),"0")</f>
        <v>1.4572499999999999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1000</v>
      </c>
      <c r="Y364" s="557">
        <f>IFERROR(SUM(Y361:Y362),"0")</f>
        <v>1005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4000</v>
      </c>
      <c r="Y386" s="556">
        <f>IFERROR(IF(X386="",0,CEILING((X386/$H386),1)*$H386),"")</f>
        <v>4005</v>
      </c>
      <c r="Z386" s="36">
        <f>IFERROR(IF(Y386=0,"",ROUNDUP(Y386/H386,0)*0.01898),"")</f>
        <v>8.4460999999999995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4219.5555555555557</v>
      </c>
      <c r="BN386" s="64">
        <f>IFERROR(Y386*I386/H386,"0")</f>
        <v>4224.83</v>
      </c>
      <c r="BO386" s="64">
        <f>IFERROR(1/J386*(X386/H386),"0")</f>
        <v>6.9444444444444446</v>
      </c>
      <c r="BP386" s="64">
        <f>IFERROR(1/J386*(Y386/H386),"0")</f>
        <v>6.953125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444.44444444444446</v>
      </c>
      <c r="Y389" s="557">
        <f>IFERROR(Y386/H386,"0")+IFERROR(Y387/H387,"0")+IFERROR(Y388/H388,"0")</f>
        <v>445</v>
      </c>
      <c r="Z389" s="557">
        <f>IFERROR(IF(Z386="",0,Z386),"0")+IFERROR(IF(Z387="",0,Z387),"0")+IFERROR(IF(Z388="",0,Z388),"0")</f>
        <v>8.4460999999999995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4000</v>
      </c>
      <c r="Y390" s="557">
        <f>IFERROR(SUM(Y386:Y388),"0")</f>
        <v>4005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0</v>
      </c>
      <c r="Y436" s="556">
        <f t="shared" si="52"/>
        <v>0</v>
      </c>
      <c r="Z436" s="36" t="str">
        <f t="shared" si="53"/>
        <v/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0</v>
      </c>
      <c r="Y443" s="557">
        <f>IFERROR(SUM(Y430:Y441),"0")</f>
        <v>0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100</v>
      </c>
      <c r="Y468" s="556">
        <f>IFERROR(IF(X468="",0,CEILING((X468/$H468),1)*$H468),"")</f>
        <v>108</v>
      </c>
      <c r="Z468" s="36">
        <f>IFERROR(IF(Y468=0,"",ROUNDUP(Y468/H468,0)*0.01898),"")</f>
        <v>0.17082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103.41666666666667</v>
      </c>
      <c r="BN468" s="64">
        <f>IFERROR(Y468*I468/H468,"0")</f>
        <v>111.69</v>
      </c>
      <c r="BO468" s="64">
        <f>IFERROR(1/J468*(X468/H468),"0")</f>
        <v>0.13020833333333334</v>
      </c>
      <c r="BP468" s="64">
        <f>IFERROR(1/J468*(Y468/H468),"0")</f>
        <v>0.140625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8.3333333333333339</v>
      </c>
      <c r="Y470" s="557">
        <f>IFERROR(Y466/H466,"0")+IFERROR(Y467/H467,"0")+IFERROR(Y468/H468,"0")+IFERROR(Y469/H469,"0")</f>
        <v>9</v>
      </c>
      <c r="Z470" s="557">
        <f>IFERROR(IF(Z466="",0,Z466),"0")+IFERROR(IF(Z467="",0,Z467),"0")+IFERROR(IF(Z468="",0,Z468),"0")+IFERROR(IF(Z469="",0,Z469),"0")</f>
        <v>0.17082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100</v>
      </c>
      <c r="Y471" s="557">
        <f>IFERROR(SUM(Y466:Y469),"0")</f>
        <v>108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300</v>
      </c>
      <c r="Y483" s="556">
        <f>IFERROR(IF(X483="",0,CEILING((X483/$H483),1)*$H483),"")</f>
        <v>306</v>
      </c>
      <c r="Z483" s="36">
        <f>IFERROR(IF(Y483=0,"",ROUNDUP(Y483/H483,0)*0.01898),"")</f>
        <v>0.64532</v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316.46666666666664</v>
      </c>
      <c r="BN483" s="64">
        <f>IFERROR(Y483*I483/H483,"0")</f>
        <v>322.79599999999999</v>
      </c>
      <c r="BO483" s="64">
        <f>IFERROR(1/J483*(X483/H483),"0")</f>
        <v>0.52083333333333337</v>
      </c>
      <c r="BP483" s="64">
        <f>IFERROR(1/J483*(Y483/H483),"0")</f>
        <v>0.53125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33.333333333333336</v>
      </c>
      <c r="Y484" s="557">
        <f>IFERROR(Y483/H483,"0")</f>
        <v>34</v>
      </c>
      <c r="Z484" s="557">
        <f>IFERROR(IF(Z483="",0,Z483),"0")</f>
        <v>0.64532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300</v>
      </c>
      <c r="Y485" s="557">
        <f>IFERROR(SUM(Y483:Y483),"0")</f>
        <v>306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15480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15533.4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16189.993209876544</v>
      </c>
      <c r="Y497" s="557">
        <f>IFERROR(SUM(BN22:BN493),"0")</f>
        <v>16246.028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25</v>
      </c>
      <c r="Y498" s="38">
        <f>ROUNDUP(SUM(BP22:BP493),0)</f>
        <v>25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16814.993209876542</v>
      </c>
      <c r="Y499" s="557">
        <f>GrossWeightTotalR+PalletQtyTotalR*25</f>
        <v>16871.027999999998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1709.2830009496674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1716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28.226829999999996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507.6</v>
      </c>
      <c r="E506" s="46">
        <f>IFERROR(Y85*1,"0")+IFERROR(Y86*1,"0")+IFERROR(Y87*1,"0")+IFERROR(Y88*1,"0")+IFERROR(Y92*1,"0")+IFERROR(Y93*1,"0")+IFERROR(Y94*1,"0")+IFERROR(Y95*1,"0")</f>
        <v>1733.4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1382.4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283.2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202.79999999999998</v>
      </c>
      <c r="R506" s="46">
        <f>IFERROR(Y343*1,"0")+IFERROR(Y344*1,"0")+IFERROR(Y345*1,"0")</f>
        <v>0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7005</v>
      </c>
      <c r="T506" s="46">
        <f>IFERROR(Y376*1,"0")+IFERROR(Y377*1,"0")+IFERROR(Y381*1,"0")+IFERROR(Y382*1,"0")+IFERROR(Y386*1,"0")+IFERROR(Y387*1,"0")+IFERROR(Y388*1,"0")</f>
        <v>4005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0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414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2025-12-26T09:46:48Z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