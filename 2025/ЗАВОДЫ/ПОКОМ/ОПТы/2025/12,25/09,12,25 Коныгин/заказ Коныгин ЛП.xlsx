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9,12,25 Коныгин\"/>
    </mc:Choice>
  </mc:AlternateContent>
  <xr:revisionPtr revIDLastSave="0" documentId="13_ncr:1_{1ADA8B00-2DB2-4D16-ADCA-7C888FCBABE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H10" i="1"/>
  <c r="F10" i="1"/>
  <c r="J9" i="1"/>
  <c r="F9" i="1"/>
  <c r="A9" i="1"/>
  <c r="A10" i="1" s="1"/>
  <c r="D7" i="1"/>
  <c r="Q6" i="1"/>
  <c r="P2" i="1"/>
  <c r="Z360" i="1" l="1"/>
  <c r="Y24" i="1"/>
  <c r="Y32" i="1"/>
  <c r="Y44" i="1"/>
  <c r="Y59" i="1"/>
  <c r="Y65" i="1"/>
  <c r="Y70" i="1"/>
  <c r="BP74" i="1"/>
  <c r="BN74" i="1"/>
  <c r="Z74" i="1"/>
  <c r="Z89" i="1"/>
  <c r="BP87" i="1"/>
  <c r="BN87" i="1"/>
  <c r="Z87" i="1"/>
  <c r="BP95" i="1"/>
  <c r="BN95" i="1"/>
  <c r="Z95" i="1"/>
  <c r="Y97" i="1"/>
  <c r="F501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Z204" i="1" s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Z312" i="1" s="1"/>
  <c r="Y312" i="1"/>
  <c r="Z318" i="1"/>
  <c r="BP316" i="1"/>
  <c r="BN316" i="1"/>
  <c r="Z316" i="1"/>
  <c r="Y318" i="1"/>
  <c r="D501" i="1"/>
  <c r="H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Z77" i="1" s="1"/>
  <c r="Y78" i="1"/>
  <c r="Y83" i="1"/>
  <c r="BP80" i="1"/>
  <c r="BN80" i="1"/>
  <c r="Z80" i="1"/>
  <c r="Z82" i="1" s="1"/>
  <c r="Y89" i="1"/>
  <c r="BP93" i="1"/>
  <c r="BN93" i="1"/>
  <c r="Z93" i="1"/>
  <c r="BP102" i="1"/>
  <c r="BN102" i="1"/>
  <c r="Z102" i="1"/>
  <c r="Y111" i="1"/>
  <c r="Y110" i="1"/>
  <c r="BP114" i="1"/>
  <c r="BN114" i="1"/>
  <c r="Z114" i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Z286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Z375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Z464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Z235" i="1" s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Z449" i="1" s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Y470" i="1"/>
  <c r="BP467" i="1"/>
  <c r="BN467" i="1"/>
  <c r="Z467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395" i="1" l="1"/>
  <c r="Z331" i="1"/>
  <c r="Z216" i="1"/>
  <c r="Z434" i="1"/>
  <c r="Z350" i="1"/>
  <c r="Y492" i="1"/>
  <c r="Z104" i="1"/>
  <c r="Z470" i="1"/>
  <c r="Z338" i="1"/>
  <c r="Z296" i="1"/>
  <c r="Z172" i="1"/>
  <c r="Z117" i="1"/>
  <c r="Z96" i="1"/>
  <c r="Z70" i="1"/>
  <c r="Z496" i="1" s="1"/>
  <c r="Y491" i="1"/>
  <c r="Y493" i="1"/>
  <c r="Z149" i="1"/>
  <c r="Y495" i="1"/>
  <c r="Y494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<sst xmlns="http://schemas.openxmlformats.org/spreadsheetml/2006/main" count="2352" uniqueCount="768">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</sst>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200</v>
      </c>
      <c r="Y41" s="546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18.518518518518519</v>
      </c>
      <c r="Y44" s="547">
        <f>IFERROR(Y41/H41,"0")+IFERROR(Y42/H42,"0")+IFERROR(Y43/H43,"0")</f>
        <v>19</v>
      </c>
      <c r="Z44" s="547">
        <f>IFERROR(IF(Z41="",0,Z41),"0")+IFERROR(IF(Z42="",0,Z42),"0")+IFERROR(IF(Z43="",0,Z43),"0")</f>
        <v>0.36062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200</v>
      </c>
      <c r="Y45" s="547">
        <f>IFERROR(SUM(Y41:Y43),"0")</f>
        <v>205.20000000000002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100</v>
      </c>
      <c r="Y61" s="54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9.2592592592592595</v>
      </c>
      <c r="Y64" s="547">
        <f>IFERROR(Y61/H61,"0")+IFERROR(Y62/H62,"0")+IFERROR(Y63/H63,"0")</f>
        <v>10</v>
      </c>
      <c r="Z64" s="547">
        <f>IFERROR(IF(Z61="",0,Z61),"0")+IFERROR(IF(Z62="",0,Z62),"0")+IFERROR(IF(Z63="",0,Z63),"0")</f>
        <v>0.1898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100</v>
      </c>
      <c r="Y65" s="547">
        <f>IFERROR(SUM(Y61:Y63),"0")</f>
        <v>108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150</v>
      </c>
      <c r="Y86" s="54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155.69444444444446</v>
      </c>
      <c r="BN86" s="64">
        <f>IFERROR(Y86*I86/H86,"0")</f>
        <v>156.94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13.888888888888888</v>
      </c>
      <c r="Y89" s="547">
        <f>IFERROR(Y86/H86,"0")+IFERROR(Y87/H87,"0")+IFERROR(Y88/H88,"0")</f>
        <v>14</v>
      </c>
      <c r="Z89" s="547">
        <f>IFERROR(IF(Z86="",0,Z86),"0")+IFERROR(IF(Z87="",0,Z87),"0")+IFERROR(IF(Z88="",0,Z88),"0")</f>
        <v>0.26572000000000001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150</v>
      </c>
      <c r="Y90" s="547">
        <f>IFERROR(SUM(Y86:Y88),"0")</f>
        <v>151.20000000000002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50</v>
      </c>
      <c r="Y92" s="546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53.049382716049386</v>
      </c>
      <c r="BN92" s="64">
        <f>IFERROR(Y92*I92/H92,"0")</f>
        <v>60.157999999999994</v>
      </c>
      <c r="BO92" s="64">
        <f>IFERROR(1/J92*(X92/H92),"0")</f>
        <v>9.6450617283950615E-2</v>
      </c>
      <c r="BP92" s="64">
        <f>IFERROR(1/J92*(Y92/H92),"0")</f>
        <v>0.109375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6.1728395061728394</v>
      </c>
      <c r="Y96" s="547">
        <f>IFERROR(Y92/H92,"0")+IFERROR(Y93/H93,"0")+IFERROR(Y94/H94,"0")+IFERROR(Y95/H95,"0")</f>
        <v>7</v>
      </c>
      <c r="Z96" s="547">
        <f>IFERROR(IF(Z92="",0,Z92),"0")+IFERROR(IF(Z93="",0,Z93),"0")+IFERROR(IF(Z94="",0,Z94),"0")+IFERROR(IF(Z95="",0,Z95),"0")</f>
        <v>0.13286000000000001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50</v>
      </c>
      <c r="Y97" s="547">
        <f>IFERROR(SUM(Y92:Y95),"0")</f>
        <v>56.699999999999996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0</v>
      </c>
      <c r="Y117" s="547">
        <f>IFERROR(Y113/H113,"0")+IFERROR(Y114/H114,"0")+IFERROR(Y115/H115,"0")+IFERROR(Y116/H116,"0")</f>
        <v>0</v>
      </c>
      <c r="Z117" s="547">
        <f>IFERROR(IF(Z113="",0,Z113),"0")+IFERROR(IF(Z114="",0,Z114),"0")+IFERROR(IF(Z115="",0,Z115),"0")+IFERROR(IF(Z116="",0,Z116),"0")</f>
        <v>0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0</v>
      </c>
      <c r="Y118" s="547">
        <f>IFERROR(SUM(Y113:Y116),"0")</f>
        <v>0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300</v>
      </c>
      <c r="Y293" s="546">
        <f t="shared" si="26"/>
        <v>302.40000000000003</v>
      </c>
      <c r="Z293" s="36">
        <f>IFERROR(IF(Y293=0,"",ROUNDUP(Y293/H293,0)*0.01898),"")</f>
        <v>0.53144000000000002</v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311.38888888888891</v>
      </c>
      <c r="BN293" s="64">
        <f t="shared" si="28"/>
        <v>313.88</v>
      </c>
      <c r="BO293" s="64">
        <f t="shared" si="29"/>
        <v>0.43402777777777773</v>
      </c>
      <c r="BP293" s="64">
        <f t="shared" si="30"/>
        <v>0.4375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27.777777777777775</v>
      </c>
      <c r="Y296" s="547">
        <f>IFERROR(Y290/H290,"0")+IFERROR(Y291/H291,"0")+IFERROR(Y292/H292,"0")+IFERROR(Y293/H293,"0")+IFERROR(Y294/H294,"0")+IFERROR(Y295/H295,"0")</f>
        <v>28</v>
      </c>
      <c r="Z296" s="547">
        <f>IFERROR(IF(Z290="",0,Z290),"0")+IFERROR(IF(Z291="",0,Z291),"0")+IFERROR(IF(Z292="",0,Z292),"0")+IFERROR(IF(Z293="",0,Z293),"0")+IFERROR(IF(Z294="",0,Z294),"0")+IFERROR(IF(Z295="",0,Z295),"0")</f>
        <v>0.53144000000000002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300</v>
      </c>
      <c r="Y297" s="547">
        <f>IFERROR(SUM(Y290:Y295),"0")</f>
        <v>302.40000000000003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190</v>
      </c>
      <c r="Y299" s="546">
        <f t="shared" ref="Y299:Y304" si="31">IFERROR(IF(X299="",0,CEILING((X299/$H299),1)*$H299),"")</f>
        <v>193.20000000000002</v>
      </c>
      <c r="Z299" s="36">
        <f>IFERROR(IF(Y299=0,"",ROUNDUP(Y299/H299,0)*0.00902),"")</f>
        <v>0.41492000000000001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201.3095238095238</v>
      </c>
      <c r="BN299" s="64">
        <f t="shared" ref="BN299:BN304" si="33">IFERROR(Y299*I299/H299,"0")</f>
        <v>204.70000000000002</v>
      </c>
      <c r="BO299" s="64">
        <f t="shared" ref="BO299:BO304" si="34">IFERROR(1/J299*(X299/H299),"0")</f>
        <v>0.34271284271284269</v>
      </c>
      <c r="BP299" s="64">
        <f t="shared" ref="BP299:BP304" si="35">IFERROR(1/J299*(Y299/H299),"0")</f>
        <v>0.34848484848484851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200</v>
      </c>
      <c r="Y300" s="546">
        <f t="shared" si="31"/>
        <v>201.60000000000002</v>
      </c>
      <c r="Z300" s="36">
        <f>IFERROR(IF(Y300=0,"",ROUNDUP(Y300/H300,0)*0.00902),"")</f>
        <v>0.43296000000000001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211.9047619047619</v>
      </c>
      <c r="BN300" s="64">
        <f t="shared" si="33"/>
        <v>213.60000000000002</v>
      </c>
      <c r="BO300" s="64">
        <f t="shared" si="34"/>
        <v>0.36075036075036077</v>
      </c>
      <c r="BP300" s="64">
        <f t="shared" si="35"/>
        <v>0.36363636363636365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92.857142857142861</v>
      </c>
      <c r="Y305" s="547">
        <f>IFERROR(Y299/H299,"0")+IFERROR(Y300/H300,"0")+IFERROR(Y301/H301,"0")+IFERROR(Y302/H302,"0")+IFERROR(Y303/H303,"0")+IFERROR(Y304/H304,"0")</f>
        <v>94</v>
      </c>
      <c r="Z305" s="547">
        <f>IFERROR(IF(Z299="",0,Z299),"0")+IFERROR(IF(Z300="",0,Z300),"0")+IFERROR(IF(Z301="",0,Z301),"0")+IFERROR(IF(Z302="",0,Z302),"0")+IFERROR(IF(Z303="",0,Z303),"0")+IFERROR(IF(Z304="",0,Z304),"0")</f>
        <v>0.84787999999999997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390</v>
      </c>
      <c r="Y306" s="547">
        <f>IFERROR(SUM(Y299:Y304),"0")</f>
        <v>394.80000000000007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600</v>
      </c>
      <c r="Y308" s="546">
        <f>IFERROR(IF(X308="",0,CEILING((X308/$H308),1)*$H308),"")</f>
        <v>600.6</v>
      </c>
      <c r="Z308" s="36">
        <f>IFERROR(IF(Y308=0,"",ROUNDUP(Y308/H308,0)*0.01898),"")</f>
        <v>1.46146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637.53846153846155</v>
      </c>
      <c r="BN308" s="64">
        <f>IFERROR(Y308*I308/H308,"0")</f>
        <v>638.17600000000004</v>
      </c>
      <c r="BO308" s="64">
        <f>IFERROR(1/J308*(X308/H308),"0")</f>
        <v>1.2019230769230769</v>
      </c>
      <c r="BP308" s="64">
        <f>IFERROR(1/J308*(Y308/H308),"0")</f>
        <v>1.203125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76.92307692307692</v>
      </c>
      <c r="Y312" s="547">
        <f>IFERROR(Y308/H308,"0")+IFERROR(Y309/H309,"0")+IFERROR(Y310/H310,"0")+IFERROR(Y311/H311,"0")</f>
        <v>77</v>
      </c>
      <c r="Z312" s="547">
        <f>IFERROR(IF(Z308="",0,Z308),"0")+IFERROR(IF(Z309="",0,Z309),"0")+IFERROR(IF(Z310="",0,Z310),"0")+IFERROR(IF(Z311="",0,Z311),"0")</f>
        <v>1.46146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600</v>
      </c>
      <c r="Y313" s="547">
        <f>IFERROR(SUM(Y308:Y311),"0")</f>
        <v>600.6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6</v>
      </c>
      <c r="Y321" s="546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6.5328947368421053</v>
      </c>
      <c r="BN321" s="64">
        <f>IFERROR(Y321*I321/H321,"0")</f>
        <v>6.62</v>
      </c>
      <c r="BO321" s="64">
        <f>IFERROR(1/J321*(X321/H321),"0")</f>
        <v>1.4952153110047847E-2</v>
      </c>
      <c r="BP321" s="64">
        <f>IFERROR(1/J321*(Y321/H321),"0")</f>
        <v>1.5151515151515152E-2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15</v>
      </c>
      <c r="Y322" s="546">
        <f>IFERROR(IF(X322="",0,CEILING((X322/$H322),1)*$H322),"")</f>
        <v>15.2</v>
      </c>
      <c r="Z322" s="36">
        <f>IFERROR(IF(Y322=0,"",ROUNDUP(Y322/H322,0)*0.00902),"")</f>
        <v>4.5100000000000001E-2</v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16.13486842105263</v>
      </c>
      <c r="BN322" s="64">
        <f>IFERROR(Y322*I322/H322,"0")</f>
        <v>16.350000000000001</v>
      </c>
      <c r="BO322" s="64">
        <f>IFERROR(1/J322*(X322/H322),"0")</f>
        <v>3.7380382775119618E-2</v>
      </c>
      <c r="BP322" s="64">
        <f>IFERROR(1/J322*(Y322/H322),"0")</f>
        <v>3.787878787878788E-2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6.9078947368421053</v>
      </c>
      <c r="Y325" s="547">
        <f>IFERROR(Y321/H321,"0")+IFERROR(Y322/H322,"0")+IFERROR(Y323/H323,"0")+IFERROR(Y324/H324,"0")</f>
        <v>7</v>
      </c>
      <c r="Z325" s="547">
        <f>IFERROR(IF(Z321="",0,Z321),"0")+IFERROR(IF(Z322="",0,Z322),"0")+IFERROR(IF(Z323="",0,Z323),"0")+IFERROR(IF(Z324="",0,Z324),"0")</f>
        <v>6.3140000000000002E-2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21</v>
      </c>
      <c r="Y326" s="547">
        <f>IFERROR(SUM(Y321:Y324),"0")</f>
        <v>21.28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100</v>
      </c>
      <c r="Y335" s="546">
        <f>IFERROR(IF(X335="",0,CEILING((X335/$H335),1)*$H335),"")</f>
        <v>105.3</v>
      </c>
      <c r="Z335" s="36">
        <f>IFERROR(IF(Y335=0,"",ROUNDUP(Y335/H335,0)*0.01898),"")</f>
        <v>0.24674000000000001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106.09876543209877</v>
      </c>
      <c r="BN335" s="64">
        <f>IFERROR(Y335*I335/H335,"0")</f>
        <v>111.72199999999999</v>
      </c>
      <c r="BO335" s="64">
        <f>IFERROR(1/J335*(X335/H335),"0")</f>
        <v>0.19290123456790123</v>
      </c>
      <c r="BP335" s="64">
        <f>IFERROR(1/J335*(Y335/H335),"0")</f>
        <v>0.203125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12.345679012345679</v>
      </c>
      <c r="Y338" s="547">
        <f>IFERROR(Y335/H335,"0")+IFERROR(Y336/H336,"0")+IFERROR(Y337/H337,"0")</f>
        <v>13</v>
      </c>
      <c r="Z338" s="547">
        <f>IFERROR(IF(Z335="",0,Z335),"0")+IFERROR(IF(Z336="",0,Z336),"0")+IFERROR(IF(Z337="",0,Z337),"0")</f>
        <v>0.24674000000000001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100</v>
      </c>
      <c r="Y339" s="547">
        <f>IFERROR(SUM(Y335:Y337),"0")</f>
        <v>105.3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180</v>
      </c>
      <c r="Y343" s="546">
        <f t="shared" ref="Y343:Y349" si="36">IFERROR(IF(X343="",0,CEILING((X343/$H343),1)*$H343),"")</f>
        <v>180</v>
      </c>
      <c r="Z343" s="36">
        <f>IFERROR(IF(Y343=0,"",ROUNDUP(Y343/H343,0)*0.02175),"")</f>
        <v>0.26100000000000001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185.64</v>
      </c>
      <c r="BN343" s="64">
        <f t="shared" ref="BN343:BN349" si="38">IFERROR(Y343*I343/H343,"0")</f>
        <v>185.64</v>
      </c>
      <c r="BO343" s="64">
        <f t="shared" ref="BO343:BO349" si="39">IFERROR(1/J343*(X343/H343),"0")</f>
        <v>0.25</v>
      </c>
      <c r="BP343" s="64">
        <f t="shared" ref="BP343:BP349" si="40">IFERROR(1/J343*(Y343/H343),"0")</f>
        <v>0.25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150</v>
      </c>
      <c r="Y344" s="546">
        <f t="shared" si="36"/>
        <v>150</v>
      </c>
      <c r="Z344" s="36">
        <f>IFERROR(IF(Y344=0,"",ROUNDUP(Y344/H344,0)*0.02175),"")</f>
        <v>0.21749999999999997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154.69999999999999</v>
      </c>
      <c r="BN344" s="64">
        <f t="shared" si="38"/>
        <v>154.69999999999999</v>
      </c>
      <c r="BO344" s="64">
        <f t="shared" si="39"/>
        <v>0.20833333333333331</v>
      </c>
      <c r="BP344" s="64">
        <f t="shared" si="40"/>
        <v>0.20833333333333331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600</v>
      </c>
      <c r="Y346" s="546">
        <f t="shared" si="36"/>
        <v>600</v>
      </c>
      <c r="Z346" s="36">
        <f>IFERROR(IF(Y346=0,"",ROUNDUP(Y346/H346,0)*0.02175),"")</f>
        <v>0.86999999999999988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618.79999999999995</v>
      </c>
      <c r="BN346" s="64">
        <f t="shared" si="38"/>
        <v>618.79999999999995</v>
      </c>
      <c r="BO346" s="64">
        <f t="shared" si="39"/>
        <v>0.83333333333333326</v>
      </c>
      <c r="BP346" s="64">
        <f t="shared" si="40"/>
        <v>0.83333333333333326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62</v>
      </c>
      <c r="Y350" s="547">
        <f>IFERROR(Y343/H343,"0")+IFERROR(Y344/H344,"0")+IFERROR(Y345/H345,"0")+IFERROR(Y346/H346,"0")+IFERROR(Y347/H347,"0")+IFERROR(Y348/H348,"0")+IFERROR(Y349/H349,"0")</f>
        <v>62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1.3484999999999998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930</v>
      </c>
      <c r="Y351" s="547">
        <f>IFERROR(SUM(Y343:Y349),"0")</f>
        <v>930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900</v>
      </c>
      <c r="Y353" s="546">
        <f>IFERROR(IF(X353="",0,CEILING((X353/$H353),1)*$H353),"")</f>
        <v>900</v>
      </c>
      <c r="Z353" s="36">
        <f>IFERROR(IF(Y353=0,"",ROUNDUP(Y353/H353,0)*0.02175),"")</f>
        <v>1.3049999999999999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928.2</v>
      </c>
      <c r="BN353" s="64">
        <f>IFERROR(Y353*I353/H353,"0")</f>
        <v>928.2</v>
      </c>
      <c r="BO353" s="64">
        <f>IFERROR(1/J353*(X353/H353),"0")</f>
        <v>1.25</v>
      </c>
      <c r="BP353" s="64">
        <f>IFERROR(1/J353*(Y353/H353),"0")</f>
        <v>1.25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60</v>
      </c>
      <c r="Y355" s="547">
        <f>IFERROR(Y353/H353,"0")+IFERROR(Y354/H354,"0")</f>
        <v>60</v>
      </c>
      <c r="Z355" s="547">
        <f>IFERROR(IF(Z353="",0,Z353),"0")+IFERROR(IF(Z354="",0,Z354),"0")</f>
        <v>1.3049999999999999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900</v>
      </c>
      <c r="Y356" s="547">
        <f>IFERROR(SUM(Y353:Y354),"0")</f>
        <v>900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300</v>
      </c>
      <c r="Y378" s="546">
        <f>IFERROR(IF(X378="",0,CEILING((X378/$H378),1)*$H378),"")</f>
        <v>306</v>
      </c>
      <c r="Z378" s="36">
        <f>IFERROR(IF(Y378=0,"",ROUNDUP(Y378/H378,0)*0.01898),"")</f>
        <v>0.64532</v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316.46666666666664</v>
      </c>
      <c r="BN378" s="64">
        <f>IFERROR(Y378*I378/H378,"0")</f>
        <v>322.79599999999999</v>
      </c>
      <c r="BO378" s="64">
        <f>IFERROR(1/J378*(X378/H378),"0")</f>
        <v>0.52083333333333337</v>
      </c>
      <c r="BP378" s="64">
        <f>IFERROR(1/J378*(Y378/H378),"0")</f>
        <v>0.53125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33.333333333333336</v>
      </c>
      <c r="Y381" s="547">
        <f>IFERROR(Y378/H378,"0")+IFERROR(Y379/H379,"0")+IFERROR(Y380/H380,"0")</f>
        <v>34</v>
      </c>
      <c r="Z381" s="547">
        <f>IFERROR(IF(Z378="",0,Z378),"0")+IFERROR(IF(Z379="",0,Z379),"0")+IFERROR(IF(Z380="",0,Z380),"0")</f>
        <v>0.64532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300</v>
      </c>
      <c r="Y382" s="547">
        <f>IFERROR(SUM(Y378:Y380),"0")</f>
        <v>306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200</v>
      </c>
      <c r="Y426" s="546">
        <f t="shared" si="47"/>
        <v>200.64000000000001</v>
      </c>
      <c r="Z426" s="36">
        <f t="shared" si="48"/>
        <v>0.45448</v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213.25757575757575</v>
      </c>
      <c r="BN426" s="64">
        <f t="shared" si="50"/>
        <v>213.94</v>
      </c>
      <c r="BO426" s="64">
        <f t="shared" si="51"/>
        <v>0.36421911421911418</v>
      </c>
      <c r="BP426" s="64">
        <f t="shared" si="52"/>
        <v>0.36538461538461542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50</v>
      </c>
      <c r="Y428" s="546">
        <f t="shared" si="47"/>
        <v>52.800000000000004</v>
      </c>
      <c r="Z428" s="36">
        <f t="shared" si="48"/>
        <v>0.1196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53.314393939393938</v>
      </c>
      <c r="BN428" s="64">
        <f t="shared" si="50"/>
        <v>56.3</v>
      </c>
      <c r="BO428" s="64">
        <f t="shared" si="51"/>
        <v>9.1054778554778545E-2</v>
      </c>
      <c r="BP428" s="64">
        <f t="shared" si="52"/>
        <v>9.6153846153846159E-2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47.348484848484844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48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0.57408000000000003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250</v>
      </c>
      <c r="Y435" s="547">
        <f>IFERROR(SUM(Y422:Y433),"0")</f>
        <v>253.44000000000003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340</v>
      </c>
      <c r="Y437" s="546">
        <f>IFERROR(IF(X437="",0,CEILING((X437/$H437),1)*$H437),"")</f>
        <v>343.2</v>
      </c>
      <c r="Z437" s="36">
        <f>IFERROR(IF(Y437=0,"",ROUNDUP(Y437/H437,0)*0.01196),"")</f>
        <v>0.77739999999999998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362.53787878787875</v>
      </c>
      <c r="BN437" s="64">
        <f>IFERROR(Y437*I437/H437,"0")</f>
        <v>365.95</v>
      </c>
      <c r="BO437" s="64">
        <f>IFERROR(1/J437*(X437/H437),"0")</f>
        <v>0.6191724941724942</v>
      </c>
      <c r="BP437" s="64">
        <f>IFERROR(1/J437*(Y437/H437),"0")</f>
        <v>0.625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64.393939393939391</v>
      </c>
      <c r="Y440" s="547">
        <f>IFERROR(Y437/H437,"0")+IFERROR(Y438/H438,"0")+IFERROR(Y439/H439,"0")</f>
        <v>65</v>
      </c>
      <c r="Z440" s="547">
        <f>IFERROR(IF(Z437="",0,Z437),"0")+IFERROR(IF(Z438="",0,Z438),"0")+IFERROR(IF(Z439="",0,Z439),"0")</f>
        <v>0.77739999999999998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340</v>
      </c>
      <c r="Y441" s="547">
        <f>IFERROR(SUM(Y437:Y439),"0")</f>
        <v>343.2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50</v>
      </c>
      <c r="Y443" s="546">
        <f t="shared" ref="Y443:Y448" si="53">IFERROR(IF(X443="",0,CEILING((X443/$H443),1)*$H443),"")</f>
        <v>52.800000000000004</v>
      </c>
      <c r="Z443" s="36">
        <f>IFERROR(IF(Y443=0,"",ROUNDUP(Y443/H443,0)*0.01196),"")</f>
        <v>0.1196</v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53.314393939393938</v>
      </c>
      <c r="BN443" s="64">
        <f t="shared" ref="BN443:BN448" si="55">IFERROR(Y443*I443/H443,"0")</f>
        <v>56.3</v>
      </c>
      <c r="BO443" s="64">
        <f t="shared" ref="BO443:BO448" si="56">IFERROR(1/J443*(X443/H443),"0")</f>
        <v>9.1054778554778545E-2</v>
      </c>
      <c r="BP443" s="64">
        <f t="shared" ref="BP443:BP448" si="57">IFERROR(1/J443*(Y443/H443),"0")</f>
        <v>9.6153846153846159E-2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20</v>
      </c>
      <c r="Y445" s="546">
        <f t="shared" si="53"/>
        <v>21.12</v>
      </c>
      <c r="Z445" s="36">
        <f>IFERROR(IF(Y445=0,"",ROUNDUP(Y445/H445,0)*0.01196),"")</f>
        <v>4.7840000000000001E-2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21.325757575757574</v>
      </c>
      <c r="BN445" s="64">
        <f t="shared" si="55"/>
        <v>22.52</v>
      </c>
      <c r="BO445" s="64">
        <f t="shared" si="56"/>
        <v>3.6421911421911424E-2</v>
      </c>
      <c r="BP445" s="64">
        <f t="shared" si="57"/>
        <v>3.8461538461538464E-2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13.257575757575756</v>
      </c>
      <c r="Y449" s="547">
        <f>IFERROR(Y443/H443,"0")+IFERROR(Y444/H444,"0")+IFERROR(Y445/H445,"0")+IFERROR(Y446/H446,"0")+IFERROR(Y447/H447,"0")+IFERROR(Y448/H448,"0")</f>
        <v>14</v>
      </c>
      <c r="Z449" s="547">
        <f>IFERROR(IF(Z443="",0,Z443),"0")+IFERROR(IF(Z444="",0,Z444),"0")+IFERROR(IF(Z445="",0,Z445),"0")+IFERROR(IF(Z446="",0,Z446),"0")+IFERROR(IF(Z447="",0,Z447),"0")+IFERROR(IF(Z448="",0,Z448),"0")</f>
        <v>0.16744000000000001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70</v>
      </c>
      <c r="Y450" s="547">
        <f>IFERROR(SUM(Y443:Y448),"0")</f>
        <v>73.92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24</v>
      </c>
      <c r="Y462" s="546">
        <f>IFERROR(IF(X462="",0,CEILING((X462/$H462),1)*$H462),"")</f>
        <v>24</v>
      </c>
      <c r="Z462" s="36">
        <f>IFERROR(IF(Y462=0,"",ROUNDUP(Y462/H462,0)*0.01898),"")</f>
        <v>3.7960000000000001E-2</v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24.820000000000004</v>
      </c>
      <c r="BN462" s="64">
        <f>IFERROR(Y462*I462/H462,"0")</f>
        <v>24.820000000000004</v>
      </c>
      <c r="BO462" s="64">
        <f>IFERROR(1/J462*(X462/H462),"0")</f>
        <v>3.125E-2</v>
      </c>
      <c r="BP462" s="64">
        <f>IFERROR(1/J462*(Y462/H462),"0")</f>
        <v>3.125E-2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2</v>
      </c>
      <c r="Y464" s="547">
        <f>IFERROR(Y460/H460,"0")+IFERROR(Y461/H461,"0")+IFERROR(Y462/H462,"0")+IFERROR(Y463/H463,"0")</f>
        <v>2</v>
      </c>
      <c r="Z464" s="547">
        <f>IFERROR(IF(Z460="",0,Z460),"0")+IFERROR(IF(Z461="",0,Z461),"0")+IFERROR(IF(Z462="",0,Z462),"0")+IFERROR(IF(Z463="",0,Z463),"0")</f>
        <v>3.7960000000000001E-2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24</v>
      </c>
      <c r="Y465" s="547">
        <f>IFERROR(SUM(Y460:Y463),"0")</f>
        <v>24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25</v>
      </c>
      <c r="Y474" s="546">
        <f>IFERROR(IF(X474="",0,CEILING((X474/$H474),1)*$H474),"")</f>
        <v>25.200000000000003</v>
      </c>
      <c r="Z474" s="36">
        <f>IFERROR(IF(Y474=0,"",ROUNDUP(Y474/H474,0)*0.00902),"")</f>
        <v>5.4120000000000001E-2</v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26.488095238095237</v>
      </c>
      <c r="BN474" s="64">
        <f>IFERROR(Y474*I474/H474,"0")</f>
        <v>26.700000000000003</v>
      </c>
      <c r="BO474" s="64">
        <f>IFERROR(1/J474*(X474/H474),"0")</f>
        <v>4.5093795093795096E-2</v>
      </c>
      <c r="BP474" s="64">
        <f>IFERROR(1/J474*(Y474/H474),"0")</f>
        <v>4.5454545454545456E-2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5.9523809523809526</v>
      </c>
      <c r="Y475" s="547">
        <f>IFERROR(Y473/H473,"0")+IFERROR(Y474/H474,"0")</f>
        <v>6</v>
      </c>
      <c r="Z475" s="547">
        <f>IFERROR(IF(Z473="",0,Z473),"0")+IFERROR(IF(Z474="",0,Z474),"0")</f>
        <v>5.4120000000000001E-2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25</v>
      </c>
      <c r="Y476" s="547">
        <f>IFERROR(SUM(Y473:Y474),"0")</f>
        <v>25.200000000000003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4750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4801.24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4969.9056426857742</v>
      </c>
      <c r="Y492" s="547">
        <f>IFERROR(SUM(BN22:BN488),"0")</f>
        <v>5023.9019999999991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8</v>
      </c>
      <c r="Y493" s="38">
        <f>ROUNDUP(SUM(BP22:BP488),0)</f>
        <v>8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5169.9056426857742</v>
      </c>
      <c r="Y494" s="547">
        <f>GrossWeightTotalR+PalletQtyTotalR*25</f>
        <v>5223.9019999999991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552.93679176573914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560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9.0094799999999982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205.20000000000002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108</v>
      </c>
      <c r="E501" s="46">
        <f>IFERROR(Y86*1,"0")+IFERROR(Y87*1,"0")+IFERROR(Y88*1,"0")+IFERROR(Y92*1,"0")+IFERROR(Y93*1,"0")+IFERROR(Y94*1,"0")+IFERROR(Y95*1,"0")</f>
        <v>207.9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1319.0800000000002</v>
      </c>
      <c r="R501" s="46">
        <f>IFERROR(Y335*1,"0")+IFERROR(Y336*1,"0")+IFERROR(Y337*1,"0")</f>
        <v>105.3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1830</v>
      </c>
      <c r="T501" s="46">
        <f>IFERROR(Y368*1,"0")+IFERROR(Y369*1,"0")+IFERROR(Y373*1,"0")+IFERROR(Y374*1,"0")+IFERROR(Y378*1,"0")+IFERROR(Y379*1,"0")+IFERROR(Y380*1,"0")</f>
        <v>306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670.56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49.2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2025-12-09T08:15:48Z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