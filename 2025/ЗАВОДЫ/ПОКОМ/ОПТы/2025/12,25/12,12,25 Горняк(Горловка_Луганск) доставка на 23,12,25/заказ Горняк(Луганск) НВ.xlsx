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5F86254-3C67-4B55-AA38-214C93C553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502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U502" i="1" s="1"/>
  <c r="P391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T502" i="1" s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5" i="1" s="1"/>
  <c r="P348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R502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Q502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2" i="1" s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502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5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2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X496" i="1" s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4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502" i="1"/>
  <c r="Y266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02" i="1"/>
  <c r="Z42" i="1"/>
  <c r="Z44" i="1" s="1"/>
  <c r="BN42" i="1"/>
  <c r="Y45" i="1"/>
  <c r="D502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2" i="1"/>
  <c r="Z86" i="1"/>
  <c r="Z89" i="1" s="1"/>
  <c r="BN86" i="1"/>
  <c r="Z88" i="1"/>
  <c r="BN88" i="1"/>
  <c r="Y89" i="1"/>
  <c r="Z92" i="1"/>
  <c r="BN92" i="1"/>
  <c r="BP92" i="1"/>
  <c r="Z94" i="1"/>
  <c r="BN94" i="1"/>
  <c r="F502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2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8" i="1"/>
  <c r="Z154" i="1" s="1"/>
  <c r="BN148" i="1"/>
  <c r="BP148" i="1"/>
  <c r="Z149" i="1"/>
  <c r="BN149" i="1"/>
  <c r="Z150" i="1"/>
  <c r="BN150" i="1"/>
  <c r="Z152" i="1"/>
  <c r="BN152" i="1"/>
  <c r="I502" i="1"/>
  <c r="Y165" i="1"/>
  <c r="Z168" i="1"/>
  <c r="Z179" i="1" s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Z223" i="1" s="1"/>
  <c r="BN215" i="1"/>
  <c r="Z217" i="1"/>
  <c r="BN217" i="1"/>
  <c r="Z219" i="1"/>
  <c r="BN219" i="1"/>
  <c r="Z221" i="1"/>
  <c r="BN221" i="1"/>
  <c r="Z227" i="1"/>
  <c r="Z228" i="1" s="1"/>
  <c r="BN227" i="1"/>
  <c r="Z232" i="1"/>
  <c r="Z241" i="1" s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Z257" i="1" s="1"/>
  <c r="BN252" i="1"/>
  <c r="BP252" i="1"/>
  <c r="Z254" i="1"/>
  <c r="BN254" i="1"/>
  <c r="Z256" i="1"/>
  <c r="BN256" i="1"/>
  <c r="Z261" i="1"/>
  <c r="BN261" i="1"/>
  <c r="BP261" i="1"/>
  <c r="Z263" i="1"/>
  <c r="BN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Z292" i="1" s="1"/>
  <c r="Y292" i="1"/>
  <c r="Y301" i="1"/>
  <c r="Y311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BP450" i="1"/>
  <c r="BN450" i="1"/>
  <c r="Z450" i="1"/>
  <c r="Y454" i="1"/>
  <c r="BP464" i="1"/>
  <c r="BN464" i="1"/>
  <c r="Z464" i="1"/>
  <c r="Z467" i="1" s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O502" i="1"/>
  <c r="S502" i="1"/>
  <c r="P502" i="1"/>
  <c r="Y287" i="1"/>
  <c r="Z297" i="1"/>
  <c r="Z301" i="1" s="1"/>
  <c r="BN297" i="1"/>
  <c r="Z299" i="1"/>
  <c r="BN299" i="1"/>
  <c r="Y302" i="1"/>
  <c r="Z305" i="1"/>
  <c r="Z310" i="1" s="1"/>
  <c r="BN305" i="1"/>
  <c r="Z307" i="1"/>
  <c r="BN307" i="1"/>
  <c r="Z309" i="1"/>
  <c r="BN309" i="1"/>
  <c r="Z313" i="1"/>
  <c r="Z317" i="1" s="1"/>
  <c r="BN313" i="1"/>
  <c r="BP313" i="1"/>
  <c r="Z315" i="1"/>
  <c r="BN315" i="1"/>
  <c r="Z321" i="1"/>
  <c r="Z323" i="1" s="1"/>
  <c r="BN321" i="1"/>
  <c r="Z327" i="1"/>
  <c r="Z330" i="1" s="1"/>
  <c r="BN327" i="1"/>
  <c r="Z329" i="1"/>
  <c r="BN329" i="1"/>
  <c r="Z333" i="1"/>
  <c r="BN333" i="1"/>
  <c r="BP333" i="1"/>
  <c r="Z335" i="1"/>
  <c r="BN335" i="1"/>
  <c r="Z340" i="1"/>
  <c r="Z343" i="1" s="1"/>
  <c r="BN340" i="1"/>
  <c r="BP340" i="1"/>
  <c r="Z342" i="1"/>
  <c r="BN342" i="1"/>
  <c r="Y343" i="1"/>
  <c r="Z348" i="1"/>
  <c r="Z355" i="1" s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Z365" i="1" s="1"/>
  <c r="BN364" i="1"/>
  <c r="Z368" i="1"/>
  <c r="Z369" i="1" s="1"/>
  <c r="BN368" i="1"/>
  <c r="BP368" i="1"/>
  <c r="Z373" i="1"/>
  <c r="Z375" i="1" s="1"/>
  <c r="BN373" i="1"/>
  <c r="BP373" i="1"/>
  <c r="Y376" i="1"/>
  <c r="Z379" i="1"/>
  <c r="Z380" i="1" s="1"/>
  <c r="BN379" i="1"/>
  <c r="Z383" i="1"/>
  <c r="BN383" i="1"/>
  <c r="BP383" i="1"/>
  <c r="Z385" i="1"/>
  <c r="BN385" i="1"/>
  <c r="Z391" i="1"/>
  <c r="Z400" i="1" s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V502" i="1"/>
  <c r="Y411" i="1"/>
  <c r="Y418" i="1"/>
  <c r="Z414" i="1"/>
  <c r="Z417" i="1" s="1"/>
  <c r="BN414" i="1"/>
  <c r="Z416" i="1"/>
  <c r="BN416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7" i="1"/>
  <c r="BP466" i="1"/>
  <c r="BN466" i="1"/>
  <c r="Z466" i="1"/>
  <c r="Y468" i="1"/>
  <c r="Y473" i="1"/>
  <c r="BP470" i="1"/>
  <c r="BN470" i="1"/>
  <c r="Z470" i="1"/>
  <c r="Z472" i="1" s="1"/>
  <c r="Y485" i="1"/>
  <c r="Y502" i="1"/>
  <c r="Y439" i="1"/>
  <c r="Y494" i="1" l="1"/>
  <c r="Z454" i="1"/>
  <c r="Z439" i="1"/>
  <c r="Z386" i="1"/>
  <c r="Z336" i="1"/>
  <c r="Z445" i="1"/>
  <c r="Z266" i="1"/>
  <c r="Z211" i="1"/>
  <c r="Z185" i="1"/>
  <c r="Z96" i="1"/>
  <c r="Z497" i="1" s="1"/>
  <c r="Y492" i="1"/>
  <c r="Y493" i="1"/>
  <c r="Y495" i="1" s="1"/>
  <c r="Z274" i="1"/>
  <c r="Y496" i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<sst xmlns="http://schemas.openxmlformats.org/spreadsheetml/2006/main" count="2275" uniqueCount="774">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</sst>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82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1641.6</v>
      </c>
      <c r="Y41" s="548">
        <f>IFERROR(IF(X41="",0,CEILING((X41/$H41),1)*$H41),"")</f>
        <v>1641.6000000000001</v>
      </c>
      <c r="Z41" s="36">
        <f>IFERROR(IF(Y41=0,"",ROUNDUP(Y41/H41,0)*0.01898),"")</f>
        <v>2.88496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1703.9199999999998</v>
      </c>
      <c r="BN41" s="64">
        <f>IFERROR(Y41*I41/H41,"0")</f>
        <v>1703.92</v>
      </c>
      <c r="BO41" s="64">
        <f>IFERROR(1/J41*(X41/H41),"0")</f>
        <v>2.3749999999999996</v>
      </c>
      <c r="BP41" s="64">
        <f>IFERROR(1/J41*(Y41/H41),"0")</f>
        <v>2.375</v>
      </c>
    </row>
    <row r="42" spans="1:68" ht="27" customHeight="1" x14ac:dyDescent="0.25">
      <c r="A42" s="54" t="s">
        <v>109</v>
      </c>
      <c r="B42" s="54" t="s">
        <v>110</v>
      </c>
      <c r="C42" s="31">
        <v>4301011382</v>
      </c>
      <c r="D42" s="559">
        <v>4607091385687</v>
      </c>
      <c r="E42" s="560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4301011565</v>
      </c>
      <c r="D43" s="559">
        <v>4680115882539</v>
      </c>
      <c r="E43" s="560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151.99999999999997</v>
      </c>
      <c r="Y44" s="549">
        <f>IFERROR(Y41/H41,"0")+IFERROR(Y42/H42,"0")+IFERROR(Y43/H43,"0")</f>
        <v>152</v>
      </c>
      <c r="Z44" s="549">
        <f>IFERROR(IF(Z41="",0,Z41),"0")+IFERROR(IF(Z42="",0,Z42),"0")+IFERROR(IF(Z43="",0,Z43),"0")</f>
        <v>2.88496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1641.6</v>
      </c>
      <c r="Y45" s="549">
        <f>IFERROR(SUM(Y41:Y43),"0")</f>
        <v>1641.6000000000001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448</v>
      </c>
      <c r="Y52" s="548">
        <f t="shared" ref="Y52:Y57" si="0">IFERROR(IF(X52="",0,CEILING((X52/$H52),1)*$H52),"")</f>
        <v>448</v>
      </c>
      <c r="Z52" s="36">
        <f>IFERROR(IF(Y52=0,"",ROUNDUP(Y52/H52,0)*0.01898),"")</f>
        <v>0.75919999999999999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464.40000000000003</v>
      </c>
      <c r="BN52" s="64">
        <f t="shared" ref="BN52:BN57" si="2">IFERROR(Y52*I52/H52,"0")</f>
        <v>464.40000000000003</v>
      </c>
      <c r="BO52" s="64">
        <f t="shared" ref="BO52:BO57" si="3">IFERROR(1/J52*(X52/H52),"0")</f>
        <v>0.625</v>
      </c>
      <c r="BP52" s="64">
        <f t="shared" ref="BP52:BP57" si="4">IFERROR(1/J52*(Y52/H52),"0")</f>
        <v>0.625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1036.8</v>
      </c>
      <c r="Y53" s="548">
        <f t="shared" si="0"/>
        <v>1036.8000000000002</v>
      </c>
      <c r="Z53" s="36">
        <f>IFERROR(IF(Y53=0,"",ROUNDUP(Y53/H53,0)*0.01898),"")</f>
        <v>1.8220800000000001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1076.1599999999999</v>
      </c>
      <c r="BN53" s="64">
        <f t="shared" si="2"/>
        <v>1076.1600000000001</v>
      </c>
      <c r="BO53" s="64">
        <f t="shared" si="3"/>
        <v>1.4999999999999998</v>
      </c>
      <c r="BP53" s="64">
        <f t="shared" si="4"/>
        <v>1.5000000000000002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136</v>
      </c>
      <c r="Y58" s="549">
        <f>IFERROR(Y52/H52,"0")+IFERROR(Y53/H53,"0")+IFERROR(Y54/H54,"0")+IFERROR(Y55/H55,"0")+IFERROR(Y56/H56,"0")+IFERROR(Y57/H57,"0")</f>
        <v>136</v>
      </c>
      <c r="Z58" s="549">
        <f>IFERROR(IF(Z52="",0,Z52),"0")+IFERROR(IF(Z53="",0,Z53),"0")+IFERROR(IF(Z54="",0,Z54),"0")+IFERROR(IF(Z55="",0,Z55),"0")+IFERROR(IF(Z56="",0,Z56),"0")+IFERROR(IF(Z57="",0,Z57),"0")</f>
        <v>2.58128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1484.8</v>
      </c>
      <c r="Y59" s="549">
        <f>IFERROR(SUM(Y52:Y57),"0")</f>
        <v>1484.8000000000002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691.2</v>
      </c>
      <c r="Y61" s="548">
        <f>IFERROR(IF(X61="",0,CEILING((X61/$H61),1)*$H61),"")</f>
        <v>691.2</v>
      </c>
      <c r="Z61" s="36">
        <f>IFERROR(IF(Y61=0,"",ROUNDUP(Y61/H61,0)*0.01898),"")</f>
        <v>1.21472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717.44</v>
      </c>
      <c r="BN61" s="64">
        <f>IFERROR(Y61*I61/H61,"0")</f>
        <v>717.44</v>
      </c>
      <c r="BO61" s="64">
        <f>IFERROR(1/J61*(X61/H61),"0")</f>
        <v>1</v>
      </c>
      <c r="BP61" s="64">
        <f>IFERROR(1/J61*(Y61/H61),"0")</f>
        <v>1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64</v>
      </c>
      <c r="Y64" s="549">
        <f>IFERROR(Y61/H61,"0")+IFERROR(Y62/H62,"0")+IFERROR(Y63/H63,"0")</f>
        <v>64</v>
      </c>
      <c r="Z64" s="549">
        <f>IFERROR(IF(Z61="",0,Z61),"0")+IFERROR(IF(Z62="",0,Z62),"0")+IFERROR(IF(Z63="",0,Z63),"0")</f>
        <v>1.21472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691.2</v>
      </c>
      <c r="Y65" s="549">
        <f>IFERROR(SUM(Y61:Y63),"0")</f>
        <v>691.2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124.8</v>
      </c>
      <c r="Y79" s="548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131.36000000000001</v>
      </c>
      <c r="BN79" s="64">
        <f>IFERROR(Y79*I79/H79,"0")</f>
        <v>131.36000000000001</v>
      </c>
      <c r="BO79" s="64">
        <f>IFERROR(1/J79*(X79/H79),"0")</f>
        <v>0.25</v>
      </c>
      <c r="BP79" s="64">
        <f>IFERROR(1/J79*(Y79/H79),"0")</f>
        <v>0.25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16</v>
      </c>
      <c r="Y81" s="549">
        <f>IFERROR(Y79/H79,"0")+IFERROR(Y80/H80,"0")</f>
        <v>16</v>
      </c>
      <c r="Z81" s="549">
        <f>IFERROR(IF(Z79="",0,Z79),"0")+IFERROR(IF(Z80="",0,Z80),"0")</f>
        <v>0.30368000000000001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124.8</v>
      </c>
      <c r="Y82" s="549">
        <f>IFERROR(SUM(Y79:Y80),"0")</f>
        <v>124.8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777.6</v>
      </c>
      <c r="Y85" s="548">
        <f>IFERROR(IF(X85="",0,CEILING((X85/$H85),1)*$H85),"")</f>
        <v>777.6</v>
      </c>
      <c r="Z85" s="36">
        <f>IFERROR(IF(Y85=0,"",ROUNDUP(Y85/H85,0)*0.01898),"")</f>
        <v>1.36656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807.12</v>
      </c>
      <c r="BN85" s="64">
        <f>IFERROR(Y85*I85/H85,"0")</f>
        <v>807.12</v>
      </c>
      <c r="BO85" s="64">
        <f>IFERROR(1/J85*(X85/H85),"0")</f>
        <v>1.125</v>
      </c>
      <c r="BP85" s="64">
        <f>IFERROR(1/J85*(Y85/H85),"0")</f>
        <v>1.125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72</v>
      </c>
      <c r="Y89" s="549">
        <f>IFERROR(Y85/H85,"0")+IFERROR(Y86/H86,"0")+IFERROR(Y87/H87,"0")+IFERROR(Y88/H88,"0")</f>
        <v>72</v>
      </c>
      <c r="Z89" s="549">
        <f>IFERROR(IF(Z85="",0,Z85),"0")+IFERROR(IF(Z86="",0,Z86),"0")+IFERROR(IF(Z87="",0,Z87),"0")+IFERROR(IF(Z88="",0,Z88),"0")</f>
        <v>1.36656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777.6</v>
      </c>
      <c r="Y90" s="549">
        <f>IFERROR(SUM(Y85:Y88),"0")</f>
        <v>777.6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259.2</v>
      </c>
      <c r="Y92" s="548">
        <f>IFERROR(IF(X92="",0,CEILING((X92/$H92),1)*$H92),"")</f>
        <v>259.2</v>
      </c>
      <c r="Z92" s="36">
        <f>IFERROR(IF(Y92=0,"",ROUNDUP(Y92/H92,0)*0.01898),"")</f>
        <v>0.60736000000000001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275.00799999999998</v>
      </c>
      <c r="BN92" s="64">
        <f>IFERROR(Y92*I92/H92,"0")</f>
        <v>275.00799999999998</v>
      </c>
      <c r="BO92" s="64">
        <f>IFERROR(1/J92*(X92/H92),"0")</f>
        <v>0.5</v>
      </c>
      <c r="BP92" s="64">
        <f>IFERROR(1/J92*(Y92/H92),"0")</f>
        <v>0.5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32</v>
      </c>
      <c r="Y96" s="549">
        <f>IFERROR(Y92/H92,"0")+IFERROR(Y93/H93,"0")+IFERROR(Y94/H94,"0")+IFERROR(Y95/H95,"0")</f>
        <v>32</v>
      </c>
      <c r="Z96" s="549">
        <f>IFERROR(IF(Z92="",0,Z92),"0")+IFERROR(IF(Z93="",0,Z93),"0")+IFERROR(IF(Z94="",0,Z94),"0")+IFERROR(IF(Z95="",0,Z95),"0")</f>
        <v>0.60736000000000001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259.2</v>
      </c>
      <c r="Y97" s="549">
        <f>IFERROR(SUM(Y92:Y95),"0")</f>
        <v>259.2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1209.5999999999999</v>
      </c>
      <c r="Y100" s="548">
        <f>IFERROR(IF(X100="",0,CEILING((X100/$H100),1)*$H100),"")</f>
        <v>1209.6000000000001</v>
      </c>
      <c r="Z100" s="36">
        <f>IFERROR(IF(Y100=0,"",ROUNDUP(Y100/H100,0)*0.01898),"")</f>
        <v>2.1257600000000001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1255.52</v>
      </c>
      <c r="BN100" s="64">
        <f>IFERROR(Y100*I100/H100,"0")</f>
        <v>1255.52</v>
      </c>
      <c r="BO100" s="64">
        <f>IFERROR(1/J100*(X100/H100),"0")</f>
        <v>1.7499999999999998</v>
      </c>
      <c r="BP100" s="64">
        <f>IFERROR(1/J100*(Y100/H100),"0")</f>
        <v>1.75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111.99999999999999</v>
      </c>
      <c r="Y105" s="549">
        <f>IFERROR(Y100/H100,"0")+IFERROR(Y101/H101,"0")+IFERROR(Y102/H102,"0")+IFERROR(Y103/H103,"0")+IFERROR(Y104/H104,"0")</f>
        <v>112</v>
      </c>
      <c r="Z105" s="549">
        <f>IFERROR(IF(Z100="",0,Z100),"0")+IFERROR(IF(Z101="",0,Z101),"0")+IFERROR(IF(Z102="",0,Z102),"0")+IFERROR(IF(Z103="",0,Z103),"0")+IFERROR(IF(Z104="",0,Z104),"0")</f>
        <v>2.1257600000000001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1209.5999999999999</v>
      </c>
      <c r="Y106" s="549">
        <f>IFERROR(SUM(Y100:Y104),"0")</f>
        <v>1209.6000000000001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324</v>
      </c>
      <c r="Y115" s="548">
        <f>IFERROR(IF(X115="",0,CEILING((X115/$H115),1)*$H115),"")</f>
        <v>324</v>
      </c>
      <c r="Z115" s="36">
        <f>IFERROR(IF(Y115=0,"",ROUNDUP(Y115/H115,0)*0.01898),"")</f>
        <v>0.75919999999999999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343.52</v>
      </c>
      <c r="BN115" s="64">
        <f>IFERROR(Y115*I115/H115,"0")</f>
        <v>343.52</v>
      </c>
      <c r="BO115" s="64">
        <f>IFERROR(1/J115*(X115/H115),"0")</f>
        <v>0.625</v>
      </c>
      <c r="BP115" s="64">
        <f>IFERROR(1/J115*(Y115/H115),"0")</f>
        <v>0.625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40</v>
      </c>
      <c r="Y119" s="549">
        <f>IFERROR(Y115/H115,"0")+IFERROR(Y116/H116,"0")+IFERROR(Y117/H117,"0")+IFERROR(Y118/H118,"0")</f>
        <v>40</v>
      </c>
      <c r="Z119" s="549">
        <f>IFERROR(IF(Z115="",0,Z115),"0")+IFERROR(IF(Z116="",0,Z116),"0")+IFERROR(IF(Z117="",0,Z117),"0")+IFERROR(IF(Z118="",0,Z118),"0")</f>
        <v>0.75919999999999999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324</v>
      </c>
      <c r="Y120" s="549">
        <f>IFERROR(SUM(Y115:Y118),"0")</f>
        <v>324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201.6</v>
      </c>
      <c r="Y167" s="548">
        <f t="shared" ref="Y167:Y178" si="10">IFERROR(IF(X167="",0,CEILING((X167/$H167),1)*$H167),"")</f>
        <v>201.60000000000002</v>
      </c>
      <c r="Z167" s="36">
        <f>IFERROR(IF(Y167=0,"",ROUNDUP(Y167/H167,0)*0.00902),"")</f>
        <v>0.43296000000000001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213.6</v>
      </c>
      <c r="BN167" s="64">
        <f t="shared" ref="BN167:BN178" si="12">IFERROR(Y167*I167/H167,"0")</f>
        <v>213.60000000000002</v>
      </c>
      <c r="BO167" s="64">
        <f t="shared" ref="BO167:BO178" si="13">IFERROR(1/J167*(X167/H167),"0")</f>
        <v>0.36363636363636365</v>
      </c>
      <c r="BP167" s="64">
        <f t="shared" ref="BP167:BP178" si="14">IFERROR(1/J167*(Y167/H167),"0")</f>
        <v>0.36363636363636365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352.8</v>
      </c>
      <c r="Y169" s="548">
        <f t="shared" si="10"/>
        <v>352.8</v>
      </c>
      <c r="Z169" s="36">
        <f>IFERROR(IF(Y169=0,"",ROUNDUP(Y169/H169,0)*0.00902),"")</f>
        <v>0.75768000000000002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368.76</v>
      </c>
      <c r="BN169" s="64">
        <f t="shared" si="12"/>
        <v>368.76</v>
      </c>
      <c r="BO169" s="64">
        <f t="shared" si="13"/>
        <v>0.63636363636363635</v>
      </c>
      <c r="BP169" s="64">
        <f t="shared" si="14"/>
        <v>0.63636363636363635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75.599999999999994</v>
      </c>
      <c r="Y171" s="548">
        <f t="shared" si="10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80.279999999999987</v>
      </c>
      <c r="BN171" s="64">
        <f t="shared" si="12"/>
        <v>80.28</v>
      </c>
      <c r="BO171" s="64">
        <f t="shared" si="13"/>
        <v>0.15384615384615383</v>
      </c>
      <c r="BP171" s="64">
        <f t="shared" si="14"/>
        <v>0.15384615384615385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168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168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1.3713600000000001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630</v>
      </c>
      <c r="Y180" s="549">
        <f>IFERROR(SUM(Y167:Y178),"0")</f>
        <v>630.00000000000011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518.4</v>
      </c>
      <c r="Y203" s="548">
        <f t="shared" ref="Y203:Y210" si="15">IFERROR(IF(X203="",0,CEILING((X203/$H203),1)*$H203),"")</f>
        <v>518.40000000000009</v>
      </c>
      <c r="Z203" s="36">
        <f>IFERROR(IF(Y203=0,"",ROUNDUP(Y203/H203,0)*0.00902),"")</f>
        <v>0.86592000000000002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536.63999999999987</v>
      </c>
      <c r="BN203" s="64">
        <f t="shared" ref="BN203:BN210" si="17">IFERROR(Y203*I203/H203,"0")</f>
        <v>536.64</v>
      </c>
      <c r="BO203" s="64">
        <f t="shared" ref="BO203:BO210" si="18">IFERROR(1/J203*(X203/H203),"0")</f>
        <v>0.72727272727272718</v>
      </c>
      <c r="BP203" s="64">
        <f t="shared" ref="BP203:BP210" si="19">IFERROR(1/J203*(Y203/H203),"0")</f>
        <v>0.7272727272727274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194.4</v>
      </c>
      <c r="Y204" s="548">
        <f t="shared" si="15"/>
        <v>194.4</v>
      </c>
      <c r="Z204" s="36">
        <f>IFERROR(IF(Y204=0,"",ROUNDUP(Y204/H204,0)*0.00902),"")</f>
        <v>0.32472000000000001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201.23999999999998</v>
      </c>
      <c r="BN204" s="64">
        <f t="shared" si="17"/>
        <v>201.23999999999998</v>
      </c>
      <c r="BO204" s="64">
        <f t="shared" si="18"/>
        <v>0.27272727272727271</v>
      </c>
      <c r="BP204" s="64">
        <f t="shared" si="19"/>
        <v>0.27272727272727271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259.2</v>
      </c>
      <c r="Y205" s="548">
        <f t="shared" si="15"/>
        <v>259.20000000000005</v>
      </c>
      <c r="Z205" s="36">
        <f>IFERROR(IF(Y205=0,"",ROUNDUP(Y205/H205,0)*0.00902),"")</f>
        <v>0.43296000000000001</v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268.31999999999994</v>
      </c>
      <c r="BN205" s="64">
        <f t="shared" si="17"/>
        <v>268.32</v>
      </c>
      <c r="BO205" s="64">
        <f t="shared" si="18"/>
        <v>0.36363636363636359</v>
      </c>
      <c r="BP205" s="64">
        <f t="shared" si="19"/>
        <v>0.3636363636363637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259.2</v>
      </c>
      <c r="Y206" s="548">
        <f t="shared" si="15"/>
        <v>259.20000000000005</v>
      </c>
      <c r="Z206" s="36">
        <f>IFERROR(IF(Y206=0,"",ROUNDUP(Y206/H206,0)*0.00902),"")</f>
        <v>0.43296000000000001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268.31999999999994</v>
      </c>
      <c r="BN206" s="64">
        <f t="shared" si="17"/>
        <v>268.32</v>
      </c>
      <c r="BO206" s="64">
        <f t="shared" si="18"/>
        <v>0.36363636363636359</v>
      </c>
      <c r="BP206" s="64">
        <f t="shared" si="19"/>
        <v>0.3636363636363637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228</v>
      </c>
      <c r="Y211" s="549">
        <f>IFERROR(Y203/H203,"0")+IFERROR(Y204/H204,"0")+IFERROR(Y205/H205,"0")+IFERROR(Y206/H206,"0")+IFERROR(Y207/H207,"0")+IFERROR(Y208/H208,"0")+IFERROR(Y209/H209,"0")+IFERROR(Y210/H210,"0")</f>
        <v>228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2.0565600000000002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1231.2</v>
      </c>
      <c r="Y212" s="549">
        <f>IFERROR(SUM(Y203:Y210),"0")</f>
        <v>1231.2000000000003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765.6</v>
      </c>
      <c r="Y216" s="548">
        <f t="shared" si="20"/>
        <v>765.59999999999991</v>
      </c>
      <c r="Z216" s="36">
        <f>IFERROR(IF(Y216=0,"",ROUNDUP(Y216/H216,0)*0.01898),"")</f>
        <v>1.6702399999999999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809.07200000000023</v>
      </c>
      <c r="BN216" s="64">
        <f t="shared" si="22"/>
        <v>809.072</v>
      </c>
      <c r="BO216" s="64">
        <f t="shared" si="23"/>
        <v>1.3750000000000002</v>
      </c>
      <c r="BP216" s="64">
        <f t="shared" si="24"/>
        <v>1.375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88.000000000000014</v>
      </c>
      <c r="Y223" s="549">
        <f>IFERROR(Y214/H214,"0")+IFERROR(Y215/H215,"0")+IFERROR(Y216/H216,"0")+IFERROR(Y217/H217,"0")+IFERROR(Y218/H218,"0")+IFERROR(Y219/H219,"0")+IFERROR(Y220/H220,"0")+IFERROR(Y221/H221,"0")+IFERROR(Y222/H222,"0")</f>
        <v>88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1.6702399999999999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765.6</v>
      </c>
      <c r="Y224" s="549">
        <f>IFERROR(SUM(Y214:Y222),"0")</f>
        <v>765.59999999999991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4301012196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4301011824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4301012195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4301011722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201.6</v>
      </c>
      <c r="Y320" s="548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213.45599999999999</v>
      </c>
      <c r="BN320" s="64">
        <f>IFERROR(Y320*I320/H320,"0")</f>
        <v>213.45600000000002</v>
      </c>
      <c r="BO320" s="64">
        <f>IFERROR(1/J320*(X320/H320),"0")</f>
        <v>0.375</v>
      </c>
      <c r="BP320" s="64">
        <f>IFERROR(1/J320*(Y320/H320),"0")</f>
        <v>0.375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187.2</v>
      </c>
      <c r="Y321" s="548">
        <f>IFERROR(IF(X321="",0,CEILING((X321/$H321),1)*$H321),"")</f>
        <v>187.2</v>
      </c>
      <c r="Z321" s="36">
        <f>IFERROR(IF(Y321=0,"",ROUNDUP(Y321/H321,0)*0.01898),"")</f>
        <v>0.45552000000000004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199.05600000000001</v>
      </c>
      <c r="BN321" s="64">
        <f>IFERROR(Y321*I321/H321,"0")</f>
        <v>199.05600000000001</v>
      </c>
      <c r="BO321" s="64">
        <f>IFERROR(1/J321*(X321/H321),"0")</f>
        <v>0.375</v>
      </c>
      <c r="BP321" s="64">
        <f>IFERROR(1/J321*(Y321/H321),"0")</f>
        <v>0.375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67.2</v>
      </c>
      <c r="Y322" s="548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71.152000000000001</v>
      </c>
      <c r="BN322" s="64">
        <f>IFERROR(Y322*I322/H322,"0")</f>
        <v>71.152000000000001</v>
      </c>
      <c r="BO322" s="64">
        <f>IFERROR(1/J322*(X322/H322),"0")</f>
        <v>0.125</v>
      </c>
      <c r="BP322" s="64">
        <f>IFERROR(1/J322*(Y322/H322),"0")</f>
        <v>0.125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56</v>
      </c>
      <c r="Y323" s="549">
        <f>IFERROR(Y320/H320,"0")+IFERROR(Y321/H321,"0")+IFERROR(Y322/H322,"0")</f>
        <v>56</v>
      </c>
      <c r="Z323" s="549">
        <f>IFERROR(IF(Z320="",0,Z320),"0")+IFERROR(IF(Z321="",0,Z321),"0")+IFERROR(IF(Z322="",0,Z322),"0")</f>
        <v>1.06288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455.99999999999994</v>
      </c>
      <c r="Y324" s="549">
        <f>IFERROR(SUM(Y320:Y322),"0")</f>
        <v>456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129.6</v>
      </c>
      <c r="Y340" s="548">
        <f>IFERROR(IF(X340="",0,CEILING((X340/$H340),1)*$H340),"")</f>
        <v>129.6</v>
      </c>
      <c r="Z340" s="36">
        <f>IFERROR(IF(Y340=0,"",ROUNDUP(Y340/H340,0)*0.01898),"")</f>
        <v>0.30368000000000001</v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137.50399999999999</v>
      </c>
      <c r="BN340" s="64">
        <f>IFERROR(Y340*I340/H340,"0")</f>
        <v>137.50399999999999</v>
      </c>
      <c r="BO340" s="64">
        <f>IFERROR(1/J340*(X340/H340),"0")</f>
        <v>0.25</v>
      </c>
      <c r="BP340" s="64">
        <f>IFERROR(1/J340*(Y340/H340),"0")</f>
        <v>0.25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16</v>
      </c>
      <c r="Y343" s="549">
        <f>IFERROR(Y340/H340,"0")+IFERROR(Y341/H341,"0")+IFERROR(Y342/H342,"0")</f>
        <v>16</v>
      </c>
      <c r="Z343" s="549">
        <f>IFERROR(IF(Z340="",0,Z340),"0")+IFERROR(IF(Z341="",0,Z341),"0")+IFERROR(IF(Z342="",0,Z342),"0")</f>
        <v>0.30368000000000001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129.6</v>
      </c>
      <c r="Y344" s="549">
        <f>IFERROR(SUM(Y340:Y342),"0")</f>
        <v>129.6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960</v>
      </c>
      <c r="Y348" s="548">
        <f t="shared" ref="Y348:Y354" si="36">IFERROR(IF(X348="",0,CEILING((X348/$H348),1)*$H348),"")</f>
        <v>960</v>
      </c>
      <c r="Z348" s="36">
        <f>IFERROR(IF(Y348=0,"",ROUNDUP(Y348/H348,0)*0.02175),"")</f>
        <v>1.3919999999999999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990.08</v>
      </c>
      <c r="BN348" s="64">
        <f t="shared" ref="BN348:BN354" si="38">IFERROR(Y348*I348/H348,"0")</f>
        <v>990.08</v>
      </c>
      <c r="BO348" s="64">
        <f t="shared" ref="BO348:BO354" si="39">IFERROR(1/J348*(X348/H348),"0")</f>
        <v>1.3333333333333333</v>
      </c>
      <c r="BP348" s="64">
        <f t="shared" ref="BP348:BP354" si="40">IFERROR(1/J348*(Y348/H348),"0")</f>
        <v>1.3333333333333333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600</v>
      </c>
      <c r="Y349" s="548">
        <f t="shared" si="36"/>
        <v>600</v>
      </c>
      <c r="Z349" s="36">
        <f>IFERROR(IF(Y349=0,"",ROUNDUP(Y349/H349,0)*0.02175),"")</f>
        <v>0.86999999999999988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618.79999999999995</v>
      </c>
      <c r="BN349" s="64">
        <f t="shared" si="38"/>
        <v>618.79999999999995</v>
      </c>
      <c r="BO349" s="64">
        <f t="shared" si="39"/>
        <v>0.83333333333333326</v>
      </c>
      <c r="BP349" s="64">
        <f t="shared" si="40"/>
        <v>0.83333333333333326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9">
        <v>4680115887046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1215</v>
      </c>
      <c r="Y351" s="548">
        <f t="shared" si="36"/>
        <v>1215</v>
      </c>
      <c r="Z351" s="36">
        <f>IFERROR(IF(Y351=0,"",ROUNDUP(Y351/H351,0)*0.02175),"")</f>
        <v>1.7617499999999999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1253.07</v>
      </c>
      <c r="BN351" s="64">
        <f t="shared" si="38"/>
        <v>1253.07</v>
      </c>
      <c r="BO351" s="64">
        <f t="shared" si="39"/>
        <v>1.6875</v>
      </c>
      <c r="BP351" s="64">
        <f t="shared" si="40"/>
        <v>1.6875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185</v>
      </c>
      <c r="Y355" s="549">
        <f>IFERROR(Y348/H348,"0")+IFERROR(Y349/H349,"0")+IFERROR(Y350/H350,"0")+IFERROR(Y351/H351,"0")+IFERROR(Y352/H352,"0")+IFERROR(Y353/H353,"0")+IFERROR(Y354/H354,"0")</f>
        <v>185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4.0237499999999997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2775</v>
      </c>
      <c r="Y356" s="549">
        <f>IFERROR(SUM(Y348:Y354),"0")</f>
        <v>2775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720</v>
      </c>
      <c r="Y358" s="548">
        <f>IFERROR(IF(X358="",0,CEILING((X358/$H358),1)*$H358),"")</f>
        <v>720</v>
      </c>
      <c r="Z358" s="36">
        <f>IFERROR(IF(Y358=0,"",ROUNDUP(Y358/H358,0)*0.02175),"")</f>
        <v>1.044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742.56</v>
      </c>
      <c r="BN358" s="64">
        <f>IFERROR(Y358*I358/H358,"0")</f>
        <v>742.56</v>
      </c>
      <c r="BO358" s="64">
        <f>IFERROR(1/J358*(X358/H358),"0")</f>
        <v>1</v>
      </c>
      <c r="BP358" s="64">
        <f>IFERROR(1/J358*(Y358/H358),"0")</f>
        <v>1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48</v>
      </c>
      <c r="Y360" s="549">
        <f>IFERROR(Y358/H358,"0")+IFERROR(Y359/H359,"0")</f>
        <v>48</v>
      </c>
      <c r="Z360" s="549">
        <f>IFERROR(IF(Z358="",0,Z358),"0")+IFERROR(IF(Z359="",0,Z359),"0")</f>
        <v>1.044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720</v>
      </c>
      <c r="Y361" s="549">
        <f>IFERROR(SUM(Y358:Y359),"0")</f>
        <v>720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144</v>
      </c>
      <c r="Y368" s="548">
        <f>IFERROR(IF(X368="",0,CEILING((X368/$H368),1)*$H368),"")</f>
        <v>144</v>
      </c>
      <c r="Z368" s="36">
        <f>IFERROR(IF(Y368=0,"",ROUNDUP(Y368/H368,0)*0.01898),"")</f>
        <v>0.30368000000000001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151.904</v>
      </c>
      <c r="BN368" s="64">
        <f>IFERROR(Y368*I368/H368,"0")</f>
        <v>151.904</v>
      </c>
      <c r="BO368" s="64">
        <f>IFERROR(1/J368*(X368/H368),"0")</f>
        <v>0.25</v>
      </c>
      <c r="BP368" s="64">
        <f>IFERROR(1/J368*(Y368/H368),"0")</f>
        <v>0.25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16</v>
      </c>
      <c r="Y369" s="549">
        <f>IFERROR(Y368/H368,"0")</f>
        <v>16</v>
      </c>
      <c r="Z369" s="549">
        <f>IFERROR(IF(Z368="",0,Z368),"0")</f>
        <v>0.30368000000000001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144</v>
      </c>
      <c r="Y370" s="549">
        <f>IFERROR(SUM(Y368:Y368),"0")</f>
        <v>144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240</v>
      </c>
      <c r="Y373" s="548">
        <f>IFERROR(IF(X373="",0,CEILING((X373/$H373),1)*$H373),"")</f>
        <v>240</v>
      </c>
      <c r="Z373" s="36">
        <f>IFERROR(IF(Y373=0,"",ROUNDUP(Y373/H373,0)*0.01898),"")</f>
        <v>0.37959999999999999</v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248.20000000000002</v>
      </c>
      <c r="BN373" s="64">
        <f>IFERROR(Y373*I373/H373,"0")</f>
        <v>248.20000000000002</v>
      </c>
      <c r="BO373" s="64">
        <f>IFERROR(1/J373*(X373/H373),"0")</f>
        <v>0.3125</v>
      </c>
      <c r="BP373" s="64">
        <f>IFERROR(1/J373*(Y373/H373),"0")</f>
        <v>0.3125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20</v>
      </c>
      <c r="Y375" s="549">
        <f>IFERROR(Y373/H373,"0")+IFERROR(Y374/H374,"0")</f>
        <v>20</v>
      </c>
      <c r="Z375" s="549">
        <f>IFERROR(IF(Z373="",0,Z373),"0")+IFERROR(IF(Z374="",0,Z374),"0")</f>
        <v>0.37959999999999999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240</v>
      </c>
      <c r="Y376" s="549">
        <f>IFERROR(SUM(Y373:Y374),"0")</f>
        <v>240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4301031457</v>
      </c>
      <c r="D378" s="559">
        <v>4607091384802</v>
      </c>
      <c r="E378" s="560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7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4301031303</v>
      </c>
      <c r="D379" s="559">
        <v>4607091384802</v>
      </c>
      <c r="E379" s="560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288</v>
      </c>
      <c r="Y383" s="548">
        <f>IFERROR(IF(X383="",0,CEILING((X383/$H383),1)*$H383),"")</f>
        <v>288</v>
      </c>
      <c r="Z383" s="36">
        <f>IFERROR(IF(Y383=0,"",ROUNDUP(Y383/H383,0)*0.01898),"")</f>
        <v>0.60736000000000001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303.80799999999999</v>
      </c>
      <c r="BN383" s="64">
        <f>IFERROR(Y383*I383/H383,"0")</f>
        <v>303.80799999999999</v>
      </c>
      <c r="BO383" s="64">
        <f>IFERROR(1/J383*(X383/H383),"0")</f>
        <v>0.5</v>
      </c>
      <c r="BP383" s="64">
        <f>IFERROR(1/J383*(Y383/H383),"0")</f>
        <v>0.5</v>
      </c>
    </row>
    <row r="384" spans="1:68" ht="27" customHeight="1" x14ac:dyDescent="0.25">
      <c r="A384" s="54" t="s">
        <v>604</v>
      </c>
      <c r="B384" s="54" t="s">
        <v>605</v>
      </c>
      <c r="C384" s="31">
        <v>4301052069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28.8</v>
      </c>
      <c r="Y385" s="548">
        <f>IFERROR(IF(X385="",0,CEILING((X385/$H385),1)*$H385),"")</f>
        <v>28.799999999999997</v>
      </c>
      <c r="Z385" s="36">
        <f>IFERROR(IF(Y385=0,"",ROUNDUP(Y385/H385,0)*0.00651),"")</f>
        <v>7.8119999999999995E-2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31.968000000000004</v>
      </c>
      <c r="BN385" s="64">
        <f>IFERROR(Y385*I385/H385,"0")</f>
        <v>31.967999999999996</v>
      </c>
      <c r="BO385" s="64">
        <f>IFERROR(1/J385*(X385/H385),"0")</f>
        <v>6.5934065934065936E-2</v>
      </c>
      <c r="BP385" s="64">
        <f>IFERROR(1/J385*(Y385/H385),"0")</f>
        <v>6.5934065934065936E-2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44</v>
      </c>
      <c r="Y386" s="549">
        <f>IFERROR(Y383/H383,"0")+IFERROR(Y384/H384,"0")+IFERROR(Y385/H385,"0")</f>
        <v>44</v>
      </c>
      <c r="Z386" s="549">
        <f>IFERROR(IF(Z383="",0,Z383),"0")+IFERROR(IF(Z384="",0,Z384),"0")+IFERROR(IF(Z385="",0,Z385),"0")</f>
        <v>0.68547999999999998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316.8</v>
      </c>
      <c r="Y387" s="549">
        <f>IFERROR(SUM(Y383:Y385),"0")</f>
        <v>316.8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4301012145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4301012210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506.88</v>
      </c>
      <c r="Y431" s="548">
        <f t="shared" si="47"/>
        <v>506.88</v>
      </c>
      <c r="Z431" s="36">
        <f t="shared" si="48"/>
        <v>1.1481600000000001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540.4799999999999</v>
      </c>
      <c r="BN431" s="64">
        <f t="shared" si="50"/>
        <v>540.4799999999999</v>
      </c>
      <c r="BO431" s="64">
        <f t="shared" si="51"/>
        <v>0.92307692307692313</v>
      </c>
      <c r="BP431" s="64">
        <f t="shared" si="52"/>
        <v>0.92307692307692313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1013.76</v>
      </c>
      <c r="Y433" s="548">
        <f t="shared" si="47"/>
        <v>1013.76</v>
      </c>
      <c r="Z433" s="36">
        <f t="shared" si="48"/>
        <v>2.2963200000000001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1080.9599999999998</v>
      </c>
      <c r="BN433" s="64">
        <f t="shared" si="50"/>
        <v>1080.9599999999998</v>
      </c>
      <c r="BO433" s="64">
        <f t="shared" si="51"/>
        <v>1.8461538461538463</v>
      </c>
      <c r="BP433" s="64">
        <f t="shared" si="52"/>
        <v>1.8461538461538463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288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288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3.4444800000000004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1520.6399999999999</v>
      </c>
      <c r="Y440" s="549">
        <f>IFERROR(SUM(Y427:Y438),"0")</f>
        <v>1520.6399999999999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42.24</v>
      </c>
      <c r="Y442" s="548">
        <f>IFERROR(IF(X442="",0,CEILING((X442/$H442),1)*$H442),"")</f>
        <v>42.24</v>
      </c>
      <c r="Z442" s="36">
        <f>IFERROR(IF(Y442=0,"",ROUNDUP(Y442/H442,0)*0.01196),"")</f>
        <v>9.5680000000000001E-2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45.04</v>
      </c>
      <c r="BN442" s="64">
        <f>IFERROR(Y442*I442/H442,"0")</f>
        <v>45.04</v>
      </c>
      <c r="BO442" s="64">
        <f>IFERROR(1/J442*(X442/H442),"0")</f>
        <v>7.6923076923076927E-2</v>
      </c>
      <c r="BP442" s="64">
        <f>IFERROR(1/J442*(Y442/H442),"0")</f>
        <v>7.6923076923076927E-2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8</v>
      </c>
      <c r="Y445" s="549">
        <f>IFERROR(Y442/H442,"0")+IFERROR(Y443/H443,"0")+IFERROR(Y444/H444,"0")</f>
        <v>8</v>
      </c>
      <c r="Z445" s="549">
        <f>IFERROR(IF(Z442="",0,Z442),"0")+IFERROR(IF(Z443="",0,Z443),"0")+IFERROR(IF(Z444="",0,Z444),"0")</f>
        <v>9.5680000000000001E-2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42.24</v>
      </c>
      <c r="Y446" s="549">
        <f>IFERROR(SUM(Y442:Y444),"0")</f>
        <v>42.24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506.88</v>
      </c>
      <c r="Y448" s="548">
        <f t="shared" ref="Y448:Y453" si="53">IFERROR(IF(X448="",0,CEILING((X448/$H448),1)*$H448),"")</f>
        <v>506.88</v>
      </c>
      <c r="Z448" s="36">
        <f>IFERROR(IF(Y448=0,"",ROUNDUP(Y448/H448,0)*0.01196),"")</f>
        <v>1.1481600000000001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540.4799999999999</v>
      </c>
      <c r="BN448" s="64">
        <f t="shared" ref="BN448:BN453" si="55">IFERROR(Y448*I448/H448,"0")</f>
        <v>540.4799999999999</v>
      </c>
      <c r="BO448" s="64">
        <f t="shared" ref="BO448:BO453" si="56">IFERROR(1/J448*(X448/H448),"0")</f>
        <v>0.92307692307692313</v>
      </c>
      <c r="BP448" s="64">
        <f t="shared" ref="BP448:BP453" si="57">IFERROR(1/J448*(Y448/H448),"0")</f>
        <v>0.92307692307692313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295.68</v>
      </c>
      <c r="Y449" s="548">
        <f t="shared" si="53"/>
        <v>295.68</v>
      </c>
      <c r="Z449" s="36">
        <f>IFERROR(IF(Y449=0,"",ROUNDUP(Y449/H449,0)*0.01196),"")</f>
        <v>0.66976000000000002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315.27999999999997</v>
      </c>
      <c r="BN449" s="64">
        <f t="shared" si="55"/>
        <v>315.27999999999997</v>
      </c>
      <c r="BO449" s="64">
        <f t="shared" si="56"/>
        <v>0.53846153846153855</v>
      </c>
      <c r="BP449" s="64">
        <f t="shared" si="57"/>
        <v>0.53846153846153855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84.48</v>
      </c>
      <c r="Y450" s="548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90.08</v>
      </c>
      <c r="BN450" s="64">
        <f t="shared" si="55"/>
        <v>90.08</v>
      </c>
      <c r="BO450" s="64">
        <f t="shared" si="56"/>
        <v>0.15384615384615385</v>
      </c>
      <c r="BP450" s="64">
        <f t="shared" si="57"/>
        <v>0.15384615384615385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168</v>
      </c>
      <c r="Y454" s="549">
        <f>IFERROR(Y448/H448,"0")+IFERROR(Y449/H449,"0")+IFERROR(Y450/H450,"0")+IFERROR(Y451/H451,"0")+IFERROR(Y452/H452,"0")+IFERROR(Y453/H453,"0")</f>
        <v>168</v>
      </c>
      <c r="Z454" s="549">
        <f>IFERROR(IF(Z448="",0,Z448),"0")+IFERROR(IF(Z449="",0,Z449),"0")+IFERROR(IF(Z450="",0,Z450),"0")+IFERROR(IF(Z451="",0,Z451),"0")+IFERROR(IF(Z452="",0,Z452),"0")+IFERROR(IF(Z453="",0,Z453),"0")</f>
        <v>2.00928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887.04</v>
      </c>
      <c r="Y455" s="549">
        <f>IFERROR(SUM(Y448:Y453),"0")</f>
        <v>887.04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16370.919999999998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16370.920000000002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17094.558000000001</v>
      </c>
      <c r="Y493" s="549">
        <f>IFERROR(SUM(BN22:BN489),"0")</f>
        <v>17094.558000000001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26</v>
      </c>
      <c r="Y494" s="38">
        <f>ROUNDUP(SUM(BP22:BP489),0)</f>
        <v>26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17744.558000000001</v>
      </c>
      <c r="Y495" s="549">
        <f>GrossWeightTotalR+PalletQtyTotalR*25</f>
        <v>17744.558000000001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1957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1957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30.294190000000004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1641.6000000000001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2300.8000000000002</v>
      </c>
      <c r="E502" s="46">
        <f>IFERROR(Y85*1,"0")+IFERROR(Y86*1,"0")+IFERROR(Y87*1,"0")+IFERROR(Y88*1,"0")+IFERROR(Y92*1,"0")+IFERROR(Y93*1,"0")+IFERROR(Y94*1,"0")+IFERROR(Y95*1,"0")</f>
        <v>1036.8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1533.6000000000001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630.00000000000011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1996.8000000000002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456</v>
      </c>
      <c r="R502" s="46">
        <f>IFERROR(Y340*1,"0")+IFERROR(Y341*1,"0")+IFERROR(Y342*1,"0")</f>
        <v>129.6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3639</v>
      </c>
      <c r="T502" s="46">
        <f>IFERROR(Y373*1,"0")+IFERROR(Y374*1,"0")+IFERROR(Y378*1,"0")+IFERROR(Y379*1,"0")+IFERROR(Y383*1,"0")+IFERROR(Y384*1,"0")+IFERROR(Y385*1,"0")</f>
        <v>556.79999999999995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2449.9199999999996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