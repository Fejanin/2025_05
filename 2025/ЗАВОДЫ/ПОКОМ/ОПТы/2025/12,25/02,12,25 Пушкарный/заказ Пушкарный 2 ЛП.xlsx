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962166F-F833-45EB-B251-7A16A85404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0" i="1" l="1"/>
  <c r="O500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500" i="1" s="1"/>
  <c r="P289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Y275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BP146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500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500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0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4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71" i="1"/>
  <c r="Y177" i="1"/>
  <c r="Y188" i="1"/>
  <c r="Y192" i="1"/>
  <c r="Y204" i="1"/>
  <c r="Y215" i="1"/>
  <c r="BP219" i="1"/>
  <c r="BN219" i="1"/>
  <c r="Z219" i="1"/>
  <c r="Z220" i="1" s="1"/>
  <c r="Y221" i="1"/>
  <c r="K500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87" i="1"/>
  <c r="BN387" i="1"/>
  <c r="Z387" i="1"/>
  <c r="Z395" i="1" s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Z433" i="1" s="1"/>
  <c r="Y434" i="1"/>
  <c r="H9" i="1"/>
  <c r="B500" i="1"/>
  <c r="X491" i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D500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Z100" i="1"/>
  <c r="Z103" i="1" s="1"/>
  <c r="BN100" i="1"/>
  <c r="Z102" i="1"/>
  <c r="BN102" i="1"/>
  <c r="Y103" i="1"/>
  <c r="Z106" i="1"/>
  <c r="BN106" i="1"/>
  <c r="BP106" i="1"/>
  <c r="Z108" i="1"/>
  <c r="BN108" i="1"/>
  <c r="Z112" i="1"/>
  <c r="Z116" i="1" s="1"/>
  <c r="BN112" i="1"/>
  <c r="BP112" i="1"/>
  <c r="Z114" i="1"/>
  <c r="BN114" i="1"/>
  <c r="G500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I500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500" i="1"/>
  <c r="Z186" i="1"/>
  <c r="Z187" i="1" s="1"/>
  <c r="BN186" i="1"/>
  <c r="Y187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BP211" i="1"/>
  <c r="BN211" i="1"/>
  <c r="BP213" i="1"/>
  <c r="BN213" i="1"/>
  <c r="Z213" i="1"/>
  <c r="Y220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9" i="1"/>
  <c r="BN279" i="1"/>
  <c r="Z279" i="1"/>
  <c r="Z280" i="1" s="1"/>
  <c r="Y281" i="1"/>
  <c r="Y286" i="1"/>
  <c r="BP283" i="1"/>
  <c r="BN283" i="1"/>
  <c r="Z283" i="1"/>
  <c r="Z285" i="1" s="1"/>
  <c r="Y285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Y350" i="1"/>
  <c r="BP343" i="1"/>
  <c r="BN343" i="1"/>
  <c r="Z343" i="1"/>
  <c r="S500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0" i="1"/>
  <c r="Y371" i="1"/>
  <c r="BP368" i="1"/>
  <c r="BN368" i="1"/>
  <c r="Z368" i="1"/>
  <c r="Z370" i="1" s="1"/>
  <c r="Y370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L500" i="1"/>
  <c r="Y260" i="1"/>
  <c r="M500" i="1"/>
  <c r="Y268" i="1"/>
  <c r="BP265" i="1"/>
  <c r="BN265" i="1"/>
  <c r="Y267" i="1"/>
  <c r="BP272" i="1"/>
  <c r="BN272" i="1"/>
  <c r="Z272" i="1"/>
  <c r="Z274" i="1" s="1"/>
  <c r="BP290" i="1"/>
  <c r="BN290" i="1"/>
  <c r="Z290" i="1"/>
  <c r="BP294" i="1"/>
  <c r="BN294" i="1"/>
  <c r="Z294" i="1"/>
  <c r="Z295" i="1" s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0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74" i="1"/>
  <c r="BN374" i="1"/>
  <c r="Z374" i="1"/>
  <c r="Z375" i="1" s="1"/>
  <c r="Y376" i="1"/>
  <c r="Y382" i="1"/>
  <c r="BP378" i="1"/>
  <c r="BN378" i="1"/>
  <c r="Z378" i="1"/>
  <c r="Z381" i="1" s="1"/>
  <c r="U500" i="1"/>
  <c r="BP389" i="1"/>
  <c r="BN389" i="1"/>
  <c r="Z389" i="1"/>
  <c r="BP393" i="1"/>
  <c r="BN393" i="1"/>
  <c r="Z393" i="1"/>
  <c r="Y400" i="1"/>
  <c r="BP410" i="1"/>
  <c r="BN410" i="1"/>
  <c r="Z410" i="1"/>
  <c r="BP428" i="1"/>
  <c r="BN428" i="1"/>
  <c r="Z428" i="1"/>
  <c r="BP432" i="1"/>
  <c r="BN432" i="1"/>
  <c r="Z432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Z454" i="1" s="1"/>
  <c r="Y454" i="1"/>
  <c r="P500" i="1"/>
  <c r="Y280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Z448" i="1" s="1"/>
  <c r="BP446" i="1"/>
  <c r="BN446" i="1"/>
  <c r="Z446" i="1"/>
  <c r="Y455" i="1"/>
  <c r="BP460" i="1"/>
  <c r="BN460" i="1"/>
  <c r="Z460" i="1"/>
  <c r="Z463" i="1" s="1"/>
  <c r="BP468" i="1"/>
  <c r="BN468" i="1"/>
  <c r="Z468" i="1"/>
  <c r="Y475" i="1"/>
  <c r="BP472" i="1"/>
  <c r="BN472" i="1"/>
  <c r="Z472" i="1"/>
  <c r="Z474" i="1" s="1"/>
  <c r="Y483" i="1"/>
  <c r="Y500" i="1"/>
  <c r="Y493" i="1" l="1"/>
  <c r="Z439" i="1"/>
  <c r="Z305" i="1"/>
  <c r="Z350" i="1"/>
  <c r="Z215" i="1"/>
  <c r="Z109" i="1"/>
  <c r="Z95" i="1"/>
  <c r="Z88" i="1"/>
  <c r="Z69" i="1"/>
  <c r="Z495" i="1" s="1"/>
  <c r="Y490" i="1"/>
  <c r="Z412" i="1"/>
  <c r="Z312" i="1"/>
  <c r="Z234" i="1"/>
  <c r="Z469" i="1"/>
  <c r="Z331" i="1"/>
  <c r="X493" i="1"/>
</calcChain>
</file>

<file path=xl/sharedStrings.xml><?xml version="1.0" encoding="utf-8"?>
<sst xmlns="http://schemas.openxmlformats.org/spreadsheetml/2006/main" count="2343" uniqueCount="765">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</sst>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7"/>
      <c r="F1" s="577"/>
      <c r="G1" s="12" t="s">
        <v>1</v>
      </c>
      <c r="H1" s="62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0" t="s">
        <v>8</v>
      </c>
      <c r="B5" s="638"/>
      <c r="C5" s="639"/>
      <c r="D5" s="626"/>
      <c r="E5" s="627"/>
      <c r="F5" s="833" t="s">
        <v>9</v>
      </c>
      <c r="G5" s="639"/>
      <c r="H5" s="626"/>
      <c r="I5" s="772"/>
      <c r="J5" s="772"/>
      <c r="K5" s="772"/>
      <c r="L5" s="772"/>
      <c r="M5" s="627"/>
      <c r="N5" s="58"/>
      <c r="P5" s="24" t="s">
        <v>10</v>
      </c>
      <c r="Q5" s="844">
        <v>45995</v>
      </c>
      <c r="R5" s="659"/>
      <c r="T5" s="704" t="s">
        <v>11</v>
      </c>
      <c r="U5" s="705"/>
      <c r="V5" s="707" t="s">
        <v>12</v>
      </c>
      <c r="W5" s="659"/>
      <c r="AB5" s="51"/>
      <c r="AC5" s="51"/>
      <c r="AD5" s="51"/>
      <c r="AE5" s="51"/>
    </row>
    <row r="6" spans="1:32" s="537" customFormat="1" ht="24" customHeight="1" x14ac:dyDescent="0.2">
      <c r="A6" s="660" t="s">
        <v>13</v>
      </c>
      <c r="B6" s="638"/>
      <c r="C6" s="639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59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2" t="s">
        <v>16</v>
      </c>
      <c r="U6" s="705"/>
      <c r="V6" s="760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8"/>
      <c r="U7" s="705"/>
      <c r="V7" s="761"/>
      <c r="W7" s="762"/>
      <c r="AB7" s="51"/>
      <c r="AC7" s="51"/>
      <c r="AD7" s="51"/>
      <c r="AE7" s="51"/>
    </row>
    <row r="8" spans="1:32" s="537" customFormat="1" ht="25.5" customHeight="1" x14ac:dyDescent="0.2">
      <c r="A8" s="864" t="s">
        <v>18</v>
      </c>
      <c r="B8" s="563"/>
      <c r="C8" s="564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666">
        <v>0.41666666666666669</v>
      </c>
      <c r="R8" s="608"/>
      <c r="T8" s="558"/>
      <c r="U8" s="705"/>
      <c r="V8" s="761"/>
      <c r="W8" s="762"/>
      <c r="AB8" s="51"/>
      <c r="AC8" s="51"/>
      <c r="AD8" s="51"/>
      <c r="AE8" s="51"/>
    </row>
    <row r="9" spans="1:32" s="537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79"/>
      <c r="E9" s="561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6"/>
      <c r="R9" s="657"/>
      <c r="T9" s="558"/>
      <c r="U9" s="705"/>
      <c r="V9" s="763"/>
      <c r="W9" s="76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79"/>
      <c r="E10" s="561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52" t="str">
        <f>IFERROR(VLOOKUP($D$10,Proxy,2,FALSE),"")</f>
        <v/>
      </c>
      <c r="I10" s="558"/>
      <c r="J10" s="558"/>
      <c r="K10" s="558"/>
      <c r="L10" s="558"/>
      <c r="M10" s="558"/>
      <c r="N10" s="536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80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9" t="s">
        <v>29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9"/>
      <c r="N12" s="62"/>
      <c r="P12" s="24" t="s">
        <v>30</v>
      </c>
      <c r="Q12" s="666"/>
      <c r="R12" s="608"/>
      <c r="S12" s="23"/>
      <c r="U12" s="24"/>
      <c r="V12" s="577"/>
      <c r="W12" s="558"/>
      <c r="AB12" s="51"/>
      <c r="AC12" s="51"/>
      <c r="AD12" s="51"/>
      <c r="AE12" s="51"/>
    </row>
    <row r="13" spans="1:32" s="537" customFormat="1" ht="23.25" customHeight="1" x14ac:dyDescent="0.2">
      <c r="A13" s="699" t="s">
        <v>31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9"/>
      <c r="N13" s="62"/>
      <c r="O13" s="26"/>
      <c r="P13" s="26" t="s">
        <v>32</v>
      </c>
      <c r="Q13" s="80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9" t="s">
        <v>33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9" t="s">
        <v>34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9"/>
      <c r="N15" s="63"/>
      <c r="P15" s="69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76" t="s">
        <v>38</v>
      </c>
      <c r="D17" s="586" t="s">
        <v>39</v>
      </c>
      <c r="E17" s="646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45"/>
      <c r="R17" s="645"/>
      <c r="S17" s="645"/>
      <c r="T17" s="646"/>
      <c r="U17" s="863" t="s">
        <v>51</v>
      </c>
      <c r="V17" s="639"/>
      <c r="W17" s="586" t="s">
        <v>52</v>
      </c>
      <c r="X17" s="586" t="s">
        <v>53</v>
      </c>
      <c r="Y17" s="861" t="s">
        <v>54</v>
      </c>
      <c r="Z17" s="770" t="s">
        <v>55</v>
      </c>
      <c r="AA17" s="750" t="s">
        <v>56</v>
      </c>
      <c r="AB17" s="750" t="s">
        <v>57</v>
      </c>
      <c r="AC17" s="750" t="s">
        <v>58</v>
      </c>
      <c r="AD17" s="750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47"/>
      <c r="E18" s="649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7"/>
      <c r="X18" s="587"/>
      <c r="Y18" s="862"/>
      <c r="Z18" s="771"/>
      <c r="AA18" s="751"/>
      <c r="AB18" s="751"/>
      <c r="AC18" s="751"/>
      <c r="AD18" s="830"/>
      <c r="AE18" s="831"/>
      <c r="AF18" s="832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38"/>
      <c r="AB20" s="538"/>
      <c r="AC20" s="538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8"/>
      <c r="B23" s="558"/>
      <c r="C23" s="558"/>
      <c r="D23" s="558"/>
      <c r="E23" s="558"/>
      <c r="F23" s="558"/>
      <c r="G23" s="558"/>
      <c r="H23" s="558"/>
      <c r="I23" s="558"/>
      <c r="J23" s="558"/>
      <c r="K23" s="558"/>
      <c r="L23" s="558"/>
      <c r="M23" s="558"/>
      <c r="N23" s="558"/>
      <c r="O23" s="569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7" t="s">
        <v>73</v>
      </c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58"/>
      <c r="P25" s="558"/>
      <c r="Q25" s="558"/>
      <c r="R25" s="558"/>
      <c r="S25" s="558"/>
      <c r="T25" s="558"/>
      <c r="U25" s="558"/>
      <c r="V25" s="558"/>
      <c r="W25" s="558"/>
      <c r="X25" s="558"/>
      <c r="Y25" s="558"/>
      <c r="Z25" s="558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8"/>
      <c r="B31" s="558"/>
      <c r="C31" s="558"/>
      <c r="D31" s="558"/>
      <c r="E31" s="558"/>
      <c r="F31" s="558"/>
      <c r="G31" s="558"/>
      <c r="H31" s="558"/>
      <c r="I31" s="558"/>
      <c r="J31" s="558"/>
      <c r="K31" s="558"/>
      <c r="L31" s="558"/>
      <c r="M31" s="558"/>
      <c r="N31" s="558"/>
      <c r="O31" s="569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7" t="s">
        <v>93</v>
      </c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8"/>
      <c r="B35" s="558"/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69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38"/>
      <c r="AB38" s="538"/>
      <c r="AC38" s="538"/>
    </row>
    <row r="39" spans="1:68" ht="14.25" customHeight="1" x14ac:dyDescent="0.25">
      <c r="A39" s="557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670</v>
      </c>
      <c r="Y40" s="544">
        <f>IFERROR(IF(X40="",0,CEILING((X40/$H40),1)*$H40),"")</f>
        <v>680.40000000000009</v>
      </c>
      <c r="Z40" s="36">
        <f>IFERROR(IF(Y40=0,"",ROUNDUP(Y40/H40,0)*0.01898),"")</f>
        <v>1.19574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695.43518518518522</v>
      </c>
      <c r="BN40" s="64">
        <f>IFERROR(Y40*I40/H40,"0")</f>
        <v>706.23000000000013</v>
      </c>
      <c r="BO40" s="64">
        <f>IFERROR(1/J40*(X40/H40),"0")</f>
        <v>0.96932870370370361</v>
      </c>
      <c r="BP40" s="64">
        <f>IFERROR(1/J40*(Y40/H40),"0")</f>
        <v>0.98437500000000011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69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62.037037037037031</v>
      </c>
      <c r="Y43" s="545">
        <f>IFERROR(Y40/H40,"0")+IFERROR(Y41/H41,"0")+IFERROR(Y42/H42,"0")</f>
        <v>63.000000000000007</v>
      </c>
      <c r="Z43" s="545">
        <f>IFERROR(IF(Z40="",0,Z40),"0")+IFERROR(IF(Z41="",0,Z41),"0")+IFERROR(IF(Z42="",0,Z42),"0")</f>
        <v>1.19574</v>
      </c>
      <c r="AA43" s="546"/>
      <c r="AB43" s="546"/>
      <c r="AC43" s="546"/>
    </row>
    <row r="44" spans="1:68" x14ac:dyDescent="0.2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670</v>
      </c>
      <c r="Y44" s="545">
        <f>IFERROR(SUM(Y40:Y42),"0")</f>
        <v>680.40000000000009</v>
      </c>
      <c r="Z44" s="37"/>
      <c r="AA44" s="546"/>
      <c r="AB44" s="546"/>
      <c r="AC44" s="546"/>
    </row>
    <row r="45" spans="1:68" ht="14.25" customHeight="1" x14ac:dyDescent="0.25">
      <c r="A45" s="557" t="s">
        <v>73</v>
      </c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69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38"/>
      <c r="AB49" s="538"/>
      <c r="AC49" s="538"/>
    </row>
    <row r="50" spans="1:68" ht="14.25" customHeight="1" x14ac:dyDescent="0.25">
      <c r="A50" s="557" t="s">
        <v>101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69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57" t="s">
        <v>136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1780</v>
      </c>
      <c r="Y60" s="544">
        <f>IFERROR(IF(X60="",0,CEILING((X60/$H60),1)*$H60),"")</f>
        <v>1782.0000000000002</v>
      </c>
      <c r="Z60" s="36">
        <f>IFERROR(IF(Y60=0,"",ROUNDUP(Y60/H60,0)*0.01898),"")</f>
        <v>3.1316999999999999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1847.5740740740741</v>
      </c>
      <c r="BN60" s="64">
        <f>IFERROR(Y60*I60/H60,"0")</f>
        <v>1849.6500000000003</v>
      </c>
      <c r="BO60" s="64">
        <f>IFERROR(1/J60*(X60/H60),"0")</f>
        <v>2.5752314814814814</v>
      </c>
      <c r="BP60" s="64">
        <f>IFERROR(1/J60*(Y60/H60),"0")</f>
        <v>2.578125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135</v>
      </c>
      <c r="Y62" s="544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69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214.81481481481481</v>
      </c>
      <c r="Y63" s="545">
        <f>IFERROR(Y60/H60,"0")+IFERROR(Y61/H61,"0")+IFERROR(Y62/H62,"0")</f>
        <v>215</v>
      </c>
      <c r="Z63" s="545">
        <f>IFERROR(IF(Z60="",0,Z60),"0")+IFERROR(IF(Z61="",0,Z61),"0")+IFERROR(IF(Z62="",0,Z62),"0")</f>
        <v>3.4571999999999998</v>
      </c>
      <c r="AA63" s="546"/>
      <c r="AB63" s="546"/>
      <c r="AC63" s="546"/>
    </row>
    <row r="64" spans="1:68" x14ac:dyDescent="0.2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1915</v>
      </c>
      <c r="Y64" s="545">
        <f>IFERROR(SUM(Y60:Y62),"0")</f>
        <v>1917.0000000000002</v>
      </c>
      <c r="Z64" s="37"/>
      <c r="AA64" s="546"/>
      <c r="AB64" s="546"/>
      <c r="AC64" s="546"/>
    </row>
    <row r="65" spans="1:68" ht="14.25" customHeight="1" x14ac:dyDescent="0.25">
      <c r="A65" s="557" t="s">
        <v>64</v>
      </c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69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7" t="s">
        <v>73</v>
      </c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69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57" t="s">
        <v>164</v>
      </c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69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38"/>
      <c r="AB83" s="538"/>
      <c r="AC83" s="538"/>
    </row>
    <row r="84" spans="1:68" ht="14.25" customHeight="1" x14ac:dyDescent="0.25">
      <c r="A84" s="557" t="s">
        <v>101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69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69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57" t="s">
        <v>73</v>
      </c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300</v>
      </c>
      <c r="Y91" s="544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4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69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5">
        <f>IFERROR(X91/H91,"0")+IFERROR(X92/H92,"0")+IFERROR(X93/H93,"0")+IFERROR(X94/H94,"0")</f>
        <v>37.037037037037038</v>
      </c>
      <c r="Y95" s="545">
        <f>IFERROR(Y91/H91,"0")+IFERROR(Y92/H92,"0")+IFERROR(Y93/H93,"0")+IFERROR(Y94/H94,"0")</f>
        <v>38</v>
      </c>
      <c r="Z95" s="545">
        <f>IFERROR(IF(Z91="",0,Z91),"0")+IFERROR(IF(Z92="",0,Z92),"0")+IFERROR(IF(Z93="",0,Z93),"0")+IFERROR(IF(Z94="",0,Z94),"0")</f>
        <v>0.72123999999999999</v>
      </c>
      <c r="AA95" s="546"/>
      <c r="AB95" s="546"/>
      <c r="AC95" s="546"/>
    </row>
    <row r="96" spans="1:68" x14ac:dyDescent="0.2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69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5">
        <f>IFERROR(SUM(X91:X94),"0")</f>
        <v>300</v>
      </c>
      <c r="Y96" s="545">
        <f>IFERROR(SUM(Y91:Y94),"0")</f>
        <v>307.8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38"/>
      <c r="AB97" s="538"/>
      <c r="AC97" s="538"/>
    </row>
    <row r="98" spans="1:68" ht="14.25" customHeight="1" x14ac:dyDescent="0.25">
      <c r="A98" s="557" t="s">
        <v>101</v>
      </c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69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69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57" t="s">
        <v>136</v>
      </c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69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69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57" t="s">
        <v>73</v>
      </c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700</v>
      </c>
      <c r="Y112" s="544">
        <f>IFERROR(IF(X112="",0,CEILING((X112/$H112),1)*$H112),"")</f>
        <v>704.69999999999993</v>
      </c>
      <c r="Z112" s="36">
        <f>IFERROR(IF(Y112=0,"",ROUNDUP(Y112/H112,0)*0.01898),"")</f>
        <v>1.65126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742.17283950617275</v>
      </c>
      <c r="BN112" s="64">
        <f>IFERROR(Y112*I112/H112,"0")</f>
        <v>747.15599999999995</v>
      </c>
      <c r="BO112" s="64">
        <f>IFERROR(1/J112*(X112/H112),"0")</f>
        <v>1.3503086419753088</v>
      </c>
      <c r="BP112" s="64">
        <f>IFERROR(1/J112*(Y112/H112),"0")</f>
        <v>1.359375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69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5">
        <f>IFERROR(X112/H112,"0")+IFERROR(X113/H113,"0")+IFERROR(X114/H114,"0")+IFERROR(X115/H115,"0")</f>
        <v>86.41975308641976</v>
      </c>
      <c r="Y116" s="545">
        <f>IFERROR(Y112/H112,"0")+IFERROR(Y113/H113,"0")+IFERROR(Y114/H114,"0")+IFERROR(Y115/H115,"0")</f>
        <v>87</v>
      </c>
      <c r="Z116" s="545">
        <f>IFERROR(IF(Z112="",0,Z112),"0")+IFERROR(IF(Z113="",0,Z113),"0")+IFERROR(IF(Z114="",0,Z114),"0")+IFERROR(IF(Z115="",0,Z115),"0")</f>
        <v>1.65126</v>
      </c>
      <c r="AA116" s="546"/>
      <c r="AB116" s="546"/>
      <c r="AC116" s="546"/>
    </row>
    <row r="117" spans="1:68" x14ac:dyDescent="0.2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69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5">
        <f>IFERROR(SUM(X112:X115),"0")</f>
        <v>700</v>
      </c>
      <c r="Y117" s="545">
        <f>IFERROR(SUM(Y112:Y115),"0")</f>
        <v>704.69999999999993</v>
      </c>
      <c r="Z117" s="37"/>
      <c r="AA117" s="546"/>
      <c r="AB117" s="546"/>
      <c r="AC117" s="546"/>
    </row>
    <row r="118" spans="1:68" ht="14.25" customHeight="1" x14ac:dyDescent="0.25">
      <c r="A118" s="557" t="s">
        <v>164</v>
      </c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38"/>
      <c r="AB122" s="538"/>
      <c r="AC122" s="538"/>
    </row>
    <row r="123" spans="1:68" ht="14.25" customHeight="1" x14ac:dyDescent="0.25">
      <c r="A123" s="557" t="s">
        <v>101</v>
      </c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69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69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57" t="s">
        <v>64</v>
      </c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69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57" t="s">
        <v>73</v>
      </c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69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38"/>
      <c r="AB138" s="538"/>
      <c r="AC138" s="538"/>
    </row>
    <row r="139" spans="1:68" ht="14.25" customHeight="1" x14ac:dyDescent="0.25">
      <c r="A139" s="557" t="s">
        <v>101</v>
      </c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69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x14ac:dyDescent="0.2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69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customHeight="1" x14ac:dyDescent="0.25">
      <c r="A144" s="557" t="s">
        <v>64</v>
      </c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0">
        <v>4607091387667</v>
      </c>
      <c r="E145" s="551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3">
        <v>60</v>
      </c>
      <c r="Y145" s="544">
        <f>IFERROR(IF(X145="",0,CEILING((X145/$H145),1)*$H145),"")</f>
        <v>63</v>
      </c>
      <c r="Z145" s="36">
        <f>IFERROR(IF(Y145=0,"",ROUNDUP(Y145/H145,0)*0.01898),"")</f>
        <v>0.13286000000000001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63.733333333333334</v>
      </c>
      <c r="BN145" s="64">
        <f>IFERROR(Y145*I145/H145,"0")</f>
        <v>66.920000000000016</v>
      </c>
      <c r="BO145" s="64">
        <f>IFERROR(1/J145*(X145/H145),"0")</f>
        <v>0.10416666666666667</v>
      </c>
      <c r="BP145" s="64">
        <f>IFERROR(1/J145*(Y145/H145),"0")</f>
        <v>0.109375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50">
        <v>4607091387636</v>
      </c>
      <c r="E146" s="551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0">
        <v>4607091382426</v>
      </c>
      <c r="E147" s="551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200</v>
      </c>
      <c r="Y147" s="544">
        <f>IFERROR(IF(X147="",0,CEILING((X147/$H147),1)*$H147),"")</f>
        <v>207</v>
      </c>
      <c r="Z147" s="36">
        <f>IFERROR(IF(Y147=0,"",ROUNDUP(Y147/H147,0)*0.01898),"")</f>
        <v>0.43653999999999998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212.44444444444446</v>
      </c>
      <c r="BN147" s="64">
        <f>IFERROR(Y147*I147/H147,"0")</f>
        <v>219.88</v>
      </c>
      <c r="BO147" s="64">
        <f>IFERROR(1/J147*(X147/H147),"0")</f>
        <v>0.34722222222222221</v>
      </c>
      <c r="BP147" s="64">
        <f>IFERROR(1/J147*(Y147/H147),"0")</f>
        <v>0.359375</v>
      </c>
    </row>
    <row r="148" spans="1:68" x14ac:dyDescent="0.2">
      <c r="A148" s="56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69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5">
        <f>IFERROR(X145/H145,"0")+IFERROR(X146/H146,"0")+IFERROR(X147/H147,"0")</f>
        <v>28.888888888888889</v>
      </c>
      <c r="Y148" s="545">
        <f>IFERROR(Y145/H145,"0")+IFERROR(Y146/H146,"0")+IFERROR(Y147/H147,"0")</f>
        <v>30</v>
      </c>
      <c r="Z148" s="545">
        <f>IFERROR(IF(Z145="",0,Z145),"0")+IFERROR(IF(Z146="",0,Z146),"0")+IFERROR(IF(Z147="",0,Z147),"0")</f>
        <v>0.56940000000000002</v>
      </c>
      <c r="AA148" s="546"/>
      <c r="AB148" s="546"/>
      <c r="AC148" s="546"/>
    </row>
    <row r="149" spans="1:68" x14ac:dyDescent="0.2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69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5">
        <f>IFERROR(SUM(X145:X147),"0")</f>
        <v>260</v>
      </c>
      <c r="Y149" s="545">
        <f>IFERROR(SUM(Y145:Y147),"0")</f>
        <v>270</v>
      </c>
      <c r="Z149" s="37"/>
      <c r="AA149" s="546"/>
      <c r="AB149" s="546"/>
      <c r="AC149" s="546"/>
    </row>
    <row r="150" spans="1:68" ht="14.25" customHeight="1" x14ac:dyDescent="0.25">
      <c r="A150" s="557" t="s">
        <v>73</v>
      </c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39"/>
      <c r="AB150" s="539"/>
      <c r="AC150" s="539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50">
        <v>4680115887459</v>
      </c>
      <c r="E151" s="551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customHeight="1" x14ac:dyDescent="0.2">
      <c r="A154" s="566" t="s">
        <v>250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48"/>
      <c r="AB154" s="48"/>
      <c r="AC154" s="48"/>
    </row>
    <row r="155" spans="1:68" ht="16.5" customHeight="1" x14ac:dyDescent="0.25">
      <c r="A155" s="559" t="s">
        <v>251</v>
      </c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38"/>
      <c r="AB155" s="538"/>
      <c r="AC155" s="538"/>
    </row>
    <row r="156" spans="1:68" ht="14.25" customHeight="1" x14ac:dyDescent="0.25">
      <c r="A156" s="557" t="s">
        <v>136</v>
      </c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39"/>
      <c r="AB156" s="539"/>
      <c r="AC156" s="539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50">
        <v>4680115886223</v>
      </c>
      <c r="E157" s="551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69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x14ac:dyDescent="0.2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69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customHeight="1" x14ac:dyDescent="0.25">
      <c r="A160" s="557" t="s">
        <v>64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39"/>
      <c r="AB160" s="539"/>
      <c r="AC160" s="539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0">
        <v>4680115880993</v>
      </c>
      <c r="E161" s="551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50">
        <v>4680115881761</v>
      </c>
      <c r="E162" s="551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50">
        <v>4680115881563</v>
      </c>
      <c r="E163" s="551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50">
        <v>4680115880986</v>
      </c>
      <c r="E164" s="551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50">
        <v>4680115887213</v>
      </c>
      <c r="E165" s="551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1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50">
        <v>4680115881785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50">
        <v>4680115886537</v>
      </c>
      <c r="E167" s="551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50">
        <v>4680115881679</v>
      </c>
      <c r="E168" s="551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50">
        <v>4680115880191</v>
      </c>
      <c r="E169" s="551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50">
        <v>4680115883963</v>
      </c>
      <c r="E170" s="551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69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x14ac:dyDescent="0.2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69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customHeight="1" x14ac:dyDescent="0.25">
      <c r="A173" s="557" t="s">
        <v>93</v>
      </c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39"/>
      <c r="AB173" s="539"/>
      <c r="AC173" s="539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50">
        <v>4680115886780</v>
      </c>
      <c r="E174" s="551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50">
        <v>4680115886742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50">
        <v>4680115886766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customHeight="1" x14ac:dyDescent="0.25">
      <c r="A179" s="557" t="s">
        <v>293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39"/>
      <c r="AB179" s="539"/>
      <c r="AC179" s="539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50">
        <v>4680115886797</v>
      </c>
      <c r="E180" s="551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69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x14ac:dyDescent="0.2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69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customHeight="1" x14ac:dyDescent="0.25">
      <c r="A183" s="559" t="s">
        <v>296</v>
      </c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38"/>
      <c r="AB183" s="538"/>
      <c r="AC183" s="538"/>
    </row>
    <row r="184" spans="1:68" ht="14.25" customHeight="1" x14ac:dyDescent="0.25">
      <c r="A184" s="557" t="s">
        <v>101</v>
      </c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39"/>
      <c r="AB184" s="539"/>
      <c r="AC184" s="539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50">
        <v>4680115881402</v>
      </c>
      <c r="E185" s="551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50">
        <v>4680115881396</v>
      </c>
      <c r="E186" s="551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customHeight="1" x14ac:dyDescent="0.25">
      <c r="A189" s="557" t="s">
        <v>136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39"/>
      <c r="AB189" s="539"/>
      <c r="AC189" s="539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50">
        <v>4680115882935</v>
      </c>
      <c r="E190" s="551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50">
        <v>4680115880764</v>
      </c>
      <c r="E191" s="551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69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x14ac:dyDescent="0.2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customHeight="1" x14ac:dyDescent="0.25">
      <c r="A194" s="557" t="s">
        <v>64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50">
        <v>4680115882683</v>
      </c>
      <c r="E195" s="551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3">
        <v>200</v>
      </c>
      <c r="Y195" s="544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50">
        <v>4680115882690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50">
        <v>4680115882669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200</v>
      </c>
      <c r="Y197" s="544">
        <f t="shared" si="10"/>
        <v>205.20000000000002</v>
      </c>
      <c r="Z197" s="36">
        <f>IFERROR(IF(Y197=0,"",ROUNDUP(Y197/H197,0)*0.00902),"")</f>
        <v>0.34276000000000001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207.03703703703701</v>
      </c>
      <c r="BN197" s="64">
        <f t="shared" si="12"/>
        <v>212.42</v>
      </c>
      <c r="BO197" s="64">
        <f t="shared" si="13"/>
        <v>0.28058361391694725</v>
      </c>
      <c r="BP197" s="64">
        <f t="shared" si="14"/>
        <v>0.2878787878787879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50">
        <v>4680115882676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50">
        <v>4680115884014</v>
      </c>
      <c r="E199" s="551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50">
        <v>4680115884007</v>
      </c>
      <c r="E200" s="551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50">
        <v>4680115884038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50">
        <v>4680115884021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69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111.11111111111111</v>
      </c>
      <c r="Y203" s="545">
        <f>IFERROR(Y195/H195,"0")+IFERROR(Y196/H196,"0")+IFERROR(Y197/H197,"0")+IFERROR(Y198/H198,"0")+IFERROR(Y199/H199,"0")+IFERROR(Y200/H200,"0")+IFERROR(Y201/H201,"0")+IFERROR(Y202/H202,"0")</f>
        <v>114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1.0282800000000001</v>
      </c>
      <c r="AA203" s="546"/>
      <c r="AB203" s="546"/>
      <c r="AC203" s="546"/>
    </row>
    <row r="204" spans="1:68" x14ac:dyDescent="0.2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69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5">
        <f>IFERROR(SUM(X195:X202),"0")</f>
        <v>600</v>
      </c>
      <c r="Y204" s="545">
        <f>IFERROR(SUM(Y195:Y202),"0")</f>
        <v>615.6</v>
      </c>
      <c r="Z204" s="37"/>
      <c r="AA204" s="546"/>
      <c r="AB204" s="546"/>
      <c r="AC204" s="546"/>
    </row>
    <row r="205" spans="1:68" ht="14.25" customHeight="1" x14ac:dyDescent="0.25">
      <c r="A205" s="557" t="s">
        <v>73</v>
      </c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39"/>
      <c r="AB205" s="539"/>
      <c r="AC205" s="539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50">
        <v>4680115881594</v>
      </c>
      <c r="E206" s="551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50">
        <v>4680115881617</v>
      </c>
      <c r="E207" s="551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0">
        <v>4680115880573</v>
      </c>
      <c r="E208" s="551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50">
        <v>4680115882195</v>
      </c>
      <c r="E209" s="551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50">
        <v>4680115882607</v>
      </c>
      <c r="E210" s="551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0">
        <v>4680115880092</v>
      </c>
      <c r="E211" s="551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0">
        <v>4680115880221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50">
        <v>4680115880504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50">
        <v>4680115882164</v>
      </c>
      <c r="E214" s="551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69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0</v>
      </c>
      <c r="Y215" s="545">
        <f>IFERROR(Y206/H206,"0")+IFERROR(Y207/H207,"0")+IFERROR(Y208/H208,"0")+IFERROR(Y209/H209,"0")+IFERROR(Y210/H210,"0")+IFERROR(Y211/H211,"0")+IFERROR(Y212/H212,"0")+IFERROR(Y213/H213,"0")+IFERROR(Y214/H214,"0")</f>
        <v>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6"/>
      <c r="AB215" s="546"/>
      <c r="AC215" s="546"/>
    </row>
    <row r="216" spans="1:68" x14ac:dyDescent="0.2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69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5">
        <f>IFERROR(SUM(X206:X214),"0")</f>
        <v>0</v>
      </c>
      <c r="Y216" s="545">
        <f>IFERROR(SUM(Y206:Y214),"0")</f>
        <v>0</v>
      </c>
      <c r="Z216" s="37"/>
      <c r="AA216" s="546"/>
      <c r="AB216" s="546"/>
      <c r="AC216" s="546"/>
    </row>
    <row r="217" spans="1:68" ht="14.25" customHeight="1" x14ac:dyDescent="0.25">
      <c r="A217" s="557" t="s">
        <v>164</v>
      </c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50">
        <v>4680115880818</v>
      </c>
      <c r="E218" s="551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50">
        <v>4680115880801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69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x14ac:dyDescent="0.2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customHeight="1" x14ac:dyDescent="0.25">
      <c r="A222" s="559" t="s">
        <v>355</v>
      </c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38"/>
      <c r="AB222" s="538"/>
      <c r="AC222" s="538"/>
    </row>
    <row r="223" spans="1:68" ht="14.25" customHeight="1" x14ac:dyDescent="0.25">
      <c r="A223" s="557" t="s">
        <v>101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39"/>
      <c r="AB223" s="539"/>
      <c r="AC223" s="539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50">
        <v>4680115884137</v>
      </c>
      <c r="E224" s="551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50">
        <v>4680115884236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50">
        <v>4680115884175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50">
        <v>4680115884144</v>
      </c>
      <c r="E227" s="551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50">
        <v>4680115886551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50">
        <v>4680115884182</v>
      </c>
      <c r="E230" s="551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50">
        <v>4680115887282</v>
      </c>
      <c r="E231" s="551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50">
        <v>4680115884205</v>
      </c>
      <c r="E232" s="551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69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x14ac:dyDescent="0.2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69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customHeight="1" x14ac:dyDescent="0.25">
      <c r="A236" s="557" t="s">
        <v>136</v>
      </c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39"/>
      <c r="AB236" s="539"/>
      <c r="AC236" s="539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50">
        <v>4680115885981</v>
      </c>
      <c r="E237" s="551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69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x14ac:dyDescent="0.2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customHeight="1" x14ac:dyDescent="0.25">
      <c r="A240" s="557" t="s">
        <v>381</v>
      </c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39"/>
      <c r="AB240" s="539"/>
      <c r="AC240" s="539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50">
        <v>4680115886803</v>
      </c>
      <c r="E241" s="551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69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x14ac:dyDescent="0.2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customHeight="1" x14ac:dyDescent="0.25">
      <c r="A244" s="557" t="s">
        <v>385</v>
      </c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39"/>
      <c r="AB244" s="539"/>
      <c r="AC244" s="539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50">
        <v>4680115886704</v>
      </c>
      <c r="E245" s="551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50">
        <v>4680115886681</v>
      </c>
      <c r="E246" s="551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50">
        <v>4680115886735</v>
      </c>
      <c r="E247" s="551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50">
        <v>4680115886728</v>
      </c>
      <c r="E248" s="551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50">
        <v>4680115886711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69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x14ac:dyDescent="0.2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69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customHeight="1" x14ac:dyDescent="0.25">
      <c r="A252" s="559" t="s">
        <v>397</v>
      </c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38"/>
      <c r="AB252" s="538"/>
      <c r="AC252" s="538"/>
    </row>
    <row r="253" spans="1:68" ht="14.25" customHeight="1" x14ac:dyDescent="0.25">
      <c r="A253" s="557" t="s">
        <v>101</v>
      </c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39"/>
      <c r="AB253" s="539"/>
      <c r="AC253" s="539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50">
        <v>4680115885837</v>
      </c>
      <c r="E254" s="551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50">
        <v>4680115885851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50">
        <v>4680115885806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50">
        <v>4680115885844</v>
      </c>
      <c r="E257" s="551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50">
        <v>4680115885820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69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x14ac:dyDescent="0.2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69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customHeight="1" x14ac:dyDescent="0.25">
      <c r="A261" s="559" t="s">
        <v>413</v>
      </c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38"/>
      <c r="AB261" s="538"/>
      <c r="AC261" s="538"/>
    </row>
    <row r="262" spans="1:68" ht="14.25" customHeight="1" x14ac:dyDescent="0.25">
      <c r="A262" s="557" t="s">
        <v>101</v>
      </c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39"/>
      <c r="AB262" s="539"/>
      <c r="AC262" s="539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50">
        <v>4607091383423</v>
      </c>
      <c r="E263" s="551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50">
        <v>4680115886957</v>
      </c>
      <c r="E264" s="551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8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50">
        <v>4680115885660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50">
        <v>4680115886773</v>
      </c>
      <c r="E266" s="551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69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x14ac:dyDescent="0.2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69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customHeight="1" x14ac:dyDescent="0.25">
      <c r="A269" s="559" t="s">
        <v>424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38"/>
      <c r="AB269" s="538"/>
      <c r="AC269" s="538"/>
    </row>
    <row r="270" spans="1:68" ht="14.25" customHeight="1" x14ac:dyDescent="0.25">
      <c r="A270" s="557" t="s">
        <v>73</v>
      </c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39"/>
      <c r="AB270" s="539"/>
      <c r="AC270" s="539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50">
        <v>4680115886186</v>
      </c>
      <c r="E271" s="551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50">
        <v>4680115881228</v>
      </c>
      <c r="E272" s="551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50">
        <v>4680115881211</v>
      </c>
      <c r="E273" s="551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69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x14ac:dyDescent="0.2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69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customHeight="1" x14ac:dyDescent="0.25">
      <c r="A276" s="559" t="s">
        <v>433</v>
      </c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38"/>
      <c r="AB276" s="538"/>
      <c r="AC276" s="538"/>
    </row>
    <row r="277" spans="1:68" ht="14.25" customHeight="1" x14ac:dyDescent="0.25">
      <c r="A277" s="557" t="s">
        <v>64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39"/>
      <c r="AB277" s="539"/>
      <c r="AC277" s="539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50">
        <v>4680115880344</v>
      </c>
      <c r="E278" s="551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50">
        <v>4680115886919</v>
      </c>
      <c r="E279" s="551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x14ac:dyDescent="0.2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69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customHeight="1" x14ac:dyDescent="0.25">
      <c r="A282" s="557" t="s">
        <v>73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50">
        <v>4680115884618</v>
      </c>
      <c r="E283" s="551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3">
        <v>36</v>
      </c>
      <c r="Y283" s="544">
        <f>IFERROR(IF(X283="",0,CEILING((X283/$H283),1)*$H283),"")</f>
        <v>36</v>
      </c>
      <c r="Z283" s="36">
        <f>IFERROR(IF(Y283=0,"",ROUNDUP(Y283/H283,0)*0.00902),"")</f>
        <v>9.0200000000000002E-2</v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37.9</v>
      </c>
      <c r="BN283" s="64">
        <f>IFERROR(Y283*I283/H283,"0")</f>
        <v>37.9</v>
      </c>
      <c r="BO283" s="64">
        <f>IFERROR(1/J283*(X283/H283),"0")</f>
        <v>7.575757575757576E-2</v>
      </c>
      <c r="BP283" s="64">
        <f>IFERROR(1/J283*(Y283/H283),"0")</f>
        <v>7.575757575757576E-2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IFERROR(X283/H283,"0")+IFERROR(X284/H284,"0")</f>
        <v>10</v>
      </c>
      <c r="Y285" s="545">
        <f>IFERROR(Y283/H283,"0")+IFERROR(Y284/H284,"0")</f>
        <v>10</v>
      </c>
      <c r="Z285" s="545">
        <f>IFERROR(IF(Z283="",0,Z283),"0")+IFERROR(IF(Z284="",0,Z284),"0")</f>
        <v>9.0200000000000002E-2</v>
      </c>
      <c r="AA285" s="546"/>
      <c r="AB285" s="546"/>
      <c r="AC285" s="546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IFERROR(SUM(X283:X284),"0")</f>
        <v>36</v>
      </c>
      <c r="Y286" s="545">
        <f>IFERROR(SUM(Y283:Y284),"0")</f>
        <v>36</v>
      </c>
      <c r="Z286" s="37"/>
      <c r="AA286" s="546"/>
      <c r="AB286" s="546"/>
      <c r="AC286" s="546"/>
    </row>
    <row r="287" spans="1:68" ht="16.5" customHeight="1" x14ac:dyDescent="0.25">
      <c r="A287" s="559" t="s">
        <v>446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38"/>
      <c r="AB287" s="538"/>
      <c r="AC287" s="538"/>
    </row>
    <row r="288" spans="1:68" ht="14.25" customHeight="1" x14ac:dyDescent="0.25">
      <c r="A288" s="557" t="s">
        <v>101</v>
      </c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39"/>
      <c r="AB288" s="539"/>
      <c r="AC288" s="539"/>
    </row>
    <row r="289" spans="1:68" ht="27" customHeight="1" x14ac:dyDescent="0.25">
      <c r="A289" s="54" t="s">
        <v>447</v>
      </c>
      <c r="B289" s="54" t="s">
        <v>448</v>
      </c>
      <c r="C289" s="31">
        <v>4301012126</v>
      </c>
      <c r="D289" s="550">
        <v>4607091386004</v>
      </c>
      <c r="E289" s="551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50">
        <v>4680115885615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250</v>
      </c>
      <c r="Y290" s="544">
        <f t="shared" si="26"/>
        <v>259.20000000000005</v>
      </c>
      <c r="Z290" s="36">
        <f>IFERROR(IF(Y290=0,"",ROUNDUP(Y290/H290,0)*0.01898),"")</f>
        <v>0.45552000000000004</v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259.4907407407407</v>
      </c>
      <c r="BN290" s="64">
        <f t="shared" si="28"/>
        <v>269.04000000000002</v>
      </c>
      <c r="BO290" s="64">
        <f t="shared" si="29"/>
        <v>0.36168981481481477</v>
      </c>
      <c r="BP290" s="64">
        <f t="shared" si="30"/>
        <v>0.37500000000000006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50">
        <v>4680115885646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300</v>
      </c>
      <c r="Y291" s="544">
        <f t="shared" si="26"/>
        <v>302.40000000000003</v>
      </c>
      <c r="Z291" s="36">
        <f>IFERROR(IF(Y291=0,"",ROUNDUP(Y291/H291,0)*0.01898),"")</f>
        <v>0.53144000000000002</v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311.38888888888891</v>
      </c>
      <c r="BN291" s="64">
        <f t="shared" si="28"/>
        <v>313.88</v>
      </c>
      <c r="BO291" s="64">
        <f t="shared" si="29"/>
        <v>0.43402777777777773</v>
      </c>
      <c r="BP291" s="64">
        <f t="shared" si="30"/>
        <v>0.4375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50">
        <v>4680115885554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50">
        <v>4680115885622</v>
      </c>
      <c r="E293" s="551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80</v>
      </c>
      <c r="Y293" s="544">
        <f t="shared" si="26"/>
        <v>80</v>
      </c>
      <c r="Z293" s="36">
        <f>IFERROR(IF(Y293=0,"",ROUNDUP(Y293/H293,0)*0.00902),"")</f>
        <v>0.1804</v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83.800000000000011</v>
      </c>
      <c r="BN293" s="64">
        <f t="shared" si="28"/>
        <v>83.800000000000011</v>
      </c>
      <c r="BO293" s="64">
        <f t="shared" si="29"/>
        <v>0.15151515151515152</v>
      </c>
      <c r="BP293" s="64">
        <f t="shared" si="30"/>
        <v>0.15151515151515152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50">
        <v>4680115885608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69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70.925925925925924</v>
      </c>
      <c r="Y295" s="545">
        <f>IFERROR(Y289/H289,"0")+IFERROR(Y290/H290,"0")+IFERROR(Y291/H291,"0")+IFERROR(Y292/H292,"0")+IFERROR(Y293/H293,"0")+IFERROR(Y294/H294,"0")</f>
        <v>72</v>
      </c>
      <c r="Z295" s="545">
        <f>IFERROR(IF(Z289="",0,Z289),"0")+IFERROR(IF(Z290="",0,Z290),"0")+IFERROR(IF(Z291="",0,Z291),"0")+IFERROR(IF(Z292="",0,Z292),"0")+IFERROR(IF(Z293="",0,Z293),"0")+IFERROR(IF(Z294="",0,Z294),"0")</f>
        <v>1.16736</v>
      </c>
      <c r="AA295" s="546"/>
      <c r="AB295" s="546"/>
      <c r="AC295" s="546"/>
    </row>
    <row r="296" spans="1:68" x14ac:dyDescent="0.2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69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630</v>
      </c>
      <c r="Y296" s="545">
        <f>IFERROR(SUM(Y289:Y294),"0")</f>
        <v>641.60000000000014</v>
      </c>
      <c r="Z296" s="37"/>
      <c r="AA296" s="546"/>
      <c r="AB296" s="546"/>
      <c r="AC296" s="546"/>
    </row>
    <row r="297" spans="1:68" ht="14.25" customHeight="1" x14ac:dyDescent="0.25">
      <c r="A297" s="557" t="s">
        <v>64</v>
      </c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50">
        <v>4607091387193</v>
      </c>
      <c r="E298" s="551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300</v>
      </c>
      <c r="Y298" s="544">
        <f t="shared" ref="Y298:Y304" si="31">IFERROR(IF(X298="",0,CEILING((X298/$H298),1)*$H298),"")</f>
        <v>302.40000000000003</v>
      </c>
      <c r="Z298" s="36">
        <f>IFERROR(IF(Y298=0,"",ROUNDUP(Y298/H298,0)*0.00902),"")</f>
        <v>0.64944000000000002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317.85714285714283</v>
      </c>
      <c r="BN298" s="64">
        <f t="shared" ref="BN298:BN304" si="33">IFERROR(Y298*I298/H298,"0")</f>
        <v>320.40000000000003</v>
      </c>
      <c r="BO298" s="64">
        <f t="shared" ref="BO298:BO304" si="34">IFERROR(1/J298*(X298/H298),"0")</f>
        <v>0.54112554112554112</v>
      </c>
      <c r="BP298" s="64">
        <f t="shared" ref="BP298:BP304" si="35">IFERROR(1/J298*(Y298/H298),"0")</f>
        <v>0.54545454545454541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50">
        <v>4607091387230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400</v>
      </c>
      <c r="Y299" s="544">
        <f t="shared" si="31"/>
        <v>403.20000000000005</v>
      </c>
      <c r="Z299" s="36">
        <f>IFERROR(IF(Y299=0,"",ROUNDUP(Y299/H299,0)*0.00902),"")</f>
        <v>0.86592000000000002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423.8095238095238</v>
      </c>
      <c r="BN299" s="64">
        <f t="shared" si="33"/>
        <v>427.20000000000005</v>
      </c>
      <c r="BO299" s="64">
        <f t="shared" si="34"/>
        <v>0.72150072150072153</v>
      </c>
      <c r="BP299" s="64">
        <f t="shared" si="35"/>
        <v>0.72727272727272729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50">
        <v>4607091387292</v>
      </c>
      <c r="E300" s="551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50">
        <v>4607091387285</v>
      </c>
      <c r="E301" s="55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50">
        <v>4607091389845</v>
      </c>
      <c r="E302" s="55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4301031306</v>
      </c>
      <c r="D303" s="550">
        <v>4680115882881</v>
      </c>
      <c r="E303" s="55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480</v>
      </c>
      <c r="B304" s="54" t="s">
        <v>481</v>
      </c>
      <c r="C304" s="31">
        <v>4301031066</v>
      </c>
      <c r="D304" s="550">
        <v>4607091383836</v>
      </c>
      <c r="E304" s="55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69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166.66666666666669</v>
      </c>
      <c r="Y305" s="545">
        <f>IFERROR(Y298/H298,"0")+IFERROR(Y299/H299,"0")+IFERROR(Y300/H300,"0")+IFERROR(Y301/H301,"0")+IFERROR(Y302/H302,"0")+IFERROR(Y303/H303,"0")+IFERROR(Y304/H304,"0")</f>
        <v>168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1.51536</v>
      </c>
      <c r="AA305" s="546"/>
      <c r="AB305" s="546"/>
      <c r="AC305" s="546"/>
    </row>
    <row r="306" spans="1:68" x14ac:dyDescent="0.2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69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700</v>
      </c>
      <c r="Y306" s="545">
        <f>IFERROR(SUM(Y298:Y304),"0")</f>
        <v>705.60000000000014</v>
      </c>
      <c r="Z306" s="37"/>
      <c r="AA306" s="546"/>
      <c r="AB306" s="546"/>
      <c r="AC306" s="546"/>
    </row>
    <row r="307" spans="1:68" ht="14.25" customHeight="1" x14ac:dyDescent="0.25">
      <c r="A307" s="557" t="s">
        <v>73</v>
      </c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50">
        <v>4607091387766</v>
      </c>
      <c r="E308" s="551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1970</v>
      </c>
      <c r="Y308" s="544">
        <f>IFERROR(IF(X308="",0,CEILING((X308/$H308),1)*$H308),"")</f>
        <v>1973.3999999999999</v>
      </c>
      <c r="Z308" s="36">
        <f>IFERROR(IF(Y308=0,"",ROUNDUP(Y308/H308,0)*0.01898),"")</f>
        <v>4.8019400000000001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2093.251282051282</v>
      </c>
      <c r="BN308" s="64">
        <f>IFERROR(Y308*I308/H308,"0")</f>
        <v>2096.864</v>
      </c>
      <c r="BO308" s="64">
        <f>IFERROR(1/J308*(X308/H308),"0")</f>
        <v>3.9463141025641026</v>
      </c>
      <c r="BP308" s="64">
        <f>IFERROR(1/J308*(Y308/H308),"0")</f>
        <v>3.953125</v>
      </c>
    </row>
    <row r="309" spans="1:68" ht="27" customHeight="1" x14ac:dyDescent="0.25">
      <c r="A309" s="54" t="s">
        <v>486</v>
      </c>
      <c r="B309" s="54" t="s">
        <v>487</v>
      </c>
      <c r="C309" s="31">
        <v>4301051818</v>
      </c>
      <c r="D309" s="550">
        <v>4607091387957</v>
      </c>
      <c r="E309" s="551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4301051819</v>
      </c>
      <c r="D310" s="550">
        <v>4607091387964</v>
      </c>
      <c r="E310" s="551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492</v>
      </c>
      <c r="B311" s="54" t="s">
        <v>493</v>
      </c>
      <c r="C311" s="31">
        <v>4301051734</v>
      </c>
      <c r="D311" s="550">
        <v>4680115884588</v>
      </c>
      <c r="E311" s="55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6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69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5">
        <f>IFERROR(X308/H308,"0")+IFERROR(X309/H309,"0")+IFERROR(X310/H310,"0")+IFERROR(X311/H311,"0")</f>
        <v>252.56410256410257</v>
      </c>
      <c r="Y312" s="545">
        <f>IFERROR(Y308/H308,"0")+IFERROR(Y309/H309,"0")+IFERROR(Y310/H310,"0")+IFERROR(Y311/H311,"0")</f>
        <v>253</v>
      </c>
      <c r="Z312" s="545">
        <f>IFERROR(IF(Z308="",0,Z308),"0")+IFERROR(IF(Z309="",0,Z309),"0")+IFERROR(IF(Z310="",0,Z310),"0")+IFERROR(IF(Z311="",0,Z311),"0")</f>
        <v>4.8019400000000001</v>
      </c>
      <c r="AA312" s="546"/>
      <c r="AB312" s="546"/>
      <c r="AC312" s="546"/>
    </row>
    <row r="313" spans="1:68" x14ac:dyDescent="0.2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69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5">
        <f>IFERROR(SUM(X308:X311),"0")</f>
        <v>1970</v>
      </c>
      <c r="Y313" s="545">
        <f>IFERROR(SUM(Y308:Y311),"0")</f>
        <v>1973.3999999999999</v>
      </c>
      <c r="Z313" s="37"/>
      <c r="AA313" s="546"/>
      <c r="AB313" s="546"/>
      <c r="AC313" s="546"/>
    </row>
    <row r="314" spans="1:68" ht="14.25" customHeight="1" x14ac:dyDescent="0.25">
      <c r="A314" s="557" t="s">
        <v>164</v>
      </c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50">
        <v>4607091380880</v>
      </c>
      <c r="E315" s="551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50">
        <v>4607091384482</v>
      </c>
      <c r="E316" s="551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300</v>
      </c>
      <c r="Y316" s="544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319.00000000000006</v>
      </c>
      <c r="BN316" s="64">
        <f>IFERROR(Y316*I316/H316,"0")</f>
        <v>323.46600000000001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501</v>
      </c>
      <c r="B317" s="54" t="s">
        <v>502</v>
      </c>
      <c r="C317" s="31">
        <v>4301060484</v>
      </c>
      <c r="D317" s="550">
        <v>4607091380897</v>
      </c>
      <c r="E317" s="551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69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5">
        <f>IFERROR(X315/H315,"0")+IFERROR(X316/H316,"0")+IFERROR(X317/H317,"0")</f>
        <v>38.46153846153846</v>
      </c>
      <c r="Y318" s="545">
        <f>IFERROR(Y315/H315,"0")+IFERROR(Y316/H316,"0")+IFERROR(Y317/H317,"0")</f>
        <v>39</v>
      </c>
      <c r="Z318" s="545">
        <f>IFERROR(IF(Z315="",0,Z315),"0")+IFERROR(IF(Z316="",0,Z316),"0")+IFERROR(IF(Z317="",0,Z317),"0")</f>
        <v>0.74021999999999999</v>
      </c>
      <c r="AA318" s="546"/>
      <c r="AB318" s="546"/>
      <c r="AC318" s="546"/>
    </row>
    <row r="319" spans="1:68" x14ac:dyDescent="0.2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69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5">
        <f>IFERROR(SUM(X315:X317),"0")</f>
        <v>300</v>
      </c>
      <c r="Y319" s="545">
        <f>IFERROR(SUM(Y315:Y317),"0")</f>
        <v>304.2</v>
      </c>
      <c r="Z319" s="37"/>
      <c r="AA319" s="546"/>
      <c r="AB319" s="546"/>
      <c r="AC319" s="546"/>
    </row>
    <row r="320" spans="1:68" ht="14.25" customHeight="1" x14ac:dyDescent="0.25">
      <c r="A320" s="557" t="s">
        <v>93</v>
      </c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50">
        <v>4607091388381</v>
      </c>
      <c r="E321" s="551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50">
        <v>4607091388374</v>
      </c>
      <c r="E322" s="551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4301032015</v>
      </c>
      <c r="D323" s="550">
        <v>4607091383102</v>
      </c>
      <c r="E323" s="551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512</v>
      </c>
      <c r="B324" s="54" t="s">
        <v>513</v>
      </c>
      <c r="C324" s="31">
        <v>4301030233</v>
      </c>
      <c r="D324" s="550">
        <v>4607091388404</v>
      </c>
      <c r="E324" s="551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69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x14ac:dyDescent="0.2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69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customHeight="1" x14ac:dyDescent="0.25">
      <c r="A327" s="557" t="s">
        <v>514</v>
      </c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39"/>
      <c r="AB327" s="539"/>
      <c r="AC327" s="539"/>
    </row>
    <row r="328" spans="1:68" ht="16.5" customHeight="1" x14ac:dyDescent="0.25">
      <c r="A328" s="54" t="s">
        <v>515</v>
      </c>
      <c r="B328" s="54" t="s">
        <v>516</v>
      </c>
      <c r="C328" s="31">
        <v>4301180007</v>
      </c>
      <c r="D328" s="550">
        <v>4680115881808</v>
      </c>
      <c r="E328" s="551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4301180006</v>
      </c>
      <c r="D329" s="550">
        <v>4680115881822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521</v>
      </c>
      <c r="B330" s="54" t="s">
        <v>522</v>
      </c>
      <c r="C330" s="31">
        <v>4301180001</v>
      </c>
      <c r="D330" s="550">
        <v>4680115880016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69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x14ac:dyDescent="0.2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69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customHeight="1" x14ac:dyDescent="0.25">
      <c r="A333" s="559" t="s">
        <v>523</v>
      </c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38"/>
      <c r="AB333" s="538"/>
      <c r="AC333" s="538"/>
    </row>
    <row r="334" spans="1:68" ht="14.25" customHeight="1" x14ac:dyDescent="0.25">
      <c r="A334" s="557" t="s">
        <v>73</v>
      </c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50">
        <v>4607091387919</v>
      </c>
      <c r="E335" s="551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150</v>
      </c>
      <c r="Y335" s="544">
        <f>IFERROR(IF(X335="",0,CEILING((X335/$H335),1)*$H335),"")</f>
        <v>153.9</v>
      </c>
      <c r="Z335" s="36">
        <f>IFERROR(IF(Y335=0,"",ROUNDUP(Y335/H335,0)*0.01898),"")</f>
        <v>0.36062</v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159.14814814814815</v>
      </c>
      <c r="BN335" s="64">
        <f>IFERROR(Y335*I335/H335,"0")</f>
        <v>163.286</v>
      </c>
      <c r="BO335" s="64">
        <f>IFERROR(1/J335*(X335/H335),"0")</f>
        <v>0.28935185185185186</v>
      </c>
      <c r="BP335" s="64">
        <f>IFERROR(1/J335*(Y335/H335),"0")</f>
        <v>0.296875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50">
        <v>4680115883604</v>
      </c>
      <c r="E336" s="551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52</v>
      </c>
      <c r="Y336" s="544">
        <f>IFERROR(IF(X336="",0,CEILING((X336/$H336),1)*$H336),"")</f>
        <v>52.5</v>
      </c>
      <c r="Z336" s="36">
        <f>IFERROR(IF(Y336=0,"",ROUNDUP(Y336/H336,0)*0.00651),"")</f>
        <v>0.16275000000000001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58.239999999999995</v>
      </c>
      <c r="BN336" s="64">
        <f>IFERROR(Y336*I336/H336,"0")</f>
        <v>58.79999999999999</v>
      </c>
      <c r="BO336" s="64">
        <f>IFERROR(1/J336*(X336/H336),"0")</f>
        <v>0.13605442176870747</v>
      </c>
      <c r="BP336" s="64">
        <f>IFERROR(1/J336*(Y336/H336),"0")</f>
        <v>0.13736263736263737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50">
        <v>4680115883567</v>
      </c>
      <c r="E337" s="551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21</v>
      </c>
      <c r="Y337" s="544">
        <f>IFERROR(IF(X337="",0,CEILING((X337/$H337),1)*$H337),"")</f>
        <v>21</v>
      </c>
      <c r="Z337" s="36">
        <f>IFERROR(IF(Y337=0,"",ROUNDUP(Y337/H337,0)*0.00651),"")</f>
        <v>6.5100000000000005E-2</v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23.4</v>
      </c>
      <c r="BN337" s="64">
        <f>IFERROR(Y337*I337/H337,"0")</f>
        <v>23.4</v>
      </c>
      <c r="BO337" s="64">
        <f>IFERROR(1/J337*(X337/H337),"0")</f>
        <v>5.4945054945054951E-2</v>
      </c>
      <c r="BP337" s="64">
        <f>IFERROR(1/J337*(Y337/H337),"0")</f>
        <v>5.4945054945054951E-2</v>
      </c>
    </row>
    <row r="338" spans="1:68" x14ac:dyDescent="0.2">
      <c r="A338" s="56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69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5">
        <f>IFERROR(X335/H335,"0")+IFERROR(X336/H336,"0")+IFERROR(X337/H337,"0")</f>
        <v>53.280423280423278</v>
      </c>
      <c r="Y338" s="545">
        <f>IFERROR(Y335/H335,"0")+IFERROR(Y336/H336,"0")+IFERROR(Y337/H337,"0")</f>
        <v>54</v>
      </c>
      <c r="Z338" s="545">
        <f>IFERROR(IF(Z335="",0,Z335),"0")+IFERROR(IF(Z336="",0,Z336),"0")+IFERROR(IF(Z337="",0,Z337),"0")</f>
        <v>0.58847000000000005</v>
      </c>
      <c r="AA338" s="546"/>
      <c r="AB338" s="546"/>
      <c r="AC338" s="546"/>
    </row>
    <row r="339" spans="1:68" x14ac:dyDescent="0.2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69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5">
        <f>IFERROR(SUM(X335:X337),"0")</f>
        <v>223</v>
      </c>
      <c r="Y339" s="545">
        <f>IFERROR(SUM(Y335:Y337),"0")</f>
        <v>227.4</v>
      </c>
      <c r="Z339" s="37"/>
      <c r="AA339" s="546"/>
      <c r="AB339" s="546"/>
      <c r="AC339" s="546"/>
    </row>
    <row r="340" spans="1:68" ht="27.75" customHeight="1" x14ac:dyDescent="0.2">
      <c r="A340" s="566" t="s">
        <v>533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48"/>
      <c r="AB340" s="48"/>
      <c r="AC340" s="48"/>
    </row>
    <row r="341" spans="1:68" ht="16.5" customHeight="1" x14ac:dyDescent="0.25">
      <c r="A341" s="559" t="s">
        <v>534</v>
      </c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38"/>
      <c r="AB341" s="538"/>
      <c r="AC341" s="538"/>
    </row>
    <row r="342" spans="1:68" ht="14.25" customHeight="1" x14ac:dyDescent="0.25">
      <c r="A342" s="557" t="s">
        <v>101</v>
      </c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50">
        <v>4680115884847</v>
      </c>
      <c r="E343" s="551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3">
        <v>0</v>
      </c>
      <c r="Y343" s="544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50">
        <v>4680115884854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2950</v>
      </c>
      <c r="Y344" s="544">
        <f t="shared" si="36"/>
        <v>2955</v>
      </c>
      <c r="Z344" s="36">
        <f>IFERROR(IF(Y344=0,"",ROUNDUP(Y344/H344,0)*0.02175),"")</f>
        <v>4.2847499999999998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3042.4333333333334</v>
      </c>
      <c r="BN344" s="64">
        <f t="shared" si="38"/>
        <v>3047.5899999999997</v>
      </c>
      <c r="BO344" s="64">
        <f t="shared" si="39"/>
        <v>4.0972222222222214</v>
      </c>
      <c r="BP344" s="64">
        <f t="shared" si="40"/>
        <v>4.1041666666666661</v>
      </c>
    </row>
    <row r="345" spans="1:68" ht="37.5" customHeight="1" x14ac:dyDescent="0.25">
      <c r="A345" s="54" t="s">
        <v>541</v>
      </c>
      <c r="B345" s="54" t="s">
        <v>542</v>
      </c>
      <c r="C345" s="31">
        <v>4301011867</v>
      </c>
      <c r="D345" s="550">
        <v>4680115884830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50">
        <v>4680115887046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4301011433</v>
      </c>
      <c r="D347" s="550">
        <v>4680115882638</v>
      </c>
      <c r="E347" s="551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550</v>
      </c>
      <c r="B348" s="54" t="s">
        <v>551</v>
      </c>
      <c r="C348" s="31">
        <v>4301011952</v>
      </c>
      <c r="D348" s="550">
        <v>4680115884922</v>
      </c>
      <c r="E348" s="551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552</v>
      </c>
      <c r="B349" s="54" t="s">
        <v>553</v>
      </c>
      <c r="C349" s="31">
        <v>4301011868</v>
      </c>
      <c r="D349" s="550">
        <v>4680115884861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6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69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5">
        <f>IFERROR(X343/H343,"0")+IFERROR(X344/H344,"0")+IFERROR(X345/H345,"0")+IFERROR(X346/H346,"0")+IFERROR(X347/H347,"0")+IFERROR(X348/H348,"0")+IFERROR(X349/H349,"0")</f>
        <v>196.66666666666666</v>
      </c>
      <c r="Y350" s="545">
        <f>IFERROR(Y343/H343,"0")+IFERROR(Y344/H344,"0")+IFERROR(Y345/H345,"0")+IFERROR(Y346/H346,"0")+IFERROR(Y347/H347,"0")+IFERROR(Y348/H348,"0")+IFERROR(Y349/H349,"0")</f>
        <v>197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4.2847499999999998</v>
      </c>
      <c r="AA350" s="546"/>
      <c r="AB350" s="546"/>
      <c r="AC350" s="546"/>
    </row>
    <row r="351" spans="1:68" x14ac:dyDescent="0.2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69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5">
        <f>IFERROR(SUM(X343:X349),"0")</f>
        <v>2950</v>
      </c>
      <c r="Y351" s="545">
        <f>IFERROR(SUM(Y343:Y349),"0")</f>
        <v>2955</v>
      </c>
      <c r="Z351" s="37"/>
      <c r="AA351" s="546"/>
      <c r="AB351" s="546"/>
      <c r="AC351" s="546"/>
    </row>
    <row r="352" spans="1:68" ht="14.25" customHeight="1" x14ac:dyDescent="0.25">
      <c r="A352" s="557" t="s">
        <v>136</v>
      </c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50">
        <v>4607091383980</v>
      </c>
      <c r="E353" s="551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3950</v>
      </c>
      <c r="Y353" s="544">
        <f>IFERROR(IF(X353="",0,CEILING((X353/$H353),1)*$H353),"")</f>
        <v>3960</v>
      </c>
      <c r="Z353" s="36">
        <f>IFERROR(IF(Y353=0,"",ROUNDUP(Y353/H353,0)*0.02175),"")</f>
        <v>5.742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4073.7666666666669</v>
      </c>
      <c r="BN353" s="64">
        <f>IFERROR(Y353*I353/H353,"0")</f>
        <v>4084.0800000000004</v>
      </c>
      <c r="BO353" s="64">
        <f>IFERROR(1/J353*(X353/H353),"0")</f>
        <v>5.4861111111111107</v>
      </c>
      <c r="BP353" s="64">
        <f>IFERROR(1/J353*(Y353/H353),"0")</f>
        <v>5.5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50">
        <v>4607091384178</v>
      </c>
      <c r="E354" s="551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6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69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5">
        <f>IFERROR(X353/H353,"0")+IFERROR(X354/H354,"0")</f>
        <v>263.33333333333331</v>
      </c>
      <c r="Y355" s="545">
        <f>IFERROR(Y353/H353,"0")+IFERROR(Y354/H354,"0")</f>
        <v>264</v>
      </c>
      <c r="Z355" s="545">
        <f>IFERROR(IF(Z353="",0,Z353),"0")+IFERROR(IF(Z354="",0,Z354),"0")</f>
        <v>5.742</v>
      </c>
      <c r="AA355" s="546"/>
      <c r="AB355" s="546"/>
      <c r="AC355" s="546"/>
    </row>
    <row r="356" spans="1:68" x14ac:dyDescent="0.2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69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5">
        <f>IFERROR(SUM(X353:X354),"0")</f>
        <v>3950</v>
      </c>
      <c r="Y356" s="545">
        <f>IFERROR(SUM(Y353:Y354),"0")</f>
        <v>3960</v>
      </c>
      <c r="Z356" s="37"/>
      <c r="AA356" s="546"/>
      <c r="AB356" s="546"/>
      <c r="AC356" s="546"/>
    </row>
    <row r="357" spans="1:68" ht="14.25" customHeight="1" x14ac:dyDescent="0.25">
      <c r="A357" s="557" t="s">
        <v>73</v>
      </c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50">
        <v>4607091383928</v>
      </c>
      <c r="E358" s="551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50">
        <v>4607091384260</v>
      </c>
      <c r="E359" s="551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69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69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7" t="s">
        <v>164</v>
      </c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50">
        <v>4607091384673</v>
      </c>
      <c r="E363" s="551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x14ac:dyDescent="0.2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69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customHeight="1" x14ac:dyDescent="0.25">
      <c r="A366" s="559" t="s">
        <v>569</v>
      </c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38"/>
      <c r="AB366" s="538"/>
      <c r="AC366" s="538"/>
    </row>
    <row r="367" spans="1:68" ht="14.25" customHeight="1" x14ac:dyDescent="0.25">
      <c r="A367" s="557" t="s">
        <v>101</v>
      </c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39"/>
      <c r="AB367" s="539"/>
      <c r="AC367" s="539"/>
    </row>
    <row r="368" spans="1:68" ht="37.5" customHeight="1" x14ac:dyDescent="0.25">
      <c r="A368" s="54" t="s">
        <v>570</v>
      </c>
      <c r="B368" s="54" t="s">
        <v>571</v>
      </c>
      <c r="C368" s="31">
        <v>4301011875</v>
      </c>
      <c r="D368" s="550">
        <v>4680115884885</v>
      </c>
      <c r="E368" s="551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573</v>
      </c>
      <c r="B369" s="54" t="s">
        <v>574</v>
      </c>
      <c r="C369" s="31">
        <v>4301011871</v>
      </c>
      <c r="D369" s="550">
        <v>4680115884908</v>
      </c>
      <c r="E369" s="551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69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x14ac:dyDescent="0.2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69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customHeight="1" x14ac:dyDescent="0.25">
      <c r="A372" s="557" t="s">
        <v>64</v>
      </c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50">
        <v>4607091384802</v>
      </c>
      <c r="E373" s="551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575</v>
      </c>
      <c r="B374" s="54" t="s">
        <v>578</v>
      </c>
      <c r="C374" s="31">
        <v>4301031457</v>
      </c>
      <c r="D374" s="550">
        <v>4607091384802</v>
      </c>
      <c r="E374" s="551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69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x14ac:dyDescent="0.2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69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customHeight="1" x14ac:dyDescent="0.25">
      <c r="A377" s="557" t="s">
        <v>73</v>
      </c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50">
        <v>4607091384246</v>
      </c>
      <c r="E378" s="551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583</v>
      </c>
      <c r="B379" s="54" t="s">
        <v>584</v>
      </c>
      <c r="C379" s="31">
        <v>4301051660</v>
      </c>
      <c r="D379" s="550">
        <v>4607091384253</v>
      </c>
      <c r="E379" s="551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583</v>
      </c>
      <c r="B380" s="54" t="s">
        <v>585</v>
      </c>
      <c r="C380" s="31">
        <v>4301052069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7" t="s">
        <v>586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69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IFERROR(X378/H378,"0")+IFERROR(X379/H379,"0")+IFERROR(X380/H380,"0")</f>
        <v>0</v>
      </c>
      <c r="Y381" s="545">
        <f>IFERROR(Y378/H378,"0")+IFERROR(Y379/H379,"0")+IFERROR(Y380/H380,"0")</f>
        <v>0</v>
      </c>
      <c r="Z381" s="545">
        <f>IFERROR(IF(Z378="",0,Z378),"0")+IFERROR(IF(Z379="",0,Z379),"0")+IFERROR(IF(Z380="",0,Z380),"0")</f>
        <v>0</v>
      </c>
      <c r="AA381" s="546"/>
      <c r="AB381" s="546"/>
      <c r="AC381" s="546"/>
    </row>
    <row r="382" spans="1:68" x14ac:dyDescent="0.2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69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IFERROR(SUM(X378:X380),"0")</f>
        <v>0</v>
      </c>
      <c r="Y382" s="545">
        <f>IFERROR(SUM(Y378:Y380),"0")</f>
        <v>0</v>
      </c>
      <c r="Z382" s="37"/>
      <c r="AA382" s="546"/>
      <c r="AB382" s="546"/>
      <c r="AC382" s="546"/>
    </row>
    <row r="383" spans="1:68" ht="27.75" customHeight="1" x14ac:dyDescent="0.2">
      <c r="A383" s="566" t="s">
        <v>588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589</v>
      </c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38"/>
      <c r="AB384" s="538"/>
      <c r="AC384" s="538"/>
    </row>
    <row r="385" spans="1:68" ht="14.25" customHeight="1" x14ac:dyDescent="0.25">
      <c r="A385" s="557" t="s">
        <v>64</v>
      </c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6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69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69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57" t="s">
        <v>73</v>
      </c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39"/>
      <c r="AB397" s="539"/>
      <c r="AC397" s="539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6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69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69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620</v>
      </c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38"/>
      <c r="AB402" s="538"/>
      <c r="AC402" s="538"/>
    </row>
    <row r="403" spans="1:68" ht="14.25" customHeight="1" x14ac:dyDescent="0.25">
      <c r="A403" s="557" t="s">
        <v>136</v>
      </c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39"/>
      <c r="AB403" s="539"/>
      <c r="AC403" s="539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69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69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7" t="s">
        <v>64</v>
      </c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69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69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635</v>
      </c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38"/>
      <c r="AB414" s="538"/>
      <c r="AC414" s="538"/>
    </row>
    <row r="415" spans="1:68" ht="14.25" customHeight="1" x14ac:dyDescent="0.25">
      <c r="A415" s="557" t="s">
        <v>64</v>
      </c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39"/>
      <c r="AB415" s="539"/>
      <c r="AC415" s="539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6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69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69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639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639</v>
      </c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38"/>
      <c r="AB420" s="538"/>
      <c r="AC420" s="538"/>
    </row>
    <row r="421" spans="1:68" ht="14.25" customHeight="1" x14ac:dyDescent="0.25">
      <c r="A421" s="557" t="s">
        <v>101</v>
      </c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39"/>
      <c r="AB421" s="539"/>
      <c r="AC421" s="539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50">
        <v>4607091383522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1100</v>
      </c>
      <c r="Y423" s="544">
        <f t="shared" si="47"/>
        <v>1103.52</v>
      </c>
      <c r="Z423" s="36">
        <f t="shared" si="48"/>
        <v>2.4996399999999999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1172.9166666666665</v>
      </c>
      <c r="BN423" s="64">
        <f t="shared" si="50"/>
        <v>1176.6699999999998</v>
      </c>
      <c r="BO423" s="64">
        <f t="shared" si="51"/>
        <v>2.0032051282051282</v>
      </c>
      <c r="BP423" s="64">
        <f t="shared" si="52"/>
        <v>2.0096153846153846</v>
      </c>
    </row>
    <row r="424" spans="1:68" ht="27" customHeight="1" x14ac:dyDescent="0.25">
      <c r="A424" s="54" t="s">
        <v>645</v>
      </c>
      <c r="B424" s="54" t="s">
        <v>646</v>
      </c>
      <c r="C424" s="31">
        <v>4301011961</v>
      </c>
      <c r="D424" s="550">
        <v>4680115885271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50">
        <v>4680115885226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651</v>
      </c>
      <c r="B426" s="54" t="s">
        <v>652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550</v>
      </c>
      <c r="Y427" s="544">
        <f t="shared" si="47"/>
        <v>554.4</v>
      </c>
      <c r="Z427" s="36">
        <f t="shared" si="48"/>
        <v>1.2558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586.45833333333326</v>
      </c>
      <c r="BN427" s="64">
        <f t="shared" si="50"/>
        <v>591.15</v>
      </c>
      <c r="BO427" s="64">
        <f t="shared" si="51"/>
        <v>1.0016025641025641</v>
      </c>
      <c r="BP427" s="64">
        <f t="shared" si="52"/>
        <v>1.0096153846153846</v>
      </c>
    </row>
    <row r="428" spans="1:68" ht="27" customHeight="1" x14ac:dyDescent="0.25">
      <c r="A428" s="54" t="s">
        <v>657</v>
      </c>
      <c r="B428" s="54" t="s">
        <v>658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7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666</v>
      </c>
      <c r="B432" s="54" t="s">
        <v>667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69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312.5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314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3.7554400000000001</v>
      </c>
      <c r="AA433" s="546"/>
      <c r="AB433" s="546"/>
      <c r="AC433" s="546"/>
    </row>
    <row r="434" spans="1:68" x14ac:dyDescent="0.2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69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1650</v>
      </c>
      <c r="Y434" s="545">
        <f>IFERROR(SUM(Y422:Y432),"0")</f>
        <v>1657.92</v>
      </c>
      <c r="Z434" s="37"/>
      <c r="AA434" s="546"/>
      <c r="AB434" s="546"/>
      <c r="AC434" s="546"/>
    </row>
    <row r="435" spans="1:68" ht="14.25" customHeight="1" x14ac:dyDescent="0.25">
      <c r="A435" s="557" t="s">
        <v>136</v>
      </c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550</v>
      </c>
      <c r="Y436" s="544">
        <f>IFERROR(IF(X436="",0,CEILING((X436/$H436),1)*$H436),"")</f>
        <v>554.4</v>
      </c>
      <c r="Z436" s="36">
        <f>IFERROR(IF(Y436=0,"",ROUNDUP(Y436/H436,0)*0.01196),"")</f>
        <v>1.2558</v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586.45833333333326</v>
      </c>
      <c r="BN436" s="64">
        <f>IFERROR(Y436*I436/H436,"0")</f>
        <v>591.15</v>
      </c>
      <c r="BO436" s="64">
        <f>IFERROR(1/J436*(X436/H436),"0")</f>
        <v>1.0016025641025641</v>
      </c>
      <c r="BP436" s="64">
        <f>IFERROR(1/J436*(Y436/H436),"0")</f>
        <v>1.0096153846153846</v>
      </c>
    </row>
    <row r="437" spans="1:68" ht="16.5" customHeight="1" x14ac:dyDescent="0.25">
      <c r="A437" s="54" t="s">
        <v>671</v>
      </c>
      <c r="B437" s="54" t="s">
        <v>672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69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104.16666666666666</v>
      </c>
      <c r="Y439" s="545">
        <f>IFERROR(Y436/H436,"0")+IFERROR(Y437/H437,"0")+IFERROR(Y438/H438,"0")</f>
        <v>104.99999999999999</v>
      </c>
      <c r="Z439" s="545">
        <f>IFERROR(IF(Z436="",0,Z436),"0")+IFERROR(IF(Z437="",0,Z437),"0")+IFERROR(IF(Z438="",0,Z438),"0")</f>
        <v>1.2558</v>
      </c>
      <c r="AA439" s="546"/>
      <c r="AB439" s="546"/>
      <c r="AC439" s="546"/>
    </row>
    <row r="440" spans="1:68" x14ac:dyDescent="0.2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69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550</v>
      </c>
      <c r="Y440" s="545">
        <f>IFERROR(SUM(Y436:Y438),"0")</f>
        <v>554.4</v>
      </c>
      <c r="Z440" s="37"/>
      <c r="AA440" s="546"/>
      <c r="AB440" s="546"/>
      <c r="AC440" s="546"/>
    </row>
    <row r="441" spans="1:68" ht="14.25" customHeight="1" x14ac:dyDescent="0.25">
      <c r="A441" s="557" t="s">
        <v>64</v>
      </c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213.25757575757575</v>
      </c>
      <c r="BN442" s="64">
        <f t="shared" ref="BN442:BN447" si="55">IFERROR(Y442*I442/H442,"0")</f>
        <v>213.94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200</v>
      </c>
      <c r="Y443" s="544">
        <f t="shared" si="53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213.25757575757575</v>
      </c>
      <c r="BN443" s="64">
        <f t="shared" si="55"/>
        <v>213.94</v>
      </c>
      <c r="BO443" s="64">
        <f t="shared" si="56"/>
        <v>0.36421911421911418</v>
      </c>
      <c r="BP443" s="64">
        <f t="shared" si="57"/>
        <v>0.36538461538461542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300</v>
      </c>
      <c r="Y444" s="544">
        <f t="shared" si="53"/>
        <v>300.96000000000004</v>
      </c>
      <c r="Z444" s="36">
        <f>IFERROR(IF(Y444=0,"",ROUNDUP(Y444/H444,0)*0.01196),"")</f>
        <v>0.68171999999999999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319.88636363636363</v>
      </c>
      <c r="BN444" s="64">
        <f t="shared" si="55"/>
        <v>320.91000000000003</v>
      </c>
      <c r="BO444" s="64">
        <f t="shared" si="56"/>
        <v>0.54632867132867136</v>
      </c>
      <c r="BP444" s="64">
        <f t="shared" si="57"/>
        <v>0.54807692307692313</v>
      </c>
    </row>
    <row r="445" spans="1:68" ht="27" customHeight="1" x14ac:dyDescent="0.25">
      <c r="A445" s="54" t="s">
        <v>684</v>
      </c>
      <c r="B445" s="54" t="s">
        <v>685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69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132.57575757575756</v>
      </c>
      <c r="Y448" s="545">
        <f>IFERROR(Y442/H442,"0")+IFERROR(Y443/H443,"0")+IFERROR(Y444/H444,"0")+IFERROR(Y445/H445,"0")+IFERROR(Y446/H446,"0")+IFERROR(Y447/H447,"0")</f>
        <v>133</v>
      </c>
      <c r="Z448" s="545">
        <f>IFERROR(IF(Z442="",0,Z442),"0")+IFERROR(IF(Z443="",0,Z443),"0")+IFERROR(IF(Z444="",0,Z444),"0")+IFERROR(IF(Z445="",0,Z445),"0")+IFERROR(IF(Z446="",0,Z446),"0")+IFERROR(IF(Z447="",0,Z447),"0")</f>
        <v>1.5906799999999999</v>
      </c>
      <c r="AA448" s="546"/>
      <c r="AB448" s="546"/>
      <c r="AC448" s="546"/>
    </row>
    <row r="449" spans="1:68" x14ac:dyDescent="0.2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69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700</v>
      </c>
      <c r="Y449" s="545">
        <f>IFERROR(SUM(Y442:Y447),"0")</f>
        <v>702.24</v>
      </c>
      <c r="Z449" s="37"/>
      <c r="AA449" s="546"/>
      <c r="AB449" s="546"/>
      <c r="AC449" s="546"/>
    </row>
    <row r="450" spans="1:68" ht="14.25" customHeight="1" x14ac:dyDescent="0.25">
      <c r="A450" s="557" t="s">
        <v>73</v>
      </c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39"/>
      <c r="AB450" s="539"/>
      <c r="AC450" s="539"/>
    </row>
    <row r="451" spans="1:68" ht="16.5" customHeight="1" x14ac:dyDescent="0.25">
      <c r="A451" s="54" t="s">
        <v>690</v>
      </c>
      <c r="B451" s="54" t="s">
        <v>691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69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69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699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699</v>
      </c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38"/>
      <c r="AB457" s="538"/>
      <c r="AC457" s="538"/>
    </row>
    <row r="458" spans="1:68" ht="14.25" customHeight="1" x14ac:dyDescent="0.25">
      <c r="A458" s="557" t="s">
        <v>101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69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69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7" t="s">
        <v>136</v>
      </c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69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7" t="s">
        <v>64</v>
      </c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69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7" t="s">
        <v>73</v>
      </c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69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7" t="s">
        <v>164</v>
      </c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69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735</v>
      </c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38"/>
      <c r="AB485" s="538"/>
      <c r="AC485" s="538"/>
    </row>
    <row r="486" spans="1:68" ht="14.25" customHeight="1" x14ac:dyDescent="0.25">
      <c r="A486" s="557" t="s">
        <v>136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69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5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705"/>
      <c r="P490" s="637" t="s">
        <v>739</v>
      </c>
      <c r="Q490" s="638"/>
      <c r="R490" s="638"/>
      <c r="S490" s="638"/>
      <c r="T490" s="638"/>
      <c r="U490" s="638"/>
      <c r="V490" s="639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18104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18213.260000000006</v>
      </c>
      <c r="Z490" s="37"/>
      <c r="AA490" s="546"/>
      <c r="AB490" s="546"/>
      <c r="AC490" s="546"/>
    </row>
    <row r="491" spans="1:68" x14ac:dyDescent="0.2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05"/>
      <c r="P491" s="637" t="s">
        <v>740</v>
      </c>
      <c r="Q491" s="638"/>
      <c r="R491" s="638"/>
      <c r="S491" s="638"/>
      <c r="T491" s="638"/>
      <c r="U491" s="638"/>
      <c r="V491" s="639"/>
      <c r="W491" s="37" t="s">
        <v>69</v>
      </c>
      <c r="X491" s="545">
        <f>IFERROR(SUM(BM22:BM487),"0")</f>
        <v>18940.487858931192</v>
      </c>
      <c r="Y491" s="545">
        <f>IFERROR(SUM(BN22:BN487),"0")</f>
        <v>19055.133999999998</v>
      </c>
      <c r="Z491" s="37"/>
      <c r="AA491" s="546"/>
      <c r="AB491" s="546"/>
      <c r="AC491" s="546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05"/>
      <c r="P492" s="637" t="s">
        <v>741</v>
      </c>
      <c r="Q492" s="638"/>
      <c r="R492" s="638"/>
      <c r="S492" s="638"/>
      <c r="T492" s="638"/>
      <c r="U492" s="638"/>
      <c r="V492" s="639"/>
      <c r="W492" s="37" t="s">
        <v>742</v>
      </c>
      <c r="X492" s="38">
        <f>ROUNDUP(SUM(BO22:BO487),0)</f>
        <v>30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05"/>
      <c r="P493" s="637" t="s">
        <v>743</v>
      </c>
      <c r="Q493" s="638"/>
      <c r="R493" s="638"/>
      <c r="S493" s="638"/>
      <c r="T493" s="638"/>
      <c r="U493" s="638"/>
      <c r="V493" s="639"/>
      <c r="W493" s="37" t="s">
        <v>69</v>
      </c>
      <c r="X493" s="545">
        <f>GrossWeightTotal+PalletQtyTotal*25</f>
        <v>19690.487858931192</v>
      </c>
      <c r="Y493" s="545">
        <f>GrossWeightTotalR+PalletQtyTotalR*25</f>
        <v>19805.133999999998</v>
      </c>
      <c r="Z493" s="37"/>
      <c r="AA493" s="546"/>
      <c r="AB493" s="546"/>
      <c r="AC493" s="546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05"/>
      <c r="P494" s="637" t="s">
        <v>744</v>
      </c>
      <c r="Q494" s="638"/>
      <c r="R494" s="638"/>
      <c r="S494" s="638"/>
      <c r="T494" s="638"/>
      <c r="U494" s="638"/>
      <c r="V494" s="639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2141.44972311639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2156</v>
      </c>
      <c r="Z494" s="37"/>
      <c r="AA494" s="546"/>
      <c r="AB494" s="546"/>
      <c r="AC494" s="546"/>
    </row>
    <row r="495" spans="1:68" ht="14.25" customHeight="1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05"/>
      <c r="P495" s="637" t="s">
        <v>745</v>
      </c>
      <c r="Q495" s="638"/>
      <c r="R495" s="638"/>
      <c r="S495" s="638"/>
      <c r="T495" s="638"/>
      <c r="U495" s="638"/>
      <c r="V495" s="639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34.155340000000002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8" t="s">
        <v>99</v>
      </c>
      <c r="D497" s="601"/>
      <c r="E497" s="601"/>
      <c r="F497" s="601"/>
      <c r="G497" s="601"/>
      <c r="H497" s="602"/>
      <c r="I497" s="598" t="s">
        <v>250</v>
      </c>
      <c r="J497" s="601"/>
      <c r="K497" s="601"/>
      <c r="L497" s="601"/>
      <c r="M497" s="601"/>
      <c r="N497" s="601"/>
      <c r="O497" s="601"/>
      <c r="P497" s="601"/>
      <c r="Q497" s="601"/>
      <c r="R497" s="602"/>
      <c r="S497" s="598" t="s">
        <v>533</v>
      </c>
      <c r="T497" s="602"/>
      <c r="U497" s="598" t="s">
        <v>588</v>
      </c>
      <c r="V497" s="601"/>
      <c r="W497" s="602"/>
      <c r="X497" s="540" t="s">
        <v>639</v>
      </c>
      <c r="Y497" s="598" t="s">
        <v>699</v>
      </c>
      <c r="Z497" s="602"/>
      <c r="AB497" s="52"/>
      <c r="AC497" s="52"/>
      <c r="AF497" s="541"/>
    </row>
    <row r="498" spans="1:32" ht="14.25" customHeight="1" thickTop="1" x14ac:dyDescent="0.2">
      <c r="A498" s="614" t="s">
        <v>748</v>
      </c>
      <c r="B498" s="598" t="s">
        <v>63</v>
      </c>
      <c r="C498" s="598" t="s">
        <v>100</v>
      </c>
      <c r="D498" s="598" t="s">
        <v>117</v>
      </c>
      <c r="E498" s="598" t="s">
        <v>171</v>
      </c>
      <c r="F498" s="598" t="s">
        <v>190</v>
      </c>
      <c r="G498" s="598" t="s">
        <v>220</v>
      </c>
      <c r="H498" s="598" t="s">
        <v>99</v>
      </c>
      <c r="I498" s="598" t="s">
        <v>251</v>
      </c>
      <c r="J498" s="598" t="s">
        <v>296</v>
      </c>
      <c r="K498" s="598" t="s">
        <v>355</v>
      </c>
      <c r="L498" s="598" t="s">
        <v>397</v>
      </c>
      <c r="M498" s="598" t="s">
        <v>413</v>
      </c>
      <c r="N498" s="541"/>
      <c r="O498" s="598" t="s">
        <v>424</v>
      </c>
      <c r="P498" s="598" t="s">
        <v>433</v>
      </c>
      <c r="Q498" s="598" t="s">
        <v>446</v>
      </c>
      <c r="R498" s="598" t="s">
        <v>523</v>
      </c>
      <c r="S498" s="598" t="s">
        <v>534</v>
      </c>
      <c r="T498" s="598" t="s">
        <v>569</v>
      </c>
      <c r="U498" s="598" t="s">
        <v>589</v>
      </c>
      <c r="V498" s="598" t="s">
        <v>620</v>
      </c>
      <c r="W498" s="598" t="s">
        <v>635</v>
      </c>
      <c r="X498" s="598" t="s">
        <v>639</v>
      </c>
      <c r="Y498" s="598" t="s">
        <v>699</v>
      </c>
      <c r="Z498" s="598" t="s">
        <v>735</v>
      </c>
      <c r="AB498" s="52"/>
      <c r="AC498" s="52"/>
      <c r="AF498" s="541"/>
    </row>
    <row r="499" spans="1:32" ht="13.5" customHeight="1" thickBot="1" x14ac:dyDescent="0.25">
      <c r="A499" s="615"/>
      <c r="B499" s="599"/>
      <c r="C499" s="599"/>
      <c r="D499" s="599"/>
      <c r="E499" s="599"/>
      <c r="F499" s="599"/>
      <c r="G499" s="599"/>
      <c r="H499" s="599"/>
      <c r="I499" s="599"/>
      <c r="J499" s="599"/>
      <c r="K499" s="599"/>
      <c r="L499" s="599"/>
      <c r="M499" s="599"/>
      <c r="N499" s="541"/>
      <c r="O499" s="599"/>
      <c r="P499" s="599"/>
      <c r="Q499" s="599"/>
      <c r="R499" s="599"/>
      <c r="S499" s="599"/>
      <c r="T499" s="599"/>
      <c r="U499" s="599"/>
      <c r="V499" s="599"/>
      <c r="W499" s="599"/>
      <c r="X499" s="599"/>
      <c r="Y499" s="599"/>
      <c r="Z499" s="599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680.40000000000009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1917.0000000000002</v>
      </c>
      <c r="E500" s="46">
        <f>IFERROR(Y85*1,"0")+IFERROR(Y86*1,"0")+IFERROR(Y87*1,"0")+IFERROR(Y91*1,"0")+IFERROR(Y92*1,"0")+IFERROR(Y93*1,"0")+IFERROR(Y94*1,"0")</f>
        <v>307.8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704.69999999999993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270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615.6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36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3624.8</v>
      </c>
      <c r="R500" s="46">
        <f>IFERROR(Y335*1,"0")+IFERROR(Y336*1,"0")+IFERROR(Y337*1,"0")</f>
        <v>227.4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6915</v>
      </c>
      <c r="T500" s="46">
        <f>IFERROR(Y368*1,"0")+IFERROR(Y369*1,"0")+IFERROR(Y373*1,"0")+IFERROR(Y374*1,"0")+IFERROR(Y378*1,"0")+IFERROR(Y379*1,"0")+IFERROR(Y380*1,"0")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2914.56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D17:E18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94:T294"/>
    <mergeCell ref="P23:V23"/>
    <mergeCell ref="A262:Z262"/>
    <mergeCell ref="A333:Z333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P492:V492"/>
    <mergeCell ref="A103:O104"/>
    <mergeCell ref="P286:V286"/>
    <mergeCell ref="P479:V479"/>
    <mergeCell ref="M17:M18"/>
    <mergeCell ref="O17:O18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02:T102"/>
    <mergeCell ref="P196:T196"/>
    <mergeCell ref="P281:V281"/>
    <mergeCell ref="P354:T354"/>
    <mergeCell ref="D226:E226"/>
    <mergeCell ref="D164:E164"/>
    <mergeCell ref="D462:E462"/>
    <mergeCell ref="P62:T62"/>
    <mergeCell ref="Z498:Z499"/>
    <mergeCell ref="X498:X499"/>
    <mergeCell ref="P474:V474"/>
    <mergeCell ref="P103:V103"/>
    <mergeCell ref="A155:Z155"/>
    <mergeCell ref="P401:V401"/>
    <mergeCell ref="P268:V268"/>
    <mergeCell ref="P339:V339"/>
    <mergeCell ref="P201:T201"/>
    <mergeCell ref="D389:E389"/>
    <mergeCell ref="A318:O319"/>
    <mergeCell ref="P176:T176"/>
    <mergeCell ref="P247:T247"/>
    <mergeCell ref="P114:T114"/>
    <mergeCell ref="P241:T241"/>
    <mergeCell ref="A222:Z222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A478:O479"/>
    <mergeCell ref="P348:T348"/>
    <mergeCell ref="D294:E294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69:V469"/>
    <mergeCell ref="A465:Z465"/>
    <mergeCell ref="A136:O137"/>
    <mergeCell ref="P344:T344"/>
    <mergeCell ref="D265:E265"/>
    <mergeCell ref="A463:O464"/>
    <mergeCell ref="P321:T321"/>
    <mergeCell ref="P125:T125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J9:M9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A38:Z38"/>
    <mergeCell ref="P330:T330"/>
    <mergeCell ref="D140:E140"/>
    <mergeCell ref="D438:E438"/>
    <mergeCell ref="A340:Z340"/>
    <mergeCell ref="D425:E425"/>
    <mergeCell ref="D359:E359"/>
    <mergeCell ref="P346:T346"/>
    <mergeCell ref="D292:E292"/>
    <mergeCell ref="D227:E227"/>
    <mergeCell ref="P43:V43"/>
    <mergeCell ref="A39:Z39"/>
    <mergeCell ref="P60:T60"/>
    <mergeCell ref="Y17:Y18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V5:W5"/>
    <mergeCell ref="A295:O296"/>
    <mergeCell ref="D233:E233"/>
    <mergeCell ref="D409:E40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T5:U5"/>
    <mergeCell ref="D119:E119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12:M12"/>
    <mergeCell ref="P355:V355"/>
    <mergeCell ref="D487:E487"/>
    <mergeCell ref="A240:Z240"/>
    <mergeCell ref="D343:E343"/>
    <mergeCell ref="P74:T74"/>
    <mergeCell ref="P243:V243"/>
    <mergeCell ref="A19:Z19"/>
    <mergeCell ref="P310:T310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162:E162"/>
    <mergeCell ref="P272:T272"/>
    <mergeCell ref="D460:E460"/>
    <mergeCell ref="P210:T210"/>
    <mergeCell ref="P439:V439"/>
    <mergeCell ref="D398:E398"/>
    <mergeCell ref="A267:O268"/>
    <mergeCell ref="P433:V433"/>
    <mergeCell ref="P308:T308"/>
    <mergeCell ref="A69:O70"/>
    <mergeCell ref="P185:T185"/>
    <mergeCell ref="D416:E416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A274:O275"/>
    <mergeCell ref="P169:T169"/>
    <mergeCell ref="P411:T411"/>
    <mergeCell ref="P467:T467"/>
    <mergeCell ref="P442:T442"/>
    <mergeCell ref="P489:V489"/>
    <mergeCell ref="P463:V463"/>
    <mergeCell ref="P267:V267"/>
    <mergeCell ref="Q9:R9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D9:E9"/>
    <mergeCell ref="P197:T197"/>
    <mergeCell ref="F9:G9"/>
    <mergeCell ref="P53:T53"/>
    <mergeCell ref="D167:E167"/>
    <mergeCell ref="P422:T422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A469:O470"/>
    <mergeCell ref="D211:E211"/>
    <mergeCell ref="P168:T168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P79:T79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