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6C25F891-5D6E-454F-A416-F55038CB5AF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Y24" i="1" l="1"/>
  <c r="Y32" i="1"/>
  <c r="Y59" i="1"/>
  <c r="BP103" i="1"/>
  <c r="BN103" i="1"/>
  <c r="Z103" i="1"/>
  <c r="Y120" i="1"/>
  <c r="BP115" i="1"/>
  <c r="BN115" i="1"/>
  <c r="Z115" i="1"/>
  <c r="BP128" i="1"/>
  <c r="BN128" i="1"/>
  <c r="Z128" i="1"/>
  <c r="Z129" i="1" s="1"/>
  <c r="Y130" i="1"/>
  <c r="BP153" i="1"/>
  <c r="BN153" i="1"/>
  <c r="Z153" i="1"/>
  <c r="H9" i="1"/>
  <c r="A10" i="1"/>
  <c r="Y44" i="1"/>
  <c r="BP73" i="1"/>
  <c r="BN73" i="1"/>
  <c r="Z73" i="1"/>
  <c r="Z76" i="1" s="1"/>
  <c r="BP86" i="1"/>
  <c r="BN86" i="1"/>
  <c r="Z86" i="1"/>
  <c r="Z89" i="1" s="1"/>
  <c r="BP94" i="1"/>
  <c r="BN94" i="1"/>
  <c r="Z94" i="1"/>
  <c r="BP111" i="1"/>
  <c r="BN111" i="1"/>
  <c r="Z111" i="1"/>
  <c r="Y113" i="1"/>
  <c r="Y119" i="1"/>
  <c r="Y135" i="1"/>
  <c r="BP132" i="1"/>
  <c r="BN132" i="1"/>
  <c r="Z132" i="1"/>
  <c r="Z134" i="1" s="1"/>
  <c r="BP149" i="1"/>
  <c r="BN149" i="1"/>
  <c r="Z149" i="1"/>
  <c r="Z154" i="1" s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Z32" i="1" s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Z181" i="1" s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2" i="1" l="1"/>
  <c r="Z276" i="1"/>
  <c r="Z268" i="1"/>
  <c r="Z259" i="1"/>
  <c r="Y497" i="1"/>
  <c r="Z313" i="1"/>
  <c r="Z119" i="1"/>
  <c r="Z389" i="1"/>
  <c r="Z403" i="1"/>
  <c r="Z470" i="1"/>
  <c r="Z326" i="1"/>
  <c r="Z243" i="1"/>
  <c r="Y496" i="1"/>
  <c r="Y498" i="1"/>
  <c r="Z501" i="1"/>
  <c r="Y500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<sst xmlns="http://schemas.openxmlformats.org/spreadsheetml/2006/main" count="2385" uniqueCount="784">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</sst>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3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670</v>
      </c>
      <c r="Y41" s="556">
        <f>IFERROR(IF(X41="",0,CEILING((X41/$H41),1)*$H41),"")</f>
        <v>680.40000000000009</v>
      </c>
      <c r="Z41" s="36">
        <f>IFERROR(IF(Y41=0,"",ROUNDUP(Y41/H41,0)*0.01898),"")</f>
        <v>1.19574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695.43518518518522</v>
      </c>
      <c r="BN41" s="64">
        <f>IFERROR(Y41*I41/H41,"0")</f>
        <v>706.23000000000013</v>
      </c>
      <c r="BO41" s="64">
        <f>IFERROR(1/J41*(X41/H41),"0")</f>
        <v>0.96932870370370361</v>
      </c>
      <c r="BP41" s="64">
        <f>IFERROR(1/J41*(Y41/H41),"0")</f>
        <v>0.98437500000000011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62.037037037037031</v>
      </c>
      <c r="Y44" s="557">
        <f>IFERROR(Y41/H41,"0")+IFERROR(Y42/H42,"0")+IFERROR(Y43/H43,"0")</f>
        <v>63.000000000000007</v>
      </c>
      <c r="Z44" s="557">
        <f>IFERROR(IF(Z41="",0,Z41),"0")+IFERROR(IF(Z42="",0,Z42),"0")+IFERROR(IF(Z43="",0,Z43),"0")</f>
        <v>1.19574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670</v>
      </c>
      <c r="Y45" s="557">
        <f>IFERROR(SUM(Y41:Y43),"0")</f>
        <v>680.40000000000009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1300</v>
      </c>
      <c r="Y61" s="556">
        <f>IFERROR(IF(X61="",0,CEILING((X61/$H61),1)*$H61),"")</f>
        <v>1306.8000000000002</v>
      </c>
      <c r="Z61" s="36">
        <f>IFERROR(IF(Y61=0,"",ROUNDUP(Y61/H61,0)*0.01898),"")</f>
        <v>2.2965800000000001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1349.351851851852</v>
      </c>
      <c r="BN61" s="64">
        <f>IFERROR(Y61*I61/H61,"0")</f>
        <v>1356.41</v>
      </c>
      <c r="BO61" s="64">
        <f>IFERROR(1/J61*(X61/H61),"0")</f>
        <v>1.880787037037037</v>
      </c>
      <c r="BP61" s="64">
        <f>IFERROR(1/J61*(Y61/H61),"0")</f>
        <v>1.8906250000000002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120.37037037037037</v>
      </c>
      <c r="Y64" s="557">
        <f>IFERROR(Y61/H61,"0")+IFERROR(Y62/H62,"0")+IFERROR(Y63/H63,"0")</f>
        <v>121.00000000000001</v>
      </c>
      <c r="Z64" s="557">
        <f>IFERROR(IF(Z61="",0,Z61),"0")+IFERROR(IF(Z62="",0,Z62),"0")+IFERROR(IF(Z63="",0,Z63),"0")</f>
        <v>2.2965800000000001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1300</v>
      </c>
      <c r="Y65" s="557">
        <f>IFERROR(SUM(Y61:Y63),"0")</f>
        <v>1306.8000000000002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670</v>
      </c>
      <c r="Y85" s="556">
        <f>IFERROR(IF(X85="",0,CEILING((X85/$H85),1)*$H85),"")</f>
        <v>680.40000000000009</v>
      </c>
      <c r="Z85" s="36">
        <f>IFERROR(IF(Y85=0,"",ROUNDUP(Y85/H85,0)*0.01898),"")</f>
        <v>1.19574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695.43518518518522</v>
      </c>
      <c r="BN85" s="64">
        <f>IFERROR(Y85*I85/H85,"0")</f>
        <v>706.23000000000013</v>
      </c>
      <c r="BO85" s="64">
        <f>IFERROR(1/J85*(X85/H85),"0")</f>
        <v>0.96932870370370361</v>
      </c>
      <c r="BP85" s="64">
        <f>IFERROR(1/J85*(Y85/H85),"0")</f>
        <v>0.98437500000000011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62.037037037037031</v>
      </c>
      <c r="Y89" s="557">
        <f>IFERROR(Y85/H85,"0")+IFERROR(Y86/H86,"0")+IFERROR(Y87/H87,"0")+IFERROR(Y88/H88,"0")</f>
        <v>63.000000000000007</v>
      </c>
      <c r="Z89" s="557">
        <f>IFERROR(IF(Z85="",0,Z85),"0")+IFERROR(IF(Z86="",0,Z86),"0")+IFERROR(IF(Z87="",0,Z87),"0")+IFERROR(IF(Z88="",0,Z88),"0")</f>
        <v>1.19574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670</v>
      </c>
      <c r="Y90" s="557">
        <f>IFERROR(SUM(Y85:Y88),"0")</f>
        <v>680.40000000000009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150</v>
      </c>
      <c r="Y152" s="556">
        <f t="shared" si="5"/>
        <v>153</v>
      </c>
      <c r="Z152" s="36">
        <f>IFERROR(IF(Y152=0,"",ROUNDUP(Y152/H152,0)*0.01898),"")</f>
        <v>0.32266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159.33333333333334</v>
      </c>
      <c r="BN152" s="64">
        <f t="shared" si="7"/>
        <v>162.52000000000001</v>
      </c>
      <c r="BO152" s="64">
        <f t="shared" si="8"/>
        <v>0.26041666666666669</v>
      </c>
      <c r="BP152" s="64">
        <f t="shared" si="9"/>
        <v>0.265625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16.666666666666668</v>
      </c>
      <c r="Y154" s="557">
        <f>IFERROR(Y148/H148,"0")+IFERROR(Y149/H149,"0")+IFERROR(Y150/H150,"0")+IFERROR(Y151/H151,"0")+IFERROR(Y152/H152,"0")+IFERROR(Y153/H153,"0")</f>
        <v>17</v>
      </c>
      <c r="Z154" s="557">
        <f>IFERROR(IF(Z148="",0,Z148),"0")+IFERROR(IF(Z149="",0,Z149),"0")+IFERROR(IF(Z150="",0,Z150),"0")+IFERROR(IF(Z151="",0,Z151),"0")+IFERROR(IF(Z152="",0,Z152),"0")+IFERROR(IF(Z153="",0,Z153),"0")</f>
        <v>0.32266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150</v>
      </c>
      <c r="Y155" s="557">
        <f>IFERROR(SUM(Y148:Y153),"0")</f>
        <v>153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150</v>
      </c>
      <c r="Y205" s="556">
        <f t="shared" ref="Y205:Y212" si="15">IFERROR(IF(X205="",0,CEILING((X205/$H205),1)*$H205),"")</f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155.27777777777777</v>
      </c>
      <c r="BN205" s="64">
        <f t="shared" ref="BN205:BN212" si="17">IFERROR(Y205*I205/H205,"0")</f>
        <v>156.52000000000001</v>
      </c>
      <c r="BO205" s="64">
        <f t="shared" ref="BO205:BO212" si="18">IFERROR(1/J205*(X205/H205),"0")</f>
        <v>0.21043771043771042</v>
      </c>
      <c r="BP205" s="64">
        <f t="shared" ref="BP205:BP212" si="19">IFERROR(1/J205*(Y205/H205),"0")</f>
        <v>0.21212121212121213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27.777777777777775</v>
      </c>
      <c r="Y213" s="557">
        <f>IFERROR(Y205/H205,"0")+IFERROR(Y206/H206,"0")+IFERROR(Y207/H207,"0")+IFERROR(Y208/H208,"0")+IFERROR(Y209/H209,"0")+IFERROR(Y210/H210,"0")+IFERROR(Y211/H211,"0")+IFERROR(Y212/H212,"0")</f>
        <v>28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0.25256000000000001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150</v>
      </c>
      <c r="Y214" s="557">
        <f>IFERROR(SUM(Y205:Y212),"0")</f>
        <v>151.20000000000002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400</v>
      </c>
      <c r="Y265" s="556">
        <f>IFERROR(IF(X265="",0,CEILING((X265/$H265),1)*$H265),"")</f>
        <v>410.40000000000003</v>
      </c>
      <c r="Z265" s="36">
        <f>IFERROR(IF(Y265=0,"",ROUNDUP(Y265/H265,0)*0.01898),"")</f>
        <v>0.72123999999999999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415.18518518518516</v>
      </c>
      <c r="BN265" s="64">
        <f>IFERROR(Y265*I265/H265,"0")</f>
        <v>425.98</v>
      </c>
      <c r="BO265" s="64">
        <f>IFERROR(1/J265*(X265/H265),"0")</f>
        <v>0.57870370370370372</v>
      </c>
      <c r="BP265" s="64">
        <f>IFERROR(1/J265*(Y265/H265),"0")</f>
        <v>0.59375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37.037037037037038</v>
      </c>
      <c r="Y268" s="557">
        <f>IFERROR(Y263/H263,"0")+IFERROR(Y264/H264,"0")+IFERROR(Y265/H265,"0")+IFERROR(Y266/H266,"0")+IFERROR(Y267/H267,"0")</f>
        <v>38</v>
      </c>
      <c r="Z268" s="557">
        <f>IFERROR(IF(Z263="",0,Z263),"0")+IFERROR(IF(Z264="",0,Z264),"0")+IFERROR(IF(Z265="",0,Z265),"0")+IFERROR(IF(Z266="",0,Z266),"0")+IFERROR(IF(Z267="",0,Z267),"0")</f>
        <v>0.72123999999999999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400</v>
      </c>
      <c r="Y269" s="557">
        <f>IFERROR(SUM(Y263:Y267),"0")</f>
        <v>410.40000000000003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300</v>
      </c>
      <c r="Y307" s="556">
        <f t="shared" ref="Y307:Y312" si="36">IFERROR(IF(X307="",0,CEILING((X307/$H307),1)*$H307),"")</f>
        <v>302.40000000000003</v>
      </c>
      <c r="Z307" s="36">
        <f>IFERROR(IF(Y307=0,"",ROUNDUP(Y307/H307,0)*0.00902),"")</f>
        <v>0.64944000000000002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317.85714285714283</v>
      </c>
      <c r="BN307" s="64">
        <f t="shared" ref="BN307:BN312" si="38">IFERROR(Y307*I307/H307,"0")</f>
        <v>320.40000000000003</v>
      </c>
      <c r="BO307" s="64">
        <f t="shared" ref="BO307:BO312" si="39">IFERROR(1/J307*(X307/H307),"0")</f>
        <v>0.54112554112554112</v>
      </c>
      <c r="BP307" s="64">
        <f t="shared" ref="BP307:BP312" si="40">IFERROR(1/J307*(Y307/H307),"0")</f>
        <v>0.54545454545454541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300</v>
      </c>
      <c r="Y308" s="556">
        <f t="shared" si="36"/>
        <v>302.40000000000003</v>
      </c>
      <c r="Z308" s="36">
        <f>IFERROR(IF(Y308=0,"",ROUNDUP(Y308/H308,0)*0.00902),"")</f>
        <v>0.64944000000000002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317.85714285714283</v>
      </c>
      <c r="BN308" s="64">
        <f t="shared" si="38"/>
        <v>320.40000000000003</v>
      </c>
      <c r="BO308" s="64">
        <f t="shared" si="39"/>
        <v>0.54112554112554112</v>
      </c>
      <c r="BP308" s="64">
        <f t="shared" si="40"/>
        <v>0.54545454545454541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52</v>
      </c>
      <c r="Y310" s="556">
        <f t="shared" si="36"/>
        <v>52.5</v>
      </c>
      <c r="Z310" s="36">
        <f>IFERROR(IF(Y310=0,"",ROUNDUP(Y310/H310,0)*0.00502),"")</f>
        <v>0.1255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55.219047619047615</v>
      </c>
      <c r="BN310" s="64">
        <f t="shared" si="38"/>
        <v>55.75</v>
      </c>
      <c r="BO310" s="64">
        <f t="shared" si="39"/>
        <v>0.10582010582010581</v>
      </c>
      <c r="BP310" s="64">
        <f t="shared" si="40"/>
        <v>0.10683760683760685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167.61904761904762</v>
      </c>
      <c r="Y313" s="557">
        <f>IFERROR(Y307/H307,"0")+IFERROR(Y308/H308,"0")+IFERROR(Y309/H309,"0")+IFERROR(Y310/H310,"0")+IFERROR(Y311/H311,"0")+IFERROR(Y312/H312,"0")</f>
        <v>169</v>
      </c>
      <c r="Z313" s="557">
        <f>IFERROR(IF(Z307="",0,Z307),"0")+IFERROR(IF(Z308="",0,Z308),"0")+IFERROR(IF(Z309="",0,Z309),"0")+IFERROR(IF(Z310="",0,Z310),"0")+IFERROR(IF(Z311="",0,Z311),"0")+IFERROR(IF(Z312="",0,Z312),"0")</f>
        <v>1.42438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652</v>
      </c>
      <c r="Y314" s="557">
        <f>IFERROR(SUM(Y307:Y312),"0")</f>
        <v>657.30000000000007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60</v>
      </c>
      <c r="Y325" s="556">
        <f>IFERROR(IF(X325="",0,CEILING((X325/$H325),1)*$H325),"")</f>
        <v>67.2</v>
      </c>
      <c r="Z325" s="36">
        <f>IFERROR(IF(Y325=0,"",ROUNDUP(Y325/H325,0)*0.01898),"")</f>
        <v>0.15184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63.528571428571425</v>
      </c>
      <c r="BN325" s="64">
        <f>IFERROR(Y325*I325/H325,"0")</f>
        <v>71.152000000000001</v>
      </c>
      <c r="BO325" s="64">
        <f>IFERROR(1/J325*(X325/H325),"0")</f>
        <v>0.11160714285714285</v>
      </c>
      <c r="BP325" s="64">
        <f>IFERROR(1/J325*(Y325/H325),"0")</f>
        <v>0.125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7.1428571428571423</v>
      </c>
      <c r="Y326" s="557">
        <f>IFERROR(Y323/H323,"0")+IFERROR(Y324/H324,"0")+IFERROR(Y325/H325,"0")</f>
        <v>8</v>
      </c>
      <c r="Z326" s="557">
        <f>IFERROR(IF(Z323="",0,Z323),"0")+IFERROR(IF(Z324="",0,Z324),"0")+IFERROR(IF(Z325="",0,Z325),"0")</f>
        <v>0.15184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60</v>
      </c>
      <c r="Y327" s="557">
        <f>IFERROR(SUM(Y323:Y325),"0")</f>
        <v>67.2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37</v>
      </c>
      <c r="Y332" s="556">
        <f>IFERROR(IF(X332="",0,CEILING((X332/$H332),1)*$H332),"")</f>
        <v>38.25</v>
      </c>
      <c r="Z332" s="36">
        <f>IFERROR(IF(Y332=0,"",ROUNDUP(Y332/H332,0)*0.00651),"")</f>
        <v>9.7650000000000001E-2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41.788235294117648</v>
      </c>
      <c r="BN332" s="64">
        <f>IFERROR(Y332*I332/H332,"0")</f>
        <v>43.2</v>
      </c>
      <c r="BO332" s="64">
        <f>IFERROR(1/J332*(X332/H332),"0")</f>
        <v>7.9724197371256217E-2</v>
      </c>
      <c r="BP332" s="64">
        <f>IFERROR(1/J332*(Y332/H332),"0")</f>
        <v>8.241758241758243E-2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14.509803921568629</v>
      </c>
      <c r="Y333" s="557">
        <f>IFERROR(Y329/H329,"0")+IFERROR(Y330/H330,"0")+IFERROR(Y331/H331,"0")+IFERROR(Y332/H332,"0")</f>
        <v>15.000000000000002</v>
      </c>
      <c r="Z333" s="557">
        <f>IFERROR(IF(Z329="",0,Z329),"0")+IFERROR(IF(Z330="",0,Z330),"0")+IFERROR(IF(Z331="",0,Z331),"0")+IFERROR(IF(Z332="",0,Z332),"0")</f>
        <v>9.7650000000000001E-2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37</v>
      </c>
      <c r="Y334" s="557">
        <f>IFERROR(SUM(Y329:Y332),"0")</f>
        <v>38.25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3000</v>
      </c>
      <c r="Y352" s="556">
        <f t="shared" si="41"/>
        <v>3000</v>
      </c>
      <c r="Z352" s="36">
        <f>IFERROR(IF(Y352=0,"",ROUNDUP(Y352/H352,0)*0.02175),"")</f>
        <v>4.3499999999999996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3094</v>
      </c>
      <c r="BN352" s="64">
        <f t="shared" si="43"/>
        <v>3094</v>
      </c>
      <c r="BO352" s="64">
        <f t="shared" si="44"/>
        <v>4.1666666666666661</v>
      </c>
      <c r="BP352" s="64">
        <f t="shared" si="45"/>
        <v>4.1666666666666661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7000</v>
      </c>
      <c r="Y354" s="556">
        <f t="shared" si="41"/>
        <v>7005</v>
      </c>
      <c r="Z354" s="36">
        <f>IFERROR(IF(Y354=0,"",ROUNDUP(Y354/H354,0)*0.02175),"")</f>
        <v>10.157249999999999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7219.333333333333</v>
      </c>
      <c r="BN354" s="64">
        <f t="shared" si="43"/>
        <v>7224.4900000000007</v>
      </c>
      <c r="BO354" s="64">
        <f t="shared" si="44"/>
        <v>9.7222222222222214</v>
      </c>
      <c r="BP354" s="64">
        <f t="shared" si="45"/>
        <v>9.7291666666666661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666.66666666666674</v>
      </c>
      <c r="Y358" s="557">
        <f>IFERROR(Y351/H351,"0")+IFERROR(Y352/H352,"0")+IFERROR(Y353/H353,"0")+IFERROR(Y354/H354,"0")+IFERROR(Y355/H355,"0")+IFERROR(Y356/H356,"0")+IFERROR(Y357/H357,"0")</f>
        <v>667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14.507249999999999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10000</v>
      </c>
      <c r="Y359" s="557">
        <f>IFERROR(SUM(Y351:Y357),"0")</f>
        <v>10005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4000</v>
      </c>
      <c r="Y361" s="556">
        <f>IFERROR(IF(X361="",0,CEILING((X361/$H361),1)*$H361),"")</f>
        <v>4005</v>
      </c>
      <c r="Z361" s="36">
        <f>IFERROR(IF(Y361=0,"",ROUNDUP(Y361/H361,0)*0.02175),"")</f>
        <v>5.8072499999999998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4125.333333333333</v>
      </c>
      <c r="BN361" s="64">
        <f>IFERROR(Y361*I361/H361,"0")</f>
        <v>4130.4900000000007</v>
      </c>
      <c r="BO361" s="64">
        <f>IFERROR(1/J361*(X361/H361),"0")</f>
        <v>5.5555555555555554</v>
      </c>
      <c r="BP361" s="64">
        <f>IFERROR(1/J361*(Y361/H361),"0")</f>
        <v>5.5625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266.66666666666669</v>
      </c>
      <c r="Y363" s="557">
        <f>IFERROR(Y361/H361,"0")+IFERROR(Y362/H362,"0")</f>
        <v>267</v>
      </c>
      <c r="Z363" s="557">
        <f>IFERROR(IF(Z361="",0,Z361),"0")+IFERROR(IF(Z362="",0,Z362),"0")</f>
        <v>5.8072499999999998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4000</v>
      </c>
      <c r="Y364" s="557">
        <f>IFERROR(SUM(Y361:Y362),"0")</f>
        <v>4005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18089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18154.95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18704.935325241207</v>
      </c>
      <c r="Y497" s="557">
        <f>IFERROR(SUM(BN22:BN493),"0")</f>
        <v>18773.772000000001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26</v>
      </c>
      <c r="Y498" s="38">
        <f>ROUNDUP(SUM(BP22:BP493),0)</f>
        <v>26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19354.935325241207</v>
      </c>
      <c r="Y499" s="557">
        <f>GrossWeightTotalR+PalletQtyTotalR*25</f>
        <v>19423.772000000001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1448.5309679427328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1456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27.97289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680.40000000000009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1306.8000000000002</v>
      </c>
      <c r="E506" s="46">
        <f>IFERROR(Y85*1,"0")+IFERROR(Y86*1,"0")+IFERROR(Y87*1,"0")+IFERROR(Y88*1,"0")+IFERROR(Y92*1,"0")+IFERROR(Y93*1,"0")+IFERROR(Y94*1,"0")+IFERROR(Y95*1,"0")</f>
        <v>680.40000000000009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153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151.20000000000002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410.40000000000003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762.75000000000011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14010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2025-12-30T07:42:43Z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