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90AEC82-984D-47A9-B75F-268418CB8A4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Z503" i="1" s="1"/>
  <c r="P490" i="1"/>
  <c r="X487" i="1"/>
  <c r="X486" i="1"/>
  <c r="BO485" i="1"/>
  <c r="BM485" i="1"/>
  <c r="Y485" i="1"/>
  <c r="BP485" i="1" s="1"/>
  <c r="P485" i="1"/>
  <c r="BO484" i="1"/>
  <c r="BM484" i="1"/>
  <c r="Y484" i="1"/>
  <c r="Y486" i="1" s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P471" i="1"/>
  <c r="BO471" i="1"/>
  <c r="BN471" i="1"/>
  <c r="BM471" i="1"/>
  <c r="Z471" i="1"/>
  <c r="Y471" i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Y446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Y447" i="1" s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4" i="1"/>
  <c r="X423" i="1"/>
  <c r="BO422" i="1"/>
  <c r="BN422" i="1"/>
  <c r="BM422" i="1"/>
  <c r="Z422" i="1"/>
  <c r="Z423" i="1" s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Y406" i="1" s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Y387" i="1" s="1"/>
  <c r="P385" i="1"/>
  <c r="BP384" i="1"/>
  <c r="BO384" i="1"/>
  <c r="BN384" i="1"/>
  <c r="BM384" i="1"/>
  <c r="Z384" i="1"/>
  <c r="Y384" i="1"/>
  <c r="P384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P343" i="1"/>
  <c r="BO343" i="1"/>
  <c r="BN343" i="1"/>
  <c r="BM343" i="1"/>
  <c r="Z343" i="1"/>
  <c r="Y343" i="1"/>
  <c r="P343" i="1"/>
  <c r="BO342" i="1"/>
  <c r="BM342" i="1"/>
  <c r="Y342" i="1"/>
  <c r="Y344" i="1" s="1"/>
  <c r="P342" i="1"/>
  <c r="BP341" i="1"/>
  <c r="BO341" i="1"/>
  <c r="BN341" i="1"/>
  <c r="BM341" i="1"/>
  <c r="Z341" i="1"/>
  <c r="Y341" i="1"/>
  <c r="P341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Y338" i="1" s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Y311" i="1" s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7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3" i="1" s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Y223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1" i="1" s="1"/>
  <c r="P203" i="1"/>
  <c r="X201" i="1"/>
  <c r="X200" i="1"/>
  <c r="BO199" i="1"/>
  <c r="BM199" i="1"/>
  <c r="Y199" i="1"/>
  <c r="Y201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50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Y180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4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Y90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F10" i="1" s="1"/>
  <c r="D7" i="1"/>
  <c r="Q6" i="1"/>
  <c r="P2" i="1"/>
  <c r="H9" i="1" l="1"/>
  <c r="A10" i="1"/>
  <c r="F9" i="1"/>
  <c r="J9" i="1"/>
  <c r="Z22" i="1"/>
  <c r="Z24" i="1" s="1"/>
  <c r="BN22" i="1"/>
  <c r="BP22" i="1"/>
  <c r="X497" i="1"/>
  <c r="Y25" i="1"/>
  <c r="Z28" i="1"/>
  <c r="Z32" i="1" s="1"/>
  <c r="BN28" i="1"/>
  <c r="BP28" i="1"/>
  <c r="Z30" i="1"/>
  <c r="BN30" i="1"/>
  <c r="C503" i="1"/>
  <c r="Z42" i="1"/>
  <c r="Z44" i="1" s="1"/>
  <c r="BN42" i="1"/>
  <c r="BP42" i="1"/>
  <c r="Y45" i="1"/>
  <c r="D503" i="1"/>
  <c r="Z53" i="1"/>
  <c r="Z58" i="1" s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Z76" i="1" s="1"/>
  <c r="BN73" i="1"/>
  <c r="BP73" i="1"/>
  <c r="Z75" i="1"/>
  <c r="BN75" i="1"/>
  <c r="Z79" i="1"/>
  <c r="Z81" i="1" s="1"/>
  <c r="BN79" i="1"/>
  <c r="BP79" i="1"/>
  <c r="Y82" i="1"/>
  <c r="E503" i="1"/>
  <c r="Z86" i="1"/>
  <c r="Z89" i="1" s="1"/>
  <c r="BN86" i="1"/>
  <c r="BP86" i="1"/>
  <c r="Z88" i="1"/>
  <c r="BN88" i="1"/>
  <c r="Y89" i="1"/>
  <c r="Z92" i="1"/>
  <c r="BN92" i="1"/>
  <c r="BP92" i="1"/>
  <c r="Z94" i="1"/>
  <c r="BN94" i="1"/>
  <c r="Y97" i="1"/>
  <c r="F503" i="1"/>
  <c r="Z101" i="1"/>
  <c r="Z105" i="1" s="1"/>
  <c r="BN101" i="1"/>
  <c r="BP101" i="1"/>
  <c r="Z103" i="1"/>
  <c r="BN103" i="1"/>
  <c r="Y106" i="1"/>
  <c r="Z109" i="1"/>
  <c r="Z112" i="1" s="1"/>
  <c r="BN109" i="1"/>
  <c r="BP109" i="1"/>
  <c r="Z111" i="1"/>
  <c r="BN111" i="1"/>
  <c r="Z115" i="1"/>
  <c r="BN115" i="1"/>
  <c r="BP115" i="1"/>
  <c r="Z117" i="1"/>
  <c r="BN117" i="1"/>
  <c r="Y120" i="1"/>
  <c r="G503" i="1"/>
  <c r="Z128" i="1"/>
  <c r="Z129" i="1" s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Z145" i="1" s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Y155" i="1"/>
  <c r="I503" i="1"/>
  <c r="Y165" i="1"/>
  <c r="Z168" i="1"/>
  <c r="Z179" i="1" s="1"/>
  <c r="BN168" i="1"/>
  <c r="BP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Z199" i="1"/>
  <c r="Z200" i="1" s="1"/>
  <c r="BN199" i="1"/>
  <c r="BP199" i="1"/>
  <c r="Z203" i="1"/>
  <c r="BN203" i="1"/>
  <c r="BP203" i="1"/>
  <c r="Z205" i="1"/>
  <c r="BN205" i="1"/>
  <c r="Z207" i="1"/>
  <c r="BN207" i="1"/>
  <c r="Z209" i="1"/>
  <c r="BN209" i="1"/>
  <c r="Y212" i="1"/>
  <c r="Z215" i="1"/>
  <c r="Z223" i="1" s="1"/>
  <c r="BN215" i="1"/>
  <c r="BP215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BP315" i="1"/>
  <c r="BN315" i="1"/>
  <c r="Z315" i="1"/>
  <c r="BP323" i="1"/>
  <c r="BN323" i="1"/>
  <c r="Z323" i="1"/>
  <c r="Y332" i="1"/>
  <c r="BP327" i="1"/>
  <c r="BN327" i="1"/>
  <c r="Z327" i="1"/>
  <c r="Y331" i="1"/>
  <c r="BP335" i="1"/>
  <c r="BN335" i="1"/>
  <c r="Z335" i="1"/>
  <c r="Z337" i="1" s="1"/>
  <c r="BP350" i="1"/>
  <c r="BN350" i="1"/>
  <c r="Z350" i="1"/>
  <c r="Z356" i="1" s="1"/>
  <c r="BP354" i="1"/>
  <c r="BN354" i="1"/>
  <c r="Z354" i="1"/>
  <c r="Y361" i="1"/>
  <c r="BP375" i="1"/>
  <c r="BN375" i="1"/>
  <c r="Z375" i="1"/>
  <c r="Z376" i="1" s="1"/>
  <c r="Y377" i="1"/>
  <c r="Y382" i="1"/>
  <c r="BP379" i="1"/>
  <c r="BN379" i="1"/>
  <c r="Z379" i="1"/>
  <c r="Z381" i="1" s="1"/>
  <c r="Y388" i="1"/>
  <c r="BP393" i="1"/>
  <c r="BN393" i="1"/>
  <c r="Z393" i="1"/>
  <c r="Z401" i="1" s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30" i="1"/>
  <c r="BN430" i="1"/>
  <c r="Z430" i="1"/>
  <c r="BP434" i="1"/>
  <c r="BN434" i="1"/>
  <c r="Z434" i="1"/>
  <c r="BP438" i="1"/>
  <c r="BN438" i="1"/>
  <c r="Z438" i="1"/>
  <c r="Y24" i="1"/>
  <c r="Y145" i="1"/>
  <c r="Y195" i="1"/>
  <c r="Y242" i="1"/>
  <c r="BP256" i="1"/>
  <c r="BN256" i="1"/>
  <c r="Z256" i="1"/>
  <c r="Y258" i="1"/>
  <c r="L503" i="1"/>
  <c r="Y266" i="1"/>
  <c r="BP261" i="1"/>
  <c r="BN261" i="1"/>
  <c r="Z261" i="1"/>
  <c r="Z266" i="1" s="1"/>
  <c r="BP265" i="1"/>
  <c r="BN265" i="1"/>
  <c r="Z265" i="1"/>
  <c r="Y267" i="1"/>
  <c r="M503" i="1"/>
  <c r="Y275" i="1"/>
  <c r="BP270" i="1"/>
  <c r="BN270" i="1"/>
  <c r="Z270" i="1"/>
  <c r="Z274" i="1" s="1"/>
  <c r="Y274" i="1"/>
  <c r="BP279" i="1"/>
  <c r="BN279" i="1"/>
  <c r="Z279" i="1"/>
  <c r="Z281" i="1" s="1"/>
  <c r="BP297" i="1"/>
  <c r="BN297" i="1"/>
  <c r="Z297" i="1"/>
  <c r="Z302" i="1" s="1"/>
  <c r="BP301" i="1"/>
  <c r="BN301" i="1"/>
  <c r="Z301" i="1"/>
  <c r="Y303" i="1"/>
  <c r="Y312" i="1"/>
  <c r="BP305" i="1"/>
  <c r="BN305" i="1"/>
  <c r="Z305" i="1"/>
  <c r="BP309" i="1"/>
  <c r="BN309" i="1"/>
  <c r="Z309" i="1"/>
  <c r="BP317" i="1"/>
  <c r="BN317" i="1"/>
  <c r="Z317" i="1"/>
  <c r="Y319" i="1"/>
  <c r="Y324" i="1"/>
  <c r="BP321" i="1"/>
  <c r="BN321" i="1"/>
  <c r="Z321" i="1"/>
  <c r="Z324" i="1" s="1"/>
  <c r="BP329" i="1"/>
  <c r="BN329" i="1"/>
  <c r="Z329" i="1"/>
  <c r="BP342" i="1"/>
  <c r="BN342" i="1"/>
  <c r="Z342" i="1"/>
  <c r="Z344" i="1" s="1"/>
  <c r="BP352" i="1"/>
  <c r="BN352" i="1"/>
  <c r="Z352" i="1"/>
  <c r="Y356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BP395" i="1"/>
  <c r="BN395" i="1"/>
  <c r="Z395" i="1"/>
  <c r="BP399" i="1"/>
  <c r="BN399" i="1"/>
  <c r="Z399" i="1"/>
  <c r="BP416" i="1"/>
  <c r="BN416" i="1"/>
  <c r="Z416" i="1"/>
  <c r="BP450" i="1"/>
  <c r="BN450" i="1"/>
  <c r="Z450" i="1"/>
  <c r="Z455" i="1" s="1"/>
  <c r="BP454" i="1"/>
  <c r="BN454" i="1"/>
  <c r="Z454" i="1"/>
  <c r="Y456" i="1"/>
  <c r="Y459" i="1"/>
  <c r="BP458" i="1"/>
  <c r="BN458" i="1"/>
  <c r="Z458" i="1"/>
  <c r="Z459" i="1" s="1"/>
  <c r="Y460" i="1"/>
  <c r="Y503" i="1"/>
  <c r="Y469" i="1"/>
  <c r="BP464" i="1"/>
  <c r="BN464" i="1"/>
  <c r="Z464" i="1"/>
  <c r="Y468" i="1"/>
  <c r="BP472" i="1"/>
  <c r="BN472" i="1"/>
  <c r="Z472" i="1"/>
  <c r="Z473" i="1" s="1"/>
  <c r="Y474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O503" i="1"/>
  <c r="Y282" i="1"/>
  <c r="P503" i="1"/>
  <c r="Y287" i="1"/>
  <c r="Q503" i="1"/>
  <c r="Y302" i="1"/>
  <c r="R503" i="1"/>
  <c r="Y345" i="1"/>
  <c r="S503" i="1"/>
  <c r="Y357" i="1"/>
  <c r="T503" i="1"/>
  <c r="Y376" i="1"/>
  <c r="U503" i="1"/>
  <c r="Y402" i="1"/>
  <c r="W503" i="1"/>
  <c r="Y423" i="1"/>
  <c r="BP422" i="1"/>
  <c r="Y424" i="1"/>
  <c r="X503" i="1"/>
  <c r="Y441" i="1"/>
  <c r="BP428" i="1"/>
  <c r="BN428" i="1"/>
  <c r="Z428" i="1"/>
  <c r="BP432" i="1"/>
  <c r="BN432" i="1"/>
  <c r="Z432" i="1"/>
  <c r="BP436" i="1"/>
  <c r="BN436" i="1"/>
  <c r="Z436" i="1"/>
  <c r="Y440" i="1"/>
  <c r="Z446" i="1"/>
  <c r="BP444" i="1"/>
  <c r="BN444" i="1"/>
  <c r="Z444" i="1"/>
  <c r="Y455" i="1"/>
  <c r="BP452" i="1"/>
  <c r="BN452" i="1"/>
  <c r="Z452" i="1"/>
  <c r="BP466" i="1"/>
  <c r="BN466" i="1"/>
  <c r="Z466" i="1"/>
  <c r="Y473" i="1"/>
  <c r="Z484" i="1"/>
  <c r="Z486" i="1" s="1"/>
  <c r="BN484" i="1"/>
  <c r="BP484" i="1"/>
  <c r="Y487" i="1"/>
  <c r="Y492" i="1"/>
  <c r="Z485" i="1"/>
  <c r="BN485" i="1"/>
  <c r="Z490" i="1"/>
  <c r="Z491" i="1" s="1"/>
  <c r="BN490" i="1"/>
  <c r="BP490" i="1"/>
  <c r="Y491" i="1"/>
  <c r="Y497" i="1" l="1"/>
  <c r="Z318" i="1"/>
  <c r="Z185" i="1"/>
  <c r="Y494" i="1"/>
  <c r="Z440" i="1"/>
  <c r="Z468" i="1"/>
  <c r="Z311" i="1"/>
  <c r="Z418" i="1"/>
  <c r="Z331" i="1"/>
  <c r="Z257" i="1"/>
  <c r="Z241" i="1"/>
  <c r="Z211" i="1"/>
  <c r="Z154" i="1"/>
  <c r="Z119" i="1"/>
  <c r="Z96" i="1"/>
  <c r="Z64" i="1"/>
  <c r="Z498" i="1" s="1"/>
  <c r="Y493" i="1"/>
  <c r="Y495" i="1"/>
  <c r="Y496" i="1" l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<sst xmlns="http://schemas.openxmlformats.org/spreadsheetml/2006/main" count="2366" uniqueCount="777">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</sst>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200</v>
      </c>
      <c r="Y41" s="550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18.518518518518519</v>
      </c>
      <c r="Y44" s="551">
        <f>IFERROR(Y41/H41,"0")+IFERROR(Y42/H42,"0")+IFERROR(Y43/H43,"0")</f>
        <v>19</v>
      </c>
      <c r="Z44" s="551">
        <f>IFERROR(IF(Z41="",0,Z41),"0")+IFERROR(IF(Z42="",0,Z42),"0")+IFERROR(IF(Z43="",0,Z43),"0")</f>
        <v>0.36062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200</v>
      </c>
      <c r="Y45" s="551">
        <f>IFERROR(SUM(Y41:Y43),"0")</f>
        <v>205.20000000000002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500</v>
      </c>
      <c r="Y61" s="550">
        <f>IFERROR(IF(X61="",0,CEILING((X61/$H61),1)*$H61),"")</f>
        <v>507.6</v>
      </c>
      <c r="Z61" s="36">
        <f>IFERROR(IF(Y61=0,"",ROUNDUP(Y61/H61,0)*0.01898),"")</f>
        <v>0.89205999999999996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518.98148148148141</v>
      </c>
      <c r="BN61" s="64">
        <f>IFERROR(Y61*I61/H61,"0")</f>
        <v>526.87</v>
      </c>
      <c r="BO61" s="64">
        <f>IFERROR(1/J61*(X61/H61),"0")</f>
        <v>0.72337962962962954</v>
      </c>
      <c r="BP61" s="64">
        <f>IFERROR(1/J61*(Y61/H61),"0")</f>
        <v>0.734375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46.296296296296291</v>
      </c>
      <c r="Y64" s="551">
        <f>IFERROR(Y61/H61,"0")+IFERROR(Y62/H62,"0")+IFERROR(Y63/H63,"0")</f>
        <v>47</v>
      </c>
      <c r="Z64" s="551">
        <f>IFERROR(IF(Z61="",0,Z61),"0")+IFERROR(IF(Z62="",0,Z62),"0")+IFERROR(IF(Z63="",0,Z63),"0")</f>
        <v>0.89205999999999996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500</v>
      </c>
      <c r="Y65" s="551">
        <f>IFERROR(SUM(Y61:Y63),"0")</f>
        <v>507.6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200</v>
      </c>
      <c r="Y85" s="550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18.518518518518519</v>
      </c>
      <c r="Y89" s="551">
        <f>IFERROR(Y85/H85,"0")+IFERROR(Y86/H86,"0")+IFERROR(Y87/H87,"0")+IFERROR(Y88/H88,"0")</f>
        <v>19</v>
      </c>
      <c r="Z89" s="551">
        <f>IFERROR(IF(Z85="",0,Z85),"0")+IFERROR(IF(Z86="",0,Z86),"0")+IFERROR(IF(Z87="",0,Z87),"0")+IFERROR(IF(Z88="",0,Z88),"0")</f>
        <v>0.36062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200</v>
      </c>
      <c r="Y90" s="551">
        <f>IFERROR(SUM(Y85:Y88),"0")</f>
        <v>205.20000000000002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700</v>
      </c>
      <c r="Y100" s="550">
        <f>IFERROR(IF(X100="",0,CEILING((X100/$H100),1)*$H100),"")</f>
        <v>702</v>
      </c>
      <c r="Z100" s="36">
        <f>IFERROR(IF(Y100=0,"",ROUNDUP(Y100/H100,0)*0.01898),"")</f>
        <v>1.2337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726.57407407407413</v>
      </c>
      <c r="BN100" s="64">
        <f>IFERROR(Y100*I100/H100,"0")</f>
        <v>728.65000000000009</v>
      </c>
      <c r="BO100" s="64">
        <f>IFERROR(1/J100*(X100/H100),"0")</f>
        <v>1.0127314814814814</v>
      </c>
      <c r="BP100" s="64">
        <f>IFERROR(1/J100*(Y100/H100),"0")</f>
        <v>1.015625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64.81481481481481</v>
      </c>
      <c r="Y105" s="551">
        <f>IFERROR(Y100/H100,"0")+IFERROR(Y101/H101,"0")+IFERROR(Y102/H102,"0")+IFERROR(Y103/H103,"0")+IFERROR(Y104/H104,"0")</f>
        <v>65</v>
      </c>
      <c r="Z105" s="551">
        <f>IFERROR(IF(Z100="",0,Z100),"0")+IFERROR(IF(Z101="",0,Z101),"0")+IFERROR(IF(Z102="",0,Z102),"0")+IFERROR(IF(Z103="",0,Z103),"0")+IFERROR(IF(Z104="",0,Z104),"0")</f>
        <v>1.2337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700</v>
      </c>
      <c r="Y106" s="551">
        <f>IFERROR(SUM(Y100:Y104),"0")</f>
        <v>702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500</v>
      </c>
      <c r="Y115" s="550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225</v>
      </c>
      <c r="Y117" s="550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145.06172839506172</v>
      </c>
      <c r="Y119" s="551">
        <f>IFERROR(Y115/H115,"0")+IFERROR(Y116/H116,"0")+IFERROR(Y117/H117,"0")+IFERROR(Y118/H118,"0")</f>
        <v>146</v>
      </c>
      <c r="Z119" s="551">
        <f>IFERROR(IF(Z115="",0,Z115),"0")+IFERROR(IF(Z116="",0,Z116),"0")+IFERROR(IF(Z117="",0,Z117),"0")+IFERROR(IF(Z118="",0,Z118),"0")</f>
        <v>1.7236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725</v>
      </c>
      <c r="Y120" s="551">
        <f>IFERROR(SUM(Y115:Y118),"0")</f>
        <v>729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1000</v>
      </c>
      <c r="Y350" s="550">
        <f t="shared" si="41"/>
        <v>1005</v>
      </c>
      <c r="Z350" s="36">
        <f>IFERROR(IF(Y350=0,"",ROUNDUP(Y350/H350,0)*0.02175),"")</f>
        <v>1.4572499999999999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1031.3333333333333</v>
      </c>
      <c r="BN350" s="64">
        <f t="shared" si="43"/>
        <v>1036.49</v>
      </c>
      <c r="BO350" s="64">
        <f t="shared" si="44"/>
        <v>1.3888888888888888</v>
      </c>
      <c r="BP350" s="64">
        <f t="shared" si="45"/>
        <v>1.3958333333333333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1000</v>
      </c>
      <c r="Y352" s="550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133.33333333333334</v>
      </c>
      <c r="Y356" s="551">
        <f>IFERROR(Y349/H349,"0")+IFERROR(Y350/H350,"0")+IFERROR(Y351/H351,"0")+IFERROR(Y352/H352,"0")+IFERROR(Y353/H353,"0")+IFERROR(Y354/H354,"0")+IFERROR(Y355/H355,"0")</f>
        <v>134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2.9144999999999999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2000</v>
      </c>
      <c r="Y357" s="551">
        <f>IFERROR(SUM(Y349:Y355),"0")</f>
        <v>2010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66.666666666666671</v>
      </c>
      <c r="Y361" s="551">
        <f>IFERROR(Y359/H359,"0")+IFERROR(Y360/H360,"0")</f>
        <v>67</v>
      </c>
      <c r="Z361" s="551">
        <f>IFERROR(IF(Z359="",0,Z359),"0")+IFERROR(IF(Z360="",0,Z360),"0")</f>
        <v>1.4572499999999999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1000</v>
      </c>
      <c r="Y362" s="551">
        <f>IFERROR(SUM(Y359:Y360),"0")</f>
        <v>1005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2000</v>
      </c>
      <c r="Y384" s="550">
        <f>IFERROR(IF(X384="",0,CEILING((X384/$H384),1)*$H384),"")</f>
        <v>2007</v>
      </c>
      <c r="Z384" s="36">
        <f>IFERROR(IF(Y384=0,"",ROUNDUP(Y384/H384,0)*0.01898),"")</f>
        <v>4.2325400000000002</v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2109.7777777777778</v>
      </c>
      <c r="BN384" s="64">
        <f>IFERROR(Y384*I384/H384,"0")</f>
        <v>2117.1619999999998</v>
      </c>
      <c r="BO384" s="64">
        <f>IFERROR(1/J384*(X384/H384),"0")</f>
        <v>3.4722222222222223</v>
      </c>
      <c r="BP384" s="64">
        <f>IFERROR(1/J384*(Y384/H384),"0")</f>
        <v>3.484375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222.22222222222223</v>
      </c>
      <c r="Y387" s="551">
        <f>IFERROR(Y384/H384,"0")+IFERROR(Y385/H385,"0")+IFERROR(Y386/H386,"0")</f>
        <v>223</v>
      </c>
      <c r="Z387" s="551">
        <f>IFERROR(IF(Z384="",0,Z384),"0")+IFERROR(IF(Z385="",0,Z385),"0")+IFERROR(IF(Z386="",0,Z386),"0")</f>
        <v>4.2325400000000002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2000</v>
      </c>
      <c r="Y388" s="551">
        <f>IFERROR(SUM(Y384:Y386),"0")</f>
        <v>2007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150</v>
      </c>
      <c r="Y428" s="550">
        <f t="shared" ref="Y428:Y439" si="52">IFERROR(IF(X428="",0,CEILING((X428/$H428),1)*$H428),"")</f>
        <v>153.12</v>
      </c>
      <c r="Z428" s="36">
        <f t="shared" ref="Z428:Z434" si="53">IFERROR(IF(Y428=0,"",ROUNDUP(Y428/H428,0)*0.01196),"")</f>
        <v>0.34683999999999998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159.94318181818181</v>
      </c>
      <c r="BN428" s="64">
        <f t="shared" ref="BN428:BN439" si="55">IFERROR(Y428*I428/H428,"0")</f>
        <v>163.26999999999998</v>
      </c>
      <c r="BO428" s="64">
        <f t="shared" ref="BO428:BO439" si="56">IFERROR(1/J428*(X428/H428),"0")</f>
        <v>0.27316433566433568</v>
      </c>
      <c r="BP428" s="64">
        <f t="shared" ref="BP428:BP439" si="57">IFERROR(1/J428*(Y428/H428),"0")</f>
        <v>0.27884615384615385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300</v>
      </c>
      <c r="Y431" s="550">
        <f t="shared" si="52"/>
        <v>300.96000000000004</v>
      </c>
      <c r="Z431" s="36">
        <f t="shared" si="53"/>
        <v>0.68171999999999999</v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319.88636363636363</v>
      </c>
      <c r="BN431" s="64">
        <f t="shared" si="55"/>
        <v>320.91000000000003</v>
      </c>
      <c r="BO431" s="64">
        <f t="shared" si="56"/>
        <v>0.54632867132867136</v>
      </c>
      <c r="BP431" s="64">
        <f t="shared" si="57"/>
        <v>0.54807692307692313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3000</v>
      </c>
      <c r="Y432" s="550">
        <f t="shared" si="52"/>
        <v>3004.32</v>
      </c>
      <c r="Z432" s="36">
        <f t="shared" si="53"/>
        <v>6.8052400000000004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3198.863636363636</v>
      </c>
      <c r="BN432" s="64">
        <f t="shared" si="55"/>
        <v>3203.47</v>
      </c>
      <c r="BO432" s="64">
        <f t="shared" si="56"/>
        <v>5.4632867132867133</v>
      </c>
      <c r="BP432" s="64">
        <f t="shared" si="57"/>
        <v>5.4711538461538467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1500</v>
      </c>
      <c r="Y434" s="550">
        <f t="shared" si="52"/>
        <v>1504.8000000000002</v>
      </c>
      <c r="Z434" s="36">
        <f t="shared" si="53"/>
        <v>3.4085999999999999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1599.431818181818</v>
      </c>
      <c r="BN434" s="64">
        <f t="shared" si="55"/>
        <v>1604.5500000000002</v>
      </c>
      <c r="BO434" s="64">
        <f t="shared" si="56"/>
        <v>2.7316433566433567</v>
      </c>
      <c r="BP434" s="64">
        <f t="shared" si="57"/>
        <v>2.7403846153846154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937.5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940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11.2424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4950</v>
      </c>
      <c r="Y441" s="551">
        <f>IFERROR(SUM(Y428:Y439),"0")</f>
        <v>4963.2000000000007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2000</v>
      </c>
      <c r="Y443" s="550">
        <f>IFERROR(IF(X443="",0,CEILING((X443/$H443),1)*$H443),"")</f>
        <v>2001.1200000000001</v>
      </c>
      <c r="Z443" s="36">
        <f>IFERROR(IF(Y443=0,"",ROUNDUP(Y443/H443,0)*0.01196),"")</f>
        <v>4.5328400000000002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2132.5757575757575</v>
      </c>
      <c r="BN443" s="64">
        <f>IFERROR(Y443*I443/H443,"0")</f>
        <v>2133.77</v>
      </c>
      <c r="BO443" s="64">
        <f>IFERROR(1/J443*(X443/H443),"0")</f>
        <v>3.6421911421911419</v>
      </c>
      <c r="BP443" s="64">
        <f>IFERROR(1/J443*(Y443/H443),"0")</f>
        <v>3.6442307692307696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378.78787878787875</v>
      </c>
      <c r="Y446" s="551">
        <f>IFERROR(Y443/H443,"0")+IFERROR(Y444/H444,"0")+IFERROR(Y445/H445,"0")</f>
        <v>379</v>
      </c>
      <c r="Z446" s="551">
        <f>IFERROR(IF(Z443="",0,Z443),"0")+IFERROR(IF(Z444="",0,Z444),"0")+IFERROR(IF(Z445="",0,Z445),"0")</f>
        <v>4.5328400000000002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2000</v>
      </c>
      <c r="Y447" s="551">
        <f>IFERROR(SUM(Y443:Y445),"0")</f>
        <v>2001.1200000000001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500</v>
      </c>
      <c r="Y449" s="550">
        <f t="shared" ref="Y449:Y454" si="58">IFERROR(IF(X449="",0,CEILING((X449/$H449),1)*$H449),"")</f>
        <v>501.6</v>
      </c>
      <c r="Z449" s="36">
        <f>IFERROR(IF(Y449=0,"",ROUNDUP(Y449/H449,0)*0.01196),"")</f>
        <v>1.1362000000000001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533.14393939393938</v>
      </c>
      <c r="BN449" s="64">
        <f t="shared" ref="BN449:BN454" si="60">IFERROR(Y449*I449/H449,"0")</f>
        <v>534.85</v>
      </c>
      <c r="BO449" s="64">
        <f t="shared" ref="BO449:BO454" si="61">IFERROR(1/J449*(X449/H449),"0")</f>
        <v>0.91054778554778548</v>
      </c>
      <c r="BP449" s="64">
        <f t="shared" ref="BP449:BP454" si="62">IFERROR(1/J449*(Y449/H449),"0")</f>
        <v>0.91346153846153855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500</v>
      </c>
      <c r="Y450" s="550">
        <f t="shared" si="58"/>
        <v>501.6</v>
      </c>
      <c r="Z450" s="36">
        <f>IFERROR(IF(Y450=0,"",ROUNDUP(Y450/H450,0)*0.01196),"")</f>
        <v>1.1362000000000001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533.14393939393938</v>
      </c>
      <c r="BN450" s="64">
        <f t="shared" si="60"/>
        <v>534.85</v>
      </c>
      <c r="BO450" s="64">
        <f t="shared" si="61"/>
        <v>0.91054778554778548</v>
      </c>
      <c r="BP450" s="64">
        <f t="shared" si="62"/>
        <v>0.91346153846153855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1000</v>
      </c>
      <c r="Y451" s="550">
        <f t="shared" si="58"/>
        <v>1003.2</v>
      </c>
      <c r="Z451" s="36">
        <f>IFERROR(IF(Y451=0,"",ROUNDUP(Y451/H451,0)*0.01196),"")</f>
        <v>2.2724000000000002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1066.2878787878788</v>
      </c>
      <c r="BN451" s="64">
        <f t="shared" si="60"/>
        <v>1069.7</v>
      </c>
      <c r="BO451" s="64">
        <f t="shared" si="61"/>
        <v>1.821095571095571</v>
      </c>
      <c r="BP451" s="64">
        <f t="shared" si="62"/>
        <v>1.8269230769230771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378.78787878787875</v>
      </c>
      <c r="Y455" s="551">
        <f>IFERROR(Y449/H449,"0")+IFERROR(Y450/H450,"0")+IFERROR(Y451/H451,"0")+IFERROR(Y452/H452,"0")+IFERROR(Y453/H453,"0")+IFERROR(Y454/H454,"0")</f>
        <v>380</v>
      </c>
      <c r="Z455" s="551">
        <f>IFERROR(IF(Z449="",0,Z449),"0")+IFERROR(IF(Z450="",0,Z450),"0")+IFERROR(IF(Z451="",0,Z451),"0")+IFERROR(IF(Z452="",0,Z452),"0")+IFERROR(IF(Z453="",0,Z453),"0")+IFERROR(IF(Z454="",0,Z454),"0")</f>
        <v>4.5448000000000004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2000</v>
      </c>
      <c r="Y456" s="551">
        <f>IFERROR(SUM(Y449:Y454),"0")</f>
        <v>2006.4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16275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16341.720000000001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17183.918490460157</v>
      </c>
      <c r="Y494" s="551">
        <f>IFERROR(SUM(BN22:BN490),"0")</f>
        <v>17253.925999999999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28</v>
      </c>
      <c r="Y495" s="38">
        <f>ROUNDUP(SUM(BP22:BP490),0)</f>
        <v>28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17883.918490460157</v>
      </c>
      <c r="Y496" s="551">
        <f>GrossWeightTotalR+PalletQtyTotalR*25</f>
        <v>17953.925999999999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2410.5078563411898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2419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33.494930000000004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205.20000000000002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507.6</v>
      </c>
      <c r="E503" s="46">
        <f>IFERROR(Y85*1,"0")+IFERROR(Y86*1,"0")+IFERROR(Y87*1,"0")+IFERROR(Y88*1,"0")+IFERROR(Y92*1,"0")+IFERROR(Y93*1,"0")+IFERROR(Y94*1,"0")+IFERROR(Y95*1,"0")</f>
        <v>205.20000000000002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1431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3015</v>
      </c>
      <c r="T503" s="46">
        <f>IFERROR(Y374*1,"0")+IFERROR(Y375*1,"0")+IFERROR(Y379*1,"0")+IFERROR(Y380*1,"0")+IFERROR(Y384*1,"0")+IFERROR(Y385*1,"0")+IFERROR(Y386*1,"0")</f>
        <v>2007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8970.7200000000012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2025-12-22T07:54:21Z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