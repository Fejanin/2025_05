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5A9B1F9-6069-4657-97FE-77AB3A4516A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Y264" i="1"/>
  <c r="X264" i="1"/>
  <c r="Z263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Y253" i="1"/>
  <c r="Y26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P247" i="1"/>
  <c r="BO247" i="1"/>
  <c r="BN247" i="1"/>
  <c r="BM247" i="1"/>
  <c r="Z247" i="1"/>
  <c r="Z250" i="1" s="1"/>
  <c r="Y247" i="1"/>
  <c r="Y251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Z240" i="1" s="1"/>
  <c r="Y238" i="1"/>
  <c r="P238" i="1"/>
  <c r="X234" i="1"/>
  <c r="Z233" i="1"/>
  <c r="X233" i="1"/>
  <c r="BO232" i="1"/>
  <c r="BM232" i="1"/>
  <c r="Z232" i="1"/>
  <c r="Y232" i="1"/>
  <c r="P232" i="1"/>
  <c r="Y230" i="1"/>
  <c r="X230" i="1"/>
  <c r="Z229" i="1"/>
  <c r="X229" i="1"/>
  <c r="BO228" i="1"/>
  <c r="BM228" i="1"/>
  <c r="Z228" i="1"/>
  <c r="Y228" i="1"/>
  <c r="P228" i="1"/>
  <c r="X224" i="1"/>
  <c r="Z223" i="1"/>
  <c r="X223" i="1"/>
  <c r="BO222" i="1"/>
  <c r="BM222" i="1"/>
  <c r="Z222" i="1"/>
  <c r="Y222" i="1"/>
  <c r="P222" i="1"/>
  <c r="Y218" i="1"/>
  <c r="X218" i="1"/>
  <c r="Z217" i="1"/>
  <c r="X217" i="1"/>
  <c r="BO216" i="1"/>
  <c r="BM216" i="1"/>
  <c r="Z216" i="1"/>
  <c r="Y216" i="1"/>
  <c r="P216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X206" i="1"/>
  <c r="Y205" i="1"/>
  <c r="X205" i="1"/>
  <c r="BP204" i="1"/>
  <c r="BO204" i="1"/>
  <c r="BN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Y183" i="1"/>
  <c r="X183" i="1"/>
  <c r="Z182" i="1"/>
  <c r="X182" i="1"/>
  <c r="BO181" i="1"/>
  <c r="BM181" i="1"/>
  <c r="Z181" i="1"/>
  <c r="Y181" i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Z173" i="1" s="1"/>
  <c r="Y171" i="1"/>
  <c r="P171" i="1"/>
  <c r="X167" i="1"/>
  <c r="Z166" i="1"/>
  <c r="X166" i="1"/>
  <c r="BO165" i="1"/>
  <c r="BM165" i="1"/>
  <c r="Z165" i="1"/>
  <c r="Y165" i="1"/>
  <c r="P165" i="1"/>
  <c r="Y162" i="1"/>
  <c r="X162" i="1"/>
  <c r="Z161" i="1"/>
  <c r="X161" i="1"/>
  <c r="BO160" i="1"/>
  <c r="BM160" i="1"/>
  <c r="Z160" i="1"/>
  <c r="Y160" i="1"/>
  <c r="P160" i="1"/>
  <c r="X157" i="1"/>
  <c r="Z156" i="1"/>
  <c r="X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X147" i="1"/>
  <c r="X146" i="1"/>
  <c r="BO145" i="1"/>
  <c r="BM145" i="1"/>
  <c r="Z145" i="1"/>
  <c r="Y145" i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Z134" i="1" s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65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7" i="1" s="1"/>
  <c r="BM22" i="1"/>
  <c r="X266" i="1" s="1"/>
  <c r="X268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65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F9" i="1"/>
  <c r="J9" i="1"/>
  <c r="BN22" i="1"/>
  <c r="BP22" i="1"/>
  <c r="BN24" i="1"/>
  <c r="BN26" i="1"/>
  <c r="X269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Z270" i="1" s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1" i="1"/>
  <c r="Y212" i="1"/>
  <c r="Y217" i="1"/>
  <c r="BP216" i="1"/>
  <c r="BN216" i="1"/>
  <c r="Y224" i="1"/>
  <c r="Y229" i="1"/>
  <c r="BP228" i="1"/>
  <c r="BN228" i="1"/>
  <c r="Y234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7" i="1" l="1"/>
  <c r="Y266" i="1"/>
  <c r="Y268" i="1" s="1"/>
  <c r="Y269" i="1"/>
  <c r="A278" i="1"/>
  <c r="C278" i="1" l="1"/>
  <c r="B278" i="1"/>
</calcChain>
</file>

<file path=xl/sharedStrings.xml><?xml version="1.0" encoding="utf-8"?>
<sst xmlns="http://schemas.openxmlformats.org/spreadsheetml/2006/main" count="1198" uniqueCount="389">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</sst>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topLeftCell="A257" zoomScaleNormal="100" zoomScaleSheetLayoutView="100" workbookViewId="0">
      <selection activeCell="AA271" sqref="AA271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5" t="s">
        <v>0</v>
      </c>
      <c r="E1" s="294"/>
      <c r="F1" s="294"/>
      <c r="G1" s="12" t="s">
        <v>1</v>
      </c>
      <c r="H1" s="315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1" t="s">
        <v>8</v>
      </c>
      <c r="B5" s="321"/>
      <c r="C5" s="322"/>
      <c r="D5" s="317"/>
      <c r="E5" s="318"/>
      <c r="F5" s="435" t="s">
        <v>9</v>
      </c>
      <c r="G5" s="322"/>
      <c r="H5" s="317"/>
      <c r="I5" s="408"/>
      <c r="J5" s="408"/>
      <c r="K5" s="408"/>
      <c r="L5" s="408"/>
      <c r="M5" s="318"/>
      <c r="N5" s="61"/>
      <c r="P5" s="24" t="s">
        <v>10</v>
      </c>
      <c r="Q5" s="441">
        <v>46041</v>
      </c>
      <c r="R5" s="340"/>
      <c r="T5" s="367" t="s">
        <v>11</v>
      </c>
      <c r="U5" s="358"/>
      <c r="V5" s="368" t="s">
        <v>12</v>
      </c>
      <c r="W5" s="340"/>
      <c r="AB5" s="51"/>
      <c r="AC5" s="51"/>
      <c r="AD5" s="51"/>
      <c r="AE5" s="51"/>
    </row>
    <row r="6" spans="1:32" s="258" customFormat="1" ht="24" customHeight="1" x14ac:dyDescent="0.2">
      <c r="A6" s="341" t="s">
        <v>13</v>
      </c>
      <c r="B6" s="321"/>
      <c r="C6" s="322"/>
      <c r="D6" s="410" t="s">
        <v>14</v>
      </c>
      <c r="E6" s="411"/>
      <c r="F6" s="411"/>
      <c r="G6" s="411"/>
      <c r="H6" s="411"/>
      <c r="I6" s="411"/>
      <c r="J6" s="411"/>
      <c r="K6" s="411"/>
      <c r="L6" s="411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69"/>
      <c r="T6" s="370" t="s">
        <v>16</v>
      </c>
      <c r="U6" s="358"/>
      <c r="V6" s="396" t="s">
        <v>17</v>
      </c>
      <c r="W6" s="301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7"/>
      <c r="U7" s="358"/>
      <c r="V7" s="397"/>
      <c r="W7" s="398"/>
      <c r="AB7" s="51"/>
      <c r="AC7" s="51"/>
      <c r="AD7" s="51"/>
      <c r="AE7" s="51"/>
    </row>
    <row r="8" spans="1:32" s="258" customFormat="1" ht="25.5" customHeight="1" x14ac:dyDescent="0.2">
      <c r="A8" s="451" t="s">
        <v>18</v>
      </c>
      <c r="B8" s="275"/>
      <c r="C8" s="276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46">
        <v>0.41666666666666669</v>
      </c>
      <c r="R8" s="309"/>
      <c r="T8" s="287"/>
      <c r="U8" s="358"/>
      <c r="V8" s="397"/>
      <c r="W8" s="398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0"/>
      <c r="E9" s="278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56"/>
      <c r="P9" s="26" t="s">
        <v>21</v>
      </c>
      <c r="Q9" s="337"/>
      <c r="R9" s="338"/>
      <c r="T9" s="287"/>
      <c r="U9" s="358"/>
      <c r="V9" s="399"/>
      <c r="W9" s="400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0"/>
      <c r="E10" s="278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1" t="str">
        <f>IFERROR(VLOOKUP($D$10,Proxy,2,FALSE),"")</f>
        <v/>
      </c>
      <c r="I10" s="287"/>
      <c r="J10" s="287"/>
      <c r="K10" s="287"/>
      <c r="L10" s="287"/>
      <c r="M10" s="287"/>
      <c r="N10" s="257"/>
      <c r="P10" s="26" t="s">
        <v>22</v>
      </c>
      <c r="Q10" s="371"/>
      <c r="R10" s="372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4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4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46"/>
      <c r="R12" s="309"/>
      <c r="S12" s="23"/>
      <c r="U12" s="24"/>
      <c r="V12" s="294"/>
      <c r="W12" s="287"/>
      <c r="AB12" s="51"/>
      <c r="AC12" s="51"/>
      <c r="AD12" s="51"/>
      <c r="AE12" s="51"/>
    </row>
    <row r="13" spans="1:32" s="258" customFormat="1" ht="23.25" customHeight="1" x14ac:dyDescent="0.2">
      <c r="A13" s="364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14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4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8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9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49" t="s">
        <v>38</v>
      </c>
      <c r="D17" s="297" t="s">
        <v>39</v>
      </c>
      <c r="E17" s="331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0"/>
      <c r="R17" s="330"/>
      <c r="S17" s="330"/>
      <c r="T17" s="331"/>
      <c r="U17" s="448" t="s">
        <v>51</v>
      </c>
      <c r="V17" s="322"/>
      <c r="W17" s="297" t="s">
        <v>52</v>
      </c>
      <c r="X17" s="297" t="s">
        <v>53</v>
      </c>
      <c r="Y17" s="449" t="s">
        <v>54</v>
      </c>
      <c r="Z17" s="406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2"/>
      <c r="E18" s="334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8"/>
      <c r="X18" s="298"/>
      <c r="Y18" s="450"/>
      <c r="Z18" s="407"/>
      <c r="AA18" s="390"/>
      <c r="AB18" s="390"/>
      <c r="AC18" s="390"/>
      <c r="AD18" s="432"/>
      <c r="AE18" s="433"/>
      <c r="AF18" s="434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59"/>
      <c r="AB20" s="259"/>
      <c r="AC20" s="259"/>
    </row>
    <row r="21" spans="1:68" ht="14.25" customHeight="1" x14ac:dyDescent="0.25">
      <c r="A21" s="305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68">
        <v>4607111035912</v>
      </c>
      <c r="E22" s="269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68">
        <v>4607111035103</v>
      </c>
      <c r="E23" s="269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68">
        <v>4607111035929</v>
      </c>
      <c r="E24" s="269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68">
        <v>4607111035882</v>
      </c>
      <c r="E25" s="269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68">
        <v>4607111035110</v>
      </c>
      <c r="E26" s="269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68">
        <v>4607111035905</v>
      </c>
      <c r="E27" s="269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9"/>
      <c r="P28" s="274" t="s">
        <v>83</v>
      </c>
      <c r="Q28" s="275"/>
      <c r="R28" s="275"/>
      <c r="S28" s="275"/>
      <c r="T28" s="275"/>
      <c r="U28" s="275"/>
      <c r="V28" s="276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9"/>
      <c r="P29" s="274" t="s">
        <v>83</v>
      </c>
      <c r="Q29" s="275"/>
      <c r="R29" s="275"/>
      <c r="S29" s="275"/>
      <c r="T29" s="275"/>
      <c r="U29" s="275"/>
      <c r="V29" s="276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59"/>
      <c r="AB30" s="259"/>
      <c r="AC30" s="259"/>
    </row>
    <row r="31" spans="1:68" ht="14.25" customHeight="1" x14ac:dyDescent="0.25">
      <c r="A31" s="305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68">
        <v>4607111039019</v>
      </c>
      <c r="E32" s="269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68">
        <v>4607111038708</v>
      </c>
      <c r="E33" s="269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8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9"/>
      <c r="P34" s="274" t="s">
        <v>83</v>
      </c>
      <c r="Q34" s="275"/>
      <c r="R34" s="275"/>
      <c r="S34" s="275"/>
      <c r="T34" s="275"/>
      <c r="U34" s="275"/>
      <c r="V34" s="276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9"/>
      <c r="P35" s="274" t="s">
        <v>83</v>
      </c>
      <c r="Q35" s="275"/>
      <c r="R35" s="275"/>
      <c r="S35" s="275"/>
      <c r="T35" s="275"/>
      <c r="U35" s="275"/>
      <c r="V35" s="276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59"/>
      <c r="AB37" s="259"/>
      <c r="AC37" s="259"/>
    </row>
    <row r="38" spans="1:68" ht="14.25" customHeight="1" x14ac:dyDescent="0.25">
      <c r="A38" s="305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68">
        <v>4607111036537</v>
      </c>
      <c r="E39" s="269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4">
        <v>140</v>
      </c>
      <c r="Y39" s="265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68">
        <v>4607111036605</v>
      </c>
      <c r="E40" s="269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4">
        <v>154</v>
      </c>
      <c r="Y40" s="265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88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9"/>
      <c r="P41" s="274" t="s">
        <v>83</v>
      </c>
      <c r="Q41" s="275"/>
      <c r="R41" s="275"/>
      <c r="S41" s="275"/>
      <c r="T41" s="275"/>
      <c r="U41" s="275"/>
      <c r="V41" s="276"/>
      <c r="W41" s="37" t="s">
        <v>70</v>
      </c>
      <c r="X41" s="266">
        <f>IFERROR(SUM(X39:X40),"0")</f>
        <v>294</v>
      </c>
      <c r="Y41" s="266">
        <f>IFERROR(SUM(Y39:Y40),"0")</f>
        <v>294</v>
      </c>
      <c r="Z41" s="266">
        <f>IFERROR(IF(Z39="",0,Z39),"0")+IFERROR(IF(Z40="",0,Z40),"0")</f>
        <v>2.76654</v>
      </c>
      <c r="AA41" s="267"/>
      <c r="AB41" s="267"/>
      <c r="AC41" s="267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9"/>
      <c r="P42" s="274" t="s">
        <v>83</v>
      </c>
      <c r="Q42" s="275"/>
      <c r="R42" s="275"/>
      <c r="S42" s="275"/>
      <c r="T42" s="275"/>
      <c r="U42" s="275"/>
      <c r="V42" s="276"/>
      <c r="W42" s="37" t="s">
        <v>84</v>
      </c>
      <c r="X42" s="266">
        <f>IFERROR(SUMPRODUCT(X39:X40*H39:H40),"0")</f>
        <v>441</v>
      </c>
      <c r="Y42" s="266">
        <f>IFERROR(SUMPRODUCT(Y39:Y40*H39:H40),"0")</f>
        <v>441</v>
      </c>
      <c r="Z42" s="37"/>
      <c r="AA42" s="267"/>
      <c r="AB42" s="267"/>
      <c r="AC42" s="267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59"/>
      <c r="AB43" s="259"/>
      <c r="AC43" s="259"/>
    </row>
    <row r="44" spans="1:68" ht="14.25" customHeight="1" x14ac:dyDescent="0.25">
      <c r="A44" s="305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68">
        <v>4620207490075</v>
      </c>
      <c r="E45" s="269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4">
        <v>72</v>
      </c>
      <c r="Y45" s="265">
        <f>IFERROR(IF(X45="","",X45),"")</f>
        <v>72</v>
      </c>
      <c r="Z45" s="36">
        <f>IFERROR(IF(X45="","",X45*0.0155),"")</f>
        <v>1.1160000000000001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422.64</v>
      </c>
      <c r="BN45" s="67">
        <f>IFERROR(Y45*I45,"0")</f>
        <v>422.64</v>
      </c>
      <c r="BO45" s="67">
        <f>IFERROR(X45/J45,"0")</f>
        <v>0.8571428571428571</v>
      </c>
      <c r="BP45" s="67">
        <f>IFERROR(Y45/J45,"0")</f>
        <v>0.8571428571428571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68">
        <v>4620207490174</v>
      </c>
      <c r="E46" s="269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4">
        <v>48</v>
      </c>
      <c r="Y46" s="265">
        <f>IFERROR(IF(X46="","",X46),"")</f>
        <v>48</v>
      </c>
      <c r="Z46" s="36">
        <f>IFERROR(IF(X46="","",X46*0.0155),"")</f>
        <v>0.74399999999999999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281.76</v>
      </c>
      <c r="BN46" s="67">
        <f>IFERROR(Y46*I46,"0")</f>
        <v>281.76</v>
      </c>
      <c r="BO46" s="67">
        <f>IFERROR(X46/J46,"0")</f>
        <v>0.5714285714285714</v>
      </c>
      <c r="BP46" s="67">
        <f>IFERROR(Y46/J46,"0")</f>
        <v>0.5714285714285714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68">
        <v>4620207490044</v>
      </c>
      <c r="E47" s="269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4">
        <v>108</v>
      </c>
      <c r="Y47" s="265">
        <f>IFERROR(IF(X47="","",X47),"")</f>
        <v>108</v>
      </c>
      <c r="Z47" s="36">
        <f>IFERROR(IF(X47="","",X47*0.0155),"")</f>
        <v>1.6739999999999999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633.96</v>
      </c>
      <c r="BN47" s="67">
        <f>IFERROR(Y47*I47,"0")</f>
        <v>633.96</v>
      </c>
      <c r="BO47" s="67">
        <f>IFERROR(X47/J47,"0")</f>
        <v>1.2857142857142858</v>
      </c>
      <c r="BP47" s="67">
        <f>IFERROR(Y47/J47,"0")</f>
        <v>1.2857142857142858</v>
      </c>
    </row>
    <row r="48" spans="1:68" x14ac:dyDescent="0.2">
      <c r="A48" s="288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9"/>
      <c r="P48" s="274" t="s">
        <v>83</v>
      </c>
      <c r="Q48" s="275"/>
      <c r="R48" s="275"/>
      <c r="S48" s="275"/>
      <c r="T48" s="275"/>
      <c r="U48" s="275"/>
      <c r="V48" s="276"/>
      <c r="W48" s="37" t="s">
        <v>70</v>
      </c>
      <c r="X48" s="266">
        <f>IFERROR(SUM(X45:X47),"0")</f>
        <v>228</v>
      </c>
      <c r="Y48" s="266">
        <f>IFERROR(SUM(Y45:Y47),"0")</f>
        <v>228</v>
      </c>
      <c r="Z48" s="266">
        <f>IFERROR(IF(Z45="",0,Z45),"0")+IFERROR(IF(Z46="",0,Z46),"0")+IFERROR(IF(Z47="",0,Z47),"0")</f>
        <v>3.5339999999999998</v>
      </c>
      <c r="AA48" s="267"/>
      <c r="AB48" s="267"/>
      <c r="AC48" s="267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9"/>
      <c r="P49" s="274" t="s">
        <v>83</v>
      </c>
      <c r="Q49" s="275"/>
      <c r="R49" s="275"/>
      <c r="S49" s="275"/>
      <c r="T49" s="275"/>
      <c r="U49" s="275"/>
      <c r="V49" s="276"/>
      <c r="W49" s="37" t="s">
        <v>84</v>
      </c>
      <c r="X49" s="266">
        <f>IFERROR(SUMPRODUCT(X45:X47*H45:H47),"0")</f>
        <v>1276.8</v>
      </c>
      <c r="Y49" s="266">
        <f>IFERROR(SUMPRODUCT(Y45:Y47*H45:H47),"0")</f>
        <v>1276.8</v>
      </c>
      <c r="Z49" s="37"/>
      <c r="AA49" s="267"/>
      <c r="AB49" s="267"/>
      <c r="AC49" s="267"/>
    </row>
    <row r="50" spans="1:68" ht="16.5" customHeight="1" x14ac:dyDescent="0.25">
      <c r="A50" s="286" t="s">
        <v>113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59"/>
      <c r="AB50" s="259"/>
      <c r="AC50" s="259"/>
    </row>
    <row r="51" spans="1:68" ht="14.25" customHeight="1" x14ac:dyDescent="0.25">
      <c r="A51" s="305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68">
        <v>4607111039385</v>
      </c>
      <c r="E52" s="269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68">
        <v>4607111038982</v>
      </c>
      <c r="E53" s="269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68">
        <v>4607111039354</v>
      </c>
      <c r="E54" s="269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4">
        <v>12</v>
      </c>
      <c r="Y54" s="265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68">
        <v>4607111039330</v>
      </c>
      <c r="E55" s="269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4">
        <v>36</v>
      </c>
      <c r="Y55" s="265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8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9"/>
      <c r="P56" s="274" t="s">
        <v>83</v>
      </c>
      <c r="Q56" s="275"/>
      <c r="R56" s="275"/>
      <c r="S56" s="275"/>
      <c r="T56" s="275"/>
      <c r="U56" s="275"/>
      <c r="V56" s="276"/>
      <c r="W56" s="37" t="s">
        <v>70</v>
      </c>
      <c r="X56" s="266">
        <f>IFERROR(SUM(X52:X55),"0")</f>
        <v>48</v>
      </c>
      <c r="Y56" s="266">
        <f>IFERROR(SUM(Y52:Y55),"0")</f>
        <v>48</v>
      </c>
      <c r="Z56" s="266">
        <f>IFERROR(IF(Z52="",0,Z52),"0")+IFERROR(IF(Z53="",0,Z53),"0")+IFERROR(IF(Z54="",0,Z54),"0")+IFERROR(IF(Z55="",0,Z55),"0")</f>
        <v>0.74399999999999999</v>
      </c>
      <c r="AA56" s="267"/>
      <c r="AB56" s="267"/>
      <c r="AC56" s="267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9"/>
      <c r="P57" s="274" t="s">
        <v>83</v>
      </c>
      <c r="Q57" s="275"/>
      <c r="R57" s="275"/>
      <c r="S57" s="275"/>
      <c r="T57" s="275"/>
      <c r="U57" s="275"/>
      <c r="V57" s="276"/>
      <c r="W57" s="37" t="s">
        <v>84</v>
      </c>
      <c r="X57" s="266">
        <f>IFERROR(SUMPRODUCT(X52:X55*H52:H55),"0")</f>
        <v>328.8</v>
      </c>
      <c r="Y57" s="266">
        <f>IFERROR(SUMPRODUCT(Y52:Y55*H52:H55),"0")</f>
        <v>328.8</v>
      </c>
      <c r="Z57" s="37"/>
      <c r="AA57" s="267"/>
      <c r="AB57" s="267"/>
      <c r="AC57" s="267"/>
    </row>
    <row r="58" spans="1:68" ht="16.5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59"/>
      <c r="AB58" s="259"/>
      <c r="AC58" s="259"/>
    </row>
    <row r="59" spans="1:68" ht="14.25" customHeight="1" x14ac:dyDescent="0.25">
      <c r="A59" s="305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68">
        <v>4620207490822</v>
      </c>
      <c r="E60" s="269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8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9"/>
      <c r="P61" s="274" t="s">
        <v>83</v>
      </c>
      <c r="Q61" s="275"/>
      <c r="R61" s="275"/>
      <c r="S61" s="275"/>
      <c r="T61" s="275"/>
      <c r="U61" s="275"/>
      <c r="V61" s="276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9"/>
      <c r="P62" s="274" t="s">
        <v>83</v>
      </c>
      <c r="Q62" s="275"/>
      <c r="R62" s="275"/>
      <c r="S62" s="275"/>
      <c r="T62" s="275"/>
      <c r="U62" s="275"/>
      <c r="V62" s="276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customHeight="1" x14ac:dyDescent="0.25">
      <c r="A63" s="305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68">
        <v>4607111039712</v>
      </c>
      <c r="E64" s="269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8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9"/>
      <c r="P65" s="274" t="s">
        <v>83</v>
      </c>
      <c r="Q65" s="275"/>
      <c r="R65" s="275"/>
      <c r="S65" s="275"/>
      <c r="T65" s="275"/>
      <c r="U65" s="275"/>
      <c r="V65" s="276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9"/>
      <c r="P66" s="274" t="s">
        <v>83</v>
      </c>
      <c r="Q66" s="275"/>
      <c r="R66" s="275"/>
      <c r="S66" s="275"/>
      <c r="T66" s="275"/>
      <c r="U66" s="275"/>
      <c r="V66" s="276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customHeight="1" x14ac:dyDescent="0.25">
      <c r="A67" s="305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68">
        <v>4607111037008</v>
      </c>
      <c r="E68" s="269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68">
        <v>4607111037398</v>
      </c>
      <c r="E69" s="269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8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9"/>
      <c r="P70" s="274" t="s">
        <v>83</v>
      </c>
      <c r="Q70" s="275"/>
      <c r="R70" s="275"/>
      <c r="S70" s="275"/>
      <c r="T70" s="275"/>
      <c r="U70" s="275"/>
      <c r="V70" s="276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9"/>
      <c r="P71" s="274" t="s">
        <v>83</v>
      </c>
      <c r="Q71" s="275"/>
      <c r="R71" s="275"/>
      <c r="S71" s="275"/>
      <c r="T71" s="275"/>
      <c r="U71" s="275"/>
      <c r="V71" s="276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customHeight="1" x14ac:dyDescent="0.25">
      <c r="A72" s="305" t="s">
        <v>137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68">
        <v>4607111039705</v>
      </c>
      <c r="E73" s="269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68">
        <v>4607111039729</v>
      </c>
      <c r="E74" s="269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68">
        <v>4620207490228</v>
      </c>
      <c r="E75" s="269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8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9"/>
      <c r="P76" s="274" t="s">
        <v>83</v>
      </c>
      <c r="Q76" s="275"/>
      <c r="R76" s="275"/>
      <c r="S76" s="275"/>
      <c r="T76" s="275"/>
      <c r="U76" s="275"/>
      <c r="V76" s="276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9"/>
      <c r="P77" s="274" t="s">
        <v>83</v>
      </c>
      <c r="Q77" s="275"/>
      <c r="R77" s="275"/>
      <c r="S77" s="275"/>
      <c r="T77" s="275"/>
      <c r="U77" s="275"/>
      <c r="V77" s="276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customHeight="1" x14ac:dyDescent="0.25">
      <c r="A78" s="286" t="s">
        <v>145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59"/>
      <c r="AB78" s="259"/>
      <c r="AC78" s="259"/>
    </row>
    <row r="79" spans="1:68" ht="14.25" customHeight="1" x14ac:dyDescent="0.25">
      <c r="A79" s="305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0"/>
      <c r="AB79" s="260"/>
      <c r="AC79" s="260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68">
        <v>4607111037411</v>
      </c>
      <c r="E80" s="269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68">
        <v>4607111036728</v>
      </c>
      <c r="E81" s="269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4">
        <v>0</v>
      </c>
      <c r="Y81" s="265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8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9"/>
      <c r="P82" s="274" t="s">
        <v>83</v>
      </c>
      <c r="Q82" s="275"/>
      <c r="R82" s="275"/>
      <c r="S82" s="275"/>
      <c r="T82" s="275"/>
      <c r="U82" s="275"/>
      <c r="V82" s="276"/>
      <c r="W82" s="37" t="s">
        <v>70</v>
      </c>
      <c r="X82" s="266">
        <f>IFERROR(SUM(X80:X81),"0")</f>
        <v>0</v>
      </c>
      <c r="Y82" s="266">
        <f>IFERROR(SUM(Y80:Y81),"0")</f>
        <v>0</v>
      </c>
      <c r="Z82" s="266">
        <f>IFERROR(IF(Z80="",0,Z80),"0")+IFERROR(IF(Z81="",0,Z81),"0")</f>
        <v>0</v>
      </c>
      <c r="AA82" s="267"/>
      <c r="AB82" s="267"/>
      <c r="AC82" s="267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9"/>
      <c r="P83" s="274" t="s">
        <v>83</v>
      </c>
      <c r="Q83" s="275"/>
      <c r="R83" s="275"/>
      <c r="S83" s="275"/>
      <c r="T83" s="275"/>
      <c r="U83" s="275"/>
      <c r="V83" s="276"/>
      <c r="W83" s="37" t="s">
        <v>84</v>
      </c>
      <c r="X83" s="266">
        <f>IFERROR(SUMPRODUCT(X80:X81*H80:H81),"0")</f>
        <v>0</v>
      </c>
      <c r="Y83" s="266">
        <f>IFERROR(SUMPRODUCT(Y80:Y81*H80:H81),"0")</f>
        <v>0</v>
      </c>
      <c r="Z83" s="37"/>
      <c r="AA83" s="267"/>
      <c r="AB83" s="267"/>
      <c r="AC83" s="267"/>
    </row>
    <row r="84" spans="1:68" ht="16.5" customHeight="1" x14ac:dyDescent="0.25">
      <c r="A84" s="286" t="s">
        <v>152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59"/>
      <c r="AB84" s="259"/>
      <c r="AC84" s="259"/>
    </row>
    <row r="85" spans="1:68" ht="14.25" customHeight="1" x14ac:dyDescent="0.25">
      <c r="A85" s="305" t="s">
        <v>137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68">
        <v>4607111033659</v>
      </c>
      <c r="E86" s="269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4">
        <v>42</v>
      </c>
      <c r="Y86" s="265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88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9"/>
      <c r="P87" s="274" t="s">
        <v>83</v>
      </c>
      <c r="Q87" s="275"/>
      <c r="R87" s="275"/>
      <c r="S87" s="275"/>
      <c r="T87" s="275"/>
      <c r="U87" s="275"/>
      <c r="V87" s="276"/>
      <c r="W87" s="37" t="s">
        <v>70</v>
      </c>
      <c r="X87" s="266">
        <f>IFERROR(SUM(X86:X86),"0")</f>
        <v>42</v>
      </c>
      <c r="Y87" s="266">
        <f>IFERROR(SUM(Y86:Y86),"0")</f>
        <v>42</v>
      </c>
      <c r="Z87" s="266">
        <f>IFERROR(IF(Z86="",0,Z86),"0")</f>
        <v>0.75095999999999996</v>
      </c>
      <c r="AA87" s="267"/>
      <c r="AB87" s="267"/>
      <c r="AC87" s="267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9"/>
      <c r="P88" s="274" t="s">
        <v>83</v>
      </c>
      <c r="Q88" s="275"/>
      <c r="R88" s="275"/>
      <c r="S88" s="275"/>
      <c r="T88" s="275"/>
      <c r="U88" s="275"/>
      <c r="V88" s="276"/>
      <c r="W88" s="37" t="s">
        <v>84</v>
      </c>
      <c r="X88" s="266">
        <f>IFERROR(SUMPRODUCT(X86:X86*H86:H86),"0")</f>
        <v>151.20000000000002</v>
      </c>
      <c r="Y88" s="266">
        <f>IFERROR(SUMPRODUCT(Y86:Y86*H86:H86),"0")</f>
        <v>151.20000000000002</v>
      </c>
      <c r="Z88" s="37"/>
      <c r="AA88" s="267"/>
      <c r="AB88" s="267"/>
      <c r="AC88" s="267"/>
    </row>
    <row r="89" spans="1:68" ht="16.5" customHeight="1" x14ac:dyDescent="0.25">
      <c r="A89" s="286" t="s">
        <v>156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59"/>
      <c r="AB89" s="259"/>
      <c r="AC89" s="259"/>
    </row>
    <row r="90" spans="1:68" ht="14.25" customHeight="1" x14ac:dyDescent="0.25">
      <c r="A90" s="305" t="s">
        <v>157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68">
        <v>4607111034120</v>
      </c>
      <c r="E91" s="269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4">
        <v>126</v>
      </c>
      <c r="Y91" s="265">
        <f>IFERROR(IF(X91="","",X91),"")</f>
        <v>126</v>
      </c>
      <c r="Z91" s="36">
        <f>IFERROR(IF(X91="","",X91*0.01788),"")</f>
        <v>2.2528800000000002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542.25360000000001</v>
      </c>
      <c r="BN91" s="67">
        <f>IFERROR(Y91*I91,"0")</f>
        <v>542.25360000000001</v>
      </c>
      <c r="BO91" s="67">
        <f>IFERROR(X91/J91,"0")</f>
        <v>1.8</v>
      </c>
      <c r="BP91" s="67">
        <f>IFERROR(Y91/J91,"0")</f>
        <v>1.8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68">
        <v>4607111034137</v>
      </c>
      <c r="E92" s="269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4">
        <v>84</v>
      </c>
      <c r="Y92" s="265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8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9"/>
      <c r="P93" s="274" t="s">
        <v>83</v>
      </c>
      <c r="Q93" s="275"/>
      <c r="R93" s="275"/>
      <c r="S93" s="275"/>
      <c r="T93" s="275"/>
      <c r="U93" s="275"/>
      <c r="V93" s="276"/>
      <c r="W93" s="37" t="s">
        <v>70</v>
      </c>
      <c r="X93" s="266">
        <f>IFERROR(SUM(X91:X92),"0")</f>
        <v>210</v>
      </c>
      <c r="Y93" s="266">
        <f>IFERROR(SUM(Y91:Y92),"0")</f>
        <v>210</v>
      </c>
      <c r="Z93" s="266">
        <f>IFERROR(IF(Z91="",0,Z91),"0")+IFERROR(IF(Z92="",0,Z92),"0")</f>
        <v>3.7548000000000004</v>
      </c>
      <c r="AA93" s="267"/>
      <c r="AB93" s="267"/>
      <c r="AC93" s="267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9"/>
      <c r="P94" s="274" t="s">
        <v>83</v>
      </c>
      <c r="Q94" s="275"/>
      <c r="R94" s="275"/>
      <c r="S94" s="275"/>
      <c r="T94" s="275"/>
      <c r="U94" s="275"/>
      <c r="V94" s="276"/>
      <c r="W94" s="37" t="s">
        <v>84</v>
      </c>
      <c r="X94" s="266">
        <f>IFERROR(SUMPRODUCT(X91:X92*H91:H92),"0")</f>
        <v>756</v>
      </c>
      <c r="Y94" s="266">
        <f>IFERROR(SUMPRODUCT(Y91:Y92*H91:H92),"0")</f>
        <v>756</v>
      </c>
      <c r="Z94" s="37"/>
      <c r="AA94" s="267"/>
      <c r="AB94" s="267"/>
      <c r="AC94" s="267"/>
    </row>
    <row r="95" spans="1:68" ht="16.5" customHeight="1" x14ac:dyDescent="0.25">
      <c r="A95" s="286" t="s">
        <v>164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59"/>
      <c r="AB95" s="259"/>
      <c r="AC95" s="259"/>
    </row>
    <row r="96" spans="1:68" ht="14.25" customHeight="1" x14ac:dyDescent="0.25">
      <c r="A96" s="305" t="s">
        <v>137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68">
        <v>4620207491027</v>
      </c>
      <c r="E97" s="269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4">
        <v>70</v>
      </c>
      <c r="Y97" s="265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68">
        <v>4620207491003</v>
      </c>
      <c r="E98" s="269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0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4">
        <v>112</v>
      </c>
      <c r="Y98" s="265">
        <f t="shared" si="6"/>
        <v>112</v>
      </c>
      <c r="Z98" s="36">
        <f t="shared" si="7"/>
        <v>2.0025599999999999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68">
        <v>4620207491034</v>
      </c>
      <c r="E99" s="269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4">
        <v>28</v>
      </c>
      <c r="Y99" s="265">
        <f t="shared" si="6"/>
        <v>28</v>
      </c>
      <c r="Z99" s="36">
        <f t="shared" si="7"/>
        <v>0.50063999999999997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68">
        <v>4620207491010</v>
      </c>
      <c r="E100" s="269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4">
        <v>84</v>
      </c>
      <c r="Y100" s="265">
        <f t="shared" si="6"/>
        <v>84</v>
      </c>
      <c r="Z100" s="36">
        <f t="shared" si="7"/>
        <v>1.5019199999999999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68">
        <v>4607111035028</v>
      </c>
      <c r="E101" s="269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4">
        <v>70</v>
      </c>
      <c r="Y101" s="265">
        <f t="shared" si="6"/>
        <v>70</v>
      </c>
      <c r="Z101" s="36">
        <f t="shared" si="7"/>
        <v>1.2516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311.416</v>
      </c>
      <c r="BN101" s="67">
        <f t="shared" si="9"/>
        <v>311.416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68">
        <v>4607111036407</v>
      </c>
      <c r="E102" s="269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4">
        <v>14</v>
      </c>
      <c r="Y102" s="265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8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9"/>
      <c r="P103" s="274" t="s">
        <v>83</v>
      </c>
      <c r="Q103" s="275"/>
      <c r="R103" s="275"/>
      <c r="S103" s="275"/>
      <c r="T103" s="275"/>
      <c r="U103" s="275"/>
      <c r="V103" s="276"/>
      <c r="W103" s="37" t="s">
        <v>70</v>
      </c>
      <c r="X103" s="266">
        <f>IFERROR(SUM(X97:X102),"0")</f>
        <v>378</v>
      </c>
      <c r="Y103" s="266">
        <f>IFERROR(SUM(Y97:Y102),"0")</f>
        <v>378</v>
      </c>
      <c r="Z103" s="266">
        <f>IFERROR(IF(Z97="",0,Z97),"0")+IFERROR(IF(Z98="",0,Z98),"0")+IFERROR(IF(Z99="",0,Z99),"0")+IFERROR(IF(Z100="",0,Z100),"0")+IFERROR(IF(Z101="",0,Z101),"0")+IFERROR(IF(Z102="",0,Z102),"0")</f>
        <v>6.7586399999999998</v>
      </c>
      <c r="AA103" s="267"/>
      <c r="AB103" s="267"/>
      <c r="AC103" s="267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9"/>
      <c r="P104" s="274" t="s">
        <v>83</v>
      </c>
      <c r="Q104" s="275"/>
      <c r="R104" s="275"/>
      <c r="S104" s="275"/>
      <c r="T104" s="275"/>
      <c r="U104" s="275"/>
      <c r="V104" s="276"/>
      <c r="W104" s="37" t="s">
        <v>84</v>
      </c>
      <c r="X104" s="266">
        <f>IFERROR(SUMPRODUCT(X97:X102*H97:H102),"0")</f>
        <v>1174.32</v>
      </c>
      <c r="Y104" s="266">
        <f>IFERROR(SUMPRODUCT(Y97:Y102*H97:H102),"0")</f>
        <v>1174.32</v>
      </c>
      <c r="Z104" s="37"/>
      <c r="AA104" s="267"/>
      <c r="AB104" s="267"/>
      <c r="AC104" s="267"/>
    </row>
    <row r="105" spans="1:68" ht="16.5" customHeight="1" x14ac:dyDescent="0.25">
      <c r="A105" s="286" t="s">
        <v>179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59"/>
      <c r="AB105" s="259"/>
      <c r="AC105" s="259"/>
    </row>
    <row r="106" spans="1:68" ht="14.25" customHeight="1" x14ac:dyDescent="0.25">
      <c r="A106" s="305" t="s">
        <v>131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68">
        <v>4607025784012</v>
      </c>
      <c r="E107" s="269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68">
        <v>4607025784319</v>
      </c>
      <c r="E108" s="269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8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9"/>
      <c r="P109" s="274" t="s">
        <v>83</v>
      </c>
      <c r="Q109" s="275"/>
      <c r="R109" s="275"/>
      <c r="S109" s="275"/>
      <c r="T109" s="275"/>
      <c r="U109" s="275"/>
      <c r="V109" s="276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9"/>
      <c r="P110" s="274" t="s">
        <v>83</v>
      </c>
      <c r="Q110" s="275"/>
      <c r="R110" s="275"/>
      <c r="S110" s="275"/>
      <c r="T110" s="275"/>
      <c r="U110" s="275"/>
      <c r="V110" s="276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customHeight="1" x14ac:dyDescent="0.25">
      <c r="A111" s="286" t="s">
        <v>185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59"/>
      <c r="AB111" s="259"/>
      <c r="AC111" s="259"/>
    </row>
    <row r="112" spans="1:68" ht="14.25" customHeight="1" x14ac:dyDescent="0.25">
      <c r="A112" s="305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68">
        <v>4620207491157</v>
      </c>
      <c r="E113" s="269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68">
        <v>4620207491393</v>
      </c>
      <c r="E114" s="269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68">
        <v>4607111039262</v>
      </c>
      <c r="E115" s="269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4">
        <v>36</v>
      </c>
      <c r="Y115" s="265">
        <f t="shared" si="12"/>
        <v>36</v>
      </c>
      <c r="Z115" s="36">
        <f t="shared" si="13"/>
        <v>0.55800000000000005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68">
        <v>4607111039248</v>
      </c>
      <c r="E116" s="269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4">
        <v>60</v>
      </c>
      <c r="Y116" s="265">
        <f t="shared" si="12"/>
        <v>60</v>
      </c>
      <c r="Z116" s="36">
        <f t="shared" si="13"/>
        <v>0.92999999999999994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68">
        <v>4607111037145</v>
      </c>
      <c r="E117" s="269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68">
        <v>4607111039293</v>
      </c>
      <c r="E118" s="269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4">
        <v>12</v>
      </c>
      <c r="Y118" s="265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68">
        <v>4607111039279</v>
      </c>
      <c r="E119" s="269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4">
        <v>204</v>
      </c>
      <c r="Y119" s="265">
        <f t="shared" si="12"/>
        <v>204</v>
      </c>
      <c r="Z119" s="36">
        <f t="shared" si="13"/>
        <v>3.1619999999999999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1489.2</v>
      </c>
      <c r="BN119" s="67">
        <f t="shared" si="15"/>
        <v>1489.2</v>
      </c>
      <c r="BO119" s="67">
        <f t="shared" si="16"/>
        <v>2.4285714285714284</v>
      </c>
      <c r="BP119" s="67">
        <f t="shared" si="17"/>
        <v>2.4285714285714284</v>
      </c>
    </row>
    <row r="120" spans="1:68" x14ac:dyDescent="0.2">
      <c r="A120" s="288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9"/>
      <c r="P120" s="274" t="s">
        <v>83</v>
      </c>
      <c r="Q120" s="275"/>
      <c r="R120" s="275"/>
      <c r="S120" s="275"/>
      <c r="T120" s="275"/>
      <c r="U120" s="275"/>
      <c r="V120" s="276"/>
      <c r="W120" s="37" t="s">
        <v>70</v>
      </c>
      <c r="X120" s="266">
        <f>IFERROR(SUM(X113:X119),"0")</f>
        <v>312</v>
      </c>
      <c r="Y120" s="266">
        <f>IFERROR(SUM(Y113:Y119),"0")</f>
        <v>312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4.8360000000000003</v>
      </c>
      <c r="AA120" s="267"/>
      <c r="AB120" s="267"/>
      <c r="AC120" s="267"/>
    </row>
    <row r="121" spans="1:68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9"/>
      <c r="P121" s="274" t="s">
        <v>83</v>
      </c>
      <c r="Q121" s="275"/>
      <c r="R121" s="275"/>
      <c r="S121" s="275"/>
      <c r="T121" s="275"/>
      <c r="U121" s="275"/>
      <c r="V121" s="276"/>
      <c r="W121" s="37" t="s">
        <v>84</v>
      </c>
      <c r="X121" s="266">
        <f>IFERROR(SUMPRODUCT(X113:X119*H113:H119),"0")</f>
        <v>2155.1999999999998</v>
      </c>
      <c r="Y121" s="266">
        <f>IFERROR(SUMPRODUCT(Y113:Y119*H113:H119),"0")</f>
        <v>2155.1999999999998</v>
      </c>
      <c r="Z121" s="37"/>
      <c r="AA121" s="267"/>
      <c r="AB121" s="267"/>
      <c r="AC121" s="267"/>
    </row>
    <row r="122" spans="1:68" ht="14.25" customHeight="1" x14ac:dyDescent="0.25">
      <c r="A122" s="305" t="s">
        <v>137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60"/>
      <c r="AB122" s="260"/>
      <c r="AC122" s="260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68">
        <v>4620207490983</v>
      </c>
      <c r="E123" s="269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8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9"/>
      <c r="P124" s="274" t="s">
        <v>83</v>
      </c>
      <c r="Q124" s="275"/>
      <c r="R124" s="275"/>
      <c r="S124" s="275"/>
      <c r="T124" s="275"/>
      <c r="U124" s="275"/>
      <c r="V124" s="276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9"/>
      <c r="P125" s="274" t="s">
        <v>83</v>
      </c>
      <c r="Q125" s="275"/>
      <c r="R125" s="275"/>
      <c r="S125" s="275"/>
      <c r="T125" s="275"/>
      <c r="U125" s="275"/>
      <c r="V125" s="276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customHeight="1" x14ac:dyDescent="0.25">
      <c r="A126" s="305" t="s">
        <v>206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0"/>
      <c r="AB126" s="260"/>
      <c r="AC126" s="260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68">
        <v>4620207491140</v>
      </c>
      <c r="E127" s="269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8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9"/>
      <c r="P128" s="274" t="s">
        <v>83</v>
      </c>
      <c r="Q128" s="275"/>
      <c r="R128" s="275"/>
      <c r="S128" s="275"/>
      <c r="T128" s="275"/>
      <c r="U128" s="275"/>
      <c r="V128" s="276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x14ac:dyDescent="0.2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9"/>
      <c r="P129" s="274" t="s">
        <v>83</v>
      </c>
      <c r="Q129" s="275"/>
      <c r="R129" s="275"/>
      <c r="S129" s="275"/>
      <c r="T129" s="275"/>
      <c r="U129" s="275"/>
      <c r="V129" s="276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customHeight="1" x14ac:dyDescent="0.25">
      <c r="A130" s="286" t="s">
        <v>210</v>
      </c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59"/>
      <c r="AB130" s="259"/>
      <c r="AC130" s="259"/>
    </row>
    <row r="131" spans="1:68" ht="14.25" customHeight="1" x14ac:dyDescent="0.25">
      <c r="A131" s="305" t="s">
        <v>137</v>
      </c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68">
        <v>4607111034014</v>
      </c>
      <c r="E132" s="269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4">
        <v>196</v>
      </c>
      <c r="Y132" s="265">
        <f>IFERROR(IF(X132="","",X132),"")</f>
        <v>196</v>
      </c>
      <c r="Z132" s="36">
        <f>IFERROR(IF(X132="","",X132*0.01788),"")</f>
        <v>3.50448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725.90559999999994</v>
      </c>
      <c r="BN132" s="67">
        <f>IFERROR(Y132*I132,"0")</f>
        <v>725.90559999999994</v>
      </c>
      <c r="BO132" s="67">
        <f>IFERROR(X132/J132,"0")</f>
        <v>2.8</v>
      </c>
      <c r="BP132" s="67">
        <f>IFERROR(Y132/J132,"0")</f>
        <v>2.8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68">
        <v>4607111033994</v>
      </c>
      <c r="E133" s="269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4">
        <v>210</v>
      </c>
      <c r="Y133" s="265">
        <f>IFERROR(IF(X133="","",X133),"")</f>
        <v>210</v>
      </c>
      <c r="Z133" s="36">
        <f>IFERROR(IF(X133="","",X133*0.01788),"")</f>
        <v>3.7547999999999999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777.75599999999997</v>
      </c>
      <c r="BN133" s="67">
        <f>IFERROR(Y133*I133,"0")</f>
        <v>777.75599999999997</v>
      </c>
      <c r="BO133" s="67">
        <f>IFERROR(X133/J133,"0")</f>
        <v>3</v>
      </c>
      <c r="BP133" s="67">
        <f>IFERROR(Y133/J133,"0")</f>
        <v>3</v>
      </c>
    </row>
    <row r="134" spans="1:68" x14ac:dyDescent="0.2">
      <c r="A134" s="288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9"/>
      <c r="P134" s="274" t="s">
        <v>83</v>
      </c>
      <c r="Q134" s="275"/>
      <c r="R134" s="275"/>
      <c r="S134" s="275"/>
      <c r="T134" s="275"/>
      <c r="U134" s="275"/>
      <c r="V134" s="276"/>
      <c r="W134" s="37" t="s">
        <v>70</v>
      </c>
      <c r="X134" s="266">
        <f>IFERROR(SUM(X132:X133),"0")</f>
        <v>406</v>
      </c>
      <c r="Y134" s="266">
        <f>IFERROR(SUM(Y132:Y133),"0")</f>
        <v>406</v>
      </c>
      <c r="Z134" s="266">
        <f>IFERROR(IF(Z132="",0,Z132),"0")+IFERROR(IF(Z133="",0,Z133),"0")</f>
        <v>7.2592800000000004</v>
      </c>
      <c r="AA134" s="267"/>
      <c r="AB134" s="267"/>
      <c r="AC134" s="267"/>
    </row>
    <row r="135" spans="1:68" x14ac:dyDescent="0.2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9"/>
      <c r="P135" s="274" t="s">
        <v>83</v>
      </c>
      <c r="Q135" s="275"/>
      <c r="R135" s="275"/>
      <c r="S135" s="275"/>
      <c r="T135" s="275"/>
      <c r="U135" s="275"/>
      <c r="V135" s="276"/>
      <c r="W135" s="37" t="s">
        <v>84</v>
      </c>
      <c r="X135" s="266">
        <f>IFERROR(SUMPRODUCT(X132:X133*H132:H133),"0")</f>
        <v>1218</v>
      </c>
      <c r="Y135" s="266">
        <f>IFERROR(SUMPRODUCT(Y132:Y133*H132:H133),"0")</f>
        <v>1218</v>
      </c>
      <c r="Z135" s="37"/>
      <c r="AA135" s="267"/>
      <c r="AB135" s="267"/>
      <c r="AC135" s="267"/>
    </row>
    <row r="136" spans="1:68" ht="16.5" customHeight="1" x14ac:dyDescent="0.25">
      <c r="A136" s="286" t="s">
        <v>218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59"/>
      <c r="AB136" s="259"/>
      <c r="AC136" s="259"/>
    </row>
    <row r="137" spans="1:68" ht="14.25" customHeight="1" x14ac:dyDescent="0.25">
      <c r="A137" s="305" t="s">
        <v>137</v>
      </c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68">
        <v>4607111039095</v>
      </c>
      <c r="E138" s="269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68">
        <v>4607111034199</v>
      </c>
      <c r="E139" s="269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4">
        <v>126</v>
      </c>
      <c r="Y139" s="265">
        <f>IFERROR(IF(X139="","",X139),"")</f>
        <v>126</v>
      </c>
      <c r="Z139" s="36">
        <f>IFERROR(IF(X139="","",X139*0.01788),"")</f>
        <v>2.2528800000000002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466.65359999999998</v>
      </c>
      <c r="BN139" s="67">
        <f>IFERROR(Y139*I139,"0")</f>
        <v>466.65359999999998</v>
      </c>
      <c r="BO139" s="67">
        <f>IFERROR(X139/J139,"0")</f>
        <v>1.8</v>
      </c>
      <c r="BP139" s="67">
        <f>IFERROR(Y139/J139,"0")</f>
        <v>1.8</v>
      </c>
    </row>
    <row r="140" spans="1:68" x14ac:dyDescent="0.2">
      <c r="A140" s="288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9"/>
      <c r="P140" s="274" t="s">
        <v>83</v>
      </c>
      <c r="Q140" s="275"/>
      <c r="R140" s="275"/>
      <c r="S140" s="275"/>
      <c r="T140" s="275"/>
      <c r="U140" s="275"/>
      <c r="V140" s="276"/>
      <c r="W140" s="37" t="s">
        <v>70</v>
      </c>
      <c r="X140" s="266">
        <f>IFERROR(SUM(X138:X139),"0")</f>
        <v>126</v>
      </c>
      <c r="Y140" s="266">
        <f>IFERROR(SUM(Y138:Y139),"0")</f>
        <v>126</v>
      </c>
      <c r="Z140" s="266">
        <f>IFERROR(IF(Z138="",0,Z138),"0")+IFERROR(IF(Z139="",0,Z139),"0")</f>
        <v>2.2528800000000002</v>
      </c>
      <c r="AA140" s="267"/>
      <c r="AB140" s="267"/>
      <c r="AC140" s="267"/>
    </row>
    <row r="141" spans="1:68" x14ac:dyDescent="0.2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9"/>
      <c r="P141" s="274" t="s">
        <v>83</v>
      </c>
      <c r="Q141" s="275"/>
      <c r="R141" s="275"/>
      <c r="S141" s="275"/>
      <c r="T141" s="275"/>
      <c r="U141" s="275"/>
      <c r="V141" s="276"/>
      <c r="W141" s="37" t="s">
        <v>84</v>
      </c>
      <c r="X141" s="266">
        <f>IFERROR(SUMPRODUCT(X138:X139*H138:H139),"0")</f>
        <v>378</v>
      </c>
      <c r="Y141" s="266">
        <f>IFERROR(SUMPRODUCT(Y138:Y139*H138:H139),"0")</f>
        <v>378</v>
      </c>
      <c r="Z141" s="37"/>
      <c r="AA141" s="267"/>
      <c r="AB141" s="267"/>
      <c r="AC141" s="267"/>
    </row>
    <row r="142" spans="1:68" ht="16.5" customHeight="1" x14ac:dyDescent="0.25">
      <c r="A142" s="286" t="s">
        <v>225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59"/>
      <c r="AB142" s="259"/>
      <c r="AC142" s="259"/>
    </row>
    <row r="143" spans="1:68" ht="14.25" customHeight="1" x14ac:dyDescent="0.25">
      <c r="A143" s="305" t="s">
        <v>137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68">
        <v>4620207490914</v>
      </c>
      <c r="E144" s="269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27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4">
        <v>42</v>
      </c>
      <c r="Y144" s="265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112.56</v>
      </c>
      <c r="BN144" s="67">
        <f>IFERROR(Y144*I144,"0")</f>
        <v>112.56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68">
        <v>4620207490853</v>
      </c>
      <c r="E145" s="269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4">
        <v>84</v>
      </c>
      <c r="Y145" s="265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225.12</v>
      </c>
      <c r="BN145" s="67">
        <f>IFERROR(Y145*I145,"0")</f>
        <v>225.12</v>
      </c>
      <c r="BO145" s="67">
        <f>IFERROR(X145/J145,"0")</f>
        <v>1.2</v>
      </c>
      <c r="BP145" s="67">
        <f>IFERROR(Y145/J145,"0")</f>
        <v>1.2</v>
      </c>
    </row>
    <row r="146" spans="1:68" x14ac:dyDescent="0.2">
      <c r="A146" s="288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9"/>
      <c r="P146" s="274" t="s">
        <v>83</v>
      </c>
      <c r="Q146" s="275"/>
      <c r="R146" s="275"/>
      <c r="S146" s="275"/>
      <c r="T146" s="275"/>
      <c r="U146" s="275"/>
      <c r="V146" s="276"/>
      <c r="W146" s="37" t="s">
        <v>70</v>
      </c>
      <c r="X146" s="266">
        <f>IFERROR(SUM(X144:X145),"0")</f>
        <v>126</v>
      </c>
      <c r="Y146" s="266">
        <f>IFERROR(SUM(Y144:Y145),"0")</f>
        <v>126</v>
      </c>
      <c r="Z146" s="266">
        <f>IFERROR(IF(Z144="",0,Z144),"0")+IFERROR(IF(Z145="",0,Z145),"0")</f>
        <v>2.2528799999999998</v>
      </c>
      <c r="AA146" s="267"/>
      <c r="AB146" s="267"/>
      <c r="AC146" s="267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9"/>
      <c r="P147" s="274" t="s">
        <v>83</v>
      </c>
      <c r="Q147" s="275"/>
      <c r="R147" s="275"/>
      <c r="S147" s="275"/>
      <c r="T147" s="275"/>
      <c r="U147" s="275"/>
      <c r="V147" s="276"/>
      <c r="W147" s="37" t="s">
        <v>84</v>
      </c>
      <c r="X147" s="266">
        <f>IFERROR(SUMPRODUCT(X144:X145*H144:H145),"0")</f>
        <v>302.39999999999998</v>
      </c>
      <c r="Y147" s="266">
        <f>IFERROR(SUMPRODUCT(Y144:Y145*H144:H145),"0")</f>
        <v>302.39999999999998</v>
      </c>
      <c r="Z147" s="37"/>
      <c r="AA147" s="267"/>
      <c r="AB147" s="267"/>
      <c r="AC147" s="267"/>
    </row>
    <row r="148" spans="1:68" ht="16.5" customHeight="1" x14ac:dyDescent="0.25">
      <c r="A148" s="286" t="s">
        <v>230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59"/>
      <c r="AB148" s="259"/>
      <c r="AC148" s="259"/>
    </row>
    <row r="149" spans="1:68" ht="14.25" customHeight="1" x14ac:dyDescent="0.25">
      <c r="A149" s="305" t="s">
        <v>137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68">
        <v>4607111035806</v>
      </c>
      <c r="E150" s="269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4">
        <v>56</v>
      </c>
      <c r="Y150" s="265">
        <f>IFERROR(IF(X150="","",X150),"")</f>
        <v>56</v>
      </c>
      <c r="Z150" s="36">
        <f>IFERROR(IF(X150="","",X150*0.01788),"")</f>
        <v>1.0012799999999999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207.40159999999997</v>
      </c>
      <c r="BN150" s="67">
        <f>IFERROR(Y150*I150,"0")</f>
        <v>207.40159999999997</v>
      </c>
      <c r="BO150" s="67">
        <f>IFERROR(X150/J150,"0")</f>
        <v>0.8</v>
      </c>
      <c r="BP150" s="67">
        <f>IFERROR(Y150/J150,"0")</f>
        <v>0.8</v>
      </c>
    </row>
    <row r="151" spans="1:68" x14ac:dyDescent="0.2">
      <c r="A151" s="288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9"/>
      <c r="P151" s="274" t="s">
        <v>83</v>
      </c>
      <c r="Q151" s="275"/>
      <c r="R151" s="275"/>
      <c r="S151" s="275"/>
      <c r="T151" s="275"/>
      <c r="U151" s="275"/>
      <c r="V151" s="276"/>
      <c r="W151" s="37" t="s">
        <v>70</v>
      </c>
      <c r="X151" s="266">
        <f>IFERROR(SUM(X150:X150),"0")</f>
        <v>56</v>
      </c>
      <c r="Y151" s="266">
        <f>IFERROR(SUM(Y150:Y150),"0")</f>
        <v>56</v>
      </c>
      <c r="Z151" s="266">
        <f>IFERROR(IF(Z150="",0,Z150),"0")</f>
        <v>1.0012799999999999</v>
      </c>
      <c r="AA151" s="267"/>
      <c r="AB151" s="267"/>
      <c r="AC151" s="26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9"/>
      <c r="P152" s="274" t="s">
        <v>83</v>
      </c>
      <c r="Q152" s="275"/>
      <c r="R152" s="275"/>
      <c r="S152" s="275"/>
      <c r="T152" s="275"/>
      <c r="U152" s="275"/>
      <c r="V152" s="276"/>
      <c r="W152" s="37" t="s">
        <v>84</v>
      </c>
      <c r="X152" s="266">
        <f>IFERROR(SUMPRODUCT(X150:X150*H150:H150),"0")</f>
        <v>168</v>
      </c>
      <c r="Y152" s="266">
        <f>IFERROR(SUMPRODUCT(Y150:Y150*H150:H150),"0")</f>
        <v>168</v>
      </c>
      <c r="Z152" s="37"/>
      <c r="AA152" s="267"/>
      <c r="AB152" s="267"/>
      <c r="AC152" s="267"/>
    </row>
    <row r="153" spans="1:68" ht="16.5" customHeight="1" x14ac:dyDescent="0.25">
      <c r="A153" s="286" t="s">
        <v>234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59"/>
      <c r="AB153" s="259"/>
      <c r="AC153" s="259"/>
    </row>
    <row r="154" spans="1:68" ht="14.25" customHeight="1" x14ac:dyDescent="0.25">
      <c r="A154" s="305" t="s">
        <v>137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0"/>
      <c r="AB154" s="260"/>
      <c r="AC154" s="260"/>
    </row>
    <row r="155" spans="1:68" ht="16.5" customHeight="1" x14ac:dyDescent="0.25">
      <c r="A155" s="54" t="s">
        <v>235</v>
      </c>
      <c r="B155" s="54" t="s">
        <v>236</v>
      </c>
      <c r="C155" s="31">
        <v>4301135607</v>
      </c>
      <c r="D155" s="268">
        <v>4607111039613</v>
      </c>
      <c r="E155" s="269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8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9"/>
      <c r="P156" s="274" t="s">
        <v>83</v>
      </c>
      <c r="Q156" s="275"/>
      <c r="R156" s="275"/>
      <c r="S156" s="275"/>
      <c r="T156" s="275"/>
      <c r="U156" s="275"/>
      <c r="V156" s="276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9"/>
      <c r="P157" s="274" t="s">
        <v>83</v>
      </c>
      <c r="Q157" s="275"/>
      <c r="R157" s="275"/>
      <c r="S157" s="275"/>
      <c r="T157" s="275"/>
      <c r="U157" s="275"/>
      <c r="V157" s="276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customHeight="1" x14ac:dyDescent="0.25">
      <c r="A158" s="286" t="s">
        <v>237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59"/>
      <c r="AB158" s="259"/>
      <c r="AC158" s="259"/>
    </row>
    <row r="159" spans="1:68" ht="14.25" customHeight="1" x14ac:dyDescent="0.25">
      <c r="A159" s="305" t="s">
        <v>206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0"/>
      <c r="AB159" s="260"/>
      <c r="AC159" s="260"/>
    </row>
    <row r="160" spans="1:68" ht="27" customHeight="1" x14ac:dyDescent="0.25">
      <c r="A160" s="54" t="s">
        <v>238</v>
      </c>
      <c r="B160" s="54" t="s">
        <v>239</v>
      </c>
      <c r="C160" s="31">
        <v>4301135540</v>
      </c>
      <c r="D160" s="268">
        <v>4607111035646</v>
      </c>
      <c r="E160" s="269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3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88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9"/>
      <c r="P161" s="274" t="s">
        <v>83</v>
      </c>
      <c r="Q161" s="275"/>
      <c r="R161" s="275"/>
      <c r="S161" s="275"/>
      <c r="T161" s="275"/>
      <c r="U161" s="275"/>
      <c r="V161" s="276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9"/>
      <c r="P162" s="274" t="s">
        <v>83</v>
      </c>
      <c r="Q162" s="275"/>
      <c r="R162" s="275"/>
      <c r="S162" s="275"/>
      <c r="T162" s="275"/>
      <c r="U162" s="275"/>
      <c r="V162" s="276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customHeight="1" x14ac:dyDescent="0.25">
      <c r="A163" s="286" t="s">
        <v>242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59"/>
      <c r="AB163" s="259"/>
      <c r="AC163" s="259"/>
    </row>
    <row r="164" spans="1:68" ht="14.25" customHeight="1" x14ac:dyDescent="0.25">
      <c r="A164" s="305" t="s">
        <v>137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68">
        <v>4607111036568</v>
      </c>
      <c r="E165" s="269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29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4">
        <v>70</v>
      </c>
      <c r="Y165" s="265">
        <f>IFERROR(IF(X165="","",X165),"")</f>
        <v>70</v>
      </c>
      <c r="Z165" s="36">
        <f>IFERROR(IF(X165="","",X165*0.00941),"")</f>
        <v>0.65869999999999995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147.126</v>
      </c>
      <c r="BN165" s="67">
        <f>IFERROR(Y165*I165,"0")</f>
        <v>147.126</v>
      </c>
      <c r="BO165" s="67">
        <f>IFERROR(X165/J165,"0")</f>
        <v>0.5</v>
      </c>
      <c r="BP165" s="67">
        <f>IFERROR(Y165/J165,"0")</f>
        <v>0.5</v>
      </c>
    </row>
    <row r="166" spans="1:68" x14ac:dyDescent="0.2">
      <c r="A166" s="288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9"/>
      <c r="P166" s="274" t="s">
        <v>83</v>
      </c>
      <c r="Q166" s="275"/>
      <c r="R166" s="275"/>
      <c r="S166" s="275"/>
      <c r="T166" s="275"/>
      <c r="U166" s="275"/>
      <c r="V166" s="276"/>
      <c r="W166" s="37" t="s">
        <v>70</v>
      </c>
      <c r="X166" s="266">
        <f>IFERROR(SUM(X165:X165),"0")</f>
        <v>70</v>
      </c>
      <c r="Y166" s="266">
        <f>IFERROR(SUM(Y165:Y165),"0")</f>
        <v>70</v>
      </c>
      <c r="Z166" s="266">
        <f>IFERROR(IF(Z165="",0,Z165),"0")</f>
        <v>0.65869999999999995</v>
      </c>
      <c r="AA166" s="267"/>
      <c r="AB166" s="267"/>
      <c r="AC166" s="26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9"/>
      <c r="P167" s="274" t="s">
        <v>83</v>
      </c>
      <c r="Q167" s="275"/>
      <c r="R167" s="275"/>
      <c r="S167" s="275"/>
      <c r="T167" s="275"/>
      <c r="U167" s="275"/>
      <c r="V167" s="276"/>
      <c r="W167" s="37" t="s">
        <v>84</v>
      </c>
      <c r="X167" s="266">
        <f>IFERROR(SUMPRODUCT(X165:X165*H165:H165),"0")</f>
        <v>117.6</v>
      </c>
      <c r="Y167" s="266">
        <f>IFERROR(SUMPRODUCT(Y165:Y165*H165:H165),"0")</f>
        <v>117.6</v>
      </c>
      <c r="Z167" s="37"/>
      <c r="AA167" s="267"/>
      <c r="AB167" s="267"/>
      <c r="AC167" s="267"/>
    </row>
    <row r="168" spans="1:68" ht="27.75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customHeight="1" x14ac:dyDescent="0.25">
      <c r="A169" s="286" t="s">
        <v>247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59"/>
      <c r="AB169" s="259"/>
      <c r="AC169" s="259"/>
    </row>
    <row r="170" spans="1:68" ht="14.25" customHeight="1" x14ac:dyDescent="0.25">
      <c r="A170" s="305" t="s">
        <v>64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60"/>
      <c r="AB170" s="260"/>
      <c r="AC170" s="260"/>
    </row>
    <row r="171" spans="1:68" ht="16.5" customHeight="1" x14ac:dyDescent="0.25">
      <c r="A171" s="54" t="s">
        <v>248</v>
      </c>
      <c r="B171" s="54" t="s">
        <v>249</v>
      </c>
      <c r="C171" s="31">
        <v>4301071062</v>
      </c>
      <c r="D171" s="268">
        <v>4607111036384</v>
      </c>
      <c r="E171" s="269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68">
        <v>4607111036216</v>
      </c>
      <c r="E172" s="269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x14ac:dyDescent="0.2">
      <c r="A173" s="288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9"/>
      <c r="P173" s="274" t="s">
        <v>83</v>
      </c>
      <c r="Q173" s="275"/>
      <c r="R173" s="275"/>
      <c r="S173" s="275"/>
      <c r="T173" s="275"/>
      <c r="U173" s="275"/>
      <c r="V173" s="276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x14ac:dyDescent="0.2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9"/>
      <c r="P174" s="274" t="s">
        <v>83</v>
      </c>
      <c r="Q174" s="275"/>
      <c r="R174" s="275"/>
      <c r="S174" s="275"/>
      <c r="T174" s="275"/>
      <c r="U174" s="275"/>
      <c r="V174" s="276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customHeight="1" x14ac:dyDescent="0.25">
      <c r="A176" s="286" t="s">
        <v>255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59"/>
      <c r="AB176" s="259"/>
      <c r="AC176" s="259"/>
    </row>
    <row r="177" spans="1:68" ht="14.25" customHeight="1" x14ac:dyDescent="0.25">
      <c r="A177" s="305" t="s">
        <v>93</v>
      </c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68">
        <v>4607111035691</v>
      </c>
      <c r="E178" s="269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4">
        <v>98</v>
      </c>
      <c r="Y178" s="265">
        <f>IFERROR(IF(X178="","",X178),"")</f>
        <v>98</v>
      </c>
      <c r="Z178" s="36">
        <f>IFERROR(IF(X178="","",X178*0.01788),"")</f>
        <v>1.75224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332.024</v>
      </c>
      <c r="BN178" s="67">
        <f>IFERROR(Y178*I178,"0")</f>
        <v>332.024</v>
      </c>
      <c r="BO178" s="67">
        <f>IFERROR(X178/J178,"0")</f>
        <v>1.4</v>
      </c>
      <c r="BP178" s="67">
        <f>IFERROR(Y178/J178,"0")</f>
        <v>1.4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68">
        <v>4607111035721</v>
      </c>
      <c r="E179" s="269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4">
        <v>70</v>
      </c>
      <c r="Y179" s="265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237.16</v>
      </c>
      <c r="BN179" s="67">
        <f>IFERROR(Y179*I179,"0")</f>
        <v>237.16</v>
      </c>
      <c r="BO179" s="67">
        <f>IFERROR(X179/J179,"0")</f>
        <v>1</v>
      </c>
      <c r="BP179" s="67">
        <f>IFERROR(Y179/J179,"0")</f>
        <v>1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68">
        <v>4607111038487</v>
      </c>
      <c r="E180" s="269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4301132243</v>
      </c>
      <c r="D181" s="268">
        <v>4620207491195</v>
      </c>
      <c r="E181" s="269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8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9"/>
      <c r="P182" s="274" t="s">
        <v>83</v>
      </c>
      <c r="Q182" s="275"/>
      <c r="R182" s="275"/>
      <c r="S182" s="275"/>
      <c r="T182" s="275"/>
      <c r="U182" s="275"/>
      <c r="V182" s="276"/>
      <c r="W182" s="37" t="s">
        <v>70</v>
      </c>
      <c r="X182" s="266">
        <f>IFERROR(SUM(X178:X181),"0")</f>
        <v>168</v>
      </c>
      <c r="Y182" s="266">
        <f>IFERROR(SUM(Y178:Y181),"0")</f>
        <v>168</v>
      </c>
      <c r="Z182" s="266">
        <f>IFERROR(IF(Z178="",0,Z178),"0")+IFERROR(IF(Z179="",0,Z179),"0")+IFERROR(IF(Z180="",0,Z180),"0")+IFERROR(IF(Z181="",0,Z181),"0")</f>
        <v>3.0038400000000003</v>
      </c>
      <c r="AA182" s="267"/>
      <c r="AB182" s="267"/>
      <c r="AC182" s="267"/>
    </row>
    <row r="183" spans="1:68" x14ac:dyDescent="0.2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9"/>
      <c r="P183" s="274" t="s">
        <v>83</v>
      </c>
      <c r="Q183" s="275"/>
      <c r="R183" s="275"/>
      <c r="S183" s="275"/>
      <c r="T183" s="275"/>
      <c r="U183" s="275"/>
      <c r="V183" s="276"/>
      <c r="W183" s="37" t="s">
        <v>84</v>
      </c>
      <c r="X183" s="266">
        <f>IFERROR(SUMPRODUCT(X178:X181*H178:H181),"0")</f>
        <v>504</v>
      </c>
      <c r="Y183" s="266">
        <f>IFERROR(SUMPRODUCT(Y178:Y181*H178:H181),"0")</f>
        <v>504</v>
      </c>
      <c r="Z183" s="37"/>
      <c r="AA183" s="267"/>
      <c r="AB183" s="267"/>
      <c r="AC183" s="267"/>
    </row>
    <row r="184" spans="1:68" ht="14.25" customHeight="1" x14ac:dyDescent="0.25">
      <c r="A184" s="305" t="s">
        <v>268</v>
      </c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60"/>
      <c r="AB184" s="260"/>
      <c r="AC184" s="260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68">
        <v>4680115885875</v>
      </c>
      <c r="E185" s="269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63" t="s">
        <v>273</v>
      </c>
      <c r="Q185" s="271"/>
      <c r="R185" s="271"/>
      <c r="S185" s="271"/>
      <c r="T185" s="272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8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9"/>
      <c r="P186" s="274" t="s">
        <v>83</v>
      </c>
      <c r="Q186" s="275"/>
      <c r="R186" s="275"/>
      <c r="S186" s="275"/>
      <c r="T186" s="275"/>
      <c r="U186" s="275"/>
      <c r="V186" s="276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x14ac:dyDescent="0.2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9"/>
      <c r="P187" s="274" t="s">
        <v>83</v>
      </c>
      <c r="Q187" s="275"/>
      <c r="R187" s="275"/>
      <c r="S187" s="275"/>
      <c r="T187" s="275"/>
      <c r="U187" s="275"/>
      <c r="V187" s="276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customHeight="1" x14ac:dyDescent="0.25">
      <c r="A189" s="286" t="s">
        <v>277</v>
      </c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59"/>
      <c r="AB189" s="259"/>
      <c r="AC189" s="259"/>
    </row>
    <row r="190" spans="1:68" ht="14.25" customHeight="1" x14ac:dyDescent="0.25">
      <c r="A190" s="305" t="s">
        <v>93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68">
        <v>4620207491133</v>
      </c>
      <c r="E191" s="269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1"/>
      <c r="R191" s="271"/>
      <c r="S191" s="271"/>
      <c r="T191" s="272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8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9"/>
      <c r="P192" s="274" t="s">
        <v>83</v>
      </c>
      <c r="Q192" s="275"/>
      <c r="R192" s="275"/>
      <c r="S192" s="275"/>
      <c r="T192" s="275"/>
      <c r="U192" s="275"/>
      <c r="V192" s="276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x14ac:dyDescent="0.2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9"/>
      <c r="P193" s="274" t="s">
        <v>83</v>
      </c>
      <c r="Q193" s="275"/>
      <c r="R193" s="275"/>
      <c r="S193" s="275"/>
      <c r="T193" s="275"/>
      <c r="U193" s="275"/>
      <c r="V193" s="276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customHeight="1" x14ac:dyDescent="0.25">
      <c r="A194" s="305" t="s">
        <v>137</v>
      </c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60"/>
      <c r="AB194" s="260"/>
      <c r="AC194" s="260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68">
        <v>4620207491188</v>
      </c>
      <c r="E195" s="269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68">
        <v>4620207490198</v>
      </c>
      <c r="E196" s="269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68">
        <v>4620207490235</v>
      </c>
      <c r="E197" s="269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68">
        <v>4620207490259</v>
      </c>
      <c r="E198" s="269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68">
        <v>4620207490143</v>
      </c>
      <c r="E199" s="269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8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9"/>
      <c r="P200" s="274" t="s">
        <v>83</v>
      </c>
      <c r="Q200" s="275"/>
      <c r="R200" s="275"/>
      <c r="S200" s="275"/>
      <c r="T200" s="275"/>
      <c r="U200" s="275"/>
      <c r="V200" s="276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x14ac:dyDescent="0.2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9"/>
      <c r="P201" s="274" t="s">
        <v>83</v>
      </c>
      <c r="Q201" s="275"/>
      <c r="R201" s="275"/>
      <c r="S201" s="275"/>
      <c r="T201" s="275"/>
      <c r="U201" s="275"/>
      <c r="V201" s="276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customHeight="1" x14ac:dyDescent="0.25">
      <c r="A202" s="286" t="s">
        <v>295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59"/>
      <c r="AB202" s="259"/>
      <c r="AC202" s="259"/>
    </row>
    <row r="203" spans="1:68" ht="14.25" customHeight="1" x14ac:dyDescent="0.25">
      <c r="A203" s="305" t="s">
        <v>64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68">
        <v>4620207491096</v>
      </c>
      <c r="E204" s="269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1"/>
      <c r="R204" s="271"/>
      <c r="S204" s="271"/>
      <c r="T204" s="272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8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9"/>
      <c r="P205" s="274" t="s">
        <v>83</v>
      </c>
      <c r="Q205" s="275"/>
      <c r="R205" s="275"/>
      <c r="S205" s="275"/>
      <c r="T205" s="275"/>
      <c r="U205" s="275"/>
      <c r="V205" s="276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x14ac:dyDescent="0.2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9"/>
      <c r="P206" s="274" t="s">
        <v>83</v>
      </c>
      <c r="Q206" s="275"/>
      <c r="R206" s="275"/>
      <c r="S206" s="275"/>
      <c r="T206" s="275"/>
      <c r="U206" s="275"/>
      <c r="V206" s="276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customHeight="1" x14ac:dyDescent="0.25">
      <c r="A207" s="286" t="s">
        <v>299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59"/>
      <c r="AB207" s="259"/>
      <c r="AC207" s="259"/>
    </row>
    <row r="208" spans="1:68" ht="14.25" customHeight="1" x14ac:dyDescent="0.25">
      <c r="A208" s="305" t="s">
        <v>137</v>
      </c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60"/>
      <c r="AB208" s="260"/>
      <c r="AC208" s="260"/>
    </row>
    <row r="209" spans="1:68" ht="27" customHeight="1" x14ac:dyDescent="0.25">
      <c r="A209" s="54" t="s">
        <v>300</v>
      </c>
      <c r="B209" s="54" t="s">
        <v>301</v>
      </c>
      <c r="C209" s="31">
        <v>4301135691</v>
      </c>
      <c r="D209" s="268">
        <v>4620207490549</v>
      </c>
      <c r="E209" s="269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3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303</v>
      </c>
      <c r="B210" s="54" t="s">
        <v>304</v>
      </c>
      <c r="C210" s="31">
        <v>4301135694</v>
      </c>
      <c r="D210" s="268">
        <v>4620207490501</v>
      </c>
      <c r="E210" s="269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8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9"/>
      <c r="P211" s="274" t="s">
        <v>83</v>
      </c>
      <c r="Q211" s="275"/>
      <c r="R211" s="275"/>
      <c r="S211" s="275"/>
      <c r="T211" s="275"/>
      <c r="U211" s="275"/>
      <c r="V211" s="276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x14ac:dyDescent="0.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9"/>
      <c r="P212" s="274" t="s">
        <v>83</v>
      </c>
      <c r="Q212" s="275"/>
      <c r="R212" s="275"/>
      <c r="S212" s="275"/>
      <c r="T212" s="275"/>
      <c r="U212" s="275"/>
      <c r="V212" s="276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customHeight="1" x14ac:dyDescent="0.25">
      <c r="A214" s="286" t="s">
        <v>306</v>
      </c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59"/>
      <c r="AB214" s="259"/>
      <c r="AC214" s="259"/>
    </row>
    <row r="215" spans="1:68" ht="14.25" customHeight="1" x14ac:dyDescent="0.25">
      <c r="A215" s="305" t="s">
        <v>64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0"/>
      <c r="AB215" s="260"/>
      <c r="AC215" s="260"/>
    </row>
    <row r="216" spans="1:68" ht="27" customHeight="1" x14ac:dyDescent="0.25">
      <c r="A216" s="54" t="s">
        <v>307</v>
      </c>
      <c r="B216" s="54" t="s">
        <v>308</v>
      </c>
      <c r="C216" s="31">
        <v>4301071036</v>
      </c>
      <c r="D216" s="268">
        <v>4607111036162</v>
      </c>
      <c r="E216" s="269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7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71"/>
      <c r="R216" s="271"/>
      <c r="S216" s="271"/>
      <c r="T216" s="272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8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9"/>
      <c r="P217" s="274" t="s">
        <v>83</v>
      </c>
      <c r="Q217" s="275"/>
      <c r="R217" s="275"/>
      <c r="S217" s="275"/>
      <c r="T217" s="275"/>
      <c r="U217" s="275"/>
      <c r="V217" s="276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x14ac:dyDescent="0.2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9"/>
      <c r="P218" s="274" t="s">
        <v>83</v>
      </c>
      <c r="Q218" s="275"/>
      <c r="R218" s="275"/>
      <c r="S218" s="275"/>
      <c r="T218" s="275"/>
      <c r="U218" s="275"/>
      <c r="V218" s="276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customHeight="1" x14ac:dyDescent="0.25">
      <c r="A220" s="286" t="s">
        <v>311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59"/>
      <c r="AB220" s="259"/>
      <c r="AC220" s="259"/>
    </row>
    <row r="221" spans="1:68" ht="14.25" customHeight="1" x14ac:dyDescent="0.25">
      <c r="A221" s="305" t="s">
        <v>64</v>
      </c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60"/>
      <c r="AB221" s="260"/>
      <c r="AC221" s="260"/>
    </row>
    <row r="222" spans="1:68" ht="27" customHeight="1" x14ac:dyDescent="0.25">
      <c r="A222" s="54" t="s">
        <v>312</v>
      </c>
      <c r="B222" s="54" t="s">
        <v>313</v>
      </c>
      <c r="C222" s="31">
        <v>4301071029</v>
      </c>
      <c r="D222" s="268">
        <v>4607111035899</v>
      </c>
      <c r="E222" s="269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71"/>
      <c r="R222" s="271"/>
      <c r="S222" s="271"/>
      <c r="T222" s="272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8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9"/>
      <c r="P223" s="274" t="s">
        <v>83</v>
      </c>
      <c r="Q223" s="275"/>
      <c r="R223" s="275"/>
      <c r="S223" s="275"/>
      <c r="T223" s="275"/>
      <c r="U223" s="275"/>
      <c r="V223" s="276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x14ac:dyDescent="0.2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9"/>
      <c r="P224" s="274" t="s">
        <v>83</v>
      </c>
      <c r="Q224" s="275"/>
      <c r="R224" s="275"/>
      <c r="S224" s="275"/>
      <c r="T224" s="275"/>
      <c r="U224" s="275"/>
      <c r="V224" s="276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customHeight="1" x14ac:dyDescent="0.25">
      <c r="A226" s="286" t="s">
        <v>315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59"/>
      <c r="AB226" s="259"/>
      <c r="AC226" s="259"/>
    </row>
    <row r="227" spans="1:68" ht="14.25" customHeight="1" x14ac:dyDescent="0.25">
      <c r="A227" s="305" t="s">
        <v>316</v>
      </c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60"/>
      <c r="AB227" s="260"/>
      <c r="AC227" s="260"/>
    </row>
    <row r="228" spans="1:68" ht="27" customHeight="1" x14ac:dyDescent="0.25">
      <c r="A228" s="54" t="s">
        <v>317</v>
      </c>
      <c r="B228" s="54" t="s">
        <v>318</v>
      </c>
      <c r="C228" s="31">
        <v>4301133004</v>
      </c>
      <c r="D228" s="268">
        <v>4607111039774</v>
      </c>
      <c r="E228" s="269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71"/>
      <c r="R228" s="271"/>
      <c r="S228" s="271"/>
      <c r="T228" s="272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8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9"/>
      <c r="P229" s="274" t="s">
        <v>83</v>
      </c>
      <c r="Q229" s="275"/>
      <c r="R229" s="275"/>
      <c r="S229" s="275"/>
      <c r="T229" s="275"/>
      <c r="U229" s="275"/>
      <c r="V229" s="276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x14ac:dyDescent="0.2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9"/>
      <c r="P230" s="274" t="s">
        <v>83</v>
      </c>
      <c r="Q230" s="275"/>
      <c r="R230" s="275"/>
      <c r="S230" s="275"/>
      <c r="T230" s="275"/>
      <c r="U230" s="275"/>
      <c r="V230" s="276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customHeight="1" x14ac:dyDescent="0.25">
      <c r="A231" s="305" t="s">
        <v>137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60"/>
      <c r="AB231" s="260"/>
      <c r="AC231" s="260"/>
    </row>
    <row r="232" spans="1:68" ht="37.5" customHeight="1" x14ac:dyDescent="0.25">
      <c r="A232" s="54" t="s">
        <v>320</v>
      </c>
      <c r="B232" s="54" t="s">
        <v>321</v>
      </c>
      <c r="C232" s="31">
        <v>4301135400</v>
      </c>
      <c r="D232" s="268">
        <v>4607111039361</v>
      </c>
      <c r="E232" s="269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71"/>
      <c r="R232" s="271"/>
      <c r="S232" s="271"/>
      <c r="T232" s="272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8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9"/>
      <c r="P233" s="274" t="s">
        <v>83</v>
      </c>
      <c r="Q233" s="275"/>
      <c r="R233" s="275"/>
      <c r="S233" s="275"/>
      <c r="T233" s="275"/>
      <c r="U233" s="275"/>
      <c r="V233" s="276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x14ac:dyDescent="0.2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9"/>
      <c r="P234" s="274" t="s">
        <v>83</v>
      </c>
      <c r="Q234" s="275"/>
      <c r="R234" s="275"/>
      <c r="S234" s="275"/>
      <c r="T234" s="275"/>
      <c r="U234" s="275"/>
      <c r="V234" s="276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customHeight="1" x14ac:dyDescent="0.25">
      <c r="A236" s="286" t="s">
        <v>322</v>
      </c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59"/>
      <c r="AB236" s="259"/>
      <c r="AC236" s="259"/>
    </row>
    <row r="237" spans="1:68" ht="14.25" customHeight="1" x14ac:dyDescent="0.25">
      <c r="A237" s="305" t="s">
        <v>64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60"/>
      <c r="AB237" s="260"/>
      <c r="AC237" s="260"/>
    </row>
    <row r="238" spans="1:68" ht="27" customHeight="1" x14ac:dyDescent="0.25">
      <c r="A238" s="54" t="s">
        <v>323</v>
      </c>
      <c r="B238" s="54" t="s">
        <v>324</v>
      </c>
      <c r="C238" s="31">
        <v>4301071014</v>
      </c>
      <c r="D238" s="268">
        <v>4640242181264</v>
      </c>
      <c r="E238" s="269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71"/>
      <c r="R238" s="271"/>
      <c r="S238" s="271"/>
      <c r="T238" s="272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customHeight="1" x14ac:dyDescent="0.25">
      <c r="A239" s="54" t="s">
        <v>326</v>
      </c>
      <c r="B239" s="54" t="s">
        <v>327</v>
      </c>
      <c r="C239" s="31">
        <v>4301071021</v>
      </c>
      <c r="D239" s="268">
        <v>4640242181325</v>
      </c>
      <c r="E239" s="269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8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9"/>
      <c r="P240" s="274" t="s">
        <v>83</v>
      </c>
      <c r="Q240" s="275"/>
      <c r="R240" s="275"/>
      <c r="S240" s="275"/>
      <c r="T240" s="275"/>
      <c r="U240" s="275"/>
      <c r="V240" s="276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x14ac:dyDescent="0.2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9"/>
      <c r="P241" s="274" t="s">
        <v>83</v>
      </c>
      <c r="Q241" s="275"/>
      <c r="R241" s="275"/>
      <c r="S241" s="275"/>
      <c r="T241" s="275"/>
      <c r="U241" s="275"/>
      <c r="V241" s="276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customHeight="1" x14ac:dyDescent="0.25">
      <c r="A242" s="305" t="s">
        <v>93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68">
        <v>4640242180397</v>
      </c>
      <c r="E243" s="269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71"/>
      <c r="R243" s="271"/>
      <c r="S243" s="271"/>
      <c r="T243" s="272"/>
      <c r="U243" s="34"/>
      <c r="V243" s="34"/>
      <c r="W243" s="35" t="s">
        <v>70</v>
      </c>
      <c r="X243" s="264">
        <v>0</v>
      </c>
      <c r="Y243" s="265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8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9"/>
      <c r="P244" s="274" t="s">
        <v>83</v>
      </c>
      <c r="Q244" s="275"/>
      <c r="R244" s="275"/>
      <c r="S244" s="275"/>
      <c r="T244" s="275"/>
      <c r="U244" s="275"/>
      <c r="V244" s="276"/>
      <c r="W244" s="37" t="s">
        <v>70</v>
      </c>
      <c r="X244" s="266">
        <f>IFERROR(SUM(X243:X243),"0")</f>
        <v>0</v>
      </c>
      <c r="Y244" s="266">
        <f>IFERROR(SUM(Y243:Y243),"0")</f>
        <v>0</v>
      </c>
      <c r="Z244" s="266">
        <f>IFERROR(IF(Z243="",0,Z243),"0")</f>
        <v>0</v>
      </c>
      <c r="AA244" s="267"/>
      <c r="AB244" s="267"/>
      <c r="AC244" s="267"/>
    </row>
    <row r="245" spans="1:68" x14ac:dyDescent="0.2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9"/>
      <c r="P245" s="274" t="s">
        <v>83</v>
      </c>
      <c r="Q245" s="275"/>
      <c r="R245" s="275"/>
      <c r="S245" s="275"/>
      <c r="T245" s="275"/>
      <c r="U245" s="275"/>
      <c r="V245" s="276"/>
      <c r="W245" s="37" t="s">
        <v>84</v>
      </c>
      <c r="X245" s="266">
        <f>IFERROR(SUMPRODUCT(X243:X243*H243:H243),"0")</f>
        <v>0</v>
      </c>
      <c r="Y245" s="266">
        <f>IFERROR(SUMPRODUCT(Y243:Y243*H243:H243),"0")</f>
        <v>0</v>
      </c>
      <c r="Z245" s="37"/>
      <c r="AA245" s="267"/>
      <c r="AB245" s="267"/>
      <c r="AC245" s="267"/>
    </row>
    <row r="246" spans="1:68" ht="14.25" customHeight="1" x14ac:dyDescent="0.25">
      <c r="A246" s="305" t="s">
        <v>131</v>
      </c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68">
        <v>4640242180304</v>
      </c>
      <c r="E247" s="269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71"/>
      <c r="R247" s="271"/>
      <c r="S247" s="271"/>
      <c r="T247" s="272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68">
        <v>4640242180236</v>
      </c>
      <c r="E248" s="269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38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71"/>
      <c r="R248" s="271"/>
      <c r="S248" s="271"/>
      <c r="T248" s="272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336</v>
      </c>
      <c r="B249" s="54" t="s">
        <v>337</v>
      </c>
      <c r="C249" s="31">
        <v>4301136052</v>
      </c>
      <c r="D249" s="268">
        <v>4640242180410</v>
      </c>
      <c r="E249" s="269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71"/>
      <c r="R249" s="271"/>
      <c r="S249" s="271"/>
      <c r="T249" s="272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8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9"/>
      <c r="P250" s="274" t="s">
        <v>83</v>
      </c>
      <c r="Q250" s="275"/>
      <c r="R250" s="275"/>
      <c r="S250" s="275"/>
      <c r="T250" s="275"/>
      <c r="U250" s="275"/>
      <c r="V250" s="276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x14ac:dyDescent="0.2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9"/>
      <c r="P251" s="274" t="s">
        <v>83</v>
      </c>
      <c r="Q251" s="275"/>
      <c r="R251" s="275"/>
      <c r="S251" s="275"/>
      <c r="T251" s="275"/>
      <c r="U251" s="275"/>
      <c r="V251" s="276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customHeight="1" x14ac:dyDescent="0.25">
      <c r="A252" s="305" t="s">
        <v>137</v>
      </c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60"/>
      <c r="AB252" s="260"/>
      <c r="AC252" s="260"/>
    </row>
    <row r="253" spans="1:68" ht="37.5" customHeight="1" x14ac:dyDescent="0.25">
      <c r="A253" s="54" t="s">
        <v>338</v>
      </c>
      <c r="B253" s="54" t="s">
        <v>339</v>
      </c>
      <c r="C253" s="31">
        <v>4301135504</v>
      </c>
      <c r="D253" s="268">
        <v>4640242181554</v>
      </c>
      <c r="E253" s="269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71"/>
      <c r="R253" s="271"/>
      <c r="S253" s="271"/>
      <c r="T253" s="272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68">
        <v>4640242181561</v>
      </c>
      <c r="E254" s="269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71"/>
      <c r="R254" s="271"/>
      <c r="S254" s="271"/>
      <c r="T254" s="272"/>
      <c r="U254" s="34"/>
      <c r="V254" s="34"/>
      <c r="W254" s="35" t="s">
        <v>70</v>
      </c>
      <c r="X254" s="264">
        <v>0</v>
      </c>
      <c r="Y254" s="265">
        <f t="shared" si="18"/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0</v>
      </c>
      <c r="BN254" s="67">
        <f t="shared" si="20"/>
        <v>0</v>
      </c>
      <c r="BO254" s="67">
        <f t="shared" si="21"/>
        <v>0</v>
      </c>
      <c r="BP254" s="67">
        <f t="shared" si="22"/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68">
        <v>4640242181424</v>
      </c>
      <c r="E255" s="269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71"/>
      <c r="R255" s="271"/>
      <c r="S255" s="271"/>
      <c r="T255" s="272"/>
      <c r="U255" s="34"/>
      <c r="V255" s="34"/>
      <c r="W255" s="35" t="s">
        <v>70</v>
      </c>
      <c r="X255" s="264">
        <v>0</v>
      </c>
      <c r="Y255" s="265">
        <f t="shared" si="18"/>
        <v>0</v>
      </c>
      <c r="Z255" s="36">
        <f>IFERROR(IF(X255="","",X255*0.0155),"")</f>
        <v>0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68">
        <v>4640242181523</v>
      </c>
      <c r="E256" s="269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71"/>
      <c r="R256" s="271"/>
      <c r="S256" s="271"/>
      <c r="T256" s="272"/>
      <c r="U256" s="34"/>
      <c r="V256" s="34"/>
      <c r="W256" s="35" t="s">
        <v>70</v>
      </c>
      <c r="X256" s="264">
        <v>0</v>
      </c>
      <c r="Y256" s="265">
        <f t="shared" si="18"/>
        <v>0</v>
      </c>
      <c r="Z256" s="36">
        <f t="shared" ref="Z256:Z261" si="23">IFERROR(IF(X256="","",X256*0.00936),"")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68">
        <v>4640242181486</v>
      </c>
      <c r="E257" s="269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71"/>
      <c r="R257" s="271"/>
      <c r="S257" s="271"/>
      <c r="T257" s="272"/>
      <c r="U257" s="34"/>
      <c r="V257" s="34"/>
      <c r="W257" s="35" t="s">
        <v>70</v>
      </c>
      <c r="X257" s="264">
        <v>0</v>
      </c>
      <c r="Y257" s="265">
        <f t="shared" si="18"/>
        <v>0</v>
      </c>
      <c r="Z257" s="36">
        <f t="shared" si="23"/>
        <v>0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68">
        <v>4640242181493</v>
      </c>
      <c r="E258" s="269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3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352</v>
      </c>
      <c r="B259" s="54" t="s">
        <v>353</v>
      </c>
      <c r="C259" s="31">
        <v>4301135403</v>
      </c>
      <c r="D259" s="268">
        <v>4640242181509</v>
      </c>
      <c r="E259" s="269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354</v>
      </c>
      <c r="B260" s="54" t="s">
        <v>355</v>
      </c>
      <c r="C260" s="31">
        <v>4301135304</v>
      </c>
      <c r="D260" s="268">
        <v>4640242181240</v>
      </c>
      <c r="E260" s="269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71"/>
      <c r="R260" s="271"/>
      <c r="S260" s="271"/>
      <c r="T260" s="272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356</v>
      </c>
      <c r="B261" s="54" t="s">
        <v>357</v>
      </c>
      <c r="C261" s="31">
        <v>4301135610</v>
      </c>
      <c r="D261" s="268">
        <v>4640242181318</v>
      </c>
      <c r="E261" s="269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358</v>
      </c>
      <c r="B262" s="54" t="s">
        <v>359</v>
      </c>
      <c r="C262" s="31">
        <v>4301135306</v>
      </c>
      <c r="D262" s="268">
        <v>4640242181387</v>
      </c>
      <c r="E262" s="269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88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9"/>
      <c r="P263" s="274" t="s">
        <v>83</v>
      </c>
      <c r="Q263" s="275"/>
      <c r="R263" s="275"/>
      <c r="S263" s="275"/>
      <c r="T263" s="275"/>
      <c r="U263" s="275"/>
      <c r="V263" s="276"/>
      <c r="W263" s="37" t="s">
        <v>70</v>
      </c>
      <c r="X263" s="266">
        <f>IFERROR(SUM(X253:X262),"0")</f>
        <v>0</v>
      </c>
      <c r="Y263" s="266">
        <f>IFERROR(SUM(Y253:Y262),"0")</f>
        <v>0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267"/>
      <c r="AB263" s="267"/>
      <c r="AC263" s="267"/>
    </row>
    <row r="264" spans="1:68" x14ac:dyDescent="0.2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9"/>
      <c r="P264" s="274" t="s">
        <v>83</v>
      </c>
      <c r="Q264" s="275"/>
      <c r="R264" s="275"/>
      <c r="S264" s="275"/>
      <c r="T264" s="275"/>
      <c r="U264" s="275"/>
      <c r="V264" s="276"/>
      <c r="W264" s="37" t="s">
        <v>84</v>
      </c>
      <c r="X264" s="266">
        <f>IFERROR(SUMPRODUCT(X253:X262*H253:H262),"0")</f>
        <v>0</v>
      </c>
      <c r="Y264" s="266">
        <f>IFERROR(SUMPRODUCT(Y253:Y262*H253:H262),"0")</f>
        <v>0</v>
      </c>
      <c r="Z264" s="37"/>
      <c r="AA264" s="267"/>
      <c r="AB264" s="267"/>
      <c r="AC264" s="267"/>
    </row>
    <row r="265" spans="1:68" ht="15" customHeight="1" x14ac:dyDescent="0.2">
      <c r="A265" s="35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358"/>
      <c r="P265" s="320" t="s">
        <v>360</v>
      </c>
      <c r="Q265" s="321"/>
      <c r="R265" s="321"/>
      <c r="S265" s="321"/>
      <c r="T265" s="321"/>
      <c r="U265" s="321"/>
      <c r="V265" s="32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8971.32</v>
      </c>
      <c r="Y265" s="266">
        <f>IFERROR(Y29+Y35+Y42+Y49+Y57+Y62+Y66+Y71+Y77+Y83+Y88+Y94+Y104+Y110+Y121+Y125+Y129+Y135+Y141+Y147+Y152+Y157+Y162+Y167+Y174+Y183+Y187+Y193+Y201+Y206+Y212+Y218+Y224+Y230+Y234+Y241+Y245+Y251+Y264,"0")</f>
        <v>8971.32</v>
      </c>
      <c r="Z265" s="37"/>
      <c r="AA265" s="267"/>
      <c r="AB265" s="267"/>
      <c r="AC265" s="267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358"/>
      <c r="P266" s="320" t="s">
        <v>361</v>
      </c>
      <c r="Q266" s="321"/>
      <c r="R266" s="321"/>
      <c r="S266" s="321"/>
      <c r="T266" s="321"/>
      <c r="U266" s="321"/>
      <c r="V266" s="322"/>
      <c r="W266" s="37" t="s">
        <v>84</v>
      </c>
      <c r="X266" s="266">
        <f>IFERROR(SUM(BM22:BM262),"0")</f>
        <v>10241.162399999997</v>
      </c>
      <c r="Y266" s="266">
        <f>IFERROR(SUM(BN22:BN262),"0")</f>
        <v>10241.162399999997</v>
      </c>
      <c r="Z266" s="37"/>
      <c r="AA266" s="267"/>
      <c r="AB266" s="267"/>
      <c r="AC266" s="267"/>
    </row>
    <row r="267" spans="1:68" x14ac:dyDescent="0.2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58"/>
      <c r="P267" s="320" t="s">
        <v>362</v>
      </c>
      <c r="Q267" s="321"/>
      <c r="R267" s="321"/>
      <c r="S267" s="321"/>
      <c r="T267" s="321"/>
      <c r="U267" s="321"/>
      <c r="V267" s="322"/>
      <c r="W267" s="37" t="s">
        <v>363</v>
      </c>
      <c r="X267" s="38">
        <f>ROUNDUP(SUM(BO22:BO262),0)</f>
        <v>32</v>
      </c>
      <c r="Y267" s="38">
        <f>ROUNDUP(SUM(BP22:BP262),0)</f>
        <v>32</v>
      </c>
      <c r="Z267" s="37"/>
      <c r="AA267" s="267"/>
      <c r="AB267" s="267"/>
      <c r="AC267" s="267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58"/>
      <c r="P268" s="320" t="s">
        <v>364</v>
      </c>
      <c r="Q268" s="321"/>
      <c r="R268" s="321"/>
      <c r="S268" s="321"/>
      <c r="T268" s="321"/>
      <c r="U268" s="321"/>
      <c r="V268" s="322"/>
      <c r="W268" s="37" t="s">
        <v>84</v>
      </c>
      <c r="X268" s="266">
        <f>GrossWeightTotal+PalletQtyTotal*25</f>
        <v>11041.162399999997</v>
      </c>
      <c r="Y268" s="266">
        <f>GrossWeightTotalR+PalletQtyTotalR*25</f>
        <v>11041.162399999997</v>
      </c>
      <c r="Z268" s="37"/>
      <c r="AA268" s="267"/>
      <c r="AB268" s="267"/>
      <c r="AC268" s="267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58"/>
      <c r="P269" s="320" t="s">
        <v>365</v>
      </c>
      <c r="Q269" s="321"/>
      <c r="R269" s="321"/>
      <c r="S269" s="321"/>
      <c r="T269" s="321"/>
      <c r="U269" s="321"/>
      <c r="V269" s="32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2464</v>
      </c>
      <c r="Y269" s="266">
        <f>IFERROR(Y28+Y34+Y41+Y48+Y56+Y61+Y65+Y70+Y76+Y82+Y87+Y93+Y103+Y109+Y120+Y124+Y128+Y134+Y140+Y146+Y151+Y156+Y161+Y166+Y173+Y182+Y186+Y192+Y200+Y205+Y211+Y217+Y223+Y229+Y233+Y240+Y244+Y250+Y263,"0")</f>
        <v>2464</v>
      </c>
      <c r="Z269" s="37"/>
      <c r="AA269" s="267"/>
      <c r="AB269" s="267"/>
      <c r="AC269" s="267"/>
    </row>
    <row r="270" spans="1:68" ht="14.25" customHeight="1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58"/>
      <c r="P270" s="320" t="s">
        <v>366</v>
      </c>
      <c r="Q270" s="321"/>
      <c r="R270" s="321"/>
      <c r="S270" s="321"/>
      <c r="T270" s="321"/>
      <c r="U270" s="321"/>
      <c r="V270" s="32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39.573800000000006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79" t="s">
        <v>63</v>
      </c>
      <c r="C272" s="281"/>
      <c r="D272" s="279" t="s">
        <v>91</v>
      </c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1"/>
      <c r="V272" s="261" t="s">
        <v>246</v>
      </c>
      <c r="W272" s="261" t="s">
        <v>254</v>
      </c>
      <c r="X272" s="279" t="s">
        <v>276</v>
      </c>
      <c r="Y272" s="280"/>
      <c r="Z272" s="281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5" t="s">
        <v>369</v>
      </c>
      <c r="B273" s="279" t="s">
        <v>63</v>
      </c>
      <c r="C273" s="279" t="s">
        <v>85</v>
      </c>
      <c r="D273" s="279" t="s">
        <v>92</v>
      </c>
      <c r="E273" s="279" t="s">
        <v>103</v>
      </c>
      <c r="F273" s="279" t="s">
        <v>113</v>
      </c>
      <c r="G273" s="279" t="s">
        <v>124</v>
      </c>
      <c r="H273" s="279" t="s">
        <v>145</v>
      </c>
      <c r="I273" s="279" t="s">
        <v>152</v>
      </c>
      <c r="J273" s="279" t="s">
        <v>156</v>
      </c>
      <c r="K273" s="279" t="s">
        <v>164</v>
      </c>
      <c r="L273" s="279" t="s">
        <v>179</v>
      </c>
      <c r="M273" s="279" t="s">
        <v>185</v>
      </c>
      <c r="N273" s="262"/>
      <c r="O273" s="279" t="s">
        <v>210</v>
      </c>
      <c r="P273" s="279" t="s">
        <v>218</v>
      </c>
      <c r="Q273" s="279" t="s">
        <v>225</v>
      </c>
      <c r="R273" s="279" t="s">
        <v>230</v>
      </c>
      <c r="S273" s="279" t="s">
        <v>234</v>
      </c>
      <c r="T273" s="279" t="s">
        <v>237</v>
      </c>
      <c r="U273" s="279" t="s">
        <v>242</v>
      </c>
      <c r="V273" s="279" t="s">
        <v>247</v>
      </c>
      <c r="W273" s="279" t="s">
        <v>255</v>
      </c>
      <c r="X273" s="279" t="s">
        <v>277</v>
      </c>
      <c r="Y273" s="279" t="s">
        <v>295</v>
      </c>
      <c r="Z273" s="279" t="s">
        <v>299</v>
      </c>
      <c r="AA273" s="279" t="s">
        <v>306</v>
      </c>
      <c r="AB273" s="279" t="s">
        <v>311</v>
      </c>
      <c r="AC273" s="279" t="s">
        <v>315</v>
      </c>
      <c r="AD273" s="279" t="s">
        <v>322</v>
      </c>
      <c r="AF273" s="262"/>
    </row>
    <row r="274" spans="1:32" ht="13.5" customHeight="1" thickBot="1" x14ac:dyDescent="0.25">
      <c r="A274" s="386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441</v>
      </c>
      <c r="E275" s="46">
        <f>IFERROR(X45*H45,"0")+IFERROR(X46*H46,"0")+IFERROR(X47*H47,"0")</f>
        <v>1276.8</v>
      </c>
      <c r="F275" s="46">
        <f>IFERROR(X52*H52,"0")+IFERROR(X53*H53,"0")+IFERROR(X54*H54,"0")+IFERROR(X55*H55,"0")</f>
        <v>328.8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0</v>
      </c>
      <c r="I275" s="46">
        <f>IFERROR(X86*H86,"0")</f>
        <v>151.20000000000002</v>
      </c>
      <c r="J275" s="46">
        <f>IFERROR(X91*H91,"0")+IFERROR(X92*H92,"0")</f>
        <v>756</v>
      </c>
      <c r="K275" s="46">
        <f>IFERROR(X97*H97,"0")+IFERROR(X98*H98,"0")+IFERROR(X99*H99,"0")+IFERROR(X100*H100,"0")+IFERROR(X101*H101,"0")+IFERROR(X102*H102,"0")</f>
        <v>1174.32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2155.1999999999998</v>
      </c>
      <c r="N275" s="262"/>
      <c r="O275" s="46">
        <f>IFERROR(X132*H132,"0")+IFERROR(X133*H133,"0")</f>
        <v>1218</v>
      </c>
      <c r="P275" s="46">
        <f>IFERROR(X138*H138,"0")+IFERROR(X139*H139,"0")</f>
        <v>378</v>
      </c>
      <c r="Q275" s="46">
        <f>IFERROR(X144*H144,"0")+IFERROR(X145*H145,"0")</f>
        <v>302.39999999999998</v>
      </c>
      <c r="R275" s="46">
        <f>IFERROR(X150*H150,"0")</f>
        <v>168</v>
      </c>
      <c r="S275" s="46">
        <f>IFERROR(X155*H155,"0")</f>
        <v>0</v>
      </c>
      <c r="T275" s="46">
        <f>IFERROR(X160*H160,"0")</f>
        <v>0</v>
      </c>
      <c r="U275" s="46">
        <f>IFERROR(X165*H165,"0")</f>
        <v>117.6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504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0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3760.8</v>
      </c>
      <c r="B278" s="60">
        <f>SUMPRODUCT(--(BB:BB="ПГП"),--(W:W="кор"),H:H,Y:Y)+SUMPRODUCT(--(BB:BB="ПГП"),--(W:W="кг"),Y:Y)</f>
        <v>5210.5200000000013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2">
    <mergeCell ref="A21:Z21"/>
    <mergeCell ref="A194:Z194"/>
    <mergeCell ref="D17:E18"/>
    <mergeCell ref="A151:O152"/>
    <mergeCell ref="A131:Z131"/>
    <mergeCell ref="D123:E123"/>
    <mergeCell ref="X17:X18"/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Y17:Y18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F5:G5"/>
    <mergeCell ref="A221:Z221"/>
    <mergeCell ref="R273:R274"/>
    <mergeCell ref="A236:Z236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W273:W274"/>
    <mergeCell ref="A103:O104"/>
    <mergeCell ref="M17:M18"/>
    <mergeCell ref="O17:O18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D107:E107"/>
    <mergeCell ref="P228:T228"/>
    <mergeCell ref="D171:E171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V6:W9"/>
    <mergeCell ref="D199:E199"/>
    <mergeCell ref="P234:V234"/>
    <mergeCell ref="A59:Z59"/>
    <mergeCell ref="A93:O94"/>
    <mergeCell ref="P222:T222"/>
    <mergeCell ref="P22:T22"/>
    <mergeCell ref="P40:T40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U273:U274"/>
    <mergeCell ref="P240:V240"/>
    <mergeCell ref="P46:T46"/>
    <mergeCell ref="A227:Z227"/>
    <mergeCell ref="A9:C9"/>
    <mergeCell ref="P70:V70"/>
    <mergeCell ref="P103:V103"/>
    <mergeCell ref="AA17:AA18"/>
    <mergeCell ref="H10:M10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Q13:R13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J9:M9"/>
    <mergeCell ref="A65:O66"/>
    <mergeCell ref="D127:E127"/>
    <mergeCell ref="A56:O57"/>
    <mergeCell ref="D114:E114"/>
    <mergeCell ref="D64:E64"/>
    <mergeCell ref="P248:T248"/>
    <mergeCell ref="P157:V157"/>
    <mergeCell ref="A38:Z38"/>
    <mergeCell ref="P28:V28"/>
    <mergeCell ref="D138:E138"/>
    <mergeCell ref="A67:Z67"/>
    <mergeCell ref="P232:T232"/>
    <mergeCell ref="P152:V152"/>
    <mergeCell ref="H17:H18"/>
    <mergeCell ref="D204:E204"/>
    <mergeCell ref="D198:E198"/>
    <mergeCell ref="P104:V104"/>
    <mergeCell ref="P27:T27"/>
    <mergeCell ref="D75:E75"/>
    <mergeCell ref="P241:V241"/>
    <mergeCell ref="P41:V41"/>
    <mergeCell ref="D181:E181"/>
    <mergeCell ref="A158:Z158"/>
    <mergeCell ref="P273:P274"/>
    <mergeCell ref="P71:V7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P261:T261"/>
    <mergeCell ref="A273:A274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P129:V129"/>
    <mergeCell ref="P101:T101"/>
    <mergeCell ref="P216:T216"/>
    <mergeCell ref="P124:V124"/>
    <mergeCell ref="A217:O218"/>
    <mergeCell ref="P151:V151"/>
    <mergeCell ref="D74:E74"/>
    <mergeCell ref="A203:Z203"/>
    <mergeCell ref="D68:E68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28:O129"/>
    <mergeCell ref="P250:V250"/>
    <mergeCell ref="A246:Z246"/>
    <mergeCell ref="A136:Z136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A186:O187"/>
    <mergeCell ref="P83:V83"/>
    <mergeCell ref="A79:Z79"/>
    <mergeCell ref="A82:O83"/>
    <mergeCell ref="T6:U9"/>
    <mergeCell ref="Q10:R10"/>
    <mergeCell ref="D116:E116"/>
    <mergeCell ref="A177:Z177"/>
    <mergeCell ref="D91:E9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O273:O274"/>
    <mergeCell ref="A137:Z137"/>
    <mergeCell ref="A208:Z208"/>
    <mergeCell ref="A37:Z37"/>
    <mergeCell ref="A5:C5"/>
    <mergeCell ref="A237:Z237"/>
    <mergeCell ref="P135:V135"/>
    <mergeCell ref="D179:E179"/>
    <mergeCell ref="P128:V128"/>
    <mergeCell ref="P195:T195"/>
    <mergeCell ref="A17:A18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232:E232"/>
    <mergeCell ref="P68:T68"/>
    <mergeCell ref="P186:V186"/>
    <mergeCell ref="P82:V82"/>
    <mergeCell ref="P132:T132"/>
    <mergeCell ref="A44:Z44"/>
    <mergeCell ref="P146:V146"/>
    <mergeCell ref="A31:Z31"/>
    <mergeCell ref="E273:E274"/>
    <mergeCell ref="A159:Z159"/>
    <mergeCell ref="G273:G274"/>
    <mergeCell ref="A219:Z219"/>
    <mergeCell ref="Q11:R11"/>
    <mergeCell ref="D24:E24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P239:T239"/>
    <mergeCell ref="A265:O270"/>
    <mergeCell ref="D52:E52"/>
    <mergeCell ref="D1:F1"/>
    <mergeCell ref="A242:Z242"/>
    <mergeCell ref="P47:T47"/>
    <mergeCell ref="J17:J18"/>
    <mergeCell ref="P61:V61"/>
    <mergeCell ref="L17:L18"/>
    <mergeCell ref="A184:Z184"/>
    <mergeCell ref="P48:V48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H1:Q1"/>
    <mergeCell ref="P109:V109"/>
    <mergeCell ref="P193:V193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D7:M7"/>
    <mergeCell ref="P92:T92"/>
    <mergeCell ref="P156:V156"/>
    <mergeCell ref="D144:E144"/>
    <mergeCell ref="S273:S274"/>
    <mergeCell ref="P100:T100"/>
    <mergeCell ref="D81:E81"/>
    <mergeCell ref="D8:M8"/>
    <mergeCell ref="A211:O212"/>
    <mergeCell ref="A226:Z226"/>
    <mergeCell ref="A161:O162"/>
    <mergeCell ref="D139:E139"/>
    <mergeCell ref="P251:V251"/>
    <mergeCell ref="P182:V182"/>
    <mergeCell ref="D209:E209"/>
    <mergeCell ref="A89:Z89"/>
    <mergeCell ref="P116:T116"/>
    <mergeCell ref="A105:Z105"/>
    <mergeCell ref="P32:T32"/>
    <mergeCell ref="A233:O234"/>
    <mergeCell ref="P97:T97"/>
    <mergeCell ref="X272:Z272"/>
    <mergeCell ref="P258:T258"/>
    <mergeCell ref="Z273:Z274"/>
    <mergeCell ref="R1:T1"/>
    <mergeCell ref="P150:T150"/>
    <mergeCell ref="P165:T165"/>
    <mergeCell ref="P229:V229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A58:Z58"/>
    <mergeCell ref="P230:V230"/>
    <mergeCell ref="B17:B18"/>
    <mergeCell ref="Q273:Q274"/>
    <mergeCell ref="D258:E258"/>
    <mergeCell ref="P81:T81"/>
    <mergeCell ref="D195:E195"/>
    <mergeCell ref="V10:W10"/>
    <mergeCell ref="A173:O174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  <mergeCell ref="D253:E253"/>
    <mergeCell ref="D53:E53"/>
    <mergeCell ref="D47:E47"/>
    <mergeCell ref="A84:Z84"/>
    <mergeCell ref="P160:T160"/>
    <mergeCell ref="A149:Z149"/>
    <mergeCell ref="P209:T209"/>
    <mergeCell ref="D60:E60"/>
    <mergeCell ref="P73:T73"/>
    <mergeCell ref="P144:T144"/>
    <mergeCell ref="P87:V87"/>
    <mergeCell ref="P245:V245"/>
    <mergeCell ref="D45:E45"/>
    <mergeCell ref="H9:I9"/>
    <mergeCell ref="D272:U272"/>
    <mergeCell ref="P224:V224"/>
    <mergeCell ref="A50:Z50"/>
    <mergeCell ref="W17:W18"/>
    <mergeCell ref="P161:V161"/>
    <mergeCell ref="P217:V217"/>
    <mergeCell ref="A213:Z213"/>
    <mergeCell ref="A215:Z215"/>
    <mergeCell ref="A120:O121"/>
    <mergeCell ref="P270:V270"/>
    <mergeCell ref="Q9:R9"/>
    <mergeCell ref="P267:V267"/>
    <mergeCell ref="D255:E255"/>
    <mergeCell ref="P49:V49"/>
    <mergeCell ref="P110:V110"/>
    <mergeCell ref="D27:E27"/>
    <mergeCell ref="P15:T1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