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1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Лист1" sheetId="2" state="visible" r:id="rId2"/>
    <sheet xmlns:r="http://schemas.openxmlformats.org/officeDocument/2006/relationships" name="Setting" sheetId="3" state="hidden" r:id="rId3"/>
  </sheets>
  <definedNames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заказа'!$X$292:$X$292</definedName>
    <definedName name="GrossWeightTotalR">'Бланк заказа'!$Y$292:$Y$292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заказа'!$X$293:$X$293</definedName>
    <definedName name="PalletQtyTotalR">'Бланк заказа'!$Y$293:$Y$293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заказа'!$B$44:$B$44</definedName>
    <definedName name="ProductId100">'Бланк заказа'!$B$284:$B$284</definedName>
    <definedName name="ProductId101">'Бланк заказа'!$B$285:$B$285</definedName>
    <definedName name="ProductId102">'Бланк заказа'!$B$286:$B$286</definedName>
    <definedName name="ProductId103">'Бланк заказа'!$B$287:$B$287</definedName>
    <definedName name="ProductId104">'Бланк заказа'!$B$288:$B$288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заказа'!$B$61:$B$61</definedName>
    <definedName name="ProductId15">'Бланк заказа'!$B$62:$B$62</definedName>
    <definedName name="ProductId16">'Бланк заказа'!$B$66:$B$66</definedName>
    <definedName name="ProductId17">'Бланк заказа'!$B$67:$B$67</definedName>
    <definedName name="ProductId18">'Бланк заказа'!$B$68:$B$68</definedName>
    <definedName name="ProductId19">'Бланк заказа'!$B$73:$B$73</definedName>
    <definedName name="ProductId2">'Бланк заказа'!$B$28:$B$28</definedName>
    <definedName name="ProductId20">'Бланк заказа'!$B$74:$B$74</definedName>
    <definedName name="ProductId21">'Бланк заказа'!$B$79:$B$79</definedName>
    <definedName name="ProductId22">'Бланк заказа'!$B$80:$B$80</definedName>
    <definedName name="ProductId23">'Бланк заказа'!$B$85:$B$85</definedName>
    <definedName name="ProductId24">'Бланк заказа'!$B$86:$B$86</definedName>
    <definedName name="ProductId25">'Бланк заказа'!$B$91:$B$91</definedName>
    <definedName name="ProductId26">'Бланк заказа'!$B$92:$B$92</definedName>
    <definedName name="ProductId27">'Бланк заказа'!$B$93:$B$93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заказа'!$B$101:$B$101</definedName>
    <definedName name="ProductId32">'Бланк заказа'!$B$102:$B$102</definedName>
    <definedName name="ProductId33">'Бланк заказа'!$B$107:$B$107</definedName>
    <definedName name="ProductId34">'Бланк заказа'!$B$108:$B$108</definedName>
    <definedName name="ProductId35">'Бланк заказа'!$B$109:$B$109</definedName>
    <definedName name="ProductId36">'Бланк заказа'!$B$110:$B$110</definedName>
    <definedName name="ProductId37">'Бланк заказа'!$B$111:$B$111</definedName>
    <definedName name="ProductId38">'Бланк заказа'!$B$115:$B$115</definedName>
    <definedName name="ProductId39">'Бланк заказа'!$B$119:$B$119</definedName>
    <definedName name="ProductId4">'Бланк заказа'!$B$34:$B$34</definedName>
    <definedName name="ProductId40">'Бланк заказа'!$B$124:$B$124</definedName>
    <definedName name="ProductId41">'Бланк заказа'!$B$125:$B$125</definedName>
    <definedName name="ProductId42">'Бланк заказа'!$B$130:$B$130</definedName>
    <definedName name="ProductId43">'Бланк заказа'!$B$131:$B$131</definedName>
    <definedName name="ProductId44">'Бланк заказа'!$B$136:$B$136</definedName>
    <definedName name="ProductId45">'Бланк заказа'!$B$137:$B$137</definedName>
    <definedName name="ProductId46">'Бланк заказа'!$B$142:$B$142</definedName>
    <definedName name="ProductId47">'Бланк заказа'!$B$147:$B$147</definedName>
    <definedName name="ProductId48">'Бланк заказа'!$B$152:$B$152</definedName>
    <definedName name="ProductId49">'Бланк заказа'!$B$157:$B$157</definedName>
    <definedName name="ProductId5">'Бланк заказа'!$B$35:$B$35</definedName>
    <definedName name="ProductId50">'Бланк заказа'!$B$163:$B$163</definedName>
    <definedName name="ProductId51">'Бланк заказа'!$B$164:$B$164</definedName>
    <definedName name="ProductId52">'Бланк заказа'!$B$170:$B$170</definedName>
    <definedName name="ProductId53">'Бланк заказа'!$B$171:$B$171</definedName>
    <definedName name="ProductId54">'Бланк заказа'!$B$172:$B$172</definedName>
    <definedName name="ProductId55">'Бланк заказа'!$B$176:$B$176</definedName>
    <definedName name="ProductId56">'Бланк заказа'!$B$182:$B$182</definedName>
    <definedName name="ProductId57">'Бланк заказа'!$B$186:$B$186</definedName>
    <definedName name="ProductId58">'Бланк заказа'!$B$187:$B$187</definedName>
    <definedName name="ProductId59">'Бланк заказа'!$B$188:$B$188</definedName>
    <definedName name="ProductId6">'Бланк заказа'!$B$36:$B$36</definedName>
    <definedName name="ProductId60">'Бланк заказа'!$B$189:$B$189</definedName>
    <definedName name="ProductId61">'Бланк заказа'!$B$194:$B$194</definedName>
    <definedName name="ProductId62">'Бланк заказа'!$B$195:$B$195</definedName>
    <definedName name="ProductId63">'Бланк заказа'!$B$196:$B$196</definedName>
    <definedName name="ProductId64">'Бланк заказа'!$B$197:$B$197</definedName>
    <definedName name="ProductId65">'Бланк заказа'!$B$198:$B$198</definedName>
    <definedName name="ProductId66">'Бланк заказа'!$B$199:$B$199</definedName>
    <definedName name="ProductId67">'Бланк заказа'!$B$204:$B$204</definedName>
    <definedName name="ProductId68">'Бланк заказа'!$B$205:$B$205</definedName>
    <definedName name="ProductId69">'Бланк заказа'!$B$206:$B$206</definedName>
    <definedName name="ProductId7">'Бланк заказа'!$B$41:$B$41</definedName>
    <definedName name="ProductId70">'Бланк заказа'!$B$207:$B$207</definedName>
    <definedName name="ProductId71">'Бланк заказа'!$B$212:$B$212</definedName>
    <definedName name="ProductId72">'Бланк заказа'!$B$217:$B$217</definedName>
    <definedName name="ProductId73">'Бланк заказа'!$B$221:$B$221</definedName>
    <definedName name="ProductId74">'Бланк заказа'!$B$222:$B$222</definedName>
    <definedName name="ProductId75">'Бланк заказа'!$B$223:$B$223</definedName>
    <definedName name="ProductId76">'Бланк заказа'!$B$228:$B$228</definedName>
    <definedName name="ProductId77">'Бланк заказа'!$B$229:$B$229</definedName>
    <definedName name="ProductId78">'Бланк заказа'!$B$235:$B$235</definedName>
    <definedName name="ProductId79">'Бланк заказа'!$B$241:$B$241</definedName>
    <definedName name="ProductId8">'Бланк заказа'!$B$42:$B$42</definedName>
    <definedName name="ProductId80">'Бланк заказа'!$B$247:$B$247</definedName>
    <definedName name="ProductId81">'Бланк заказа'!$B$251:$B$251</definedName>
    <definedName name="ProductId82">'Бланк заказа'!$B$257:$B$257</definedName>
    <definedName name="ProductId83">'Бланк заказа'!$B$258:$B$258</definedName>
    <definedName name="ProductId84">'Бланк заказа'!$B$259:$B$259</definedName>
    <definedName name="ProductId85">'Бланк заказа'!$B$263:$B$263</definedName>
    <definedName name="ProductId86">'Бланк заказа'!$B$264:$B$264</definedName>
    <definedName name="ProductId87">'Бланк заказа'!$B$268:$B$268</definedName>
    <definedName name="ProductId88">'Бланк заказа'!$B$269:$B$269</definedName>
    <definedName name="ProductId89">'Бланк заказа'!$B$270:$B$270</definedName>
    <definedName name="ProductId9">'Бланк заказа'!$B$43:$B$43</definedName>
    <definedName name="ProductId90">'Бланк заказа'!$B$274:$B$274</definedName>
    <definedName name="ProductId91">'Бланк заказа'!$B$275:$B$275</definedName>
    <definedName name="ProductId92">'Бланк заказа'!$B$276:$B$276</definedName>
    <definedName name="ProductId93">'Бланк заказа'!$B$277:$B$277</definedName>
    <definedName name="ProductId94">'Бланк заказа'!$B$278:$B$278</definedName>
    <definedName name="ProductId95">'Бланк заказа'!$B$279:$B$279</definedName>
    <definedName name="ProductId96">'Бланк заказа'!$B$280:$B$280</definedName>
    <definedName name="ProductId97">'Бланк заказа'!$B$281:$B$281</definedName>
    <definedName name="ProductId98">'Бланк заказа'!$B$282:$B$282</definedName>
    <definedName name="ProductId99">'Бланк заказа'!$B$283:$B$283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заказа'!$X$284:$X$284</definedName>
    <definedName name="SalesQty101">'Бланк заказа'!$X$285:$X$285</definedName>
    <definedName name="SalesQty102">'Бланк заказа'!$X$286:$X$286</definedName>
    <definedName name="SalesQty103">'Бланк заказа'!$X$287:$X$287</definedName>
    <definedName name="SalesQty104">'Бланк заказа'!$X$288:$X$288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заказа'!$X$61:$X$61</definedName>
    <definedName name="SalesQty15">'Бланк заказа'!$X$62:$X$62</definedName>
    <definedName name="SalesQty16">'Бланк заказа'!$X$66:$X$66</definedName>
    <definedName name="SalesQty17">'Бланк заказа'!$X$67:$X$67</definedName>
    <definedName name="SalesQty18">'Бланк заказа'!$X$68:$X$68</definedName>
    <definedName name="SalesQty19">'Бланк заказа'!$X$73:$X$73</definedName>
    <definedName name="SalesQty2">'Бланк заказа'!$X$28:$X$28</definedName>
    <definedName name="SalesQty20">'Бланк заказа'!$X$74:$X$74</definedName>
    <definedName name="SalesQty21">'Бланк заказа'!$X$79:$X$79</definedName>
    <definedName name="SalesQty22">'Бланк заказа'!$X$80:$X$80</definedName>
    <definedName name="SalesQty23">'Бланк заказа'!$X$85:$X$85</definedName>
    <definedName name="SalesQty24">'Бланк заказа'!$X$86:$X$86</definedName>
    <definedName name="SalesQty25">'Бланк заказа'!$X$91:$X$91</definedName>
    <definedName name="SalesQty26">'Бланк заказа'!$X$92:$X$92</definedName>
    <definedName name="SalesQty27">'Бланк заказа'!$X$93:$X$93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заказа'!$X$101:$X$101</definedName>
    <definedName name="SalesQty32">'Бланк заказа'!$X$102:$X$102</definedName>
    <definedName name="SalesQty33">'Бланк заказа'!$X$107:$X$107</definedName>
    <definedName name="SalesQty34">'Бланк заказа'!$X$108:$X$108</definedName>
    <definedName name="SalesQty35">'Бланк заказа'!$X$109:$X$109</definedName>
    <definedName name="SalesQty36">'Бланк заказа'!$X$110:$X$110</definedName>
    <definedName name="SalesQty37">'Бланк заказа'!$X$111:$X$111</definedName>
    <definedName name="SalesQty38">'Бланк заказа'!$X$115:$X$115</definedName>
    <definedName name="SalesQty39">'Бланк заказа'!$X$119:$X$119</definedName>
    <definedName name="SalesQty4">'Бланк заказа'!$X$34:$X$34</definedName>
    <definedName name="SalesQty40">'Бланк заказа'!$X$124:$X$124</definedName>
    <definedName name="SalesQty41">'Бланк заказа'!$X$125:$X$125</definedName>
    <definedName name="SalesQty42">'Бланк заказа'!$X$130:$X$130</definedName>
    <definedName name="SalesQty43">'Бланк заказа'!$X$131:$X$131</definedName>
    <definedName name="SalesQty44">'Бланк заказа'!$X$136:$X$136</definedName>
    <definedName name="SalesQty45">'Бланк заказа'!$X$137:$X$137</definedName>
    <definedName name="SalesQty46">'Бланк заказа'!$X$142:$X$142</definedName>
    <definedName name="SalesQty47">'Бланк заказа'!$X$147:$X$147</definedName>
    <definedName name="SalesQty48">'Бланк заказа'!$X$152:$X$152</definedName>
    <definedName name="SalesQty49">'Бланк заказа'!$X$157:$X$157</definedName>
    <definedName name="SalesQty5">'Бланк заказа'!$X$35:$X$35</definedName>
    <definedName name="SalesQty50">'Бланк заказа'!$X$163:$X$163</definedName>
    <definedName name="SalesQty51">'Бланк заказа'!$X$164:$X$164</definedName>
    <definedName name="SalesQty52">'Бланк заказа'!$X$170:$X$170</definedName>
    <definedName name="SalesQty53">'Бланк заказа'!$X$171:$X$171</definedName>
    <definedName name="SalesQty54">'Бланк заказа'!$X$172:$X$172</definedName>
    <definedName name="SalesQty55">'Бланк заказа'!$X$176:$X$176</definedName>
    <definedName name="SalesQty56">'Бланк заказа'!$X$182:$X$182</definedName>
    <definedName name="SalesQty57">'Бланк заказа'!$X$186:$X$186</definedName>
    <definedName name="SalesQty58">'Бланк заказа'!$X$187:$X$187</definedName>
    <definedName name="SalesQty59">'Бланк заказа'!$X$188:$X$188</definedName>
    <definedName name="SalesQty6">'Бланк заказа'!$X$36:$X$36</definedName>
    <definedName name="SalesQty60">'Бланк заказа'!$X$189:$X$189</definedName>
    <definedName name="SalesQty61">'Бланк заказа'!$X$194:$X$194</definedName>
    <definedName name="SalesQty62">'Бланк заказа'!$X$195:$X$195</definedName>
    <definedName name="SalesQty63">'Бланк заказа'!$X$196:$X$196</definedName>
    <definedName name="SalesQty64">'Бланк заказа'!$X$197:$X$197</definedName>
    <definedName name="SalesQty65">'Бланк заказа'!$X$198:$X$198</definedName>
    <definedName name="SalesQty66">'Бланк заказа'!$X$199:$X$199</definedName>
    <definedName name="SalesQty67">'Бланк заказа'!$X$204:$X$204</definedName>
    <definedName name="SalesQty68">'Бланк заказа'!$X$205:$X$205</definedName>
    <definedName name="SalesQty69">'Бланк заказа'!$X$206:$X$206</definedName>
    <definedName name="SalesQty7">'Бланк заказа'!$X$41:$X$41</definedName>
    <definedName name="SalesQty70">'Бланк заказа'!$X$207:$X$207</definedName>
    <definedName name="SalesQty71">'Бланк заказа'!$X$212:$X$212</definedName>
    <definedName name="SalesQty72">'Бланк заказа'!$X$217:$X$217</definedName>
    <definedName name="SalesQty73">'Бланк заказа'!$X$221:$X$221</definedName>
    <definedName name="SalesQty74">'Бланк заказа'!$X$222:$X$222</definedName>
    <definedName name="SalesQty75">'Бланк заказа'!$X$223:$X$223</definedName>
    <definedName name="SalesQty76">'Бланк заказа'!$X$228:$X$228</definedName>
    <definedName name="SalesQty77">'Бланк заказа'!$X$229:$X$229</definedName>
    <definedName name="SalesQty78">'Бланк заказа'!$X$235:$X$235</definedName>
    <definedName name="SalesQty79">'Бланк заказа'!$X$241:$X$241</definedName>
    <definedName name="SalesQty8">'Бланк заказа'!$X$42:$X$42</definedName>
    <definedName name="SalesQty80">'Бланк заказа'!$X$247:$X$247</definedName>
    <definedName name="SalesQty81">'Бланк заказа'!$X$251:$X$251</definedName>
    <definedName name="SalesQty82">'Бланк заказа'!$X$257:$X$257</definedName>
    <definedName name="SalesQty83">'Бланк заказа'!$X$258:$X$258</definedName>
    <definedName name="SalesQty84">'Бланк заказа'!$X$259:$X$259</definedName>
    <definedName name="SalesQty85">'Бланк заказа'!$X$263:$X$263</definedName>
    <definedName name="SalesQty86">'Бланк заказа'!$X$264:$X$264</definedName>
    <definedName name="SalesQty87">'Бланк заказа'!$X$268:$X$268</definedName>
    <definedName name="SalesQty88">'Бланк заказа'!$X$269:$X$269</definedName>
    <definedName name="SalesQty89">'Бланк заказа'!$X$270:$X$270</definedName>
    <definedName name="SalesQty9">'Бланк заказа'!$X$43:$X$43</definedName>
    <definedName name="SalesQty90">'Бланк заказа'!$X$274:$X$274</definedName>
    <definedName name="SalesQty91">'Бланк заказа'!$X$275:$X$275</definedName>
    <definedName name="SalesQty92">'Бланк заказа'!$X$276:$X$276</definedName>
    <definedName name="SalesQty93">'Бланк заказа'!$X$277:$X$277</definedName>
    <definedName name="SalesQty94">'Бланк заказа'!$X$278:$X$278</definedName>
    <definedName name="SalesQty95">'Бланк заказа'!$X$279:$X$279</definedName>
    <definedName name="SalesQty96">'Бланк заказа'!$X$280:$X$280</definedName>
    <definedName name="SalesQty97">'Бланк заказа'!$X$281:$X$281</definedName>
    <definedName name="SalesQty98">'Бланк заказа'!$X$282:$X$282</definedName>
    <definedName name="SalesQty99">'Бланк заказа'!$X$283:$X$283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заказа'!$Y$284:$Y$284</definedName>
    <definedName name="SalesRoundBox101">'Бланк заказа'!$Y$285:$Y$285</definedName>
    <definedName name="SalesRoundBox102">'Бланк заказа'!$Y$286:$Y$286</definedName>
    <definedName name="SalesRoundBox103">'Бланк заказа'!$Y$287:$Y$287</definedName>
    <definedName name="SalesRoundBox104">'Бланк заказа'!$Y$288:$Y$288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заказа'!$Y$61:$Y$61</definedName>
    <definedName name="SalesRoundBox15">'Бланк заказа'!$Y$62:$Y$62</definedName>
    <definedName name="SalesRoundBox16">'Бланк заказа'!$Y$66:$Y$66</definedName>
    <definedName name="SalesRoundBox17">'Бланк заказа'!$Y$67:$Y$67</definedName>
    <definedName name="SalesRoundBox18">'Бланк заказа'!$Y$68:$Y$68</definedName>
    <definedName name="SalesRoundBox19">'Бланк заказа'!$Y$73:$Y$73</definedName>
    <definedName name="SalesRoundBox2">'Бланк заказа'!$Y$28:$Y$28</definedName>
    <definedName name="SalesRoundBox20">'Бланк заказа'!$Y$74:$Y$74</definedName>
    <definedName name="SalesRoundBox21">'Бланк заказа'!$Y$79:$Y$79</definedName>
    <definedName name="SalesRoundBox22">'Бланк заказа'!$Y$80:$Y$80</definedName>
    <definedName name="SalesRoundBox23">'Бланк заказа'!$Y$85:$Y$85</definedName>
    <definedName name="SalesRoundBox24">'Бланк заказа'!$Y$86:$Y$86</definedName>
    <definedName name="SalesRoundBox25">'Бланк заказа'!$Y$91:$Y$91</definedName>
    <definedName name="SalesRoundBox26">'Бланк заказа'!$Y$92:$Y$92</definedName>
    <definedName name="SalesRoundBox27">'Бланк заказа'!$Y$93:$Y$93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заказа'!$Y$101:$Y$101</definedName>
    <definedName name="SalesRoundBox32">'Бланк заказа'!$Y$102:$Y$102</definedName>
    <definedName name="SalesRoundBox33">'Бланк заказа'!$Y$107:$Y$107</definedName>
    <definedName name="SalesRoundBox34">'Бланк заказа'!$Y$108:$Y$108</definedName>
    <definedName name="SalesRoundBox35">'Бланк заказа'!$Y$109:$Y$109</definedName>
    <definedName name="SalesRoundBox36">'Бланк заказа'!$Y$110:$Y$110</definedName>
    <definedName name="SalesRoundBox37">'Бланк заказа'!$Y$111:$Y$111</definedName>
    <definedName name="SalesRoundBox38">'Бланк заказа'!$Y$115:$Y$115</definedName>
    <definedName name="SalesRoundBox39">'Бланк заказа'!$Y$119:$Y$119</definedName>
    <definedName name="SalesRoundBox4">'Бланк заказа'!$Y$34:$Y$34</definedName>
    <definedName name="SalesRoundBox40">'Бланк заказа'!$Y$124:$Y$124</definedName>
    <definedName name="SalesRoundBox41">'Бланк заказа'!$Y$125:$Y$125</definedName>
    <definedName name="SalesRoundBox42">'Бланк заказа'!$Y$130:$Y$130</definedName>
    <definedName name="SalesRoundBox43">'Бланк заказа'!$Y$131:$Y$131</definedName>
    <definedName name="SalesRoundBox44">'Бланк заказа'!$Y$136:$Y$136</definedName>
    <definedName name="SalesRoundBox45">'Бланк заказа'!$Y$137:$Y$137</definedName>
    <definedName name="SalesRoundBox46">'Бланк заказа'!$Y$142:$Y$142</definedName>
    <definedName name="SalesRoundBox47">'Бланк заказа'!$Y$147:$Y$147</definedName>
    <definedName name="SalesRoundBox48">'Бланк заказа'!$Y$152:$Y$152</definedName>
    <definedName name="SalesRoundBox49">'Бланк заказа'!$Y$157:$Y$157</definedName>
    <definedName name="SalesRoundBox5">'Бланк заказа'!$Y$35:$Y$35</definedName>
    <definedName name="SalesRoundBox50">'Бланк заказа'!$Y$163:$Y$163</definedName>
    <definedName name="SalesRoundBox51">'Бланк заказа'!$Y$164:$Y$164</definedName>
    <definedName name="SalesRoundBox52">'Бланк заказа'!$Y$170:$Y$170</definedName>
    <definedName name="SalesRoundBox53">'Бланк заказа'!$Y$171:$Y$171</definedName>
    <definedName name="SalesRoundBox54">'Бланк заказа'!$Y$172:$Y$172</definedName>
    <definedName name="SalesRoundBox55">'Бланк заказа'!$Y$176:$Y$176</definedName>
    <definedName name="SalesRoundBox56">'Бланк заказа'!$Y$182:$Y$182</definedName>
    <definedName name="SalesRoundBox57">'Бланк заказа'!$Y$186:$Y$186</definedName>
    <definedName name="SalesRoundBox58">'Бланк заказа'!$Y$187:$Y$187</definedName>
    <definedName name="SalesRoundBox59">'Бланк заказа'!$Y$188:$Y$188</definedName>
    <definedName name="SalesRoundBox6">'Бланк заказа'!$Y$36:$Y$36</definedName>
    <definedName name="SalesRoundBox60">'Бланк заказа'!$Y$189:$Y$189</definedName>
    <definedName name="SalesRoundBox61">'Бланк заказа'!$Y$194:$Y$194</definedName>
    <definedName name="SalesRoundBox62">'Бланк заказа'!$Y$195:$Y$195</definedName>
    <definedName name="SalesRoundBox63">'Бланк заказа'!$Y$196:$Y$196</definedName>
    <definedName name="SalesRoundBox64">'Бланк заказа'!$Y$197:$Y$197</definedName>
    <definedName name="SalesRoundBox65">'Бланк заказа'!$Y$198:$Y$198</definedName>
    <definedName name="SalesRoundBox66">'Бланк заказа'!$Y$199:$Y$199</definedName>
    <definedName name="SalesRoundBox67">'Бланк заказа'!$Y$204:$Y$204</definedName>
    <definedName name="SalesRoundBox68">'Бланк заказа'!$Y$205:$Y$205</definedName>
    <definedName name="SalesRoundBox69">'Бланк заказа'!$Y$206:$Y$206</definedName>
    <definedName name="SalesRoundBox7">'Бланк заказа'!$Y$41:$Y$41</definedName>
    <definedName name="SalesRoundBox70">'Бланк заказа'!$Y$207:$Y$207</definedName>
    <definedName name="SalesRoundBox71">'Бланк заказа'!$Y$212:$Y$212</definedName>
    <definedName name="SalesRoundBox72">'Бланк заказа'!$Y$217:$Y$217</definedName>
    <definedName name="SalesRoundBox73">'Бланк заказа'!$Y$221:$Y$221</definedName>
    <definedName name="SalesRoundBox74">'Бланк заказа'!$Y$222:$Y$222</definedName>
    <definedName name="SalesRoundBox75">'Бланк заказа'!$Y$223:$Y$223</definedName>
    <definedName name="SalesRoundBox76">'Бланк заказа'!$Y$228:$Y$228</definedName>
    <definedName name="SalesRoundBox77">'Бланк заказа'!$Y$229:$Y$229</definedName>
    <definedName name="SalesRoundBox78">'Бланк заказа'!$Y$235:$Y$235</definedName>
    <definedName name="SalesRoundBox79">'Бланк заказа'!$Y$241:$Y$241</definedName>
    <definedName name="SalesRoundBox8">'Бланк заказа'!$Y$42:$Y$42</definedName>
    <definedName name="SalesRoundBox80">'Бланк заказа'!$Y$247:$Y$247</definedName>
    <definedName name="SalesRoundBox81">'Бланк заказа'!$Y$251:$Y$251</definedName>
    <definedName name="SalesRoundBox82">'Бланк заказа'!$Y$257:$Y$257</definedName>
    <definedName name="SalesRoundBox83">'Бланк заказа'!$Y$258:$Y$258</definedName>
    <definedName name="SalesRoundBox84">'Бланк заказа'!$Y$259:$Y$259</definedName>
    <definedName name="SalesRoundBox85">'Бланк заказа'!$Y$263:$Y$263</definedName>
    <definedName name="SalesRoundBox86">'Бланк заказа'!$Y$264:$Y$264</definedName>
    <definedName name="SalesRoundBox87">'Бланк заказа'!$Y$268:$Y$268</definedName>
    <definedName name="SalesRoundBox88">'Бланк заказа'!$Y$269:$Y$269</definedName>
    <definedName name="SalesRoundBox89">'Бланк заказа'!$Y$270:$Y$270</definedName>
    <definedName name="SalesRoundBox9">'Бланк заказа'!$Y$43:$Y$43</definedName>
    <definedName name="SalesRoundBox90">'Бланк заказа'!$Y$274:$Y$274</definedName>
    <definedName name="SalesRoundBox91">'Бланк заказа'!$Y$275:$Y$275</definedName>
    <definedName name="SalesRoundBox92">'Бланк заказа'!$Y$276:$Y$276</definedName>
    <definedName name="SalesRoundBox93">'Бланк заказа'!$Y$277:$Y$277</definedName>
    <definedName name="SalesRoundBox94">'Бланк заказа'!$Y$278:$Y$278</definedName>
    <definedName name="SalesRoundBox95">'Бланк заказа'!$Y$279:$Y$279</definedName>
    <definedName name="SalesRoundBox96">'Бланк заказа'!$Y$280:$Y$280</definedName>
    <definedName name="SalesRoundBox97">'Бланк заказа'!$Y$281:$Y$281</definedName>
    <definedName name="SalesRoundBox98">'Бланк заказа'!$Y$282:$Y$282</definedName>
    <definedName name="SalesRoundBox99">'Бланк заказа'!$Y$283:$Y$283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заказа'!$W$284:$W$284</definedName>
    <definedName name="UnitOfMeasure101">'Бланк заказа'!$W$285:$W$285</definedName>
    <definedName name="UnitOfMeasure102">'Бланк заказа'!$W$286:$W$286</definedName>
    <definedName name="UnitOfMeasure103">'Бланк заказа'!$W$287:$W$287</definedName>
    <definedName name="UnitOfMeasure104">'Бланк заказа'!$W$288:$W$288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заказа'!$W$61:$W$61</definedName>
    <definedName name="UnitOfMeasure15">'Бланк заказа'!$W$62:$W$62</definedName>
    <definedName name="UnitOfMeasure16">'Бланк заказа'!$W$66:$W$66</definedName>
    <definedName name="UnitOfMeasure17">'Бланк заказа'!$W$67:$W$67</definedName>
    <definedName name="UnitOfMeasure18">'Бланк заказа'!$W$68:$W$68</definedName>
    <definedName name="UnitOfMeasure19">'Бланк заказа'!$W$73:$W$73</definedName>
    <definedName name="UnitOfMeasure2">'Бланк заказа'!$W$28:$W$28</definedName>
    <definedName name="UnitOfMeasure20">'Бланк заказа'!$W$74:$W$74</definedName>
    <definedName name="UnitOfMeasure21">'Бланк заказа'!$W$79:$W$79</definedName>
    <definedName name="UnitOfMeasure22">'Бланк заказа'!$W$80:$W$80</definedName>
    <definedName name="UnitOfMeasure23">'Бланк заказа'!$W$85:$W$85</definedName>
    <definedName name="UnitOfMeasure24">'Бланк заказа'!$W$86:$W$86</definedName>
    <definedName name="UnitOfMeasure25">'Бланк заказа'!$W$91:$W$91</definedName>
    <definedName name="UnitOfMeasure26">'Бланк заказа'!$W$92:$W$92</definedName>
    <definedName name="UnitOfMeasure27">'Бланк заказа'!$W$93:$W$93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заказа'!$W$101:$W$101</definedName>
    <definedName name="UnitOfMeasure32">'Бланк заказа'!$W$102:$W$102</definedName>
    <definedName name="UnitOfMeasure33">'Бланк заказа'!$W$107:$W$107</definedName>
    <definedName name="UnitOfMeasure34">'Бланк заказа'!$W$108:$W$108</definedName>
    <definedName name="UnitOfMeasure35">'Бланк заказа'!$W$109:$W$109</definedName>
    <definedName name="UnitOfMeasure36">'Бланк заказа'!$W$110:$W$110</definedName>
    <definedName name="UnitOfMeasure37">'Бланк заказа'!$W$111:$W$111</definedName>
    <definedName name="UnitOfMeasure38">'Бланк заказа'!$W$115:$W$115</definedName>
    <definedName name="UnitOfMeasure39">'Бланк заказа'!$W$119:$W$119</definedName>
    <definedName name="UnitOfMeasure4">'Бланк заказа'!$W$34:$W$34</definedName>
    <definedName name="UnitOfMeasure40">'Бланк заказа'!$W$124:$W$124</definedName>
    <definedName name="UnitOfMeasure41">'Бланк заказа'!$W$125:$W$125</definedName>
    <definedName name="UnitOfMeasure42">'Бланк заказа'!$W$130:$W$130</definedName>
    <definedName name="UnitOfMeasure43">'Бланк заказа'!$W$131:$W$131</definedName>
    <definedName name="UnitOfMeasure44">'Бланк заказа'!$W$136:$W$136</definedName>
    <definedName name="UnitOfMeasure45">'Бланк заказа'!$W$137:$W$137</definedName>
    <definedName name="UnitOfMeasure46">'Бланк заказа'!$W$142:$W$142</definedName>
    <definedName name="UnitOfMeasure47">'Бланк заказа'!$W$147:$W$147</definedName>
    <definedName name="UnitOfMeasure48">'Бланк заказа'!$W$152:$W$152</definedName>
    <definedName name="UnitOfMeasure49">'Бланк заказа'!$W$157:$W$157</definedName>
    <definedName name="UnitOfMeasure5">'Бланк заказа'!$W$35:$W$35</definedName>
    <definedName name="UnitOfMeasure50">'Бланк заказа'!$W$163:$W$163</definedName>
    <definedName name="UnitOfMeasure51">'Бланк заказа'!$W$164:$W$164</definedName>
    <definedName name="UnitOfMeasure52">'Бланк заказа'!$W$170:$W$170</definedName>
    <definedName name="UnitOfMeasure53">'Бланк заказа'!$W$171:$W$171</definedName>
    <definedName name="UnitOfMeasure54">'Бланк заказа'!$W$172:$W$172</definedName>
    <definedName name="UnitOfMeasure55">'Бланк заказа'!$W$176:$W$176</definedName>
    <definedName name="UnitOfMeasure56">'Бланк заказа'!$W$182:$W$182</definedName>
    <definedName name="UnitOfMeasure57">'Бланк заказа'!$W$186:$W$186</definedName>
    <definedName name="UnitOfMeasure58">'Бланк заказа'!$W$187:$W$187</definedName>
    <definedName name="UnitOfMeasure59">'Бланк заказа'!$W$188:$W$188</definedName>
    <definedName name="UnitOfMeasure6">'Бланк заказа'!$W$36:$W$36</definedName>
    <definedName name="UnitOfMeasure60">'Бланк заказа'!$W$189:$W$189</definedName>
    <definedName name="UnitOfMeasure61">'Бланк заказа'!$W$194:$W$194</definedName>
    <definedName name="UnitOfMeasure62">'Бланк заказа'!$W$195:$W$195</definedName>
    <definedName name="UnitOfMeasure63">'Бланк заказа'!$W$196:$W$196</definedName>
    <definedName name="UnitOfMeasure64">'Бланк заказа'!$W$197:$W$197</definedName>
    <definedName name="UnitOfMeasure65">'Бланк заказа'!$W$198:$W$198</definedName>
    <definedName name="UnitOfMeasure66">'Бланк заказа'!$W$199:$W$199</definedName>
    <definedName name="UnitOfMeasure67">'Бланк заказа'!$W$204:$W$204</definedName>
    <definedName name="UnitOfMeasure68">'Бланк заказа'!$W$205:$W$205</definedName>
    <definedName name="UnitOfMeasure69">'Бланк заказа'!$W$206:$W$206</definedName>
    <definedName name="UnitOfMeasure7">'Бланк заказа'!$W$41:$W$41</definedName>
    <definedName name="UnitOfMeasure70">'Бланк заказа'!$W$207:$W$207</definedName>
    <definedName name="UnitOfMeasure71">'Бланк заказа'!$W$212:$W$212</definedName>
    <definedName name="UnitOfMeasure72">'Бланк заказа'!$W$217:$W$217</definedName>
    <definedName name="UnitOfMeasure73">'Бланк заказа'!$W$221:$W$221</definedName>
    <definedName name="UnitOfMeasure74">'Бланк заказа'!$W$222:$W$222</definedName>
    <definedName name="UnitOfMeasure75">'Бланк заказа'!$W$223:$W$223</definedName>
    <definedName name="UnitOfMeasure76">'Бланк заказа'!$W$228:$W$228</definedName>
    <definedName name="UnitOfMeasure77">'Бланк заказа'!$W$229:$W$229</definedName>
    <definedName name="UnitOfMeasure78">'Бланк заказа'!$W$235:$W$235</definedName>
    <definedName name="UnitOfMeasure79">'Бланк заказа'!$W$241:$W$241</definedName>
    <definedName name="UnitOfMeasure8">'Бланк заказа'!$W$42:$W$42</definedName>
    <definedName name="UnitOfMeasure80">'Бланк заказа'!$W$247:$W$247</definedName>
    <definedName name="UnitOfMeasure81">'Бланк заказа'!$W$251:$W$251</definedName>
    <definedName name="UnitOfMeasure82">'Бланк заказа'!$W$257:$W$257</definedName>
    <definedName name="UnitOfMeasure83">'Бланк заказа'!$W$258:$W$258</definedName>
    <definedName name="UnitOfMeasure84">'Бланк заказа'!$W$259:$W$259</definedName>
    <definedName name="UnitOfMeasure85">'Бланк заказа'!$W$263:$W$263</definedName>
    <definedName name="UnitOfMeasure86">'Бланк заказа'!$W$264:$W$264</definedName>
    <definedName name="UnitOfMeasure87">'Бланк заказа'!$W$268:$W$268</definedName>
    <definedName name="UnitOfMeasure88">'Бланк заказа'!$W$269:$W$269</definedName>
    <definedName name="UnitOfMeasure89">'Бланк заказа'!$W$270:$W$270</definedName>
    <definedName name="UnitOfMeasure9">'Бланк заказа'!$W$43:$W$43</definedName>
    <definedName name="UnitOfMeasure90">'Бланк заказа'!$W$274:$W$274</definedName>
    <definedName name="UnitOfMeasure91">'Бланк заказа'!$W$275:$W$275</definedName>
    <definedName name="UnitOfMeasure92">'Бланк заказа'!$W$276:$W$276</definedName>
    <definedName name="UnitOfMeasure93">'Бланк заказа'!$W$277:$W$277</definedName>
    <definedName name="UnitOfMeasure94">'Бланк заказа'!$W$278:$W$278</definedName>
    <definedName name="UnitOfMeasure95">'Бланк заказа'!$W$279:$W$279</definedName>
    <definedName name="UnitOfMeasure96">'Бланк заказа'!$W$280:$W$280</definedName>
    <definedName name="UnitOfMeasure97">'Бланк заказа'!$W$281:$W$281</definedName>
    <definedName name="UnitOfMeasure98">'Бланк заказа'!$W$282:$W$282</definedName>
    <definedName name="UnitOfMeasure99">'Бланк заказа'!$W$283:$W$283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  <definedName name="_xlnm._FilterDatabase" localSheetId="0" hidden="1">'Бланк заказа'!$A$18:$AF$296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0.000"/>
    <numFmt numFmtId="167" formatCode="#,##0.00_ ;[Red]\-#,##0.00\ "/>
    <numFmt numFmtId="168" formatCode="dd/mm/yy;@"/>
  </numFmts>
  <fonts count="373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b val="1"/>
      <sz val="10"/>
    </font>
    <font>
      <name val="Arial Cyr"/>
      <charset val="204"/>
      <color indexed="8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30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651C32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11">
    <xf numFmtId="0" fontId="0" fillId="0" borderId="0" pivotButton="0" quotePrefix="0" xfId="0"/>
    <xf numFmtId="0" fontId="5" fillId="0" borderId="0" applyAlignment="1" applyProtection="1" pivotButton="0" quotePrefix="0" xfId="0">
      <alignment horizontal="center"/>
      <protection locked="1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2" fillId="0" borderId="14" applyAlignment="1" pivotButton="0" quotePrefix="0" xfId="39">
      <alignment horizontal="left" vertical="center"/>
    </xf>
    <xf numFmtId="0" fontId="33" fillId="0" borderId="0" applyAlignment="1" pivotButton="0" quotePrefix="0" xfId="0">
      <alignment horizontal="left" vertical="top" wrapText="1"/>
    </xf>
    <xf numFmtId="0" fontId="34" fillId="24" borderId="0" applyAlignment="1" pivotButton="0" quotePrefix="0" xfId="39">
      <alignment horizontal="center" vertical="center"/>
    </xf>
    <xf numFmtId="14" fontId="34" fillId="24" borderId="0" applyAlignment="1" pivotButton="0" quotePrefix="0" xfId="39">
      <alignment vertical="center" wrapText="1"/>
    </xf>
    <xf numFmtId="49" fontId="32" fillId="0" borderId="0" applyAlignment="1" pivotButton="0" quotePrefix="0" xfId="39">
      <alignment horizontal="left" vertical="center"/>
    </xf>
    <xf numFmtId="0" fontId="34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 wrapText="1"/>
    </xf>
    <xf numFmtId="49" fontId="36" fillId="0" borderId="15" applyAlignment="1" applyProtection="1" pivotButton="0" quotePrefix="0" xfId="39">
      <alignment horizontal="center" vertical="center"/>
      <protection locked="0" hidden="0"/>
    </xf>
    <xf numFmtId="49" fontId="37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39" fillId="0" borderId="0" applyAlignment="1" applyProtection="1" pivotButton="0" quotePrefix="0" xfId="0">
      <alignment horizontal="right"/>
      <protection locked="1" hidden="1"/>
    </xf>
    <xf numFmtId="0" fontId="40" fillId="0" borderId="0" applyAlignment="1" pivotButton="0" quotePrefix="0" xfId="0">
      <alignment horizontal="right"/>
    </xf>
    <xf numFmtId="0" fontId="41" fillId="0" borderId="0" applyAlignment="1" applyProtection="1" pivotButton="0" quotePrefix="0" xfId="0">
      <alignment horizontal="right" vertical="center"/>
      <protection locked="1" hidden="1"/>
    </xf>
    <xf numFmtId="2" fontId="42" fillId="0" borderId="0" applyAlignment="1" applyProtection="1" pivotButton="0" quotePrefix="0" xfId="0">
      <alignment horizontal="center" vertical="center" wrapText="1"/>
      <protection locked="1" hidden="1"/>
    </xf>
    <xf numFmtId="0" fontId="35" fillId="0" borderId="0" applyAlignment="1" applyProtection="1" pivotButton="0" quotePrefix="0" xfId="0">
      <alignment horizontal="center"/>
      <protection locked="1" hidden="1"/>
    </xf>
    <xf numFmtId="0" fontId="41" fillId="0" borderId="0" applyAlignment="1" pivotButton="0" quotePrefix="0" xfId="0">
      <alignment horizontal="right" vertical="center"/>
    </xf>
    <xf numFmtId="49" fontId="36" fillId="25" borderId="15" applyAlignment="1" applyProtection="1" pivotButton="0" quotePrefix="0" xfId="39">
      <alignment horizontal="center" vertical="center"/>
      <protection locked="0" hidden="0"/>
    </xf>
    <xf numFmtId="0" fontId="39" fillId="0" borderId="0" applyAlignment="1" applyProtection="1" pivotButton="0" quotePrefix="0" xfId="0">
      <alignment horizontal="left"/>
      <protection locked="1" hidden="1"/>
    </xf>
    <xf numFmtId="0" fontId="43" fillId="0" borderId="0" applyAlignment="1" pivotButton="0" quotePrefix="0" xfId="0">
      <alignment horizontal="left" vertical="top"/>
    </xf>
    <xf numFmtId="0" fontId="44" fillId="0" borderId="0" applyAlignment="1" pivotButton="0" quotePrefix="0" xfId="0">
      <alignment horizontal="left" vertical="top" wrapText="1"/>
    </xf>
    <xf numFmtId="1" fontId="46" fillId="0" borderId="15" applyAlignment="1" pivotButton="0" quotePrefix="0" xfId="39">
      <alignment horizontal="center" vertical="center"/>
    </xf>
    <xf numFmtId="0" fontId="2" fillId="0" borderId="15" applyAlignment="1" applyProtection="1" pivotButton="0" quotePrefix="0" xfId="0">
      <alignment horizontal="center" vertical="center"/>
      <protection locked="1" hidden="1"/>
    </xf>
    <xf numFmtId="1" fontId="2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/>
    </xf>
    <xf numFmtId="0" fontId="30" fillId="0" borderId="15" applyAlignment="1" applyProtection="1" pivotButton="0" quotePrefix="0" xfId="0">
      <alignment horizontal="center"/>
      <protection locked="1" hidden="1"/>
    </xf>
    <xf numFmtId="2" fontId="3" fillId="0" borderId="15" applyAlignment="1" pivotButton="0" quotePrefix="0" xfId="0">
      <alignment horizontal="center"/>
    </xf>
    <xf numFmtId="0" fontId="35" fillId="24" borderId="15" applyAlignment="1" applyProtection="1" pivotButton="0" quotePrefix="0" xfId="0">
      <alignment horizontal="center"/>
      <protection locked="1" hidden="1"/>
    </xf>
    <xf numFmtId="164" fontId="41" fillId="24" borderId="15" applyAlignment="1" pivotButton="0" quotePrefix="0" xfId="0">
      <alignment horizontal="right"/>
    </xf>
    <xf numFmtId="0" fontId="47" fillId="24" borderId="15" applyAlignment="1" applyProtection="1" pivotButton="0" quotePrefix="0" xfId="0">
      <alignment horizontal="center"/>
      <protection locked="1" hidden="1"/>
    </xf>
    <xf numFmtId="0" fontId="48" fillId="24" borderId="16" applyAlignment="1" applyProtection="1" pivotButton="0" quotePrefix="0" xfId="0">
      <alignment horizontal="center" vertical="center" wrapText="1"/>
      <protection locked="1" hidden="1"/>
    </xf>
    <xf numFmtId="0" fontId="34" fillId="24" borderId="0" applyAlignment="1" pivotButton="0" quotePrefix="0" xfId="39">
      <alignment vertical="center" wrapText="1"/>
    </xf>
    <xf numFmtId="49" fontId="36" fillId="0" borderId="15" applyAlignment="1" applyProtection="1" pivotButton="0" quotePrefix="0" xfId="0">
      <alignment horizontal="center" vertical="center"/>
      <protection locked="0" hidden="0"/>
    </xf>
    <xf numFmtId="49" fontId="49" fillId="0" borderId="0" applyAlignment="1" pivotButton="0" quotePrefix="0" xfId="0">
      <alignment horizontal="center" vertical="center" wrapText="1"/>
    </xf>
    <xf numFmtId="49" fontId="36" fillId="0" borderId="0" applyAlignment="1" pivotButton="0" quotePrefix="0" xfId="0">
      <alignment horizontal="center" vertical="center"/>
    </xf>
    <xf numFmtId="165" fontId="36" fillId="0" borderId="0" applyAlignment="1" applyProtection="1" pivotButton="0" quotePrefix="0" xfId="0">
      <alignment horizontal="center" vertical="center"/>
      <protection locked="0" hidden="0"/>
    </xf>
    <xf numFmtId="4" fontId="28" fillId="0" borderId="17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0" fillId="0" borderId="0" applyAlignment="1" pivotButton="0" quotePrefix="0" xfId="0">
      <alignment horizontal="center" vertical="center"/>
    </xf>
    <xf numFmtId="0" fontId="48" fillId="0" borderId="0" applyAlignment="1" applyProtection="1" pivotButton="0" quotePrefix="0" xfId="0">
      <alignment horizontal="center" vertical="center" wrapText="1"/>
      <protection locked="1" hidden="1"/>
    </xf>
    <xf numFmtId="4" fontId="51" fillId="0" borderId="0" applyAlignment="1" applyProtection="1" pivotButton="0" quotePrefix="0" xfId="39">
      <alignment horizontal="center" vertical="center"/>
      <protection locked="1" hidden="1"/>
    </xf>
    <xf numFmtId="0" fontId="35" fillId="0" borderId="0" applyProtection="1" pivotButton="0" quotePrefix="0" xfId="0">
      <protection locked="0" hidden="0"/>
    </xf>
    <xf numFmtId="14" fontId="34" fillId="24" borderId="0" applyAlignment="1" pivotButton="0" quotePrefix="0" xfId="39">
      <alignment horizontal="center" vertical="center" wrapText="1"/>
    </xf>
    <xf numFmtId="1" fontId="46" fillId="0" borderId="20" applyAlignment="1" pivotButton="0" quotePrefix="0" xfId="0">
      <alignment horizontal="center" vertical="center"/>
    </xf>
    <xf numFmtId="2" fontId="48" fillId="24" borderId="24" applyAlignment="1" applyProtection="1" pivotButton="0" quotePrefix="0" xfId="0">
      <alignment vertical="center" wrapText="1"/>
      <protection locked="1" hidden="1"/>
    </xf>
    <xf numFmtId="2" fontId="3" fillId="0" borderId="11" applyAlignment="1" pivotButton="0" quotePrefix="0" xfId="0">
      <alignment horizontal="center" wrapText="1"/>
    </xf>
    <xf numFmtId="0" fontId="31" fillId="0" borderId="11" applyProtection="1" pivotButton="0" quotePrefix="0" xfId="0">
      <protection locked="1" hidden="1"/>
    </xf>
    <xf numFmtId="0" fontId="58" fillId="24" borderId="11" applyAlignment="1" applyProtection="1" pivotButton="0" quotePrefix="0" xfId="0">
      <alignment horizontal="center" vertical="center"/>
      <protection locked="1" hidden="1"/>
    </xf>
    <xf numFmtId="2" fontId="0" fillId="0" borderId="11" applyProtection="1" pivotButton="0" quotePrefix="0" xfId="0">
      <protection locked="1" hidden="1"/>
    </xf>
    <xf numFmtId="2" fontId="59" fillId="0" borderId="11" applyAlignment="1" applyProtection="1" pivotButton="0" quotePrefix="0" xfId="0">
      <alignment horizontal="center"/>
      <protection locked="1" hidden="1"/>
    </xf>
    <xf numFmtId="2" fontId="48" fillId="0" borderId="0" applyAlignment="1" applyProtection="1" pivotButton="0" quotePrefix="0" xfId="0">
      <alignment horizontal="left" vertical="center" wrapText="1"/>
      <protection locked="0" hidden="1"/>
    </xf>
    <xf numFmtId="0" fontId="42" fillId="0" borderId="0" applyAlignment="1" applyProtection="1" pivotButton="0" quotePrefix="0" xfId="0">
      <alignment horizontal="left" vertical="top" wrapText="1"/>
      <protection locked="0" hidden="0"/>
    </xf>
    <xf numFmtId="0" fontId="42" fillId="0" borderId="0" applyAlignment="1" applyProtection="1" pivotButton="0" quotePrefix="0" xfId="0">
      <alignment horizontal="center" vertical="top" wrapText="1"/>
      <protection locked="0" hidden="0"/>
    </xf>
    <xf numFmtId="2" fontId="42" fillId="0" borderId="0" applyAlignment="1" applyProtection="1" pivotButton="0" quotePrefix="0" xfId="0">
      <alignment horizontal="left" vertical="center" wrapText="1"/>
      <protection locked="0" hidden="1"/>
    </xf>
    <xf numFmtId="2" fontId="48" fillId="0" borderId="0" applyAlignment="1" applyProtection="1" pivotButton="0" quotePrefix="0" xfId="0">
      <alignment horizontal="left" vertical="center" wrapText="1"/>
      <protection locked="1" hidden="1"/>
    </xf>
    <xf numFmtId="2" fontId="53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38" applyAlignment="1" applyProtection="1" pivotButton="0" quotePrefix="0" xfId="0">
      <alignment horizontal="center" vertical="center"/>
      <protection locked="1" hidden="1"/>
    </xf>
    <xf numFmtId="0" fontId="60" fillId="0" borderId="0" applyProtection="1" pivotButton="0" quotePrefix="0" xfId="0"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14" fontId="34" fillId="28" borderId="0" applyAlignment="1" pivotButton="0" quotePrefix="0" xfId="39">
      <alignment vertical="center" wrapText="1"/>
    </xf>
    <xf numFmtId="0" fontId="33" fillId="28" borderId="0" applyAlignment="1" pivotButton="0" quotePrefix="0" xfId="0">
      <alignment vertical="center" wrapText="1"/>
    </xf>
    <xf numFmtId="0" fontId="40" fillId="28" borderId="0" applyAlignment="1" pivotButton="0" quotePrefix="0" xfId="0">
      <alignment horizontal="right"/>
    </xf>
    <xf numFmtId="0" fontId="35" fillId="28" borderId="0" applyProtection="1" pivotButton="0" quotePrefix="0" xfId="0">
      <protection locked="1" hidden="1"/>
    </xf>
    <xf numFmtId="49" fontId="49" fillId="28" borderId="0" applyAlignment="1" pivotButton="0" quotePrefix="0" xfId="0">
      <alignment horizontal="center" vertical="center" wrapText="1"/>
    </xf>
    <xf numFmtId="49" fontId="36" fillId="28" borderId="0" applyAlignment="1" pivotButton="0" quotePrefix="0" xfId="0">
      <alignment horizontal="center" vertical="center"/>
    </xf>
    <xf numFmtId="165" fontId="36" fillId="28" borderId="0" applyAlignment="1" applyProtection="1" pivotButton="0" quotePrefix="0" xfId="0">
      <alignment horizontal="center" vertical="center"/>
      <protection locked="0" hidden="0"/>
    </xf>
    <xf numFmtId="0" fontId="0" fillId="28" borderId="0" pivotButton="0" quotePrefix="0" xfId="0"/>
    <xf numFmtId="0" fontId="48" fillId="28" borderId="0" applyAlignment="1" applyProtection="1" pivotButton="0" quotePrefix="0" xfId="0">
      <alignment horizontal="center" vertical="center" wrapText="1"/>
      <protection locked="1" hidden="1"/>
    </xf>
    <xf numFmtId="4" fontId="51" fillId="28" borderId="0" applyAlignment="1" applyProtection="1" pivotButton="0" quotePrefix="0" xfId="39">
      <alignment horizontal="center" vertical="center"/>
      <protection locked="1" hidden="1"/>
    </xf>
    <xf numFmtId="165" fontId="0" fillId="28" borderId="0" applyAlignment="1" pivotButton="0" quotePrefix="0" xfId="0">
      <alignment horizontal="center"/>
    </xf>
    <xf numFmtId="164" fontId="41" fillId="28" borderId="15" applyAlignment="1" pivotButton="0" quotePrefix="0" xfId="0">
      <alignment horizontal="right"/>
    </xf>
    <xf numFmtId="0" fontId="35" fillId="28" borderId="15" applyAlignment="1" applyProtection="1" pivotButton="0" quotePrefix="0" xfId="0">
      <alignment horizontal="center"/>
      <protection locked="1" hidden="1"/>
    </xf>
    <xf numFmtId="0" fontId="0" fillId="28" borderId="0" applyProtection="1" pivotButton="0" quotePrefix="0" xfId="0">
      <protection locked="1" hidden="1"/>
    </xf>
    <xf numFmtId="4" fontId="28" fillId="28" borderId="17" applyAlignment="1" applyProtection="1" pivotButton="0" quotePrefix="0" xfId="39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0" fontId="54" fillId="26" borderId="0" applyAlignment="1" applyProtection="1" pivotButton="0" quotePrefix="0" xfId="0">
      <alignment horizontal="center"/>
      <protection locked="1" hidden="1"/>
    </xf>
    <xf numFmtId="0" fontId="27" fillId="0" borderId="23" applyAlignment="1" applyProtection="1" pivotButton="0" quotePrefix="0" xfId="0">
      <alignment horizontal="center" vertical="center" wrapText="1"/>
      <protection locked="1" hidden="1"/>
    </xf>
    <xf numFmtId="0" fontId="56" fillId="27" borderId="0" applyAlignment="1" applyProtection="1" pivotButton="0" quotePrefix="0" xfId="0">
      <alignment horizontal="left" vertical="center" wrapText="1"/>
      <protection locked="0" hidden="1"/>
    </xf>
    <xf numFmtId="0" fontId="0" fillId="0" borderId="0" applyProtection="1" pivotButton="0" quotePrefix="0" xfId="0">
      <protection locked="0" hidden="1"/>
    </xf>
    <xf numFmtId="2" fontId="26" fillId="26" borderId="0" applyAlignment="1" applyProtection="1" pivotButton="0" quotePrefix="0" xfId="0">
      <alignment horizontal="center"/>
      <protection locked="1" hidden="1"/>
    </xf>
    <xf numFmtId="0" fontId="35" fillId="0" borderId="0" applyProtection="1" pivotButton="0" quotePrefix="0" xfId="0">
      <protection locked="1" hidden="1"/>
    </xf>
    <xf numFmtId="2" fontId="42" fillId="27" borderId="0" applyAlignment="1" applyProtection="1" pivotButton="0" quotePrefix="0" xfId="0">
      <alignment horizontal="left" vertical="center" wrapText="1"/>
      <protection locked="1" hidden="1"/>
    </xf>
    <xf numFmtId="0" fontId="45" fillId="24" borderId="15" applyAlignment="1" applyProtection="1" pivotButton="0" quotePrefix="0" xfId="0">
      <alignment horizontal="center" vertical="center" wrapText="1"/>
      <protection locked="1" hidden="1"/>
    </xf>
    <xf numFmtId="1" fontId="46" fillId="29" borderId="20" applyAlignment="1" pivotButton="0" quotePrefix="0" xfId="0">
      <alignment horizontal="center" vertical="center"/>
    </xf>
    <xf numFmtId="1" fontId="46" fillId="29" borderId="15" applyAlignment="1" pivotButton="0" quotePrefix="0" xfId="39">
      <alignment horizontal="center" vertical="center"/>
    </xf>
    <xf numFmtId="0" fontId="2" fillId="29" borderId="15" applyAlignment="1" applyProtection="1" pivotButton="0" quotePrefix="0" xfId="0">
      <alignment horizontal="center" vertical="center"/>
      <protection locked="1" hidden="1"/>
    </xf>
    <xf numFmtId="166" fontId="2" fillId="0" borderId="15" applyAlignment="1" applyProtection="1" pivotButton="0" quotePrefix="0" xfId="0">
      <alignment horizontal="center" vertical="center"/>
      <protection locked="1" hidden="1"/>
    </xf>
    <xf numFmtId="167" fontId="25" fillId="25" borderId="15" applyAlignment="1" applyProtection="1" pivotButton="0" quotePrefix="0" xfId="0">
      <alignment horizontal="right"/>
      <protection locked="0" hidden="0"/>
    </xf>
    <xf numFmtId="167" fontId="25" fillId="0" borderId="15" applyAlignment="1" pivotButton="0" quotePrefix="0" xfId="0">
      <alignment horizontal="right"/>
    </xf>
    <xf numFmtId="167" fontId="41" fillId="24" borderId="15" applyAlignment="1" pivotButton="0" quotePrefix="0" xfId="0">
      <alignment horizontal="right"/>
    </xf>
    <xf numFmtId="167" fontId="41" fillId="24" borderId="0" applyAlignment="1" pivotButton="0" quotePrefix="0" xfId="0">
      <alignment horizontal="right"/>
    </xf>
    <xf numFmtId="167" fontId="25" fillId="28" borderId="15" applyAlignment="1" applyProtection="1" pivotButton="0" quotePrefix="0" xfId="0">
      <alignment horizontal="right"/>
      <protection locked="0" hidden="0"/>
    </xf>
    <xf numFmtId="167" fontId="41" fillId="28" borderId="15" applyAlignment="1" pivotButton="0" quotePrefix="0" xfId="0">
      <alignment horizontal="right"/>
    </xf>
    <xf numFmtId="0" fontId="121" fillId="0" borderId="43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18" pivotButton="0" quotePrefix="0" xfId="0"/>
    <xf numFmtId="0" fontId="115" fillId="0" borderId="43" applyAlignment="1" pivotButton="0" quotePrefix="0" xfId="0">
      <alignment horizontal="left" vertical="center" wrapText="1"/>
    </xf>
    <xf numFmtId="1" fontId="46" fillId="0" borderId="15" applyAlignment="1" pivotButton="0" quotePrefix="0" xfId="0">
      <alignment horizontal="center" vertical="center"/>
    </xf>
    <xf numFmtId="0" fontId="0" fillId="0" borderId="20" pivotButton="0" quotePrefix="0" xfId="0"/>
    <xf numFmtId="0" fontId="0" fillId="24" borderId="31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31" applyProtection="1" pivotButton="0" quotePrefix="0" xfId="0">
      <protection locked="1" hidden="1"/>
    </xf>
    <xf numFmtId="0" fontId="41" fillId="24" borderId="11" applyAlignment="1" applyProtection="1" pivotButton="0" quotePrefix="0" xfId="0">
      <alignment horizontal="right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54" fillId="26" borderId="0" applyAlignment="1" applyProtection="1" pivotButton="0" quotePrefix="0" xfId="0">
      <alignment horizontal="center"/>
      <protection locked="1" hidden="1"/>
    </xf>
    <xf numFmtId="0" fontId="27" fillId="0" borderId="23" applyAlignment="1" applyProtection="1" pivotButton="0" quotePrefix="0" xfId="0">
      <alignment horizontal="center" vertical="center" wrapText="1"/>
      <protection locked="1" hidden="1"/>
    </xf>
    <xf numFmtId="0" fontId="0" fillId="0" borderId="46" applyProtection="1" pivotButton="0" quotePrefix="0" xfId="0">
      <protection locked="1" hidden="1"/>
    </xf>
    <xf numFmtId="0" fontId="56" fillId="27" borderId="0" applyAlignment="1" applyProtection="1" pivotButton="0" quotePrefix="0" xfId="0">
      <alignment horizontal="left" vertical="center" wrapText="1"/>
      <protection locked="0" hidden="1"/>
    </xf>
    <xf numFmtId="0" fontId="0" fillId="0" borderId="0" applyProtection="1" pivotButton="0" quotePrefix="0" xfId="0">
      <protection locked="0" hidden="1"/>
    </xf>
    <xf numFmtId="2" fontId="26" fillId="26" borderId="0" applyAlignment="1" applyProtection="1" pivotButton="0" quotePrefix="0" xfId="0">
      <alignment horizontal="center"/>
      <protection locked="1" hidden="1"/>
    </xf>
    <xf numFmtId="0" fontId="130" fillId="0" borderId="43" applyAlignment="1" pivotButton="0" quotePrefix="0" xfId="0">
      <alignment horizontal="left" vertical="center" wrapText="1"/>
    </xf>
    <xf numFmtId="0" fontId="205" fillId="0" borderId="43" applyAlignment="1" pivotButton="0" quotePrefix="0" xfId="0">
      <alignment horizontal="left" vertical="center" wrapText="1"/>
    </xf>
    <xf numFmtId="14" fontId="34" fillId="24" borderId="0" applyAlignment="1" pivotButton="0" quotePrefix="0" xfId="0">
      <alignment vertical="center" wrapText="1"/>
    </xf>
    <xf numFmtId="0" fontId="35" fillId="0" borderId="0" applyProtection="1" pivotButton="0" quotePrefix="0" xfId="0">
      <protection locked="1" hidden="1"/>
    </xf>
    <xf numFmtId="0" fontId="64" fillId="0" borderId="43" applyAlignment="1" pivotButton="0" quotePrefix="0" xfId="0">
      <alignment horizontal="left" vertical="center" wrapText="1"/>
    </xf>
    <xf numFmtId="0" fontId="220" fillId="0" borderId="43" applyAlignment="1" pivotButton="0" quotePrefix="0" xfId="0">
      <alignment horizontal="left" vertical="center" wrapText="1"/>
    </xf>
    <xf numFmtId="0" fontId="277" fillId="0" borderId="43" applyAlignment="1" pivotButton="0" quotePrefix="0" xfId="0">
      <alignment horizontal="left" vertical="center" wrapText="1"/>
    </xf>
    <xf numFmtId="0" fontId="202" fillId="0" borderId="43" applyAlignment="1" pivotButton="0" quotePrefix="0" xfId="0">
      <alignment horizontal="left" vertical="center" wrapText="1"/>
    </xf>
    <xf numFmtId="0" fontId="331" fillId="0" borderId="43" applyAlignment="1" pivotButton="0" quotePrefix="0" xfId="0">
      <alignment horizontal="left" vertical="center" wrapText="1"/>
    </xf>
    <xf numFmtId="0" fontId="52" fillId="24" borderId="15" applyAlignment="1" applyProtection="1" pivotButton="0" quotePrefix="0" xfId="0">
      <alignment horizontal="center" vertical="center" wrapText="1"/>
      <protection locked="1" hidden="1"/>
    </xf>
    <xf numFmtId="0" fontId="0" fillId="0" borderId="25" applyProtection="1" pivotButton="0" quotePrefix="0" xfId="0">
      <protection locked="1" hidden="1"/>
    </xf>
    <xf numFmtId="49" fontId="36" fillId="0" borderId="24" applyAlignment="1" pivotButton="0" quotePrefix="0" xfId="0">
      <alignment horizontal="center" vertical="center"/>
    </xf>
    <xf numFmtId="0" fontId="0" fillId="0" borderId="28" pivotButton="0" quotePrefix="0" xfId="0"/>
    <xf numFmtId="0" fontId="214" fillId="0" borderId="43" applyAlignment="1" pivotButton="0" quotePrefix="0" xfId="0">
      <alignment horizontal="left" vertical="center" wrapText="1"/>
    </xf>
    <xf numFmtId="0" fontId="0" fillId="24" borderId="27" applyAlignment="1" applyProtection="1" pivotButton="0" quotePrefix="0" xfId="0">
      <alignment horizontal="center"/>
      <protection locked="1" hidden="1"/>
    </xf>
    <xf numFmtId="0" fontId="0" fillId="0" borderId="27" applyProtection="1" pivotButton="0" quotePrefix="0" xfId="0">
      <protection locked="1" hidden="1"/>
    </xf>
    <xf numFmtId="0" fontId="199" fillId="0" borderId="43" applyAlignment="1" pivotButton="0" quotePrefix="0" xfId="0">
      <alignment horizontal="left" vertical="center" wrapText="1"/>
    </xf>
    <xf numFmtId="0" fontId="42" fillId="25" borderId="24" applyAlignment="1" applyProtection="1" pivotButton="0" quotePrefix="0" xfId="0">
      <alignment horizontal="center" vertical="top" wrapTex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136" fillId="0" borderId="43" applyAlignment="1" pivotButton="0" quotePrefix="0" xfId="0">
      <alignment horizontal="left" vertical="center" wrapText="1"/>
    </xf>
    <xf numFmtId="0" fontId="67" fillId="0" borderId="43" applyAlignment="1" pivotButton="0" quotePrefix="0" xfId="0">
      <alignment horizontal="left" vertical="center" wrapText="1"/>
    </xf>
    <xf numFmtId="0" fontId="142" fillId="0" borderId="43" applyAlignment="1" pivotButton="0" quotePrefix="0" xfId="0">
      <alignment horizontal="left" vertical="center" wrapText="1"/>
    </xf>
    <xf numFmtId="2" fontId="42" fillId="25" borderId="11" applyAlignment="1" applyProtection="1" pivotButton="0" quotePrefix="0" xfId="0">
      <alignment horizontal="left" vertical="center" wrapText="1"/>
      <protection locked="0" hidden="1"/>
    </xf>
    <xf numFmtId="0" fontId="0" fillId="0" borderId="12" applyProtection="1" pivotButton="0" quotePrefix="0" xfId="0">
      <protection locked="0" hidden="1"/>
    </xf>
    <xf numFmtId="0" fontId="0" fillId="0" borderId="13" applyProtection="1" pivotButton="0" quotePrefix="0" xfId="0">
      <protection locked="0" hidden="1"/>
    </xf>
    <xf numFmtId="0" fontId="88" fillId="0" borderId="43" applyAlignment="1" pivotButton="0" quotePrefix="0" xfId="0">
      <alignment horizontal="left" vertical="center" wrapText="1"/>
    </xf>
    <xf numFmtId="0" fontId="145" fillId="0" borderId="43" applyAlignment="1" pivotButton="0" quotePrefix="0" xfId="0">
      <alignment horizontal="left" vertical="center" wrapText="1"/>
    </xf>
    <xf numFmtId="0" fontId="34" fillId="24" borderId="0" applyAlignment="1" pivotButton="0" quotePrefix="0" xfId="39">
      <alignment horizontal="center" vertical="center" wrapText="1"/>
    </xf>
    <xf numFmtId="0" fontId="217" fillId="0" borderId="43" applyAlignment="1" pivotButton="0" quotePrefix="0" xfId="0">
      <alignment horizontal="left" vertical="center" wrapText="1"/>
    </xf>
    <xf numFmtId="2" fontId="48" fillId="25" borderId="15" applyAlignment="1" applyProtection="1" pivotButton="0" quotePrefix="0" xfId="0">
      <alignment horizontal="left" vertical="center" wrapText="1"/>
      <protection locked="0" hidden="1"/>
    </xf>
    <xf numFmtId="0" fontId="0" fillId="0" borderId="20" applyProtection="1" pivotButton="0" quotePrefix="0" xfId="0">
      <protection locked="0" hidden="1"/>
    </xf>
    <xf numFmtId="0" fontId="82" fillId="0" borderId="43" applyAlignment="1" pivotButton="0" quotePrefix="0" xfId="0">
      <alignment horizontal="left" vertical="center" wrapText="1"/>
    </xf>
    <xf numFmtId="0" fontId="310" fillId="0" borderId="43" applyAlignment="1" pivotButton="0" quotePrefix="0" xfId="0">
      <alignment horizontal="left" vertical="center" wrapText="1"/>
    </xf>
    <xf numFmtId="0" fontId="319" fillId="0" borderId="43" applyAlignment="1" pivotButton="0" quotePrefix="0" xfId="0">
      <alignment horizontal="left" vertical="center" wrapText="1"/>
    </xf>
    <xf numFmtId="2" fontId="50" fillId="0" borderId="26" applyAlignment="1" pivotButton="0" quotePrefix="0" xfId="0">
      <alignment horizontal="center" vertical="center"/>
    </xf>
    <xf numFmtId="0" fontId="0" fillId="0" borderId="26" pivotButton="0" quotePrefix="0" xfId="0"/>
    <xf numFmtId="0" fontId="358" fillId="0" borderId="43" applyAlignment="1" pivotButton="0" quotePrefix="0" xfId="0">
      <alignment horizontal="left" vertical="center" wrapText="1"/>
    </xf>
    <xf numFmtId="0" fontId="0" fillId="0" borderId="26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30" applyProtection="1" pivotButton="0" quotePrefix="0" xfId="0">
      <protection locked="1" hidden="1"/>
    </xf>
    <xf numFmtId="0" fontId="241" fillId="0" borderId="43" applyAlignment="1" pivotButton="0" quotePrefix="0" xfId="0">
      <alignment horizontal="left" vertical="center" wrapText="1"/>
    </xf>
    <xf numFmtId="0" fontId="364" fillId="0" borderId="43" applyAlignment="1" pivotButton="0" quotePrefix="0" xfId="0">
      <alignment horizontal="left" vertical="center" wrapText="1"/>
    </xf>
    <xf numFmtId="0" fontId="187" fillId="0" borderId="43" applyAlignment="1" pivotButton="0" quotePrefix="0" xfId="0">
      <alignment horizontal="left" vertical="center" wrapText="1"/>
    </xf>
    <xf numFmtId="0" fontId="232" fillId="0" borderId="43" applyAlignment="1" pivotButton="0" quotePrefix="0" xfId="0">
      <alignment horizontal="left" vertical="center" wrapText="1"/>
    </xf>
    <xf numFmtId="0" fontId="307" fillId="0" borderId="43" applyAlignment="1" pivotButton="0" quotePrefix="0" xfId="0">
      <alignment horizontal="left" vertical="center" wrapText="1"/>
    </xf>
    <xf numFmtId="0" fontId="283" fillId="0" borderId="43" applyAlignment="1" pivotButton="0" quotePrefix="0" xfId="0">
      <alignment horizontal="left" vertical="center" wrapText="1"/>
    </xf>
    <xf numFmtId="0" fontId="238" fillId="0" borderId="43" applyAlignment="1" pivotButton="0" quotePrefix="0" xfId="0">
      <alignment horizontal="left" vertical="center" wrapText="1"/>
    </xf>
    <xf numFmtId="0" fontId="367" fillId="0" borderId="43" applyAlignment="1" pivotButton="0" quotePrefix="0" xfId="0">
      <alignment horizontal="left" vertical="center" wrapText="1"/>
    </xf>
    <xf numFmtId="0" fontId="349" fillId="0" borderId="43" applyAlignment="1" pivotButton="0" quotePrefix="0" xfId="0">
      <alignment horizontal="left" vertical="center" wrapText="1"/>
    </xf>
    <xf numFmtId="0" fontId="41" fillId="24" borderId="15" applyAlignment="1" applyProtection="1" pivotButton="0" quotePrefix="0" xfId="0">
      <alignment horizontal="left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168" fontId="36" fillId="25" borderId="11" applyAlignment="1" applyProtection="1" pivotButton="0" quotePrefix="0" xfId="0">
      <alignment horizontal="center" vertical="center"/>
      <protection locked="0" hidden="0"/>
    </xf>
    <xf numFmtId="0" fontId="0" fillId="0" borderId="13" applyProtection="1" pivotButton="0" quotePrefix="0" xfId="0">
      <protection locked="0" hidden="0"/>
    </xf>
    <xf numFmtId="165" fontId="36" fillId="25" borderId="15" applyAlignment="1" applyProtection="1" pivotButton="0" quotePrefix="0" xfId="0">
      <alignment horizontal="center" vertical="center"/>
      <protection locked="0" hidden="0"/>
    </xf>
    <xf numFmtId="0" fontId="0" fillId="0" borderId="20" applyProtection="1" pivotButton="0" quotePrefix="0" xfId="0">
      <protection locked="0" hidden="0"/>
    </xf>
    <xf numFmtId="0" fontId="262" fillId="0" borderId="43" applyAlignment="1" pivotButton="0" quotePrefix="0" xfId="0">
      <alignment horizontal="left" vertical="center" wrapText="1"/>
    </xf>
    <xf numFmtId="2" fontId="48" fillId="24" borderId="15" applyAlignment="1" applyProtection="1" pivotButton="0" quotePrefix="0" xfId="0">
      <alignment vertical="center" wrapText="1"/>
      <protection locked="1" hidden="1"/>
    </xf>
    <xf numFmtId="0" fontId="196" fillId="0" borderId="43" applyAlignment="1" pivotButton="0" quotePrefix="0" xfId="0">
      <alignment horizontal="left" vertical="center" wrapText="1"/>
    </xf>
    <xf numFmtId="0" fontId="226" fillId="0" borderId="43" applyAlignment="1" pivotButton="0" quotePrefix="0" xfId="0">
      <alignment horizontal="left" vertical="center" wrapText="1"/>
    </xf>
    <xf numFmtId="165" fontId="36" fillId="25" borderId="24" applyAlignment="1" applyProtection="1" pivotButton="0" quotePrefix="0" xfId="0">
      <alignment horizontal="center" vertical="center"/>
      <protection locked="0" hidden="0"/>
    </xf>
    <xf numFmtId="0" fontId="346" fillId="0" borderId="43" applyAlignment="1" pivotButton="0" quotePrefix="0" xfId="0">
      <alignment horizontal="left" vertical="center" wrapText="1"/>
    </xf>
    <xf numFmtId="0" fontId="175" fillId="0" borderId="43" applyAlignment="1" pivotButton="0" quotePrefix="0" xfId="0">
      <alignment horizontal="left" vertical="center" wrapText="1"/>
    </xf>
    <xf numFmtId="0" fontId="40" fillId="24" borderId="15" applyAlignment="1" applyProtection="1" pivotButton="0" quotePrefix="0" xfId="0">
      <alignment horizontal="center" vertical="center" wrapText="1"/>
      <protection locked="1" hidden="1"/>
    </xf>
    <xf numFmtId="0" fontId="244" fillId="0" borderId="43" applyAlignment="1" pivotButton="0" quotePrefix="0" xfId="0">
      <alignment horizontal="left" vertical="center" wrapText="1"/>
    </xf>
    <xf numFmtId="0" fontId="48" fillId="24" borderId="21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106" fillId="0" borderId="43" applyAlignment="1" pivotButton="0" quotePrefix="0" xfId="0">
      <alignment horizontal="left" vertical="center" wrapText="1"/>
    </xf>
    <xf numFmtId="0" fontId="48" fillId="27" borderId="0" applyAlignment="1" applyProtection="1" pivotButton="0" quotePrefix="1" xfId="0">
      <alignment horizontal="center" vertical="center" wrapText="1"/>
      <protection locked="0" hidden="1"/>
    </xf>
    <xf numFmtId="0" fontId="193" fillId="0" borderId="43" applyAlignment="1" pivotButton="0" quotePrefix="0" xfId="0">
      <alignment horizontal="left" vertical="center" wrapText="1"/>
    </xf>
    <xf numFmtId="0" fontId="250" fillId="0" borderId="43" applyAlignment="1" pivotButton="0" quotePrefix="0" xfId="0">
      <alignment horizontal="left" vertical="center" wrapText="1"/>
    </xf>
    <xf numFmtId="0" fontId="48" fillId="27" borderId="0" applyAlignment="1" applyProtection="1" pivotButton="0" quotePrefix="0" xfId="0">
      <alignment vertical="center" wrapText="1"/>
      <protection locked="1" hidden="1"/>
    </xf>
    <xf numFmtId="0" fontId="94" fillId="0" borderId="43" applyAlignment="1" pivotButton="0" quotePrefix="0" xfId="0">
      <alignment horizontal="left" vertical="center" wrapText="1"/>
    </xf>
    <xf numFmtId="0" fontId="316" fillId="0" borderId="43" applyAlignment="1" pivotButton="0" quotePrefix="0" xfId="0">
      <alignment horizontal="left" vertical="center" wrapText="1"/>
    </xf>
    <xf numFmtId="0" fontId="112" fillId="0" borderId="43" applyAlignment="1" pivotButton="0" quotePrefix="0" xfId="0">
      <alignment horizontal="left" vertical="center" wrapText="1"/>
    </xf>
    <xf numFmtId="0" fontId="57" fillId="0" borderId="37" applyAlignment="1" pivotButton="0" quotePrefix="0" xfId="0">
      <alignment horizontal="center" wrapText="1"/>
    </xf>
    <xf numFmtId="0" fontId="0" fillId="0" borderId="37" pivotButton="0" quotePrefix="0" xfId="0"/>
    <xf numFmtId="0" fontId="355" fillId="0" borderId="43" applyAlignment="1" pivotButton="0" quotePrefix="0" xfId="0">
      <alignment horizontal="left" vertical="center" wrapText="1"/>
    </xf>
    <xf numFmtId="0" fontId="337" fillId="0" borderId="43" applyAlignment="1" pivotButton="0" quotePrefix="0" xfId="0">
      <alignment horizontal="left" vertical="center" wrapText="1"/>
    </xf>
    <xf numFmtId="0" fontId="85" fillId="0" borderId="43" applyAlignment="1" pivotButton="0" quotePrefix="0" xfId="0">
      <alignment horizontal="left" vertical="center" wrapText="1"/>
    </xf>
    <xf numFmtId="0" fontId="361" fillId="0" borderId="43" applyAlignment="1" pivotButton="0" quotePrefix="0" xfId="0">
      <alignment horizontal="left" vertical="center" wrapText="1"/>
    </xf>
    <xf numFmtId="2" fontId="48" fillId="24" borderId="15" applyAlignment="1" applyProtection="1" pivotButton="0" quotePrefix="0" xfId="0">
      <alignment horizontal="left" vertical="center" wrapText="1"/>
      <protection locked="1" hidden="1"/>
    </xf>
    <xf numFmtId="0" fontId="118" fillId="0" borderId="43" applyAlignment="1" pivotButton="0" quotePrefix="0" xfId="0">
      <alignment horizontal="left" vertical="center" wrapText="1"/>
    </xf>
    <xf numFmtId="0" fontId="208" fillId="0" borderId="43" applyAlignment="1" pivotButton="0" quotePrefix="0" xfId="0">
      <alignment horizontal="left" vertical="center" wrapText="1"/>
    </xf>
    <xf numFmtId="0" fontId="41" fillId="0" borderId="27" applyAlignment="1" applyProtection="1" pivotButton="0" quotePrefix="0" xfId="0">
      <alignment horizontal="right" vertical="center" wrapText="1"/>
      <protection locked="1" hidden="1"/>
    </xf>
    <xf numFmtId="49" fontId="36" fillId="25" borderId="15" applyAlignment="1" applyProtection="1" pivotButton="0" quotePrefix="0" xfId="0">
      <alignment horizontal="center" vertical="center"/>
      <protection locked="0" hidden="0"/>
    </xf>
    <xf numFmtId="0" fontId="41" fillId="0" borderId="27" applyAlignment="1" applyProtection="1" pivotButton="0" quotePrefix="0" xfId="0">
      <alignment horizontal="center" vertical="center"/>
      <protection locked="1" hidden="1"/>
    </xf>
    <xf numFmtId="165" fontId="36" fillId="25" borderId="25" applyAlignment="1" applyProtection="1" pivotButton="0" quotePrefix="0" xfId="0">
      <alignment horizontal="center" vertical="center"/>
      <protection locked="0" hidden="0"/>
    </xf>
    <xf numFmtId="0" fontId="0" fillId="0" borderId="30" applyProtection="1" pivotButton="0" quotePrefix="0" xfId="0">
      <protection locked="0" hidden="0"/>
    </xf>
    <xf numFmtId="0" fontId="172" fillId="0" borderId="43" applyAlignment="1" pivotButton="0" quotePrefix="0" xfId="0">
      <alignment horizontal="left" vertical="center" wrapText="1"/>
    </xf>
    <xf numFmtId="2" fontId="53" fillId="24" borderId="15" applyAlignment="1" applyProtection="1" pivotButton="0" quotePrefix="0" xfId="0">
      <alignment horizontal="left" vertical="center" wrapText="1"/>
      <protection locked="1" hidden="1"/>
    </xf>
    <xf numFmtId="0" fontId="289" fillId="0" borderId="43" applyAlignment="1" pivotButton="0" quotePrefix="0" xfId="0">
      <alignment horizontal="left" vertical="center" wrapText="1"/>
    </xf>
    <xf numFmtId="0" fontId="259" fillId="0" borderId="43" applyAlignment="1" pivotButton="0" quotePrefix="0" xfId="0">
      <alignment horizontal="left" vertical="center" wrapText="1"/>
    </xf>
    <xf numFmtId="0" fontId="265" fillId="0" borderId="43" applyAlignment="1" pivotButton="0" quotePrefix="0" xfId="0">
      <alignment horizontal="left" vertical="center" wrapText="1"/>
    </xf>
    <xf numFmtId="0" fontId="292" fillId="0" borderId="43" applyAlignment="1" pivotButton="0" quotePrefix="0" xfId="0">
      <alignment horizontal="left" vertical="center" wrapText="1"/>
    </xf>
    <xf numFmtId="0" fontId="268" fillId="0" borderId="43" applyAlignment="1" pivotButton="0" quotePrefix="0" xfId="0">
      <alignment horizontal="left" vertical="center" wrapText="1"/>
    </xf>
    <xf numFmtId="0" fontId="148" fillId="0" borderId="43" applyAlignment="1" pivotButton="0" quotePrefix="0" xfId="0">
      <alignment horizontal="left" vertical="center" wrapText="1"/>
    </xf>
    <xf numFmtId="0" fontId="274" fillId="0" borderId="43" applyAlignment="1" pivotButton="0" quotePrefix="0" xfId="0">
      <alignment horizontal="left" vertical="center" wrapText="1"/>
    </xf>
    <xf numFmtId="0" fontId="133" fillId="0" borderId="43" applyAlignment="1" pivotButton="0" quotePrefix="0" xfId="0">
      <alignment horizontal="left" vertical="center" wrapText="1"/>
    </xf>
    <xf numFmtId="2" fontId="42" fillId="27" borderId="0" applyAlignment="1" applyProtection="1" pivotButton="0" quotePrefix="0" xfId="0">
      <alignment horizontal="left" vertical="center" wrapText="1"/>
      <protection locked="1" hidden="1"/>
    </xf>
    <xf numFmtId="0" fontId="52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9" applyProtection="1" pivotButton="0" quotePrefix="0" xfId="0">
      <protection locked="1" hidden="1"/>
    </xf>
    <xf numFmtId="0" fontId="271" fillId="0" borderId="43" applyAlignment="1" pivotButton="0" quotePrefix="0" xfId="0">
      <alignment horizontal="left" vertical="center" wrapText="1"/>
    </xf>
    <xf numFmtId="0" fontId="0" fillId="0" borderId="44" applyProtection="1" pivotButton="0" quotePrefix="0" xfId="0">
      <protection locked="1" hidden="1"/>
    </xf>
    <xf numFmtId="0" fontId="0" fillId="0" borderId="45" applyProtection="1" pivotButton="0" quotePrefix="0" xfId="0">
      <protection locked="1" hidden="1"/>
    </xf>
    <xf numFmtId="0" fontId="160" fillId="0" borderId="43" applyAlignment="1" pivotButton="0" quotePrefix="0" xfId="0">
      <alignment horizontal="left" vertical="center" wrapText="1"/>
    </xf>
    <xf numFmtId="0" fontId="343" fillId="0" borderId="43" applyAlignment="1" pivotButton="0" quotePrefix="0" xfId="0">
      <alignment horizontal="left" vertical="center" wrapText="1"/>
    </xf>
    <xf numFmtId="0" fontId="301" fillId="0" borderId="43" applyAlignment="1" pivotButton="0" quotePrefix="0" xfId="0">
      <alignment horizontal="left" vertical="center" wrapText="1"/>
    </xf>
    <xf numFmtId="4" fontId="49" fillId="0" borderId="1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163" fillId="0" borderId="43" applyAlignment="1" pivotButton="0" quotePrefix="0" xfId="0">
      <alignment horizontal="left" vertical="center" wrapText="1"/>
    </xf>
    <xf numFmtId="0" fontId="328" fillId="0" borderId="43" applyAlignment="1" pivotButton="0" quotePrefix="0" xfId="0">
      <alignment horizontal="left" vertical="center" wrapText="1"/>
    </xf>
    <xf numFmtId="0" fontId="280" fillId="0" borderId="43" applyAlignment="1" pivotButton="0" quotePrefix="0" xfId="0">
      <alignment horizontal="left" vertical="center" wrapText="1"/>
    </xf>
    <xf numFmtId="0" fontId="61" fillId="0" borderId="43" applyAlignment="1" pivotButton="0" quotePrefix="0" xfId="0">
      <alignment horizontal="left" vertical="center" wrapText="1"/>
    </xf>
    <xf numFmtId="0" fontId="304" fillId="0" borderId="43" applyAlignment="1" pivotButton="0" quotePrefix="0" xfId="0">
      <alignment horizontal="left" vertical="center" wrapText="1"/>
    </xf>
    <xf numFmtId="0" fontId="124" fillId="0" borderId="43" applyAlignment="1" pivotButton="0" quotePrefix="0" xfId="0">
      <alignment horizontal="left" vertical="center" wrapText="1"/>
    </xf>
    <xf numFmtId="0" fontId="52" fillId="24" borderId="42" applyAlignment="1" applyProtection="1" pivotButton="0" quotePrefix="0" xfId="0">
      <alignment horizontal="center" vertical="center" wrapText="1"/>
      <protection locked="1" hidden="1"/>
    </xf>
    <xf numFmtId="0" fontId="0" fillId="0" borderId="41" applyProtection="1" pivotButton="0" quotePrefix="0" xfId="0">
      <protection locked="1" hidden="1"/>
    </xf>
    <xf numFmtId="0" fontId="0" fillId="0" borderId="19" applyProtection="1" pivotButton="0" quotePrefix="0" xfId="0">
      <protection locked="0" hidden="1"/>
    </xf>
    <xf numFmtId="0" fontId="42" fillId="25" borderId="15" applyAlignment="1" applyProtection="1" pivotButton="0" quotePrefix="0" xfId="0">
      <alignment horizontal="left" vertical="top" wrapText="1"/>
      <protection locked="0" hidden="0"/>
    </xf>
    <xf numFmtId="0" fontId="0" fillId="0" borderId="19" applyProtection="1" pivotButton="0" quotePrefix="0" xfId="0">
      <protection locked="0" hidden="0"/>
    </xf>
    <xf numFmtId="0" fontId="139" fillId="0" borderId="43" applyAlignment="1" pivotButton="0" quotePrefix="0" xfId="0">
      <alignment horizontal="left" vertical="center" wrapText="1"/>
    </xf>
    <xf numFmtId="0" fontId="211" fillId="0" borderId="43" applyAlignment="1" pivotButton="0" quotePrefix="0" xfId="0">
      <alignment horizontal="left" vertical="center" wrapText="1"/>
    </xf>
    <xf numFmtId="0" fontId="322" fillId="0" borderId="43" applyAlignment="1" pivotButton="0" quotePrefix="0" xfId="0">
      <alignment horizontal="left" vertical="center" wrapText="1"/>
    </xf>
    <xf numFmtId="0" fontId="73" fillId="0" borderId="43" applyAlignment="1" pivotButton="0" quotePrefix="0" xfId="0">
      <alignment horizontal="left" vertical="center" wrapText="1"/>
    </xf>
    <xf numFmtId="0" fontId="235" fillId="0" borderId="43" applyAlignment="1" pivotButton="0" quotePrefix="0" xfId="0">
      <alignment horizontal="left" vertical="center" wrapText="1"/>
    </xf>
    <xf numFmtId="0" fontId="184" fillId="0" borderId="43" applyAlignment="1" pivotButton="0" quotePrefix="0" xfId="0">
      <alignment horizontal="left" vertical="center" wrapText="1"/>
    </xf>
    <xf numFmtId="0" fontId="169" fillId="0" borderId="43" applyAlignment="1" pivotButton="0" quotePrefix="0" xfId="0">
      <alignment horizontal="left" vertical="center" wrapText="1"/>
    </xf>
    <xf numFmtId="0" fontId="352" fillId="0" borderId="43" applyAlignment="1" pivotButton="0" quotePrefix="0" xfId="0">
      <alignment horizontal="left" vertical="center" wrapText="1"/>
    </xf>
    <xf numFmtId="0" fontId="100" fillId="0" borderId="43" applyAlignment="1" pivotButton="0" quotePrefix="0" xfId="0">
      <alignment horizontal="left" vertical="center" wrapText="1"/>
    </xf>
    <xf numFmtId="0" fontId="181" fillId="0" borderId="43" applyAlignment="1" pivotButton="0" quotePrefix="0" xfId="0">
      <alignment horizontal="left" vertical="center" wrapText="1"/>
    </xf>
    <xf numFmtId="165" fontId="36" fillId="25" borderId="11" applyAlignment="1" applyProtection="1" pivotButton="0" quotePrefix="0" xfId="0">
      <alignment horizontal="center" vertical="center"/>
      <protection locked="0" hidden="0"/>
    </xf>
    <xf numFmtId="0" fontId="223" fillId="0" borderId="43" applyAlignment="1" pivotButton="0" quotePrefix="0" xfId="0">
      <alignment horizontal="left" vertical="center" wrapText="1"/>
    </xf>
    <xf numFmtId="0" fontId="298" fillId="0" borderId="43" applyAlignment="1" pivotButton="0" quotePrefix="0" xfId="0">
      <alignment horizontal="left" vertical="center" wrapText="1"/>
    </xf>
    <xf numFmtId="0" fontId="295" fillId="0" borderId="43" applyAlignment="1" pivotButton="0" quotePrefix="0" xfId="0">
      <alignment horizontal="left" vertical="center" wrapText="1"/>
    </xf>
    <xf numFmtId="0" fontId="79" fillId="0" borderId="43" applyAlignment="1" pivotButton="0" quotePrefix="0" xfId="0">
      <alignment horizontal="left" vertical="center" wrapText="1"/>
    </xf>
    <xf numFmtId="0" fontId="70" fillId="0" borderId="43" applyAlignment="1" pivotButton="0" quotePrefix="0" xfId="0">
      <alignment horizontal="left" vertical="center" wrapText="1"/>
    </xf>
    <xf numFmtId="0" fontId="334" fillId="0" borderId="43" applyAlignment="1" pivotButton="0" quotePrefix="0" xfId="0">
      <alignment horizontal="left" vertical="center" wrapText="1"/>
    </xf>
    <xf numFmtId="0" fontId="325" fillId="0" borderId="43" applyAlignment="1" pivotButton="0" quotePrefix="0" xfId="0">
      <alignment horizontal="left" vertical="center" wrapText="1"/>
    </xf>
    <xf numFmtId="0" fontId="91" fillId="0" borderId="43" applyAlignment="1" pivotButton="0" quotePrefix="0" xfId="0">
      <alignment horizontal="left" vertical="center" wrapText="1"/>
    </xf>
    <xf numFmtId="0" fontId="76" fillId="0" borderId="43" applyAlignment="1" pivotButton="0" quotePrefix="0" xfId="0">
      <alignment horizontal="left" vertical="center" wrapText="1"/>
    </xf>
    <xf numFmtId="0" fontId="340" fillId="0" borderId="43" applyAlignment="1" pivotButton="0" quotePrefix="0" xfId="0">
      <alignment horizontal="left" vertical="center" wrapText="1"/>
    </xf>
    <xf numFmtId="0" fontId="157" fillId="0" borderId="43" applyAlignment="1" pivotButton="0" quotePrefix="0" xfId="0">
      <alignment horizontal="left" vertical="center" wrapText="1"/>
    </xf>
    <xf numFmtId="0" fontId="151" fillId="0" borderId="43" applyAlignment="1" pivotButton="0" quotePrefix="0" xfId="0">
      <alignment horizontal="left" vertical="center" wrapText="1"/>
    </xf>
    <xf numFmtId="0" fontId="154" fillId="0" borderId="43" applyAlignment="1" pivotButton="0" quotePrefix="0" xfId="0">
      <alignment horizontal="left" vertical="center" wrapText="1"/>
    </xf>
    <xf numFmtId="0" fontId="247" fillId="0" borderId="43" applyAlignment="1" pivotButton="0" quotePrefix="0" xfId="0">
      <alignment horizontal="left" vertical="center" wrapText="1"/>
    </xf>
    <xf numFmtId="0" fontId="103" fillId="0" borderId="43" applyAlignment="1" pivotButton="0" quotePrefix="0" xfId="0">
      <alignment horizontal="left" vertical="center" wrapText="1"/>
    </xf>
    <xf numFmtId="0" fontId="55" fillId="0" borderId="0" applyAlignment="1" applyProtection="1" pivotButton="0" quotePrefix="0" xfId="0">
      <alignment horizontal="center" vertical="center" wrapText="1"/>
      <protection locked="1" hidden="1"/>
    </xf>
    <xf numFmtId="0" fontId="253" fillId="0" borderId="43" applyAlignment="1" pivotButton="0" quotePrefix="0" xfId="0">
      <alignment horizontal="left" vertical="center" wrapText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34" applyProtection="1" pivotButton="0" quotePrefix="0" xfId="0">
      <protection locked="1" hidden="1"/>
    </xf>
    <xf numFmtId="0" fontId="0" fillId="0" borderId="35" applyProtection="1" pivotButton="0" quotePrefix="0" xfId="0">
      <protection locked="1" hidden="1"/>
    </xf>
    <xf numFmtId="0" fontId="0" fillId="0" borderId="36" applyProtection="1" pivotButton="0" quotePrefix="0" xfId="0">
      <protection locked="1" hidden="1"/>
    </xf>
    <xf numFmtId="2" fontId="48" fillId="24" borderId="15" applyAlignment="1" applyProtection="1" pivotButton="0" quotePrefix="0" xfId="0">
      <alignment horizontal="center" vertical="center" wrapText="1"/>
      <protection locked="1" hidden="1"/>
    </xf>
    <xf numFmtId="0" fontId="109" fillId="0" borderId="43" applyAlignment="1" pivotButton="0" quotePrefix="0" xfId="0">
      <alignment horizontal="left" vertical="center" wrapText="1"/>
    </xf>
    <xf numFmtId="0" fontId="229" fillId="0" borderId="43" applyAlignment="1" pivotButton="0" quotePrefix="0" xfId="0">
      <alignment horizontal="left" vertical="center" wrapText="1"/>
    </xf>
    <xf numFmtId="0" fontId="97" fillId="0" borderId="43" applyAlignment="1" pivotButton="0" quotePrefix="0" xfId="0">
      <alignment horizontal="left" vertical="center" wrapText="1"/>
    </xf>
    <xf numFmtId="0" fontId="166" fillId="0" borderId="43" applyAlignment="1" pivotButton="0" quotePrefix="0" xfId="0">
      <alignment horizontal="left" vertical="center" wrapText="1"/>
    </xf>
    <xf numFmtId="0" fontId="256" fillId="0" borderId="43" applyAlignment="1" pivotButton="0" quotePrefix="0" xfId="0">
      <alignment horizontal="left" vertical="center" wrapText="1"/>
    </xf>
    <xf numFmtId="168" fontId="36" fillId="25" borderId="15" applyAlignment="1" applyProtection="1" pivotButton="0" quotePrefix="0" xfId="0">
      <alignment horizontal="center" vertical="center"/>
      <protection locked="0" hidden="0"/>
    </xf>
    <xf numFmtId="0" fontId="370" fillId="0" borderId="43" applyAlignment="1" pivotButton="0" quotePrefix="0" xfId="0">
      <alignment horizontal="left" vertical="center" wrapText="1"/>
    </xf>
    <xf numFmtId="0" fontId="190" fillId="0" borderId="43" applyAlignment="1" pivotButton="0" quotePrefix="0" xfId="0">
      <alignment horizontal="left" vertical="center" wrapText="1"/>
    </xf>
    <xf numFmtId="0" fontId="313" fillId="0" borderId="43" applyAlignment="1" pivotButton="0" quotePrefix="0" xfId="0">
      <alignment horizontal="left" vertical="center" wrapText="1"/>
    </xf>
    <xf numFmtId="0" fontId="286" fillId="0" borderId="43" applyAlignment="1" pivotButton="0" quotePrefix="0" xfId="0">
      <alignment horizontal="left" vertical="center" wrapText="1"/>
    </xf>
    <xf numFmtId="49" fontId="36" fillId="0" borderId="15" applyAlignment="1" pivotButton="0" quotePrefix="0" xfId="0">
      <alignment horizontal="center" vertical="center"/>
    </xf>
    <xf numFmtId="0" fontId="127" fillId="0" borderId="43" applyAlignment="1" pivotButton="0" quotePrefix="0" xfId="0">
      <alignment horizontal="left" vertical="center" wrapText="1"/>
    </xf>
    <xf numFmtId="0" fontId="45" fillId="24" borderId="15" applyAlignment="1" applyProtection="1" pivotButton="0" quotePrefix="0" xfId="0">
      <alignment horizontal="center" vertical="center" wrapText="1"/>
      <protection locked="1" hidden="1"/>
    </xf>
    <xf numFmtId="0" fontId="52" fillId="24" borderId="15" applyAlignment="1" applyProtection="1" pivotButton="0" quotePrefix="0" xfId="39">
      <alignment horizontal="center" vertical="center" wrapText="1"/>
      <protection locked="0" hidden="1"/>
    </xf>
    <xf numFmtId="0" fontId="0" fillId="0" borderId="25" applyProtection="1" pivotButton="0" quotePrefix="0" xfId="0">
      <protection locked="0" hidden="1"/>
    </xf>
    <xf numFmtId="2" fontId="48" fillId="24" borderId="11" applyAlignment="1" applyProtection="1" pivotButton="0" quotePrefix="0" xfId="0">
      <alignment vertical="center" wrapText="1"/>
      <protection locked="1" hidden="1"/>
    </xf>
    <xf numFmtId="0" fontId="178" fillId="0" borderId="43" applyAlignment="1" pivotButton="0" quotePrefix="0" xfId="0">
      <alignment horizontal="left" vertical="center" wrapText="1"/>
    </xf>
    <xf numFmtId="0" fontId="27" fillId="28" borderId="23" applyAlignment="1" applyProtection="1" pivotButton="0" quotePrefix="0" xfId="0">
      <alignment horizontal="center" vertical="center" wrapText="1"/>
      <protection locked="1" hidden="1"/>
    </xf>
    <xf numFmtId="0" fontId="52" fillId="28" borderId="15" applyAlignment="1" applyProtection="1" pivotButton="0" quotePrefix="0" xfId="0">
      <alignment horizontal="center" vertical="center" wrapText="1"/>
      <protection locked="1" hidden="1"/>
    </xf>
    <xf numFmtId="167" fontId="25" fillId="29" borderId="15" applyAlignment="1" applyProtection="1" pivotButton="0" quotePrefix="0" xfId="0">
      <alignment horizontal="right"/>
      <protection locked="0" hidden="0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6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304"/>
  <sheetViews>
    <sheetView showGridLines="0" topLeftCell="H1" zoomScaleNormal="100" zoomScaleSheetLayoutView="100" workbookViewId="0">
      <selection activeCell="H1" sqref="A1:XFD1048576"/>
    </sheetView>
  </sheetViews>
  <sheetFormatPr baseColWidth="8" defaultColWidth="9.140625" defaultRowHeight="12.75"/>
  <cols>
    <col width="9.140625" customWidth="1" style="319" min="1" max="1"/>
    <col width="10.85546875" customWidth="1" style="2" min="2" max="2"/>
    <col width="12.5703125" customWidth="1" style="2" min="3" max="3"/>
    <col width="6.42578125" customWidth="1" style="2" min="4" max="4"/>
    <col width="6.85546875" customWidth="1" style="2" min="5" max="5"/>
    <col width="8.42578125" customWidth="1" style="2" min="6" max="6"/>
    <col width="9.42578125" customWidth="1" style="2" min="7" max="7"/>
    <col width="11.85546875" customWidth="1" style="2" min="8" max="8"/>
    <col width="9.42578125" customWidth="1" style="2" min="9" max="9"/>
    <col width="9.140625" customWidth="1" style="3" min="10" max="10"/>
    <col width="13.85546875" customWidth="1" style="3" min="11" max="12"/>
    <col width="9.42578125" customWidth="1" style="3" min="13" max="13"/>
    <col hidden="1" width="15.85546875" customWidth="1" style="3" min="14" max="14"/>
    <col width="10.42578125" customWidth="1" style="2" min="15" max="15"/>
    <col width="7.42578125" customWidth="1" style="1" min="16" max="16"/>
    <col width="15.5703125" customWidth="1" style="1" min="17" max="17"/>
    <col width="8.140625" customWidth="1" style="319" min="18" max="18"/>
    <col width="6.140625" customWidth="1" style="319" min="19" max="19"/>
    <col width="10.85546875" customWidth="1" style="328" min="20" max="20"/>
    <col width="10.42578125" customWidth="1" style="328" min="21" max="21"/>
    <col width="9.42578125" customWidth="1" style="328" min="22" max="22"/>
    <col width="8.42578125" customWidth="1" style="328" min="23" max="23"/>
    <col width="10" customWidth="1" style="319" min="24" max="24"/>
    <col width="11" customWidth="1" style="319" min="25" max="25"/>
    <col width="10" customWidth="1" style="319" min="26" max="26"/>
    <col width="11.5703125" customWidth="1" style="319" min="27" max="27"/>
    <col width="10.42578125" customWidth="1" style="319" min="28" max="28"/>
    <col width="30" customWidth="1" style="319" min="29" max="29"/>
    <col width="11.42578125" bestFit="1" customWidth="1" style="7" min="30" max="30"/>
    <col width="9.140625" customWidth="1" style="7" min="31" max="31"/>
    <col width="8.85546875" customWidth="1" style="7" min="32" max="32"/>
    <col width="13.5703125" customWidth="1" style="319" min="33" max="33"/>
    <col width="9.140625" customWidth="1" style="319" min="34" max="35"/>
    <col width="9.140625" customWidth="1" style="319" min="36" max="16384"/>
  </cols>
  <sheetData>
    <row r="1" ht="45" customFormat="1" customHeight="1" s="333">
      <c r="A1" s="41" t="n"/>
      <c r="B1" s="41" t="n"/>
      <c r="C1" s="41" t="n"/>
      <c r="D1" s="358" t="inlineStr">
        <is>
          <t xml:space="preserve">  БЛАНК ЗАКАЗА </t>
        </is>
      </c>
      <c r="G1" s="12" t="inlineStr">
        <is>
          <t>ЗПФ</t>
        </is>
      </c>
      <c r="H1" s="358" t="inlineStr">
        <is>
          <t>на отгрузку продукции с ООО Трейд-Сервис с</t>
        </is>
      </c>
      <c r="R1" s="332" t="inlineStr">
        <is>
          <t>05.08.2025</t>
        </is>
      </c>
      <c r="U1" s="13" t="n"/>
      <c r="V1" s="13" t="n"/>
      <c r="W1" s="13" t="n"/>
      <c r="X1" s="13" t="n"/>
      <c r="Y1" s="13" t="n"/>
      <c r="Z1" s="13" t="n"/>
      <c r="AA1" s="13" t="n"/>
      <c r="AB1" s="52" t="n"/>
      <c r="AC1" s="52" t="n"/>
      <c r="AD1" s="52" t="n"/>
      <c r="AE1" s="52" t="n"/>
      <c r="AF1" s="52" t="n"/>
    </row>
    <row r="2" ht="16.5" customFormat="1" customHeight="1" s="333">
      <c r="A2" s="29" t="inlineStr">
        <is>
          <t>бланк создан</t>
        </is>
      </c>
      <c r="B2" s="30" t="inlineStr">
        <is>
          <t>05.08.2025</t>
        </is>
      </c>
      <c r="C2" s="11" t="n"/>
      <c r="D2" s="11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483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19" t="n"/>
      <c r="R2" s="319" t="n"/>
      <c r="S2" s="319" t="n"/>
      <c r="T2" s="319" t="n"/>
      <c r="U2" s="319" t="n"/>
      <c r="V2" s="319" t="n"/>
      <c r="W2" s="319" t="n"/>
      <c r="X2" s="16" t="n"/>
      <c r="Y2" s="16" t="n"/>
      <c r="Z2" s="16" t="n"/>
      <c r="AA2" s="16" t="n"/>
      <c r="AB2" s="51" t="n"/>
      <c r="AC2" s="51" t="n"/>
      <c r="AD2" s="51" t="n"/>
      <c r="AE2" s="51" t="n"/>
    </row>
    <row r="3" ht="11.25" customFormat="1" customHeight="1" s="333">
      <c r="A3" s="27" t="n"/>
      <c r="B3" s="10" t="inlineStr">
        <is>
          <t>-поле, обязательное к заполнению</t>
        </is>
      </c>
      <c r="C3" s="14" t="n"/>
      <c r="D3" s="14" t="n"/>
      <c r="E3" s="17" t="n"/>
      <c r="F3" s="18" t="inlineStr">
        <is>
          <t>-поля, не обязательные к заполнению</t>
        </is>
      </c>
      <c r="G3" s="15" t="n"/>
      <c r="H3" s="15" t="n"/>
      <c r="I3" s="15" t="n"/>
      <c r="J3" s="18" t="n"/>
      <c r="K3" s="18" t="n"/>
      <c r="L3" s="18" t="n"/>
      <c r="M3" s="15" t="n"/>
      <c r="N3" s="15" t="n"/>
      <c r="O3" s="15" t="n"/>
      <c r="P3" s="319" t="n"/>
      <c r="Q3" s="319" t="n"/>
      <c r="R3" s="319" t="n"/>
      <c r="S3" s="319" t="n"/>
      <c r="T3" s="319" t="n"/>
      <c r="U3" s="319" t="n"/>
      <c r="V3" s="319" t="n"/>
      <c r="W3" s="319" t="n"/>
      <c r="X3" s="16" t="n"/>
      <c r="Y3" s="16" t="n"/>
      <c r="Z3" s="16" t="n"/>
      <c r="AA3" s="16" t="n"/>
      <c r="AB3" s="51" t="n"/>
      <c r="AC3" s="51" t="n"/>
      <c r="AD3" s="51" t="n"/>
      <c r="AE3" s="51" t="n"/>
    </row>
    <row r="4" ht="9" customFormat="1" customHeight="1" s="333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20" t="n"/>
      <c r="R4" s="20" t="n"/>
      <c r="S4" s="20" t="n"/>
      <c r="T4" s="20" t="n"/>
      <c r="U4" s="20" t="n"/>
      <c r="V4" s="21" t="n"/>
      <c r="W4" s="22" t="n"/>
      <c r="X4" s="22" t="n"/>
      <c r="Y4" s="22" t="n"/>
      <c r="Z4" s="22" t="n"/>
      <c r="AA4" s="22" t="n"/>
      <c r="AB4" s="51" t="n"/>
      <c r="AC4" s="51" t="n"/>
      <c r="AD4" s="51" t="n"/>
      <c r="AE4" s="51" t="n"/>
    </row>
    <row r="5" ht="23.45" customFormat="1" customHeight="1" s="333">
      <c r="A5" s="390" t="inlineStr">
        <is>
          <t xml:space="preserve">Ваш контактный телефон и имя: </t>
        </is>
      </c>
      <c r="B5" s="383" t="n"/>
      <c r="C5" s="384" t="n"/>
      <c r="D5" s="360" t="n"/>
      <c r="E5" s="361" t="n"/>
      <c r="F5" s="490" t="inlineStr">
        <is>
          <t>Комментарий к заказу:</t>
        </is>
      </c>
      <c r="G5" s="384" t="n"/>
      <c r="H5" s="360" t="n"/>
      <c r="I5" s="454" t="n"/>
      <c r="J5" s="454" t="n"/>
      <c r="K5" s="454" t="n"/>
      <c r="L5" s="454" t="n"/>
      <c r="M5" s="361" t="n"/>
      <c r="N5" s="60" t="n"/>
      <c r="P5" s="23" t="inlineStr">
        <is>
          <t>Дата загрузки</t>
        </is>
      </c>
      <c r="Q5" s="496" t="n">
        <v>45880</v>
      </c>
      <c r="R5" s="388" t="n"/>
      <c r="T5" s="417" t="inlineStr">
        <is>
          <t>Способ доставки (доставка/самовывоз)</t>
        </is>
      </c>
      <c r="U5" s="345" t="n"/>
      <c r="V5" s="418" t="inlineStr">
        <is>
          <t>Самовывоз</t>
        </is>
      </c>
      <c r="W5" s="388" t="n"/>
      <c r="AB5" s="51" t="n"/>
      <c r="AC5" s="51" t="n"/>
      <c r="AD5" s="51" t="n"/>
      <c r="AE5" s="51" t="n"/>
    </row>
    <row r="6" ht="24" customFormat="1" customHeight="1" s="333">
      <c r="A6" s="390" t="inlineStr">
        <is>
          <t>Адрес доставки:</t>
        </is>
      </c>
      <c r="B6" s="383" t="n"/>
      <c r="C6" s="384" t="n"/>
      <c r="D6" s="455" t="inlineStr">
        <is>
          <t>НВ, ООО 9001015535, Запорожская обл, Мелитополь г, Полевая ул, д. 3, стр А,</t>
        </is>
      </c>
      <c r="E6" s="456" t="n"/>
      <c r="F6" s="456" t="n"/>
      <c r="G6" s="456" t="n"/>
      <c r="H6" s="456" t="n"/>
      <c r="I6" s="456" t="n"/>
      <c r="J6" s="456" t="n"/>
      <c r="K6" s="456" t="n"/>
      <c r="L6" s="456" t="n"/>
      <c r="M6" s="388" t="n"/>
      <c r="N6" s="61" t="n"/>
      <c r="P6" s="23" t="inlineStr">
        <is>
          <t>День недели</t>
        </is>
      </c>
      <c r="Q6" s="501">
        <f>IF(Q5=0," ",CHOOSE(WEEKDAY(Q5,2),"Понедельник","Вторник","Среда","Четверг","Пятница","Суббота","Воскресенье"))</f>
        <v/>
      </c>
      <c r="R6" s="317" t="n"/>
      <c r="T6" s="419" t="inlineStr">
        <is>
          <t>Наименование клиента</t>
        </is>
      </c>
      <c r="U6" s="345" t="n"/>
      <c r="V6" s="441" t="inlineStr">
        <is>
          <t>ОБЩЕСТВО С ОГРАНИЧЕННОЙ ОТВЕТСТВЕННОСТЬЮ "НОВОЕ ВРЕМЯ"</t>
        </is>
      </c>
      <c r="W6" s="342" t="n"/>
      <c r="AB6" s="51" t="n"/>
      <c r="AC6" s="51" t="n"/>
      <c r="AD6" s="51" t="n"/>
      <c r="AE6" s="51" t="n"/>
    </row>
    <row r="7" hidden="1" ht="21.75" customFormat="1" customHeight="1" s="333">
      <c r="A7" s="54" t="n"/>
      <c r="B7" s="54" t="n"/>
      <c r="C7" s="54" t="n"/>
      <c r="D7" s="347">
        <f>IFERROR(VLOOKUP(DeliveryAddress,Table,3,0),1)</f>
        <v/>
      </c>
      <c r="E7" s="348" t="n"/>
      <c r="F7" s="348" t="n"/>
      <c r="G7" s="348" t="n"/>
      <c r="H7" s="348" t="n"/>
      <c r="I7" s="348" t="n"/>
      <c r="J7" s="348" t="n"/>
      <c r="K7" s="348" t="n"/>
      <c r="L7" s="348" t="n"/>
      <c r="M7" s="349" t="n"/>
      <c r="N7" s="62" t="n"/>
      <c r="P7" s="23" t="n"/>
      <c r="Q7" s="42" t="n"/>
      <c r="R7" s="42" t="n"/>
      <c r="T7" s="319" t="n"/>
      <c r="U7" s="345" t="n"/>
      <c r="V7" s="442" t="n"/>
      <c r="W7" s="443" t="n"/>
      <c r="AB7" s="51" t="n"/>
      <c r="AC7" s="51" t="n"/>
      <c r="AD7" s="51" t="n"/>
      <c r="AE7" s="51" t="n"/>
    </row>
    <row r="8" ht="25.5" customFormat="1" customHeight="1" s="333">
      <c r="A8" s="506" t="inlineStr">
        <is>
          <t>Адрес сдачи груза:</t>
        </is>
      </c>
      <c r="B8" s="322" t="n"/>
      <c r="C8" s="323" t="n"/>
      <c r="D8" s="353" t="n"/>
      <c r="E8" s="354" t="n"/>
      <c r="F8" s="354" t="n"/>
      <c r="G8" s="354" t="n"/>
      <c r="H8" s="354" t="n"/>
      <c r="I8" s="354" t="n"/>
      <c r="J8" s="354" t="n"/>
      <c r="K8" s="354" t="n"/>
      <c r="L8" s="354" t="n"/>
      <c r="M8" s="355" t="n"/>
      <c r="N8" s="63" t="n"/>
      <c r="P8" s="23" t="inlineStr">
        <is>
          <t>Время загрузки</t>
        </is>
      </c>
      <c r="Q8" s="393" t="n">
        <v>0.4166666666666667</v>
      </c>
      <c r="R8" s="349" t="n"/>
      <c r="T8" s="319" t="n"/>
      <c r="U8" s="345" t="n"/>
      <c r="V8" s="442" t="n"/>
      <c r="W8" s="443" t="n"/>
      <c r="AB8" s="51" t="n"/>
      <c r="AC8" s="51" t="n"/>
      <c r="AD8" s="51" t="n"/>
      <c r="AE8" s="51" t="n"/>
    </row>
    <row r="9" ht="39.95" customFormat="1" customHeight="1" s="333">
      <c r="A9" s="404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 t="n"/>
      <c r="C9" s="319" t="n"/>
      <c r="D9" s="401" t="n"/>
      <c r="E9" s="328" t="n"/>
      <c r="F9" s="404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 t="n"/>
      <c r="H9" s="327">
        <f>IF(AND($A$9="Тип доверенности/получателя при получении в адресе перегруза:",$D$9="Разовая доверенность"),"Введите ФИО","")</f>
        <v/>
      </c>
      <c r="I9" s="328" t="n"/>
      <c r="J9" s="327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8" t="n"/>
      <c r="L9" s="328" t="n"/>
      <c r="M9" s="328" t="n"/>
      <c r="N9" s="327" t="n"/>
      <c r="P9" s="26" t="inlineStr">
        <is>
          <t>Дата доставки</t>
        </is>
      </c>
      <c r="Q9" s="385" t="n"/>
      <c r="R9" s="386" t="n"/>
      <c r="T9" s="319" t="n"/>
      <c r="U9" s="345" t="n"/>
      <c r="V9" s="444" t="n"/>
      <c r="W9" s="445" t="n"/>
      <c r="X9" s="43" t="n"/>
      <c r="Y9" s="43" t="n"/>
      <c r="Z9" s="43" t="n"/>
      <c r="AA9" s="43" t="n"/>
      <c r="AB9" s="51" t="n"/>
      <c r="AC9" s="51" t="n"/>
      <c r="AD9" s="51" t="n"/>
      <c r="AE9" s="51" t="n"/>
    </row>
    <row r="10" ht="26.45" customFormat="1" customHeight="1" s="333">
      <c r="A10" s="404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 t="n"/>
      <c r="C10" s="319" t="n"/>
      <c r="D10" s="401" t="n"/>
      <c r="E10" s="328" t="n"/>
      <c r="F10" s="404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 t="n"/>
      <c r="H10" s="432">
        <f>IFERROR(VLOOKUP($D$10,Proxy,2,FALSE),"")</f>
        <v/>
      </c>
      <c r="I10" s="319" t="n"/>
      <c r="J10" s="319" t="n"/>
      <c r="K10" s="319" t="n"/>
      <c r="L10" s="319" t="n"/>
      <c r="M10" s="319" t="n"/>
      <c r="N10" s="432" t="n"/>
      <c r="P10" s="26" t="inlineStr">
        <is>
          <t>Время доставки</t>
        </is>
      </c>
      <c r="Q10" s="420" t="n"/>
      <c r="R10" s="421" t="n"/>
      <c r="U10" s="23" t="inlineStr">
        <is>
          <t>КОД Аксапты Клиента</t>
        </is>
      </c>
      <c r="V10" s="341" t="inlineStr">
        <is>
          <t>596383</t>
        </is>
      </c>
      <c r="W10" s="342" t="n"/>
      <c r="X10" s="44" t="n"/>
      <c r="Y10" s="44" t="n"/>
      <c r="Z10" s="44" t="n"/>
      <c r="AA10" s="44" t="n"/>
      <c r="AB10" s="51" t="n"/>
      <c r="AC10" s="51" t="n"/>
      <c r="AD10" s="51" t="n"/>
      <c r="AE10" s="51" t="n"/>
    </row>
    <row r="11" ht="15.95" customFormat="1" customHeight="1" s="333">
      <c r="A11" s="28" t="inlineStr">
        <is>
          <t>Справочная информация: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P11" s="26" t="inlineStr">
        <is>
          <t>Время доставки 2 машины</t>
        </is>
      </c>
      <c r="Q11" s="387" t="n"/>
      <c r="R11" s="388" t="n"/>
      <c r="U11" s="23" t="inlineStr">
        <is>
          <t>Тип заказа</t>
        </is>
      </c>
      <c r="V11" s="467" t="inlineStr">
        <is>
          <t>Основной заказ</t>
        </is>
      </c>
      <c r="W11" s="386" t="n"/>
      <c r="X11" s="45" t="n"/>
      <c r="Y11" s="45" t="n"/>
      <c r="Z11" s="45" t="n"/>
      <c r="AA11" s="45" t="n"/>
      <c r="AB11" s="51" t="n"/>
      <c r="AC11" s="51" t="n"/>
      <c r="AD11" s="51" t="n"/>
      <c r="AE11" s="51" t="n"/>
    </row>
    <row r="12" ht="18.6" customFormat="1" customHeight="1" s="333">
      <c r="A12" s="414" t="inlineStr">
        <is>
          <t>Телефоны для заказов:8(919)022-63-02 E-mail: Zamorozka@abiproduct.ru, Телефон сотрудников склада: 8-980-75-76-203</t>
        </is>
      </c>
      <c r="B12" s="383" t="n"/>
      <c r="C12" s="383" t="n"/>
      <c r="D12" s="383" t="n"/>
      <c r="E12" s="383" t="n"/>
      <c r="F12" s="383" t="n"/>
      <c r="G12" s="383" t="n"/>
      <c r="H12" s="383" t="n"/>
      <c r="I12" s="383" t="n"/>
      <c r="J12" s="383" t="n"/>
      <c r="K12" s="383" t="n"/>
      <c r="L12" s="383" t="n"/>
      <c r="M12" s="384" t="n"/>
      <c r="N12" s="64" t="n"/>
      <c r="P12" s="23" t="inlineStr">
        <is>
          <t>Время доставки 3 машины</t>
        </is>
      </c>
      <c r="Q12" s="393" t="n"/>
      <c r="R12" s="349" t="n"/>
      <c r="S12" s="24" t="n"/>
      <c r="U12" s="23" t="n"/>
      <c r="V12" s="333" t="n"/>
      <c r="W12" s="319" t="n"/>
      <c r="AB12" s="51" t="n"/>
      <c r="AC12" s="51" t="n"/>
      <c r="AD12" s="51" t="n"/>
      <c r="AE12" s="51" t="n"/>
    </row>
    <row r="13" ht="23.25" customFormat="1" customHeight="1" s="333">
      <c r="A13" s="414" t="inlineStr">
        <is>
          <t>График приема заказов: Заказы принимаются за ДВА дня до отгрузки Пн-Пт: с 9:00 до 14:00, Суб. - Вс. выходной</t>
        </is>
      </c>
      <c r="B13" s="383" t="n"/>
      <c r="C13" s="383" t="n"/>
      <c r="D13" s="383" t="n"/>
      <c r="E13" s="383" t="n"/>
      <c r="F13" s="383" t="n"/>
      <c r="G13" s="383" t="n"/>
      <c r="H13" s="383" t="n"/>
      <c r="I13" s="383" t="n"/>
      <c r="J13" s="383" t="n"/>
      <c r="K13" s="383" t="n"/>
      <c r="L13" s="383" t="n"/>
      <c r="M13" s="384" t="n"/>
      <c r="N13" s="64" t="n"/>
      <c r="O13" s="26" t="n"/>
      <c r="P13" s="26" t="inlineStr">
        <is>
          <t>Время доставки 4 машины</t>
        </is>
      </c>
      <c r="Q13" s="467" t="n"/>
      <c r="R13" s="386" t="n"/>
      <c r="S13" s="24" t="n"/>
      <c r="X13" s="49" t="n"/>
      <c r="Y13" s="49" t="n"/>
      <c r="Z13" s="49" t="n"/>
      <c r="AA13" s="49" t="n"/>
      <c r="AB13" s="51" t="n"/>
      <c r="AC13" s="51" t="n"/>
      <c r="AD13" s="51" t="n"/>
      <c r="AE13" s="51" t="n"/>
    </row>
    <row r="14" ht="18.6" customFormat="1" customHeight="1" s="333">
      <c r="A14" s="414" t="inlineStr">
        <is>
          <t>Телефон менеджера по логистике: 8 (919) 012-30-55 - по вопросам доставки продукции</t>
        </is>
      </c>
      <c r="B14" s="383" t="n"/>
      <c r="C14" s="383" t="n"/>
      <c r="D14" s="383" t="n"/>
      <c r="E14" s="383" t="n"/>
      <c r="F14" s="383" t="n"/>
      <c r="G14" s="383" t="n"/>
      <c r="H14" s="383" t="n"/>
      <c r="I14" s="383" t="n"/>
      <c r="J14" s="383" t="n"/>
      <c r="K14" s="383" t="n"/>
      <c r="L14" s="383" t="n"/>
      <c r="M14" s="384" t="n"/>
      <c r="N14" s="64" t="n"/>
      <c r="X14" s="50" t="n"/>
      <c r="Y14" s="50" t="n"/>
      <c r="Z14" s="50" t="n"/>
      <c r="AA14" s="50" t="n"/>
      <c r="AB14" s="51" t="n"/>
      <c r="AC14" s="51" t="n"/>
      <c r="AD14" s="51" t="n"/>
      <c r="AE14" s="51" t="n"/>
    </row>
    <row r="15" ht="22.5" customFormat="1" customHeight="1" s="333">
      <c r="A15" s="423" t="inlineStr">
        <is>
          <t>Телефон по работе с претензиями/жалобами (WhatSapp): 8 (980) 757-69-93       E-mail: Claims@abiproduct.ru</t>
        </is>
      </c>
      <c r="B15" s="383" t="n"/>
      <c r="C15" s="383" t="n"/>
      <c r="D15" s="383" t="n"/>
      <c r="E15" s="383" t="n"/>
      <c r="F15" s="383" t="n"/>
      <c r="G15" s="383" t="n"/>
      <c r="H15" s="383" t="n"/>
      <c r="I15" s="383" t="n"/>
      <c r="J15" s="383" t="n"/>
      <c r="K15" s="383" t="n"/>
      <c r="L15" s="383" t="n"/>
      <c r="M15" s="384" t="n"/>
      <c r="N15" s="65" t="n"/>
      <c r="P15" s="408" t="inlineStr">
        <is>
          <t>Кликните на продукт, чтобы просмотреть изображение</t>
        </is>
      </c>
      <c r="AB15" s="51" t="n"/>
      <c r="AC15" s="51" t="n"/>
      <c r="AD15" s="51" t="n"/>
      <c r="AE15" s="51" t="n"/>
    </row>
    <row r="16" ht="18.75" customHeight="1">
      <c r="B16" s="5" t="n"/>
      <c r="C16" s="5" t="n"/>
      <c r="D16" s="4" t="n"/>
      <c r="E16" s="4" t="n"/>
      <c r="F16" s="4" t="n"/>
      <c r="G16" s="4" t="n"/>
      <c r="H16" s="6" t="n"/>
      <c r="I16" s="6" t="n"/>
      <c r="J16" s="6" t="n"/>
      <c r="K16" s="6" t="n"/>
      <c r="L16" s="6" t="n"/>
      <c r="M16" s="6" t="n"/>
      <c r="N16" s="6" t="n"/>
      <c r="O16" s="6" t="n"/>
      <c r="P16" s="409" t="n"/>
      <c r="Q16" s="409" t="n"/>
      <c r="R16" s="409" t="n"/>
      <c r="S16" s="409" t="n"/>
      <c r="T16" s="409" t="n"/>
      <c r="U16" s="6" t="n"/>
      <c r="V16" s="6" t="n"/>
      <c r="W16" s="8" t="n"/>
      <c r="X16" s="9" t="n"/>
      <c r="Y16" s="9" t="n"/>
      <c r="Z16" s="9" t="n"/>
      <c r="AA16" s="9" t="n"/>
      <c r="AB16" s="9" t="n"/>
      <c r="AC16" s="9" t="n"/>
    </row>
    <row r="17" ht="27.75" customHeight="1">
      <c r="A17" s="339" t="inlineStr">
        <is>
          <t>Код единицы продаж</t>
        </is>
      </c>
      <c r="B17" s="339" t="inlineStr">
        <is>
          <t>Код продукта</t>
        </is>
      </c>
      <c r="C17" s="396" t="inlineStr">
        <is>
          <t>Номер варианта</t>
        </is>
      </c>
      <c r="D17" s="339" t="inlineStr">
        <is>
          <t xml:space="preserve">Штрих-код </t>
        </is>
      </c>
      <c r="E17" s="369" t="n"/>
      <c r="F17" s="339" t="inlineStr">
        <is>
          <t>Вес нетто штуки, кг</t>
        </is>
      </c>
      <c r="G17" s="339" t="inlineStr">
        <is>
          <t>Кол-во штук в коробе, шт</t>
        </is>
      </c>
      <c r="H17" s="339" t="inlineStr">
        <is>
          <t>Вес нетто короба, кг</t>
        </is>
      </c>
      <c r="I17" s="339" t="inlineStr">
        <is>
          <t>Вес брутто короба, кг</t>
        </is>
      </c>
      <c r="J17" s="339" t="inlineStr">
        <is>
          <t>Кол-во кор. на паллте, шт</t>
        </is>
      </c>
      <c r="K17" s="339" t="inlineStr">
        <is>
          <t>Коробов в слое</t>
        </is>
      </c>
      <c r="L17" s="339" t="inlineStr">
        <is>
          <t>Квант заказа</t>
        </is>
      </c>
      <c r="M17" s="339" t="inlineStr">
        <is>
          <t>Завод</t>
        </is>
      </c>
      <c r="N17" s="339" t="inlineStr">
        <is>
          <t>Внешний код номенклатуры</t>
        </is>
      </c>
      <c r="O17" s="339" t="inlineStr">
        <is>
          <t>Срок годности, сут.</t>
        </is>
      </c>
      <c r="P17" s="339" t="inlineStr">
        <is>
          <t>Наименование</t>
        </is>
      </c>
      <c r="Q17" s="368" t="n"/>
      <c r="R17" s="368" t="n"/>
      <c r="S17" s="368" t="n"/>
      <c r="T17" s="369" t="n"/>
      <c r="U17" s="503" t="inlineStr">
        <is>
          <t>Доступно к отгрузке</t>
        </is>
      </c>
      <c r="V17" s="384" t="n"/>
      <c r="W17" s="339" t="inlineStr">
        <is>
          <t>Ед. изм.</t>
        </is>
      </c>
      <c r="X17" s="339" t="inlineStr">
        <is>
          <t>Заказ</t>
        </is>
      </c>
      <c r="Y17" s="504" t="inlineStr">
        <is>
          <t>Заказ с округлением до короба</t>
        </is>
      </c>
      <c r="Z17" s="452" t="inlineStr">
        <is>
          <t>Объём заказа, м3</t>
        </is>
      </c>
      <c r="AA17" s="433" t="inlineStr">
        <is>
          <t>Примечание по продуктку</t>
        </is>
      </c>
      <c r="AB17" s="433" t="inlineStr">
        <is>
          <t>Признак "НОВИНКА"</t>
        </is>
      </c>
      <c r="AC17" s="433" t="inlineStr">
        <is>
          <t>Декларация/Сертификат</t>
        </is>
      </c>
      <c r="AD17" s="433" t="inlineStr">
        <is>
          <t>Для формул</t>
        </is>
      </c>
      <c r="AE17" s="485" t="n"/>
      <c r="AF17" s="486" t="n"/>
      <c r="AG17" s="68" t="n"/>
      <c r="BD17" s="67" t="inlineStr">
        <is>
          <t>Вид продукции</t>
        </is>
      </c>
    </row>
    <row r="18" ht="14.25" customHeight="1">
      <c r="A18" s="340" t="n"/>
      <c r="B18" s="340" t="n"/>
      <c r="C18" s="340" t="n"/>
      <c r="D18" s="370" t="n"/>
      <c r="E18" s="372" t="n"/>
      <c r="F18" s="340" t="n"/>
      <c r="G18" s="340" t="n"/>
      <c r="H18" s="340" t="n"/>
      <c r="I18" s="340" t="n"/>
      <c r="J18" s="340" t="n"/>
      <c r="K18" s="340" t="n"/>
      <c r="L18" s="340" t="n"/>
      <c r="M18" s="340" t="n"/>
      <c r="N18" s="340" t="n"/>
      <c r="O18" s="340" t="n"/>
      <c r="P18" s="370" t="n"/>
      <c r="Q18" s="371" t="n"/>
      <c r="R18" s="371" t="n"/>
      <c r="S18" s="371" t="n"/>
      <c r="T18" s="372" t="n"/>
      <c r="U18" s="503" t="inlineStr">
        <is>
          <t>начиная с</t>
        </is>
      </c>
      <c r="V18" s="503" t="inlineStr">
        <is>
          <t>до</t>
        </is>
      </c>
      <c r="W18" s="340" t="n"/>
      <c r="X18" s="340" t="n"/>
      <c r="Y18" s="505" t="n"/>
      <c r="Z18" s="453" t="n"/>
      <c r="AA18" s="434" t="n"/>
      <c r="AB18" s="434" t="n"/>
      <c r="AC18" s="434" t="n"/>
      <c r="AD18" s="487" t="n"/>
      <c r="AE18" s="488" t="n"/>
      <c r="AF18" s="489" t="n"/>
      <c r="AG18" s="68" t="n"/>
      <c r="BD18" s="67" t="n"/>
    </row>
    <row r="19" ht="27.75" customHeight="1">
      <c r="A19" s="365" t="inlineStr">
        <is>
          <t>Ядрена копоть</t>
        </is>
      </c>
      <c r="B19" s="366" t="n"/>
      <c r="C19" s="366" t="n"/>
      <c r="D19" s="366" t="n"/>
      <c r="E19" s="366" t="n"/>
      <c r="F19" s="366" t="n"/>
      <c r="G19" s="366" t="n"/>
      <c r="H19" s="366" t="n"/>
      <c r="I19" s="366" t="n"/>
      <c r="J19" s="366" t="n"/>
      <c r="K19" s="366" t="n"/>
      <c r="L19" s="366" t="n"/>
      <c r="M19" s="366" t="n"/>
      <c r="N19" s="366" t="n"/>
      <c r="O19" s="366" t="n"/>
      <c r="P19" s="366" t="n"/>
      <c r="Q19" s="366" t="n"/>
      <c r="R19" s="366" t="n"/>
      <c r="S19" s="366" t="n"/>
      <c r="T19" s="366" t="n"/>
      <c r="U19" s="366" t="n"/>
      <c r="V19" s="366" t="n"/>
      <c r="W19" s="366" t="n"/>
      <c r="X19" s="366" t="n"/>
      <c r="Y19" s="366" t="n"/>
      <c r="Z19" s="366" t="n"/>
      <c r="AA19" s="48" t="n"/>
      <c r="AB19" s="48" t="n"/>
      <c r="AC19" s="48" t="n"/>
    </row>
    <row r="20" ht="16.5" customHeight="1">
      <c r="A20" s="324" t="inlineStr">
        <is>
          <t>Ядрена копоть</t>
        </is>
      </c>
      <c r="B20" s="319" t="n"/>
      <c r="C20" s="319" t="n"/>
      <c r="D20" s="319" t="n"/>
      <c r="E20" s="319" t="n"/>
      <c r="F20" s="319" t="n"/>
      <c r="G20" s="319" t="n"/>
      <c r="H20" s="319" t="n"/>
      <c r="I20" s="319" t="n"/>
      <c r="J20" s="319" t="n"/>
      <c r="K20" s="319" t="n"/>
      <c r="L20" s="319" t="n"/>
      <c r="M20" s="319" t="n"/>
      <c r="N20" s="319" t="n"/>
      <c r="O20" s="319" t="n"/>
      <c r="P20" s="319" t="n"/>
      <c r="Q20" s="319" t="n"/>
      <c r="R20" s="319" t="n"/>
      <c r="S20" s="319" t="n"/>
      <c r="T20" s="319" t="n"/>
      <c r="U20" s="319" t="n"/>
      <c r="V20" s="319" t="n"/>
      <c r="W20" s="319" t="n"/>
      <c r="X20" s="319" t="n"/>
      <c r="Y20" s="319" t="n"/>
      <c r="Z20" s="319" t="n"/>
      <c r="AA20" s="324" t="n"/>
      <c r="AB20" s="324" t="n"/>
      <c r="AC20" s="324" t="n"/>
    </row>
    <row r="21" ht="14.25" customHeight="1">
      <c r="A21" s="329" t="inlineStr">
        <is>
          <t>Пельмени</t>
        </is>
      </c>
      <c r="B21" s="319" t="n"/>
      <c r="C21" s="319" t="n"/>
      <c r="D21" s="319" t="n"/>
      <c r="E21" s="319" t="n"/>
      <c r="F21" s="319" t="n"/>
      <c r="G21" s="319" t="n"/>
      <c r="H21" s="319" t="n"/>
      <c r="I21" s="319" t="n"/>
      <c r="J21" s="319" t="n"/>
      <c r="K21" s="319" t="n"/>
      <c r="L21" s="319" t="n"/>
      <c r="M21" s="319" t="n"/>
      <c r="N21" s="319" t="n"/>
      <c r="O21" s="319" t="n"/>
      <c r="P21" s="319" t="n"/>
      <c r="Q21" s="319" t="n"/>
      <c r="R21" s="319" t="n"/>
      <c r="S21" s="319" t="n"/>
      <c r="T21" s="319" t="n"/>
      <c r="U21" s="319" t="n"/>
      <c r="V21" s="319" t="n"/>
      <c r="W21" s="319" t="n"/>
      <c r="X21" s="319" t="n"/>
      <c r="Y21" s="319" t="n"/>
      <c r="Z21" s="319" t="n"/>
      <c r="AA21" s="329" t="n"/>
      <c r="AB21" s="329" t="n"/>
      <c r="AC21" s="329" t="n"/>
    </row>
    <row r="22" ht="27" customHeight="1">
      <c r="A22" s="53" t="inlineStr">
        <is>
          <t>SU002224</t>
        </is>
      </c>
      <c r="B22" s="53" t="inlineStr">
        <is>
          <t>P002928</t>
        </is>
      </c>
      <c r="C22" s="31" t="n">
        <v>4301070899</v>
      </c>
      <c r="D22" s="316" t="n">
        <v>4607111035752</v>
      </c>
      <c r="E22" s="317" t="n"/>
      <c r="F22" s="305" t="n">
        <v>0.43</v>
      </c>
      <c r="G22" s="32" t="n">
        <v>16</v>
      </c>
      <c r="H22" s="305" t="n">
        <v>6.88</v>
      </c>
      <c r="I22" s="305" t="n">
        <v>7.254</v>
      </c>
      <c r="J22" s="32" t="n">
        <v>84</v>
      </c>
      <c r="K22" s="32" t="inlineStr">
        <is>
          <t>12</t>
        </is>
      </c>
      <c r="L22" s="32" t="inlineStr">
        <is>
          <t>Короб, мин. 1</t>
        </is>
      </c>
      <c r="M22" s="33" t="inlineStr">
        <is>
          <t>МГ</t>
        </is>
      </c>
      <c r="N22" s="33" t="n"/>
      <c r="O22" s="32" t="n">
        <v>180</v>
      </c>
      <c r="P22" s="449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/>
      </c>
      <c r="Q22" s="313" t="n"/>
      <c r="R22" s="313" t="n"/>
      <c r="S22" s="313" t="n"/>
      <c r="T22" s="314" t="n"/>
      <c r="U22" s="34" t="n"/>
      <c r="V22" s="34" t="n"/>
      <c r="W22" s="35" t="inlineStr">
        <is>
          <t>кор</t>
        </is>
      </c>
      <c r="X22" s="306" t="n">
        <v>0</v>
      </c>
      <c r="Y22" s="307">
        <f>IFERROR(IF(X22="","",X22),"")</f>
        <v/>
      </c>
      <c r="Z22" s="36">
        <f>IFERROR(IF(X22="","",X22*0.0155),"")</f>
        <v/>
      </c>
      <c r="AA22" s="55" t="n"/>
      <c r="AB22" s="56" t="n"/>
      <c r="AC22" s="70" t="inlineStr">
        <is>
          <t>ЕАЭС N RU Д-RU.РА01.В.80841/20</t>
        </is>
      </c>
      <c r="AG22" s="66" t="n"/>
      <c r="AJ22" s="69" t="inlineStr">
        <is>
          <t>Короб</t>
        </is>
      </c>
      <c r="AK22" s="69" t="n">
        <v>1</v>
      </c>
      <c r="BB22" s="71" t="inlineStr">
        <is>
          <t>ЗПФ</t>
        </is>
      </c>
      <c r="BM22" s="66">
        <f>IFERROR(X22*I22,"0")</f>
        <v/>
      </c>
      <c r="BN22" s="66">
        <f>IFERROR(Y22*I22,"0")</f>
        <v/>
      </c>
      <c r="BO22" s="66">
        <f>IFERROR(X22/J22,"0")</f>
        <v/>
      </c>
      <c r="BP22" s="66">
        <f>IFERROR(Y22/J22,"0")</f>
        <v/>
      </c>
    </row>
    <row r="23">
      <c r="A23" s="318" t="n"/>
      <c r="B23" s="319" t="n"/>
      <c r="C23" s="319" t="n"/>
      <c r="D23" s="319" t="n"/>
      <c r="E23" s="319" t="n"/>
      <c r="F23" s="319" t="n"/>
      <c r="G23" s="319" t="n"/>
      <c r="H23" s="319" t="n"/>
      <c r="I23" s="319" t="n"/>
      <c r="J23" s="319" t="n"/>
      <c r="K23" s="319" t="n"/>
      <c r="L23" s="319" t="n"/>
      <c r="M23" s="319" t="n"/>
      <c r="N23" s="319" t="n"/>
      <c r="O23" s="320" t="n"/>
      <c r="P23" s="321" t="inlineStr">
        <is>
          <t>Итого</t>
        </is>
      </c>
      <c r="Q23" s="322" t="n"/>
      <c r="R23" s="322" t="n"/>
      <c r="S23" s="322" t="n"/>
      <c r="T23" s="322" t="n"/>
      <c r="U23" s="322" t="n"/>
      <c r="V23" s="323" t="n"/>
      <c r="W23" s="37" t="inlineStr">
        <is>
          <t>кор</t>
        </is>
      </c>
      <c r="X23" s="308">
        <f>IFERROR(SUM(X22:X22),"0")</f>
        <v/>
      </c>
      <c r="Y23" s="308">
        <f>IFERROR(SUM(Y22:Y22),"0")</f>
        <v/>
      </c>
      <c r="Z23" s="308">
        <f>IFERROR(IF(Z22="",0,Z22),"0")</f>
        <v/>
      </c>
      <c r="AA23" s="309" t="n"/>
      <c r="AB23" s="309" t="n"/>
      <c r="AC23" s="309" t="n"/>
    </row>
    <row r="24">
      <c r="A24" s="319" t="n"/>
      <c r="B24" s="319" t="n"/>
      <c r="C24" s="319" t="n"/>
      <c r="D24" s="319" t="n"/>
      <c r="E24" s="319" t="n"/>
      <c r="F24" s="319" t="n"/>
      <c r="G24" s="319" t="n"/>
      <c r="H24" s="319" t="n"/>
      <c r="I24" s="319" t="n"/>
      <c r="J24" s="319" t="n"/>
      <c r="K24" s="319" t="n"/>
      <c r="L24" s="319" t="n"/>
      <c r="M24" s="319" t="n"/>
      <c r="N24" s="319" t="n"/>
      <c r="O24" s="320" t="n"/>
      <c r="P24" s="321" t="inlineStr">
        <is>
          <t>Итого</t>
        </is>
      </c>
      <c r="Q24" s="322" t="n"/>
      <c r="R24" s="322" t="n"/>
      <c r="S24" s="322" t="n"/>
      <c r="T24" s="322" t="n"/>
      <c r="U24" s="322" t="n"/>
      <c r="V24" s="323" t="n"/>
      <c r="W24" s="37" t="inlineStr">
        <is>
          <t>кг</t>
        </is>
      </c>
      <c r="X24" s="308">
        <f>IFERROR(SUMPRODUCT(X22:X22*H22:H22),"0")</f>
        <v/>
      </c>
      <c r="Y24" s="308">
        <f>IFERROR(SUMPRODUCT(Y22:Y22*H22:H22),"0")</f>
        <v/>
      </c>
      <c r="Z24" s="37" t="n"/>
      <c r="AA24" s="309" t="n"/>
      <c r="AB24" s="309" t="n"/>
      <c r="AC24" s="309" t="n"/>
    </row>
    <row r="25" ht="27.75" customHeight="1">
      <c r="A25" s="365" t="inlineStr">
        <is>
          <t>Горячая штучка</t>
        </is>
      </c>
      <c r="B25" s="366" t="n"/>
      <c r="C25" s="366" t="n"/>
      <c r="D25" s="366" t="n"/>
      <c r="E25" s="366" t="n"/>
      <c r="F25" s="366" t="n"/>
      <c r="G25" s="366" t="n"/>
      <c r="H25" s="366" t="n"/>
      <c r="I25" s="366" t="n"/>
      <c r="J25" s="366" t="n"/>
      <c r="K25" s="366" t="n"/>
      <c r="L25" s="366" t="n"/>
      <c r="M25" s="366" t="n"/>
      <c r="N25" s="366" t="n"/>
      <c r="O25" s="366" t="n"/>
      <c r="P25" s="366" t="n"/>
      <c r="Q25" s="366" t="n"/>
      <c r="R25" s="366" t="n"/>
      <c r="S25" s="366" t="n"/>
      <c r="T25" s="366" t="n"/>
      <c r="U25" s="366" t="n"/>
      <c r="V25" s="366" t="n"/>
      <c r="W25" s="366" t="n"/>
      <c r="X25" s="366" t="n"/>
      <c r="Y25" s="366" t="n"/>
      <c r="Z25" s="366" t="n"/>
      <c r="AA25" s="48" t="n"/>
      <c r="AB25" s="48" t="n"/>
      <c r="AC25" s="48" t="n"/>
    </row>
    <row r="26" ht="16.5" customHeight="1">
      <c r="A26" s="324" t="inlineStr">
        <is>
          <t>Наггетсы ГШ</t>
        </is>
      </c>
      <c r="B26" s="319" t="n"/>
      <c r="C26" s="319" t="n"/>
      <c r="D26" s="319" t="n"/>
      <c r="E26" s="319" t="n"/>
      <c r="F26" s="319" t="n"/>
      <c r="G26" s="319" t="n"/>
      <c r="H26" s="319" t="n"/>
      <c r="I26" s="319" t="n"/>
      <c r="J26" s="319" t="n"/>
      <c r="K26" s="319" t="n"/>
      <c r="L26" s="319" t="n"/>
      <c r="M26" s="319" t="n"/>
      <c r="N26" s="319" t="n"/>
      <c r="O26" s="319" t="n"/>
      <c r="P26" s="319" t="n"/>
      <c r="Q26" s="319" t="n"/>
      <c r="R26" s="319" t="n"/>
      <c r="S26" s="319" t="n"/>
      <c r="T26" s="319" t="n"/>
      <c r="U26" s="319" t="n"/>
      <c r="V26" s="319" t="n"/>
      <c r="W26" s="319" t="n"/>
      <c r="X26" s="319" t="n"/>
      <c r="Y26" s="319" t="n"/>
      <c r="Z26" s="319" t="n"/>
      <c r="AA26" s="324" t="n"/>
      <c r="AB26" s="324" t="n"/>
      <c r="AC26" s="324" t="n"/>
    </row>
    <row r="27" ht="14.25" customHeight="1">
      <c r="A27" s="329" t="inlineStr">
        <is>
          <t>Наггетсы</t>
        </is>
      </c>
      <c r="B27" s="319" t="n"/>
      <c r="C27" s="319" t="n"/>
      <c r="D27" s="319" t="n"/>
      <c r="E27" s="319" t="n"/>
      <c r="F27" s="319" t="n"/>
      <c r="G27" s="319" t="n"/>
      <c r="H27" s="319" t="n"/>
      <c r="I27" s="319" t="n"/>
      <c r="J27" s="319" t="n"/>
      <c r="K27" s="319" t="n"/>
      <c r="L27" s="319" t="n"/>
      <c r="M27" s="319" t="n"/>
      <c r="N27" s="319" t="n"/>
      <c r="O27" s="319" t="n"/>
      <c r="P27" s="319" t="n"/>
      <c r="Q27" s="319" t="n"/>
      <c r="R27" s="319" t="n"/>
      <c r="S27" s="319" t="n"/>
      <c r="T27" s="319" t="n"/>
      <c r="U27" s="319" t="n"/>
      <c r="V27" s="319" t="n"/>
      <c r="W27" s="319" t="n"/>
      <c r="X27" s="319" t="n"/>
      <c r="Y27" s="319" t="n"/>
      <c r="Z27" s="319" t="n"/>
      <c r="AA27" s="329" t="n"/>
      <c r="AB27" s="329" t="n"/>
      <c r="AC27" s="329" t="n"/>
    </row>
    <row r="28" ht="27" customHeight="1">
      <c r="A28" s="53" t="inlineStr">
        <is>
          <t>SU003598</t>
        </is>
      </c>
      <c r="B28" s="53" t="inlineStr">
        <is>
          <t>P004602</t>
        </is>
      </c>
      <c r="C28" s="31" t="n">
        <v>4301132190</v>
      </c>
      <c r="D28" s="316" t="n">
        <v>4607111036537</v>
      </c>
      <c r="E28" s="317" t="n"/>
      <c r="F28" s="305" t="n">
        <v>0.25</v>
      </c>
      <c r="G28" s="32" t="n">
        <v>6</v>
      </c>
      <c r="H28" s="305" t="n">
        <v>1.5</v>
      </c>
      <c r="I28" s="305" t="n">
        <v>1.9218</v>
      </c>
      <c r="J28" s="32" t="n">
        <v>140</v>
      </c>
      <c r="K28" s="32" t="inlineStr">
        <is>
          <t>14</t>
        </is>
      </c>
      <c r="L28" s="32" t="inlineStr">
        <is>
          <t>Короб, мин. 1</t>
        </is>
      </c>
      <c r="M28" s="33" t="inlineStr">
        <is>
          <t>МГ</t>
        </is>
      </c>
      <c r="N28" s="33" t="n"/>
      <c r="O28" s="32" t="n">
        <v>365</v>
      </c>
      <c r="P28" s="334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/>
      </c>
      <c r="Q28" s="313" t="n"/>
      <c r="R28" s="313" t="n"/>
      <c r="S28" s="313" t="n"/>
      <c r="T28" s="314" t="n"/>
      <c r="U28" s="34" t="n"/>
      <c r="V28" s="34" t="n"/>
      <c r="W28" s="35" t="inlineStr">
        <is>
          <t>кор</t>
        </is>
      </c>
      <c r="X28" s="306" t="n">
        <v>0</v>
      </c>
      <c r="Y28" s="307">
        <f>IFERROR(IF(X28="","",X28),"")</f>
        <v/>
      </c>
      <c r="Z28" s="36">
        <f>IFERROR(IF(X28="","",X28*0.00941),"")</f>
        <v/>
      </c>
      <c r="AA28" s="55" t="n"/>
      <c r="AB28" s="56" t="n"/>
      <c r="AC28" s="72" t="inlineStr">
        <is>
          <t>ЕАЭС N RU Д-RU.РА10.В.22386/23</t>
        </is>
      </c>
      <c r="AG28" s="66" t="n"/>
      <c r="AJ28" s="69" t="inlineStr">
        <is>
          <t>Короб</t>
        </is>
      </c>
      <c r="AK28" s="69" t="n">
        <v>1</v>
      </c>
      <c r="BB28" s="73" t="inlineStr">
        <is>
          <t>ПГП</t>
        </is>
      </c>
      <c r="BM28" s="66">
        <f>IFERROR(X28*I28,"0")</f>
        <v/>
      </c>
      <c r="BN28" s="66">
        <f>IFERROR(Y28*I28,"0")</f>
        <v/>
      </c>
      <c r="BO28" s="66">
        <f>IFERROR(X28/J28,"0")</f>
        <v/>
      </c>
      <c r="BP28" s="66">
        <f>IFERROR(Y28/J28,"0")</f>
        <v/>
      </c>
    </row>
    <row r="29" ht="27" customHeight="1">
      <c r="A29" s="53" t="inlineStr">
        <is>
          <t>SU003600</t>
        </is>
      </c>
      <c r="B29" s="53" t="inlineStr">
        <is>
          <t>P004600</t>
        </is>
      </c>
      <c r="C29" s="31" t="n">
        <v>4301132188</v>
      </c>
      <c r="D29" s="316" t="n">
        <v>4607111036605</v>
      </c>
      <c r="E29" s="317" t="n"/>
      <c r="F29" s="305" t="n">
        <v>0.25</v>
      </c>
      <c r="G29" s="32" t="n">
        <v>6</v>
      </c>
      <c r="H29" s="305" t="n">
        <v>1.5</v>
      </c>
      <c r="I29" s="305" t="n">
        <v>1.9218</v>
      </c>
      <c r="J29" s="32" t="n">
        <v>140</v>
      </c>
      <c r="K29" s="32" t="inlineStr">
        <is>
          <t>14</t>
        </is>
      </c>
      <c r="L29" s="32" t="inlineStr">
        <is>
          <t>Короб, мин. 1</t>
        </is>
      </c>
      <c r="M29" s="33" t="inlineStr">
        <is>
          <t>МГ</t>
        </is>
      </c>
      <c r="N29" s="33" t="n"/>
      <c r="O29" s="32" t="n">
        <v>365</v>
      </c>
      <c r="P29" s="351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/>
      </c>
      <c r="Q29" s="313" t="n"/>
      <c r="R29" s="313" t="n"/>
      <c r="S29" s="313" t="n"/>
      <c r="T29" s="314" t="n"/>
      <c r="U29" s="34" t="n"/>
      <c r="V29" s="34" t="n"/>
      <c r="W29" s="35" t="inlineStr">
        <is>
          <t>кор</t>
        </is>
      </c>
      <c r="X29" s="306" t="n">
        <v>0</v>
      </c>
      <c r="Y29" s="307">
        <f>IFERROR(IF(X29="","",X29),"")</f>
        <v/>
      </c>
      <c r="Z29" s="36">
        <f>IFERROR(IF(X29="","",X29*0.00941),"")</f>
        <v/>
      </c>
      <c r="AA29" s="55" t="n"/>
      <c r="AB29" s="56" t="n"/>
      <c r="AC29" s="74" t="inlineStr">
        <is>
          <t>ЕАЭС N RU Д-RU.РА10.В.22386/23</t>
        </is>
      </c>
      <c r="AG29" s="66" t="n"/>
      <c r="AJ29" s="69" t="inlineStr">
        <is>
          <t>Короб</t>
        </is>
      </c>
      <c r="AK29" s="69" t="n">
        <v>1</v>
      </c>
      <c r="BB29" s="75" t="inlineStr">
        <is>
          <t>ПГП</t>
        </is>
      </c>
      <c r="BM29" s="66">
        <f>IFERROR(X29*I29,"0")</f>
        <v/>
      </c>
      <c r="BN29" s="66">
        <f>IFERROR(Y29*I29,"0")</f>
        <v/>
      </c>
      <c r="BO29" s="66">
        <f>IFERROR(X29/J29,"0")</f>
        <v/>
      </c>
      <c r="BP29" s="66">
        <f>IFERROR(Y29/J29,"0")</f>
        <v/>
      </c>
    </row>
    <row r="30">
      <c r="A30" s="318" t="n"/>
      <c r="B30" s="319" t="n"/>
      <c r="C30" s="319" t="n"/>
      <c r="D30" s="319" t="n"/>
      <c r="E30" s="319" t="n"/>
      <c r="F30" s="319" t="n"/>
      <c r="G30" s="319" t="n"/>
      <c r="H30" s="319" t="n"/>
      <c r="I30" s="319" t="n"/>
      <c r="J30" s="319" t="n"/>
      <c r="K30" s="319" t="n"/>
      <c r="L30" s="319" t="n"/>
      <c r="M30" s="319" t="n"/>
      <c r="N30" s="319" t="n"/>
      <c r="O30" s="320" t="n"/>
      <c r="P30" s="321" t="inlineStr">
        <is>
          <t>Итого</t>
        </is>
      </c>
      <c r="Q30" s="322" t="n"/>
      <c r="R30" s="322" t="n"/>
      <c r="S30" s="322" t="n"/>
      <c r="T30" s="322" t="n"/>
      <c r="U30" s="322" t="n"/>
      <c r="V30" s="323" t="n"/>
      <c r="W30" s="37" t="inlineStr">
        <is>
          <t>кор</t>
        </is>
      </c>
      <c r="X30" s="308">
        <f>IFERROR(SUM(X28:X29),"0")</f>
        <v/>
      </c>
      <c r="Y30" s="308">
        <f>IFERROR(SUM(Y28:Y29),"0")</f>
        <v/>
      </c>
      <c r="Z30" s="308">
        <f>IFERROR(IF(Z28="",0,Z28),"0")+IFERROR(IF(Z29="",0,Z29),"0")</f>
        <v/>
      </c>
      <c r="AA30" s="309" t="n"/>
      <c r="AB30" s="309" t="n"/>
      <c r="AC30" s="309" t="n"/>
    </row>
    <row r="31">
      <c r="A31" s="319" t="n"/>
      <c r="B31" s="319" t="n"/>
      <c r="C31" s="319" t="n"/>
      <c r="D31" s="319" t="n"/>
      <c r="E31" s="319" t="n"/>
      <c r="F31" s="319" t="n"/>
      <c r="G31" s="319" t="n"/>
      <c r="H31" s="319" t="n"/>
      <c r="I31" s="319" t="n"/>
      <c r="J31" s="319" t="n"/>
      <c r="K31" s="319" t="n"/>
      <c r="L31" s="319" t="n"/>
      <c r="M31" s="319" t="n"/>
      <c r="N31" s="319" t="n"/>
      <c r="O31" s="320" t="n"/>
      <c r="P31" s="321" t="inlineStr">
        <is>
          <t>Итого</t>
        </is>
      </c>
      <c r="Q31" s="322" t="n"/>
      <c r="R31" s="322" t="n"/>
      <c r="S31" s="322" t="n"/>
      <c r="T31" s="322" t="n"/>
      <c r="U31" s="322" t="n"/>
      <c r="V31" s="323" t="n"/>
      <c r="W31" s="37" t="inlineStr">
        <is>
          <t>кг</t>
        </is>
      </c>
      <c r="X31" s="308">
        <f>IFERROR(SUMPRODUCT(X28:X29*H28:H29),"0")</f>
        <v/>
      </c>
      <c r="Y31" s="308">
        <f>IFERROR(SUMPRODUCT(Y28:Y29*H28:H29),"0")</f>
        <v/>
      </c>
      <c r="Z31" s="37" t="n"/>
      <c r="AA31" s="309" t="n"/>
      <c r="AB31" s="309" t="n"/>
      <c r="AC31" s="309" t="n"/>
    </row>
    <row r="32" ht="16.5" customHeight="1">
      <c r="A32" s="324" t="inlineStr">
        <is>
          <t>Grandmeni</t>
        </is>
      </c>
      <c r="B32" s="319" t="n"/>
      <c r="C32" s="319" t="n"/>
      <c r="D32" s="319" t="n"/>
      <c r="E32" s="319" t="n"/>
      <c r="F32" s="319" t="n"/>
      <c r="G32" s="319" t="n"/>
      <c r="H32" s="319" t="n"/>
      <c r="I32" s="319" t="n"/>
      <c r="J32" s="319" t="n"/>
      <c r="K32" s="319" t="n"/>
      <c r="L32" s="319" t="n"/>
      <c r="M32" s="319" t="n"/>
      <c r="N32" s="319" t="n"/>
      <c r="O32" s="319" t="n"/>
      <c r="P32" s="319" t="n"/>
      <c r="Q32" s="319" t="n"/>
      <c r="R32" s="319" t="n"/>
      <c r="S32" s="319" t="n"/>
      <c r="T32" s="319" t="n"/>
      <c r="U32" s="319" t="n"/>
      <c r="V32" s="319" t="n"/>
      <c r="W32" s="319" t="n"/>
      <c r="X32" s="319" t="n"/>
      <c r="Y32" s="319" t="n"/>
      <c r="Z32" s="319" t="n"/>
      <c r="AA32" s="324" t="n"/>
      <c r="AB32" s="324" t="n"/>
      <c r="AC32" s="324" t="n"/>
    </row>
    <row r="33" ht="14.25" customHeight="1">
      <c r="A33" s="329" t="inlineStr">
        <is>
          <t>Пельмени</t>
        </is>
      </c>
      <c r="B33" s="319" t="n"/>
      <c r="C33" s="319" t="n"/>
      <c r="D33" s="319" t="n"/>
      <c r="E33" s="319" t="n"/>
      <c r="F33" s="319" t="n"/>
      <c r="G33" s="319" t="n"/>
      <c r="H33" s="319" t="n"/>
      <c r="I33" s="319" t="n"/>
      <c r="J33" s="319" t="n"/>
      <c r="K33" s="319" t="n"/>
      <c r="L33" s="319" t="n"/>
      <c r="M33" s="319" t="n"/>
      <c r="N33" s="319" t="n"/>
      <c r="O33" s="319" t="n"/>
      <c r="P33" s="319" t="n"/>
      <c r="Q33" s="319" t="n"/>
      <c r="R33" s="319" t="n"/>
      <c r="S33" s="319" t="n"/>
      <c r="T33" s="319" t="n"/>
      <c r="U33" s="319" t="n"/>
      <c r="V33" s="319" t="n"/>
      <c r="W33" s="319" t="n"/>
      <c r="X33" s="319" t="n"/>
      <c r="Y33" s="319" t="n"/>
      <c r="Z33" s="319" t="n"/>
      <c r="AA33" s="329" t="n"/>
      <c r="AB33" s="329" t="n"/>
      <c r="AC33" s="329" t="n"/>
    </row>
    <row r="34" ht="27" customHeight="1">
      <c r="A34" s="53" t="inlineStr">
        <is>
          <t>SU003826</t>
        </is>
      </c>
      <c r="B34" s="53" t="inlineStr">
        <is>
          <t>P004887</t>
        </is>
      </c>
      <c r="C34" s="31" t="n">
        <v>4301071090</v>
      </c>
      <c r="D34" s="316" t="n">
        <v>4620207490075</v>
      </c>
      <c r="E34" s="317" t="n"/>
      <c r="F34" s="305" t="n">
        <v>0.7</v>
      </c>
      <c r="G34" s="32" t="n">
        <v>8</v>
      </c>
      <c r="H34" s="305" t="n">
        <v>5.6</v>
      </c>
      <c r="I34" s="305" t="n">
        <v>5.87</v>
      </c>
      <c r="J34" s="32" t="n">
        <v>84</v>
      </c>
      <c r="K34" s="32" t="inlineStr">
        <is>
          <t>12</t>
        </is>
      </c>
      <c r="L34" s="32" t="inlineStr">
        <is>
          <t>Короб, мин. 1</t>
        </is>
      </c>
      <c r="M34" s="33" t="inlineStr">
        <is>
          <t>МГ</t>
        </is>
      </c>
      <c r="N34" s="33" t="n"/>
      <c r="O34" s="32" t="n">
        <v>180</v>
      </c>
      <c r="P34" s="472">
        <f>HYPERLINK("https://abi.ru/products/Замороженные/Горячая штучка/Grandmeni/Пельмени/P004887/","Пельмени «Grandmeni с говядиной» Фикс.вес 0,7 сфера ТМ «Горячая штучка»")</f>
        <v/>
      </c>
      <c r="Q34" s="313" t="n"/>
      <c r="R34" s="313" t="n"/>
      <c r="S34" s="313" t="n"/>
      <c r="T34" s="314" t="n"/>
      <c r="U34" s="34" t="n"/>
      <c r="V34" s="34" t="n"/>
      <c r="W34" s="35" t="inlineStr">
        <is>
          <t>кор</t>
        </is>
      </c>
      <c r="X34" s="306" t="n">
        <v>0</v>
      </c>
      <c r="Y34" s="307">
        <f>IFERROR(IF(X34="","",X34),"")</f>
        <v/>
      </c>
      <c r="Z34" s="36">
        <f>IFERROR(IF(X34="","",X34*0.0155),"")</f>
        <v/>
      </c>
      <c r="AA34" s="55" t="n"/>
      <c r="AB34" s="56" t="n"/>
      <c r="AC34" s="76" t="inlineStr">
        <is>
          <t>ЕАЭС N RU Д-RU.РА05.В.25234/24</t>
        </is>
      </c>
      <c r="AG34" s="66" t="n"/>
      <c r="AJ34" s="69" t="inlineStr">
        <is>
          <t>Короб</t>
        </is>
      </c>
      <c r="AK34" s="69" t="n">
        <v>1</v>
      </c>
      <c r="BB34" s="77" t="inlineStr">
        <is>
          <t>ЗПФ</t>
        </is>
      </c>
      <c r="BM34" s="66">
        <f>IFERROR(X34*I34,"0")</f>
        <v/>
      </c>
      <c r="BN34" s="66">
        <f>IFERROR(Y34*I34,"0")</f>
        <v/>
      </c>
      <c r="BO34" s="66">
        <f>IFERROR(X34/J34,"0")</f>
        <v/>
      </c>
      <c r="BP34" s="66">
        <f>IFERROR(Y34/J34,"0")</f>
        <v/>
      </c>
    </row>
    <row r="35" ht="27" customHeight="1">
      <c r="A35" s="53" t="inlineStr">
        <is>
          <t>SU003828</t>
        </is>
      </c>
      <c r="B35" s="53" t="inlineStr">
        <is>
          <t>P004889</t>
        </is>
      </c>
      <c r="C35" s="31" t="n">
        <v>4301071092</v>
      </c>
      <c r="D35" s="316" t="n">
        <v>4620207490174</v>
      </c>
      <c r="E35" s="317" t="n"/>
      <c r="F35" s="305" t="n">
        <v>0.7</v>
      </c>
      <c r="G35" s="32" t="n">
        <v>8</v>
      </c>
      <c r="H35" s="305" t="n">
        <v>5.6</v>
      </c>
      <c r="I35" s="305" t="n">
        <v>5.87</v>
      </c>
      <c r="J35" s="32" t="n">
        <v>84</v>
      </c>
      <c r="K35" s="32" t="inlineStr">
        <is>
          <t>12</t>
        </is>
      </c>
      <c r="L35" s="32" t="inlineStr">
        <is>
          <t>Короб, мин. 1</t>
        </is>
      </c>
      <c r="M35" s="33" t="inlineStr">
        <is>
          <t>МГ</t>
        </is>
      </c>
      <c r="N35" s="33" t="n"/>
      <c r="O35" s="32" t="n">
        <v>180</v>
      </c>
      <c r="P35" s="460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/>
      </c>
      <c r="Q35" s="313" t="n"/>
      <c r="R35" s="313" t="n"/>
      <c r="S35" s="313" t="n"/>
      <c r="T35" s="314" t="n"/>
      <c r="U35" s="34" t="n"/>
      <c r="V35" s="34" t="n"/>
      <c r="W35" s="35" t="inlineStr">
        <is>
          <t>кор</t>
        </is>
      </c>
      <c r="X35" s="306" t="n">
        <v>0</v>
      </c>
      <c r="Y35" s="307">
        <f>IFERROR(IF(X35="","",X35),"")</f>
        <v/>
      </c>
      <c r="Z35" s="36">
        <f>IFERROR(IF(X35="","",X35*0.0155),"")</f>
        <v/>
      </c>
      <c r="AA35" s="55" t="n"/>
      <c r="AB35" s="56" t="n"/>
      <c r="AC35" s="78" t="inlineStr">
        <is>
          <t>ЕАЭС N RU Д-RU.РА05.В.16662/24</t>
        </is>
      </c>
      <c r="AG35" s="66" t="n"/>
      <c r="AJ35" s="69" t="inlineStr">
        <is>
          <t>Короб</t>
        </is>
      </c>
      <c r="AK35" s="69" t="n">
        <v>1</v>
      </c>
      <c r="BB35" s="79" t="inlineStr">
        <is>
          <t>ЗПФ</t>
        </is>
      </c>
      <c r="BM35" s="66">
        <f>IFERROR(X35*I35,"0")</f>
        <v/>
      </c>
      <c r="BN35" s="66">
        <f>IFERROR(Y35*I35,"0")</f>
        <v/>
      </c>
      <c r="BO35" s="66">
        <f>IFERROR(X35/J35,"0")</f>
        <v/>
      </c>
      <c r="BP35" s="66">
        <f>IFERROR(Y35/J35,"0")</f>
        <v/>
      </c>
    </row>
    <row r="36" ht="27" customHeight="1">
      <c r="A36" s="53" t="inlineStr">
        <is>
          <t>SU003827</t>
        </is>
      </c>
      <c r="B36" s="53" t="inlineStr">
        <is>
          <t>P004888</t>
        </is>
      </c>
      <c r="C36" s="31" t="n">
        <v>4301071091</v>
      </c>
      <c r="D36" s="316" t="n">
        <v>4620207490044</v>
      </c>
      <c r="E36" s="317" t="n"/>
      <c r="F36" s="305" t="n">
        <v>0.7</v>
      </c>
      <c r="G36" s="32" t="n">
        <v>8</v>
      </c>
      <c r="H36" s="305" t="n">
        <v>5.6</v>
      </c>
      <c r="I36" s="305" t="n">
        <v>5.87</v>
      </c>
      <c r="J36" s="32" t="n">
        <v>84</v>
      </c>
      <c r="K36" s="32" t="inlineStr">
        <is>
          <t>12</t>
        </is>
      </c>
      <c r="L36" s="32" t="inlineStr">
        <is>
          <t>Короб, мин. 1</t>
        </is>
      </c>
      <c r="M36" s="33" t="inlineStr">
        <is>
          <t>МГ</t>
        </is>
      </c>
      <c r="N36" s="33" t="n"/>
      <c r="O36" s="32" t="n">
        <v>180</v>
      </c>
      <c r="P36" s="476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/>
      </c>
      <c r="Q36" s="313" t="n"/>
      <c r="R36" s="313" t="n"/>
      <c r="S36" s="313" t="n"/>
      <c r="T36" s="314" t="n"/>
      <c r="U36" s="34" t="n"/>
      <c r="V36" s="34" t="n"/>
      <c r="W36" s="35" t="inlineStr">
        <is>
          <t>кор</t>
        </is>
      </c>
      <c r="X36" s="306" t="n">
        <v>0</v>
      </c>
      <c r="Y36" s="307">
        <f>IFERROR(IF(X36="","",X36),"")</f>
        <v/>
      </c>
      <c r="Z36" s="36">
        <f>IFERROR(IF(X36="","",X36*0.0155),"")</f>
        <v/>
      </c>
      <c r="AA36" s="55" t="n"/>
      <c r="AB36" s="56" t="n"/>
      <c r="AC36" s="80" t="inlineStr">
        <is>
          <t>ЕАЭС N RU Д-RU.РА05.В.39960/24</t>
        </is>
      </c>
      <c r="AG36" s="66" t="n"/>
      <c r="AJ36" s="69" t="inlineStr">
        <is>
          <t>Короб</t>
        </is>
      </c>
      <c r="AK36" s="69" t="n">
        <v>1</v>
      </c>
      <c r="BB36" s="81" t="inlineStr">
        <is>
          <t>ЗПФ</t>
        </is>
      </c>
      <c r="BM36" s="66">
        <f>IFERROR(X36*I36,"0")</f>
        <v/>
      </c>
      <c r="BN36" s="66">
        <f>IFERROR(Y36*I36,"0")</f>
        <v/>
      </c>
      <c r="BO36" s="66">
        <f>IFERROR(X36/J36,"0")</f>
        <v/>
      </c>
      <c r="BP36" s="66">
        <f>IFERROR(Y36/J36,"0")</f>
        <v/>
      </c>
    </row>
    <row r="37">
      <c r="A37" s="318" t="n"/>
      <c r="B37" s="319" t="n"/>
      <c r="C37" s="319" t="n"/>
      <c r="D37" s="319" t="n"/>
      <c r="E37" s="319" t="n"/>
      <c r="F37" s="319" t="n"/>
      <c r="G37" s="319" t="n"/>
      <c r="H37" s="319" t="n"/>
      <c r="I37" s="319" t="n"/>
      <c r="J37" s="319" t="n"/>
      <c r="K37" s="319" t="n"/>
      <c r="L37" s="319" t="n"/>
      <c r="M37" s="319" t="n"/>
      <c r="N37" s="319" t="n"/>
      <c r="O37" s="320" t="n"/>
      <c r="P37" s="321" t="inlineStr">
        <is>
          <t>Итого</t>
        </is>
      </c>
      <c r="Q37" s="322" t="n"/>
      <c r="R37" s="322" t="n"/>
      <c r="S37" s="322" t="n"/>
      <c r="T37" s="322" t="n"/>
      <c r="U37" s="322" t="n"/>
      <c r="V37" s="323" t="n"/>
      <c r="W37" s="37" t="inlineStr">
        <is>
          <t>кор</t>
        </is>
      </c>
      <c r="X37" s="308">
        <f>IFERROR(SUM(X34:X36),"0")</f>
        <v/>
      </c>
      <c r="Y37" s="308">
        <f>IFERROR(SUM(Y34:Y36),"0")</f>
        <v/>
      </c>
      <c r="Z37" s="308">
        <f>IFERROR(IF(Z34="",0,Z34),"0")+IFERROR(IF(Z35="",0,Z35),"0")+IFERROR(IF(Z36="",0,Z36),"0")</f>
        <v/>
      </c>
      <c r="AA37" s="309" t="n"/>
      <c r="AB37" s="309" t="n"/>
      <c r="AC37" s="309" t="n"/>
    </row>
    <row r="38">
      <c r="A38" s="319" t="n"/>
      <c r="B38" s="319" t="n"/>
      <c r="C38" s="319" t="n"/>
      <c r="D38" s="319" t="n"/>
      <c r="E38" s="319" t="n"/>
      <c r="F38" s="319" t="n"/>
      <c r="G38" s="319" t="n"/>
      <c r="H38" s="319" t="n"/>
      <c r="I38" s="319" t="n"/>
      <c r="J38" s="319" t="n"/>
      <c r="K38" s="319" t="n"/>
      <c r="L38" s="319" t="n"/>
      <c r="M38" s="319" t="n"/>
      <c r="N38" s="319" t="n"/>
      <c r="O38" s="320" t="n"/>
      <c r="P38" s="321" t="inlineStr">
        <is>
          <t>Итого</t>
        </is>
      </c>
      <c r="Q38" s="322" t="n"/>
      <c r="R38" s="322" t="n"/>
      <c r="S38" s="322" t="n"/>
      <c r="T38" s="322" t="n"/>
      <c r="U38" s="322" t="n"/>
      <c r="V38" s="323" t="n"/>
      <c r="W38" s="37" t="inlineStr">
        <is>
          <t>кг</t>
        </is>
      </c>
      <c r="X38" s="308">
        <f>IFERROR(SUMPRODUCT(X34:X36*H34:H36),"0")</f>
        <v/>
      </c>
      <c r="Y38" s="308">
        <f>IFERROR(SUMPRODUCT(Y34:Y36*H34:H36),"0")</f>
        <v/>
      </c>
      <c r="Z38" s="37" t="n"/>
      <c r="AA38" s="309" t="n"/>
      <c r="AB38" s="309" t="n"/>
      <c r="AC38" s="309" t="n"/>
    </row>
    <row r="39" ht="16.5" customHeight="1">
      <c r="A39" s="324" t="inlineStr">
        <is>
          <t>Бигбули ГШ</t>
        </is>
      </c>
      <c r="B39" s="319" t="n"/>
      <c r="C39" s="319" t="n"/>
      <c r="D39" s="319" t="n"/>
      <c r="E39" s="319" t="n"/>
      <c r="F39" s="319" t="n"/>
      <c r="G39" s="319" t="n"/>
      <c r="H39" s="319" t="n"/>
      <c r="I39" s="319" t="n"/>
      <c r="J39" s="319" t="n"/>
      <c r="K39" s="319" t="n"/>
      <c r="L39" s="319" t="n"/>
      <c r="M39" s="319" t="n"/>
      <c r="N39" s="319" t="n"/>
      <c r="O39" s="319" t="n"/>
      <c r="P39" s="319" t="n"/>
      <c r="Q39" s="319" t="n"/>
      <c r="R39" s="319" t="n"/>
      <c r="S39" s="319" t="n"/>
      <c r="T39" s="319" t="n"/>
      <c r="U39" s="319" t="n"/>
      <c r="V39" s="319" t="n"/>
      <c r="W39" s="319" t="n"/>
      <c r="X39" s="319" t="n"/>
      <c r="Y39" s="319" t="n"/>
      <c r="Z39" s="319" t="n"/>
      <c r="AA39" s="324" t="n"/>
      <c r="AB39" s="324" t="n"/>
      <c r="AC39" s="324" t="n"/>
    </row>
    <row r="40" ht="14.25" customHeight="1">
      <c r="A40" s="329" t="inlineStr">
        <is>
          <t>Пельмени</t>
        </is>
      </c>
      <c r="B40" s="319" t="n"/>
      <c r="C40" s="319" t="n"/>
      <c r="D40" s="319" t="n"/>
      <c r="E40" s="319" t="n"/>
      <c r="F40" s="319" t="n"/>
      <c r="G40" s="319" t="n"/>
      <c r="H40" s="319" t="n"/>
      <c r="I40" s="319" t="n"/>
      <c r="J40" s="319" t="n"/>
      <c r="K40" s="319" t="n"/>
      <c r="L40" s="319" t="n"/>
      <c r="M40" s="319" t="n"/>
      <c r="N40" s="319" t="n"/>
      <c r="O40" s="319" t="n"/>
      <c r="P40" s="319" t="n"/>
      <c r="Q40" s="319" t="n"/>
      <c r="R40" s="319" t="n"/>
      <c r="S40" s="319" t="n"/>
      <c r="T40" s="319" t="n"/>
      <c r="U40" s="319" t="n"/>
      <c r="V40" s="319" t="n"/>
      <c r="W40" s="319" t="n"/>
      <c r="X40" s="319" t="n"/>
      <c r="Y40" s="319" t="n"/>
      <c r="Z40" s="319" t="n"/>
      <c r="AA40" s="329" t="n"/>
      <c r="AB40" s="329" t="n"/>
      <c r="AC40" s="329" t="n"/>
    </row>
    <row r="41" ht="27" customHeight="1">
      <c r="A41" s="53" t="inlineStr">
        <is>
          <t>SU003532</t>
        </is>
      </c>
      <c r="B41" s="53" t="inlineStr">
        <is>
          <t>P004440</t>
        </is>
      </c>
      <c r="C41" s="31" t="n">
        <v>4301071044</v>
      </c>
      <c r="D41" s="316" t="n">
        <v>4607111039385</v>
      </c>
      <c r="E41" s="317" t="n"/>
      <c r="F41" s="305" t="n">
        <v>0.7</v>
      </c>
      <c r="G41" s="32" t="n">
        <v>10</v>
      </c>
      <c r="H41" s="305" t="n">
        <v>7</v>
      </c>
      <c r="I41" s="305" t="n">
        <v>7.3</v>
      </c>
      <c r="J41" s="32" t="n">
        <v>84</v>
      </c>
      <c r="K41" s="32" t="inlineStr">
        <is>
          <t>12</t>
        </is>
      </c>
      <c r="L41" s="32" t="inlineStr">
        <is>
          <t>Короб, мин. 1</t>
        </is>
      </c>
      <c r="M41" s="33" t="inlineStr">
        <is>
          <t>МГ</t>
        </is>
      </c>
      <c r="N41" s="33" t="n"/>
      <c r="O41" s="32" t="n">
        <v>180</v>
      </c>
      <c r="P41" s="471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/>
      </c>
      <c r="Q41" s="313" t="n"/>
      <c r="R41" s="313" t="n"/>
      <c r="S41" s="313" t="n"/>
      <c r="T41" s="314" t="n"/>
      <c r="U41" s="34" t="n"/>
      <c r="V41" s="34" t="n"/>
      <c r="W41" s="35" t="inlineStr">
        <is>
          <t>кор</t>
        </is>
      </c>
      <c r="X41" s="306" t="n">
        <v>0</v>
      </c>
      <c r="Y41" s="307">
        <f>IFERROR(IF(X41="","",X41),"")</f>
        <v/>
      </c>
      <c r="Z41" s="36">
        <f>IFERROR(IF(X41="","",X41*0.0155),"")</f>
        <v/>
      </c>
      <c r="AA41" s="55" t="n"/>
      <c r="AB41" s="56" t="n"/>
      <c r="AC41" s="82" t="inlineStr">
        <is>
          <t>ЕАЭС N RU Д-RU.РА06.В.58287/22</t>
        </is>
      </c>
      <c r="AG41" s="66" t="n"/>
      <c r="AJ41" s="69" t="inlineStr">
        <is>
          <t>Короб</t>
        </is>
      </c>
      <c r="AK41" s="69" t="n">
        <v>1</v>
      </c>
      <c r="BB41" s="83" t="inlineStr">
        <is>
          <t>ЗПФ</t>
        </is>
      </c>
      <c r="BM41" s="66">
        <f>IFERROR(X41*I41,"0")</f>
        <v/>
      </c>
      <c r="BN41" s="66">
        <f>IFERROR(Y41*I41,"0")</f>
        <v/>
      </c>
      <c r="BO41" s="66">
        <f>IFERROR(X41/J41,"0")</f>
        <v/>
      </c>
      <c r="BP41" s="66">
        <f>IFERROR(Y41/J41,"0")</f>
        <v/>
      </c>
    </row>
    <row r="42" ht="27" customHeight="1">
      <c r="A42" s="53" t="inlineStr">
        <is>
          <t>SU003385</t>
        </is>
      </c>
      <c r="B42" s="53" t="inlineStr">
        <is>
          <t>P004203</t>
        </is>
      </c>
      <c r="C42" s="31" t="n">
        <v>4301071031</v>
      </c>
      <c r="D42" s="316" t="n">
        <v>4607111038982</v>
      </c>
      <c r="E42" s="317" t="n"/>
      <c r="F42" s="305" t="n">
        <v>0.7</v>
      </c>
      <c r="G42" s="32" t="n">
        <v>10</v>
      </c>
      <c r="H42" s="305" t="n">
        <v>7</v>
      </c>
      <c r="I42" s="305" t="n">
        <v>7.286</v>
      </c>
      <c r="J42" s="32" t="n">
        <v>84</v>
      </c>
      <c r="K42" s="32" t="inlineStr">
        <is>
          <t>12</t>
        </is>
      </c>
      <c r="L42" s="32" t="inlineStr">
        <is>
          <t>Короб, мин. 1</t>
        </is>
      </c>
      <c r="M42" s="33" t="inlineStr">
        <is>
          <t>МГ</t>
        </is>
      </c>
      <c r="N42" s="33" t="n"/>
      <c r="O42" s="32" t="n">
        <v>180</v>
      </c>
      <c r="P42" s="362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/>
      </c>
      <c r="Q42" s="313" t="n"/>
      <c r="R42" s="313" t="n"/>
      <c r="S42" s="313" t="n"/>
      <c r="T42" s="314" t="n"/>
      <c r="U42" s="34" t="n"/>
      <c r="V42" s="34" t="n"/>
      <c r="W42" s="35" t="inlineStr">
        <is>
          <t>кор</t>
        </is>
      </c>
      <c r="X42" s="306" t="n">
        <v>0</v>
      </c>
      <c r="Y42" s="307">
        <f>IFERROR(IF(X42="","",X42),"")</f>
        <v/>
      </c>
      <c r="Z42" s="36">
        <f>IFERROR(IF(X42="","",X42*0.0155),"")</f>
        <v/>
      </c>
      <c r="AA42" s="55" t="n"/>
      <c r="AB42" s="56" t="n"/>
      <c r="AC42" s="84" t="inlineStr">
        <is>
          <t>ЕАЭС N RU Д-RU.РА04.В.26948/22</t>
        </is>
      </c>
      <c r="AG42" s="66" t="n"/>
      <c r="AJ42" s="69" t="inlineStr">
        <is>
          <t>Короб</t>
        </is>
      </c>
      <c r="AK42" s="69" t="n">
        <v>1</v>
      </c>
      <c r="BB42" s="85" t="inlineStr">
        <is>
          <t>ЗПФ</t>
        </is>
      </c>
      <c r="BM42" s="66">
        <f>IFERROR(X42*I42,"0")</f>
        <v/>
      </c>
      <c r="BN42" s="66">
        <f>IFERROR(Y42*I42,"0")</f>
        <v/>
      </c>
      <c r="BO42" s="66">
        <f>IFERROR(X42/J42,"0")</f>
        <v/>
      </c>
      <c r="BP42" s="66">
        <f>IFERROR(Y42/J42,"0")</f>
        <v/>
      </c>
    </row>
    <row r="43" ht="27" customHeight="1">
      <c r="A43" s="53" t="inlineStr">
        <is>
          <t>SU003530</t>
        </is>
      </c>
      <c r="B43" s="53" t="inlineStr">
        <is>
          <t>P004443</t>
        </is>
      </c>
      <c r="C43" s="31" t="n">
        <v>4301071046</v>
      </c>
      <c r="D43" s="316" t="n">
        <v>4607111039354</v>
      </c>
      <c r="E43" s="317" t="n"/>
      <c r="F43" s="305" t="n">
        <v>0.4</v>
      </c>
      <c r="G43" s="32" t="n">
        <v>16</v>
      </c>
      <c r="H43" s="305" t="n">
        <v>6.4</v>
      </c>
      <c r="I43" s="305" t="n">
        <v>6.7196</v>
      </c>
      <c r="J43" s="32" t="n">
        <v>84</v>
      </c>
      <c r="K43" s="32" t="inlineStr">
        <is>
          <t>12</t>
        </is>
      </c>
      <c r="L43" s="32" t="inlineStr">
        <is>
          <t>Короб, мин. 1</t>
        </is>
      </c>
      <c r="M43" s="33" t="inlineStr">
        <is>
          <t>МГ</t>
        </is>
      </c>
      <c r="N43" s="33" t="n"/>
      <c r="O43" s="32" t="n">
        <v>180</v>
      </c>
      <c r="P43" s="412">
        <f>HYPERLINK("https://abi.ru/products/Замороженные/Горячая штучка/Бигбули ГШ/Пельмени/P004443/","Пельмени «Бигбули с мясом» 0,4 Сфера ТМ «Горячая штучка»")</f>
        <v/>
      </c>
      <c r="Q43" s="313" t="n"/>
      <c r="R43" s="313" t="n"/>
      <c r="S43" s="313" t="n"/>
      <c r="T43" s="314" t="n"/>
      <c r="U43" s="34" t="n"/>
      <c r="V43" s="34" t="n"/>
      <c r="W43" s="35" t="inlineStr">
        <is>
          <t>кор</t>
        </is>
      </c>
      <c r="X43" s="306" t="n">
        <v>0</v>
      </c>
      <c r="Y43" s="307">
        <f>IFERROR(IF(X43="","",X43),"")</f>
        <v/>
      </c>
      <c r="Z43" s="36">
        <f>IFERROR(IF(X43="","",X43*0.0155),"")</f>
        <v/>
      </c>
      <c r="AA43" s="55" t="n"/>
      <c r="AB43" s="56" t="n"/>
      <c r="AC43" s="86" t="inlineStr">
        <is>
          <t>ЕАЭС N RU Д-RU.РА04.В.26948/22</t>
        </is>
      </c>
      <c r="AG43" s="66" t="n"/>
      <c r="AJ43" s="69" t="inlineStr">
        <is>
          <t>Короб</t>
        </is>
      </c>
      <c r="AK43" s="69" t="n">
        <v>1</v>
      </c>
      <c r="BB43" s="87" t="inlineStr">
        <is>
          <t>ЗПФ</t>
        </is>
      </c>
      <c r="BM43" s="66">
        <f>IFERROR(X43*I43,"0")</f>
        <v/>
      </c>
      <c r="BN43" s="66">
        <f>IFERROR(Y43*I43,"0")</f>
        <v/>
      </c>
      <c r="BO43" s="66">
        <f>IFERROR(X43/J43,"0")</f>
        <v/>
      </c>
      <c r="BP43" s="66">
        <f>IFERROR(Y43/J43,"0")</f>
        <v/>
      </c>
    </row>
    <row r="44" ht="27" customHeight="1">
      <c r="A44" s="53" t="inlineStr">
        <is>
          <t>SU003529</t>
        </is>
      </c>
      <c r="B44" s="53" t="inlineStr">
        <is>
          <t>P004442</t>
        </is>
      </c>
      <c r="C44" s="31" t="n">
        <v>4301071047</v>
      </c>
      <c r="D44" s="316" t="n">
        <v>4607111039330</v>
      </c>
      <c r="E44" s="317" t="n"/>
      <c r="F44" s="305" t="n">
        <v>0.7</v>
      </c>
      <c r="G44" s="32" t="n">
        <v>10</v>
      </c>
      <c r="H44" s="305" t="n">
        <v>7</v>
      </c>
      <c r="I44" s="305" t="n">
        <v>7.3</v>
      </c>
      <c r="J44" s="32" t="n">
        <v>84</v>
      </c>
      <c r="K44" s="32" t="inlineStr">
        <is>
          <t>12</t>
        </is>
      </c>
      <c r="L44" s="32" t="inlineStr">
        <is>
          <t>Короб, мин. 1</t>
        </is>
      </c>
      <c r="M44" s="33" t="inlineStr">
        <is>
          <t>МГ</t>
        </is>
      </c>
      <c r="N44" s="33" t="n"/>
      <c r="O44" s="32" t="n">
        <v>180</v>
      </c>
      <c r="P44" s="356">
        <f>HYPERLINK("https://abi.ru/products/Замороженные/Горячая штучка/Бигбули ГШ/Пельмени/P004442/","Пельмени «Бигбули с мясом» 0,7 Сфера ТМ «Горячая штучка»")</f>
        <v/>
      </c>
      <c r="Q44" s="313" t="n"/>
      <c r="R44" s="313" t="n"/>
      <c r="S44" s="313" t="n"/>
      <c r="T44" s="314" t="n"/>
      <c r="U44" s="34" t="n"/>
      <c r="V44" s="34" t="n"/>
      <c r="W44" s="35" t="inlineStr">
        <is>
          <t>кор</t>
        </is>
      </c>
      <c r="X44" s="306" t="n">
        <v>0</v>
      </c>
      <c r="Y44" s="307">
        <f>IFERROR(IF(X44="","",X44),"")</f>
        <v/>
      </c>
      <c r="Z44" s="36">
        <f>IFERROR(IF(X44="","",X44*0.0155),"")</f>
        <v/>
      </c>
      <c r="AA44" s="55" t="n"/>
      <c r="AB44" s="56" t="n"/>
      <c r="AC44" s="88" t="inlineStr">
        <is>
          <t>ЕАЭС N RU Д-RU.РА04.В.26948/22</t>
        </is>
      </c>
      <c r="AG44" s="66" t="n"/>
      <c r="AJ44" s="69" t="inlineStr">
        <is>
          <t>Короб</t>
        </is>
      </c>
      <c r="AK44" s="69" t="n">
        <v>1</v>
      </c>
      <c r="BB44" s="89" t="inlineStr">
        <is>
          <t>ЗПФ</t>
        </is>
      </c>
      <c r="BM44" s="66">
        <f>IFERROR(X44*I44,"0")</f>
        <v/>
      </c>
      <c r="BN44" s="66">
        <f>IFERROR(Y44*I44,"0")</f>
        <v/>
      </c>
      <c r="BO44" s="66">
        <f>IFERROR(X44/J44,"0")</f>
        <v/>
      </c>
      <c r="BP44" s="66">
        <f>IFERROR(Y44/J44,"0")</f>
        <v/>
      </c>
    </row>
    <row r="45">
      <c r="A45" s="318" t="n"/>
      <c r="B45" s="319" t="n"/>
      <c r="C45" s="319" t="n"/>
      <c r="D45" s="319" t="n"/>
      <c r="E45" s="319" t="n"/>
      <c r="F45" s="319" t="n"/>
      <c r="G45" s="319" t="n"/>
      <c r="H45" s="319" t="n"/>
      <c r="I45" s="319" t="n"/>
      <c r="J45" s="319" t="n"/>
      <c r="K45" s="319" t="n"/>
      <c r="L45" s="319" t="n"/>
      <c r="M45" s="319" t="n"/>
      <c r="N45" s="319" t="n"/>
      <c r="O45" s="320" t="n"/>
      <c r="P45" s="321" t="inlineStr">
        <is>
          <t>Итого</t>
        </is>
      </c>
      <c r="Q45" s="322" t="n"/>
      <c r="R45" s="322" t="n"/>
      <c r="S45" s="322" t="n"/>
      <c r="T45" s="322" t="n"/>
      <c r="U45" s="322" t="n"/>
      <c r="V45" s="323" t="n"/>
      <c r="W45" s="37" t="inlineStr">
        <is>
          <t>кор</t>
        </is>
      </c>
      <c r="X45" s="308">
        <f>IFERROR(SUM(X41:X44),"0")</f>
        <v/>
      </c>
      <c r="Y45" s="308">
        <f>IFERROR(SUM(Y41:Y44),"0")</f>
        <v/>
      </c>
      <c r="Z45" s="308">
        <f>IFERROR(IF(Z41="",0,Z41),"0")+IFERROR(IF(Z42="",0,Z42),"0")+IFERROR(IF(Z43="",0,Z43),"0")+IFERROR(IF(Z44="",0,Z44),"0")</f>
        <v/>
      </c>
      <c r="AA45" s="309" t="n"/>
      <c r="AB45" s="309" t="n"/>
      <c r="AC45" s="309" t="n"/>
    </row>
    <row r="46">
      <c r="A46" s="319" t="n"/>
      <c r="B46" s="319" t="n"/>
      <c r="C46" s="319" t="n"/>
      <c r="D46" s="319" t="n"/>
      <c r="E46" s="319" t="n"/>
      <c r="F46" s="319" t="n"/>
      <c r="G46" s="319" t="n"/>
      <c r="H46" s="319" t="n"/>
      <c r="I46" s="319" t="n"/>
      <c r="J46" s="319" t="n"/>
      <c r="K46" s="319" t="n"/>
      <c r="L46" s="319" t="n"/>
      <c r="M46" s="319" t="n"/>
      <c r="N46" s="319" t="n"/>
      <c r="O46" s="320" t="n"/>
      <c r="P46" s="321" t="inlineStr">
        <is>
          <t>Итого</t>
        </is>
      </c>
      <c r="Q46" s="322" t="n"/>
      <c r="R46" s="322" t="n"/>
      <c r="S46" s="322" t="n"/>
      <c r="T46" s="322" t="n"/>
      <c r="U46" s="322" t="n"/>
      <c r="V46" s="323" t="n"/>
      <c r="W46" s="37" t="inlineStr">
        <is>
          <t>кг</t>
        </is>
      </c>
      <c r="X46" s="308">
        <f>IFERROR(SUMPRODUCT(X41:X44*H41:H44),"0")</f>
        <v/>
      </c>
      <c r="Y46" s="308">
        <f>IFERROR(SUMPRODUCT(Y41:Y44*H41:H44),"0")</f>
        <v/>
      </c>
      <c r="Z46" s="37" t="n"/>
      <c r="AA46" s="309" t="n"/>
      <c r="AB46" s="309" t="n"/>
      <c r="AC46" s="309" t="n"/>
    </row>
    <row r="47" ht="16.5" customHeight="1">
      <c r="A47" s="324" t="inlineStr">
        <is>
          <t>Foodgital</t>
        </is>
      </c>
      <c r="B47" s="319" t="n"/>
      <c r="C47" s="319" t="n"/>
      <c r="D47" s="319" t="n"/>
      <c r="E47" s="319" t="n"/>
      <c r="F47" s="319" t="n"/>
      <c r="G47" s="319" t="n"/>
      <c r="H47" s="319" t="n"/>
      <c r="I47" s="319" t="n"/>
      <c r="J47" s="319" t="n"/>
      <c r="K47" s="319" t="n"/>
      <c r="L47" s="319" t="n"/>
      <c r="M47" s="319" t="n"/>
      <c r="N47" s="319" t="n"/>
      <c r="O47" s="319" t="n"/>
      <c r="P47" s="319" t="n"/>
      <c r="Q47" s="319" t="n"/>
      <c r="R47" s="319" t="n"/>
      <c r="S47" s="319" t="n"/>
      <c r="T47" s="319" t="n"/>
      <c r="U47" s="319" t="n"/>
      <c r="V47" s="319" t="n"/>
      <c r="W47" s="319" t="n"/>
      <c r="X47" s="319" t="n"/>
      <c r="Y47" s="319" t="n"/>
      <c r="Z47" s="319" t="n"/>
      <c r="AA47" s="324" t="n"/>
      <c r="AB47" s="324" t="n"/>
      <c r="AC47" s="324" t="n"/>
    </row>
    <row r="48" ht="14.25" customHeight="1">
      <c r="A48" s="329" t="inlineStr">
        <is>
          <t>Пельмени</t>
        </is>
      </c>
      <c r="B48" s="319" t="n"/>
      <c r="C48" s="319" t="n"/>
      <c r="D48" s="319" t="n"/>
      <c r="E48" s="319" t="n"/>
      <c r="F48" s="319" t="n"/>
      <c r="G48" s="319" t="n"/>
      <c r="H48" s="319" t="n"/>
      <c r="I48" s="319" t="n"/>
      <c r="J48" s="319" t="n"/>
      <c r="K48" s="319" t="n"/>
      <c r="L48" s="319" t="n"/>
      <c r="M48" s="319" t="n"/>
      <c r="N48" s="319" t="n"/>
      <c r="O48" s="319" t="n"/>
      <c r="P48" s="319" t="n"/>
      <c r="Q48" s="319" t="n"/>
      <c r="R48" s="319" t="n"/>
      <c r="S48" s="319" t="n"/>
      <c r="T48" s="319" t="n"/>
      <c r="U48" s="319" t="n"/>
      <c r="V48" s="319" t="n"/>
      <c r="W48" s="319" t="n"/>
      <c r="X48" s="319" t="n"/>
      <c r="Y48" s="319" t="n"/>
      <c r="Z48" s="319" t="n"/>
      <c r="AA48" s="329" t="n"/>
      <c r="AB48" s="329" t="n"/>
      <c r="AC48" s="329" t="n"/>
    </row>
    <row r="49" ht="16.5" customHeight="1">
      <c r="A49" s="53" t="inlineStr">
        <is>
          <t>SU003691</t>
        </is>
      </c>
      <c r="B49" s="53" t="inlineStr">
        <is>
          <t>P004772</t>
        </is>
      </c>
      <c r="C49" s="31" t="n">
        <v>4301071073</v>
      </c>
      <c r="D49" s="316" t="n">
        <v>4620207490822</v>
      </c>
      <c r="E49" s="317" t="n"/>
      <c r="F49" s="305" t="n">
        <v>0.43</v>
      </c>
      <c r="G49" s="32" t="n">
        <v>8</v>
      </c>
      <c r="H49" s="305" t="n">
        <v>3.44</v>
      </c>
      <c r="I49" s="305" t="n">
        <v>3.64</v>
      </c>
      <c r="J49" s="32" t="n">
        <v>144</v>
      </c>
      <c r="K49" s="32" t="inlineStr">
        <is>
          <t>12</t>
        </is>
      </c>
      <c r="L49" s="32" t="inlineStr">
        <is>
          <t>Короб, мин. 1</t>
        </is>
      </c>
      <c r="M49" s="33" t="inlineStr">
        <is>
          <t>МГ</t>
        </is>
      </c>
      <c r="N49" s="33" t="n"/>
      <c r="O49" s="32" t="n">
        <v>365</v>
      </c>
      <c r="P49" s="475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/>
      </c>
      <c r="Q49" s="313" t="n"/>
      <c r="R49" s="313" t="n"/>
      <c r="S49" s="313" t="n"/>
      <c r="T49" s="314" t="n"/>
      <c r="U49" s="34" t="n"/>
      <c r="V49" s="34" t="n"/>
      <c r="W49" s="35" t="inlineStr">
        <is>
          <t>кор</t>
        </is>
      </c>
      <c r="X49" s="306" t="n">
        <v>0</v>
      </c>
      <c r="Y49" s="307">
        <f>IFERROR(IF(X49="","",X49),"")</f>
        <v/>
      </c>
      <c r="Z49" s="36">
        <f>IFERROR(IF(X49="","",X49*0.00866),"")</f>
        <v/>
      </c>
      <c r="AA49" s="55" t="n"/>
      <c r="AB49" s="56" t="n"/>
      <c r="AC49" s="90" t="inlineStr">
        <is>
          <t>ЕАЭС N RU Д-RU.РА08.В.01107/24</t>
        </is>
      </c>
      <c r="AG49" s="66" t="n"/>
      <c r="AJ49" s="69" t="inlineStr">
        <is>
          <t>Короб</t>
        </is>
      </c>
      <c r="AK49" s="69" t="n">
        <v>1</v>
      </c>
      <c r="BB49" s="91" t="inlineStr">
        <is>
          <t>ЗПФ</t>
        </is>
      </c>
      <c r="BM49" s="66">
        <f>IFERROR(X49*I49,"0")</f>
        <v/>
      </c>
      <c r="BN49" s="66">
        <f>IFERROR(Y49*I49,"0")</f>
        <v/>
      </c>
      <c r="BO49" s="66">
        <f>IFERROR(X49/J49,"0")</f>
        <v/>
      </c>
      <c r="BP49" s="66">
        <f>IFERROR(Y49/J49,"0")</f>
        <v/>
      </c>
    </row>
    <row r="50">
      <c r="A50" s="318" t="n"/>
      <c r="B50" s="319" t="n"/>
      <c r="C50" s="319" t="n"/>
      <c r="D50" s="319" t="n"/>
      <c r="E50" s="319" t="n"/>
      <c r="F50" s="319" t="n"/>
      <c r="G50" s="319" t="n"/>
      <c r="H50" s="319" t="n"/>
      <c r="I50" s="319" t="n"/>
      <c r="J50" s="319" t="n"/>
      <c r="K50" s="319" t="n"/>
      <c r="L50" s="319" t="n"/>
      <c r="M50" s="319" t="n"/>
      <c r="N50" s="319" t="n"/>
      <c r="O50" s="320" t="n"/>
      <c r="P50" s="321" t="inlineStr">
        <is>
          <t>Итого</t>
        </is>
      </c>
      <c r="Q50" s="322" t="n"/>
      <c r="R50" s="322" t="n"/>
      <c r="S50" s="322" t="n"/>
      <c r="T50" s="322" t="n"/>
      <c r="U50" s="322" t="n"/>
      <c r="V50" s="323" t="n"/>
      <c r="W50" s="37" t="inlineStr">
        <is>
          <t>кор</t>
        </is>
      </c>
      <c r="X50" s="308">
        <f>IFERROR(SUM(X49:X49),"0")</f>
        <v/>
      </c>
      <c r="Y50" s="308">
        <f>IFERROR(SUM(Y49:Y49),"0")</f>
        <v/>
      </c>
      <c r="Z50" s="308">
        <f>IFERROR(IF(Z49="",0,Z49),"0")</f>
        <v/>
      </c>
      <c r="AA50" s="309" t="n"/>
      <c r="AB50" s="309" t="n"/>
      <c r="AC50" s="309" t="n"/>
    </row>
    <row r="51">
      <c r="A51" s="319" t="n"/>
      <c r="B51" s="319" t="n"/>
      <c r="C51" s="319" t="n"/>
      <c r="D51" s="319" t="n"/>
      <c r="E51" s="319" t="n"/>
      <c r="F51" s="319" t="n"/>
      <c r="G51" s="319" t="n"/>
      <c r="H51" s="319" t="n"/>
      <c r="I51" s="319" t="n"/>
      <c r="J51" s="319" t="n"/>
      <c r="K51" s="319" t="n"/>
      <c r="L51" s="319" t="n"/>
      <c r="M51" s="319" t="n"/>
      <c r="N51" s="319" t="n"/>
      <c r="O51" s="320" t="n"/>
      <c r="P51" s="321" t="inlineStr">
        <is>
          <t>Итого</t>
        </is>
      </c>
      <c r="Q51" s="322" t="n"/>
      <c r="R51" s="322" t="n"/>
      <c r="S51" s="322" t="n"/>
      <c r="T51" s="322" t="n"/>
      <c r="U51" s="322" t="n"/>
      <c r="V51" s="323" t="n"/>
      <c r="W51" s="37" t="inlineStr">
        <is>
          <t>кг</t>
        </is>
      </c>
      <c r="X51" s="308">
        <f>IFERROR(SUMPRODUCT(X49:X49*H49:H49),"0")</f>
        <v/>
      </c>
      <c r="Y51" s="308">
        <f>IFERROR(SUMPRODUCT(Y49:Y49*H49:H49),"0")</f>
        <v/>
      </c>
      <c r="Z51" s="37" t="n"/>
      <c r="AA51" s="309" t="n"/>
      <c r="AB51" s="309" t="n"/>
      <c r="AC51" s="309" t="n"/>
    </row>
    <row r="52" ht="14.25" customHeight="1">
      <c r="A52" s="329" t="inlineStr">
        <is>
          <t>Котлеты</t>
        </is>
      </c>
      <c r="B52" s="319" t="n"/>
      <c r="C52" s="319" t="n"/>
      <c r="D52" s="319" t="n"/>
      <c r="E52" s="319" t="n"/>
      <c r="F52" s="319" t="n"/>
      <c r="G52" s="319" t="n"/>
      <c r="H52" s="319" t="n"/>
      <c r="I52" s="319" t="n"/>
      <c r="J52" s="319" t="n"/>
      <c r="K52" s="319" t="n"/>
      <c r="L52" s="319" t="n"/>
      <c r="M52" s="319" t="n"/>
      <c r="N52" s="319" t="n"/>
      <c r="O52" s="319" t="n"/>
      <c r="P52" s="319" t="n"/>
      <c r="Q52" s="319" t="n"/>
      <c r="R52" s="319" t="n"/>
      <c r="S52" s="319" t="n"/>
      <c r="T52" s="319" t="n"/>
      <c r="U52" s="319" t="n"/>
      <c r="V52" s="319" t="n"/>
      <c r="W52" s="319" t="n"/>
      <c r="X52" s="319" t="n"/>
      <c r="Y52" s="319" t="n"/>
      <c r="Z52" s="319" t="n"/>
      <c r="AA52" s="329" t="n"/>
      <c r="AB52" s="329" t="n"/>
      <c r="AC52" s="329" t="n"/>
    </row>
    <row r="53" ht="16.5" customHeight="1">
      <c r="A53" s="53" t="inlineStr">
        <is>
          <t>SU003679</t>
        </is>
      </c>
      <c r="B53" s="53" t="inlineStr">
        <is>
          <t>P004730</t>
        </is>
      </c>
      <c r="C53" s="31" t="n">
        <v>4301100087</v>
      </c>
      <c r="D53" s="316" t="n">
        <v>4607111039743</v>
      </c>
      <c r="E53" s="317" t="n"/>
      <c r="F53" s="305" t="n">
        <v>0.18</v>
      </c>
      <c r="G53" s="32" t="n">
        <v>6</v>
      </c>
      <c r="H53" s="305" t="n">
        <v>1.08</v>
      </c>
      <c r="I53" s="305" t="n">
        <v>2.34</v>
      </c>
      <c r="J53" s="32" t="n">
        <v>182</v>
      </c>
      <c r="K53" s="32" t="inlineStr">
        <is>
          <t>14</t>
        </is>
      </c>
      <c r="L53" s="32" t="inlineStr">
        <is>
          <t>Короб, мин. 1</t>
        </is>
      </c>
      <c r="M53" s="33" t="inlineStr">
        <is>
          <t>МГ</t>
        </is>
      </c>
      <c r="N53" s="33" t="n"/>
      <c r="O53" s="32" t="n">
        <v>365</v>
      </c>
      <c r="P53" s="405">
        <f>HYPERLINK("https://abi.ru/products/Замороженные/Горячая штучка/Foodgital/Котлеты/P004730/","Котлеты «Котлеты» Фикс.вес 0,18 ТС «Foodgital» ТМ «Горячая штучка»")</f>
        <v/>
      </c>
      <c r="Q53" s="313" t="n"/>
      <c r="R53" s="313" t="n"/>
      <c r="S53" s="313" t="n"/>
      <c r="T53" s="314" t="n"/>
      <c r="U53" s="34" t="n"/>
      <c r="V53" s="34" t="n"/>
      <c r="W53" s="35" t="inlineStr">
        <is>
          <t>кор</t>
        </is>
      </c>
      <c r="X53" s="306" t="n">
        <v>0</v>
      </c>
      <c r="Y53" s="307">
        <f>IFERROR(IF(X53="","",X53),"")</f>
        <v/>
      </c>
      <c r="Z53" s="36">
        <f>IFERROR(IF(X53="","",X53*0.00941),"")</f>
        <v/>
      </c>
      <c r="AA53" s="55" t="n"/>
      <c r="AB53" s="56" t="n"/>
      <c r="AC53" s="92" t="inlineStr">
        <is>
          <t>ЕАЭС N RU Д-RU.РА05.В.89397/22</t>
        </is>
      </c>
      <c r="AG53" s="66" t="n"/>
      <c r="AJ53" s="69" t="inlineStr">
        <is>
          <t>Короб</t>
        </is>
      </c>
      <c r="AK53" s="69" t="n">
        <v>1</v>
      </c>
      <c r="BB53" s="93" t="inlineStr">
        <is>
          <t>ПГП</t>
        </is>
      </c>
      <c r="BM53" s="66">
        <f>IFERROR(X53*I53,"0")</f>
        <v/>
      </c>
      <c r="BN53" s="66">
        <f>IFERROR(Y53*I53,"0")</f>
        <v/>
      </c>
      <c r="BO53" s="66">
        <f>IFERROR(X53/J53,"0")</f>
        <v/>
      </c>
      <c r="BP53" s="66">
        <f>IFERROR(Y53/J53,"0")</f>
        <v/>
      </c>
    </row>
    <row r="54">
      <c r="A54" s="318" t="n"/>
      <c r="B54" s="319" t="n"/>
      <c r="C54" s="319" t="n"/>
      <c r="D54" s="319" t="n"/>
      <c r="E54" s="319" t="n"/>
      <c r="F54" s="319" t="n"/>
      <c r="G54" s="319" t="n"/>
      <c r="H54" s="319" t="n"/>
      <c r="I54" s="319" t="n"/>
      <c r="J54" s="319" t="n"/>
      <c r="K54" s="319" t="n"/>
      <c r="L54" s="319" t="n"/>
      <c r="M54" s="319" t="n"/>
      <c r="N54" s="319" t="n"/>
      <c r="O54" s="320" t="n"/>
      <c r="P54" s="321" t="inlineStr">
        <is>
          <t>Итого</t>
        </is>
      </c>
      <c r="Q54" s="322" t="n"/>
      <c r="R54" s="322" t="n"/>
      <c r="S54" s="322" t="n"/>
      <c r="T54" s="322" t="n"/>
      <c r="U54" s="322" t="n"/>
      <c r="V54" s="323" t="n"/>
      <c r="W54" s="37" t="inlineStr">
        <is>
          <t>кор</t>
        </is>
      </c>
      <c r="X54" s="308">
        <f>IFERROR(SUM(X53:X53),"0")</f>
        <v/>
      </c>
      <c r="Y54" s="308">
        <f>IFERROR(SUM(Y53:Y53),"0")</f>
        <v/>
      </c>
      <c r="Z54" s="308">
        <f>IFERROR(IF(Z53="",0,Z53),"0")</f>
        <v/>
      </c>
      <c r="AA54" s="309" t="n"/>
      <c r="AB54" s="309" t="n"/>
      <c r="AC54" s="309" t="n"/>
    </row>
    <row r="55">
      <c r="A55" s="319" t="n"/>
      <c r="B55" s="319" t="n"/>
      <c r="C55" s="319" t="n"/>
      <c r="D55" s="319" t="n"/>
      <c r="E55" s="319" t="n"/>
      <c r="F55" s="319" t="n"/>
      <c r="G55" s="319" t="n"/>
      <c r="H55" s="319" t="n"/>
      <c r="I55" s="319" t="n"/>
      <c r="J55" s="319" t="n"/>
      <c r="K55" s="319" t="n"/>
      <c r="L55" s="319" t="n"/>
      <c r="M55" s="319" t="n"/>
      <c r="N55" s="319" t="n"/>
      <c r="O55" s="320" t="n"/>
      <c r="P55" s="321" t="inlineStr">
        <is>
          <t>Итого</t>
        </is>
      </c>
      <c r="Q55" s="322" t="n"/>
      <c r="R55" s="322" t="n"/>
      <c r="S55" s="322" t="n"/>
      <c r="T55" s="322" t="n"/>
      <c r="U55" s="322" t="n"/>
      <c r="V55" s="323" t="n"/>
      <c r="W55" s="37" t="inlineStr">
        <is>
          <t>кг</t>
        </is>
      </c>
      <c r="X55" s="308">
        <f>IFERROR(SUMPRODUCT(X53:X53*H53:H53),"0")</f>
        <v/>
      </c>
      <c r="Y55" s="308">
        <f>IFERROR(SUMPRODUCT(Y53:Y53*H53:H53),"0")</f>
        <v/>
      </c>
      <c r="Z55" s="37" t="n"/>
      <c r="AA55" s="309" t="n"/>
      <c r="AB55" s="309" t="n"/>
      <c r="AC55" s="309" t="n"/>
    </row>
    <row r="56" ht="14.25" customHeight="1">
      <c r="A56" s="329" t="inlineStr">
        <is>
          <t>Наггетсы</t>
        </is>
      </c>
      <c r="B56" s="319" t="n"/>
      <c r="C56" s="319" t="n"/>
      <c r="D56" s="319" t="n"/>
      <c r="E56" s="319" t="n"/>
      <c r="F56" s="319" t="n"/>
      <c r="G56" s="319" t="n"/>
      <c r="H56" s="319" t="n"/>
      <c r="I56" s="319" t="n"/>
      <c r="J56" s="319" t="n"/>
      <c r="K56" s="319" t="n"/>
      <c r="L56" s="319" t="n"/>
      <c r="M56" s="319" t="n"/>
      <c r="N56" s="319" t="n"/>
      <c r="O56" s="319" t="n"/>
      <c r="P56" s="319" t="n"/>
      <c r="Q56" s="319" t="n"/>
      <c r="R56" s="319" t="n"/>
      <c r="S56" s="319" t="n"/>
      <c r="T56" s="319" t="n"/>
      <c r="U56" s="319" t="n"/>
      <c r="V56" s="319" t="n"/>
      <c r="W56" s="319" t="n"/>
      <c r="X56" s="319" t="n"/>
      <c r="Y56" s="319" t="n"/>
      <c r="Z56" s="319" t="n"/>
      <c r="AA56" s="329" t="n"/>
      <c r="AB56" s="329" t="n"/>
      <c r="AC56" s="329" t="n"/>
    </row>
    <row r="57" ht="16.5" customHeight="1">
      <c r="A57" s="53" t="inlineStr">
        <is>
          <t>SU003678</t>
        </is>
      </c>
      <c r="B57" s="53" t="inlineStr">
        <is>
          <t>P004731</t>
        </is>
      </c>
      <c r="C57" s="31" t="n">
        <v>4301132194</v>
      </c>
      <c r="D57" s="316" t="n">
        <v>4607111039712</v>
      </c>
      <c r="E57" s="317" t="n"/>
      <c r="F57" s="305" t="n">
        <v>0.2</v>
      </c>
      <c r="G57" s="32" t="n">
        <v>6</v>
      </c>
      <c r="H57" s="305" t="n">
        <v>1.2</v>
      </c>
      <c r="I57" s="305" t="n">
        <v>1.56</v>
      </c>
      <c r="J57" s="32" t="n">
        <v>140</v>
      </c>
      <c r="K57" s="32" t="inlineStr">
        <is>
          <t>14</t>
        </is>
      </c>
      <c r="L57" s="32" t="inlineStr">
        <is>
          <t>Короб, мин. 1</t>
        </is>
      </c>
      <c r="M57" s="33" t="inlineStr">
        <is>
          <t>МГ</t>
        </is>
      </c>
      <c r="N57" s="33" t="n"/>
      <c r="O57" s="32" t="n">
        <v>365</v>
      </c>
      <c r="P57" s="493">
        <f>HYPERLINK("https://abi.ru/products/Замороженные/Горячая штучка/Foodgital/Наггетсы/P004731/","Наггетсы «Наггетсы» Фикс.вес 0,2 ТС «Foodgital» ТМ «Горячая штучка»")</f>
        <v/>
      </c>
      <c r="Q57" s="313" t="n"/>
      <c r="R57" s="313" t="n"/>
      <c r="S57" s="313" t="n"/>
      <c r="T57" s="314" t="n"/>
      <c r="U57" s="34" t="n"/>
      <c r="V57" s="34" t="n"/>
      <c r="W57" s="35" t="inlineStr">
        <is>
          <t>кор</t>
        </is>
      </c>
      <c r="X57" s="306" t="n">
        <v>0</v>
      </c>
      <c r="Y57" s="307">
        <f>IFERROR(IF(X57="","",X57),"")</f>
        <v/>
      </c>
      <c r="Z57" s="36">
        <f>IFERROR(IF(X57="","",X57*0.00941),"")</f>
        <v/>
      </c>
      <c r="AA57" s="55" t="n"/>
      <c r="AB57" s="56" t="n"/>
      <c r="AC57" s="94" t="inlineStr">
        <is>
          <t>ЕАЭС N RU Д-RU.РА03.В.95139/22</t>
        </is>
      </c>
      <c r="AG57" s="66" t="n"/>
      <c r="AJ57" s="69" t="inlineStr">
        <is>
          <t>Короб</t>
        </is>
      </c>
      <c r="AK57" s="69" t="n">
        <v>1</v>
      </c>
      <c r="BB57" s="95" t="inlineStr">
        <is>
          <t>ПГП</t>
        </is>
      </c>
      <c r="BM57" s="66">
        <f>IFERROR(X57*I57,"0")</f>
        <v/>
      </c>
      <c r="BN57" s="66">
        <f>IFERROR(Y57*I57,"0")</f>
        <v/>
      </c>
      <c r="BO57" s="66">
        <f>IFERROR(X57/J57,"0")</f>
        <v/>
      </c>
      <c r="BP57" s="66">
        <f>IFERROR(Y57/J57,"0")</f>
        <v/>
      </c>
    </row>
    <row r="58">
      <c r="A58" s="318" t="n"/>
      <c r="B58" s="319" t="n"/>
      <c r="C58" s="319" t="n"/>
      <c r="D58" s="319" t="n"/>
      <c r="E58" s="319" t="n"/>
      <c r="F58" s="319" t="n"/>
      <c r="G58" s="319" t="n"/>
      <c r="H58" s="319" t="n"/>
      <c r="I58" s="319" t="n"/>
      <c r="J58" s="319" t="n"/>
      <c r="K58" s="319" t="n"/>
      <c r="L58" s="319" t="n"/>
      <c r="M58" s="319" t="n"/>
      <c r="N58" s="319" t="n"/>
      <c r="O58" s="320" t="n"/>
      <c r="P58" s="321" t="inlineStr">
        <is>
          <t>Итого</t>
        </is>
      </c>
      <c r="Q58" s="322" t="n"/>
      <c r="R58" s="322" t="n"/>
      <c r="S58" s="322" t="n"/>
      <c r="T58" s="322" t="n"/>
      <c r="U58" s="322" t="n"/>
      <c r="V58" s="323" t="n"/>
      <c r="W58" s="37" t="inlineStr">
        <is>
          <t>кор</t>
        </is>
      </c>
      <c r="X58" s="308">
        <f>IFERROR(SUM(X57:X57),"0")</f>
        <v/>
      </c>
      <c r="Y58" s="308">
        <f>IFERROR(SUM(Y57:Y57),"0")</f>
        <v/>
      </c>
      <c r="Z58" s="308">
        <f>IFERROR(IF(Z57="",0,Z57),"0")</f>
        <v/>
      </c>
      <c r="AA58" s="309" t="n"/>
      <c r="AB58" s="309" t="n"/>
      <c r="AC58" s="309" t="n"/>
    </row>
    <row r="59">
      <c r="A59" s="319" t="n"/>
      <c r="B59" s="319" t="n"/>
      <c r="C59" s="319" t="n"/>
      <c r="D59" s="319" t="n"/>
      <c r="E59" s="319" t="n"/>
      <c r="F59" s="319" t="n"/>
      <c r="G59" s="319" t="n"/>
      <c r="H59" s="319" t="n"/>
      <c r="I59" s="319" t="n"/>
      <c r="J59" s="319" t="n"/>
      <c r="K59" s="319" t="n"/>
      <c r="L59" s="319" t="n"/>
      <c r="M59" s="319" t="n"/>
      <c r="N59" s="319" t="n"/>
      <c r="O59" s="320" t="n"/>
      <c r="P59" s="321" t="inlineStr">
        <is>
          <t>Итого</t>
        </is>
      </c>
      <c r="Q59" s="322" t="n"/>
      <c r="R59" s="322" t="n"/>
      <c r="S59" s="322" t="n"/>
      <c r="T59" s="322" t="n"/>
      <c r="U59" s="322" t="n"/>
      <c r="V59" s="323" t="n"/>
      <c r="W59" s="37" t="inlineStr">
        <is>
          <t>кг</t>
        </is>
      </c>
      <c r="X59" s="308">
        <f>IFERROR(SUMPRODUCT(X57:X57*H57:H57),"0")</f>
        <v/>
      </c>
      <c r="Y59" s="308">
        <f>IFERROR(SUMPRODUCT(Y57:Y57*H57:H57),"0")</f>
        <v/>
      </c>
      <c r="Z59" s="37" t="n"/>
      <c r="AA59" s="309" t="n"/>
      <c r="AB59" s="309" t="n"/>
      <c r="AC59" s="309" t="n"/>
    </row>
    <row r="60" ht="14.25" customHeight="1">
      <c r="A60" s="329" t="inlineStr">
        <is>
          <t>Чебуреки</t>
        </is>
      </c>
      <c r="B60" s="319" t="n"/>
      <c r="C60" s="319" t="n"/>
      <c r="D60" s="319" t="n"/>
      <c r="E60" s="319" t="n"/>
      <c r="F60" s="319" t="n"/>
      <c r="G60" s="319" t="n"/>
      <c r="H60" s="319" t="n"/>
      <c r="I60" s="319" t="n"/>
      <c r="J60" s="319" t="n"/>
      <c r="K60" s="319" t="n"/>
      <c r="L60" s="319" t="n"/>
      <c r="M60" s="319" t="n"/>
      <c r="N60" s="319" t="n"/>
      <c r="O60" s="319" t="n"/>
      <c r="P60" s="319" t="n"/>
      <c r="Q60" s="319" t="n"/>
      <c r="R60" s="319" t="n"/>
      <c r="S60" s="319" t="n"/>
      <c r="T60" s="319" t="n"/>
      <c r="U60" s="319" t="n"/>
      <c r="V60" s="319" t="n"/>
      <c r="W60" s="319" t="n"/>
      <c r="X60" s="319" t="n"/>
      <c r="Y60" s="319" t="n"/>
      <c r="Z60" s="319" t="n"/>
      <c r="AA60" s="329" t="n"/>
      <c r="AB60" s="329" t="n"/>
      <c r="AC60" s="329" t="n"/>
    </row>
    <row r="61" ht="16.5" customHeight="1">
      <c r="A61" s="53" t="inlineStr">
        <is>
          <t>SU002657</t>
        </is>
      </c>
      <c r="B61" s="53" t="inlineStr">
        <is>
          <t>P003038</t>
        </is>
      </c>
      <c r="C61" s="31" t="n">
        <v>4301136018</v>
      </c>
      <c r="D61" s="316" t="n">
        <v>4607111037008</v>
      </c>
      <c r="E61" s="317" t="n"/>
      <c r="F61" s="305" t="n">
        <v>0.36</v>
      </c>
      <c r="G61" s="32" t="n">
        <v>4</v>
      </c>
      <c r="H61" s="305" t="n">
        <v>1.44</v>
      </c>
      <c r="I61" s="305" t="n">
        <v>1.74</v>
      </c>
      <c r="J61" s="32" t="n">
        <v>140</v>
      </c>
      <c r="K61" s="32" t="inlineStr">
        <is>
          <t>14</t>
        </is>
      </c>
      <c r="L61" s="32" t="inlineStr">
        <is>
          <t>Короб, мин. 1</t>
        </is>
      </c>
      <c r="M61" s="33" t="inlineStr">
        <is>
          <t>МГ</t>
        </is>
      </c>
      <c r="N61" s="33" t="n"/>
      <c r="O61" s="32" t="n">
        <v>365</v>
      </c>
      <c r="P61" s="465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/>
      </c>
      <c r="Q61" s="313" t="n"/>
      <c r="R61" s="313" t="n"/>
      <c r="S61" s="313" t="n"/>
      <c r="T61" s="314" t="n"/>
      <c r="U61" s="34" t="n"/>
      <c r="V61" s="34" t="n"/>
      <c r="W61" s="35" t="inlineStr">
        <is>
          <t>кор</t>
        </is>
      </c>
      <c r="X61" s="306" t="n">
        <v>0</v>
      </c>
      <c r="Y61" s="307">
        <f>IFERROR(IF(X61="","",X61),"")</f>
        <v/>
      </c>
      <c r="Z61" s="36">
        <f>IFERROR(IF(X61="","",X61*0.00941),"")</f>
        <v/>
      </c>
      <c r="AA61" s="55" t="n"/>
      <c r="AB61" s="56" t="n"/>
      <c r="AC61" s="96" t="inlineStr">
        <is>
          <t>ЕАЭС N RU Д-RU.РА03.В.64590/22</t>
        </is>
      </c>
      <c r="AG61" s="66" t="n"/>
      <c r="AJ61" s="69" t="inlineStr">
        <is>
          <t>Короб</t>
        </is>
      </c>
      <c r="AK61" s="69" t="n">
        <v>1</v>
      </c>
      <c r="BB61" s="97" t="inlineStr">
        <is>
          <t>ПГП</t>
        </is>
      </c>
      <c r="BM61" s="66">
        <f>IFERROR(X61*I61,"0")</f>
        <v/>
      </c>
      <c r="BN61" s="66">
        <f>IFERROR(Y61*I61,"0")</f>
        <v/>
      </c>
      <c r="BO61" s="66">
        <f>IFERROR(X61/J61,"0")</f>
        <v/>
      </c>
      <c r="BP61" s="66">
        <f>IFERROR(Y61/J61,"0")</f>
        <v/>
      </c>
    </row>
    <row r="62" ht="16.5" customHeight="1">
      <c r="A62" s="53" t="inlineStr">
        <is>
          <t>SU002607</t>
        </is>
      </c>
      <c r="B62" s="53" t="inlineStr">
        <is>
          <t>P002938</t>
        </is>
      </c>
      <c r="C62" s="31" t="n">
        <v>4301136015</v>
      </c>
      <c r="D62" s="316" t="n">
        <v>4607111037398</v>
      </c>
      <c r="E62" s="317" t="n"/>
      <c r="F62" s="305" t="n">
        <v>0.09</v>
      </c>
      <c r="G62" s="32" t="n">
        <v>24</v>
      </c>
      <c r="H62" s="305" t="n">
        <v>2.16</v>
      </c>
      <c r="I62" s="305" t="n">
        <v>4.02</v>
      </c>
      <c r="J62" s="32" t="n">
        <v>126</v>
      </c>
      <c r="K62" s="32" t="inlineStr">
        <is>
          <t>14</t>
        </is>
      </c>
      <c r="L62" s="32" t="inlineStr">
        <is>
          <t>Короб, мин. 1</t>
        </is>
      </c>
      <c r="M62" s="33" t="inlineStr">
        <is>
          <t>МГ</t>
        </is>
      </c>
      <c r="N62" s="33" t="n"/>
      <c r="O62" s="32" t="n">
        <v>365</v>
      </c>
      <c r="P62" s="482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/>
      </c>
      <c r="Q62" s="313" t="n"/>
      <c r="R62" s="313" t="n"/>
      <c r="S62" s="313" t="n"/>
      <c r="T62" s="314" t="n"/>
      <c r="U62" s="34" t="n"/>
      <c r="V62" s="34" t="n"/>
      <c r="W62" s="35" t="inlineStr">
        <is>
          <t>кор</t>
        </is>
      </c>
      <c r="X62" s="306" t="n">
        <v>0</v>
      </c>
      <c r="Y62" s="307">
        <f>IFERROR(IF(X62="","",X62),"")</f>
        <v/>
      </c>
      <c r="Z62" s="36">
        <f>IFERROR(IF(X62="","",X62*0.00936),"")</f>
        <v/>
      </c>
      <c r="AA62" s="55" t="n"/>
      <c r="AB62" s="56" t="n"/>
      <c r="AC62" s="98" t="inlineStr">
        <is>
          <t>ЕАЭС N RU Д-RU.РА03.В.64590/22</t>
        </is>
      </c>
      <c r="AG62" s="66" t="n"/>
      <c r="AJ62" s="69" t="inlineStr">
        <is>
          <t>Короб</t>
        </is>
      </c>
      <c r="AK62" s="69" t="n">
        <v>1</v>
      </c>
      <c r="BB62" s="99" t="inlineStr">
        <is>
          <t>ПГП</t>
        </is>
      </c>
      <c r="BM62" s="66">
        <f>IFERROR(X62*I62,"0")</f>
        <v/>
      </c>
      <c r="BN62" s="66">
        <f>IFERROR(Y62*I62,"0")</f>
        <v/>
      </c>
      <c r="BO62" s="66">
        <f>IFERROR(X62/J62,"0")</f>
        <v/>
      </c>
      <c r="BP62" s="66">
        <f>IFERROR(Y62/J62,"0")</f>
        <v/>
      </c>
    </row>
    <row r="63">
      <c r="A63" s="318" t="n"/>
      <c r="B63" s="319" t="n"/>
      <c r="C63" s="319" t="n"/>
      <c r="D63" s="319" t="n"/>
      <c r="E63" s="319" t="n"/>
      <c r="F63" s="319" t="n"/>
      <c r="G63" s="319" t="n"/>
      <c r="H63" s="319" t="n"/>
      <c r="I63" s="319" t="n"/>
      <c r="J63" s="319" t="n"/>
      <c r="K63" s="319" t="n"/>
      <c r="L63" s="319" t="n"/>
      <c r="M63" s="319" t="n"/>
      <c r="N63" s="319" t="n"/>
      <c r="O63" s="320" t="n"/>
      <c r="P63" s="321" t="inlineStr">
        <is>
          <t>Итого</t>
        </is>
      </c>
      <c r="Q63" s="322" t="n"/>
      <c r="R63" s="322" t="n"/>
      <c r="S63" s="322" t="n"/>
      <c r="T63" s="322" t="n"/>
      <c r="U63" s="322" t="n"/>
      <c r="V63" s="323" t="n"/>
      <c r="W63" s="37" t="inlineStr">
        <is>
          <t>кор</t>
        </is>
      </c>
      <c r="X63" s="308">
        <f>IFERROR(SUM(X61:X62),"0")</f>
        <v/>
      </c>
      <c r="Y63" s="308">
        <f>IFERROR(SUM(Y61:Y62),"0")</f>
        <v/>
      </c>
      <c r="Z63" s="308">
        <f>IFERROR(IF(Z61="",0,Z61),"0")+IFERROR(IF(Z62="",0,Z62),"0")</f>
        <v/>
      </c>
      <c r="AA63" s="309" t="n"/>
      <c r="AB63" s="309" t="n"/>
      <c r="AC63" s="309" t="n"/>
    </row>
    <row r="64">
      <c r="A64" s="319" t="n"/>
      <c r="B64" s="319" t="n"/>
      <c r="C64" s="319" t="n"/>
      <c r="D64" s="319" t="n"/>
      <c r="E64" s="319" t="n"/>
      <c r="F64" s="319" t="n"/>
      <c r="G64" s="319" t="n"/>
      <c r="H64" s="319" t="n"/>
      <c r="I64" s="319" t="n"/>
      <c r="J64" s="319" t="n"/>
      <c r="K64" s="319" t="n"/>
      <c r="L64" s="319" t="n"/>
      <c r="M64" s="319" t="n"/>
      <c r="N64" s="319" t="n"/>
      <c r="O64" s="320" t="n"/>
      <c r="P64" s="321" t="inlineStr">
        <is>
          <t>Итого</t>
        </is>
      </c>
      <c r="Q64" s="322" t="n"/>
      <c r="R64" s="322" t="n"/>
      <c r="S64" s="322" t="n"/>
      <c r="T64" s="322" t="n"/>
      <c r="U64" s="322" t="n"/>
      <c r="V64" s="323" t="n"/>
      <c r="W64" s="37" t="inlineStr">
        <is>
          <t>кг</t>
        </is>
      </c>
      <c r="X64" s="308">
        <f>IFERROR(SUMPRODUCT(X61:X62*H61:H62),"0")</f>
        <v/>
      </c>
      <c r="Y64" s="308">
        <f>IFERROR(SUMPRODUCT(Y61:Y62*H61:H62),"0")</f>
        <v/>
      </c>
      <c r="Z64" s="37" t="n"/>
      <c r="AA64" s="309" t="n"/>
      <c r="AB64" s="309" t="n"/>
      <c r="AC64" s="309" t="n"/>
    </row>
    <row r="65" ht="14.25" customHeight="1">
      <c r="A65" s="329" t="inlineStr">
        <is>
          <t>Снеки</t>
        </is>
      </c>
      <c r="B65" s="319" t="n"/>
      <c r="C65" s="319" t="n"/>
      <c r="D65" s="319" t="n"/>
      <c r="E65" s="319" t="n"/>
      <c r="F65" s="319" t="n"/>
      <c r="G65" s="319" t="n"/>
      <c r="H65" s="319" t="n"/>
      <c r="I65" s="319" t="n"/>
      <c r="J65" s="319" t="n"/>
      <c r="K65" s="319" t="n"/>
      <c r="L65" s="319" t="n"/>
      <c r="M65" s="319" t="n"/>
      <c r="N65" s="319" t="n"/>
      <c r="O65" s="319" t="n"/>
      <c r="P65" s="319" t="n"/>
      <c r="Q65" s="319" t="n"/>
      <c r="R65" s="319" t="n"/>
      <c r="S65" s="319" t="n"/>
      <c r="T65" s="319" t="n"/>
      <c r="U65" s="319" t="n"/>
      <c r="V65" s="319" t="n"/>
      <c r="W65" s="319" t="n"/>
      <c r="X65" s="319" t="n"/>
      <c r="Y65" s="319" t="n"/>
      <c r="Z65" s="319" t="n"/>
      <c r="AA65" s="329" t="n"/>
      <c r="AB65" s="329" t="n"/>
      <c r="AC65" s="329" t="n"/>
    </row>
    <row r="66" ht="16.5" customHeight="1">
      <c r="A66" s="53" t="inlineStr">
        <is>
          <t>SU003680</t>
        </is>
      </c>
      <c r="B66" s="53" t="inlineStr">
        <is>
          <t>P004732</t>
        </is>
      </c>
      <c r="C66" s="31" t="n">
        <v>4301135664</v>
      </c>
      <c r="D66" s="316" t="n">
        <v>4607111039705</v>
      </c>
      <c r="E66" s="317" t="n"/>
      <c r="F66" s="305" t="n">
        <v>0.2</v>
      </c>
      <c r="G66" s="32" t="n">
        <v>6</v>
      </c>
      <c r="H66" s="305" t="n">
        <v>1.2</v>
      </c>
      <c r="I66" s="305" t="n">
        <v>1.56</v>
      </c>
      <c r="J66" s="32" t="n">
        <v>140</v>
      </c>
      <c r="K66" s="32" t="inlineStr">
        <is>
          <t>14</t>
        </is>
      </c>
      <c r="L66" s="32" t="inlineStr">
        <is>
          <t>Короб, мин. 1</t>
        </is>
      </c>
      <c r="M66" s="33" t="inlineStr">
        <is>
          <t>МГ</t>
        </is>
      </c>
      <c r="N66" s="33" t="n"/>
      <c r="O66" s="32" t="n">
        <v>365</v>
      </c>
      <c r="P66" s="400">
        <f>HYPERLINK("https://abi.ru/products/Замороженные/Горячая штучка/Foodgital/Снеки/P004732/","Снеки «Чебупели» Фикс.вес 0,2 ТС «Foodgital» ТМ «Горячая штучка»")</f>
        <v/>
      </c>
      <c r="Q66" s="313" t="n"/>
      <c r="R66" s="313" t="n"/>
      <c r="S66" s="313" t="n"/>
      <c r="T66" s="314" t="n"/>
      <c r="U66" s="34" t="n"/>
      <c r="V66" s="34" t="n"/>
      <c r="W66" s="35" t="inlineStr">
        <is>
          <t>кор</t>
        </is>
      </c>
      <c r="X66" s="306" t="n">
        <v>0</v>
      </c>
      <c r="Y66" s="307">
        <f>IFERROR(IF(X66="","",X66),"")</f>
        <v/>
      </c>
      <c r="Z66" s="36">
        <f>IFERROR(IF(X66="","",X66*0.00941),"")</f>
        <v/>
      </c>
      <c r="AA66" s="55" t="n"/>
      <c r="AB66" s="56" t="n"/>
      <c r="AC66" s="100" t="inlineStr">
        <is>
          <t>ЕАЭС N RU Д-RU.РА03.В.64590/22</t>
        </is>
      </c>
      <c r="AG66" s="66" t="n"/>
      <c r="AJ66" s="69" t="inlineStr">
        <is>
          <t>Короб</t>
        </is>
      </c>
      <c r="AK66" s="69" t="n">
        <v>1</v>
      </c>
      <c r="BB66" s="101" t="inlineStr">
        <is>
          <t>ПГП</t>
        </is>
      </c>
      <c r="BM66" s="66">
        <f>IFERROR(X66*I66,"0")</f>
        <v/>
      </c>
      <c r="BN66" s="66">
        <f>IFERROR(Y66*I66,"0")</f>
        <v/>
      </c>
      <c r="BO66" s="66">
        <f>IFERROR(X66/J66,"0")</f>
        <v/>
      </c>
      <c r="BP66" s="66">
        <f>IFERROR(Y66/J66,"0")</f>
        <v/>
      </c>
    </row>
    <row r="67" ht="27" customHeight="1">
      <c r="A67" s="53" t="inlineStr">
        <is>
          <t>SU003677</t>
        </is>
      </c>
      <c r="B67" s="53" t="inlineStr">
        <is>
          <t>P004733</t>
        </is>
      </c>
      <c r="C67" s="31" t="n">
        <v>4301135665</v>
      </c>
      <c r="D67" s="316" t="n">
        <v>4607111039729</v>
      </c>
      <c r="E67" s="317" t="n"/>
      <c r="F67" s="305" t="n">
        <v>0.2</v>
      </c>
      <c r="G67" s="32" t="n">
        <v>6</v>
      </c>
      <c r="H67" s="305" t="n">
        <v>1.2</v>
      </c>
      <c r="I67" s="305" t="n">
        <v>1.56</v>
      </c>
      <c r="J67" s="32" t="n">
        <v>140</v>
      </c>
      <c r="K67" s="32" t="inlineStr">
        <is>
          <t>14</t>
        </is>
      </c>
      <c r="L67" s="32" t="inlineStr">
        <is>
          <t>Короб, мин. 1</t>
        </is>
      </c>
      <c r="M67" s="33" t="inlineStr">
        <is>
          <t>МГ</t>
        </is>
      </c>
      <c r="N67" s="33" t="n"/>
      <c r="O67" s="32" t="n">
        <v>365</v>
      </c>
      <c r="P67" s="491">
        <f>HYPERLINK("https://abi.ru/products/Замороженные/Горячая штучка/Foodgital/Снеки/P004733/","Снеки «Чебупицца Маргарита» Фикс.вес 0,2 ТС «Foodgital» ТМ «Горячая штучка»")</f>
        <v/>
      </c>
      <c r="Q67" s="313" t="n"/>
      <c r="R67" s="313" t="n"/>
      <c r="S67" s="313" t="n"/>
      <c r="T67" s="314" t="n"/>
      <c r="U67" s="34" t="n"/>
      <c r="V67" s="34" t="n"/>
      <c r="W67" s="35" t="inlineStr">
        <is>
          <t>кор</t>
        </is>
      </c>
      <c r="X67" s="306" t="n">
        <v>0</v>
      </c>
      <c r="Y67" s="307">
        <f>IFERROR(IF(X67="","",X67),"")</f>
        <v/>
      </c>
      <c r="Z67" s="36">
        <f>IFERROR(IF(X67="","",X67*0.00941),"")</f>
        <v/>
      </c>
      <c r="AA67" s="55" t="n"/>
      <c r="AB67" s="56" t="n"/>
      <c r="AC67" s="102" t="inlineStr">
        <is>
          <t>ЕАЭС N RU Д-RU.РА04.В.97529/23</t>
        </is>
      </c>
      <c r="AG67" s="66" t="n"/>
      <c r="AJ67" s="69" t="inlineStr">
        <is>
          <t>Короб</t>
        </is>
      </c>
      <c r="AK67" s="69" t="n">
        <v>1</v>
      </c>
      <c r="BB67" s="103" t="inlineStr">
        <is>
          <t>ПГП</t>
        </is>
      </c>
      <c r="BM67" s="66">
        <f>IFERROR(X67*I67,"0")</f>
        <v/>
      </c>
      <c r="BN67" s="66">
        <f>IFERROR(Y67*I67,"0")</f>
        <v/>
      </c>
      <c r="BO67" s="66">
        <f>IFERROR(X67/J67,"0")</f>
        <v/>
      </c>
      <c r="BP67" s="66">
        <f>IFERROR(Y67/J67,"0")</f>
        <v/>
      </c>
    </row>
    <row r="68" ht="27" customHeight="1">
      <c r="A68" s="53" t="inlineStr">
        <is>
          <t>SU003676</t>
        </is>
      </c>
      <c r="B68" s="53" t="inlineStr">
        <is>
          <t>P004818</t>
        </is>
      </c>
      <c r="C68" s="31" t="n">
        <v>4301135702</v>
      </c>
      <c r="D68" s="316" t="n">
        <v>4620207490228</v>
      </c>
      <c r="E68" s="317" t="n"/>
      <c r="F68" s="305" t="n">
        <v>0.2</v>
      </c>
      <c r="G68" s="32" t="n">
        <v>6</v>
      </c>
      <c r="H68" s="305" t="n">
        <v>1.2</v>
      </c>
      <c r="I68" s="305" t="n">
        <v>1.56</v>
      </c>
      <c r="J68" s="32" t="n">
        <v>140</v>
      </c>
      <c r="K68" s="32" t="inlineStr">
        <is>
          <t>14</t>
        </is>
      </c>
      <c r="L68" s="32" t="inlineStr">
        <is>
          <t>Короб, мин. 1</t>
        </is>
      </c>
      <c r="M68" s="33" t="inlineStr">
        <is>
          <t>МГ</t>
        </is>
      </c>
      <c r="N68" s="33" t="n"/>
      <c r="O68" s="32" t="n">
        <v>365</v>
      </c>
      <c r="P68" s="407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/>
      </c>
      <c r="Q68" s="313" t="n"/>
      <c r="R68" s="313" t="n"/>
      <c r="S68" s="313" t="n"/>
      <c r="T68" s="314" t="n"/>
      <c r="U68" s="34" t="n"/>
      <c r="V68" s="34" t="n"/>
      <c r="W68" s="35" t="inlineStr">
        <is>
          <t>кор</t>
        </is>
      </c>
      <c r="X68" s="306" t="n">
        <v>0</v>
      </c>
      <c r="Y68" s="307">
        <f>IFERROR(IF(X68="","",X68),"")</f>
        <v/>
      </c>
      <c r="Z68" s="36">
        <f>IFERROR(IF(X68="","",X68*0.00941),"")</f>
        <v/>
      </c>
      <c r="AA68" s="55" t="n"/>
      <c r="AB68" s="56" t="n"/>
      <c r="AC68" s="104" t="inlineStr">
        <is>
          <t>ЕАЭС N RU Д-RU.РА04.В.97529/23</t>
        </is>
      </c>
      <c r="AG68" s="66" t="n"/>
      <c r="AJ68" s="69" t="inlineStr">
        <is>
          <t>Короб</t>
        </is>
      </c>
      <c r="AK68" s="69" t="n">
        <v>1</v>
      </c>
      <c r="BB68" s="105" t="inlineStr">
        <is>
          <t>ПГП</t>
        </is>
      </c>
      <c r="BM68" s="66">
        <f>IFERROR(X68*I68,"0")</f>
        <v/>
      </c>
      <c r="BN68" s="66">
        <f>IFERROR(Y68*I68,"0")</f>
        <v/>
      </c>
      <c r="BO68" s="66">
        <f>IFERROR(X68/J68,"0")</f>
        <v/>
      </c>
      <c r="BP68" s="66">
        <f>IFERROR(Y68/J68,"0")</f>
        <v/>
      </c>
    </row>
    <row r="69">
      <c r="A69" s="318" t="n"/>
      <c r="B69" s="319" t="n"/>
      <c r="C69" s="319" t="n"/>
      <c r="D69" s="319" t="n"/>
      <c r="E69" s="319" t="n"/>
      <c r="F69" s="319" t="n"/>
      <c r="G69" s="319" t="n"/>
      <c r="H69" s="319" t="n"/>
      <c r="I69" s="319" t="n"/>
      <c r="J69" s="319" t="n"/>
      <c r="K69" s="319" t="n"/>
      <c r="L69" s="319" t="n"/>
      <c r="M69" s="319" t="n"/>
      <c r="N69" s="319" t="n"/>
      <c r="O69" s="320" t="n"/>
      <c r="P69" s="321" t="inlineStr">
        <is>
          <t>Итого</t>
        </is>
      </c>
      <c r="Q69" s="322" t="n"/>
      <c r="R69" s="322" t="n"/>
      <c r="S69" s="322" t="n"/>
      <c r="T69" s="322" t="n"/>
      <c r="U69" s="322" t="n"/>
      <c r="V69" s="323" t="n"/>
      <c r="W69" s="37" t="inlineStr">
        <is>
          <t>кор</t>
        </is>
      </c>
      <c r="X69" s="308">
        <f>IFERROR(SUM(X66:X68),"0")</f>
        <v/>
      </c>
      <c r="Y69" s="308">
        <f>IFERROR(SUM(Y66:Y68),"0")</f>
        <v/>
      </c>
      <c r="Z69" s="308">
        <f>IFERROR(IF(Z66="",0,Z66),"0")+IFERROR(IF(Z67="",0,Z67),"0")+IFERROR(IF(Z68="",0,Z68),"0")</f>
        <v/>
      </c>
      <c r="AA69" s="309" t="n"/>
      <c r="AB69" s="309" t="n"/>
      <c r="AC69" s="309" t="n"/>
    </row>
    <row r="70">
      <c r="A70" s="319" t="n"/>
      <c r="B70" s="319" t="n"/>
      <c r="C70" s="319" t="n"/>
      <c r="D70" s="319" t="n"/>
      <c r="E70" s="319" t="n"/>
      <c r="F70" s="319" t="n"/>
      <c r="G70" s="319" t="n"/>
      <c r="H70" s="319" t="n"/>
      <c r="I70" s="319" t="n"/>
      <c r="J70" s="319" t="n"/>
      <c r="K70" s="319" t="n"/>
      <c r="L70" s="319" t="n"/>
      <c r="M70" s="319" t="n"/>
      <c r="N70" s="319" t="n"/>
      <c r="O70" s="320" t="n"/>
      <c r="P70" s="321" t="inlineStr">
        <is>
          <t>Итого</t>
        </is>
      </c>
      <c r="Q70" s="322" t="n"/>
      <c r="R70" s="322" t="n"/>
      <c r="S70" s="322" t="n"/>
      <c r="T70" s="322" t="n"/>
      <c r="U70" s="322" t="n"/>
      <c r="V70" s="323" t="n"/>
      <c r="W70" s="37" t="inlineStr">
        <is>
          <t>кг</t>
        </is>
      </c>
      <c r="X70" s="308">
        <f>IFERROR(SUMPRODUCT(X66:X68*H66:H68),"0")</f>
        <v/>
      </c>
      <c r="Y70" s="308">
        <f>IFERROR(SUMPRODUCT(Y66:Y68*H66:H68),"0")</f>
        <v/>
      </c>
      <c r="Z70" s="37" t="n"/>
      <c r="AA70" s="309" t="n"/>
      <c r="AB70" s="309" t="n"/>
      <c r="AC70" s="309" t="n"/>
    </row>
    <row r="71" ht="16.5" customHeight="1">
      <c r="A71" s="324" t="inlineStr">
        <is>
          <t>Бульмени вес ГШ</t>
        </is>
      </c>
      <c r="B71" s="319" t="n"/>
      <c r="C71" s="319" t="n"/>
      <c r="D71" s="319" t="n"/>
      <c r="E71" s="319" t="n"/>
      <c r="F71" s="319" t="n"/>
      <c r="G71" s="319" t="n"/>
      <c r="H71" s="319" t="n"/>
      <c r="I71" s="319" t="n"/>
      <c r="J71" s="319" t="n"/>
      <c r="K71" s="319" t="n"/>
      <c r="L71" s="319" t="n"/>
      <c r="M71" s="319" t="n"/>
      <c r="N71" s="319" t="n"/>
      <c r="O71" s="319" t="n"/>
      <c r="P71" s="319" t="n"/>
      <c r="Q71" s="319" t="n"/>
      <c r="R71" s="319" t="n"/>
      <c r="S71" s="319" t="n"/>
      <c r="T71" s="319" t="n"/>
      <c r="U71" s="319" t="n"/>
      <c r="V71" s="319" t="n"/>
      <c r="W71" s="319" t="n"/>
      <c r="X71" s="319" t="n"/>
      <c r="Y71" s="319" t="n"/>
      <c r="Z71" s="319" t="n"/>
      <c r="AA71" s="324" t="n"/>
      <c r="AB71" s="324" t="n"/>
      <c r="AC71" s="324" t="n"/>
    </row>
    <row r="72" ht="14.25" customHeight="1">
      <c r="A72" s="329" t="inlineStr">
        <is>
          <t>Пельмени</t>
        </is>
      </c>
      <c r="B72" s="319" t="n"/>
      <c r="C72" s="319" t="n"/>
      <c r="D72" s="319" t="n"/>
      <c r="E72" s="319" t="n"/>
      <c r="F72" s="319" t="n"/>
      <c r="G72" s="319" t="n"/>
      <c r="H72" s="319" t="n"/>
      <c r="I72" s="319" t="n"/>
      <c r="J72" s="319" t="n"/>
      <c r="K72" s="319" t="n"/>
      <c r="L72" s="319" t="n"/>
      <c r="M72" s="319" t="n"/>
      <c r="N72" s="319" t="n"/>
      <c r="O72" s="319" t="n"/>
      <c r="P72" s="319" t="n"/>
      <c r="Q72" s="319" t="n"/>
      <c r="R72" s="319" t="n"/>
      <c r="S72" s="319" t="n"/>
      <c r="T72" s="319" t="n"/>
      <c r="U72" s="319" t="n"/>
      <c r="V72" s="319" t="n"/>
      <c r="W72" s="319" t="n"/>
      <c r="X72" s="319" t="n"/>
      <c r="Y72" s="319" t="n"/>
      <c r="Z72" s="319" t="n"/>
      <c r="AA72" s="329" t="n"/>
      <c r="AB72" s="329" t="n"/>
      <c r="AC72" s="329" t="n"/>
    </row>
    <row r="73" ht="27" customHeight="1">
      <c r="A73" s="53" t="inlineStr">
        <is>
          <t>SU002798</t>
        </is>
      </c>
      <c r="B73" s="53" t="inlineStr">
        <is>
          <t>P003687</t>
        </is>
      </c>
      <c r="C73" s="31" t="n">
        <v>4301070977</v>
      </c>
      <c r="D73" s="316" t="n">
        <v>4607111037411</v>
      </c>
      <c r="E73" s="317" t="n"/>
      <c r="F73" s="305" t="n">
        <v>2.7</v>
      </c>
      <c r="G73" s="32" t="n">
        <v>1</v>
      </c>
      <c r="H73" s="305" t="n">
        <v>2.7</v>
      </c>
      <c r="I73" s="305" t="n">
        <v>2.8132</v>
      </c>
      <c r="J73" s="32" t="n">
        <v>234</v>
      </c>
      <c r="K73" s="32" t="inlineStr">
        <is>
          <t>18</t>
        </is>
      </c>
      <c r="L73" s="32" t="inlineStr">
        <is>
          <t>Короб, мин. 1</t>
        </is>
      </c>
      <c r="M73" s="33" t="inlineStr">
        <is>
          <t>МГ</t>
        </is>
      </c>
      <c r="N73" s="33" t="n"/>
      <c r="O73" s="32" t="n">
        <v>180</v>
      </c>
      <c r="P73" s="315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/>
      </c>
      <c r="Q73" s="313" t="n"/>
      <c r="R73" s="313" t="n"/>
      <c r="S73" s="313" t="n"/>
      <c r="T73" s="314" t="n"/>
      <c r="U73" s="34" t="n"/>
      <c r="V73" s="34" t="n"/>
      <c r="W73" s="35" t="inlineStr">
        <is>
          <t>кор</t>
        </is>
      </c>
      <c r="X73" s="306" t="n">
        <v>0</v>
      </c>
      <c r="Y73" s="307">
        <f>IFERROR(IF(X73="","",X73),"")</f>
        <v/>
      </c>
      <c r="Z73" s="36">
        <f>IFERROR(IF(X73="","",X73*0.00502),"")</f>
        <v/>
      </c>
      <c r="AA73" s="55" t="n"/>
      <c r="AB73" s="56" t="n"/>
      <c r="AC73" s="106" t="inlineStr">
        <is>
          <t>ЕАЭС N RU Д-RU.РА02.В.13673/23</t>
        </is>
      </c>
      <c r="AG73" s="66" t="n"/>
      <c r="AJ73" s="69" t="inlineStr">
        <is>
          <t>Короб</t>
        </is>
      </c>
      <c r="AK73" s="69" t="n">
        <v>1</v>
      </c>
      <c r="BB73" s="107" t="inlineStr">
        <is>
          <t>ЗПФ</t>
        </is>
      </c>
      <c r="BM73" s="66">
        <f>IFERROR(X73*I73,"0")</f>
        <v/>
      </c>
      <c r="BN73" s="66">
        <f>IFERROR(Y73*I73,"0")</f>
        <v/>
      </c>
      <c r="BO73" s="66">
        <f>IFERROR(X73/J73,"0")</f>
        <v/>
      </c>
      <c r="BP73" s="66">
        <f>IFERROR(Y73/J73,"0")</f>
        <v/>
      </c>
    </row>
    <row r="74" ht="27" customHeight="1">
      <c r="A74" s="53" t="inlineStr">
        <is>
          <t>SU002595</t>
        </is>
      </c>
      <c r="B74" s="53" t="inlineStr">
        <is>
          <t>P003697</t>
        </is>
      </c>
      <c r="C74" s="31" t="n">
        <v>4301070981</v>
      </c>
      <c r="D74" s="316" t="n">
        <v>4607111036728</v>
      </c>
      <c r="E74" s="317" t="n"/>
      <c r="F74" s="305" t="n">
        <v>5</v>
      </c>
      <c r="G74" s="32" t="n">
        <v>1</v>
      </c>
      <c r="H74" s="305" t="n">
        <v>5</v>
      </c>
      <c r="I74" s="305" t="n">
        <v>5.2132</v>
      </c>
      <c r="J74" s="32" t="n">
        <v>144</v>
      </c>
      <c r="K74" s="32" t="inlineStr">
        <is>
          <t>12</t>
        </is>
      </c>
      <c r="L74" s="32" t="inlineStr">
        <is>
          <t>Короб, мин. 1</t>
        </is>
      </c>
      <c r="M74" s="33" t="inlineStr">
        <is>
          <t>МГ</t>
        </is>
      </c>
      <c r="N74" s="33" t="n"/>
      <c r="O74" s="32" t="n">
        <v>180</v>
      </c>
      <c r="P74" s="415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/>
      </c>
      <c r="Q74" s="313" t="n"/>
      <c r="R74" s="313" t="n"/>
      <c r="S74" s="313" t="n"/>
      <c r="T74" s="314" t="n"/>
      <c r="U74" s="34" t="n"/>
      <c r="V74" s="34" t="n"/>
      <c r="W74" s="35" t="inlineStr">
        <is>
          <t>кор</t>
        </is>
      </c>
      <c r="X74" s="306" t="n">
        <v>0</v>
      </c>
      <c r="Y74" s="307">
        <f>IFERROR(IF(X74="","",X74),"")</f>
        <v/>
      </c>
      <c r="Z74" s="36">
        <f>IFERROR(IF(X74="","",X74*0.00866),"")</f>
        <v/>
      </c>
      <c r="AA74" s="55" t="n"/>
      <c r="AB74" s="56" t="n"/>
      <c r="AC74" s="108" t="inlineStr">
        <is>
          <t>ЕАЭС N RU Д-RU.РА02.В.13673/23</t>
        </is>
      </c>
      <c r="AG74" s="66" t="n"/>
      <c r="AJ74" s="69" t="inlineStr">
        <is>
          <t>Короб</t>
        </is>
      </c>
      <c r="AK74" s="69" t="n">
        <v>1</v>
      </c>
      <c r="BB74" s="109" t="inlineStr">
        <is>
          <t>ЗПФ</t>
        </is>
      </c>
      <c r="BM74" s="66">
        <f>IFERROR(X74*I74,"0")</f>
        <v/>
      </c>
      <c r="BN74" s="66">
        <f>IFERROR(Y74*I74,"0")</f>
        <v/>
      </c>
      <c r="BO74" s="66">
        <f>IFERROR(X74/J74,"0")</f>
        <v/>
      </c>
      <c r="BP74" s="66">
        <f>IFERROR(Y74/J74,"0")</f>
        <v/>
      </c>
    </row>
    <row r="75">
      <c r="A75" s="318" t="n"/>
      <c r="B75" s="319" t="n"/>
      <c r="C75" s="319" t="n"/>
      <c r="D75" s="319" t="n"/>
      <c r="E75" s="319" t="n"/>
      <c r="F75" s="319" t="n"/>
      <c r="G75" s="319" t="n"/>
      <c r="H75" s="319" t="n"/>
      <c r="I75" s="319" t="n"/>
      <c r="J75" s="319" t="n"/>
      <c r="K75" s="319" t="n"/>
      <c r="L75" s="319" t="n"/>
      <c r="M75" s="319" t="n"/>
      <c r="N75" s="319" t="n"/>
      <c r="O75" s="320" t="n"/>
      <c r="P75" s="321" t="inlineStr">
        <is>
          <t>Итого</t>
        </is>
      </c>
      <c r="Q75" s="322" t="n"/>
      <c r="R75" s="322" t="n"/>
      <c r="S75" s="322" t="n"/>
      <c r="T75" s="322" t="n"/>
      <c r="U75" s="322" t="n"/>
      <c r="V75" s="323" t="n"/>
      <c r="W75" s="37" t="inlineStr">
        <is>
          <t>кор</t>
        </is>
      </c>
      <c r="X75" s="308">
        <f>IFERROR(SUM(X73:X74),"0")</f>
        <v/>
      </c>
      <c r="Y75" s="308">
        <f>IFERROR(SUM(Y73:Y74),"0")</f>
        <v/>
      </c>
      <c r="Z75" s="308">
        <f>IFERROR(IF(Z73="",0,Z73),"0")+IFERROR(IF(Z74="",0,Z74),"0")</f>
        <v/>
      </c>
      <c r="AA75" s="309" t="n"/>
      <c r="AB75" s="309" t="n"/>
      <c r="AC75" s="309" t="n"/>
    </row>
    <row r="76">
      <c r="A76" s="319" t="n"/>
      <c r="B76" s="319" t="n"/>
      <c r="C76" s="319" t="n"/>
      <c r="D76" s="319" t="n"/>
      <c r="E76" s="319" t="n"/>
      <c r="F76" s="319" t="n"/>
      <c r="G76" s="319" t="n"/>
      <c r="H76" s="319" t="n"/>
      <c r="I76" s="319" t="n"/>
      <c r="J76" s="319" t="n"/>
      <c r="K76" s="319" t="n"/>
      <c r="L76" s="319" t="n"/>
      <c r="M76" s="319" t="n"/>
      <c r="N76" s="319" t="n"/>
      <c r="O76" s="320" t="n"/>
      <c r="P76" s="321" t="inlineStr">
        <is>
          <t>Итого</t>
        </is>
      </c>
      <c r="Q76" s="322" t="n"/>
      <c r="R76" s="322" t="n"/>
      <c r="S76" s="322" t="n"/>
      <c r="T76" s="322" t="n"/>
      <c r="U76" s="322" t="n"/>
      <c r="V76" s="323" t="n"/>
      <c r="W76" s="37" t="inlineStr">
        <is>
          <t>кг</t>
        </is>
      </c>
      <c r="X76" s="308">
        <f>IFERROR(SUMPRODUCT(X73:X74*H73:H74),"0")</f>
        <v/>
      </c>
      <c r="Y76" s="308">
        <f>IFERROR(SUMPRODUCT(Y73:Y74*H73:H74),"0")</f>
        <v/>
      </c>
      <c r="Z76" s="37" t="n"/>
      <c r="AA76" s="309" t="n"/>
      <c r="AB76" s="309" t="n"/>
      <c r="AC76" s="309" t="n"/>
    </row>
    <row r="77" ht="16.5" customHeight="1">
      <c r="A77" s="324" t="inlineStr">
        <is>
          <t>Бельмеши</t>
        </is>
      </c>
      <c r="B77" s="319" t="n"/>
      <c r="C77" s="319" t="n"/>
      <c r="D77" s="319" t="n"/>
      <c r="E77" s="319" t="n"/>
      <c r="F77" s="319" t="n"/>
      <c r="G77" s="319" t="n"/>
      <c r="H77" s="319" t="n"/>
      <c r="I77" s="319" t="n"/>
      <c r="J77" s="319" t="n"/>
      <c r="K77" s="319" t="n"/>
      <c r="L77" s="319" t="n"/>
      <c r="M77" s="319" t="n"/>
      <c r="N77" s="319" t="n"/>
      <c r="O77" s="319" t="n"/>
      <c r="P77" s="319" t="n"/>
      <c r="Q77" s="319" t="n"/>
      <c r="R77" s="319" t="n"/>
      <c r="S77" s="319" t="n"/>
      <c r="T77" s="319" t="n"/>
      <c r="U77" s="319" t="n"/>
      <c r="V77" s="319" t="n"/>
      <c r="W77" s="319" t="n"/>
      <c r="X77" s="319" t="n"/>
      <c r="Y77" s="319" t="n"/>
      <c r="Z77" s="319" t="n"/>
      <c r="AA77" s="324" t="n"/>
      <c r="AB77" s="324" t="n"/>
      <c r="AC77" s="324" t="n"/>
    </row>
    <row r="78" ht="14.25" customHeight="1">
      <c r="A78" s="329" t="inlineStr">
        <is>
          <t>Снеки</t>
        </is>
      </c>
      <c r="B78" s="319" t="n"/>
      <c r="C78" s="319" t="n"/>
      <c r="D78" s="319" t="n"/>
      <c r="E78" s="319" t="n"/>
      <c r="F78" s="319" t="n"/>
      <c r="G78" s="319" t="n"/>
      <c r="H78" s="319" t="n"/>
      <c r="I78" s="319" t="n"/>
      <c r="J78" s="319" t="n"/>
      <c r="K78" s="319" t="n"/>
      <c r="L78" s="319" t="n"/>
      <c r="M78" s="319" t="n"/>
      <c r="N78" s="319" t="n"/>
      <c r="O78" s="319" t="n"/>
      <c r="P78" s="319" t="n"/>
      <c r="Q78" s="319" t="n"/>
      <c r="R78" s="319" t="n"/>
      <c r="S78" s="319" t="n"/>
      <c r="T78" s="319" t="n"/>
      <c r="U78" s="319" t="n"/>
      <c r="V78" s="319" t="n"/>
      <c r="W78" s="319" t="n"/>
      <c r="X78" s="319" t="n"/>
      <c r="Y78" s="319" t="n"/>
      <c r="Z78" s="319" t="n"/>
      <c r="AA78" s="329" t="n"/>
      <c r="AB78" s="329" t="n"/>
      <c r="AC78" s="329" t="n"/>
    </row>
    <row r="79" ht="27" customHeight="1">
      <c r="A79" s="53" t="inlineStr">
        <is>
          <t>SU003593</t>
        </is>
      </c>
      <c r="B79" s="53" t="inlineStr">
        <is>
          <t>P004598</t>
        </is>
      </c>
      <c r="C79" s="31" t="n">
        <v>4301135574</v>
      </c>
      <c r="D79" s="316" t="n">
        <v>4607111033659</v>
      </c>
      <c r="E79" s="317" t="n"/>
      <c r="F79" s="305" t="n">
        <v>0.3</v>
      </c>
      <c r="G79" s="32" t="n">
        <v>12</v>
      </c>
      <c r="H79" s="305" t="n">
        <v>3.6</v>
      </c>
      <c r="I79" s="305" t="n">
        <v>4.3036</v>
      </c>
      <c r="J79" s="32" t="n">
        <v>70</v>
      </c>
      <c r="K79" s="32" t="inlineStr">
        <is>
          <t>14</t>
        </is>
      </c>
      <c r="L79" s="32" t="inlineStr">
        <is>
          <t>Короб, мин. 1</t>
        </is>
      </c>
      <c r="M79" s="33" t="inlineStr">
        <is>
          <t>МГ</t>
        </is>
      </c>
      <c r="N79" s="33" t="n"/>
      <c r="O79" s="32" t="n">
        <v>180</v>
      </c>
      <c r="P79" s="312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/>
      </c>
      <c r="Q79" s="313" t="n"/>
      <c r="R79" s="313" t="n"/>
      <c r="S79" s="313" t="n"/>
      <c r="T79" s="314" t="n"/>
      <c r="U79" s="34" t="n"/>
      <c r="V79" s="34" t="n"/>
      <c r="W79" s="35" t="inlineStr">
        <is>
          <t>кор</t>
        </is>
      </c>
      <c r="X79" s="306" t="n">
        <v>0</v>
      </c>
      <c r="Y79" s="307">
        <f>IFERROR(IF(X79="","",X79),"")</f>
        <v/>
      </c>
      <c r="Z79" s="36">
        <f>IFERROR(IF(X79="","",X79*0.01788),"")</f>
        <v/>
      </c>
      <c r="AA79" s="55" t="n"/>
      <c r="AB79" s="56" t="n"/>
      <c r="AC79" s="110" t="inlineStr">
        <is>
          <t>ЕАЭС N RU Д-RU.РА02.В.49579/23</t>
        </is>
      </c>
      <c r="AG79" s="66" t="n"/>
      <c r="AJ79" s="69" t="inlineStr">
        <is>
          <t>Короб</t>
        </is>
      </c>
      <c r="AK79" s="69" t="n">
        <v>1</v>
      </c>
      <c r="BB79" s="111" t="inlineStr">
        <is>
          <t>ПГП</t>
        </is>
      </c>
      <c r="BM79" s="66">
        <f>IFERROR(X79*I79,"0")</f>
        <v/>
      </c>
      <c r="BN79" s="66">
        <f>IFERROR(Y79*I79,"0")</f>
        <v/>
      </c>
      <c r="BO79" s="66">
        <f>IFERROR(X79/J79,"0")</f>
        <v/>
      </c>
      <c r="BP79" s="66">
        <f>IFERROR(Y79/J79,"0")</f>
        <v/>
      </c>
    </row>
    <row r="80" ht="27" customHeight="1">
      <c r="A80" s="53" t="inlineStr">
        <is>
          <t>SU003592</t>
        </is>
      </c>
      <c r="B80" s="53" t="inlineStr">
        <is>
          <t>P004596</t>
        </is>
      </c>
      <c r="C80" s="31" t="n">
        <v>4301135586</v>
      </c>
      <c r="D80" s="316" t="n">
        <v>4607111033659</v>
      </c>
      <c r="E80" s="317" t="n"/>
      <c r="F80" s="305" t="n">
        <v>0.3</v>
      </c>
      <c r="G80" s="32" t="n">
        <v>6</v>
      </c>
      <c r="H80" s="305" t="n">
        <v>1.8</v>
      </c>
      <c r="I80" s="305" t="n">
        <v>2.2218</v>
      </c>
      <c r="J80" s="32" t="n">
        <v>140</v>
      </c>
      <c r="K80" s="32" t="inlineStr">
        <is>
          <t>14</t>
        </is>
      </c>
      <c r="L80" s="32" t="inlineStr">
        <is>
          <t>Короб, мин. 1</t>
        </is>
      </c>
      <c r="M80" s="33" t="inlineStr">
        <is>
          <t>МГ</t>
        </is>
      </c>
      <c r="N80" s="33" t="n"/>
      <c r="O80" s="32" t="n">
        <v>180</v>
      </c>
      <c r="P80" s="451">
        <f>HYPERLINK("https://abi.ru/products/Замороженные/Горячая штучка/Бельмеши/Снеки/P004596/","Снеки «Бельмеши сочные с мясом» Фикс.вес 0,3 Пакет ТМ «Горячая штучка»")</f>
        <v/>
      </c>
      <c r="Q80" s="313" t="n"/>
      <c r="R80" s="313" t="n"/>
      <c r="S80" s="313" t="n"/>
      <c r="T80" s="314" t="n"/>
      <c r="U80" s="34" t="n"/>
      <c r="V80" s="34" t="n"/>
      <c r="W80" s="35" t="inlineStr">
        <is>
          <t>кор</t>
        </is>
      </c>
      <c r="X80" s="306" t="n">
        <v>0</v>
      </c>
      <c r="Y80" s="307">
        <f>IFERROR(IF(X80="","",X80),"")</f>
        <v/>
      </c>
      <c r="Z80" s="36">
        <f>IFERROR(IF(X80="","",X80*0.00941),"")</f>
        <v/>
      </c>
      <c r="AA80" s="55" t="n"/>
      <c r="AB80" s="56" t="n"/>
      <c r="AC80" s="112" t="inlineStr">
        <is>
          <t>ЕАЭС N RU Д-RU.РА02.В.49579/23</t>
        </is>
      </c>
      <c r="AG80" s="66" t="n"/>
      <c r="AJ80" s="69" t="inlineStr">
        <is>
          <t>Короб</t>
        </is>
      </c>
      <c r="AK80" s="69" t="n">
        <v>1</v>
      </c>
      <c r="BB80" s="113" t="inlineStr">
        <is>
          <t>ПГП</t>
        </is>
      </c>
      <c r="BM80" s="66">
        <f>IFERROR(X80*I80,"0")</f>
        <v/>
      </c>
      <c r="BN80" s="66">
        <f>IFERROR(Y80*I80,"0")</f>
        <v/>
      </c>
      <c r="BO80" s="66">
        <f>IFERROR(X80/J80,"0")</f>
        <v/>
      </c>
      <c r="BP80" s="66">
        <f>IFERROR(Y80/J80,"0")</f>
        <v/>
      </c>
    </row>
    <row r="81">
      <c r="A81" s="318" t="n"/>
      <c r="B81" s="319" t="n"/>
      <c r="C81" s="319" t="n"/>
      <c r="D81" s="319" t="n"/>
      <c r="E81" s="319" t="n"/>
      <c r="F81" s="319" t="n"/>
      <c r="G81" s="319" t="n"/>
      <c r="H81" s="319" t="n"/>
      <c r="I81" s="319" t="n"/>
      <c r="J81" s="319" t="n"/>
      <c r="K81" s="319" t="n"/>
      <c r="L81" s="319" t="n"/>
      <c r="M81" s="319" t="n"/>
      <c r="N81" s="319" t="n"/>
      <c r="O81" s="320" t="n"/>
      <c r="P81" s="321" t="inlineStr">
        <is>
          <t>Итого</t>
        </is>
      </c>
      <c r="Q81" s="322" t="n"/>
      <c r="R81" s="322" t="n"/>
      <c r="S81" s="322" t="n"/>
      <c r="T81" s="322" t="n"/>
      <c r="U81" s="322" t="n"/>
      <c r="V81" s="323" t="n"/>
      <c r="W81" s="37" t="inlineStr">
        <is>
          <t>кор</t>
        </is>
      </c>
      <c r="X81" s="308">
        <f>IFERROR(SUM(X79:X80),"0")</f>
        <v/>
      </c>
      <c r="Y81" s="308">
        <f>IFERROR(SUM(Y79:Y80),"0")</f>
        <v/>
      </c>
      <c r="Z81" s="308">
        <f>IFERROR(IF(Z79="",0,Z79),"0")+IFERROR(IF(Z80="",0,Z80),"0")</f>
        <v/>
      </c>
      <c r="AA81" s="309" t="n"/>
      <c r="AB81" s="309" t="n"/>
      <c r="AC81" s="309" t="n"/>
    </row>
    <row r="82">
      <c r="A82" s="319" t="n"/>
      <c r="B82" s="319" t="n"/>
      <c r="C82" s="319" t="n"/>
      <c r="D82" s="319" t="n"/>
      <c r="E82" s="319" t="n"/>
      <c r="F82" s="319" t="n"/>
      <c r="G82" s="319" t="n"/>
      <c r="H82" s="319" t="n"/>
      <c r="I82" s="319" t="n"/>
      <c r="J82" s="319" t="n"/>
      <c r="K82" s="319" t="n"/>
      <c r="L82" s="319" t="n"/>
      <c r="M82" s="319" t="n"/>
      <c r="N82" s="319" t="n"/>
      <c r="O82" s="320" t="n"/>
      <c r="P82" s="321" t="inlineStr">
        <is>
          <t>Итого</t>
        </is>
      </c>
      <c r="Q82" s="322" t="n"/>
      <c r="R82" s="322" t="n"/>
      <c r="S82" s="322" t="n"/>
      <c r="T82" s="322" t="n"/>
      <c r="U82" s="322" t="n"/>
      <c r="V82" s="323" t="n"/>
      <c r="W82" s="37" t="inlineStr">
        <is>
          <t>кг</t>
        </is>
      </c>
      <c r="X82" s="308">
        <f>IFERROR(SUMPRODUCT(X79:X80*H79:H80),"0")</f>
        <v/>
      </c>
      <c r="Y82" s="308">
        <f>IFERROR(SUMPRODUCT(Y79:Y80*H79:H80),"0")</f>
        <v/>
      </c>
      <c r="Z82" s="37" t="n"/>
      <c r="AA82" s="309" t="n"/>
      <c r="AB82" s="309" t="n"/>
      <c r="AC82" s="309" t="n"/>
    </row>
    <row r="83" ht="16.5" customHeight="1">
      <c r="A83" s="324" t="inlineStr">
        <is>
          <t>Крылышки ГШ</t>
        </is>
      </c>
      <c r="B83" s="319" t="n"/>
      <c r="C83" s="319" t="n"/>
      <c r="D83" s="319" t="n"/>
      <c r="E83" s="319" t="n"/>
      <c r="F83" s="319" t="n"/>
      <c r="G83" s="319" t="n"/>
      <c r="H83" s="319" t="n"/>
      <c r="I83" s="319" t="n"/>
      <c r="J83" s="319" t="n"/>
      <c r="K83" s="319" t="n"/>
      <c r="L83" s="319" t="n"/>
      <c r="M83" s="319" t="n"/>
      <c r="N83" s="319" t="n"/>
      <c r="O83" s="319" t="n"/>
      <c r="P83" s="319" t="n"/>
      <c r="Q83" s="319" t="n"/>
      <c r="R83" s="319" t="n"/>
      <c r="S83" s="319" t="n"/>
      <c r="T83" s="319" t="n"/>
      <c r="U83" s="319" t="n"/>
      <c r="V83" s="319" t="n"/>
      <c r="W83" s="319" t="n"/>
      <c r="X83" s="319" t="n"/>
      <c r="Y83" s="319" t="n"/>
      <c r="Z83" s="319" t="n"/>
      <c r="AA83" s="324" t="n"/>
      <c r="AB83" s="324" t="n"/>
      <c r="AC83" s="324" t="n"/>
    </row>
    <row r="84" ht="14.25" customHeight="1">
      <c r="A84" s="329" t="inlineStr">
        <is>
          <t>Крылья</t>
        </is>
      </c>
      <c r="B84" s="319" t="n"/>
      <c r="C84" s="319" t="n"/>
      <c r="D84" s="319" t="n"/>
      <c r="E84" s="319" t="n"/>
      <c r="F84" s="319" t="n"/>
      <c r="G84" s="319" t="n"/>
      <c r="H84" s="319" t="n"/>
      <c r="I84" s="319" t="n"/>
      <c r="J84" s="319" t="n"/>
      <c r="K84" s="319" t="n"/>
      <c r="L84" s="319" t="n"/>
      <c r="M84" s="319" t="n"/>
      <c r="N84" s="319" t="n"/>
      <c r="O84" s="319" t="n"/>
      <c r="P84" s="319" t="n"/>
      <c r="Q84" s="319" t="n"/>
      <c r="R84" s="319" t="n"/>
      <c r="S84" s="319" t="n"/>
      <c r="T84" s="319" t="n"/>
      <c r="U84" s="319" t="n"/>
      <c r="V84" s="319" t="n"/>
      <c r="W84" s="319" t="n"/>
      <c r="X84" s="319" t="n"/>
      <c r="Y84" s="319" t="n"/>
      <c r="Z84" s="319" t="n"/>
      <c r="AA84" s="329" t="n"/>
      <c r="AB84" s="329" t="n"/>
      <c r="AC84" s="329" t="n"/>
    </row>
    <row r="85" ht="27" customHeight="1">
      <c r="A85" s="53" t="inlineStr">
        <is>
          <t>SU003591</t>
        </is>
      </c>
      <c r="B85" s="53" t="inlineStr">
        <is>
          <t>P004588</t>
        </is>
      </c>
      <c r="C85" s="31" t="n">
        <v>4301131047</v>
      </c>
      <c r="D85" s="316" t="n">
        <v>4607111034120</v>
      </c>
      <c r="E85" s="317" t="n"/>
      <c r="F85" s="305" t="n">
        <v>0.3</v>
      </c>
      <c r="G85" s="32" t="n">
        <v>12</v>
      </c>
      <c r="H85" s="305" t="n">
        <v>3.6</v>
      </c>
      <c r="I85" s="305" t="n">
        <v>4.3036</v>
      </c>
      <c r="J85" s="32" t="n">
        <v>70</v>
      </c>
      <c r="K85" s="32" t="inlineStr">
        <is>
          <t>14</t>
        </is>
      </c>
      <c r="L85" s="32" t="inlineStr">
        <is>
          <t>Короб, мин. 1</t>
        </is>
      </c>
      <c r="M85" s="33" t="inlineStr">
        <is>
          <t>МГ</t>
        </is>
      </c>
      <c r="N85" s="33" t="n"/>
      <c r="O85" s="32" t="n">
        <v>180</v>
      </c>
      <c r="P85" s="502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/>
      </c>
      <c r="Q85" s="313" t="n"/>
      <c r="R85" s="313" t="n"/>
      <c r="S85" s="313" t="n"/>
      <c r="T85" s="314" t="n"/>
      <c r="U85" s="34" t="n"/>
      <c r="V85" s="34" t="n"/>
      <c r="W85" s="35" t="inlineStr">
        <is>
          <t>кор</t>
        </is>
      </c>
      <c r="X85" s="306" t="n">
        <v>0</v>
      </c>
      <c r="Y85" s="307">
        <f>IFERROR(IF(X85="","",X85),"")</f>
        <v/>
      </c>
      <c r="Z85" s="36">
        <f>IFERROR(IF(X85="","",X85*0.01788),"")</f>
        <v/>
      </c>
      <c r="AA85" s="55" t="n"/>
      <c r="AB85" s="56" t="n"/>
      <c r="AC85" s="114" t="inlineStr">
        <is>
          <t>ЕАЭС N RU Д-RU.РА10.В.35725/23</t>
        </is>
      </c>
      <c r="AG85" s="66" t="n"/>
      <c r="AJ85" s="69" t="inlineStr">
        <is>
          <t>Короб</t>
        </is>
      </c>
      <c r="AK85" s="69" t="n">
        <v>1</v>
      </c>
      <c r="BB85" s="115" t="inlineStr">
        <is>
          <t>ПГП</t>
        </is>
      </c>
      <c r="BM85" s="66">
        <f>IFERROR(X85*I85,"0")</f>
        <v/>
      </c>
      <c r="BN85" s="66">
        <f>IFERROR(Y85*I85,"0")</f>
        <v/>
      </c>
      <c r="BO85" s="66">
        <f>IFERROR(X85/J85,"0")</f>
        <v/>
      </c>
      <c r="BP85" s="66">
        <f>IFERROR(Y85/J85,"0")</f>
        <v/>
      </c>
    </row>
    <row r="86" ht="27" customHeight="1">
      <c r="A86" s="53" t="inlineStr">
        <is>
          <t>SU003607</t>
        </is>
      </c>
      <c r="B86" s="53" t="inlineStr">
        <is>
          <t>P004589</t>
        </is>
      </c>
      <c r="C86" s="31" t="n">
        <v>4301131046</v>
      </c>
      <c r="D86" s="316" t="n">
        <v>4607111034137</v>
      </c>
      <c r="E86" s="317" t="n"/>
      <c r="F86" s="305" t="n">
        <v>0.3</v>
      </c>
      <c r="G86" s="32" t="n">
        <v>12</v>
      </c>
      <c r="H86" s="305" t="n">
        <v>3.6</v>
      </c>
      <c r="I86" s="305" t="n">
        <v>4.3036</v>
      </c>
      <c r="J86" s="32" t="n">
        <v>70</v>
      </c>
      <c r="K86" s="32" t="inlineStr">
        <is>
          <t>14</t>
        </is>
      </c>
      <c r="L86" s="32" t="inlineStr">
        <is>
          <t>Короб, мин. 1</t>
        </is>
      </c>
      <c r="M86" s="33" t="inlineStr">
        <is>
          <t>МГ</t>
        </is>
      </c>
      <c r="N86" s="33" t="n"/>
      <c r="O86" s="32" t="n">
        <v>180</v>
      </c>
      <c r="P86" s="330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/>
      </c>
      <c r="Q86" s="313" t="n"/>
      <c r="R86" s="313" t="n"/>
      <c r="S86" s="313" t="n"/>
      <c r="T86" s="314" t="n"/>
      <c r="U86" s="34" t="n"/>
      <c r="V86" s="34" t="n"/>
      <c r="W86" s="35" t="inlineStr">
        <is>
          <t>кор</t>
        </is>
      </c>
      <c r="X86" s="306" t="n">
        <v>0</v>
      </c>
      <c r="Y86" s="307">
        <f>IFERROR(IF(X86="","",X86),"")</f>
        <v/>
      </c>
      <c r="Z86" s="36">
        <f>IFERROR(IF(X86="","",X86*0.01788),"")</f>
        <v/>
      </c>
      <c r="AA86" s="55" t="n"/>
      <c r="AB86" s="56" t="n"/>
      <c r="AC86" s="116" t="inlineStr">
        <is>
          <t>ЕАЭС N RU Д-RU.РА01.В.97554/24</t>
        </is>
      </c>
      <c r="AG86" s="66" t="n"/>
      <c r="AJ86" s="69" t="inlineStr">
        <is>
          <t>Короб</t>
        </is>
      </c>
      <c r="AK86" s="69" t="n">
        <v>1</v>
      </c>
      <c r="BB86" s="117" t="inlineStr">
        <is>
          <t>ПГП</t>
        </is>
      </c>
      <c r="BM86" s="66">
        <f>IFERROR(X86*I86,"0")</f>
        <v/>
      </c>
      <c r="BN86" s="66">
        <f>IFERROR(Y86*I86,"0")</f>
        <v/>
      </c>
      <c r="BO86" s="66">
        <f>IFERROR(X86/J86,"0")</f>
        <v/>
      </c>
      <c r="BP86" s="66">
        <f>IFERROR(Y86/J86,"0")</f>
        <v/>
      </c>
    </row>
    <row r="87">
      <c r="A87" s="318" t="n"/>
      <c r="B87" s="319" t="n"/>
      <c r="C87" s="319" t="n"/>
      <c r="D87" s="319" t="n"/>
      <c r="E87" s="319" t="n"/>
      <c r="F87" s="319" t="n"/>
      <c r="G87" s="319" t="n"/>
      <c r="H87" s="319" t="n"/>
      <c r="I87" s="319" t="n"/>
      <c r="J87" s="319" t="n"/>
      <c r="K87" s="319" t="n"/>
      <c r="L87" s="319" t="n"/>
      <c r="M87" s="319" t="n"/>
      <c r="N87" s="319" t="n"/>
      <c r="O87" s="320" t="n"/>
      <c r="P87" s="321" t="inlineStr">
        <is>
          <t>Итого</t>
        </is>
      </c>
      <c r="Q87" s="322" t="n"/>
      <c r="R87" s="322" t="n"/>
      <c r="S87" s="322" t="n"/>
      <c r="T87" s="322" t="n"/>
      <c r="U87" s="322" t="n"/>
      <c r="V87" s="323" t="n"/>
      <c r="W87" s="37" t="inlineStr">
        <is>
          <t>кор</t>
        </is>
      </c>
      <c r="X87" s="308">
        <f>IFERROR(SUM(X85:X86),"0")</f>
        <v/>
      </c>
      <c r="Y87" s="308">
        <f>IFERROR(SUM(Y85:Y86),"0")</f>
        <v/>
      </c>
      <c r="Z87" s="308">
        <f>IFERROR(IF(Z85="",0,Z85),"0")+IFERROR(IF(Z86="",0,Z86),"0")</f>
        <v/>
      </c>
      <c r="AA87" s="309" t="n"/>
      <c r="AB87" s="309" t="n"/>
      <c r="AC87" s="309" t="n"/>
    </row>
    <row r="88">
      <c r="A88" s="319" t="n"/>
      <c r="B88" s="319" t="n"/>
      <c r="C88" s="319" t="n"/>
      <c r="D88" s="319" t="n"/>
      <c r="E88" s="319" t="n"/>
      <c r="F88" s="319" t="n"/>
      <c r="G88" s="319" t="n"/>
      <c r="H88" s="319" t="n"/>
      <c r="I88" s="319" t="n"/>
      <c r="J88" s="319" t="n"/>
      <c r="K88" s="319" t="n"/>
      <c r="L88" s="319" t="n"/>
      <c r="M88" s="319" t="n"/>
      <c r="N88" s="319" t="n"/>
      <c r="O88" s="320" t="n"/>
      <c r="P88" s="321" t="inlineStr">
        <is>
          <t>Итого</t>
        </is>
      </c>
      <c r="Q88" s="322" t="n"/>
      <c r="R88" s="322" t="n"/>
      <c r="S88" s="322" t="n"/>
      <c r="T88" s="322" t="n"/>
      <c r="U88" s="322" t="n"/>
      <c r="V88" s="323" t="n"/>
      <c r="W88" s="37" t="inlineStr">
        <is>
          <t>кг</t>
        </is>
      </c>
      <c r="X88" s="308">
        <f>IFERROR(SUMPRODUCT(X85:X86*H85:H86),"0")</f>
        <v/>
      </c>
      <c r="Y88" s="308">
        <f>IFERROR(SUMPRODUCT(Y85:Y86*H85:H86),"0")</f>
        <v/>
      </c>
      <c r="Z88" s="37" t="n"/>
      <c r="AA88" s="309" t="n"/>
      <c r="AB88" s="309" t="n"/>
      <c r="AC88" s="309" t="n"/>
    </row>
    <row r="89" ht="16.5" customHeight="1">
      <c r="A89" s="324" t="inlineStr">
        <is>
          <t>Чебупели</t>
        </is>
      </c>
      <c r="B89" s="319" t="n"/>
      <c r="C89" s="319" t="n"/>
      <c r="D89" s="319" t="n"/>
      <c r="E89" s="319" t="n"/>
      <c r="F89" s="319" t="n"/>
      <c r="G89" s="319" t="n"/>
      <c r="H89" s="319" t="n"/>
      <c r="I89" s="319" t="n"/>
      <c r="J89" s="319" t="n"/>
      <c r="K89" s="319" t="n"/>
      <c r="L89" s="319" t="n"/>
      <c r="M89" s="319" t="n"/>
      <c r="N89" s="319" t="n"/>
      <c r="O89" s="319" t="n"/>
      <c r="P89" s="319" t="n"/>
      <c r="Q89" s="319" t="n"/>
      <c r="R89" s="319" t="n"/>
      <c r="S89" s="319" t="n"/>
      <c r="T89" s="319" t="n"/>
      <c r="U89" s="319" t="n"/>
      <c r="V89" s="319" t="n"/>
      <c r="W89" s="319" t="n"/>
      <c r="X89" s="319" t="n"/>
      <c r="Y89" s="319" t="n"/>
      <c r="Z89" s="319" t="n"/>
      <c r="AA89" s="324" t="n"/>
      <c r="AB89" s="324" t="n"/>
      <c r="AC89" s="324" t="n"/>
    </row>
    <row r="90" ht="14.25" customHeight="1">
      <c r="A90" s="329" t="inlineStr">
        <is>
          <t>Снеки</t>
        </is>
      </c>
      <c r="B90" s="319" t="n"/>
      <c r="C90" s="319" t="n"/>
      <c r="D90" s="319" t="n"/>
      <c r="E90" s="319" t="n"/>
      <c r="F90" s="319" t="n"/>
      <c r="G90" s="319" t="n"/>
      <c r="H90" s="319" t="n"/>
      <c r="I90" s="319" t="n"/>
      <c r="J90" s="319" t="n"/>
      <c r="K90" s="319" t="n"/>
      <c r="L90" s="319" t="n"/>
      <c r="M90" s="319" t="n"/>
      <c r="N90" s="319" t="n"/>
      <c r="O90" s="319" t="n"/>
      <c r="P90" s="319" t="n"/>
      <c r="Q90" s="319" t="n"/>
      <c r="R90" s="319" t="n"/>
      <c r="S90" s="319" t="n"/>
      <c r="T90" s="319" t="n"/>
      <c r="U90" s="319" t="n"/>
      <c r="V90" s="319" t="n"/>
      <c r="W90" s="319" t="n"/>
      <c r="X90" s="319" t="n"/>
      <c r="Y90" s="319" t="n"/>
      <c r="Z90" s="319" t="n"/>
      <c r="AA90" s="329" t="n"/>
      <c r="AB90" s="329" t="n"/>
      <c r="AC90" s="329" t="n"/>
    </row>
    <row r="91" ht="27" customHeight="1">
      <c r="A91" s="53" t="inlineStr">
        <is>
          <t>SU003887</t>
        </is>
      </c>
      <c r="B91" s="53" t="inlineStr">
        <is>
          <t>P004969</t>
        </is>
      </c>
      <c r="C91" s="31" t="n">
        <v>4301135763</v>
      </c>
      <c r="D91" s="316" t="n">
        <v>4620207491027</v>
      </c>
      <c r="E91" s="317" t="n"/>
      <c r="F91" s="305" t="n">
        <v>0.24</v>
      </c>
      <c r="G91" s="32" t="n">
        <v>12</v>
      </c>
      <c r="H91" s="305" t="n">
        <v>2.88</v>
      </c>
      <c r="I91" s="305" t="n">
        <v>3.5836</v>
      </c>
      <c r="J91" s="32" t="n">
        <v>70</v>
      </c>
      <c r="K91" s="32" t="inlineStr">
        <is>
          <t>14</t>
        </is>
      </c>
      <c r="L91" s="32" t="inlineStr">
        <is>
          <t>Короб, мин. 1</t>
        </is>
      </c>
      <c r="M91" s="33" t="inlineStr">
        <is>
          <t>МГ</t>
        </is>
      </c>
      <c r="N91" s="33" t="n"/>
      <c r="O91" s="32" t="n">
        <v>180</v>
      </c>
      <c r="P91" s="431" t="inlineStr">
        <is>
          <t>Снеки «Готовые чебупели острые с мясом» Фикс.вес 0,24 ТМ «Горячая штучка»</t>
        </is>
      </c>
      <c r="Q91" s="313" t="n"/>
      <c r="R91" s="313" t="n"/>
      <c r="S91" s="313" t="n"/>
      <c r="T91" s="314" t="n"/>
      <c r="U91" s="34" t="n"/>
      <c r="V91" s="34" t="n"/>
      <c r="W91" s="35" t="inlineStr">
        <is>
          <t>кор</t>
        </is>
      </c>
      <c r="X91" s="306" t="n">
        <v>0</v>
      </c>
      <c r="Y91" s="307">
        <f>IFERROR(IF(X91="","",X91),"")</f>
        <v/>
      </c>
      <c r="Z91" s="36">
        <f>IFERROR(IF(X91="","",X91*0.01788),"")</f>
        <v/>
      </c>
      <c r="AA91" s="55" t="n"/>
      <c r="AB91" s="56" t="n"/>
      <c r="AC91" s="118" t="inlineStr">
        <is>
          <t>ЕАЭС N RU Д-RU.РА02.В.49579/23</t>
        </is>
      </c>
      <c r="AG91" s="66" t="n"/>
      <c r="AJ91" s="69" t="inlineStr">
        <is>
          <t>Короб</t>
        </is>
      </c>
      <c r="AK91" s="69" t="n">
        <v>1</v>
      </c>
      <c r="BB91" s="119" t="inlineStr">
        <is>
          <t>ПГП</t>
        </is>
      </c>
      <c r="BM91" s="66">
        <f>IFERROR(X91*I91,"0")</f>
        <v/>
      </c>
      <c r="BN91" s="66">
        <f>IFERROR(Y91*I91,"0")</f>
        <v/>
      </c>
      <c r="BO91" s="66">
        <f>IFERROR(X91/J91,"0")</f>
        <v/>
      </c>
      <c r="BP91" s="66">
        <f>IFERROR(Y91/J91,"0")</f>
        <v/>
      </c>
    </row>
    <row r="92" ht="27" customHeight="1">
      <c r="A92" s="53" t="inlineStr">
        <is>
          <t>SU003889</t>
        </is>
      </c>
      <c r="B92" s="53" t="inlineStr">
        <is>
          <t>P004971</t>
        </is>
      </c>
      <c r="C92" s="31" t="n">
        <v>4301135793</v>
      </c>
      <c r="D92" s="316" t="n">
        <v>4620207491003</v>
      </c>
      <c r="E92" s="317" t="n"/>
      <c r="F92" s="305" t="n">
        <v>0.24</v>
      </c>
      <c r="G92" s="32" t="n">
        <v>12</v>
      </c>
      <c r="H92" s="305" t="n">
        <v>2.88</v>
      </c>
      <c r="I92" s="305" t="n">
        <v>3.5836</v>
      </c>
      <c r="J92" s="32" t="n">
        <v>70</v>
      </c>
      <c r="K92" s="32" t="inlineStr">
        <is>
          <t>14</t>
        </is>
      </c>
      <c r="L92" s="32" t="inlineStr">
        <is>
          <t>Короб, мин. 1</t>
        </is>
      </c>
      <c r="M92" s="33" t="inlineStr">
        <is>
          <t>МГ</t>
        </is>
      </c>
      <c r="N92" s="33" t="n"/>
      <c r="O92" s="32" t="n">
        <v>180</v>
      </c>
      <c r="P92" s="350" t="inlineStr">
        <is>
          <t>Снеки «Готовые чебупели с ветчиной и сыром» Фикс.вес 0,24 ТМ «Горячая штучка»</t>
        </is>
      </c>
      <c r="Q92" s="313" t="n"/>
      <c r="R92" s="313" t="n"/>
      <c r="S92" s="313" t="n"/>
      <c r="T92" s="314" t="n"/>
      <c r="U92" s="34" t="n"/>
      <c r="V92" s="34" t="n"/>
      <c r="W92" s="35" t="inlineStr">
        <is>
          <t>кор</t>
        </is>
      </c>
      <c r="X92" s="306" t="n">
        <v>0</v>
      </c>
      <c r="Y92" s="307">
        <f>IFERROR(IF(X92="","",X92),"")</f>
        <v/>
      </c>
      <c r="Z92" s="36">
        <f>IFERROR(IF(X92="","",X92*0.01788),"")</f>
        <v/>
      </c>
      <c r="AA92" s="55" t="n"/>
      <c r="AB92" s="56" t="n"/>
      <c r="AC92" s="120" t="inlineStr">
        <is>
          <t>ЕАЭС N RU Д-RU.РА02.В.49579/23</t>
        </is>
      </c>
      <c r="AG92" s="66" t="n"/>
      <c r="AJ92" s="69" t="inlineStr">
        <is>
          <t>Короб</t>
        </is>
      </c>
      <c r="AK92" s="69" t="n">
        <v>1</v>
      </c>
      <c r="BB92" s="121" t="inlineStr">
        <is>
          <t>ПГП</t>
        </is>
      </c>
      <c r="BM92" s="66">
        <f>IFERROR(X92*I92,"0")</f>
        <v/>
      </c>
      <c r="BN92" s="66">
        <f>IFERROR(Y92*I92,"0")</f>
        <v/>
      </c>
      <c r="BO92" s="66">
        <f>IFERROR(X92/J92,"0")</f>
        <v/>
      </c>
      <c r="BP92" s="66">
        <f>IFERROR(Y92/J92,"0")</f>
        <v/>
      </c>
    </row>
    <row r="93" ht="27" customHeight="1">
      <c r="A93" s="53" t="inlineStr">
        <is>
          <t>SU003892</t>
        </is>
      </c>
      <c r="B93" s="53" t="inlineStr">
        <is>
          <t>P004974</t>
        </is>
      </c>
      <c r="C93" s="31" t="n">
        <v>4301135768</v>
      </c>
      <c r="D93" s="316" t="n">
        <v>4620207491034</v>
      </c>
      <c r="E93" s="317" t="n"/>
      <c r="F93" s="305" t="n">
        <v>0.24</v>
      </c>
      <c r="G93" s="32" t="n">
        <v>12</v>
      </c>
      <c r="H93" s="305" t="n">
        <v>2.88</v>
      </c>
      <c r="I93" s="305" t="n">
        <v>3.5836</v>
      </c>
      <c r="J93" s="32" t="n">
        <v>70</v>
      </c>
      <c r="K93" s="32" t="inlineStr">
        <is>
          <t>14</t>
        </is>
      </c>
      <c r="L93" s="32" t="inlineStr">
        <is>
          <t>Короб, мин. 1</t>
        </is>
      </c>
      <c r="M93" s="33" t="inlineStr">
        <is>
          <t>МГ</t>
        </is>
      </c>
      <c r="N93" s="33" t="n"/>
      <c r="O93" s="32" t="n">
        <v>180</v>
      </c>
      <c r="P93" s="457" t="inlineStr">
        <is>
          <t>Снеки «Готовые чебупели с мясом» Фикс.вес 0,24 ТМ «Горячая штучка»</t>
        </is>
      </c>
      <c r="Q93" s="313" t="n"/>
      <c r="R93" s="313" t="n"/>
      <c r="S93" s="313" t="n"/>
      <c r="T93" s="314" t="n"/>
      <c r="U93" s="34" t="n"/>
      <c r="V93" s="34" t="n"/>
      <c r="W93" s="35" t="inlineStr">
        <is>
          <t>кор</t>
        </is>
      </c>
      <c r="X93" s="306" t="n">
        <v>0</v>
      </c>
      <c r="Y93" s="307">
        <f>IFERROR(IF(X93="","",X93),"")</f>
        <v/>
      </c>
      <c r="Z93" s="36">
        <f>IFERROR(IF(X93="","",X93*0.01788),"")</f>
        <v/>
      </c>
      <c r="AA93" s="55" t="n"/>
      <c r="AB93" s="56" t="n"/>
      <c r="AC93" s="122" t="inlineStr">
        <is>
          <t>ЕАЭС N RU Д-RU.РА01.В.13713/23</t>
        </is>
      </c>
      <c r="AG93" s="66" t="n"/>
      <c r="AJ93" s="69" t="inlineStr">
        <is>
          <t>Короб</t>
        </is>
      </c>
      <c r="AK93" s="69" t="n">
        <v>1</v>
      </c>
      <c r="BB93" s="123" t="inlineStr">
        <is>
          <t>ПГП</t>
        </is>
      </c>
      <c r="BM93" s="66">
        <f>IFERROR(X93*I93,"0")</f>
        <v/>
      </c>
      <c r="BN93" s="66">
        <f>IFERROR(Y93*I93,"0")</f>
        <v/>
      </c>
      <c r="BO93" s="66">
        <f>IFERROR(X93/J93,"0")</f>
        <v/>
      </c>
      <c r="BP93" s="66">
        <f>IFERROR(Y93/J93,"0")</f>
        <v/>
      </c>
    </row>
    <row r="94" ht="27" customHeight="1">
      <c r="A94" s="53" t="inlineStr">
        <is>
          <t>SU003884</t>
        </is>
      </c>
      <c r="B94" s="53" t="inlineStr">
        <is>
          <t>P004966</t>
        </is>
      </c>
      <c r="C94" s="31" t="n">
        <v>4301135760</v>
      </c>
      <c r="D94" s="316" t="n">
        <v>4620207491010</v>
      </c>
      <c r="E94" s="317" t="n"/>
      <c r="F94" s="305" t="n">
        <v>0.24</v>
      </c>
      <c r="G94" s="32" t="n">
        <v>12</v>
      </c>
      <c r="H94" s="305" t="n">
        <v>2.88</v>
      </c>
      <c r="I94" s="305" t="n">
        <v>3.5836</v>
      </c>
      <c r="J94" s="32" t="n">
        <v>70</v>
      </c>
      <c r="K94" s="32" t="inlineStr">
        <is>
          <t>14</t>
        </is>
      </c>
      <c r="L94" s="32" t="inlineStr">
        <is>
          <t>Короб, мин. 1</t>
        </is>
      </c>
      <c r="M94" s="33" t="inlineStr">
        <is>
          <t>МГ</t>
        </is>
      </c>
      <c r="N94" s="33" t="n"/>
      <c r="O94" s="32" t="n">
        <v>180</v>
      </c>
      <c r="P94" s="352" t="inlineStr">
        <is>
          <t>Снеки «Готовые чебупели сочные с мясом» Фикс.вес 0,24 ТМ «Горячая штучка»</t>
        </is>
      </c>
      <c r="Q94" s="313" t="n"/>
      <c r="R94" s="313" t="n"/>
      <c r="S94" s="313" t="n"/>
      <c r="T94" s="314" t="n"/>
      <c r="U94" s="34" t="n"/>
      <c r="V94" s="34" t="n"/>
      <c r="W94" s="35" t="inlineStr">
        <is>
          <t>кор</t>
        </is>
      </c>
      <c r="X94" s="306" t="n">
        <v>0</v>
      </c>
      <c r="Y94" s="307">
        <f>IFERROR(IF(X94="","",X94),"")</f>
        <v/>
      </c>
      <c r="Z94" s="36">
        <f>IFERROR(IF(X94="","",X94*0.01788),"")</f>
        <v/>
      </c>
      <c r="AA94" s="55" t="n"/>
      <c r="AB94" s="56" t="n"/>
      <c r="AC94" s="124" t="inlineStr">
        <is>
          <t>ЕАЭС N RU Д-RU.РА02.В.49579/23</t>
        </is>
      </c>
      <c r="AG94" s="66" t="n"/>
      <c r="AJ94" s="69" t="inlineStr">
        <is>
          <t>Короб</t>
        </is>
      </c>
      <c r="AK94" s="69" t="n">
        <v>1</v>
      </c>
      <c r="BB94" s="125" t="inlineStr">
        <is>
          <t>ПГП</t>
        </is>
      </c>
      <c r="BM94" s="66">
        <f>IFERROR(X94*I94,"0")</f>
        <v/>
      </c>
      <c r="BN94" s="66">
        <f>IFERROR(Y94*I94,"0")</f>
        <v/>
      </c>
      <c r="BO94" s="66">
        <f>IFERROR(X94/J94,"0")</f>
        <v/>
      </c>
      <c r="BP94" s="66">
        <f>IFERROR(Y94/J94,"0")</f>
        <v/>
      </c>
    </row>
    <row r="95" ht="27" customHeight="1">
      <c r="A95" s="53" t="inlineStr">
        <is>
          <t>SU003605</t>
        </is>
      </c>
      <c r="B95" s="53" t="inlineStr">
        <is>
          <t>P004595</t>
        </is>
      </c>
      <c r="C95" s="31" t="n">
        <v>4301135571</v>
      </c>
      <c r="D95" s="316" t="n">
        <v>4607111035028</v>
      </c>
      <c r="E95" s="317" t="n"/>
      <c r="F95" s="305" t="n">
        <v>0.48</v>
      </c>
      <c r="G95" s="32" t="n">
        <v>8</v>
      </c>
      <c r="H95" s="305" t="n">
        <v>3.84</v>
      </c>
      <c r="I95" s="305" t="n">
        <v>4.4488</v>
      </c>
      <c r="J95" s="32" t="n">
        <v>70</v>
      </c>
      <c r="K95" s="32" t="inlineStr">
        <is>
          <t>14</t>
        </is>
      </c>
      <c r="L95" s="32" t="inlineStr">
        <is>
          <t>Короб, мин. 1</t>
        </is>
      </c>
      <c r="M95" s="33" t="inlineStr">
        <is>
          <t>МГ</t>
        </is>
      </c>
      <c r="N95" s="33" t="n"/>
      <c r="O95" s="32" t="n">
        <v>180</v>
      </c>
      <c r="P95" s="357" t="inlineStr">
        <is>
          <t>Снеки «Готовые чебупели сочные с мясом» Фикс.вес 0,48 ТМ «Горячая штучка»</t>
        </is>
      </c>
      <c r="Q95" s="313" t="n"/>
      <c r="R95" s="313" t="n"/>
      <c r="S95" s="313" t="n"/>
      <c r="T95" s="314" t="n"/>
      <c r="U95" s="34" t="n"/>
      <c r="V95" s="34" t="n"/>
      <c r="W95" s="35" t="inlineStr">
        <is>
          <t>кор</t>
        </is>
      </c>
      <c r="X95" s="306" t="n">
        <v>0</v>
      </c>
      <c r="Y95" s="307">
        <f>IFERROR(IF(X95="","",X95),"")</f>
        <v/>
      </c>
      <c r="Z95" s="36">
        <f>IFERROR(IF(X95="","",X95*0.01788),"")</f>
        <v/>
      </c>
      <c r="AA95" s="55" t="n"/>
      <c r="AB95" s="56" t="n"/>
      <c r="AC95" s="126" t="inlineStr">
        <is>
          <t>ЕАЭС N RU Д-RU.РА02.В.49579/23</t>
        </is>
      </c>
      <c r="AG95" s="66" t="n"/>
      <c r="AJ95" s="69" t="inlineStr">
        <is>
          <t>Короб</t>
        </is>
      </c>
      <c r="AK95" s="69" t="n">
        <v>1</v>
      </c>
      <c r="BB95" s="127" t="inlineStr">
        <is>
          <t>ПГП</t>
        </is>
      </c>
      <c r="BM95" s="66">
        <f>IFERROR(X95*I95,"0")</f>
        <v/>
      </c>
      <c r="BN95" s="66">
        <f>IFERROR(Y95*I95,"0")</f>
        <v/>
      </c>
      <c r="BO95" s="66">
        <f>IFERROR(X95/J95,"0")</f>
        <v/>
      </c>
      <c r="BP95" s="66">
        <f>IFERROR(Y95/J95,"0")</f>
        <v/>
      </c>
    </row>
    <row r="96" ht="27" customHeight="1">
      <c r="A96" s="53" t="inlineStr">
        <is>
          <t>SU002293</t>
        </is>
      </c>
      <c r="B96" s="53" t="inlineStr">
        <is>
          <t>P004113</t>
        </is>
      </c>
      <c r="C96" s="31" t="n">
        <v>4301135285</v>
      </c>
      <c r="D96" s="316" t="n">
        <v>4607111036407</v>
      </c>
      <c r="E96" s="317" t="n"/>
      <c r="F96" s="305" t="n">
        <v>0.3</v>
      </c>
      <c r="G96" s="32" t="n">
        <v>14</v>
      </c>
      <c r="H96" s="305" t="n">
        <v>4.2</v>
      </c>
      <c r="I96" s="305" t="n">
        <v>4.5292</v>
      </c>
      <c r="J96" s="32" t="n">
        <v>70</v>
      </c>
      <c r="K96" s="32" t="inlineStr">
        <is>
          <t>14</t>
        </is>
      </c>
      <c r="L96" s="32" t="inlineStr">
        <is>
          <t>Короб, мин. 1</t>
        </is>
      </c>
      <c r="M96" s="33" t="inlineStr">
        <is>
          <t>МГ</t>
        </is>
      </c>
      <c r="N96" s="33" t="n"/>
      <c r="O96" s="32" t="n">
        <v>180</v>
      </c>
      <c r="P96" s="429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/>
      </c>
      <c r="Q96" s="313" t="n"/>
      <c r="R96" s="313" t="n"/>
      <c r="S96" s="313" t="n"/>
      <c r="T96" s="314" t="n"/>
      <c r="U96" s="34" t="n"/>
      <c r="V96" s="34" t="n"/>
      <c r="W96" s="35" t="inlineStr">
        <is>
          <t>кор</t>
        </is>
      </c>
      <c r="X96" s="306" t="n">
        <v>0</v>
      </c>
      <c r="Y96" s="307">
        <f>IFERROR(IF(X96="","",X96),"")</f>
        <v/>
      </c>
      <c r="Z96" s="36">
        <f>IFERROR(IF(X96="","",X96*0.01788),"")</f>
        <v/>
      </c>
      <c r="AA96" s="55" t="n"/>
      <c r="AB96" s="56" t="n"/>
      <c r="AC96" s="128" t="inlineStr">
        <is>
          <t>ЕАЭС N RU Д-RU.РА01.В.78287/24, ЕАЭС N RU Д-RU.РА01.В.92613/21</t>
        </is>
      </c>
      <c r="AG96" s="66" t="n"/>
      <c r="AJ96" s="69" t="inlineStr">
        <is>
          <t>Короб</t>
        </is>
      </c>
      <c r="AK96" s="69" t="n">
        <v>1</v>
      </c>
      <c r="BB96" s="129" t="inlineStr">
        <is>
          <t>ПГП</t>
        </is>
      </c>
      <c r="BM96" s="66">
        <f>IFERROR(X96*I96,"0")</f>
        <v/>
      </c>
      <c r="BN96" s="66">
        <f>IFERROR(Y96*I96,"0")</f>
        <v/>
      </c>
      <c r="BO96" s="66">
        <f>IFERROR(X96/J96,"0")</f>
        <v/>
      </c>
      <c r="BP96" s="66">
        <f>IFERROR(Y96/J96,"0")</f>
        <v/>
      </c>
    </row>
    <row r="97">
      <c r="A97" s="318" t="n"/>
      <c r="B97" s="319" t="n"/>
      <c r="C97" s="319" t="n"/>
      <c r="D97" s="319" t="n"/>
      <c r="E97" s="319" t="n"/>
      <c r="F97" s="319" t="n"/>
      <c r="G97" s="319" t="n"/>
      <c r="H97" s="319" t="n"/>
      <c r="I97" s="319" t="n"/>
      <c r="J97" s="319" t="n"/>
      <c r="K97" s="319" t="n"/>
      <c r="L97" s="319" t="n"/>
      <c r="M97" s="319" t="n"/>
      <c r="N97" s="319" t="n"/>
      <c r="O97" s="320" t="n"/>
      <c r="P97" s="321" t="inlineStr">
        <is>
          <t>Итого</t>
        </is>
      </c>
      <c r="Q97" s="322" t="n"/>
      <c r="R97" s="322" t="n"/>
      <c r="S97" s="322" t="n"/>
      <c r="T97" s="322" t="n"/>
      <c r="U97" s="322" t="n"/>
      <c r="V97" s="323" t="n"/>
      <c r="W97" s="37" t="inlineStr">
        <is>
          <t>кор</t>
        </is>
      </c>
      <c r="X97" s="308">
        <f>IFERROR(SUM(X91:X96),"0")</f>
        <v/>
      </c>
      <c r="Y97" s="308">
        <f>IFERROR(SUM(Y91:Y96),"0")</f>
        <v/>
      </c>
      <c r="Z97" s="308">
        <f>IFERROR(IF(Z91="",0,Z91),"0")+IFERROR(IF(Z92="",0,Z92),"0")+IFERROR(IF(Z93="",0,Z93),"0")+IFERROR(IF(Z94="",0,Z94),"0")+IFERROR(IF(Z95="",0,Z95),"0")+IFERROR(IF(Z96="",0,Z96),"0")</f>
        <v/>
      </c>
      <c r="AA97" s="309" t="n"/>
      <c r="AB97" s="309" t="n"/>
      <c r="AC97" s="309" t="n"/>
    </row>
    <row r="98">
      <c r="A98" s="319" t="n"/>
      <c r="B98" s="319" t="n"/>
      <c r="C98" s="319" t="n"/>
      <c r="D98" s="319" t="n"/>
      <c r="E98" s="319" t="n"/>
      <c r="F98" s="319" t="n"/>
      <c r="G98" s="319" t="n"/>
      <c r="H98" s="319" t="n"/>
      <c r="I98" s="319" t="n"/>
      <c r="J98" s="319" t="n"/>
      <c r="K98" s="319" t="n"/>
      <c r="L98" s="319" t="n"/>
      <c r="M98" s="319" t="n"/>
      <c r="N98" s="319" t="n"/>
      <c r="O98" s="320" t="n"/>
      <c r="P98" s="321" t="inlineStr">
        <is>
          <t>Итого</t>
        </is>
      </c>
      <c r="Q98" s="322" t="n"/>
      <c r="R98" s="322" t="n"/>
      <c r="S98" s="322" t="n"/>
      <c r="T98" s="322" t="n"/>
      <c r="U98" s="322" t="n"/>
      <c r="V98" s="323" t="n"/>
      <c r="W98" s="37" t="inlineStr">
        <is>
          <t>кг</t>
        </is>
      </c>
      <c r="X98" s="308">
        <f>IFERROR(SUMPRODUCT(X91:X96*H91:H96),"0")</f>
        <v/>
      </c>
      <c r="Y98" s="308">
        <f>IFERROR(SUMPRODUCT(Y91:Y96*H91:H96),"0")</f>
        <v/>
      </c>
      <c r="Z98" s="37" t="n"/>
      <c r="AA98" s="309" t="n"/>
      <c r="AB98" s="309" t="n"/>
      <c r="AC98" s="309" t="n"/>
    </row>
    <row r="99" ht="16.5" customHeight="1">
      <c r="A99" s="324" t="inlineStr">
        <is>
          <t>Чебуреки ГШ</t>
        </is>
      </c>
      <c r="B99" s="319" t="n"/>
      <c r="C99" s="319" t="n"/>
      <c r="D99" s="319" t="n"/>
      <c r="E99" s="319" t="n"/>
      <c r="F99" s="319" t="n"/>
      <c r="G99" s="319" t="n"/>
      <c r="H99" s="319" t="n"/>
      <c r="I99" s="319" t="n"/>
      <c r="J99" s="319" t="n"/>
      <c r="K99" s="319" t="n"/>
      <c r="L99" s="319" t="n"/>
      <c r="M99" s="319" t="n"/>
      <c r="N99" s="319" t="n"/>
      <c r="O99" s="319" t="n"/>
      <c r="P99" s="319" t="n"/>
      <c r="Q99" s="319" t="n"/>
      <c r="R99" s="319" t="n"/>
      <c r="S99" s="319" t="n"/>
      <c r="T99" s="319" t="n"/>
      <c r="U99" s="319" t="n"/>
      <c r="V99" s="319" t="n"/>
      <c r="W99" s="319" t="n"/>
      <c r="X99" s="319" t="n"/>
      <c r="Y99" s="319" t="n"/>
      <c r="Z99" s="319" t="n"/>
      <c r="AA99" s="324" t="n"/>
      <c r="AB99" s="324" t="n"/>
      <c r="AC99" s="324" t="n"/>
    </row>
    <row r="100" ht="14.25" customHeight="1">
      <c r="A100" s="329" t="inlineStr">
        <is>
          <t>Чебуреки</t>
        </is>
      </c>
      <c r="B100" s="319" t="n"/>
      <c r="C100" s="319" t="n"/>
      <c r="D100" s="319" t="n"/>
      <c r="E100" s="319" t="n"/>
      <c r="F100" s="319" t="n"/>
      <c r="G100" s="319" t="n"/>
      <c r="H100" s="319" t="n"/>
      <c r="I100" s="319" t="n"/>
      <c r="J100" s="319" t="n"/>
      <c r="K100" s="319" t="n"/>
      <c r="L100" s="319" t="n"/>
      <c r="M100" s="319" t="n"/>
      <c r="N100" s="319" t="n"/>
      <c r="O100" s="319" t="n"/>
      <c r="P100" s="319" t="n"/>
      <c r="Q100" s="319" t="n"/>
      <c r="R100" s="319" t="n"/>
      <c r="S100" s="319" t="n"/>
      <c r="T100" s="319" t="n"/>
      <c r="U100" s="319" t="n"/>
      <c r="V100" s="319" t="n"/>
      <c r="W100" s="319" t="n"/>
      <c r="X100" s="319" t="n"/>
      <c r="Y100" s="319" t="n"/>
      <c r="Z100" s="319" t="n"/>
      <c r="AA100" s="329" t="n"/>
      <c r="AB100" s="329" t="n"/>
      <c r="AC100" s="329" t="n"/>
    </row>
    <row r="101" ht="27" customHeight="1">
      <c r="A101" s="53" t="inlineStr">
        <is>
          <t>SU002573</t>
        </is>
      </c>
      <c r="B101" s="53" t="inlineStr">
        <is>
          <t>P004138</t>
        </is>
      </c>
      <c r="C101" s="31" t="n">
        <v>4301136070</v>
      </c>
      <c r="D101" s="316" t="n">
        <v>4607025784012</v>
      </c>
      <c r="E101" s="317" t="n"/>
      <c r="F101" s="305" t="n">
        <v>0.09</v>
      </c>
      <c r="G101" s="32" t="n">
        <v>24</v>
      </c>
      <c r="H101" s="305" t="n">
        <v>2.16</v>
      </c>
      <c r="I101" s="305" t="n">
        <v>2.4912</v>
      </c>
      <c r="J101" s="32" t="n">
        <v>126</v>
      </c>
      <c r="K101" s="32" t="inlineStr">
        <is>
          <t>14</t>
        </is>
      </c>
      <c r="L101" s="32" t="inlineStr">
        <is>
          <t>Короб, мин. 1</t>
        </is>
      </c>
      <c r="M101" s="33" t="inlineStr">
        <is>
          <t>МГ</t>
        </is>
      </c>
      <c r="N101" s="33" t="n"/>
      <c r="O101" s="32" t="n">
        <v>180</v>
      </c>
      <c r="P101" s="479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/>
      </c>
      <c r="Q101" s="313" t="n"/>
      <c r="R101" s="313" t="n"/>
      <c r="S101" s="313" t="n"/>
      <c r="T101" s="314" t="n"/>
      <c r="U101" s="34" t="n"/>
      <c r="V101" s="34" t="n"/>
      <c r="W101" s="35" t="inlineStr">
        <is>
          <t>кор</t>
        </is>
      </c>
      <c r="X101" s="306" t="n">
        <v>0</v>
      </c>
      <c r="Y101" s="307">
        <f>IFERROR(IF(X101="","",X101),"")</f>
        <v/>
      </c>
      <c r="Z101" s="36">
        <f>IFERROR(IF(X101="","",X101*0.00936),"")</f>
        <v/>
      </c>
      <c r="AA101" s="55" t="n"/>
      <c r="AB101" s="56" t="n"/>
      <c r="AC101" s="130" t="inlineStr">
        <is>
          <t>ЕАЭС N RU Д-RU.РА01.В.13713/23, ЕАЭС N RU Д-RU.РА05.В.14262/23</t>
        </is>
      </c>
      <c r="AG101" s="66" t="n"/>
      <c r="AJ101" s="69" t="inlineStr">
        <is>
          <t>Короб</t>
        </is>
      </c>
      <c r="AK101" s="69" t="n">
        <v>1</v>
      </c>
      <c r="BB101" s="131" t="inlineStr">
        <is>
          <t>ПГП</t>
        </is>
      </c>
      <c r="BM101" s="66">
        <f>IFERROR(X101*I101,"0")</f>
        <v/>
      </c>
      <c r="BN101" s="66">
        <f>IFERROR(Y101*I101,"0")</f>
        <v/>
      </c>
      <c r="BO101" s="66">
        <f>IFERROR(X101/J101,"0")</f>
        <v/>
      </c>
      <c r="BP101" s="66">
        <f>IFERROR(Y101/J101,"0")</f>
        <v/>
      </c>
    </row>
    <row r="102" ht="27" customHeight="1">
      <c r="A102" s="53" t="inlineStr">
        <is>
          <t>SU003613</t>
        </is>
      </c>
      <c r="B102" s="53" t="inlineStr">
        <is>
          <t>P004583</t>
        </is>
      </c>
      <c r="C102" s="31" t="n">
        <v>4301136079</v>
      </c>
      <c r="D102" s="316" t="n">
        <v>4607025784319</v>
      </c>
      <c r="E102" s="317" t="n"/>
      <c r="F102" s="305" t="n">
        <v>0.36</v>
      </c>
      <c r="G102" s="32" t="n">
        <v>10</v>
      </c>
      <c r="H102" s="305" t="n">
        <v>3.6</v>
      </c>
      <c r="I102" s="305" t="n">
        <v>4.244</v>
      </c>
      <c r="J102" s="32" t="n">
        <v>70</v>
      </c>
      <c r="K102" s="32" t="inlineStr">
        <is>
          <t>14</t>
        </is>
      </c>
      <c r="L102" s="32" t="inlineStr">
        <is>
          <t>Короб, мин. 1</t>
        </is>
      </c>
      <c r="M102" s="33" t="inlineStr">
        <is>
          <t>МГ</t>
        </is>
      </c>
      <c r="N102" s="33" t="n"/>
      <c r="O102" s="32" t="n">
        <v>180</v>
      </c>
      <c r="P102" s="480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/>
      </c>
      <c r="Q102" s="313" t="n"/>
      <c r="R102" s="313" t="n"/>
      <c r="S102" s="313" t="n"/>
      <c r="T102" s="314" t="n"/>
      <c r="U102" s="34" t="n"/>
      <c r="V102" s="34" t="n"/>
      <c r="W102" s="35" t="inlineStr">
        <is>
          <t>кор</t>
        </is>
      </c>
      <c r="X102" s="306" t="n">
        <v>0</v>
      </c>
      <c r="Y102" s="307">
        <f>IFERROR(IF(X102="","",X102),"")</f>
        <v/>
      </c>
      <c r="Z102" s="36">
        <f>IFERROR(IF(X102="","",X102*0.01788),"")</f>
        <v/>
      </c>
      <c r="AA102" s="55" t="n"/>
      <c r="AB102" s="56" t="n"/>
      <c r="AC102" s="132" t="inlineStr">
        <is>
          <t>ЕАЭС N RU Д-RU.РА02.В.49579/23</t>
        </is>
      </c>
      <c r="AG102" s="66" t="n"/>
      <c r="AJ102" s="69" t="inlineStr">
        <is>
          <t>Короб</t>
        </is>
      </c>
      <c r="AK102" s="69" t="n">
        <v>1</v>
      </c>
      <c r="BB102" s="133" t="inlineStr">
        <is>
          <t>ПГП</t>
        </is>
      </c>
      <c r="BM102" s="66">
        <f>IFERROR(X102*I102,"0")</f>
        <v/>
      </c>
      <c r="BN102" s="66">
        <f>IFERROR(Y102*I102,"0")</f>
        <v/>
      </c>
      <c r="BO102" s="66">
        <f>IFERROR(X102/J102,"0")</f>
        <v/>
      </c>
      <c r="BP102" s="66">
        <f>IFERROR(Y102/J102,"0")</f>
        <v/>
      </c>
    </row>
    <row r="103">
      <c r="A103" s="318" t="n"/>
      <c r="B103" s="319" t="n"/>
      <c r="C103" s="319" t="n"/>
      <c r="D103" s="319" t="n"/>
      <c r="E103" s="319" t="n"/>
      <c r="F103" s="319" t="n"/>
      <c r="G103" s="319" t="n"/>
      <c r="H103" s="319" t="n"/>
      <c r="I103" s="319" t="n"/>
      <c r="J103" s="319" t="n"/>
      <c r="K103" s="319" t="n"/>
      <c r="L103" s="319" t="n"/>
      <c r="M103" s="319" t="n"/>
      <c r="N103" s="319" t="n"/>
      <c r="O103" s="320" t="n"/>
      <c r="P103" s="321" t="inlineStr">
        <is>
          <t>Итого</t>
        </is>
      </c>
      <c r="Q103" s="322" t="n"/>
      <c r="R103" s="322" t="n"/>
      <c r="S103" s="322" t="n"/>
      <c r="T103" s="322" t="n"/>
      <c r="U103" s="322" t="n"/>
      <c r="V103" s="323" t="n"/>
      <c r="W103" s="37" t="inlineStr">
        <is>
          <t>кор</t>
        </is>
      </c>
      <c r="X103" s="308">
        <f>IFERROR(SUM(X101:X102),"0")</f>
        <v/>
      </c>
      <c r="Y103" s="308">
        <f>IFERROR(SUM(Y101:Y102),"0")</f>
        <v/>
      </c>
      <c r="Z103" s="308">
        <f>IFERROR(IF(Z101="",0,Z101),"0")+IFERROR(IF(Z102="",0,Z102),"0")</f>
        <v/>
      </c>
      <c r="AA103" s="309" t="n"/>
      <c r="AB103" s="309" t="n"/>
      <c r="AC103" s="309" t="n"/>
    </row>
    <row r="104">
      <c r="A104" s="319" t="n"/>
      <c r="B104" s="319" t="n"/>
      <c r="C104" s="319" t="n"/>
      <c r="D104" s="319" t="n"/>
      <c r="E104" s="319" t="n"/>
      <c r="F104" s="319" t="n"/>
      <c r="G104" s="319" t="n"/>
      <c r="H104" s="319" t="n"/>
      <c r="I104" s="319" t="n"/>
      <c r="J104" s="319" t="n"/>
      <c r="K104" s="319" t="n"/>
      <c r="L104" s="319" t="n"/>
      <c r="M104" s="319" t="n"/>
      <c r="N104" s="319" t="n"/>
      <c r="O104" s="320" t="n"/>
      <c r="P104" s="321" t="inlineStr">
        <is>
          <t>Итого</t>
        </is>
      </c>
      <c r="Q104" s="322" t="n"/>
      <c r="R104" s="322" t="n"/>
      <c r="S104" s="322" t="n"/>
      <c r="T104" s="322" t="n"/>
      <c r="U104" s="322" t="n"/>
      <c r="V104" s="323" t="n"/>
      <c r="W104" s="37" t="inlineStr">
        <is>
          <t>кг</t>
        </is>
      </c>
      <c r="X104" s="308">
        <f>IFERROR(SUMPRODUCT(X101:X102*H101:H102),"0")</f>
        <v/>
      </c>
      <c r="Y104" s="308">
        <f>IFERROR(SUMPRODUCT(Y101:Y102*H101:H102),"0")</f>
        <v/>
      </c>
      <c r="Z104" s="37" t="n"/>
      <c r="AA104" s="309" t="n"/>
      <c r="AB104" s="309" t="n"/>
      <c r="AC104" s="309" t="n"/>
    </row>
    <row r="105" ht="16.5" customHeight="1">
      <c r="A105" s="324" t="inlineStr">
        <is>
          <t>Бульмени ГШ</t>
        </is>
      </c>
      <c r="B105" s="319" t="n"/>
      <c r="C105" s="319" t="n"/>
      <c r="D105" s="319" t="n"/>
      <c r="E105" s="319" t="n"/>
      <c r="F105" s="319" t="n"/>
      <c r="G105" s="319" t="n"/>
      <c r="H105" s="319" t="n"/>
      <c r="I105" s="319" t="n"/>
      <c r="J105" s="319" t="n"/>
      <c r="K105" s="319" t="n"/>
      <c r="L105" s="319" t="n"/>
      <c r="M105" s="319" t="n"/>
      <c r="N105" s="319" t="n"/>
      <c r="O105" s="319" t="n"/>
      <c r="P105" s="319" t="n"/>
      <c r="Q105" s="319" t="n"/>
      <c r="R105" s="319" t="n"/>
      <c r="S105" s="319" t="n"/>
      <c r="T105" s="319" t="n"/>
      <c r="U105" s="319" t="n"/>
      <c r="V105" s="319" t="n"/>
      <c r="W105" s="319" t="n"/>
      <c r="X105" s="319" t="n"/>
      <c r="Y105" s="319" t="n"/>
      <c r="Z105" s="319" t="n"/>
      <c r="AA105" s="324" t="n"/>
      <c r="AB105" s="324" t="n"/>
      <c r="AC105" s="324" t="n"/>
    </row>
    <row r="106" ht="14.25" customHeight="1">
      <c r="A106" s="329" t="inlineStr">
        <is>
          <t>Пельмени</t>
        </is>
      </c>
      <c r="B106" s="319" t="n"/>
      <c r="C106" s="319" t="n"/>
      <c r="D106" s="319" t="n"/>
      <c r="E106" s="319" t="n"/>
      <c r="F106" s="319" t="n"/>
      <c r="G106" s="319" t="n"/>
      <c r="H106" s="319" t="n"/>
      <c r="I106" s="319" t="n"/>
      <c r="J106" s="319" t="n"/>
      <c r="K106" s="319" t="n"/>
      <c r="L106" s="319" t="n"/>
      <c r="M106" s="319" t="n"/>
      <c r="N106" s="319" t="n"/>
      <c r="O106" s="319" t="n"/>
      <c r="P106" s="319" t="n"/>
      <c r="Q106" s="319" t="n"/>
      <c r="R106" s="319" t="n"/>
      <c r="S106" s="319" t="n"/>
      <c r="T106" s="319" t="n"/>
      <c r="U106" s="319" t="n"/>
      <c r="V106" s="319" t="n"/>
      <c r="W106" s="319" t="n"/>
      <c r="X106" s="319" t="n"/>
      <c r="Y106" s="319" t="n"/>
      <c r="Z106" s="319" t="n"/>
      <c r="AA106" s="329" t="n"/>
      <c r="AB106" s="329" t="n"/>
      <c r="AC106" s="329" t="n"/>
    </row>
    <row r="107" ht="27" customHeight="1">
      <c r="A107" s="53" t="inlineStr">
        <is>
          <t>SU003717</t>
        </is>
      </c>
      <c r="B107" s="53" t="inlineStr">
        <is>
          <t>P004819</t>
        </is>
      </c>
      <c r="C107" s="31" t="n">
        <v>4301071074</v>
      </c>
      <c r="D107" s="316" t="n">
        <v>4620207491157</v>
      </c>
      <c r="E107" s="317" t="n"/>
      <c r="F107" s="305" t="n">
        <v>0.7</v>
      </c>
      <c r="G107" s="32" t="n">
        <v>10</v>
      </c>
      <c r="H107" s="305" t="n">
        <v>7</v>
      </c>
      <c r="I107" s="305" t="n">
        <v>7.28</v>
      </c>
      <c r="J107" s="32" t="n">
        <v>84</v>
      </c>
      <c r="K107" s="32" t="inlineStr">
        <is>
          <t>12</t>
        </is>
      </c>
      <c r="L107" s="32" t="inlineStr">
        <is>
          <t>Короб, мин. 1</t>
        </is>
      </c>
      <c r="M107" s="33" t="inlineStr">
        <is>
          <t>МГ</t>
        </is>
      </c>
      <c r="N107" s="33" t="n"/>
      <c r="O107" s="32" t="n">
        <v>180</v>
      </c>
      <c r="P107" s="478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/>
      </c>
      <c r="Q107" s="313" t="n"/>
      <c r="R107" s="313" t="n"/>
      <c r="S107" s="313" t="n"/>
      <c r="T107" s="314" t="n"/>
      <c r="U107" s="34" t="n"/>
      <c r="V107" s="34" t="n"/>
      <c r="W107" s="35" t="inlineStr">
        <is>
          <t>кор</t>
        </is>
      </c>
      <c r="X107" s="306" t="n">
        <v>0</v>
      </c>
      <c r="Y107" s="307">
        <f>IFERROR(IF(X107="","",X107),"")</f>
        <v/>
      </c>
      <c r="Z107" s="36">
        <f>IFERROR(IF(X107="","",X107*0.0155),"")</f>
        <v/>
      </c>
      <c r="AA107" s="55" t="n"/>
      <c r="AB107" s="56" t="n"/>
      <c r="AC107" s="134" t="inlineStr">
        <is>
          <t>ЕАЭС N RU Д-RU.РА01.В.70735/25</t>
        </is>
      </c>
      <c r="AG107" s="66" t="n"/>
      <c r="AJ107" s="69" t="inlineStr">
        <is>
          <t>Короб</t>
        </is>
      </c>
      <c r="AK107" s="69" t="n">
        <v>1</v>
      </c>
      <c r="BB107" s="135" t="inlineStr">
        <is>
          <t>ЗПФ</t>
        </is>
      </c>
      <c r="BM107" s="66">
        <f>IFERROR(X107*I107,"0")</f>
        <v/>
      </c>
      <c r="BN107" s="66">
        <f>IFERROR(Y107*I107,"0")</f>
        <v/>
      </c>
      <c r="BO107" s="66">
        <f>IFERROR(X107/J107,"0")</f>
        <v/>
      </c>
      <c r="BP107" s="66">
        <f>IFERROR(Y107/J107,"0")</f>
        <v/>
      </c>
    </row>
    <row r="108" ht="27" customHeight="1">
      <c r="A108" s="53" t="inlineStr">
        <is>
          <t>SU003527</t>
        </is>
      </c>
      <c r="B108" s="53" t="inlineStr">
        <is>
          <t>P004474</t>
        </is>
      </c>
      <c r="C108" s="31" t="n">
        <v>4301071051</v>
      </c>
      <c r="D108" s="316" t="n">
        <v>4607111039262</v>
      </c>
      <c r="E108" s="317" t="n"/>
      <c r="F108" s="305" t="n">
        <v>0.4</v>
      </c>
      <c r="G108" s="32" t="n">
        <v>16</v>
      </c>
      <c r="H108" s="305" t="n">
        <v>6.4</v>
      </c>
      <c r="I108" s="305" t="n">
        <v>6.7196</v>
      </c>
      <c r="J108" s="32" t="n">
        <v>84</v>
      </c>
      <c r="K108" s="32" t="inlineStr">
        <is>
          <t>12</t>
        </is>
      </c>
      <c r="L108" s="32" t="inlineStr">
        <is>
          <t>Короб, мин. 1</t>
        </is>
      </c>
      <c r="M108" s="33" t="inlineStr">
        <is>
          <t>МГ</t>
        </is>
      </c>
      <c r="N108" s="33" t="n"/>
      <c r="O108" s="32" t="n">
        <v>180</v>
      </c>
      <c r="P108" s="438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/>
      </c>
      <c r="Q108" s="313" t="n"/>
      <c r="R108" s="313" t="n"/>
      <c r="S108" s="313" t="n"/>
      <c r="T108" s="314" t="n"/>
      <c r="U108" s="34" t="n"/>
      <c r="V108" s="34" t="n"/>
      <c r="W108" s="35" t="inlineStr">
        <is>
          <t>кор</t>
        </is>
      </c>
      <c r="X108" s="306" t="n">
        <v>0</v>
      </c>
      <c r="Y108" s="307">
        <f>IFERROR(IF(X108="","",X108),"")</f>
        <v/>
      </c>
      <c r="Z108" s="36">
        <f>IFERROR(IF(X108="","",X108*0.0155),"")</f>
        <v/>
      </c>
      <c r="AA108" s="55" t="n"/>
      <c r="AB108" s="56" t="n"/>
      <c r="AC108" s="136" t="inlineStr">
        <is>
          <t>ЕАЭС N RU Д-RU.РА02.В.13673/23</t>
        </is>
      </c>
      <c r="AG108" s="66" t="n"/>
      <c r="AJ108" s="69" t="inlineStr">
        <is>
          <t>Короб</t>
        </is>
      </c>
      <c r="AK108" s="69" t="n">
        <v>1</v>
      </c>
      <c r="BB108" s="137" t="inlineStr">
        <is>
          <t>ЗПФ</t>
        </is>
      </c>
      <c r="BM108" s="66">
        <f>IFERROR(X108*I108,"0")</f>
        <v/>
      </c>
      <c r="BN108" s="66">
        <f>IFERROR(Y108*I108,"0")</f>
        <v/>
      </c>
      <c r="BO108" s="66">
        <f>IFERROR(X108/J108,"0")</f>
        <v/>
      </c>
      <c r="BP108" s="66">
        <f>IFERROR(Y108/J108,"0")</f>
        <v/>
      </c>
    </row>
    <row r="109" ht="27" customHeight="1">
      <c r="A109" s="53" t="inlineStr">
        <is>
          <t>SU003460</t>
        </is>
      </c>
      <c r="B109" s="53" t="inlineStr">
        <is>
          <t>P004345</t>
        </is>
      </c>
      <c r="C109" s="31" t="n">
        <v>4301071038</v>
      </c>
      <c r="D109" s="316" t="n">
        <v>4607111039248</v>
      </c>
      <c r="E109" s="317" t="n"/>
      <c r="F109" s="305" t="n">
        <v>0.7</v>
      </c>
      <c r="G109" s="32" t="n">
        <v>10</v>
      </c>
      <c r="H109" s="305" t="n">
        <v>7</v>
      </c>
      <c r="I109" s="305" t="n">
        <v>7.3</v>
      </c>
      <c r="J109" s="32" t="n">
        <v>84</v>
      </c>
      <c r="K109" s="32" t="inlineStr">
        <is>
          <t>12</t>
        </is>
      </c>
      <c r="L109" s="32" t="inlineStr">
        <is>
          <t>Короб, мин. 1</t>
        </is>
      </c>
      <c r="M109" s="33" t="inlineStr">
        <is>
          <t>МГ</t>
        </is>
      </c>
      <c r="N109" s="33" t="n"/>
      <c r="O109" s="32" t="n">
        <v>180</v>
      </c>
      <c r="P109" s="446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/>
      </c>
      <c r="Q109" s="313" t="n"/>
      <c r="R109" s="313" t="n"/>
      <c r="S109" s="313" t="n"/>
      <c r="T109" s="314" t="n"/>
      <c r="U109" s="34" t="n"/>
      <c r="V109" s="34" t="n"/>
      <c r="W109" s="35" t="inlineStr">
        <is>
          <t>кор</t>
        </is>
      </c>
      <c r="X109" s="306" t="n">
        <v>0</v>
      </c>
      <c r="Y109" s="307">
        <f>IFERROR(IF(X109="","",X109),"")</f>
        <v/>
      </c>
      <c r="Z109" s="36">
        <f>IFERROR(IF(X109="","",X109*0.0155),"")</f>
        <v/>
      </c>
      <c r="AA109" s="55" t="n"/>
      <c r="AB109" s="56" t="n"/>
      <c r="AC109" s="138" t="inlineStr">
        <is>
          <t>ЕАЭС N RU Д-RU.РА02.В.13673/23</t>
        </is>
      </c>
      <c r="AG109" s="66" t="n"/>
      <c r="AJ109" s="69" t="inlineStr">
        <is>
          <t>Короб</t>
        </is>
      </c>
      <c r="AK109" s="69" t="n">
        <v>1</v>
      </c>
      <c r="BB109" s="139" t="inlineStr">
        <is>
          <t>ЗПФ</t>
        </is>
      </c>
      <c r="BM109" s="66">
        <f>IFERROR(X109*I109,"0")</f>
        <v/>
      </c>
      <c r="BN109" s="66">
        <f>IFERROR(Y109*I109,"0")</f>
        <v/>
      </c>
      <c r="BO109" s="66">
        <f>IFERROR(X109/J109,"0")</f>
        <v/>
      </c>
      <c r="BP109" s="66">
        <f>IFERROR(Y109/J109,"0")</f>
        <v/>
      </c>
    </row>
    <row r="110" ht="27" customHeight="1">
      <c r="A110" s="53" t="inlineStr">
        <is>
          <t>SU003528</t>
        </is>
      </c>
      <c r="B110" s="53" t="inlineStr">
        <is>
          <t>P004444</t>
        </is>
      </c>
      <c r="C110" s="31" t="n">
        <v>4301071049</v>
      </c>
      <c r="D110" s="316" t="n">
        <v>4607111039293</v>
      </c>
      <c r="E110" s="317" t="n"/>
      <c r="F110" s="305" t="n">
        <v>0.4</v>
      </c>
      <c r="G110" s="32" t="n">
        <v>16</v>
      </c>
      <c r="H110" s="305" t="n">
        <v>6.4</v>
      </c>
      <c r="I110" s="305" t="n">
        <v>6.7196</v>
      </c>
      <c r="J110" s="32" t="n">
        <v>84</v>
      </c>
      <c r="K110" s="32" t="inlineStr">
        <is>
          <t>12</t>
        </is>
      </c>
      <c r="L110" s="32" t="inlineStr">
        <is>
          <t>Короб, мин. 1</t>
        </is>
      </c>
      <c r="M110" s="33" t="inlineStr">
        <is>
          <t>МГ</t>
        </is>
      </c>
      <c r="N110" s="33" t="n"/>
      <c r="O110" s="32" t="n">
        <v>180</v>
      </c>
      <c r="P110" s="494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/>
      </c>
      <c r="Q110" s="313" t="n"/>
      <c r="R110" s="313" t="n"/>
      <c r="S110" s="313" t="n"/>
      <c r="T110" s="314" t="n"/>
      <c r="U110" s="34" t="n"/>
      <c r="V110" s="34" t="n"/>
      <c r="W110" s="35" t="inlineStr">
        <is>
          <t>кор</t>
        </is>
      </c>
      <c r="X110" s="306" t="n">
        <v>0</v>
      </c>
      <c r="Y110" s="307">
        <f>IFERROR(IF(X110="","",X110),"")</f>
        <v/>
      </c>
      <c r="Z110" s="36">
        <f>IFERROR(IF(X110="","",X110*0.0155),"")</f>
        <v/>
      </c>
      <c r="AA110" s="55" t="n"/>
      <c r="AB110" s="56" t="n"/>
      <c r="AC110" s="140" t="inlineStr">
        <is>
          <t>ЕАЭС N RU Д-RU.РА02.В.13673/23</t>
        </is>
      </c>
      <c r="AG110" s="66" t="n"/>
      <c r="AJ110" s="69" t="inlineStr">
        <is>
          <t>Короб</t>
        </is>
      </c>
      <c r="AK110" s="69" t="n">
        <v>1</v>
      </c>
      <c r="BB110" s="141" t="inlineStr">
        <is>
          <t>ЗПФ</t>
        </is>
      </c>
      <c r="BM110" s="66">
        <f>IFERROR(X110*I110,"0")</f>
        <v/>
      </c>
      <c r="BN110" s="66">
        <f>IFERROR(Y110*I110,"0")</f>
        <v/>
      </c>
      <c r="BO110" s="66">
        <f>IFERROR(X110/J110,"0")</f>
        <v/>
      </c>
      <c r="BP110" s="66">
        <f>IFERROR(Y110/J110,"0")</f>
        <v/>
      </c>
    </row>
    <row r="111" ht="27" customHeight="1">
      <c r="A111" s="53" t="inlineStr">
        <is>
          <t>SU003459</t>
        </is>
      </c>
      <c r="B111" s="53" t="inlineStr">
        <is>
          <t>P004346</t>
        </is>
      </c>
      <c r="C111" s="31" t="n">
        <v>4301071039</v>
      </c>
      <c r="D111" s="316" t="n">
        <v>4607111039279</v>
      </c>
      <c r="E111" s="317" t="n"/>
      <c r="F111" s="305" t="n">
        <v>0.7</v>
      </c>
      <c r="G111" s="32" t="n">
        <v>10</v>
      </c>
      <c r="H111" s="305" t="n">
        <v>7</v>
      </c>
      <c r="I111" s="305" t="n">
        <v>7.3</v>
      </c>
      <c r="J111" s="32" t="n">
        <v>84</v>
      </c>
      <c r="K111" s="32" t="inlineStr">
        <is>
          <t>12</t>
        </is>
      </c>
      <c r="L111" s="32" t="inlineStr">
        <is>
          <t>Короб, мин. 1</t>
        </is>
      </c>
      <c r="M111" s="33" t="inlineStr">
        <is>
          <t>МГ</t>
        </is>
      </c>
      <c r="N111" s="33" t="n"/>
      <c r="O111" s="32" t="n">
        <v>180</v>
      </c>
      <c r="P111" s="463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/>
      </c>
      <c r="Q111" s="313" t="n"/>
      <c r="R111" s="313" t="n"/>
      <c r="S111" s="313" t="n"/>
      <c r="T111" s="314" t="n"/>
      <c r="U111" s="34" t="n"/>
      <c r="V111" s="34" t="n"/>
      <c r="W111" s="35" t="inlineStr">
        <is>
          <t>кор</t>
        </is>
      </c>
      <c r="X111" s="306" t="n">
        <v>0</v>
      </c>
      <c r="Y111" s="307">
        <f>IFERROR(IF(X111="","",X111),"")</f>
        <v/>
      </c>
      <c r="Z111" s="36">
        <f>IFERROR(IF(X111="","",X111*0.0155),"")</f>
        <v/>
      </c>
      <c r="AA111" s="55" t="n"/>
      <c r="AB111" s="56" t="n"/>
      <c r="AC111" s="142" t="inlineStr">
        <is>
          <t>ЕАЭС N RU Д-RU.РА02.В.13673/23</t>
        </is>
      </c>
      <c r="AG111" s="66" t="n"/>
      <c r="AJ111" s="69" t="inlineStr">
        <is>
          <t>Короб</t>
        </is>
      </c>
      <c r="AK111" s="69" t="n">
        <v>1</v>
      </c>
      <c r="BB111" s="143" t="inlineStr">
        <is>
          <t>ЗПФ</t>
        </is>
      </c>
      <c r="BM111" s="66">
        <f>IFERROR(X111*I111,"0")</f>
        <v/>
      </c>
      <c r="BN111" s="66">
        <f>IFERROR(Y111*I111,"0")</f>
        <v/>
      </c>
      <c r="BO111" s="66">
        <f>IFERROR(X111/J111,"0")</f>
        <v/>
      </c>
      <c r="BP111" s="66">
        <f>IFERROR(Y111/J111,"0")</f>
        <v/>
      </c>
    </row>
    <row r="112">
      <c r="A112" s="318" t="n"/>
      <c r="B112" s="319" t="n"/>
      <c r="C112" s="319" t="n"/>
      <c r="D112" s="319" t="n"/>
      <c r="E112" s="319" t="n"/>
      <c r="F112" s="319" t="n"/>
      <c r="G112" s="319" t="n"/>
      <c r="H112" s="319" t="n"/>
      <c r="I112" s="319" t="n"/>
      <c r="J112" s="319" t="n"/>
      <c r="K112" s="319" t="n"/>
      <c r="L112" s="319" t="n"/>
      <c r="M112" s="319" t="n"/>
      <c r="N112" s="319" t="n"/>
      <c r="O112" s="320" t="n"/>
      <c r="P112" s="321" t="inlineStr">
        <is>
          <t>Итого</t>
        </is>
      </c>
      <c r="Q112" s="322" t="n"/>
      <c r="R112" s="322" t="n"/>
      <c r="S112" s="322" t="n"/>
      <c r="T112" s="322" t="n"/>
      <c r="U112" s="322" t="n"/>
      <c r="V112" s="323" t="n"/>
      <c r="W112" s="37" t="inlineStr">
        <is>
          <t>кор</t>
        </is>
      </c>
      <c r="X112" s="308">
        <f>IFERROR(SUM(X107:X111),"0")</f>
        <v/>
      </c>
      <c r="Y112" s="308">
        <f>IFERROR(SUM(Y107:Y111),"0")</f>
        <v/>
      </c>
      <c r="Z112" s="308">
        <f>IFERROR(IF(Z107="",0,Z107),"0")+IFERROR(IF(Z108="",0,Z108),"0")+IFERROR(IF(Z109="",0,Z109),"0")+IFERROR(IF(Z110="",0,Z110),"0")+IFERROR(IF(Z111="",0,Z111),"0")</f>
        <v/>
      </c>
      <c r="AA112" s="309" t="n"/>
      <c r="AB112" s="309" t="n"/>
      <c r="AC112" s="309" t="n"/>
    </row>
    <row r="113">
      <c r="A113" s="319" t="n"/>
      <c r="B113" s="319" t="n"/>
      <c r="C113" s="319" t="n"/>
      <c r="D113" s="319" t="n"/>
      <c r="E113" s="319" t="n"/>
      <c r="F113" s="319" t="n"/>
      <c r="G113" s="319" t="n"/>
      <c r="H113" s="319" t="n"/>
      <c r="I113" s="319" t="n"/>
      <c r="J113" s="319" t="n"/>
      <c r="K113" s="319" t="n"/>
      <c r="L113" s="319" t="n"/>
      <c r="M113" s="319" t="n"/>
      <c r="N113" s="319" t="n"/>
      <c r="O113" s="320" t="n"/>
      <c r="P113" s="321" t="inlineStr">
        <is>
          <t>Итого</t>
        </is>
      </c>
      <c r="Q113" s="322" t="n"/>
      <c r="R113" s="322" t="n"/>
      <c r="S113" s="322" t="n"/>
      <c r="T113" s="322" t="n"/>
      <c r="U113" s="322" t="n"/>
      <c r="V113" s="323" t="n"/>
      <c r="W113" s="37" t="inlineStr">
        <is>
          <t>кг</t>
        </is>
      </c>
      <c r="X113" s="308">
        <f>IFERROR(SUMPRODUCT(X107:X111*H107:H111),"0")</f>
        <v/>
      </c>
      <c r="Y113" s="308">
        <f>IFERROR(SUMPRODUCT(Y107:Y111*H107:H111),"0")</f>
        <v/>
      </c>
      <c r="Z113" s="37" t="n"/>
      <c r="AA113" s="309" t="n"/>
      <c r="AB113" s="309" t="n"/>
      <c r="AC113" s="309" t="n"/>
    </row>
    <row r="114" ht="14.25" customHeight="1">
      <c r="A114" s="329" t="inlineStr">
        <is>
          <t>Снеки</t>
        </is>
      </c>
      <c r="B114" s="319" t="n"/>
      <c r="C114" s="319" t="n"/>
      <c r="D114" s="319" t="n"/>
      <c r="E114" s="319" t="n"/>
      <c r="F114" s="319" t="n"/>
      <c r="G114" s="319" t="n"/>
      <c r="H114" s="319" t="n"/>
      <c r="I114" s="319" t="n"/>
      <c r="J114" s="319" t="n"/>
      <c r="K114" s="319" t="n"/>
      <c r="L114" s="319" t="n"/>
      <c r="M114" s="319" t="n"/>
      <c r="N114" s="319" t="n"/>
      <c r="O114" s="319" t="n"/>
      <c r="P114" s="319" t="n"/>
      <c r="Q114" s="319" t="n"/>
      <c r="R114" s="319" t="n"/>
      <c r="S114" s="319" t="n"/>
      <c r="T114" s="319" t="n"/>
      <c r="U114" s="319" t="n"/>
      <c r="V114" s="319" t="n"/>
      <c r="W114" s="319" t="n"/>
      <c r="X114" s="319" t="n"/>
      <c r="Y114" s="319" t="n"/>
      <c r="Z114" s="319" t="n"/>
      <c r="AA114" s="329" t="n"/>
      <c r="AB114" s="329" t="n"/>
      <c r="AC114" s="329" t="n"/>
    </row>
    <row r="115" ht="27" customHeight="1">
      <c r="A115" s="53" t="inlineStr">
        <is>
          <t>SU003727</t>
        </is>
      </c>
      <c r="B115" s="53" t="inlineStr">
        <is>
          <t>P004749</t>
        </is>
      </c>
      <c r="C115" s="31" t="n">
        <v>4301135670</v>
      </c>
      <c r="D115" s="316" t="n">
        <v>4620207490983</v>
      </c>
      <c r="E115" s="317" t="n"/>
      <c r="F115" s="305" t="n">
        <v>0.22</v>
      </c>
      <c r="G115" s="32" t="n">
        <v>12</v>
      </c>
      <c r="H115" s="305" t="n">
        <v>2.64</v>
      </c>
      <c r="I115" s="305" t="n">
        <v>3.3436</v>
      </c>
      <c r="J115" s="32" t="n">
        <v>70</v>
      </c>
      <c r="K115" s="32" t="inlineStr">
        <is>
          <t>14</t>
        </is>
      </c>
      <c r="L115" s="32" t="inlineStr">
        <is>
          <t>Короб, мин. 1</t>
        </is>
      </c>
      <c r="M115" s="33" t="inlineStr">
        <is>
          <t>МГ</t>
        </is>
      </c>
      <c r="N115" s="33" t="n"/>
      <c r="O115" s="32" t="n">
        <v>180</v>
      </c>
      <c r="P115" s="422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/>
      </c>
      <c r="Q115" s="313" t="n"/>
      <c r="R115" s="313" t="n"/>
      <c r="S115" s="313" t="n"/>
      <c r="T115" s="314" t="n"/>
      <c r="U115" s="34" t="n"/>
      <c r="V115" s="34" t="n"/>
      <c r="W115" s="35" t="inlineStr">
        <is>
          <t>кор</t>
        </is>
      </c>
      <c r="X115" s="306" t="n">
        <v>0</v>
      </c>
      <c r="Y115" s="307">
        <f>IFERROR(IF(X115="","",X115),"")</f>
        <v/>
      </c>
      <c r="Z115" s="36">
        <f>IFERROR(IF(X115="","",X115*0.01788),"")</f>
        <v/>
      </c>
      <c r="AA115" s="55" t="n"/>
      <c r="AB115" s="56" t="n"/>
      <c r="AC115" s="144" t="inlineStr">
        <is>
          <t>ЕАЭС N RU Д-RU.РА01.В.73804/25</t>
        </is>
      </c>
      <c r="AG115" s="66" t="n"/>
      <c r="AJ115" s="69" t="inlineStr">
        <is>
          <t>Короб</t>
        </is>
      </c>
      <c r="AK115" s="69" t="n">
        <v>1</v>
      </c>
      <c r="BB115" s="145" t="inlineStr">
        <is>
          <t>ПГП</t>
        </is>
      </c>
      <c r="BM115" s="66">
        <f>IFERROR(X115*I115,"0")</f>
        <v/>
      </c>
      <c r="BN115" s="66">
        <f>IFERROR(Y115*I115,"0")</f>
        <v/>
      </c>
      <c r="BO115" s="66">
        <f>IFERROR(X115/J115,"0")</f>
        <v/>
      </c>
      <c r="BP115" s="66">
        <f>IFERROR(Y115/J115,"0")</f>
        <v/>
      </c>
    </row>
    <row r="116">
      <c r="A116" s="318" t="n"/>
      <c r="B116" s="319" t="n"/>
      <c r="C116" s="319" t="n"/>
      <c r="D116" s="319" t="n"/>
      <c r="E116" s="319" t="n"/>
      <c r="F116" s="319" t="n"/>
      <c r="G116" s="319" t="n"/>
      <c r="H116" s="319" t="n"/>
      <c r="I116" s="319" t="n"/>
      <c r="J116" s="319" t="n"/>
      <c r="K116" s="319" t="n"/>
      <c r="L116" s="319" t="n"/>
      <c r="M116" s="319" t="n"/>
      <c r="N116" s="319" t="n"/>
      <c r="O116" s="320" t="n"/>
      <c r="P116" s="321" t="inlineStr">
        <is>
          <t>Итого</t>
        </is>
      </c>
      <c r="Q116" s="322" t="n"/>
      <c r="R116" s="322" t="n"/>
      <c r="S116" s="322" t="n"/>
      <c r="T116" s="322" t="n"/>
      <c r="U116" s="322" t="n"/>
      <c r="V116" s="323" t="n"/>
      <c r="W116" s="37" t="inlineStr">
        <is>
          <t>кор</t>
        </is>
      </c>
      <c r="X116" s="308">
        <f>IFERROR(SUM(X115:X115),"0")</f>
        <v/>
      </c>
      <c r="Y116" s="308">
        <f>IFERROR(SUM(Y115:Y115),"0")</f>
        <v/>
      </c>
      <c r="Z116" s="308">
        <f>IFERROR(IF(Z115="",0,Z115),"0")</f>
        <v/>
      </c>
      <c r="AA116" s="309" t="n"/>
      <c r="AB116" s="309" t="n"/>
      <c r="AC116" s="309" t="n"/>
    </row>
    <row r="117">
      <c r="A117" s="319" t="n"/>
      <c r="B117" s="319" t="n"/>
      <c r="C117" s="319" t="n"/>
      <c r="D117" s="319" t="n"/>
      <c r="E117" s="319" t="n"/>
      <c r="F117" s="319" t="n"/>
      <c r="G117" s="319" t="n"/>
      <c r="H117" s="319" t="n"/>
      <c r="I117" s="319" t="n"/>
      <c r="J117" s="319" t="n"/>
      <c r="K117" s="319" t="n"/>
      <c r="L117" s="319" t="n"/>
      <c r="M117" s="319" t="n"/>
      <c r="N117" s="319" t="n"/>
      <c r="O117" s="320" t="n"/>
      <c r="P117" s="321" t="inlineStr">
        <is>
          <t>Итого</t>
        </is>
      </c>
      <c r="Q117" s="322" t="n"/>
      <c r="R117" s="322" t="n"/>
      <c r="S117" s="322" t="n"/>
      <c r="T117" s="322" t="n"/>
      <c r="U117" s="322" t="n"/>
      <c r="V117" s="323" t="n"/>
      <c r="W117" s="37" t="inlineStr">
        <is>
          <t>кг</t>
        </is>
      </c>
      <c r="X117" s="308">
        <f>IFERROR(SUMPRODUCT(X115:X115*H115:H115),"0")</f>
        <v/>
      </c>
      <c r="Y117" s="308">
        <f>IFERROR(SUMPRODUCT(Y115:Y115*H115:H115),"0")</f>
        <v/>
      </c>
      <c r="Z117" s="37" t="n"/>
      <c r="AA117" s="309" t="n"/>
      <c r="AB117" s="309" t="n"/>
      <c r="AC117" s="309" t="n"/>
    </row>
    <row r="118" ht="14.25" customHeight="1">
      <c r="A118" s="329" t="inlineStr">
        <is>
          <t>Пельмени ПГП</t>
        </is>
      </c>
      <c r="B118" s="319" t="n"/>
      <c r="C118" s="319" t="n"/>
      <c r="D118" s="319" t="n"/>
      <c r="E118" s="319" t="n"/>
      <c r="F118" s="319" t="n"/>
      <c r="G118" s="319" t="n"/>
      <c r="H118" s="319" t="n"/>
      <c r="I118" s="319" t="n"/>
      <c r="J118" s="319" t="n"/>
      <c r="K118" s="319" t="n"/>
      <c r="L118" s="319" t="n"/>
      <c r="M118" s="319" t="n"/>
      <c r="N118" s="319" t="n"/>
      <c r="O118" s="319" t="n"/>
      <c r="P118" s="319" t="n"/>
      <c r="Q118" s="319" t="n"/>
      <c r="R118" s="319" t="n"/>
      <c r="S118" s="319" t="n"/>
      <c r="T118" s="319" t="n"/>
      <c r="U118" s="319" t="n"/>
      <c r="V118" s="319" t="n"/>
      <c r="W118" s="319" t="n"/>
      <c r="X118" s="319" t="n"/>
      <c r="Y118" s="319" t="n"/>
      <c r="Z118" s="319" t="n"/>
      <c r="AA118" s="329" t="n"/>
      <c r="AB118" s="329" t="n"/>
      <c r="AC118" s="329" t="n"/>
    </row>
    <row r="119" ht="27" customHeight="1">
      <c r="A119" s="53" t="inlineStr">
        <is>
          <t>SU003845</t>
        </is>
      </c>
      <c r="B119" s="53" t="inlineStr">
        <is>
          <t>P004909</t>
        </is>
      </c>
      <c r="C119" s="31" t="n">
        <v>4301071094</v>
      </c>
      <c r="D119" s="316" t="n">
        <v>4620207491140</v>
      </c>
      <c r="E119" s="317" t="n"/>
      <c r="F119" s="305" t="n">
        <v>0.6</v>
      </c>
      <c r="G119" s="32" t="n">
        <v>10</v>
      </c>
      <c r="H119" s="305" t="n">
        <v>6</v>
      </c>
      <c r="I119" s="305" t="n">
        <v>6.28</v>
      </c>
      <c r="J119" s="32" t="n">
        <v>84</v>
      </c>
      <c r="K119" s="32" t="inlineStr">
        <is>
          <t>12</t>
        </is>
      </c>
      <c r="L119" s="32" t="inlineStr">
        <is>
          <t>Короб, мин. 1</t>
        </is>
      </c>
      <c r="M119" s="33" t="inlineStr">
        <is>
          <t>МГ</t>
        </is>
      </c>
      <c r="N119" s="33" t="n"/>
      <c r="O119" s="32" t="n">
        <v>180</v>
      </c>
      <c r="P119" s="395" t="inlineStr">
        <is>
          <t>Пельмени ПГП «Пельмени Бульмени Нейробуст с мясом» Фикс.вес 0,6 сфера ТМ «Горячая штучка»</t>
        </is>
      </c>
      <c r="Q119" s="313" t="n"/>
      <c r="R119" s="313" t="n"/>
      <c r="S119" s="313" t="n"/>
      <c r="T119" s="314" t="n"/>
      <c r="U119" s="34" t="n"/>
      <c r="V119" s="34" t="n"/>
      <c r="W119" s="35" t="inlineStr">
        <is>
          <t>кор</t>
        </is>
      </c>
      <c r="X119" s="306" t="n">
        <v>0</v>
      </c>
      <c r="Y119" s="307">
        <f>IFERROR(IF(X119="","",X119),"")</f>
        <v/>
      </c>
      <c r="Z119" s="36">
        <f>IFERROR(IF(X119="","",X119*0.0155),"")</f>
        <v/>
      </c>
      <c r="AA119" s="55" t="n"/>
      <c r="AB119" s="56" t="n"/>
      <c r="AC119" s="146" t="inlineStr">
        <is>
          <t>ЕАЭС N RU Д-RU.РА04.В.40597/25</t>
        </is>
      </c>
      <c r="AG119" s="66" t="n"/>
      <c r="AJ119" s="69" t="inlineStr">
        <is>
          <t>Короб</t>
        </is>
      </c>
      <c r="AK119" s="69" t="n">
        <v>1</v>
      </c>
      <c r="BB119" s="147" t="inlineStr">
        <is>
          <t>ПГП</t>
        </is>
      </c>
      <c r="BM119" s="66">
        <f>IFERROR(X119*I119,"0")</f>
        <v/>
      </c>
      <c r="BN119" s="66">
        <f>IFERROR(Y119*I119,"0")</f>
        <v/>
      </c>
      <c r="BO119" s="66">
        <f>IFERROR(X119/J119,"0")</f>
        <v/>
      </c>
      <c r="BP119" s="66">
        <f>IFERROR(Y119/J119,"0")</f>
        <v/>
      </c>
    </row>
    <row r="120">
      <c r="A120" s="318" t="n"/>
      <c r="B120" s="319" t="n"/>
      <c r="C120" s="319" t="n"/>
      <c r="D120" s="319" t="n"/>
      <c r="E120" s="319" t="n"/>
      <c r="F120" s="319" t="n"/>
      <c r="G120" s="319" t="n"/>
      <c r="H120" s="319" t="n"/>
      <c r="I120" s="319" t="n"/>
      <c r="J120" s="319" t="n"/>
      <c r="K120" s="319" t="n"/>
      <c r="L120" s="319" t="n"/>
      <c r="M120" s="319" t="n"/>
      <c r="N120" s="319" t="n"/>
      <c r="O120" s="320" t="n"/>
      <c r="P120" s="321" t="inlineStr">
        <is>
          <t>Итого</t>
        </is>
      </c>
      <c r="Q120" s="322" t="n"/>
      <c r="R120" s="322" t="n"/>
      <c r="S120" s="322" t="n"/>
      <c r="T120" s="322" t="n"/>
      <c r="U120" s="322" t="n"/>
      <c r="V120" s="323" t="n"/>
      <c r="W120" s="37" t="inlineStr">
        <is>
          <t>кор</t>
        </is>
      </c>
      <c r="X120" s="308">
        <f>IFERROR(SUM(X119:X119),"0")</f>
        <v/>
      </c>
      <c r="Y120" s="308">
        <f>IFERROR(SUM(Y119:Y119),"0")</f>
        <v/>
      </c>
      <c r="Z120" s="308">
        <f>IFERROR(IF(Z119="",0,Z119),"0")</f>
        <v/>
      </c>
      <c r="AA120" s="309" t="n"/>
      <c r="AB120" s="309" t="n"/>
      <c r="AC120" s="309" t="n"/>
    </row>
    <row r="121">
      <c r="A121" s="319" t="n"/>
      <c r="B121" s="319" t="n"/>
      <c r="C121" s="319" t="n"/>
      <c r="D121" s="319" t="n"/>
      <c r="E121" s="319" t="n"/>
      <c r="F121" s="319" t="n"/>
      <c r="G121" s="319" t="n"/>
      <c r="H121" s="319" t="n"/>
      <c r="I121" s="319" t="n"/>
      <c r="J121" s="319" t="n"/>
      <c r="K121" s="319" t="n"/>
      <c r="L121" s="319" t="n"/>
      <c r="M121" s="319" t="n"/>
      <c r="N121" s="319" t="n"/>
      <c r="O121" s="320" t="n"/>
      <c r="P121" s="321" t="inlineStr">
        <is>
          <t>Итого</t>
        </is>
      </c>
      <c r="Q121" s="322" t="n"/>
      <c r="R121" s="322" t="n"/>
      <c r="S121" s="322" t="n"/>
      <c r="T121" s="322" t="n"/>
      <c r="U121" s="322" t="n"/>
      <c r="V121" s="323" t="n"/>
      <c r="W121" s="37" t="inlineStr">
        <is>
          <t>кг</t>
        </is>
      </c>
      <c r="X121" s="308">
        <f>IFERROR(SUMPRODUCT(X119:X119*H119:H119),"0")</f>
        <v/>
      </c>
      <c r="Y121" s="308">
        <f>IFERROR(SUMPRODUCT(Y119:Y119*H119:H119),"0")</f>
        <v/>
      </c>
      <c r="Z121" s="37" t="n"/>
      <c r="AA121" s="309" t="n"/>
      <c r="AB121" s="309" t="n"/>
      <c r="AC121" s="309" t="n"/>
    </row>
    <row r="122" ht="16.5" customHeight="1">
      <c r="A122" s="324" t="inlineStr">
        <is>
          <t>Чебупицца</t>
        </is>
      </c>
      <c r="B122" s="319" t="n"/>
      <c r="C122" s="319" t="n"/>
      <c r="D122" s="319" t="n"/>
      <c r="E122" s="319" t="n"/>
      <c r="F122" s="319" t="n"/>
      <c r="G122" s="319" t="n"/>
      <c r="H122" s="319" t="n"/>
      <c r="I122" s="319" t="n"/>
      <c r="J122" s="319" t="n"/>
      <c r="K122" s="319" t="n"/>
      <c r="L122" s="319" t="n"/>
      <c r="M122" s="319" t="n"/>
      <c r="N122" s="319" t="n"/>
      <c r="O122" s="319" t="n"/>
      <c r="P122" s="319" t="n"/>
      <c r="Q122" s="319" t="n"/>
      <c r="R122" s="319" t="n"/>
      <c r="S122" s="319" t="n"/>
      <c r="T122" s="319" t="n"/>
      <c r="U122" s="319" t="n"/>
      <c r="V122" s="319" t="n"/>
      <c r="W122" s="319" t="n"/>
      <c r="X122" s="319" t="n"/>
      <c r="Y122" s="319" t="n"/>
      <c r="Z122" s="319" t="n"/>
      <c r="AA122" s="324" t="n"/>
      <c r="AB122" s="324" t="n"/>
      <c r="AC122" s="324" t="n"/>
    </row>
    <row r="123" ht="14.25" customHeight="1">
      <c r="A123" s="329" t="inlineStr">
        <is>
          <t>Снеки</t>
        </is>
      </c>
      <c r="B123" s="319" t="n"/>
      <c r="C123" s="319" t="n"/>
      <c r="D123" s="319" t="n"/>
      <c r="E123" s="319" t="n"/>
      <c r="F123" s="319" t="n"/>
      <c r="G123" s="319" t="n"/>
      <c r="H123" s="319" t="n"/>
      <c r="I123" s="319" t="n"/>
      <c r="J123" s="319" t="n"/>
      <c r="K123" s="319" t="n"/>
      <c r="L123" s="319" t="n"/>
      <c r="M123" s="319" t="n"/>
      <c r="N123" s="319" t="n"/>
      <c r="O123" s="319" t="n"/>
      <c r="P123" s="319" t="n"/>
      <c r="Q123" s="319" t="n"/>
      <c r="R123" s="319" t="n"/>
      <c r="S123" s="319" t="n"/>
      <c r="T123" s="319" t="n"/>
      <c r="U123" s="319" t="n"/>
      <c r="V123" s="319" t="n"/>
      <c r="W123" s="319" t="n"/>
      <c r="X123" s="319" t="n"/>
      <c r="Y123" s="319" t="n"/>
      <c r="Z123" s="319" t="n"/>
      <c r="AA123" s="329" t="n"/>
      <c r="AB123" s="329" t="n"/>
      <c r="AC123" s="329" t="n"/>
    </row>
    <row r="124" ht="27" customHeight="1">
      <c r="A124" s="53" t="inlineStr">
        <is>
          <t>SU003578</t>
        </is>
      </c>
      <c r="B124" s="53" t="inlineStr">
        <is>
          <t>P004484</t>
        </is>
      </c>
      <c r="C124" s="31" t="n">
        <v>4301135555</v>
      </c>
      <c r="D124" s="316" t="n">
        <v>4607111034014</v>
      </c>
      <c r="E124" s="317" t="n"/>
      <c r="F124" s="305" t="n">
        <v>0.25</v>
      </c>
      <c r="G124" s="32" t="n">
        <v>12</v>
      </c>
      <c r="H124" s="305" t="n">
        <v>3</v>
      </c>
      <c r="I124" s="305" t="n">
        <v>3.7036</v>
      </c>
      <c r="J124" s="32" t="n">
        <v>70</v>
      </c>
      <c r="K124" s="32" t="inlineStr">
        <is>
          <t>14</t>
        </is>
      </c>
      <c r="L124" s="32" t="inlineStr">
        <is>
          <t>Короб, мин. 1</t>
        </is>
      </c>
      <c r="M124" s="33" t="inlineStr">
        <is>
          <t>МГ</t>
        </is>
      </c>
      <c r="N124" s="33" t="n"/>
      <c r="O124" s="32" t="n">
        <v>180</v>
      </c>
      <c r="P124" s="507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/>
      </c>
      <c r="Q124" s="313" t="n"/>
      <c r="R124" s="313" t="n"/>
      <c r="S124" s="313" t="n"/>
      <c r="T124" s="314" t="n"/>
      <c r="U124" s="34" t="n"/>
      <c r="V124" s="34" t="n"/>
      <c r="W124" s="35" t="inlineStr">
        <is>
          <t>кор</t>
        </is>
      </c>
      <c r="X124" s="306" t="n">
        <v>0</v>
      </c>
      <c r="Y124" s="307">
        <f>IFERROR(IF(X124="","",X124),"")</f>
        <v/>
      </c>
      <c r="Z124" s="36">
        <f>IFERROR(IF(X124="","",X124*0.01788),"")</f>
        <v/>
      </c>
      <c r="AA124" s="55" t="n"/>
      <c r="AB124" s="56" t="n"/>
      <c r="AC124" s="148" t="inlineStr">
        <is>
          <t>ЕАЭС N RU Д-RU.РА10.В.33475/23</t>
        </is>
      </c>
      <c r="AG124" s="66" t="n"/>
      <c r="AJ124" s="69" t="inlineStr">
        <is>
          <t>Короб</t>
        </is>
      </c>
      <c r="AK124" s="69" t="n">
        <v>1</v>
      </c>
      <c r="BB124" s="149" t="inlineStr">
        <is>
          <t>ПГП</t>
        </is>
      </c>
      <c r="BM124" s="66">
        <f>IFERROR(X124*I124,"0")</f>
        <v/>
      </c>
      <c r="BN124" s="66">
        <f>IFERROR(Y124*I124,"0")</f>
        <v/>
      </c>
      <c r="BO124" s="66">
        <f>IFERROR(X124/J124,"0")</f>
        <v/>
      </c>
      <c r="BP124" s="66">
        <f>IFERROR(Y124/J124,"0")</f>
        <v/>
      </c>
    </row>
    <row r="125" ht="27" customHeight="1">
      <c r="A125" s="53" t="inlineStr">
        <is>
          <t>SU003580</t>
        </is>
      </c>
      <c r="B125" s="53" t="inlineStr">
        <is>
          <t>P004486</t>
        </is>
      </c>
      <c r="C125" s="31" t="n">
        <v>4301135532</v>
      </c>
      <c r="D125" s="316" t="n">
        <v>4607111033994</v>
      </c>
      <c r="E125" s="317" t="n"/>
      <c r="F125" s="305" t="n">
        <v>0.25</v>
      </c>
      <c r="G125" s="32" t="n">
        <v>12</v>
      </c>
      <c r="H125" s="305" t="n">
        <v>3</v>
      </c>
      <c r="I125" s="305" t="n">
        <v>3.7036</v>
      </c>
      <c r="J125" s="32" t="n">
        <v>70</v>
      </c>
      <c r="K125" s="32" t="inlineStr">
        <is>
          <t>14</t>
        </is>
      </c>
      <c r="L125" s="32" t="inlineStr">
        <is>
          <t>Короб, мин. 1</t>
        </is>
      </c>
      <c r="M125" s="33" t="inlineStr">
        <is>
          <t>МГ</t>
        </is>
      </c>
      <c r="N125" s="33" t="n"/>
      <c r="O125" s="32" t="n">
        <v>180</v>
      </c>
      <c r="P125" s="466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/>
      </c>
      <c r="Q125" s="313" t="n"/>
      <c r="R125" s="313" t="n"/>
      <c r="S125" s="313" t="n"/>
      <c r="T125" s="314" t="n"/>
      <c r="U125" s="34" t="n"/>
      <c r="V125" s="34" t="n"/>
      <c r="W125" s="35" t="inlineStr">
        <is>
          <t>кор</t>
        </is>
      </c>
      <c r="X125" s="306" t="n">
        <v>0</v>
      </c>
      <c r="Y125" s="307">
        <f>IFERROR(IF(X125="","",X125),"")</f>
        <v/>
      </c>
      <c r="Z125" s="36">
        <f>IFERROR(IF(X125="","",X125*0.01788),"")</f>
        <v/>
      </c>
      <c r="AA125" s="55" t="n"/>
      <c r="AB125" s="56" t="n"/>
      <c r="AC125" s="150" t="inlineStr">
        <is>
          <t>ЕАЭС N RU Д-RU.РА02.В.49579/23</t>
        </is>
      </c>
      <c r="AG125" s="66" t="n"/>
      <c r="AJ125" s="69" t="inlineStr">
        <is>
          <t>Короб</t>
        </is>
      </c>
      <c r="AK125" s="69" t="n">
        <v>1</v>
      </c>
      <c r="BB125" s="151" t="inlineStr">
        <is>
          <t>ПГП</t>
        </is>
      </c>
      <c r="BM125" s="66">
        <f>IFERROR(X125*I125,"0")</f>
        <v/>
      </c>
      <c r="BN125" s="66">
        <f>IFERROR(Y125*I125,"0")</f>
        <v/>
      </c>
      <c r="BO125" s="66">
        <f>IFERROR(X125/J125,"0")</f>
        <v/>
      </c>
      <c r="BP125" s="66">
        <f>IFERROR(Y125/J125,"0")</f>
        <v/>
      </c>
    </row>
    <row r="126">
      <c r="A126" s="318" t="n"/>
      <c r="B126" s="319" t="n"/>
      <c r="C126" s="319" t="n"/>
      <c r="D126" s="319" t="n"/>
      <c r="E126" s="319" t="n"/>
      <c r="F126" s="319" t="n"/>
      <c r="G126" s="319" t="n"/>
      <c r="H126" s="319" t="n"/>
      <c r="I126" s="319" t="n"/>
      <c r="J126" s="319" t="n"/>
      <c r="K126" s="319" t="n"/>
      <c r="L126" s="319" t="n"/>
      <c r="M126" s="319" t="n"/>
      <c r="N126" s="319" t="n"/>
      <c r="O126" s="320" t="n"/>
      <c r="P126" s="321" t="inlineStr">
        <is>
          <t>Итого</t>
        </is>
      </c>
      <c r="Q126" s="322" t="n"/>
      <c r="R126" s="322" t="n"/>
      <c r="S126" s="322" t="n"/>
      <c r="T126" s="322" t="n"/>
      <c r="U126" s="322" t="n"/>
      <c r="V126" s="323" t="n"/>
      <c r="W126" s="37" t="inlineStr">
        <is>
          <t>кор</t>
        </is>
      </c>
      <c r="X126" s="308">
        <f>IFERROR(SUM(X124:X125),"0")</f>
        <v/>
      </c>
      <c r="Y126" s="308">
        <f>IFERROR(SUM(Y124:Y125),"0")</f>
        <v/>
      </c>
      <c r="Z126" s="308">
        <f>IFERROR(IF(Z124="",0,Z124),"0")+IFERROR(IF(Z125="",0,Z125),"0")</f>
        <v/>
      </c>
      <c r="AA126" s="309" t="n"/>
      <c r="AB126" s="309" t="n"/>
      <c r="AC126" s="309" t="n"/>
    </row>
    <row r="127">
      <c r="A127" s="319" t="n"/>
      <c r="B127" s="319" t="n"/>
      <c r="C127" s="319" t="n"/>
      <c r="D127" s="319" t="n"/>
      <c r="E127" s="319" t="n"/>
      <c r="F127" s="319" t="n"/>
      <c r="G127" s="319" t="n"/>
      <c r="H127" s="319" t="n"/>
      <c r="I127" s="319" t="n"/>
      <c r="J127" s="319" t="n"/>
      <c r="K127" s="319" t="n"/>
      <c r="L127" s="319" t="n"/>
      <c r="M127" s="319" t="n"/>
      <c r="N127" s="319" t="n"/>
      <c r="O127" s="320" t="n"/>
      <c r="P127" s="321" t="inlineStr">
        <is>
          <t>Итого</t>
        </is>
      </c>
      <c r="Q127" s="322" t="n"/>
      <c r="R127" s="322" t="n"/>
      <c r="S127" s="322" t="n"/>
      <c r="T127" s="322" t="n"/>
      <c r="U127" s="322" t="n"/>
      <c r="V127" s="323" t="n"/>
      <c r="W127" s="37" t="inlineStr">
        <is>
          <t>кг</t>
        </is>
      </c>
      <c r="X127" s="308">
        <f>IFERROR(SUMPRODUCT(X124:X125*H124:H125),"0")</f>
        <v/>
      </c>
      <c r="Y127" s="308">
        <f>IFERROR(SUMPRODUCT(Y124:Y125*H124:H125),"0")</f>
        <v/>
      </c>
      <c r="Z127" s="37" t="n"/>
      <c r="AA127" s="309" t="n"/>
      <c r="AB127" s="309" t="n"/>
      <c r="AC127" s="309" t="n"/>
    </row>
    <row r="128" ht="16.5" customHeight="1">
      <c r="A128" s="324" t="inlineStr">
        <is>
          <t>Хотстеры</t>
        </is>
      </c>
      <c r="B128" s="319" t="n"/>
      <c r="C128" s="319" t="n"/>
      <c r="D128" s="319" t="n"/>
      <c r="E128" s="319" t="n"/>
      <c r="F128" s="319" t="n"/>
      <c r="G128" s="319" t="n"/>
      <c r="H128" s="319" t="n"/>
      <c r="I128" s="319" t="n"/>
      <c r="J128" s="319" t="n"/>
      <c r="K128" s="319" t="n"/>
      <c r="L128" s="319" t="n"/>
      <c r="M128" s="319" t="n"/>
      <c r="N128" s="319" t="n"/>
      <c r="O128" s="319" t="n"/>
      <c r="P128" s="319" t="n"/>
      <c r="Q128" s="319" t="n"/>
      <c r="R128" s="319" t="n"/>
      <c r="S128" s="319" t="n"/>
      <c r="T128" s="319" t="n"/>
      <c r="U128" s="319" t="n"/>
      <c r="V128" s="319" t="n"/>
      <c r="W128" s="319" t="n"/>
      <c r="X128" s="319" t="n"/>
      <c r="Y128" s="319" t="n"/>
      <c r="Z128" s="319" t="n"/>
      <c r="AA128" s="324" t="n"/>
      <c r="AB128" s="324" t="n"/>
      <c r="AC128" s="324" t="n"/>
    </row>
    <row r="129" ht="14.25" customHeight="1">
      <c r="A129" s="329" t="inlineStr">
        <is>
          <t>Снеки</t>
        </is>
      </c>
      <c r="B129" s="319" t="n"/>
      <c r="C129" s="319" t="n"/>
      <c r="D129" s="319" t="n"/>
      <c r="E129" s="319" t="n"/>
      <c r="F129" s="319" t="n"/>
      <c r="G129" s="319" t="n"/>
      <c r="H129" s="319" t="n"/>
      <c r="I129" s="319" t="n"/>
      <c r="J129" s="319" t="n"/>
      <c r="K129" s="319" t="n"/>
      <c r="L129" s="319" t="n"/>
      <c r="M129" s="319" t="n"/>
      <c r="N129" s="319" t="n"/>
      <c r="O129" s="319" t="n"/>
      <c r="P129" s="319" t="n"/>
      <c r="Q129" s="319" t="n"/>
      <c r="R129" s="319" t="n"/>
      <c r="S129" s="319" t="n"/>
      <c r="T129" s="319" t="n"/>
      <c r="U129" s="319" t="n"/>
      <c r="V129" s="319" t="n"/>
      <c r="W129" s="319" t="n"/>
      <c r="X129" s="319" t="n"/>
      <c r="Y129" s="319" t="n"/>
      <c r="Z129" s="319" t="n"/>
      <c r="AA129" s="329" t="n"/>
      <c r="AB129" s="329" t="n"/>
      <c r="AC129" s="329" t="n"/>
    </row>
    <row r="130" ht="27" customHeight="1">
      <c r="A130" s="53" t="inlineStr">
        <is>
          <t>SU003384</t>
        </is>
      </c>
      <c r="B130" s="53" t="inlineStr">
        <is>
          <t>P004205</t>
        </is>
      </c>
      <c r="C130" s="31" t="n">
        <v>4301135549</v>
      </c>
      <c r="D130" s="316" t="n">
        <v>4607111039095</v>
      </c>
      <c r="E130" s="317" t="n"/>
      <c r="F130" s="305" t="n">
        <v>0.25</v>
      </c>
      <c r="G130" s="32" t="n">
        <v>12</v>
      </c>
      <c r="H130" s="305" t="n">
        <v>3</v>
      </c>
      <c r="I130" s="305" t="n">
        <v>3.748</v>
      </c>
      <c r="J130" s="32" t="n">
        <v>70</v>
      </c>
      <c r="K130" s="32" t="inlineStr">
        <is>
          <t>14</t>
        </is>
      </c>
      <c r="L130" s="32" t="inlineStr">
        <is>
          <t>Короб, мин. 1</t>
        </is>
      </c>
      <c r="M130" s="33" t="inlineStr">
        <is>
          <t>МГ</t>
        </is>
      </c>
      <c r="N130" s="33" t="n"/>
      <c r="O130" s="32" t="n">
        <v>180</v>
      </c>
      <c r="P130" s="462">
        <f>HYPERLINK("https://abi.ru/products/Замороженные/Горячая штучка/Хотстеры/Снеки/P004205/","Снеки «Хотстеры с сыром» ф/в 0,25 ТМ «Горячая штучка»")</f>
        <v/>
      </c>
      <c r="Q130" s="313" t="n"/>
      <c r="R130" s="313" t="n"/>
      <c r="S130" s="313" t="n"/>
      <c r="T130" s="314" t="n"/>
      <c r="U130" s="34" t="n"/>
      <c r="V130" s="34" t="n"/>
      <c r="W130" s="35" t="inlineStr">
        <is>
          <t>кор</t>
        </is>
      </c>
      <c r="X130" s="306" t="n">
        <v>0</v>
      </c>
      <c r="Y130" s="307">
        <f>IFERROR(IF(X130="","",X130),"")</f>
        <v/>
      </c>
      <c r="Z130" s="36">
        <f>IFERROR(IF(X130="","",X130*0.01788),"")</f>
        <v/>
      </c>
      <c r="AA130" s="55" t="n"/>
      <c r="AB130" s="56" t="n"/>
      <c r="AC130" s="152" t="inlineStr">
        <is>
          <t>ЕАЭС N RU Д-RU.РА02.В.13267/24</t>
        </is>
      </c>
      <c r="AG130" s="66" t="n"/>
      <c r="AJ130" s="69" t="inlineStr">
        <is>
          <t>Короб</t>
        </is>
      </c>
      <c r="AK130" s="69" t="n">
        <v>1</v>
      </c>
      <c r="BB130" s="153" t="inlineStr">
        <is>
          <t>ПГП</t>
        </is>
      </c>
      <c r="BM130" s="66">
        <f>IFERROR(X130*I130,"0")</f>
        <v/>
      </c>
      <c r="BN130" s="66">
        <f>IFERROR(Y130*I130,"0")</f>
        <v/>
      </c>
      <c r="BO130" s="66">
        <f>IFERROR(X130/J130,"0")</f>
        <v/>
      </c>
      <c r="BP130" s="66">
        <f>IFERROR(Y130/J130,"0")</f>
        <v/>
      </c>
    </row>
    <row r="131" ht="16.5" customHeight="1">
      <c r="A131" s="53" t="inlineStr">
        <is>
          <t>SU003576</t>
        </is>
      </c>
      <c r="B131" s="53" t="inlineStr">
        <is>
          <t>P004489</t>
        </is>
      </c>
      <c r="C131" s="31" t="n">
        <v>4301135550</v>
      </c>
      <c r="D131" s="316" t="n">
        <v>4607111034199</v>
      </c>
      <c r="E131" s="317" t="n"/>
      <c r="F131" s="305" t="n">
        <v>0.25</v>
      </c>
      <c r="G131" s="32" t="n">
        <v>12</v>
      </c>
      <c r="H131" s="305" t="n">
        <v>3</v>
      </c>
      <c r="I131" s="305" t="n">
        <v>3.7036</v>
      </c>
      <c r="J131" s="32" t="n">
        <v>70</v>
      </c>
      <c r="K131" s="32" t="inlineStr">
        <is>
          <t>14</t>
        </is>
      </c>
      <c r="L131" s="32" t="inlineStr">
        <is>
          <t>Короб, мин. 1</t>
        </is>
      </c>
      <c r="M131" s="33" t="inlineStr">
        <is>
          <t>МГ</t>
        </is>
      </c>
      <c r="N131" s="33" t="n"/>
      <c r="O131" s="32" t="n">
        <v>180</v>
      </c>
      <c r="P131" s="375">
        <f>HYPERLINK("https://abi.ru/products/Замороженные/Горячая штучка/Хотстеры/Снеки/P004489/","Снеки «Хотстеры» Фикс.вес 0,25 Пакет ТМ «Горячая штучка»")</f>
        <v/>
      </c>
      <c r="Q131" s="313" t="n"/>
      <c r="R131" s="313" t="n"/>
      <c r="S131" s="313" t="n"/>
      <c r="T131" s="314" t="n"/>
      <c r="U131" s="34" t="n"/>
      <c r="V131" s="34" t="n"/>
      <c r="W131" s="35" t="inlineStr">
        <is>
          <t>кор</t>
        </is>
      </c>
      <c r="X131" s="306" t="n">
        <v>0</v>
      </c>
      <c r="Y131" s="307">
        <f>IFERROR(IF(X131="","",X131),"")</f>
        <v/>
      </c>
      <c r="Z131" s="36">
        <f>IFERROR(IF(X131="","",X131*0.01788),"")</f>
        <v/>
      </c>
      <c r="AA131" s="55" t="n"/>
      <c r="AB131" s="56" t="n"/>
      <c r="AC131" s="154" t="inlineStr">
        <is>
          <t>ЕАЭС N RU Д-RU.РА05.В.14086/23</t>
        </is>
      </c>
      <c r="AG131" s="66" t="n"/>
      <c r="AJ131" s="69" t="inlineStr">
        <is>
          <t>Короб</t>
        </is>
      </c>
      <c r="AK131" s="69" t="n">
        <v>1</v>
      </c>
      <c r="BB131" s="155" t="inlineStr">
        <is>
          <t>ПГП</t>
        </is>
      </c>
      <c r="BM131" s="66">
        <f>IFERROR(X131*I131,"0")</f>
        <v/>
      </c>
      <c r="BN131" s="66">
        <f>IFERROR(Y131*I131,"0")</f>
        <v/>
      </c>
      <c r="BO131" s="66">
        <f>IFERROR(X131/J131,"0")</f>
        <v/>
      </c>
      <c r="BP131" s="66">
        <f>IFERROR(Y131/J131,"0")</f>
        <v/>
      </c>
    </row>
    <row r="132">
      <c r="A132" s="318" t="n"/>
      <c r="B132" s="319" t="n"/>
      <c r="C132" s="319" t="n"/>
      <c r="D132" s="319" t="n"/>
      <c r="E132" s="319" t="n"/>
      <c r="F132" s="319" t="n"/>
      <c r="G132" s="319" t="n"/>
      <c r="H132" s="319" t="n"/>
      <c r="I132" s="319" t="n"/>
      <c r="J132" s="319" t="n"/>
      <c r="K132" s="319" t="n"/>
      <c r="L132" s="319" t="n"/>
      <c r="M132" s="319" t="n"/>
      <c r="N132" s="319" t="n"/>
      <c r="O132" s="320" t="n"/>
      <c r="P132" s="321" t="inlineStr">
        <is>
          <t>Итого</t>
        </is>
      </c>
      <c r="Q132" s="322" t="n"/>
      <c r="R132" s="322" t="n"/>
      <c r="S132" s="322" t="n"/>
      <c r="T132" s="322" t="n"/>
      <c r="U132" s="322" t="n"/>
      <c r="V132" s="323" t="n"/>
      <c r="W132" s="37" t="inlineStr">
        <is>
          <t>кор</t>
        </is>
      </c>
      <c r="X132" s="308">
        <f>IFERROR(SUM(X130:X131),"0")</f>
        <v/>
      </c>
      <c r="Y132" s="308">
        <f>IFERROR(SUM(Y130:Y131),"0")</f>
        <v/>
      </c>
      <c r="Z132" s="308">
        <f>IFERROR(IF(Z130="",0,Z130),"0")+IFERROR(IF(Z131="",0,Z131),"0")</f>
        <v/>
      </c>
      <c r="AA132" s="309" t="n"/>
      <c r="AB132" s="309" t="n"/>
      <c r="AC132" s="309" t="n"/>
    </row>
    <row r="133">
      <c r="A133" s="319" t="n"/>
      <c r="B133" s="319" t="n"/>
      <c r="C133" s="319" t="n"/>
      <c r="D133" s="319" t="n"/>
      <c r="E133" s="319" t="n"/>
      <c r="F133" s="319" t="n"/>
      <c r="G133" s="319" t="n"/>
      <c r="H133" s="319" t="n"/>
      <c r="I133" s="319" t="n"/>
      <c r="J133" s="319" t="n"/>
      <c r="K133" s="319" t="n"/>
      <c r="L133" s="319" t="n"/>
      <c r="M133" s="319" t="n"/>
      <c r="N133" s="319" t="n"/>
      <c r="O133" s="320" t="n"/>
      <c r="P133" s="321" t="inlineStr">
        <is>
          <t>Итого</t>
        </is>
      </c>
      <c r="Q133" s="322" t="n"/>
      <c r="R133" s="322" t="n"/>
      <c r="S133" s="322" t="n"/>
      <c r="T133" s="322" t="n"/>
      <c r="U133" s="322" t="n"/>
      <c r="V133" s="323" t="n"/>
      <c r="W133" s="37" t="inlineStr">
        <is>
          <t>кг</t>
        </is>
      </c>
      <c r="X133" s="308">
        <f>IFERROR(SUMPRODUCT(X130:X131*H130:H131),"0")</f>
        <v/>
      </c>
      <c r="Y133" s="308">
        <f>IFERROR(SUMPRODUCT(Y130:Y131*H130:H131),"0")</f>
        <v/>
      </c>
      <c r="Z133" s="37" t="n"/>
      <c r="AA133" s="309" t="n"/>
      <c r="AB133" s="309" t="n"/>
      <c r="AC133" s="309" t="n"/>
    </row>
    <row r="134" ht="16.5" customHeight="1">
      <c r="A134" s="324" t="inlineStr">
        <is>
          <t>Круггетсы</t>
        </is>
      </c>
      <c r="B134" s="319" t="n"/>
      <c r="C134" s="319" t="n"/>
      <c r="D134" s="319" t="n"/>
      <c r="E134" s="319" t="n"/>
      <c r="F134" s="319" t="n"/>
      <c r="G134" s="319" t="n"/>
      <c r="H134" s="319" t="n"/>
      <c r="I134" s="319" t="n"/>
      <c r="J134" s="319" t="n"/>
      <c r="K134" s="319" t="n"/>
      <c r="L134" s="319" t="n"/>
      <c r="M134" s="319" t="n"/>
      <c r="N134" s="319" t="n"/>
      <c r="O134" s="319" t="n"/>
      <c r="P134" s="319" t="n"/>
      <c r="Q134" s="319" t="n"/>
      <c r="R134" s="319" t="n"/>
      <c r="S134" s="319" t="n"/>
      <c r="T134" s="319" t="n"/>
      <c r="U134" s="319" t="n"/>
      <c r="V134" s="319" t="n"/>
      <c r="W134" s="319" t="n"/>
      <c r="X134" s="319" t="n"/>
      <c r="Y134" s="319" t="n"/>
      <c r="Z134" s="319" t="n"/>
      <c r="AA134" s="324" t="n"/>
      <c r="AB134" s="324" t="n"/>
      <c r="AC134" s="324" t="n"/>
    </row>
    <row r="135" ht="14.25" customHeight="1">
      <c r="A135" s="329" t="inlineStr">
        <is>
          <t>Снеки</t>
        </is>
      </c>
      <c r="B135" s="319" t="n"/>
      <c r="C135" s="319" t="n"/>
      <c r="D135" s="319" t="n"/>
      <c r="E135" s="319" t="n"/>
      <c r="F135" s="319" t="n"/>
      <c r="G135" s="319" t="n"/>
      <c r="H135" s="319" t="n"/>
      <c r="I135" s="319" t="n"/>
      <c r="J135" s="319" t="n"/>
      <c r="K135" s="319" t="n"/>
      <c r="L135" s="319" t="n"/>
      <c r="M135" s="319" t="n"/>
      <c r="N135" s="319" t="n"/>
      <c r="O135" s="319" t="n"/>
      <c r="P135" s="319" t="n"/>
      <c r="Q135" s="319" t="n"/>
      <c r="R135" s="319" t="n"/>
      <c r="S135" s="319" t="n"/>
      <c r="T135" s="319" t="n"/>
      <c r="U135" s="319" t="n"/>
      <c r="V135" s="319" t="n"/>
      <c r="W135" s="319" t="n"/>
      <c r="X135" s="319" t="n"/>
      <c r="Y135" s="319" t="n"/>
      <c r="Z135" s="319" t="n"/>
      <c r="AA135" s="329" t="n"/>
      <c r="AB135" s="329" t="n"/>
      <c r="AC135" s="329" t="n"/>
    </row>
    <row r="136" ht="27" customHeight="1">
      <c r="A136" s="53" t="inlineStr">
        <is>
          <t>SU003872</t>
        </is>
      </c>
      <c r="B136" s="53" t="inlineStr">
        <is>
          <t>P004956</t>
        </is>
      </c>
      <c r="C136" s="31" t="n">
        <v>4301135753</v>
      </c>
      <c r="D136" s="316" t="n">
        <v>4620207490914</v>
      </c>
      <c r="E136" s="317" t="n"/>
      <c r="F136" s="305" t="n">
        <v>0.2</v>
      </c>
      <c r="G136" s="32" t="n">
        <v>12</v>
      </c>
      <c r="H136" s="305" t="n">
        <v>2.4</v>
      </c>
      <c r="I136" s="305" t="n">
        <v>2.68</v>
      </c>
      <c r="J136" s="32" t="n">
        <v>70</v>
      </c>
      <c r="K136" s="32" t="inlineStr">
        <is>
          <t>14</t>
        </is>
      </c>
      <c r="L136" s="32" t="inlineStr">
        <is>
          <t>Короб, мин. 1</t>
        </is>
      </c>
      <c r="M136" s="33" t="inlineStr">
        <is>
          <t>МГ</t>
        </is>
      </c>
      <c r="N136" s="33" t="n"/>
      <c r="O136" s="32" t="n">
        <v>180</v>
      </c>
      <c r="P136" s="498" t="inlineStr">
        <is>
          <t>Снеки «Круггетсы с сырным соусом» Фикс.вес 0,2 ТМ «Горячая штучка»</t>
        </is>
      </c>
      <c r="Q136" s="313" t="n"/>
      <c r="R136" s="313" t="n"/>
      <c r="S136" s="313" t="n"/>
      <c r="T136" s="314" t="n"/>
      <c r="U136" s="34" t="n"/>
      <c r="V136" s="34" t="n"/>
      <c r="W136" s="35" t="inlineStr">
        <is>
          <t>кор</t>
        </is>
      </c>
      <c r="X136" s="306" t="n">
        <v>0</v>
      </c>
      <c r="Y136" s="307">
        <f>IFERROR(IF(X136="","",X136),"")</f>
        <v/>
      </c>
      <c r="Z136" s="36">
        <f>IFERROR(IF(X136="","",X136*0.01788),"")</f>
        <v/>
      </c>
      <c r="AA136" s="55" t="n"/>
      <c r="AB136" s="56" t="n"/>
      <c r="AC136" s="156" t="inlineStr">
        <is>
          <t>ЕАЭС N RU Д-RU.РА10.В.33475/23</t>
        </is>
      </c>
      <c r="AG136" s="66" t="n"/>
      <c r="AJ136" s="69" t="inlineStr">
        <is>
          <t>Короб</t>
        </is>
      </c>
      <c r="AK136" s="69" t="n">
        <v>1</v>
      </c>
      <c r="BB136" s="157" t="inlineStr">
        <is>
          <t>ПГП</t>
        </is>
      </c>
      <c r="BM136" s="66">
        <f>IFERROR(X136*I136,"0")</f>
        <v/>
      </c>
      <c r="BN136" s="66">
        <f>IFERROR(Y136*I136,"0")</f>
        <v/>
      </c>
      <c r="BO136" s="66">
        <f>IFERROR(X136/J136,"0")</f>
        <v/>
      </c>
      <c r="BP136" s="66">
        <f>IFERROR(Y136/J136,"0")</f>
        <v/>
      </c>
    </row>
    <row r="137" ht="27" customHeight="1">
      <c r="A137" s="53" t="inlineStr">
        <is>
          <t>SU003870</t>
        </is>
      </c>
      <c r="B137" s="53" t="inlineStr">
        <is>
          <t>P004953</t>
        </is>
      </c>
      <c r="C137" s="31" t="n">
        <v>4301135778</v>
      </c>
      <c r="D137" s="316" t="n">
        <v>4620207490853</v>
      </c>
      <c r="E137" s="317" t="n"/>
      <c r="F137" s="305" t="n">
        <v>0.2</v>
      </c>
      <c r="G137" s="32" t="n">
        <v>12</v>
      </c>
      <c r="H137" s="305" t="n">
        <v>2.4</v>
      </c>
      <c r="I137" s="305" t="n">
        <v>2.68</v>
      </c>
      <c r="J137" s="32" t="n">
        <v>70</v>
      </c>
      <c r="K137" s="32" t="inlineStr">
        <is>
          <t>14</t>
        </is>
      </c>
      <c r="L137" s="32" t="inlineStr">
        <is>
          <t>Короб, мин. 1</t>
        </is>
      </c>
      <c r="M137" s="33" t="inlineStr">
        <is>
          <t>МГ</t>
        </is>
      </c>
      <c r="N137" s="33" t="n"/>
      <c r="O137" s="32" t="n">
        <v>180</v>
      </c>
      <c r="P137" s="402" t="inlineStr">
        <is>
          <t>Снеки «Круггетсы сочные» Фикс.вес 0,2 ТМ «Горячая штучка»</t>
        </is>
      </c>
      <c r="Q137" s="313" t="n"/>
      <c r="R137" s="313" t="n"/>
      <c r="S137" s="313" t="n"/>
      <c r="T137" s="314" t="n"/>
      <c r="U137" s="34" t="n"/>
      <c r="V137" s="34" t="n"/>
      <c r="W137" s="35" t="inlineStr">
        <is>
          <t>кор</t>
        </is>
      </c>
      <c r="X137" s="306" t="n">
        <v>0</v>
      </c>
      <c r="Y137" s="307">
        <f>IFERROR(IF(X137="","",X137),"")</f>
        <v/>
      </c>
      <c r="Z137" s="36">
        <f>IFERROR(IF(X137="","",X137*0.01788),"")</f>
        <v/>
      </c>
      <c r="AA137" s="55" t="n"/>
      <c r="AB137" s="56" t="n"/>
      <c r="AC137" s="158" t="inlineStr">
        <is>
          <t>ЕАЭС N RU Д-RU.РА10.В.33475/23</t>
        </is>
      </c>
      <c r="AG137" s="66" t="n"/>
      <c r="AJ137" s="69" t="inlineStr">
        <is>
          <t>Короб</t>
        </is>
      </c>
      <c r="AK137" s="69" t="n">
        <v>1</v>
      </c>
      <c r="BB137" s="159" t="inlineStr">
        <is>
          <t>ПГП</t>
        </is>
      </c>
      <c r="BM137" s="66">
        <f>IFERROR(X137*I137,"0")</f>
        <v/>
      </c>
      <c r="BN137" s="66">
        <f>IFERROR(Y137*I137,"0")</f>
        <v/>
      </c>
      <c r="BO137" s="66">
        <f>IFERROR(X137/J137,"0")</f>
        <v/>
      </c>
      <c r="BP137" s="66">
        <f>IFERROR(Y137/J137,"0")</f>
        <v/>
      </c>
    </row>
    <row r="138">
      <c r="A138" s="318" t="n"/>
      <c r="B138" s="319" t="n"/>
      <c r="C138" s="319" t="n"/>
      <c r="D138" s="319" t="n"/>
      <c r="E138" s="319" t="n"/>
      <c r="F138" s="319" t="n"/>
      <c r="G138" s="319" t="n"/>
      <c r="H138" s="319" t="n"/>
      <c r="I138" s="319" t="n"/>
      <c r="J138" s="319" t="n"/>
      <c r="K138" s="319" t="n"/>
      <c r="L138" s="319" t="n"/>
      <c r="M138" s="319" t="n"/>
      <c r="N138" s="319" t="n"/>
      <c r="O138" s="320" t="n"/>
      <c r="P138" s="321" t="inlineStr">
        <is>
          <t>Итого</t>
        </is>
      </c>
      <c r="Q138" s="322" t="n"/>
      <c r="R138" s="322" t="n"/>
      <c r="S138" s="322" t="n"/>
      <c r="T138" s="322" t="n"/>
      <c r="U138" s="322" t="n"/>
      <c r="V138" s="323" t="n"/>
      <c r="W138" s="37" t="inlineStr">
        <is>
          <t>кор</t>
        </is>
      </c>
      <c r="X138" s="308">
        <f>IFERROR(SUM(X136:X137),"0")</f>
        <v/>
      </c>
      <c r="Y138" s="308">
        <f>IFERROR(SUM(Y136:Y137),"0")</f>
        <v/>
      </c>
      <c r="Z138" s="308">
        <f>IFERROR(IF(Z136="",0,Z136),"0")+IFERROR(IF(Z137="",0,Z137),"0")</f>
        <v/>
      </c>
      <c r="AA138" s="309" t="n"/>
      <c r="AB138" s="309" t="n"/>
      <c r="AC138" s="309" t="n"/>
    </row>
    <row r="139">
      <c r="A139" s="319" t="n"/>
      <c r="B139" s="319" t="n"/>
      <c r="C139" s="319" t="n"/>
      <c r="D139" s="319" t="n"/>
      <c r="E139" s="319" t="n"/>
      <c r="F139" s="319" t="n"/>
      <c r="G139" s="319" t="n"/>
      <c r="H139" s="319" t="n"/>
      <c r="I139" s="319" t="n"/>
      <c r="J139" s="319" t="n"/>
      <c r="K139" s="319" t="n"/>
      <c r="L139" s="319" t="n"/>
      <c r="M139" s="319" t="n"/>
      <c r="N139" s="319" t="n"/>
      <c r="O139" s="320" t="n"/>
      <c r="P139" s="321" t="inlineStr">
        <is>
          <t>Итого</t>
        </is>
      </c>
      <c r="Q139" s="322" t="n"/>
      <c r="R139" s="322" t="n"/>
      <c r="S139" s="322" t="n"/>
      <c r="T139" s="322" t="n"/>
      <c r="U139" s="322" t="n"/>
      <c r="V139" s="323" t="n"/>
      <c r="W139" s="37" t="inlineStr">
        <is>
          <t>кг</t>
        </is>
      </c>
      <c r="X139" s="308">
        <f>IFERROR(SUMPRODUCT(X136:X137*H136:H137),"0")</f>
        <v/>
      </c>
      <c r="Y139" s="308">
        <f>IFERROR(SUMPRODUCT(Y136:Y137*H136:H137),"0")</f>
        <v/>
      </c>
      <c r="Z139" s="37" t="n"/>
      <c r="AA139" s="309" t="n"/>
      <c r="AB139" s="309" t="n"/>
      <c r="AC139" s="309" t="n"/>
    </row>
    <row r="140" ht="16.5" customHeight="1">
      <c r="A140" s="324" t="inlineStr">
        <is>
          <t>Пекерсы</t>
        </is>
      </c>
      <c r="B140" s="319" t="n"/>
      <c r="C140" s="319" t="n"/>
      <c r="D140" s="319" t="n"/>
      <c r="E140" s="319" t="n"/>
      <c r="F140" s="319" t="n"/>
      <c r="G140" s="319" t="n"/>
      <c r="H140" s="319" t="n"/>
      <c r="I140" s="319" t="n"/>
      <c r="J140" s="319" t="n"/>
      <c r="K140" s="319" t="n"/>
      <c r="L140" s="319" t="n"/>
      <c r="M140" s="319" t="n"/>
      <c r="N140" s="319" t="n"/>
      <c r="O140" s="319" t="n"/>
      <c r="P140" s="319" t="n"/>
      <c r="Q140" s="319" t="n"/>
      <c r="R140" s="319" t="n"/>
      <c r="S140" s="319" t="n"/>
      <c r="T140" s="319" t="n"/>
      <c r="U140" s="319" t="n"/>
      <c r="V140" s="319" t="n"/>
      <c r="W140" s="319" t="n"/>
      <c r="X140" s="319" t="n"/>
      <c r="Y140" s="319" t="n"/>
      <c r="Z140" s="319" t="n"/>
      <c r="AA140" s="324" t="n"/>
      <c r="AB140" s="324" t="n"/>
      <c r="AC140" s="324" t="n"/>
    </row>
    <row r="141" ht="14.25" customHeight="1">
      <c r="A141" s="329" t="inlineStr">
        <is>
          <t>Снеки</t>
        </is>
      </c>
      <c r="B141" s="319" t="n"/>
      <c r="C141" s="319" t="n"/>
      <c r="D141" s="319" t="n"/>
      <c r="E141" s="319" t="n"/>
      <c r="F141" s="319" t="n"/>
      <c r="G141" s="319" t="n"/>
      <c r="H141" s="319" t="n"/>
      <c r="I141" s="319" t="n"/>
      <c r="J141" s="319" t="n"/>
      <c r="K141" s="319" t="n"/>
      <c r="L141" s="319" t="n"/>
      <c r="M141" s="319" t="n"/>
      <c r="N141" s="319" t="n"/>
      <c r="O141" s="319" t="n"/>
      <c r="P141" s="319" t="n"/>
      <c r="Q141" s="319" t="n"/>
      <c r="R141" s="319" t="n"/>
      <c r="S141" s="319" t="n"/>
      <c r="T141" s="319" t="n"/>
      <c r="U141" s="319" t="n"/>
      <c r="V141" s="319" t="n"/>
      <c r="W141" s="319" t="n"/>
      <c r="X141" s="319" t="n"/>
      <c r="Y141" s="319" t="n"/>
      <c r="Z141" s="319" t="n"/>
      <c r="AA141" s="329" t="n"/>
      <c r="AB141" s="329" t="n"/>
      <c r="AC141" s="329" t="n"/>
    </row>
    <row r="142" ht="27" customHeight="1">
      <c r="A142" s="53" t="inlineStr">
        <is>
          <t>SU003596</t>
        </is>
      </c>
      <c r="B142" s="53" t="inlineStr">
        <is>
          <t>P004594</t>
        </is>
      </c>
      <c r="C142" s="31" t="n">
        <v>4301135570</v>
      </c>
      <c r="D142" s="316" t="n">
        <v>4607111035806</v>
      </c>
      <c r="E142" s="317" t="n"/>
      <c r="F142" s="305" t="n">
        <v>0.25</v>
      </c>
      <c r="G142" s="32" t="n">
        <v>12</v>
      </c>
      <c r="H142" s="305" t="n">
        <v>3</v>
      </c>
      <c r="I142" s="305" t="n">
        <v>3.7036</v>
      </c>
      <c r="J142" s="32" t="n">
        <v>70</v>
      </c>
      <c r="K142" s="32" t="inlineStr">
        <is>
          <t>14</t>
        </is>
      </c>
      <c r="L142" s="32" t="inlineStr">
        <is>
          <t>Короб, мин. 1</t>
        </is>
      </c>
      <c r="M142" s="33" t="inlineStr">
        <is>
          <t>МГ</t>
        </is>
      </c>
      <c r="N142" s="33" t="n"/>
      <c r="O142" s="32" t="n">
        <v>180</v>
      </c>
      <c r="P142" s="391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/>
      </c>
      <c r="Q142" s="313" t="n"/>
      <c r="R142" s="313" t="n"/>
      <c r="S142" s="313" t="n"/>
      <c r="T142" s="314" t="n"/>
      <c r="U142" s="34" t="n"/>
      <c r="V142" s="34" t="n"/>
      <c r="W142" s="35" t="inlineStr">
        <is>
          <t>кор</t>
        </is>
      </c>
      <c r="X142" s="306" t="n">
        <v>0</v>
      </c>
      <c r="Y142" s="307">
        <f>IFERROR(IF(X142="","",X142),"")</f>
        <v/>
      </c>
      <c r="Z142" s="36">
        <f>IFERROR(IF(X142="","",X142*0.01788),"")</f>
        <v/>
      </c>
      <c r="AA142" s="55" t="n"/>
      <c r="AB142" s="56" t="n"/>
      <c r="AC142" s="160" t="inlineStr">
        <is>
          <t>ЕАЭС N RU Д-RU.РА05.В.54714/24</t>
        </is>
      </c>
      <c r="AG142" s="66" t="n"/>
      <c r="AJ142" s="69" t="inlineStr">
        <is>
          <t>Короб</t>
        </is>
      </c>
      <c r="AK142" s="69" t="n">
        <v>1</v>
      </c>
      <c r="BB142" s="161" t="inlineStr">
        <is>
          <t>ПГП</t>
        </is>
      </c>
      <c r="BM142" s="66">
        <f>IFERROR(X142*I142,"0")</f>
        <v/>
      </c>
      <c r="BN142" s="66">
        <f>IFERROR(Y142*I142,"0")</f>
        <v/>
      </c>
      <c r="BO142" s="66">
        <f>IFERROR(X142/J142,"0")</f>
        <v/>
      </c>
      <c r="BP142" s="66">
        <f>IFERROR(Y142/J142,"0")</f>
        <v/>
      </c>
    </row>
    <row r="143">
      <c r="A143" s="318" t="n"/>
      <c r="B143" s="319" t="n"/>
      <c r="C143" s="319" t="n"/>
      <c r="D143" s="319" t="n"/>
      <c r="E143" s="319" t="n"/>
      <c r="F143" s="319" t="n"/>
      <c r="G143" s="319" t="n"/>
      <c r="H143" s="319" t="n"/>
      <c r="I143" s="319" t="n"/>
      <c r="J143" s="319" t="n"/>
      <c r="K143" s="319" t="n"/>
      <c r="L143" s="319" t="n"/>
      <c r="M143" s="319" t="n"/>
      <c r="N143" s="319" t="n"/>
      <c r="O143" s="320" t="n"/>
      <c r="P143" s="321" t="inlineStr">
        <is>
          <t>Итого</t>
        </is>
      </c>
      <c r="Q143" s="322" t="n"/>
      <c r="R143" s="322" t="n"/>
      <c r="S143" s="322" t="n"/>
      <c r="T143" s="322" t="n"/>
      <c r="U143" s="322" t="n"/>
      <c r="V143" s="323" t="n"/>
      <c r="W143" s="37" t="inlineStr">
        <is>
          <t>кор</t>
        </is>
      </c>
      <c r="X143" s="308">
        <f>IFERROR(SUM(X142:X142),"0")</f>
        <v/>
      </c>
      <c r="Y143" s="308">
        <f>IFERROR(SUM(Y142:Y142),"0")</f>
        <v/>
      </c>
      <c r="Z143" s="308">
        <f>IFERROR(IF(Z142="",0,Z142),"0")</f>
        <v/>
      </c>
      <c r="AA143" s="309" t="n"/>
      <c r="AB143" s="309" t="n"/>
      <c r="AC143" s="309" t="n"/>
    </row>
    <row r="144">
      <c r="A144" s="319" t="n"/>
      <c r="B144" s="319" t="n"/>
      <c r="C144" s="319" t="n"/>
      <c r="D144" s="319" t="n"/>
      <c r="E144" s="319" t="n"/>
      <c r="F144" s="319" t="n"/>
      <c r="G144" s="319" t="n"/>
      <c r="H144" s="319" t="n"/>
      <c r="I144" s="319" t="n"/>
      <c r="J144" s="319" t="n"/>
      <c r="K144" s="319" t="n"/>
      <c r="L144" s="319" t="n"/>
      <c r="M144" s="319" t="n"/>
      <c r="N144" s="319" t="n"/>
      <c r="O144" s="320" t="n"/>
      <c r="P144" s="321" t="inlineStr">
        <is>
          <t>Итого</t>
        </is>
      </c>
      <c r="Q144" s="322" t="n"/>
      <c r="R144" s="322" t="n"/>
      <c r="S144" s="322" t="n"/>
      <c r="T144" s="322" t="n"/>
      <c r="U144" s="322" t="n"/>
      <c r="V144" s="323" t="n"/>
      <c r="W144" s="37" t="inlineStr">
        <is>
          <t>кг</t>
        </is>
      </c>
      <c r="X144" s="308">
        <f>IFERROR(SUMPRODUCT(X142:X142*H142:H142),"0")</f>
        <v/>
      </c>
      <c r="Y144" s="308">
        <f>IFERROR(SUMPRODUCT(Y142:Y142*H142:H142),"0")</f>
        <v/>
      </c>
      <c r="Z144" s="37" t="n"/>
      <c r="AA144" s="309" t="n"/>
      <c r="AB144" s="309" t="n"/>
      <c r="AC144" s="309" t="n"/>
    </row>
    <row r="145" ht="16.5" customHeight="1">
      <c r="A145" s="324" t="inlineStr">
        <is>
          <t>Хот-Догстер</t>
        </is>
      </c>
      <c r="B145" s="319" t="n"/>
      <c r="C145" s="319" t="n"/>
      <c r="D145" s="319" t="n"/>
      <c r="E145" s="319" t="n"/>
      <c r="F145" s="319" t="n"/>
      <c r="G145" s="319" t="n"/>
      <c r="H145" s="319" t="n"/>
      <c r="I145" s="319" t="n"/>
      <c r="J145" s="319" t="n"/>
      <c r="K145" s="319" t="n"/>
      <c r="L145" s="319" t="n"/>
      <c r="M145" s="319" t="n"/>
      <c r="N145" s="319" t="n"/>
      <c r="O145" s="319" t="n"/>
      <c r="P145" s="319" t="n"/>
      <c r="Q145" s="319" t="n"/>
      <c r="R145" s="319" t="n"/>
      <c r="S145" s="319" t="n"/>
      <c r="T145" s="319" t="n"/>
      <c r="U145" s="319" t="n"/>
      <c r="V145" s="319" t="n"/>
      <c r="W145" s="319" t="n"/>
      <c r="X145" s="319" t="n"/>
      <c r="Y145" s="319" t="n"/>
      <c r="Z145" s="319" t="n"/>
      <c r="AA145" s="324" t="n"/>
      <c r="AB145" s="324" t="n"/>
      <c r="AC145" s="324" t="n"/>
    </row>
    <row r="146" ht="14.25" customHeight="1">
      <c r="A146" s="329" t="inlineStr">
        <is>
          <t>Снеки</t>
        </is>
      </c>
      <c r="B146" s="319" t="n"/>
      <c r="C146" s="319" t="n"/>
      <c r="D146" s="319" t="n"/>
      <c r="E146" s="319" t="n"/>
      <c r="F146" s="319" t="n"/>
      <c r="G146" s="319" t="n"/>
      <c r="H146" s="319" t="n"/>
      <c r="I146" s="319" t="n"/>
      <c r="J146" s="319" t="n"/>
      <c r="K146" s="319" t="n"/>
      <c r="L146" s="319" t="n"/>
      <c r="M146" s="319" t="n"/>
      <c r="N146" s="319" t="n"/>
      <c r="O146" s="319" t="n"/>
      <c r="P146" s="319" t="n"/>
      <c r="Q146" s="319" t="n"/>
      <c r="R146" s="319" t="n"/>
      <c r="S146" s="319" t="n"/>
      <c r="T146" s="319" t="n"/>
      <c r="U146" s="319" t="n"/>
      <c r="V146" s="319" t="n"/>
      <c r="W146" s="319" t="n"/>
      <c r="X146" s="319" t="n"/>
      <c r="Y146" s="319" t="n"/>
      <c r="Z146" s="319" t="n"/>
      <c r="AA146" s="329" t="n"/>
      <c r="AB146" s="329" t="n"/>
      <c r="AC146" s="329" t="n"/>
    </row>
    <row r="147" ht="16.5" customHeight="1">
      <c r="A147" s="53" t="inlineStr">
        <is>
          <t>SU003632</t>
        </is>
      </c>
      <c r="B147" s="53" t="inlineStr">
        <is>
          <t>P004630</t>
        </is>
      </c>
      <c r="C147" s="31" t="n">
        <v>4301135607</v>
      </c>
      <c r="D147" s="316" t="n">
        <v>4607111039613</v>
      </c>
      <c r="E147" s="317" t="n"/>
      <c r="F147" s="305" t="n">
        <v>0.09</v>
      </c>
      <c r="G147" s="32" t="n">
        <v>30</v>
      </c>
      <c r="H147" s="305" t="n">
        <v>2.7</v>
      </c>
      <c r="I147" s="305" t="n">
        <v>3.09</v>
      </c>
      <c r="J147" s="32" t="n">
        <v>126</v>
      </c>
      <c r="K147" s="32" t="inlineStr">
        <is>
          <t>14</t>
        </is>
      </c>
      <c r="L147" s="32" t="inlineStr">
        <is>
          <t>Короб, мин. 1</t>
        </is>
      </c>
      <c r="M147" s="33" t="inlineStr">
        <is>
          <t>МГ</t>
        </is>
      </c>
      <c r="N147" s="33" t="n"/>
      <c r="O147" s="32" t="n">
        <v>180</v>
      </c>
      <c r="P147" s="346">
        <f>HYPERLINK("https://abi.ru/products/Замороженные/Горячая штучка/Хот-Догстер/Снеки/P004630/","Снеки «Хот-догстер» Фикс.вес 0,09 ТМ «Горячая штучка»")</f>
        <v/>
      </c>
      <c r="Q147" s="313" t="n"/>
      <c r="R147" s="313" t="n"/>
      <c r="S147" s="313" t="n"/>
      <c r="T147" s="314" t="n"/>
      <c r="U147" s="34" t="n"/>
      <c r="V147" s="34" t="n"/>
      <c r="W147" s="35" t="inlineStr">
        <is>
          <t>кор</t>
        </is>
      </c>
      <c r="X147" s="306" t="n">
        <v>0</v>
      </c>
      <c r="Y147" s="307">
        <f>IFERROR(IF(X147="","",X147),"")</f>
        <v/>
      </c>
      <c r="Z147" s="36">
        <f>IFERROR(IF(X147="","",X147*0.00936),"")</f>
        <v/>
      </c>
      <c r="AA147" s="55" t="n"/>
      <c r="AB147" s="56" t="n"/>
      <c r="AC147" s="162" t="inlineStr">
        <is>
          <t>ЕАЭС N RU Д-RU.РА02.В.13267/24</t>
        </is>
      </c>
      <c r="AG147" s="66" t="n"/>
      <c r="AJ147" s="69" t="inlineStr">
        <is>
          <t>Короб</t>
        </is>
      </c>
      <c r="AK147" s="69" t="n">
        <v>1</v>
      </c>
      <c r="BB147" s="163" t="inlineStr">
        <is>
          <t>ПГП</t>
        </is>
      </c>
      <c r="BM147" s="66">
        <f>IFERROR(X147*I147,"0")</f>
        <v/>
      </c>
      <c r="BN147" s="66">
        <f>IFERROR(Y147*I147,"0")</f>
        <v/>
      </c>
      <c r="BO147" s="66">
        <f>IFERROR(X147/J147,"0")</f>
        <v/>
      </c>
      <c r="BP147" s="66">
        <f>IFERROR(Y147/J147,"0")</f>
        <v/>
      </c>
    </row>
    <row r="148">
      <c r="A148" s="318" t="n"/>
      <c r="B148" s="319" t="n"/>
      <c r="C148" s="319" t="n"/>
      <c r="D148" s="319" t="n"/>
      <c r="E148" s="319" t="n"/>
      <c r="F148" s="319" t="n"/>
      <c r="G148" s="319" t="n"/>
      <c r="H148" s="319" t="n"/>
      <c r="I148" s="319" t="n"/>
      <c r="J148" s="319" t="n"/>
      <c r="K148" s="319" t="n"/>
      <c r="L148" s="319" t="n"/>
      <c r="M148" s="319" t="n"/>
      <c r="N148" s="319" t="n"/>
      <c r="O148" s="320" t="n"/>
      <c r="P148" s="321" t="inlineStr">
        <is>
          <t>Итого</t>
        </is>
      </c>
      <c r="Q148" s="322" t="n"/>
      <c r="R148" s="322" t="n"/>
      <c r="S148" s="322" t="n"/>
      <c r="T148" s="322" t="n"/>
      <c r="U148" s="322" t="n"/>
      <c r="V148" s="323" t="n"/>
      <c r="W148" s="37" t="inlineStr">
        <is>
          <t>кор</t>
        </is>
      </c>
      <c r="X148" s="308">
        <f>IFERROR(SUM(X147:X147),"0")</f>
        <v/>
      </c>
      <c r="Y148" s="308">
        <f>IFERROR(SUM(Y147:Y147),"0")</f>
        <v/>
      </c>
      <c r="Z148" s="308">
        <f>IFERROR(IF(Z147="",0,Z147),"0")</f>
        <v/>
      </c>
      <c r="AA148" s="309" t="n"/>
      <c r="AB148" s="309" t="n"/>
      <c r="AC148" s="309" t="n"/>
    </row>
    <row r="149">
      <c r="A149" s="319" t="n"/>
      <c r="B149" s="319" t="n"/>
      <c r="C149" s="319" t="n"/>
      <c r="D149" s="319" t="n"/>
      <c r="E149" s="319" t="n"/>
      <c r="F149" s="319" t="n"/>
      <c r="G149" s="319" t="n"/>
      <c r="H149" s="319" t="n"/>
      <c r="I149" s="319" t="n"/>
      <c r="J149" s="319" t="n"/>
      <c r="K149" s="319" t="n"/>
      <c r="L149" s="319" t="n"/>
      <c r="M149" s="319" t="n"/>
      <c r="N149" s="319" t="n"/>
      <c r="O149" s="320" t="n"/>
      <c r="P149" s="321" t="inlineStr">
        <is>
          <t>Итого</t>
        </is>
      </c>
      <c r="Q149" s="322" t="n"/>
      <c r="R149" s="322" t="n"/>
      <c r="S149" s="322" t="n"/>
      <c r="T149" s="322" t="n"/>
      <c r="U149" s="322" t="n"/>
      <c r="V149" s="323" t="n"/>
      <c r="W149" s="37" t="inlineStr">
        <is>
          <t>кг</t>
        </is>
      </c>
      <c r="X149" s="308">
        <f>IFERROR(SUMPRODUCT(X147:X147*H147:H147),"0")</f>
        <v/>
      </c>
      <c r="Y149" s="308">
        <f>IFERROR(SUMPRODUCT(Y147:Y147*H147:H147),"0")</f>
        <v/>
      </c>
      <c r="Z149" s="37" t="n"/>
      <c r="AA149" s="309" t="n"/>
      <c r="AB149" s="309" t="n"/>
      <c r="AC149" s="309" t="n"/>
    </row>
    <row r="150" ht="16.5" customHeight="1">
      <c r="A150" s="324" t="inlineStr">
        <is>
          <t>Супермени</t>
        </is>
      </c>
      <c r="B150" s="319" t="n"/>
      <c r="C150" s="319" t="n"/>
      <c r="D150" s="319" t="n"/>
      <c r="E150" s="319" t="n"/>
      <c r="F150" s="319" t="n"/>
      <c r="G150" s="319" t="n"/>
      <c r="H150" s="319" t="n"/>
      <c r="I150" s="319" t="n"/>
      <c r="J150" s="319" t="n"/>
      <c r="K150" s="319" t="n"/>
      <c r="L150" s="319" t="n"/>
      <c r="M150" s="319" t="n"/>
      <c r="N150" s="319" t="n"/>
      <c r="O150" s="319" t="n"/>
      <c r="P150" s="319" t="n"/>
      <c r="Q150" s="319" t="n"/>
      <c r="R150" s="319" t="n"/>
      <c r="S150" s="319" t="n"/>
      <c r="T150" s="319" t="n"/>
      <c r="U150" s="319" t="n"/>
      <c r="V150" s="319" t="n"/>
      <c r="W150" s="319" t="n"/>
      <c r="X150" s="319" t="n"/>
      <c r="Y150" s="319" t="n"/>
      <c r="Z150" s="319" t="n"/>
      <c r="AA150" s="324" t="n"/>
      <c r="AB150" s="324" t="n"/>
      <c r="AC150" s="324" t="n"/>
    </row>
    <row r="151" ht="14.25" customHeight="1">
      <c r="A151" s="329" t="inlineStr">
        <is>
          <t>Пельмени ПГП</t>
        </is>
      </c>
      <c r="B151" s="319" t="n"/>
      <c r="C151" s="319" t="n"/>
      <c r="D151" s="319" t="n"/>
      <c r="E151" s="319" t="n"/>
      <c r="F151" s="319" t="n"/>
      <c r="G151" s="319" t="n"/>
      <c r="H151" s="319" t="n"/>
      <c r="I151" s="319" t="n"/>
      <c r="J151" s="319" t="n"/>
      <c r="K151" s="319" t="n"/>
      <c r="L151" s="319" t="n"/>
      <c r="M151" s="319" t="n"/>
      <c r="N151" s="319" t="n"/>
      <c r="O151" s="319" t="n"/>
      <c r="P151" s="319" t="n"/>
      <c r="Q151" s="319" t="n"/>
      <c r="R151" s="319" t="n"/>
      <c r="S151" s="319" t="n"/>
      <c r="T151" s="319" t="n"/>
      <c r="U151" s="319" t="n"/>
      <c r="V151" s="319" t="n"/>
      <c r="W151" s="319" t="n"/>
      <c r="X151" s="319" t="n"/>
      <c r="Y151" s="319" t="n"/>
      <c r="Z151" s="319" t="n"/>
      <c r="AA151" s="329" t="n"/>
      <c r="AB151" s="329" t="n"/>
      <c r="AC151" s="329" t="n"/>
    </row>
    <row r="152" ht="27" customHeight="1">
      <c r="A152" s="53" t="inlineStr">
        <is>
          <t>SU002177</t>
        </is>
      </c>
      <c r="B152" s="53" t="inlineStr">
        <is>
          <t>P004523</t>
        </is>
      </c>
      <c r="C152" s="31" t="n">
        <v>4301135540</v>
      </c>
      <c r="D152" s="316" t="n">
        <v>4607111035646</v>
      </c>
      <c r="E152" s="317" t="n"/>
      <c r="F152" s="305" t="n">
        <v>0.2</v>
      </c>
      <c r="G152" s="32" t="n">
        <v>8</v>
      </c>
      <c r="H152" s="305" t="n">
        <v>1.6</v>
      </c>
      <c r="I152" s="305" t="n">
        <v>2.12</v>
      </c>
      <c r="J152" s="32" t="n">
        <v>72</v>
      </c>
      <c r="K152" s="32" t="inlineStr">
        <is>
          <t>6</t>
        </is>
      </c>
      <c r="L152" s="32" t="inlineStr">
        <is>
          <t>Короб, мин. 1</t>
        </is>
      </c>
      <c r="M152" s="33" t="inlineStr">
        <is>
          <t>МГ</t>
        </is>
      </c>
      <c r="N152" s="33" t="n"/>
      <c r="O152" s="32" t="n">
        <v>180</v>
      </c>
      <c r="P152" s="337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/>
      </c>
      <c r="Q152" s="313" t="n"/>
      <c r="R152" s="313" t="n"/>
      <c r="S152" s="313" t="n"/>
      <c r="T152" s="314" t="n"/>
      <c r="U152" s="34" t="n"/>
      <c r="V152" s="34" t="n"/>
      <c r="W152" s="35" t="inlineStr">
        <is>
          <t>кор</t>
        </is>
      </c>
      <c r="X152" s="306" t="n">
        <v>0</v>
      </c>
      <c r="Y152" s="307">
        <f>IFERROR(IF(X152="","",X152),"")</f>
        <v/>
      </c>
      <c r="Z152" s="36">
        <f>IFERROR(IF(X152="","",X152*0.01157),"")</f>
        <v/>
      </c>
      <c r="AA152" s="55" t="n"/>
      <c r="AB152" s="56" t="n"/>
      <c r="AC152" s="164" t="inlineStr">
        <is>
          <t>ЕАЭС N RU Д-RU.РА02.В.69059/24</t>
        </is>
      </c>
      <c r="AG152" s="66" t="n"/>
      <c r="AJ152" s="69" t="inlineStr">
        <is>
          <t>Короб</t>
        </is>
      </c>
      <c r="AK152" s="69" t="n">
        <v>1</v>
      </c>
      <c r="BB152" s="165" t="inlineStr">
        <is>
          <t>ПГП</t>
        </is>
      </c>
      <c r="BM152" s="66">
        <f>IFERROR(X152*I152,"0")</f>
        <v/>
      </c>
      <c r="BN152" s="66">
        <f>IFERROR(Y152*I152,"0")</f>
        <v/>
      </c>
      <c r="BO152" s="66">
        <f>IFERROR(X152/J152,"0")</f>
        <v/>
      </c>
      <c r="BP152" s="66">
        <f>IFERROR(Y152/J152,"0")</f>
        <v/>
      </c>
    </row>
    <row r="153">
      <c r="A153" s="318" t="n"/>
      <c r="B153" s="319" t="n"/>
      <c r="C153" s="319" t="n"/>
      <c r="D153" s="319" t="n"/>
      <c r="E153" s="319" t="n"/>
      <c r="F153" s="319" t="n"/>
      <c r="G153" s="319" t="n"/>
      <c r="H153" s="319" t="n"/>
      <c r="I153" s="319" t="n"/>
      <c r="J153" s="319" t="n"/>
      <c r="K153" s="319" t="n"/>
      <c r="L153" s="319" t="n"/>
      <c r="M153" s="319" t="n"/>
      <c r="N153" s="319" t="n"/>
      <c r="O153" s="320" t="n"/>
      <c r="P153" s="321" t="inlineStr">
        <is>
          <t>Итого</t>
        </is>
      </c>
      <c r="Q153" s="322" t="n"/>
      <c r="R153" s="322" t="n"/>
      <c r="S153" s="322" t="n"/>
      <c r="T153" s="322" t="n"/>
      <c r="U153" s="322" t="n"/>
      <c r="V153" s="323" t="n"/>
      <c r="W153" s="37" t="inlineStr">
        <is>
          <t>кор</t>
        </is>
      </c>
      <c r="X153" s="308">
        <f>IFERROR(SUM(X152:X152),"0")</f>
        <v/>
      </c>
      <c r="Y153" s="308">
        <f>IFERROR(SUM(Y152:Y152),"0")</f>
        <v/>
      </c>
      <c r="Z153" s="308">
        <f>IFERROR(IF(Z152="",0,Z152),"0")</f>
        <v/>
      </c>
      <c r="AA153" s="309" t="n"/>
      <c r="AB153" s="309" t="n"/>
      <c r="AC153" s="309" t="n"/>
    </row>
    <row r="154">
      <c r="A154" s="319" t="n"/>
      <c r="B154" s="319" t="n"/>
      <c r="C154" s="319" t="n"/>
      <c r="D154" s="319" t="n"/>
      <c r="E154" s="319" t="n"/>
      <c r="F154" s="319" t="n"/>
      <c r="G154" s="319" t="n"/>
      <c r="H154" s="319" t="n"/>
      <c r="I154" s="319" t="n"/>
      <c r="J154" s="319" t="n"/>
      <c r="K154" s="319" t="n"/>
      <c r="L154" s="319" t="n"/>
      <c r="M154" s="319" t="n"/>
      <c r="N154" s="319" t="n"/>
      <c r="O154" s="320" t="n"/>
      <c r="P154" s="321" t="inlineStr">
        <is>
          <t>Итого</t>
        </is>
      </c>
      <c r="Q154" s="322" t="n"/>
      <c r="R154" s="322" t="n"/>
      <c r="S154" s="322" t="n"/>
      <c r="T154" s="322" t="n"/>
      <c r="U154" s="322" t="n"/>
      <c r="V154" s="323" t="n"/>
      <c r="W154" s="37" t="inlineStr">
        <is>
          <t>кг</t>
        </is>
      </c>
      <c r="X154" s="308">
        <f>IFERROR(SUMPRODUCT(X152:X152*H152:H152),"0")</f>
        <v/>
      </c>
      <c r="Y154" s="308">
        <f>IFERROR(SUMPRODUCT(Y152:Y152*H152:H152),"0")</f>
        <v/>
      </c>
      <c r="Z154" s="37" t="n"/>
      <c r="AA154" s="309" t="n"/>
      <c r="AB154" s="309" t="n"/>
      <c r="AC154" s="309" t="n"/>
    </row>
    <row r="155" ht="16.5" customHeight="1">
      <c r="A155" s="324" t="inlineStr">
        <is>
          <t>Чебуманы</t>
        </is>
      </c>
      <c r="B155" s="319" t="n"/>
      <c r="C155" s="319" t="n"/>
      <c r="D155" s="319" t="n"/>
      <c r="E155" s="319" t="n"/>
      <c r="F155" s="319" t="n"/>
      <c r="G155" s="319" t="n"/>
      <c r="H155" s="319" t="n"/>
      <c r="I155" s="319" t="n"/>
      <c r="J155" s="319" t="n"/>
      <c r="K155" s="319" t="n"/>
      <c r="L155" s="319" t="n"/>
      <c r="M155" s="319" t="n"/>
      <c r="N155" s="319" t="n"/>
      <c r="O155" s="319" t="n"/>
      <c r="P155" s="319" t="n"/>
      <c r="Q155" s="319" t="n"/>
      <c r="R155" s="319" t="n"/>
      <c r="S155" s="319" t="n"/>
      <c r="T155" s="319" t="n"/>
      <c r="U155" s="319" t="n"/>
      <c r="V155" s="319" t="n"/>
      <c r="W155" s="319" t="n"/>
      <c r="X155" s="319" t="n"/>
      <c r="Y155" s="319" t="n"/>
      <c r="Z155" s="319" t="n"/>
      <c r="AA155" s="324" t="n"/>
      <c r="AB155" s="324" t="n"/>
      <c r="AC155" s="324" t="n"/>
    </row>
    <row r="156" ht="14.25" customHeight="1">
      <c r="A156" s="329" t="inlineStr">
        <is>
          <t>Снеки</t>
        </is>
      </c>
      <c r="B156" s="319" t="n"/>
      <c r="C156" s="319" t="n"/>
      <c r="D156" s="319" t="n"/>
      <c r="E156" s="319" t="n"/>
      <c r="F156" s="319" t="n"/>
      <c r="G156" s="319" t="n"/>
      <c r="H156" s="319" t="n"/>
      <c r="I156" s="319" t="n"/>
      <c r="J156" s="319" t="n"/>
      <c r="K156" s="319" t="n"/>
      <c r="L156" s="319" t="n"/>
      <c r="M156" s="319" t="n"/>
      <c r="N156" s="319" t="n"/>
      <c r="O156" s="319" t="n"/>
      <c r="P156" s="319" t="n"/>
      <c r="Q156" s="319" t="n"/>
      <c r="R156" s="319" t="n"/>
      <c r="S156" s="319" t="n"/>
      <c r="T156" s="319" t="n"/>
      <c r="U156" s="319" t="n"/>
      <c r="V156" s="319" t="n"/>
      <c r="W156" s="319" t="n"/>
      <c r="X156" s="319" t="n"/>
      <c r="Y156" s="319" t="n"/>
      <c r="Z156" s="319" t="n"/>
      <c r="AA156" s="329" t="n"/>
      <c r="AB156" s="329" t="n"/>
      <c r="AC156" s="329" t="n"/>
    </row>
    <row r="157" ht="27" customHeight="1">
      <c r="A157" s="53" t="inlineStr">
        <is>
          <t>SU003601</t>
        </is>
      </c>
      <c r="B157" s="53" t="inlineStr">
        <is>
          <t>P004597</t>
        </is>
      </c>
      <c r="C157" s="31" t="n">
        <v>4301135591</v>
      </c>
      <c r="D157" s="316" t="n">
        <v>4607111036568</v>
      </c>
      <c r="E157" s="317" t="n"/>
      <c r="F157" s="305" t="n">
        <v>0.28</v>
      </c>
      <c r="G157" s="32" t="n">
        <v>6</v>
      </c>
      <c r="H157" s="305" t="n">
        <v>1.68</v>
      </c>
      <c r="I157" s="305" t="n">
        <v>2.1018</v>
      </c>
      <c r="J157" s="32" t="n">
        <v>140</v>
      </c>
      <c r="K157" s="32" t="inlineStr">
        <is>
          <t>14</t>
        </is>
      </c>
      <c r="L157" s="32" t="inlineStr">
        <is>
          <t>Короб, мин. 1</t>
        </is>
      </c>
      <c r="M157" s="33" t="inlineStr">
        <is>
          <t>МГ</t>
        </is>
      </c>
      <c r="N157" s="33" t="n"/>
      <c r="O157" s="32" t="n">
        <v>180</v>
      </c>
      <c r="P157" s="331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/>
      </c>
      <c r="Q157" s="313" t="n"/>
      <c r="R157" s="313" t="n"/>
      <c r="S157" s="313" t="n"/>
      <c r="T157" s="314" t="n"/>
      <c r="U157" s="34" t="n"/>
      <c r="V157" s="34" t="n"/>
      <c r="W157" s="35" t="inlineStr">
        <is>
          <t>кор</t>
        </is>
      </c>
      <c r="X157" s="306" t="n">
        <v>0</v>
      </c>
      <c r="Y157" s="307">
        <f>IFERROR(IF(X157="","",X157),"")</f>
        <v/>
      </c>
      <c r="Z157" s="36">
        <f>IFERROR(IF(X157="","",X157*0.00941),"")</f>
        <v/>
      </c>
      <c r="AA157" s="55" t="n"/>
      <c r="AB157" s="56" t="n"/>
      <c r="AC157" s="166" t="inlineStr">
        <is>
          <t>ЕАЭС N RU Д-RU.РА02.В.49579/23, ЕАЭС N RU Д-RU.РА07.В.66009/22</t>
        </is>
      </c>
      <c r="AG157" s="66" t="n"/>
      <c r="AJ157" s="69" t="inlineStr">
        <is>
          <t>Короб</t>
        </is>
      </c>
      <c r="AK157" s="69" t="n">
        <v>1</v>
      </c>
      <c r="BB157" s="167" t="inlineStr">
        <is>
          <t>ПГП</t>
        </is>
      </c>
      <c r="BM157" s="66">
        <f>IFERROR(X157*I157,"0")</f>
        <v/>
      </c>
      <c r="BN157" s="66">
        <f>IFERROR(Y157*I157,"0")</f>
        <v/>
      </c>
      <c r="BO157" s="66">
        <f>IFERROR(X157/J157,"0")</f>
        <v/>
      </c>
      <c r="BP157" s="66">
        <f>IFERROR(Y157/J157,"0")</f>
        <v/>
      </c>
    </row>
    <row r="158">
      <c r="A158" s="318" t="n"/>
      <c r="B158" s="319" t="n"/>
      <c r="C158" s="319" t="n"/>
      <c r="D158" s="319" t="n"/>
      <c r="E158" s="319" t="n"/>
      <c r="F158" s="319" t="n"/>
      <c r="G158" s="319" t="n"/>
      <c r="H158" s="319" t="n"/>
      <c r="I158" s="319" t="n"/>
      <c r="J158" s="319" t="n"/>
      <c r="K158" s="319" t="n"/>
      <c r="L158" s="319" t="n"/>
      <c r="M158" s="319" t="n"/>
      <c r="N158" s="319" t="n"/>
      <c r="O158" s="320" t="n"/>
      <c r="P158" s="321" t="inlineStr">
        <is>
          <t>Итого</t>
        </is>
      </c>
      <c r="Q158" s="322" t="n"/>
      <c r="R158" s="322" t="n"/>
      <c r="S158" s="322" t="n"/>
      <c r="T158" s="322" t="n"/>
      <c r="U158" s="322" t="n"/>
      <c r="V158" s="323" t="n"/>
      <c r="W158" s="37" t="inlineStr">
        <is>
          <t>кор</t>
        </is>
      </c>
      <c r="X158" s="308">
        <f>IFERROR(SUM(X157:X157),"0")</f>
        <v/>
      </c>
      <c r="Y158" s="308">
        <f>IFERROR(SUM(Y157:Y157),"0")</f>
        <v/>
      </c>
      <c r="Z158" s="308">
        <f>IFERROR(IF(Z157="",0,Z157),"0")</f>
        <v/>
      </c>
      <c r="AA158" s="309" t="n"/>
      <c r="AB158" s="309" t="n"/>
      <c r="AC158" s="309" t="n"/>
    </row>
    <row r="159">
      <c r="A159" s="319" t="n"/>
      <c r="B159" s="319" t="n"/>
      <c r="C159" s="319" t="n"/>
      <c r="D159" s="319" t="n"/>
      <c r="E159" s="319" t="n"/>
      <c r="F159" s="319" t="n"/>
      <c r="G159" s="319" t="n"/>
      <c r="H159" s="319" t="n"/>
      <c r="I159" s="319" t="n"/>
      <c r="J159" s="319" t="n"/>
      <c r="K159" s="319" t="n"/>
      <c r="L159" s="319" t="n"/>
      <c r="M159" s="319" t="n"/>
      <c r="N159" s="319" t="n"/>
      <c r="O159" s="320" t="n"/>
      <c r="P159" s="321" t="inlineStr">
        <is>
          <t>Итого</t>
        </is>
      </c>
      <c r="Q159" s="322" t="n"/>
      <c r="R159" s="322" t="n"/>
      <c r="S159" s="322" t="n"/>
      <c r="T159" s="322" t="n"/>
      <c r="U159" s="322" t="n"/>
      <c r="V159" s="323" t="n"/>
      <c r="W159" s="37" t="inlineStr">
        <is>
          <t>кг</t>
        </is>
      </c>
      <c r="X159" s="308">
        <f>IFERROR(SUMPRODUCT(X157:X157*H157:H157),"0")</f>
        <v/>
      </c>
      <c r="Y159" s="308">
        <f>IFERROR(SUMPRODUCT(Y157:Y157*H157:H157),"0")</f>
        <v/>
      </c>
      <c r="Z159" s="37" t="n"/>
      <c r="AA159" s="309" t="n"/>
      <c r="AB159" s="309" t="n"/>
      <c r="AC159" s="309" t="n"/>
    </row>
    <row r="160" ht="27.75" customHeight="1">
      <c r="A160" s="365" t="inlineStr">
        <is>
          <t>No Name</t>
        </is>
      </c>
      <c r="B160" s="366" t="n"/>
      <c r="C160" s="366" t="n"/>
      <c r="D160" s="366" t="n"/>
      <c r="E160" s="366" t="n"/>
      <c r="F160" s="366" t="n"/>
      <c r="G160" s="366" t="n"/>
      <c r="H160" s="366" t="n"/>
      <c r="I160" s="366" t="n"/>
      <c r="J160" s="366" t="n"/>
      <c r="K160" s="366" t="n"/>
      <c r="L160" s="366" t="n"/>
      <c r="M160" s="366" t="n"/>
      <c r="N160" s="366" t="n"/>
      <c r="O160" s="366" t="n"/>
      <c r="P160" s="366" t="n"/>
      <c r="Q160" s="366" t="n"/>
      <c r="R160" s="366" t="n"/>
      <c r="S160" s="366" t="n"/>
      <c r="T160" s="366" t="n"/>
      <c r="U160" s="366" t="n"/>
      <c r="V160" s="366" t="n"/>
      <c r="W160" s="366" t="n"/>
      <c r="X160" s="366" t="n"/>
      <c r="Y160" s="366" t="n"/>
      <c r="Z160" s="366" t="n"/>
      <c r="AA160" s="48" t="n"/>
      <c r="AB160" s="48" t="n"/>
      <c r="AC160" s="48" t="n"/>
    </row>
    <row r="161" ht="16.5" customHeight="1">
      <c r="A161" s="324" t="inlineStr">
        <is>
          <t>No Name ЗПФ</t>
        </is>
      </c>
      <c r="B161" s="319" t="n"/>
      <c r="C161" s="319" t="n"/>
      <c r="D161" s="319" t="n"/>
      <c r="E161" s="319" t="n"/>
      <c r="F161" s="319" t="n"/>
      <c r="G161" s="319" t="n"/>
      <c r="H161" s="319" t="n"/>
      <c r="I161" s="319" t="n"/>
      <c r="J161" s="319" t="n"/>
      <c r="K161" s="319" t="n"/>
      <c r="L161" s="319" t="n"/>
      <c r="M161" s="319" t="n"/>
      <c r="N161" s="319" t="n"/>
      <c r="O161" s="319" t="n"/>
      <c r="P161" s="319" t="n"/>
      <c r="Q161" s="319" t="n"/>
      <c r="R161" s="319" t="n"/>
      <c r="S161" s="319" t="n"/>
      <c r="T161" s="319" t="n"/>
      <c r="U161" s="319" t="n"/>
      <c r="V161" s="319" t="n"/>
      <c r="W161" s="319" t="n"/>
      <c r="X161" s="319" t="n"/>
      <c r="Y161" s="319" t="n"/>
      <c r="Z161" s="319" t="n"/>
      <c r="AA161" s="324" t="n"/>
      <c r="AB161" s="324" t="n"/>
      <c r="AC161" s="324" t="n"/>
    </row>
    <row r="162" ht="14.25" customHeight="1">
      <c r="A162" s="329" t="inlineStr">
        <is>
          <t>Пельмени</t>
        </is>
      </c>
      <c r="B162" s="319" t="n"/>
      <c r="C162" s="319" t="n"/>
      <c r="D162" s="319" t="n"/>
      <c r="E162" s="319" t="n"/>
      <c r="F162" s="319" t="n"/>
      <c r="G162" s="319" t="n"/>
      <c r="H162" s="319" t="n"/>
      <c r="I162" s="319" t="n"/>
      <c r="J162" s="319" t="n"/>
      <c r="K162" s="319" t="n"/>
      <c r="L162" s="319" t="n"/>
      <c r="M162" s="319" t="n"/>
      <c r="N162" s="319" t="n"/>
      <c r="O162" s="319" t="n"/>
      <c r="P162" s="319" t="n"/>
      <c r="Q162" s="319" t="n"/>
      <c r="R162" s="319" t="n"/>
      <c r="S162" s="319" t="n"/>
      <c r="T162" s="319" t="n"/>
      <c r="U162" s="319" t="n"/>
      <c r="V162" s="319" t="n"/>
      <c r="W162" s="319" t="n"/>
      <c r="X162" s="319" t="n"/>
      <c r="Y162" s="319" t="n"/>
      <c r="Z162" s="319" t="n"/>
      <c r="AA162" s="329" t="n"/>
      <c r="AB162" s="329" t="n"/>
      <c r="AC162" s="329" t="n"/>
    </row>
    <row r="163" ht="16.5" customHeight="1">
      <c r="A163" s="53" t="inlineStr">
        <is>
          <t>SU002396</t>
        </is>
      </c>
      <c r="B163" s="53" t="inlineStr">
        <is>
          <t>P004620</t>
        </is>
      </c>
      <c r="C163" s="31" t="n">
        <v>4301071062</v>
      </c>
      <c r="D163" s="316" t="n">
        <v>4607111036384</v>
      </c>
      <c r="E163" s="317" t="n"/>
      <c r="F163" s="305" t="n">
        <v>5</v>
      </c>
      <c r="G163" s="32" t="n">
        <v>1</v>
      </c>
      <c r="H163" s="305" t="n">
        <v>5</v>
      </c>
      <c r="I163" s="305" t="n">
        <v>5.2106</v>
      </c>
      <c r="J163" s="32" t="n">
        <v>144</v>
      </c>
      <c r="K163" s="32" t="inlineStr">
        <is>
          <t>12</t>
        </is>
      </c>
      <c r="L163" s="32" t="inlineStr">
        <is>
          <t>Короб, мин. 1</t>
        </is>
      </c>
      <c r="M163" s="33" t="inlineStr">
        <is>
          <t>МГ</t>
        </is>
      </c>
      <c r="N163" s="33" t="n"/>
      <c r="O163" s="32" t="n">
        <v>180</v>
      </c>
      <c r="P163" s="416" t="inlineStr">
        <is>
          <t>Пельмени «Зареченские» Весовые Сфера ТМ «No name» 5 кг</t>
        </is>
      </c>
      <c r="Q163" s="313" t="n"/>
      <c r="R163" s="313" t="n"/>
      <c r="S163" s="313" t="n"/>
      <c r="T163" s="314" t="n"/>
      <c r="U163" s="34" t="n"/>
      <c r="V163" s="34" t="n"/>
      <c r="W163" s="35" t="inlineStr">
        <is>
          <t>кор</t>
        </is>
      </c>
      <c r="X163" s="306" t="n">
        <v>0</v>
      </c>
      <c r="Y163" s="307">
        <f>IFERROR(IF(X163="","",X163),"")</f>
        <v/>
      </c>
      <c r="Z163" s="36">
        <f>IFERROR(IF(X163="","",X163*0.00866),"")</f>
        <v/>
      </c>
      <c r="AA163" s="55" t="n"/>
      <c r="AB163" s="56" t="n"/>
      <c r="AC163" s="168" t="inlineStr">
        <is>
          <t>ЕАЭС N RU Д-RU.РА05.В.15328/24</t>
        </is>
      </c>
      <c r="AG163" s="66" t="n"/>
      <c r="AJ163" s="69" t="inlineStr">
        <is>
          <t>Короб</t>
        </is>
      </c>
      <c r="AK163" s="69" t="n">
        <v>1</v>
      </c>
      <c r="BB163" s="169" t="inlineStr">
        <is>
          <t>ЗПФ</t>
        </is>
      </c>
      <c r="BM163" s="66">
        <f>IFERROR(X163*I163,"0")</f>
        <v/>
      </c>
      <c r="BN163" s="66">
        <f>IFERROR(Y163*I163,"0")</f>
        <v/>
      </c>
      <c r="BO163" s="66">
        <f>IFERROR(X163/J163,"0")</f>
        <v/>
      </c>
      <c r="BP163" s="66">
        <f>IFERROR(Y163/J163,"0")</f>
        <v/>
      </c>
    </row>
    <row r="164" ht="27" customHeight="1">
      <c r="A164" s="53" t="inlineStr">
        <is>
          <t>SU000197</t>
        </is>
      </c>
      <c r="B164" s="53" t="inlineStr">
        <is>
          <t>P004472</t>
        </is>
      </c>
      <c r="C164" s="31" t="n">
        <v>4301071050</v>
      </c>
      <c r="D164" s="316" t="n">
        <v>4607111036216</v>
      </c>
      <c r="E164" s="317" t="n"/>
      <c r="F164" s="305" t="n">
        <v>5</v>
      </c>
      <c r="G164" s="32" t="n">
        <v>1</v>
      </c>
      <c r="H164" s="305" t="n">
        <v>5</v>
      </c>
      <c r="I164" s="305" t="n">
        <v>5.2132</v>
      </c>
      <c r="J164" s="32" t="n">
        <v>144</v>
      </c>
      <c r="K164" s="32" t="inlineStr">
        <is>
          <t>12</t>
        </is>
      </c>
      <c r="L164" s="32" t="inlineStr">
        <is>
          <t>Короб, мин. 1</t>
        </is>
      </c>
      <c r="M164" s="33" t="inlineStr">
        <is>
          <t>МГ</t>
        </is>
      </c>
      <c r="N164" s="33" t="n"/>
      <c r="O164" s="32" t="n">
        <v>180</v>
      </c>
      <c r="P164" s="458">
        <f>HYPERLINK("https://abi.ru/products/Замороженные/No Name/No Name ЗПФ/Пельмени/P004472/","Пельмени «Пуговки с говядиной и свининой» Весовые Сфера ТМ «No Name» 5 кг")</f>
        <v/>
      </c>
      <c r="Q164" s="313" t="n"/>
      <c r="R164" s="313" t="n"/>
      <c r="S164" s="313" t="n"/>
      <c r="T164" s="314" t="n"/>
      <c r="U164" s="34" t="n"/>
      <c r="V164" s="34" t="n"/>
      <c r="W164" s="35" t="inlineStr">
        <is>
          <t>кор</t>
        </is>
      </c>
      <c r="X164" s="306" t="n">
        <v>0</v>
      </c>
      <c r="Y164" s="307">
        <f>IFERROR(IF(X164="","",X164),"")</f>
        <v/>
      </c>
      <c r="Z164" s="36">
        <f>IFERROR(IF(X164="","",X164*0.00866),"")</f>
        <v/>
      </c>
      <c r="AA164" s="55" t="n"/>
      <c r="AB164" s="56" t="n"/>
      <c r="AC164" s="170" t="inlineStr">
        <is>
          <t>ЕАЭС N RU Д-RU.РА08.В.65691/23</t>
        </is>
      </c>
      <c r="AG164" s="66" t="n"/>
      <c r="AJ164" s="69" t="inlineStr">
        <is>
          <t>Короб</t>
        </is>
      </c>
      <c r="AK164" s="69" t="n">
        <v>1</v>
      </c>
      <c r="BB164" s="171" t="inlineStr">
        <is>
          <t>ЗПФ</t>
        </is>
      </c>
      <c r="BM164" s="66">
        <f>IFERROR(X164*I164,"0")</f>
        <v/>
      </c>
      <c r="BN164" s="66">
        <f>IFERROR(Y164*I164,"0")</f>
        <v/>
      </c>
      <c r="BO164" s="66">
        <f>IFERROR(X164/J164,"0")</f>
        <v/>
      </c>
      <c r="BP164" s="66">
        <f>IFERROR(Y164/J164,"0")</f>
        <v/>
      </c>
    </row>
    <row r="165">
      <c r="A165" s="318" t="n"/>
      <c r="B165" s="319" t="n"/>
      <c r="C165" s="319" t="n"/>
      <c r="D165" s="319" t="n"/>
      <c r="E165" s="319" t="n"/>
      <c r="F165" s="319" t="n"/>
      <c r="G165" s="319" t="n"/>
      <c r="H165" s="319" t="n"/>
      <c r="I165" s="319" t="n"/>
      <c r="J165" s="319" t="n"/>
      <c r="K165" s="319" t="n"/>
      <c r="L165" s="319" t="n"/>
      <c r="M165" s="319" t="n"/>
      <c r="N165" s="319" t="n"/>
      <c r="O165" s="320" t="n"/>
      <c r="P165" s="321" t="inlineStr">
        <is>
          <t>Итого</t>
        </is>
      </c>
      <c r="Q165" s="322" t="n"/>
      <c r="R165" s="322" t="n"/>
      <c r="S165" s="322" t="n"/>
      <c r="T165" s="322" t="n"/>
      <c r="U165" s="322" t="n"/>
      <c r="V165" s="323" t="n"/>
      <c r="W165" s="37" t="inlineStr">
        <is>
          <t>кор</t>
        </is>
      </c>
      <c r="X165" s="308">
        <f>IFERROR(SUM(X163:X164),"0")</f>
        <v/>
      </c>
      <c r="Y165" s="308">
        <f>IFERROR(SUM(Y163:Y164),"0")</f>
        <v/>
      </c>
      <c r="Z165" s="308">
        <f>IFERROR(IF(Z163="",0,Z163),"0")+IFERROR(IF(Z164="",0,Z164),"0")</f>
        <v/>
      </c>
      <c r="AA165" s="309" t="n"/>
      <c r="AB165" s="309" t="n"/>
      <c r="AC165" s="309" t="n"/>
    </row>
    <row r="166">
      <c r="A166" s="319" t="n"/>
      <c r="B166" s="319" t="n"/>
      <c r="C166" s="319" t="n"/>
      <c r="D166" s="319" t="n"/>
      <c r="E166" s="319" t="n"/>
      <c r="F166" s="319" t="n"/>
      <c r="G166" s="319" t="n"/>
      <c r="H166" s="319" t="n"/>
      <c r="I166" s="319" t="n"/>
      <c r="J166" s="319" t="n"/>
      <c r="K166" s="319" t="n"/>
      <c r="L166" s="319" t="n"/>
      <c r="M166" s="319" t="n"/>
      <c r="N166" s="319" t="n"/>
      <c r="O166" s="320" t="n"/>
      <c r="P166" s="321" t="inlineStr">
        <is>
          <t>Итого</t>
        </is>
      </c>
      <c r="Q166" s="322" t="n"/>
      <c r="R166" s="322" t="n"/>
      <c r="S166" s="322" t="n"/>
      <c r="T166" s="322" t="n"/>
      <c r="U166" s="322" t="n"/>
      <c r="V166" s="323" t="n"/>
      <c r="W166" s="37" t="inlineStr">
        <is>
          <t>кг</t>
        </is>
      </c>
      <c r="X166" s="308">
        <f>IFERROR(SUMPRODUCT(X163:X164*H163:H164),"0")</f>
        <v/>
      </c>
      <c r="Y166" s="308">
        <f>IFERROR(SUMPRODUCT(Y163:Y164*H163:H164),"0")</f>
        <v/>
      </c>
      <c r="Z166" s="37" t="n"/>
      <c r="AA166" s="309" t="n"/>
      <c r="AB166" s="309" t="n"/>
      <c r="AC166" s="309" t="n"/>
    </row>
    <row r="167" ht="27.75" customHeight="1">
      <c r="A167" s="365" t="inlineStr">
        <is>
          <t>Вязанка</t>
        </is>
      </c>
      <c r="B167" s="366" t="n"/>
      <c r="C167" s="366" t="n"/>
      <c r="D167" s="366" t="n"/>
      <c r="E167" s="366" t="n"/>
      <c r="F167" s="366" t="n"/>
      <c r="G167" s="366" t="n"/>
      <c r="H167" s="366" t="n"/>
      <c r="I167" s="366" t="n"/>
      <c r="J167" s="366" t="n"/>
      <c r="K167" s="366" t="n"/>
      <c r="L167" s="366" t="n"/>
      <c r="M167" s="366" t="n"/>
      <c r="N167" s="366" t="n"/>
      <c r="O167" s="366" t="n"/>
      <c r="P167" s="366" t="n"/>
      <c r="Q167" s="366" t="n"/>
      <c r="R167" s="366" t="n"/>
      <c r="S167" s="366" t="n"/>
      <c r="T167" s="366" t="n"/>
      <c r="U167" s="366" t="n"/>
      <c r="V167" s="366" t="n"/>
      <c r="W167" s="366" t="n"/>
      <c r="X167" s="366" t="n"/>
      <c r="Y167" s="366" t="n"/>
      <c r="Z167" s="366" t="n"/>
      <c r="AA167" s="48" t="n"/>
      <c r="AB167" s="48" t="n"/>
      <c r="AC167" s="48" t="n"/>
    </row>
    <row r="168" ht="16.5" customHeight="1">
      <c r="A168" s="324" t="inlineStr">
        <is>
          <t>Сливушка</t>
        </is>
      </c>
      <c r="B168" s="319" t="n"/>
      <c r="C168" s="319" t="n"/>
      <c r="D168" s="319" t="n"/>
      <c r="E168" s="319" t="n"/>
      <c r="F168" s="319" t="n"/>
      <c r="G168" s="319" t="n"/>
      <c r="H168" s="319" t="n"/>
      <c r="I168" s="319" t="n"/>
      <c r="J168" s="319" t="n"/>
      <c r="K168" s="319" t="n"/>
      <c r="L168" s="319" t="n"/>
      <c r="M168" s="319" t="n"/>
      <c r="N168" s="319" t="n"/>
      <c r="O168" s="319" t="n"/>
      <c r="P168" s="319" t="n"/>
      <c r="Q168" s="319" t="n"/>
      <c r="R168" s="319" t="n"/>
      <c r="S168" s="319" t="n"/>
      <c r="T168" s="319" t="n"/>
      <c r="U168" s="319" t="n"/>
      <c r="V168" s="319" t="n"/>
      <c r="W168" s="319" t="n"/>
      <c r="X168" s="319" t="n"/>
      <c r="Y168" s="319" t="n"/>
      <c r="Z168" s="319" t="n"/>
      <c r="AA168" s="324" t="n"/>
      <c r="AB168" s="324" t="n"/>
      <c r="AC168" s="324" t="n"/>
    </row>
    <row r="169" ht="14.25" customHeight="1">
      <c r="A169" s="329" t="inlineStr">
        <is>
          <t>Наггетсы</t>
        </is>
      </c>
      <c r="B169" s="319" t="n"/>
      <c r="C169" s="319" t="n"/>
      <c r="D169" s="319" t="n"/>
      <c r="E169" s="319" t="n"/>
      <c r="F169" s="319" t="n"/>
      <c r="G169" s="319" t="n"/>
      <c r="H169" s="319" t="n"/>
      <c r="I169" s="319" t="n"/>
      <c r="J169" s="319" t="n"/>
      <c r="K169" s="319" t="n"/>
      <c r="L169" s="319" t="n"/>
      <c r="M169" s="319" t="n"/>
      <c r="N169" s="319" t="n"/>
      <c r="O169" s="319" t="n"/>
      <c r="P169" s="319" t="n"/>
      <c r="Q169" s="319" t="n"/>
      <c r="R169" s="319" t="n"/>
      <c r="S169" s="319" t="n"/>
      <c r="T169" s="319" t="n"/>
      <c r="U169" s="319" t="n"/>
      <c r="V169" s="319" t="n"/>
      <c r="W169" s="319" t="n"/>
      <c r="X169" s="319" t="n"/>
      <c r="Y169" s="319" t="n"/>
      <c r="Z169" s="319" t="n"/>
      <c r="AA169" s="329" t="n"/>
      <c r="AB169" s="329" t="n"/>
      <c r="AC169" s="329" t="n"/>
    </row>
    <row r="170" ht="16.5" customHeight="1">
      <c r="A170" s="53" t="inlineStr">
        <is>
          <t>SU003797</t>
        </is>
      </c>
      <c r="B170" s="53" t="inlineStr">
        <is>
          <t>P004497</t>
        </is>
      </c>
      <c r="C170" s="31" t="n">
        <v>4301132179</v>
      </c>
      <c r="D170" s="316" t="n">
        <v>4607111035691</v>
      </c>
      <c r="E170" s="317" t="n"/>
      <c r="F170" s="305" t="n">
        <v>0.25</v>
      </c>
      <c r="G170" s="32" t="n">
        <v>12</v>
      </c>
      <c r="H170" s="305" t="n">
        <v>3</v>
      </c>
      <c r="I170" s="305" t="n">
        <v>3.388</v>
      </c>
      <c r="J170" s="32" t="n">
        <v>70</v>
      </c>
      <c r="K170" s="32" t="inlineStr">
        <is>
          <t>14</t>
        </is>
      </c>
      <c r="L170" s="32" t="inlineStr">
        <is>
          <t>Короб, мин. 1</t>
        </is>
      </c>
      <c r="M170" s="33" t="inlineStr">
        <is>
          <t>МГ</t>
        </is>
      </c>
      <c r="N170" s="33" t="n"/>
      <c r="O170" s="32" t="n">
        <v>365</v>
      </c>
      <c r="P170" s="343">
        <f>HYPERLINK("https://abi.ru/products/Замороженные/Вязанка/Сливушка/Наггетсы/P004497/","Наггетсы «из печи» Фикс.вес 0,25 ТМ «Вязанка»")</f>
        <v/>
      </c>
      <c r="Q170" s="313" t="n"/>
      <c r="R170" s="313" t="n"/>
      <c r="S170" s="313" t="n"/>
      <c r="T170" s="314" t="n"/>
      <c r="U170" s="34" t="n"/>
      <c r="V170" s="34" t="n"/>
      <c r="W170" s="35" t="inlineStr">
        <is>
          <t>кор</t>
        </is>
      </c>
      <c r="X170" s="306" t="n">
        <v>0</v>
      </c>
      <c r="Y170" s="307">
        <f>IFERROR(IF(X170="","",X170),"")</f>
        <v/>
      </c>
      <c r="Z170" s="36">
        <f>IFERROR(IF(X170="","",X170*0.01788),"")</f>
        <v/>
      </c>
      <c r="AA170" s="55" t="n"/>
      <c r="AB170" s="56" t="n"/>
      <c r="AC170" s="172" t="inlineStr">
        <is>
          <t>ЕАЭС N RU Д-RU.РА06.В.19349/24</t>
        </is>
      </c>
      <c r="AG170" s="66" t="n"/>
      <c r="AJ170" s="69" t="inlineStr">
        <is>
          <t>Короб</t>
        </is>
      </c>
      <c r="AK170" s="69" t="n">
        <v>1</v>
      </c>
      <c r="BB170" s="173" t="inlineStr">
        <is>
          <t>ПГП</t>
        </is>
      </c>
      <c r="BM170" s="66">
        <f>IFERROR(X170*I170,"0")</f>
        <v/>
      </c>
      <c r="BN170" s="66">
        <f>IFERROR(Y170*I170,"0")</f>
        <v/>
      </c>
      <c r="BO170" s="66">
        <f>IFERROR(X170/J170,"0")</f>
        <v/>
      </c>
      <c r="BP170" s="66">
        <f>IFERROR(Y170/J170,"0")</f>
        <v/>
      </c>
    </row>
    <row r="171" ht="27" customHeight="1">
      <c r="A171" s="53" t="inlineStr">
        <is>
          <t>SU003800</t>
        </is>
      </c>
      <c r="B171" s="53" t="inlineStr">
        <is>
          <t>P004496</t>
        </is>
      </c>
      <c r="C171" s="31" t="n">
        <v>4301132182</v>
      </c>
      <c r="D171" s="316" t="n">
        <v>4607111035721</v>
      </c>
      <c r="E171" s="317" t="n"/>
      <c r="F171" s="305" t="n">
        <v>0.25</v>
      </c>
      <c r="G171" s="32" t="n">
        <v>12</v>
      </c>
      <c r="H171" s="305" t="n">
        <v>3</v>
      </c>
      <c r="I171" s="305" t="n">
        <v>3.388</v>
      </c>
      <c r="J171" s="32" t="n">
        <v>70</v>
      </c>
      <c r="K171" s="32" t="inlineStr">
        <is>
          <t>14</t>
        </is>
      </c>
      <c r="L171" s="32" t="inlineStr">
        <is>
          <t>Короб, мин. 1</t>
        </is>
      </c>
      <c r="M171" s="33" t="inlineStr">
        <is>
          <t>МГ</t>
        </is>
      </c>
      <c r="N171" s="33" t="n"/>
      <c r="O171" s="32" t="n">
        <v>365</v>
      </c>
      <c r="P171" s="359">
        <f>HYPERLINK("https://abi.ru/products/Замороженные/Вязанка/Сливушка/Наггетсы/P004496/","Наггетсы «с индейкой» Фикс.вес 0,25 ТМ «Вязанка»")</f>
        <v/>
      </c>
      <c r="Q171" s="313" t="n"/>
      <c r="R171" s="313" t="n"/>
      <c r="S171" s="313" t="n"/>
      <c r="T171" s="314" t="n"/>
      <c r="U171" s="34" t="n"/>
      <c r="V171" s="34" t="n"/>
      <c r="W171" s="35" t="inlineStr">
        <is>
          <t>кор</t>
        </is>
      </c>
      <c r="X171" s="306" t="n">
        <v>0</v>
      </c>
      <c r="Y171" s="307">
        <f>IFERROR(IF(X171="","",X171),"")</f>
        <v/>
      </c>
      <c r="Z171" s="36">
        <f>IFERROR(IF(X171="","",X171*0.01788),"")</f>
        <v/>
      </c>
      <c r="AA171" s="55" t="n"/>
      <c r="AB171" s="56" t="n"/>
      <c r="AC171" s="174" t="inlineStr">
        <is>
          <t>ЕАЭС N RU Д-RU.РА04.В.84034/24</t>
        </is>
      </c>
      <c r="AG171" s="66" t="n"/>
      <c r="AJ171" s="69" t="inlineStr">
        <is>
          <t>Короб</t>
        </is>
      </c>
      <c r="AK171" s="69" t="n">
        <v>1</v>
      </c>
      <c r="BB171" s="175" t="inlineStr">
        <is>
          <t>ПГП</t>
        </is>
      </c>
      <c r="BM171" s="66">
        <f>IFERROR(X171*I171,"0")</f>
        <v/>
      </c>
      <c r="BN171" s="66">
        <f>IFERROR(Y171*I171,"0")</f>
        <v/>
      </c>
      <c r="BO171" s="66">
        <f>IFERROR(X171/J171,"0")</f>
        <v/>
      </c>
      <c r="BP171" s="66">
        <f>IFERROR(Y171/J171,"0")</f>
        <v/>
      </c>
    </row>
    <row r="172" ht="27" customHeight="1">
      <c r="A172" s="53" t="inlineStr">
        <is>
          <t>SU003795</t>
        </is>
      </c>
      <c r="B172" s="53" t="inlineStr">
        <is>
          <t>P004535</t>
        </is>
      </c>
      <c r="C172" s="31" t="n">
        <v>4301132170</v>
      </c>
      <c r="D172" s="316" t="n">
        <v>4607111038487</v>
      </c>
      <c r="E172" s="317" t="n"/>
      <c r="F172" s="305" t="n">
        <v>0.25</v>
      </c>
      <c r="G172" s="32" t="n">
        <v>12</v>
      </c>
      <c r="H172" s="305" t="n">
        <v>3</v>
      </c>
      <c r="I172" s="305" t="n">
        <v>3.736</v>
      </c>
      <c r="J172" s="32" t="n">
        <v>70</v>
      </c>
      <c r="K172" s="32" t="inlineStr">
        <is>
          <t>14</t>
        </is>
      </c>
      <c r="L172" s="32" t="inlineStr">
        <is>
          <t>Короб, мин. 1</t>
        </is>
      </c>
      <c r="M172" s="33" t="inlineStr">
        <is>
          <t>МГ</t>
        </is>
      </c>
      <c r="N172" s="33" t="n"/>
      <c r="O172" s="32" t="n">
        <v>180</v>
      </c>
      <c r="P172" s="335">
        <f>HYPERLINK("https://abi.ru/products/Замороженные/Вязанка/Сливушка/Наггетсы/P004535/","Наггетсы «с куриным филе и сыром» Фикс.вес 0,25 ТМ «Вязанка»")</f>
        <v/>
      </c>
      <c r="Q172" s="313" t="n"/>
      <c r="R172" s="313" t="n"/>
      <c r="S172" s="313" t="n"/>
      <c r="T172" s="314" t="n"/>
      <c r="U172" s="34" t="n"/>
      <c r="V172" s="34" t="n"/>
      <c r="W172" s="35" t="inlineStr">
        <is>
          <t>кор</t>
        </is>
      </c>
      <c r="X172" s="306" t="n">
        <v>0</v>
      </c>
      <c r="Y172" s="307">
        <f>IFERROR(IF(X172="","",X172),"")</f>
        <v/>
      </c>
      <c r="Z172" s="36">
        <f>IFERROR(IF(X172="","",X172*0.01788),"")</f>
        <v/>
      </c>
      <c r="AA172" s="55" t="n"/>
      <c r="AB172" s="56" t="n"/>
      <c r="AC172" s="176" t="inlineStr">
        <is>
          <t>ЕАЭС N RU Д-RU.РА04.В.87517/24</t>
        </is>
      </c>
      <c r="AG172" s="66" t="n"/>
      <c r="AJ172" s="69" t="inlineStr">
        <is>
          <t>Короб</t>
        </is>
      </c>
      <c r="AK172" s="69" t="n">
        <v>1</v>
      </c>
      <c r="BB172" s="177" t="inlineStr">
        <is>
          <t>ПГП</t>
        </is>
      </c>
      <c r="BM172" s="66">
        <f>IFERROR(X172*I172,"0")</f>
        <v/>
      </c>
      <c r="BN172" s="66">
        <f>IFERROR(Y172*I172,"0")</f>
        <v/>
      </c>
      <c r="BO172" s="66">
        <f>IFERROR(X172/J172,"0")</f>
        <v/>
      </c>
      <c r="BP172" s="66">
        <f>IFERROR(Y172/J172,"0")</f>
        <v/>
      </c>
    </row>
    <row r="173">
      <c r="A173" s="318" t="n"/>
      <c r="B173" s="319" t="n"/>
      <c r="C173" s="319" t="n"/>
      <c r="D173" s="319" t="n"/>
      <c r="E173" s="319" t="n"/>
      <c r="F173" s="319" t="n"/>
      <c r="G173" s="319" t="n"/>
      <c r="H173" s="319" t="n"/>
      <c r="I173" s="319" t="n"/>
      <c r="J173" s="319" t="n"/>
      <c r="K173" s="319" t="n"/>
      <c r="L173" s="319" t="n"/>
      <c r="M173" s="319" t="n"/>
      <c r="N173" s="319" t="n"/>
      <c r="O173" s="320" t="n"/>
      <c r="P173" s="321" t="inlineStr">
        <is>
          <t>Итого</t>
        </is>
      </c>
      <c r="Q173" s="322" t="n"/>
      <c r="R173" s="322" t="n"/>
      <c r="S173" s="322" t="n"/>
      <c r="T173" s="322" t="n"/>
      <c r="U173" s="322" t="n"/>
      <c r="V173" s="323" t="n"/>
      <c r="W173" s="37" t="inlineStr">
        <is>
          <t>кор</t>
        </is>
      </c>
      <c r="X173" s="308">
        <f>IFERROR(SUM(X170:X172),"0")</f>
        <v/>
      </c>
      <c r="Y173" s="308">
        <f>IFERROR(SUM(Y170:Y172),"0")</f>
        <v/>
      </c>
      <c r="Z173" s="308">
        <f>IFERROR(IF(Z170="",0,Z170),"0")+IFERROR(IF(Z171="",0,Z171),"0")+IFERROR(IF(Z172="",0,Z172),"0")</f>
        <v/>
      </c>
      <c r="AA173" s="309" t="n"/>
      <c r="AB173" s="309" t="n"/>
      <c r="AC173" s="309" t="n"/>
    </row>
    <row r="174">
      <c r="A174" s="319" t="n"/>
      <c r="B174" s="319" t="n"/>
      <c r="C174" s="319" t="n"/>
      <c r="D174" s="319" t="n"/>
      <c r="E174" s="319" t="n"/>
      <c r="F174" s="319" t="n"/>
      <c r="G174" s="319" t="n"/>
      <c r="H174" s="319" t="n"/>
      <c r="I174" s="319" t="n"/>
      <c r="J174" s="319" t="n"/>
      <c r="K174" s="319" t="n"/>
      <c r="L174" s="319" t="n"/>
      <c r="M174" s="319" t="n"/>
      <c r="N174" s="319" t="n"/>
      <c r="O174" s="320" t="n"/>
      <c r="P174" s="321" t="inlineStr">
        <is>
          <t>Итого</t>
        </is>
      </c>
      <c r="Q174" s="322" t="n"/>
      <c r="R174" s="322" t="n"/>
      <c r="S174" s="322" t="n"/>
      <c r="T174" s="322" t="n"/>
      <c r="U174" s="322" t="n"/>
      <c r="V174" s="323" t="n"/>
      <c r="W174" s="37" t="inlineStr">
        <is>
          <t>кг</t>
        </is>
      </c>
      <c r="X174" s="308">
        <f>IFERROR(SUMPRODUCT(X170:X172*H170:H172),"0")</f>
        <v/>
      </c>
      <c r="Y174" s="308">
        <f>IFERROR(SUMPRODUCT(Y170:Y172*H170:H172),"0")</f>
        <v/>
      </c>
      <c r="Z174" s="37" t="n"/>
      <c r="AA174" s="309" t="n"/>
      <c r="AB174" s="309" t="n"/>
      <c r="AC174" s="309" t="n"/>
    </row>
    <row r="175" ht="14.25" customHeight="1">
      <c r="A175" s="329" t="inlineStr">
        <is>
          <t>Сосиски замороженные</t>
        </is>
      </c>
      <c r="B175" s="319" t="n"/>
      <c r="C175" s="319" t="n"/>
      <c r="D175" s="319" t="n"/>
      <c r="E175" s="319" t="n"/>
      <c r="F175" s="319" t="n"/>
      <c r="G175" s="319" t="n"/>
      <c r="H175" s="319" t="n"/>
      <c r="I175" s="319" t="n"/>
      <c r="J175" s="319" t="n"/>
      <c r="K175" s="319" t="n"/>
      <c r="L175" s="319" t="n"/>
      <c r="M175" s="319" t="n"/>
      <c r="N175" s="319" t="n"/>
      <c r="O175" s="319" t="n"/>
      <c r="P175" s="319" t="n"/>
      <c r="Q175" s="319" t="n"/>
      <c r="R175" s="319" t="n"/>
      <c r="S175" s="319" t="n"/>
      <c r="T175" s="319" t="n"/>
      <c r="U175" s="319" t="n"/>
      <c r="V175" s="319" t="n"/>
      <c r="W175" s="319" t="n"/>
      <c r="X175" s="319" t="n"/>
      <c r="Y175" s="319" t="n"/>
      <c r="Z175" s="319" t="n"/>
      <c r="AA175" s="329" t="n"/>
      <c r="AB175" s="329" t="n"/>
      <c r="AC175" s="329" t="n"/>
    </row>
    <row r="176" ht="27" customHeight="1">
      <c r="A176" s="53" t="inlineStr">
        <is>
          <t>SU003643</t>
        </is>
      </c>
      <c r="B176" s="53" t="inlineStr">
        <is>
          <t>P004612</t>
        </is>
      </c>
      <c r="C176" s="31" t="n">
        <v>4301051855</v>
      </c>
      <c r="D176" s="316" t="n">
        <v>4680115885875</v>
      </c>
      <c r="E176" s="317" t="n"/>
      <c r="F176" s="305" t="n">
        <v>1</v>
      </c>
      <c r="G176" s="32" t="n">
        <v>9</v>
      </c>
      <c r="H176" s="305" t="n">
        <v>9</v>
      </c>
      <c r="I176" s="305" t="n">
        <v>9.435</v>
      </c>
      <c r="J176" s="32" t="n">
        <v>64</v>
      </c>
      <c r="K176" s="32" t="inlineStr">
        <is>
          <t>8</t>
        </is>
      </c>
      <c r="L176" s="32" t="inlineStr">
        <is>
          <t>Короб, мин. 1</t>
        </is>
      </c>
      <c r="M176" s="33" t="inlineStr">
        <is>
          <t>СК2</t>
        </is>
      </c>
      <c r="N176" s="33" t="n"/>
      <c r="O176" s="32" t="n">
        <v>365</v>
      </c>
      <c r="P176" s="468" t="inlineStr">
        <is>
          <t>Сосиски замороженные «Сосиски с сыром» Весовой ТМ «Вязанка» для корн-догов</t>
        </is>
      </c>
      <c r="Q176" s="313" t="n"/>
      <c r="R176" s="313" t="n"/>
      <c r="S176" s="313" t="n"/>
      <c r="T176" s="314" t="n"/>
      <c r="U176" s="34" t="n"/>
      <c r="V176" s="34" t="n"/>
      <c r="W176" s="35" t="inlineStr">
        <is>
          <t>кор</t>
        </is>
      </c>
      <c r="X176" s="306" t="n">
        <v>0</v>
      </c>
      <c r="Y176" s="307">
        <f>IFERROR(IF(X176="","",X176),"")</f>
        <v/>
      </c>
      <c r="Z176" s="36">
        <f>IFERROR(IF(X176="","",X176*0.01898),"")</f>
        <v/>
      </c>
      <c r="AA176" s="55" t="n"/>
      <c r="AB176" s="56" t="n"/>
      <c r="AC176" s="178" t="inlineStr">
        <is>
          <t>ЕАЭС N RU Д-RU.РА05.В.23448/24</t>
        </is>
      </c>
      <c r="AG176" s="66" t="n"/>
      <c r="AJ176" s="69" t="inlineStr">
        <is>
          <t>Короб</t>
        </is>
      </c>
      <c r="AK176" s="69" t="n">
        <v>1</v>
      </c>
      <c r="BB176" s="179" t="inlineStr">
        <is>
          <t>КИЗ</t>
        </is>
      </c>
      <c r="BM176" s="66">
        <f>IFERROR(X176*I176,"0")</f>
        <v/>
      </c>
      <c r="BN176" s="66">
        <f>IFERROR(Y176*I176,"0")</f>
        <v/>
      </c>
      <c r="BO176" s="66">
        <f>IFERROR(X176/J176,"0")</f>
        <v/>
      </c>
      <c r="BP176" s="66">
        <f>IFERROR(Y176/J176,"0")</f>
        <v/>
      </c>
    </row>
    <row r="177">
      <c r="A177" s="318" t="n"/>
      <c r="B177" s="319" t="n"/>
      <c r="C177" s="319" t="n"/>
      <c r="D177" s="319" t="n"/>
      <c r="E177" s="319" t="n"/>
      <c r="F177" s="319" t="n"/>
      <c r="G177" s="319" t="n"/>
      <c r="H177" s="319" t="n"/>
      <c r="I177" s="319" t="n"/>
      <c r="J177" s="319" t="n"/>
      <c r="K177" s="319" t="n"/>
      <c r="L177" s="319" t="n"/>
      <c r="M177" s="319" t="n"/>
      <c r="N177" s="319" t="n"/>
      <c r="O177" s="320" t="n"/>
      <c r="P177" s="321" t="inlineStr">
        <is>
          <t>Итого</t>
        </is>
      </c>
      <c r="Q177" s="322" t="n"/>
      <c r="R177" s="322" t="n"/>
      <c r="S177" s="322" t="n"/>
      <c r="T177" s="322" t="n"/>
      <c r="U177" s="322" t="n"/>
      <c r="V177" s="323" t="n"/>
      <c r="W177" s="37" t="inlineStr">
        <is>
          <t>кор</t>
        </is>
      </c>
      <c r="X177" s="308">
        <f>IFERROR(SUM(X176:X176),"0")</f>
        <v/>
      </c>
      <c r="Y177" s="308">
        <f>IFERROR(SUM(Y176:Y176),"0")</f>
        <v/>
      </c>
      <c r="Z177" s="308">
        <f>IFERROR(IF(Z176="",0,Z176),"0")</f>
        <v/>
      </c>
      <c r="AA177" s="309" t="n"/>
      <c r="AB177" s="309" t="n"/>
      <c r="AC177" s="309" t="n"/>
    </row>
    <row r="178">
      <c r="A178" s="319" t="n"/>
      <c r="B178" s="319" t="n"/>
      <c r="C178" s="319" t="n"/>
      <c r="D178" s="319" t="n"/>
      <c r="E178" s="319" t="n"/>
      <c r="F178" s="319" t="n"/>
      <c r="G178" s="319" t="n"/>
      <c r="H178" s="319" t="n"/>
      <c r="I178" s="319" t="n"/>
      <c r="J178" s="319" t="n"/>
      <c r="K178" s="319" t="n"/>
      <c r="L178" s="319" t="n"/>
      <c r="M178" s="319" t="n"/>
      <c r="N178" s="319" t="n"/>
      <c r="O178" s="320" t="n"/>
      <c r="P178" s="321" t="inlineStr">
        <is>
          <t>Итого</t>
        </is>
      </c>
      <c r="Q178" s="322" t="n"/>
      <c r="R178" s="322" t="n"/>
      <c r="S178" s="322" t="n"/>
      <c r="T178" s="322" t="n"/>
      <c r="U178" s="322" t="n"/>
      <c r="V178" s="323" t="n"/>
      <c r="W178" s="37" t="inlineStr">
        <is>
          <t>кг</t>
        </is>
      </c>
      <c r="X178" s="308">
        <f>IFERROR(SUMPRODUCT(X176:X176*H176:H176),"0")</f>
        <v/>
      </c>
      <c r="Y178" s="308">
        <f>IFERROR(SUMPRODUCT(Y176:Y176*H176:H176),"0")</f>
        <v/>
      </c>
      <c r="Z178" s="37" t="n"/>
      <c r="AA178" s="309" t="n"/>
      <c r="AB178" s="309" t="n"/>
      <c r="AC178" s="309" t="n"/>
    </row>
    <row r="179" ht="27.75" customHeight="1">
      <c r="A179" s="365" t="inlineStr">
        <is>
          <t>Стародворье</t>
        </is>
      </c>
      <c r="B179" s="366" t="n"/>
      <c r="C179" s="366" t="n"/>
      <c r="D179" s="366" t="n"/>
      <c r="E179" s="366" t="n"/>
      <c r="F179" s="366" t="n"/>
      <c r="G179" s="366" t="n"/>
      <c r="H179" s="366" t="n"/>
      <c r="I179" s="366" t="n"/>
      <c r="J179" s="366" t="n"/>
      <c r="K179" s="366" t="n"/>
      <c r="L179" s="366" t="n"/>
      <c r="M179" s="366" t="n"/>
      <c r="N179" s="366" t="n"/>
      <c r="O179" s="366" t="n"/>
      <c r="P179" s="366" t="n"/>
      <c r="Q179" s="366" t="n"/>
      <c r="R179" s="366" t="n"/>
      <c r="S179" s="366" t="n"/>
      <c r="T179" s="366" t="n"/>
      <c r="U179" s="366" t="n"/>
      <c r="V179" s="366" t="n"/>
      <c r="W179" s="366" t="n"/>
      <c r="X179" s="366" t="n"/>
      <c r="Y179" s="366" t="n"/>
      <c r="Z179" s="366" t="n"/>
      <c r="AA179" s="48" t="n"/>
      <c r="AB179" s="48" t="n"/>
      <c r="AC179" s="48" t="n"/>
    </row>
    <row r="180" ht="16.5" customHeight="1">
      <c r="A180" s="324" t="inlineStr">
        <is>
          <t>Стародворье ПГП</t>
        </is>
      </c>
      <c r="B180" s="319" t="n"/>
      <c r="C180" s="319" t="n"/>
      <c r="D180" s="319" t="n"/>
      <c r="E180" s="319" t="n"/>
      <c r="F180" s="319" t="n"/>
      <c r="G180" s="319" t="n"/>
      <c r="H180" s="319" t="n"/>
      <c r="I180" s="319" t="n"/>
      <c r="J180" s="319" t="n"/>
      <c r="K180" s="319" t="n"/>
      <c r="L180" s="319" t="n"/>
      <c r="M180" s="319" t="n"/>
      <c r="N180" s="319" t="n"/>
      <c r="O180" s="319" t="n"/>
      <c r="P180" s="319" t="n"/>
      <c r="Q180" s="319" t="n"/>
      <c r="R180" s="319" t="n"/>
      <c r="S180" s="319" t="n"/>
      <c r="T180" s="319" t="n"/>
      <c r="U180" s="319" t="n"/>
      <c r="V180" s="319" t="n"/>
      <c r="W180" s="319" t="n"/>
      <c r="X180" s="319" t="n"/>
      <c r="Y180" s="319" t="n"/>
      <c r="Z180" s="319" t="n"/>
      <c r="AA180" s="324" t="n"/>
      <c r="AB180" s="324" t="n"/>
      <c r="AC180" s="324" t="n"/>
    </row>
    <row r="181" ht="14.25" customHeight="1">
      <c r="A181" s="329" t="inlineStr">
        <is>
          <t>Наггетсы</t>
        </is>
      </c>
      <c r="B181" s="319" t="n"/>
      <c r="C181" s="319" t="n"/>
      <c r="D181" s="319" t="n"/>
      <c r="E181" s="319" t="n"/>
      <c r="F181" s="319" t="n"/>
      <c r="G181" s="319" t="n"/>
      <c r="H181" s="319" t="n"/>
      <c r="I181" s="319" t="n"/>
      <c r="J181" s="319" t="n"/>
      <c r="K181" s="319" t="n"/>
      <c r="L181" s="319" t="n"/>
      <c r="M181" s="319" t="n"/>
      <c r="N181" s="319" t="n"/>
      <c r="O181" s="319" t="n"/>
      <c r="P181" s="319" t="n"/>
      <c r="Q181" s="319" t="n"/>
      <c r="R181" s="319" t="n"/>
      <c r="S181" s="319" t="n"/>
      <c r="T181" s="319" t="n"/>
      <c r="U181" s="319" t="n"/>
      <c r="V181" s="319" t="n"/>
      <c r="W181" s="319" t="n"/>
      <c r="X181" s="319" t="n"/>
      <c r="Y181" s="319" t="n"/>
      <c r="Z181" s="319" t="n"/>
      <c r="AA181" s="329" t="n"/>
      <c r="AB181" s="329" t="n"/>
      <c r="AC181" s="329" t="n"/>
    </row>
    <row r="182" ht="27" customHeight="1">
      <c r="A182" s="53" t="inlineStr">
        <is>
          <t>SU003930</t>
        </is>
      </c>
      <c r="B182" s="53" t="inlineStr">
        <is>
          <t>P005043</t>
        </is>
      </c>
      <c r="C182" s="31" t="n">
        <v>4301132227</v>
      </c>
      <c r="D182" s="316" t="n">
        <v>4620207491133</v>
      </c>
      <c r="E182" s="317" t="n"/>
      <c r="F182" s="305" t="n">
        <v>0.23</v>
      </c>
      <c r="G182" s="32" t="n">
        <v>12</v>
      </c>
      <c r="H182" s="305" t="n">
        <v>2.76</v>
      </c>
      <c r="I182" s="305" t="n">
        <v>2.98</v>
      </c>
      <c r="J182" s="32" t="n">
        <v>70</v>
      </c>
      <c r="K182" s="32" t="inlineStr">
        <is>
          <t>14</t>
        </is>
      </c>
      <c r="L182" s="32" t="inlineStr">
        <is>
          <t>Короб, мин. 1</t>
        </is>
      </c>
      <c r="M182" s="33" t="inlineStr">
        <is>
          <t>МГ</t>
        </is>
      </c>
      <c r="N182" s="33" t="n"/>
      <c r="O182" s="32" t="n">
        <v>180</v>
      </c>
      <c r="P182" s="392" t="inlineStr">
        <is>
          <t>Наггетсы «Хрустящие с сочной курочкой» Фикс.вес 0,23 ТМ «Стародворье»</t>
        </is>
      </c>
      <c r="Q182" s="313" t="n"/>
      <c r="R182" s="313" t="n"/>
      <c r="S182" s="313" t="n"/>
      <c r="T182" s="314" t="n"/>
      <c r="U182" s="34" t="n"/>
      <c r="V182" s="34" t="n"/>
      <c r="W182" s="35" t="inlineStr">
        <is>
          <t>кор</t>
        </is>
      </c>
      <c r="X182" s="306" t="n">
        <v>0</v>
      </c>
      <c r="Y182" s="307">
        <f>IFERROR(IF(X182="","",X182),"")</f>
        <v/>
      </c>
      <c r="Z182" s="36">
        <f>IFERROR(IF(X182="","",X182*0.01788),"")</f>
        <v/>
      </c>
      <c r="AA182" s="55" t="n"/>
      <c r="AB182" s="56" t="n"/>
      <c r="AC182" s="180" t="inlineStr">
        <is>
          <t>ЕАЭС N RU Д-RU.РА03.В.98877/23</t>
        </is>
      </c>
      <c r="AG182" s="66" t="n"/>
      <c r="AJ182" s="69" t="inlineStr">
        <is>
          <t>Короб</t>
        </is>
      </c>
      <c r="AK182" s="69" t="n">
        <v>1</v>
      </c>
      <c r="BB182" s="181" t="inlineStr">
        <is>
          <t>ПГП</t>
        </is>
      </c>
      <c r="BM182" s="66">
        <f>IFERROR(X182*I182,"0")</f>
        <v/>
      </c>
      <c r="BN182" s="66">
        <f>IFERROR(Y182*I182,"0")</f>
        <v/>
      </c>
      <c r="BO182" s="66">
        <f>IFERROR(X182/J182,"0")</f>
        <v/>
      </c>
      <c r="BP182" s="66">
        <f>IFERROR(Y182/J182,"0")</f>
        <v/>
      </c>
    </row>
    <row r="183">
      <c r="A183" s="318" t="n"/>
      <c r="B183" s="319" t="n"/>
      <c r="C183" s="319" t="n"/>
      <c r="D183" s="319" t="n"/>
      <c r="E183" s="319" t="n"/>
      <c r="F183" s="319" t="n"/>
      <c r="G183" s="319" t="n"/>
      <c r="H183" s="319" t="n"/>
      <c r="I183" s="319" t="n"/>
      <c r="J183" s="319" t="n"/>
      <c r="K183" s="319" t="n"/>
      <c r="L183" s="319" t="n"/>
      <c r="M183" s="319" t="n"/>
      <c r="N183" s="319" t="n"/>
      <c r="O183" s="320" t="n"/>
      <c r="P183" s="321" t="inlineStr">
        <is>
          <t>Итого</t>
        </is>
      </c>
      <c r="Q183" s="322" t="n"/>
      <c r="R183" s="322" t="n"/>
      <c r="S183" s="322" t="n"/>
      <c r="T183" s="322" t="n"/>
      <c r="U183" s="322" t="n"/>
      <c r="V183" s="323" t="n"/>
      <c r="W183" s="37" t="inlineStr">
        <is>
          <t>кор</t>
        </is>
      </c>
      <c r="X183" s="308">
        <f>IFERROR(SUM(X182:X182),"0")</f>
        <v/>
      </c>
      <c r="Y183" s="308">
        <f>IFERROR(SUM(Y182:Y182),"0")</f>
        <v/>
      </c>
      <c r="Z183" s="308">
        <f>IFERROR(IF(Z182="",0,Z182),"0")</f>
        <v/>
      </c>
      <c r="AA183" s="309" t="n"/>
      <c r="AB183" s="309" t="n"/>
      <c r="AC183" s="309" t="n"/>
    </row>
    <row r="184">
      <c r="A184" s="319" t="n"/>
      <c r="B184" s="319" t="n"/>
      <c r="C184" s="319" t="n"/>
      <c r="D184" s="319" t="n"/>
      <c r="E184" s="319" t="n"/>
      <c r="F184" s="319" t="n"/>
      <c r="G184" s="319" t="n"/>
      <c r="H184" s="319" t="n"/>
      <c r="I184" s="319" t="n"/>
      <c r="J184" s="319" t="n"/>
      <c r="K184" s="319" t="n"/>
      <c r="L184" s="319" t="n"/>
      <c r="M184" s="319" t="n"/>
      <c r="N184" s="319" t="n"/>
      <c r="O184" s="320" t="n"/>
      <c r="P184" s="321" t="inlineStr">
        <is>
          <t>Итого</t>
        </is>
      </c>
      <c r="Q184" s="322" t="n"/>
      <c r="R184" s="322" t="n"/>
      <c r="S184" s="322" t="n"/>
      <c r="T184" s="322" t="n"/>
      <c r="U184" s="322" t="n"/>
      <c r="V184" s="323" t="n"/>
      <c r="W184" s="37" t="inlineStr">
        <is>
          <t>кг</t>
        </is>
      </c>
      <c r="X184" s="308">
        <f>IFERROR(SUMPRODUCT(X182:X182*H182:H182),"0")</f>
        <v/>
      </c>
      <c r="Y184" s="308">
        <f>IFERROR(SUMPRODUCT(Y182:Y182*H182:H182),"0")</f>
        <v/>
      </c>
      <c r="Z184" s="37" t="n"/>
      <c r="AA184" s="309" t="n"/>
      <c r="AB184" s="309" t="n"/>
      <c r="AC184" s="309" t="n"/>
    </row>
    <row r="185" ht="14.25" customHeight="1">
      <c r="A185" s="329" t="inlineStr">
        <is>
          <t>Снеки</t>
        </is>
      </c>
      <c r="B185" s="319" t="n"/>
      <c r="C185" s="319" t="n"/>
      <c r="D185" s="319" t="n"/>
      <c r="E185" s="319" t="n"/>
      <c r="F185" s="319" t="n"/>
      <c r="G185" s="319" t="n"/>
      <c r="H185" s="319" t="n"/>
      <c r="I185" s="319" t="n"/>
      <c r="J185" s="319" t="n"/>
      <c r="K185" s="319" t="n"/>
      <c r="L185" s="319" t="n"/>
      <c r="M185" s="319" t="n"/>
      <c r="N185" s="319" t="n"/>
      <c r="O185" s="319" t="n"/>
      <c r="P185" s="319" t="n"/>
      <c r="Q185" s="319" t="n"/>
      <c r="R185" s="319" t="n"/>
      <c r="S185" s="319" t="n"/>
      <c r="T185" s="319" t="n"/>
      <c r="U185" s="319" t="n"/>
      <c r="V185" s="319" t="n"/>
      <c r="W185" s="319" t="n"/>
      <c r="X185" s="319" t="n"/>
      <c r="Y185" s="319" t="n"/>
      <c r="Z185" s="319" t="n"/>
      <c r="AA185" s="329" t="n"/>
      <c r="AB185" s="329" t="n"/>
      <c r="AC185" s="329" t="n"/>
    </row>
    <row r="186" ht="27" customHeight="1">
      <c r="A186" s="53" t="inlineStr">
        <is>
          <t>SU003777</t>
        </is>
      </c>
      <c r="B186" s="53" t="inlineStr">
        <is>
          <t>P004822</t>
        </is>
      </c>
      <c r="C186" s="31" t="n">
        <v>4301135707</v>
      </c>
      <c r="D186" s="316" t="n">
        <v>4620207490198</v>
      </c>
      <c r="E186" s="317" t="n"/>
      <c r="F186" s="305" t="n">
        <v>0.2</v>
      </c>
      <c r="G186" s="32" t="n">
        <v>12</v>
      </c>
      <c r="H186" s="305" t="n">
        <v>2.4</v>
      </c>
      <c r="I186" s="305" t="n">
        <v>3.1036</v>
      </c>
      <c r="J186" s="32" t="n">
        <v>70</v>
      </c>
      <c r="K186" s="32" t="inlineStr">
        <is>
          <t>14</t>
        </is>
      </c>
      <c r="L186" s="32" t="inlineStr">
        <is>
          <t>Короб, мин. 1</t>
        </is>
      </c>
      <c r="M186" s="33" t="inlineStr">
        <is>
          <t>МГ</t>
        </is>
      </c>
      <c r="N186" s="33" t="n"/>
      <c r="O186" s="32" t="n">
        <v>180</v>
      </c>
      <c r="P186" s="492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/>
      </c>
      <c r="Q186" s="313" t="n"/>
      <c r="R186" s="313" t="n"/>
      <c r="S186" s="313" t="n"/>
      <c r="T186" s="314" t="n"/>
      <c r="U186" s="34" t="n"/>
      <c r="V186" s="34" t="n"/>
      <c r="W186" s="35" t="inlineStr">
        <is>
          <t>кор</t>
        </is>
      </c>
      <c r="X186" s="306" t="n">
        <v>0</v>
      </c>
      <c r="Y186" s="307">
        <f>IFERROR(IF(X186="","",X186),"")</f>
        <v/>
      </c>
      <c r="Z186" s="36">
        <f>IFERROR(IF(X186="","",X186*0.01788),"")</f>
        <v/>
      </c>
      <c r="AA186" s="55" t="n"/>
      <c r="AB186" s="56" t="n"/>
      <c r="AC186" s="182" t="inlineStr">
        <is>
          <t>ЕАЭС N RU Д-RU.РА08.В.93674/24</t>
        </is>
      </c>
      <c r="AG186" s="66" t="n"/>
      <c r="AJ186" s="69" t="inlineStr">
        <is>
          <t>Короб</t>
        </is>
      </c>
      <c r="AK186" s="69" t="n">
        <v>1</v>
      </c>
      <c r="BB186" s="183" t="inlineStr">
        <is>
          <t>ПГП</t>
        </is>
      </c>
      <c r="BM186" s="66">
        <f>IFERROR(X186*I186,"0")</f>
        <v/>
      </c>
      <c r="BN186" s="66">
        <f>IFERROR(Y186*I186,"0")</f>
        <v/>
      </c>
      <c r="BO186" s="66">
        <f>IFERROR(X186/J186,"0")</f>
        <v/>
      </c>
      <c r="BP186" s="66">
        <f>IFERROR(Y186/J186,"0")</f>
        <v/>
      </c>
    </row>
    <row r="187" ht="27" customHeight="1">
      <c r="A187" s="53" t="inlineStr">
        <is>
          <t>SU003721</t>
        </is>
      </c>
      <c r="B187" s="53" t="inlineStr">
        <is>
          <t>P004811</t>
        </is>
      </c>
      <c r="C187" s="31" t="n">
        <v>4301135696</v>
      </c>
      <c r="D187" s="316" t="n">
        <v>4620207490235</v>
      </c>
      <c r="E187" s="317" t="n"/>
      <c r="F187" s="305" t="n">
        <v>0.2</v>
      </c>
      <c r="G187" s="32" t="n">
        <v>12</v>
      </c>
      <c r="H187" s="305" t="n">
        <v>2.4</v>
      </c>
      <c r="I187" s="305" t="n">
        <v>3.1036</v>
      </c>
      <c r="J187" s="32" t="n">
        <v>70</v>
      </c>
      <c r="K187" s="32" t="inlineStr">
        <is>
          <t>14</t>
        </is>
      </c>
      <c r="L187" s="32" t="inlineStr">
        <is>
          <t>Короб, мин. 1</t>
        </is>
      </c>
      <c r="M187" s="33" t="inlineStr">
        <is>
          <t>МГ</t>
        </is>
      </c>
      <c r="N187" s="33" t="n"/>
      <c r="O187" s="32" t="n">
        <v>180</v>
      </c>
      <c r="P187" s="376">
        <f>HYPERLINK("https://abi.ru/products/Замороженные/Стародворье/Стародворье ПГП/Снеки/P004811/","Снеки «ЖАР-ладушки с мясом» Фикс.вес 0,2 ТМ «Стародворье»")</f>
        <v/>
      </c>
      <c r="Q187" s="313" t="n"/>
      <c r="R187" s="313" t="n"/>
      <c r="S187" s="313" t="n"/>
      <c r="T187" s="314" t="n"/>
      <c r="U187" s="34" t="n"/>
      <c r="V187" s="34" t="n"/>
      <c r="W187" s="35" t="inlineStr">
        <is>
          <t>кор</t>
        </is>
      </c>
      <c r="X187" s="306" t="n">
        <v>0</v>
      </c>
      <c r="Y187" s="307">
        <f>IFERROR(IF(X187="","",X187),"")</f>
        <v/>
      </c>
      <c r="Z187" s="36">
        <f>IFERROR(IF(X187="","",X187*0.01788),"")</f>
        <v/>
      </c>
      <c r="AA187" s="55" t="n"/>
      <c r="AB187" s="56" t="n"/>
      <c r="AC187" s="184" t="inlineStr">
        <is>
          <t>ЕАЭС N RU Д-RU.РА09.В.00509/24</t>
        </is>
      </c>
      <c r="AG187" s="66" t="n"/>
      <c r="AJ187" s="69" t="inlineStr">
        <is>
          <t>Короб</t>
        </is>
      </c>
      <c r="AK187" s="69" t="n">
        <v>1</v>
      </c>
      <c r="BB187" s="185" t="inlineStr">
        <is>
          <t>ПГП</t>
        </is>
      </c>
      <c r="BM187" s="66">
        <f>IFERROR(X187*I187,"0")</f>
        <v/>
      </c>
      <c r="BN187" s="66">
        <f>IFERROR(Y187*I187,"0")</f>
        <v/>
      </c>
      <c r="BO187" s="66">
        <f>IFERROR(X187/J187,"0")</f>
        <v/>
      </c>
      <c r="BP187" s="66">
        <f>IFERROR(Y187/J187,"0")</f>
        <v/>
      </c>
    </row>
    <row r="188" ht="27" customHeight="1">
      <c r="A188" s="53" t="inlineStr">
        <is>
          <t>SU003722</t>
        </is>
      </c>
      <c r="B188" s="53" t="inlineStr">
        <is>
          <t>P004812</t>
        </is>
      </c>
      <c r="C188" s="31" t="n">
        <v>4301135697</v>
      </c>
      <c r="D188" s="316" t="n">
        <v>4620207490259</v>
      </c>
      <c r="E188" s="317" t="n"/>
      <c r="F188" s="305" t="n">
        <v>0.2</v>
      </c>
      <c r="G188" s="32" t="n">
        <v>12</v>
      </c>
      <c r="H188" s="305" t="n">
        <v>2.4</v>
      </c>
      <c r="I188" s="305" t="n">
        <v>3.1036</v>
      </c>
      <c r="J188" s="32" t="n">
        <v>70</v>
      </c>
      <c r="K188" s="32" t="inlineStr">
        <is>
          <t>14</t>
        </is>
      </c>
      <c r="L188" s="32" t="inlineStr">
        <is>
          <t>Короб, мин. 1</t>
        </is>
      </c>
      <c r="M188" s="33" t="inlineStr">
        <is>
          <t>МГ</t>
        </is>
      </c>
      <c r="N188" s="33" t="n"/>
      <c r="O188" s="32" t="n">
        <v>180</v>
      </c>
      <c r="P188" s="461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/>
      </c>
      <c r="Q188" s="313" t="n"/>
      <c r="R188" s="313" t="n"/>
      <c r="S188" s="313" t="n"/>
      <c r="T188" s="314" t="n"/>
      <c r="U188" s="34" t="n"/>
      <c r="V188" s="34" t="n"/>
      <c r="W188" s="35" t="inlineStr">
        <is>
          <t>кор</t>
        </is>
      </c>
      <c r="X188" s="306" t="n">
        <v>0</v>
      </c>
      <c r="Y188" s="307">
        <f>IFERROR(IF(X188="","",X188),"")</f>
        <v/>
      </c>
      <c r="Z188" s="36">
        <f>IFERROR(IF(X188="","",X188*0.01788),"")</f>
        <v/>
      </c>
      <c r="AA188" s="55" t="n"/>
      <c r="AB188" s="56" t="n"/>
      <c r="AC188" s="186" t="inlineStr">
        <is>
          <t>ЕАЭС N RU Д-RU.РА08.В.93674/24</t>
        </is>
      </c>
      <c r="AG188" s="66" t="n"/>
      <c r="AJ188" s="69" t="inlineStr">
        <is>
          <t>Короб</t>
        </is>
      </c>
      <c r="AK188" s="69" t="n">
        <v>1</v>
      </c>
      <c r="BB188" s="187" t="inlineStr">
        <is>
          <t>ПГП</t>
        </is>
      </c>
      <c r="BM188" s="66">
        <f>IFERROR(X188*I188,"0")</f>
        <v/>
      </c>
      <c r="BN188" s="66">
        <f>IFERROR(Y188*I188,"0")</f>
        <v/>
      </c>
      <c r="BO188" s="66">
        <f>IFERROR(X188/J188,"0")</f>
        <v/>
      </c>
      <c r="BP188" s="66">
        <f>IFERROR(Y188/J188,"0")</f>
        <v/>
      </c>
    </row>
    <row r="189" ht="27" customHeight="1">
      <c r="A189" s="53" t="inlineStr">
        <is>
          <t>SU003712</t>
        </is>
      </c>
      <c r="B189" s="53" t="inlineStr">
        <is>
          <t>P004785</t>
        </is>
      </c>
      <c r="C189" s="31" t="n">
        <v>4301135681</v>
      </c>
      <c r="D189" s="316" t="n">
        <v>4620207490143</v>
      </c>
      <c r="E189" s="317" t="n"/>
      <c r="F189" s="305" t="n">
        <v>0.22</v>
      </c>
      <c r="G189" s="32" t="n">
        <v>12</v>
      </c>
      <c r="H189" s="305" t="n">
        <v>2.64</v>
      </c>
      <c r="I189" s="305" t="n">
        <v>3.3436</v>
      </c>
      <c r="J189" s="32" t="n">
        <v>70</v>
      </c>
      <c r="K189" s="32" t="inlineStr">
        <is>
          <t>14</t>
        </is>
      </c>
      <c r="L189" s="32" t="inlineStr">
        <is>
          <t>Короб, мин. 1</t>
        </is>
      </c>
      <c r="M189" s="33" t="inlineStr">
        <is>
          <t>МГ</t>
        </is>
      </c>
      <c r="N189" s="33" t="n"/>
      <c r="O189" s="32" t="n">
        <v>180</v>
      </c>
      <c r="P189" s="379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/>
      </c>
      <c r="Q189" s="313" t="n"/>
      <c r="R189" s="313" t="n"/>
      <c r="S189" s="313" t="n"/>
      <c r="T189" s="314" t="n"/>
      <c r="U189" s="34" t="n"/>
      <c r="V189" s="34" t="n"/>
      <c r="W189" s="35" t="inlineStr">
        <is>
          <t>кор</t>
        </is>
      </c>
      <c r="X189" s="306" t="n">
        <v>0</v>
      </c>
      <c r="Y189" s="307">
        <f>IFERROR(IF(X189="","",X189),"")</f>
        <v/>
      </c>
      <c r="Z189" s="36">
        <f>IFERROR(IF(X189="","",X189*0.01788),"")</f>
        <v/>
      </c>
      <c r="AA189" s="55" t="n"/>
      <c r="AB189" s="56" t="n"/>
      <c r="AC189" s="188" t="inlineStr">
        <is>
          <t>ЕАЭС N RU Д-RU.РА08.В.66172/24</t>
        </is>
      </c>
      <c r="AG189" s="66" t="n"/>
      <c r="AJ189" s="69" t="inlineStr">
        <is>
          <t>Короб</t>
        </is>
      </c>
      <c r="AK189" s="69" t="n">
        <v>1</v>
      </c>
      <c r="BB189" s="189" t="inlineStr">
        <is>
          <t>ПГП</t>
        </is>
      </c>
      <c r="BM189" s="66">
        <f>IFERROR(X189*I189,"0")</f>
        <v/>
      </c>
      <c r="BN189" s="66">
        <f>IFERROR(Y189*I189,"0")</f>
        <v/>
      </c>
      <c r="BO189" s="66">
        <f>IFERROR(X189/J189,"0")</f>
        <v/>
      </c>
      <c r="BP189" s="66">
        <f>IFERROR(Y189/J189,"0")</f>
        <v/>
      </c>
    </row>
    <row r="190">
      <c r="A190" s="318" t="n"/>
      <c r="B190" s="319" t="n"/>
      <c r="C190" s="319" t="n"/>
      <c r="D190" s="319" t="n"/>
      <c r="E190" s="319" t="n"/>
      <c r="F190" s="319" t="n"/>
      <c r="G190" s="319" t="n"/>
      <c r="H190" s="319" t="n"/>
      <c r="I190" s="319" t="n"/>
      <c r="J190" s="319" t="n"/>
      <c r="K190" s="319" t="n"/>
      <c r="L190" s="319" t="n"/>
      <c r="M190" s="319" t="n"/>
      <c r="N190" s="319" t="n"/>
      <c r="O190" s="320" t="n"/>
      <c r="P190" s="321" t="inlineStr">
        <is>
          <t>Итого</t>
        </is>
      </c>
      <c r="Q190" s="322" t="n"/>
      <c r="R190" s="322" t="n"/>
      <c r="S190" s="322" t="n"/>
      <c r="T190" s="322" t="n"/>
      <c r="U190" s="322" t="n"/>
      <c r="V190" s="323" t="n"/>
      <c r="W190" s="37" t="inlineStr">
        <is>
          <t>кор</t>
        </is>
      </c>
      <c r="X190" s="308">
        <f>IFERROR(SUM(X186:X189),"0")</f>
        <v/>
      </c>
      <c r="Y190" s="308">
        <f>IFERROR(SUM(Y186:Y189),"0")</f>
        <v/>
      </c>
      <c r="Z190" s="308">
        <f>IFERROR(IF(Z186="",0,Z186),"0")+IFERROR(IF(Z187="",0,Z187),"0")+IFERROR(IF(Z188="",0,Z188),"0")+IFERROR(IF(Z189="",0,Z189),"0")</f>
        <v/>
      </c>
      <c r="AA190" s="309" t="n"/>
      <c r="AB190" s="309" t="n"/>
      <c r="AC190" s="309" t="n"/>
    </row>
    <row r="191">
      <c r="A191" s="319" t="n"/>
      <c r="B191" s="319" t="n"/>
      <c r="C191" s="319" t="n"/>
      <c r="D191" s="319" t="n"/>
      <c r="E191" s="319" t="n"/>
      <c r="F191" s="319" t="n"/>
      <c r="G191" s="319" t="n"/>
      <c r="H191" s="319" t="n"/>
      <c r="I191" s="319" t="n"/>
      <c r="J191" s="319" t="n"/>
      <c r="K191" s="319" t="n"/>
      <c r="L191" s="319" t="n"/>
      <c r="M191" s="319" t="n"/>
      <c r="N191" s="319" t="n"/>
      <c r="O191" s="320" t="n"/>
      <c r="P191" s="321" t="inlineStr">
        <is>
          <t>Итого</t>
        </is>
      </c>
      <c r="Q191" s="322" t="n"/>
      <c r="R191" s="322" t="n"/>
      <c r="S191" s="322" t="n"/>
      <c r="T191" s="322" t="n"/>
      <c r="U191" s="322" t="n"/>
      <c r="V191" s="323" t="n"/>
      <c r="W191" s="37" t="inlineStr">
        <is>
          <t>кг</t>
        </is>
      </c>
      <c r="X191" s="308">
        <f>IFERROR(SUMPRODUCT(X186:X189*H186:H189),"0")</f>
        <v/>
      </c>
      <c r="Y191" s="308">
        <f>IFERROR(SUMPRODUCT(Y186:Y189*H186:H189),"0")</f>
        <v/>
      </c>
      <c r="Z191" s="37" t="n"/>
      <c r="AA191" s="309" t="n"/>
      <c r="AB191" s="309" t="n"/>
      <c r="AC191" s="309" t="n"/>
    </row>
    <row r="192" ht="16.5" customHeight="1">
      <c r="A192" s="324" t="inlineStr">
        <is>
          <t>Медвежьи ушки</t>
        </is>
      </c>
      <c r="B192" s="319" t="n"/>
      <c r="C192" s="319" t="n"/>
      <c r="D192" s="319" t="n"/>
      <c r="E192" s="319" t="n"/>
      <c r="F192" s="319" t="n"/>
      <c r="G192" s="319" t="n"/>
      <c r="H192" s="319" t="n"/>
      <c r="I192" s="319" t="n"/>
      <c r="J192" s="319" t="n"/>
      <c r="K192" s="319" t="n"/>
      <c r="L192" s="319" t="n"/>
      <c r="M192" s="319" t="n"/>
      <c r="N192" s="319" t="n"/>
      <c r="O192" s="319" t="n"/>
      <c r="P192" s="319" t="n"/>
      <c r="Q192" s="319" t="n"/>
      <c r="R192" s="319" t="n"/>
      <c r="S192" s="319" t="n"/>
      <c r="T192" s="319" t="n"/>
      <c r="U192" s="319" t="n"/>
      <c r="V192" s="319" t="n"/>
      <c r="W192" s="319" t="n"/>
      <c r="X192" s="319" t="n"/>
      <c r="Y192" s="319" t="n"/>
      <c r="Z192" s="319" t="n"/>
      <c r="AA192" s="324" t="n"/>
      <c r="AB192" s="324" t="n"/>
      <c r="AC192" s="324" t="n"/>
    </row>
    <row r="193" ht="14.25" customHeight="1">
      <c r="A193" s="329" t="inlineStr">
        <is>
          <t>Пельмени</t>
        </is>
      </c>
      <c r="B193" s="319" t="n"/>
      <c r="C193" s="319" t="n"/>
      <c r="D193" s="319" t="n"/>
      <c r="E193" s="319" t="n"/>
      <c r="F193" s="319" t="n"/>
      <c r="G193" s="319" t="n"/>
      <c r="H193" s="319" t="n"/>
      <c r="I193" s="319" t="n"/>
      <c r="J193" s="319" t="n"/>
      <c r="K193" s="319" t="n"/>
      <c r="L193" s="319" t="n"/>
      <c r="M193" s="319" t="n"/>
      <c r="N193" s="319" t="n"/>
      <c r="O193" s="319" t="n"/>
      <c r="P193" s="319" t="n"/>
      <c r="Q193" s="319" t="n"/>
      <c r="R193" s="319" t="n"/>
      <c r="S193" s="319" t="n"/>
      <c r="T193" s="319" t="n"/>
      <c r="U193" s="319" t="n"/>
      <c r="V193" s="319" t="n"/>
      <c r="W193" s="319" t="n"/>
      <c r="X193" s="319" t="n"/>
      <c r="Y193" s="319" t="n"/>
      <c r="Z193" s="319" t="n"/>
      <c r="AA193" s="329" t="n"/>
      <c r="AB193" s="329" t="n"/>
      <c r="AC193" s="329" t="n"/>
    </row>
    <row r="194" ht="27" customHeight="1">
      <c r="A194" s="53" t="inlineStr">
        <is>
          <t>SU003260</t>
        </is>
      </c>
      <c r="B194" s="53" t="inlineStr">
        <is>
          <t>P003918</t>
        </is>
      </c>
      <c r="C194" s="31" t="n">
        <v>4301070996</v>
      </c>
      <c r="D194" s="316" t="n">
        <v>4607111038654</v>
      </c>
      <c r="E194" s="317" t="n"/>
      <c r="F194" s="305" t="n">
        <v>0.4</v>
      </c>
      <c r="G194" s="32" t="n">
        <v>16</v>
      </c>
      <c r="H194" s="305" t="n">
        <v>6.4</v>
      </c>
      <c r="I194" s="305" t="n">
        <v>6.63</v>
      </c>
      <c r="J194" s="32" t="n">
        <v>84</v>
      </c>
      <c r="K194" s="32" t="inlineStr">
        <is>
          <t>12</t>
        </is>
      </c>
      <c r="L194" s="32" t="inlineStr">
        <is>
          <t>Короб, мин. 1</t>
        </is>
      </c>
      <c r="M194" s="33" t="inlineStr">
        <is>
          <t>МГ</t>
        </is>
      </c>
      <c r="N194" s="33" t="n"/>
      <c r="O194" s="32" t="n">
        <v>180</v>
      </c>
      <c r="P194" s="373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/>
      </c>
      <c r="Q194" s="313" t="n"/>
      <c r="R194" s="313" t="n"/>
      <c r="S194" s="313" t="n"/>
      <c r="T194" s="314" t="n"/>
      <c r="U194" s="34" t="n"/>
      <c r="V194" s="34" t="n"/>
      <c r="W194" s="35" t="inlineStr">
        <is>
          <t>кор</t>
        </is>
      </c>
      <c r="X194" s="306" t="n">
        <v>0</v>
      </c>
      <c r="Y194" s="307">
        <f>IFERROR(IF(X194="","",X194),"")</f>
        <v/>
      </c>
      <c r="Z194" s="36">
        <f>IFERROR(IF(X194="","",X194*0.0155),"")</f>
        <v/>
      </c>
      <c r="AA194" s="55" t="n"/>
      <c r="AB194" s="56" t="n"/>
      <c r="AC194" s="190" t="inlineStr">
        <is>
          <t>ЕАЭС N RU Д-RU.РА10.В.37060/23</t>
        </is>
      </c>
      <c r="AG194" s="66" t="n"/>
      <c r="AJ194" s="69" t="inlineStr">
        <is>
          <t>Короб</t>
        </is>
      </c>
      <c r="AK194" s="69" t="n">
        <v>1</v>
      </c>
      <c r="BB194" s="191" t="inlineStr">
        <is>
          <t>ЗПФ</t>
        </is>
      </c>
      <c r="BM194" s="66">
        <f>IFERROR(X194*I194,"0")</f>
        <v/>
      </c>
      <c r="BN194" s="66">
        <f>IFERROR(Y194*I194,"0")</f>
        <v/>
      </c>
      <c r="BO194" s="66">
        <f>IFERROR(X194/J194,"0")</f>
        <v/>
      </c>
      <c r="BP194" s="66">
        <f>IFERROR(Y194/J194,"0")</f>
        <v/>
      </c>
    </row>
    <row r="195" ht="27" customHeight="1">
      <c r="A195" s="53" t="inlineStr">
        <is>
          <t>SU003259</t>
        </is>
      </c>
      <c r="B195" s="53" t="inlineStr">
        <is>
          <t>P003920</t>
        </is>
      </c>
      <c r="C195" s="31" t="n">
        <v>4301070997</v>
      </c>
      <c r="D195" s="316" t="n">
        <v>4607111038586</v>
      </c>
      <c r="E195" s="317" t="n"/>
      <c r="F195" s="305" t="n">
        <v>0.7</v>
      </c>
      <c r="G195" s="32" t="n">
        <v>8</v>
      </c>
      <c r="H195" s="305" t="n">
        <v>5.6</v>
      </c>
      <c r="I195" s="305" t="n">
        <v>5.83</v>
      </c>
      <c r="J195" s="32" t="n">
        <v>84</v>
      </c>
      <c r="K195" s="32" t="inlineStr">
        <is>
          <t>12</t>
        </is>
      </c>
      <c r="L195" s="32" t="inlineStr">
        <is>
          <t>Короб, мин. 1</t>
        </is>
      </c>
      <c r="M195" s="33" t="inlineStr">
        <is>
          <t>МГ</t>
        </is>
      </c>
      <c r="N195" s="33" t="n"/>
      <c r="O195" s="32" t="n">
        <v>180</v>
      </c>
      <c r="P195" s="397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/>
      </c>
      <c r="Q195" s="313" t="n"/>
      <c r="R195" s="313" t="n"/>
      <c r="S195" s="313" t="n"/>
      <c r="T195" s="314" t="n"/>
      <c r="U195" s="34" t="n"/>
      <c r="V195" s="34" t="n"/>
      <c r="W195" s="35" t="inlineStr">
        <is>
          <t>кор</t>
        </is>
      </c>
      <c r="X195" s="306" t="n">
        <v>0</v>
      </c>
      <c r="Y195" s="307">
        <f>IFERROR(IF(X195="","",X195),"")</f>
        <v/>
      </c>
      <c r="Z195" s="36">
        <f>IFERROR(IF(X195="","",X195*0.0155),"")</f>
        <v/>
      </c>
      <c r="AA195" s="55" t="n"/>
      <c r="AB195" s="56" t="n"/>
      <c r="AC195" s="192" t="inlineStr">
        <is>
          <t>ЕАЭС N RU Д-RU.РА10.В.37060/23</t>
        </is>
      </c>
      <c r="AG195" s="66" t="n"/>
      <c r="AJ195" s="69" t="inlineStr">
        <is>
          <t>Короб</t>
        </is>
      </c>
      <c r="AK195" s="69" t="n">
        <v>1</v>
      </c>
      <c r="BB195" s="193" t="inlineStr">
        <is>
          <t>ЗПФ</t>
        </is>
      </c>
      <c r="BM195" s="66">
        <f>IFERROR(X195*I195,"0")</f>
        <v/>
      </c>
      <c r="BN195" s="66">
        <f>IFERROR(Y195*I195,"0")</f>
        <v/>
      </c>
      <c r="BO195" s="66">
        <f>IFERROR(X195/J195,"0")</f>
        <v/>
      </c>
      <c r="BP195" s="66">
        <f>IFERROR(Y195/J195,"0")</f>
        <v/>
      </c>
    </row>
    <row r="196" ht="27" customHeight="1">
      <c r="A196" s="53" t="inlineStr">
        <is>
          <t>SU003064</t>
        </is>
      </c>
      <c r="B196" s="53" t="inlineStr">
        <is>
          <t>P003639</t>
        </is>
      </c>
      <c r="C196" s="31" t="n">
        <v>4301070962</v>
      </c>
      <c r="D196" s="316" t="n">
        <v>4607111038609</v>
      </c>
      <c r="E196" s="317" t="n"/>
      <c r="F196" s="305" t="n">
        <v>0.4</v>
      </c>
      <c r="G196" s="32" t="n">
        <v>16</v>
      </c>
      <c r="H196" s="305" t="n">
        <v>6.4</v>
      </c>
      <c r="I196" s="305" t="n">
        <v>6.71</v>
      </c>
      <c r="J196" s="32" t="n">
        <v>84</v>
      </c>
      <c r="K196" s="32" t="inlineStr">
        <is>
          <t>12</t>
        </is>
      </c>
      <c r="L196" s="32" t="inlineStr">
        <is>
          <t>Короб, мин. 1</t>
        </is>
      </c>
      <c r="M196" s="33" t="inlineStr">
        <is>
          <t>МГ</t>
        </is>
      </c>
      <c r="N196" s="33" t="n"/>
      <c r="O196" s="32" t="n">
        <v>180</v>
      </c>
      <c r="P196" s="481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/>
      </c>
      <c r="Q196" s="313" t="n"/>
      <c r="R196" s="313" t="n"/>
      <c r="S196" s="313" t="n"/>
      <c r="T196" s="314" t="n"/>
      <c r="U196" s="34" t="n"/>
      <c r="V196" s="34" t="n"/>
      <c r="W196" s="35" t="inlineStr">
        <is>
          <t>кор</t>
        </is>
      </c>
      <c r="X196" s="306" t="n">
        <v>0</v>
      </c>
      <c r="Y196" s="307">
        <f>IFERROR(IF(X196="","",X196),"")</f>
        <v/>
      </c>
      <c r="Z196" s="36">
        <f>IFERROR(IF(X196="","",X196*0.0155),"")</f>
        <v/>
      </c>
      <c r="AA196" s="55" t="n"/>
      <c r="AB196" s="56" t="n"/>
      <c r="AC196" s="194" t="inlineStr">
        <is>
          <t>ЕАЭС N RU Д-RU.РА02.В.30885/24</t>
        </is>
      </c>
      <c r="AG196" s="66" t="n"/>
      <c r="AJ196" s="69" t="inlineStr">
        <is>
          <t>Короб</t>
        </is>
      </c>
      <c r="AK196" s="69" t="n">
        <v>1</v>
      </c>
      <c r="BB196" s="195" t="inlineStr">
        <is>
          <t>ЗПФ</t>
        </is>
      </c>
      <c r="BM196" s="66">
        <f>IFERROR(X196*I196,"0")</f>
        <v/>
      </c>
      <c r="BN196" s="66">
        <f>IFERROR(Y196*I196,"0")</f>
        <v/>
      </c>
      <c r="BO196" s="66">
        <f>IFERROR(X196/J196,"0")</f>
        <v/>
      </c>
      <c r="BP196" s="66">
        <f>IFERROR(Y196/J196,"0")</f>
        <v/>
      </c>
    </row>
    <row r="197" ht="27" customHeight="1">
      <c r="A197" s="53" t="inlineStr">
        <is>
          <t>SU003065</t>
        </is>
      </c>
      <c r="B197" s="53" t="inlineStr">
        <is>
          <t>P003641</t>
        </is>
      </c>
      <c r="C197" s="31" t="n">
        <v>4301070963</v>
      </c>
      <c r="D197" s="316" t="n">
        <v>4607111038630</v>
      </c>
      <c r="E197" s="317" t="n"/>
      <c r="F197" s="305" t="n">
        <v>0.7</v>
      </c>
      <c r="G197" s="32" t="n">
        <v>8</v>
      </c>
      <c r="H197" s="305" t="n">
        <v>5.6</v>
      </c>
      <c r="I197" s="305" t="n">
        <v>5.87</v>
      </c>
      <c r="J197" s="32" t="n">
        <v>84</v>
      </c>
      <c r="K197" s="32" t="inlineStr">
        <is>
          <t>12</t>
        </is>
      </c>
      <c r="L197" s="32" t="inlineStr">
        <is>
          <t>Короб, мин. 1</t>
        </is>
      </c>
      <c r="M197" s="33" t="inlineStr">
        <is>
          <t>МГ</t>
        </is>
      </c>
      <c r="N197" s="33" t="n"/>
      <c r="O197" s="32" t="n">
        <v>180</v>
      </c>
      <c r="P197" s="403">
        <f>HYPERLINK("https://abi.ru/products/Замороженные/Стародворье/Медвежьи ушки/Пельмени/P003641/","Пельмени «Медвежьи ушки с фермерской свининой и говядиной Большие» 0,7 классическая форма ТМ «Стародворье»")</f>
        <v/>
      </c>
      <c r="Q197" s="313" t="n"/>
      <c r="R197" s="313" t="n"/>
      <c r="S197" s="313" t="n"/>
      <c r="T197" s="314" t="n"/>
      <c r="U197" s="34" t="n"/>
      <c r="V197" s="34" t="n"/>
      <c r="W197" s="35" t="inlineStr">
        <is>
          <t>кор</t>
        </is>
      </c>
      <c r="X197" s="306" t="n">
        <v>0</v>
      </c>
      <c r="Y197" s="307">
        <f>IFERROR(IF(X197="","",X197),"")</f>
        <v/>
      </c>
      <c r="Z197" s="36">
        <f>IFERROR(IF(X197="","",X197*0.0155),"")</f>
        <v/>
      </c>
      <c r="AA197" s="55" t="n"/>
      <c r="AB197" s="56" t="n"/>
      <c r="AC197" s="196" t="inlineStr">
        <is>
          <t>ЕАЭС N RU Д-RU.РА02.В.30885/24</t>
        </is>
      </c>
      <c r="AG197" s="66" t="n"/>
      <c r="AJ197" s="69" t="inlineStr">
        <is>
          <t>Короб</t>
        </is>
      </c>
      <c r="AK197" s="69" t="n">
        <v>1</v>
      </c>
      <c r="BB197" s="197" t="inlineStr">
        <is>
          <t>ЗПФ</t>
        </is>
      </c>
      <c r="BM197" s="66">
        <f>IFERROR(X197*I197,"0")</f>
        <v/>
      </c>
      <c r="BN197" s="66">
        <f>IFERROR(Y197*I197,"0")</f>
        <v/>
      </c>
      <c r="BO197" s="66">
        <f>IFERROR(X197/J197,"0")</f>
        <v/>
      </c>
      <c r="BP197" s="66">
        <f>IFERROR(Y197/J197,"0")</f>
        <v/>
      </c>
    </row>
    <row r="198" ht="27" customHeight="1">
      <c r="A198" s="53" t="inlineStr">
        <is>
          <t>SU003066</t>
        </is>
      </c>
      <c r="B198" s="53" t="inlineStr">
        <is>
          <t>P003630</t>
        </is>
      </c>
      <c r="C198" s="31" t="n">
        <v>4301070959</v>
      </c>
      <c r="D198" s="316" t="n">
        <v>4607111038616</v>
      </c>
      <c r="E198" s="317" t="n"/>
      <c r="F198" s="305" t="n">
        <v>0.4</v>
      </c>
      <c r="G198" s="32" t="n">
        <v>16</v>
      </c>
      <c r="H198" s="305" t="n">
        <v>6.4</v>
      </c>
      <c r="I198" s="305" t="n">
        <v>6.71</v>
      </c>
      <c r="J198" s="32" t="n">
        <v>84</v>
      </c>
      <c r="K198" s="32" t="inlineStr">
        <is>
          <t>12</t>
        </is>
      </c>
      <c r="L198" s="32" t="inlineStr">
        <is>
          <t>Короб, мин. 1</t>
        </is>
      </c>
      <c r="M198" s="33" t="inlineStr">
        <is>
          <t>МГ</t>
        </is>
      </c>
      <c r="N198" s="33" t="n"/>
      <c r="O198" s="32" t="n">
        <v>180</v>
      </c>
      <c r="P198" s="484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/>
      </c>
      <c r="Q198" s="313" t="n"/>
      <c r="R198" s="313" t="n"/>
      <c r="S198" s="313" t="n"/>
      <c r="T198" s="314" t="n"/>
      <c r="U198" s="34" t="n"/>
      <c r="V198" s="34" t="n"/>
      <c r="W198" s="35" t="inlineStr">
        <is>
          <t>кор</t>
        </is>
      </c>
      <c r="X198" s="306" t="n">
        <v>0</v>
      </c>
      <c r="Y198" s="307">
        <f>IFERROR(IF(X198="","",X198),"")</f>
        <v/>
      </c>
      <c r="Z198" s="36">
        <f>IFERROR(IF(X198="","",X198*0.0155),"")</f>
        <v/>
      </c>
      <c r="AA198" s="55" t="n"/>
      <c r="AB198" s="56" t="n"/>
      <c r="AC198" s="198" t="inlineStr">
        <is>
          <t>ЕАЭС N RU Д-RU.РА10.В.37060/23</t>
        </is>
      </c>
      <c r="AG198" s="66" t="n"/>
      <c r="AJ198" s="69" t="inlineStr">
        <is>
          <t>Короб</t>
        </is>
      </c>
      <c r="AK198" s="69" t="n">
        <v>1</v>
      </c>
      <c r="BB198" s="199" t="inlineStr">
        <is>
          <t>ЗПФ</t>
        </is>
      </c>
      <c r="BM198" s="66">
        <f>IFERROR(X198*I198,"0")</f>
        <v/>
      </c>
      <c r="BN198" s="66">
        <f>IFERROR(Y198*I198,"0")</f>
        <v/>
      </c>
      <c r="BO198" s="66">
        <f>IFERROR(X198/J198,"0")</f>
        <v/>
      </c>
      <c r="BP198" s="66">
        <f>IFERROR(Y198/J198,"0")</f>
        <v/>
      </c>
    </row>
    <row r="199" ht="27" customHeight="1">
      <c r="A199" s="53" t="inlineStr">
        <is>
          <t>SU003067</t>
        </is>
      </c>
      <c r="B199" s="53" t="inlineStr">
        <is>
          <t>P003631</t>
        </is>
      </c>
      <c r="C199" s="31" t="n">
        <v>4301070960</v>
      </c>
      <c r="D199" s="316" t="n">
        <v>4607111038623</v>
      </c>
      <c r="E199" s="317" t="n"/>
      <c r="F199" s="305" t="n">
        <v>0.7</v>
      </c>
      <c r="G199" s="32" t="n">
        <v>8</v>
      </c>
      <c r="H199" s="305" t="n">
        <v>5.6</v>
      </c>
      <c r="I199" s="305" t="n">
        <v>5.87</v>
      </c>
      <c r="J199" s="32" t="n">
        <v>84</v>
      </c>
      <c r="K199" s="32" t="inlineStr">
        <is>
          <t>12</t>
        </is>
      </c>
      <c r="L199" s="32" t="inlineStr">
        <is>
          <t>Короб, мин. 1</t>
        </is>
      </c>
      <c r="M199" s="33" t="inlineStr">
        <is>
          <t>МГ</t>
        </is>
      </c>
      <c r="N199" s="33" t="n"/>
      <c r="O199" s="32" t="n">
        <v>180</v>
      </c>
      <c r="P199" s="495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/>
      </c>
      <c r="Q199" s="313" t="n"/>
      <c r="R199" s="313" t="n"/>
      <c r="S199" s="313" t="n"/>
      <c r="T199" s="314" t="n"/>
      <c r="U199" s="34" t="n"/>
      <c r="V199" s="34" t="n"/>
      <c r="W199" s="35" t="inlineStr">
        <is>
          <t>кор</t>
        </is>
      </c>
      <c r="X199" s="306" t="n">
        <v>0</v>
      </c>
      <c r="Y199" s="307">
        <f>IFERROR(IF(X199="","",X199),"")</f>
        <v/>
      </c>
      <c r="Z199" s="36">
        <f>IFERROR(IF(X199="","",X199*0.0155),"")</f>
        <v/>
      </c>
      <c r="AA199" s="55" t="n"/>
      <c r="AB199" s="56" t="n"/>
      <c r="AC199" s="200" t="inlineStr">
        <is>
          <t>ЕАЭС N RU Д-RU.РА10.В.37060/23</t>
        </is>
      </c>
      <c r="AG199" s="66" t="n"/>
      <c r="AJ199" s="69" t="inlineStr">
        <is>
          <t>Короб</t>
        </is>
      </c>
      <c r="AK199" s="69" t="n">
        <v>1</v>
      </c>
      <c r="BB199" s="201" t="inlineStr">
        <is>
          <t>ЗПФ</t>
        </is>
      </c>
      <c r="BM199" s="66">
        <f>IFERROR(X199*I199,"0")</f>
        <v/>
      </c>
      <c r="BN199" s="66">
        <f>IFERROR(Y199*I199,"0")</f>
        <v/>
      </c>
      <c r="BO199" s="66">
        <f>IFERROR(X199/J199,"0")</f>
        <v/>
      </c>
      <c r="BP199" s="66">
        <f>IFERROR(Y199/J199,"0")</f>
        <v/>
      </c>
    </row>
    <row r="200">
      <c r="A200" s="318" t="n"/>
      <c r="B200" s="319" t="n"/>
      <c r="C200" s="319" t="n"/>
      <c r="D200" s="319" t="n"/>
      <c r="E200" s="319" t="n"/>
      <c r="F200" s="319" t="n"/>
      <c r="G200" s="319" t="n"/>
      <c r="H200" s="319" t="n"/>
      <c r="I200" s="319" t="n"/>
      <c r="J200" s="319" t="n"/>
      <c r="K200" s="319" t="n"/>
      <c r="L200" s="319" t="n"/>
      <c r="M200" s="319" t="n"/>
      <c r="N200" s="319" t="n"/>
      <c r="O200" s="320" t="n"/>
      <c r="P200" s="321" t="inlineStr">
        <is>
          <t>Итого</t>
        </is>
      </c>
      <c r="Q200" s="322" t="n"/>
      <c r="R200" s="322" t="n"/>
      <c r="S200" s="322" t="n"/>
      <c r="T200" s="322" t="n"/>
      <c r="U200" s="322" t="n"/>
      <c r="V200" s="323" t="n"/>
      <c r="W200" s="37" t="inlineStr">
        <is>
          <t>кор</t>
        </is>
      </c>
      <c r="X200" s="308">
        <f>IFERROR(SUM(X194:X199),"0")</f>
        <v/>
      </c>
      <c r="Y200" s="308">
        <f>IFERROR(SUM(Y194:Y199),"0")</f>
        <v/>
      </c>
      <c r="Z200" s="308">
        <f>IFERROR(IF(Z194="",0,Z194),"0")+IFERROR(IF(Z195="",0,Z195),"0")+IFERROR(IF(Z196="",0,Z196),"0")+IFERROR(IF(Z197="",0,Z197),"0")+IFERROR(IF(Z198="",0,Z198),"0")+IFERROR(IF(Z199="",0,Z199),"0")</f>
        <v/>
      </c>
      <c r="AA200" s="309" t="n"/>
      <c r="AB200" s="309" t="n"/>
      <c r="AC200" s="309" t="n"/>
    </row>
    <row r="201">
      <c r="A201" s="319" t="n"/>
      <c r="B201" s="319" t="n"/>
      <c r="C201" s="319" t="n"/>
      <c r="D201" s="319" t="n"/>
      <c r="E201" s="319" t="n"/>
      <c r="F201" s="319" t="n"/>
      <c r="G201" s="319" t="n"/>
      <c r="H201" s="319" t="n"/>
      <c r="I201" s="319" t="n"/>
      <c r="J201" s="319" t="n"/>
      <c r="K201" s="319" t="n"/>
      <c r="L201" s="319" t="n"/>
      <c r="M201" s="319" t="n"/>
      <c r="N201" s="319" t="n"/>
      <c r="O201" s="320" t="n"/>
      <c r="P201" s="321" t="inlineStr">
        <is>
          <t>Итого</t>
        </is>
      </c>
      <c r="Q201" s="322" t="n"/>
      <c r="R201" s="322" t="n"/>
      <c r="S201" s="322" t="n"/>
      <c r="T201" s="322" t="n"/>
      <c r="U201" s="322" t="n"/>
      <c r="V201" s="323" t="n"/>
      <c r="W201" s="37" t="inlineStr">
        <is>
          <t>кг</t>
        </is>
      </c>
      <c r="X201" s="308">
        <f>IFERROR(SUMPRODUCT(X194:X199*H194:H199),"0")</f>
        <v/>
      </c>
      <c r="Y201" s="308">
        <f>IFERROR(SUMPRODUCT(Y194:Y199*H194:H199),"0")</f>
        <v/>
      </c>
      <c r="Z201" s="37" t="n"/>
      <c r="AA201" s="309" t="n"/>
      <c r="AB201" s="309" t="n"/>
      <c r="AC201" s="309" t="n"/>
    </row>
    <row r="202" ht="16.5" customHeight="1">
      <c r="A202" s="324" t="inlineStr">
        <is>
          <t>Медвежье ушко</t>
        </is>
      </c>
      <c r="B202" s="319" t="n"/>
      <c r="C202" s="319" t="n"/>
      <c r="D202" s="319" t="n"/>
      <c r="E202" s="319" t="n"/>
      <c r="F202" s="319" t="n"/>
      <c r="G202" s="319" t="n"/>
      <c r="H202" s="319" t="n"/>
      <c r="I202" s="319" t="n"/>
      <c r="J202" s="319" t="n"/>
      <c r="K202" s="319" t="n"/>
      <c r="L202" s="319" t="n"/>
      <c r="M202" s="319" t="n"/>
      <c r="N202" s="319" t="n"/>
      <c r="O202" s="319" t="n"/>
      <c r="P202" s="319" t="n"/>
      <c r="Q202" s="319" t="n"/>
      <c r="R202" s="319" t="n"/>
      <c r="S202" s="319" t="n"/>
      <c r="T202" s="319" t="n"/>
      <c r="U202" s="319" t="n"/>
      <c r="V202" s="319" t="n"/>
      <c r="W202" s="319" t="n"/>
      <c r="X202" s="319" t="n"/>
      <c r="Y202" s="319" t="n"/>
      <c r="Z202" s="319" t="n"/>
      <c r="AA202" s="324" t="n"/>
      <c r="AB202" s="324" t="n"/>
      <c r="AC202" s="324" t="n"/>
    </row>
    <row r="203" ht="14.25" customHeight="1">
      <c r="A203" s="329" t="inlineStr">
        <is>
          <t>Пельмени</t>
        </is>
      </c>
      <c r="B203" s="319" t="n"/>
      <c r="C203" s="319" t="n"/>
      <c r="D203" s="319" t="n"/>
      <c r="E203" s="319" t="n"/>
      <c r="F203" s="319" t="n"/>
      <c r="G203" s="319" t="n"/>
      <c r="H203" s="319" t="n"/>
      <c r="I203" s="319" t="n"/>
      <c r="J203" s="319" t="n"/>
      <c r="K203" s="319" t="n"/>
      <c r="L203" s="319" t="n"/>
      <c r="M203" s="319" t="n"/>
      <c r="N203" s="319" t="n"/>
      <c r="O203" s="319" t="n"/>
      <c r="P203" s="319" t="n"/>
      <c r="Q203" s="319" t="n"/>
      <c r="R203" s="319" t="n"/>
      <c r="S203" s="319" t="n"/>
      <c r="T203" s="319" t="n"/>
      <c r="U203" s="319" t="n"/>
      <c r="V203" s="319" t="n"/>
      <c r="W203" s="319" t="n"/>
      <c r="X203" s="319" t="n"/>
      <c r="Y203" s="319" t="n"/>
      <c r="Z203" s="319" t="n"/>
      <c r="AA203" s="329" t="n"/>
      <c r="AB203" s="329" t="n"/>
      <c r="AC203" s="329" t="n"/>
    </row>
    <row r="204" ht="27" customHeight="1">
      <c r="A204" s="53" t="inlineStr">
        <is>
          <t>SU002069</t>
        </is>
      </c>
      <c r="B204" s="53" t="inlineStr">
        <is>
          <t>P003001</t>
        </is>
      </c>
      <c r="C204" s="31" t="n">
        <v>4301070917</v>
      </c>
      <c r="D204" s="316" t="n">
        <v>4607111035912</v>
      </c>
      <c r="E204" s="317" t="n"/>
      <c r="F204" s="305" t="n">
        <v>0.43</v>
      </c>
      <c r="G204" s="32" t="n">
        <v>16</v>
      </c>
      <c r="H204" s="305" t="n">
        <v>6.88</v>
      </c>
      <c r="I204" s="305" t="n">
        <v>7.19</v>
      </c>
      <c r="J204" s="32" t="n">
        <v>84</v>
      </c>
      <c r="K204" s="32" t="inlineStr">
        <is>
          <t>12</t>
        </is>
      </c>
      <c r="L204" s="32" t="inlineStr">
        <is>
          <t>Короб, мин. 1</t>
        </is>
      </c>
      <c r="M204" s="33" t="inlineStr">
        <is>
          <t>МГ</t>
        </is>
      </c>
      <c r="N204" s="33" t="n"/>
      <c r="O204" s="32" t="n">
        <v>180</v>
      </c>
      <c r="P204" s="425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/>
      </c>
      <c r="Q204" s="313" t="n"/>
      <c r="R204" s="313" t="n"/>
      <c r="S204" s="313" t="n"/>
      <c r="T204" s="314" t="n"/>
      <c r="U204" s="34" t="n"/>
      <c r="V204" s="34" t="n"/>
      <c r="W204" s="35" t="inlineStr">
        <is>
          <t>кор</t>
        </is>
      </c>
      <c r="X204" s="306" t="n">
        <v>0</v>
      </c>
      <c r="Y204" s="307">
        <f>IFERROR(IF(X204="","",X204),"")</f>
        <v/>
      </c>
      <c r="Z204" s="36">
        <f>IFERROR(IF(X204="","",X204*0.0155),"")</f>
        <v/>
      </c>
      <c r="AA204" s="55" t="n"/>
      <c r="AB204" s="56" t="n"/>
      <c r="AC204" s="202" t="inlineStr">
        <is>
          <t>ЕАЭС N RU Д-RU.PA01.B.06796/21</t>
        </is>
      </c>
      <c r="AG204" s="66" t="n"/>
      <c r="AJ204" s="69" t="inlineStr">
        <is>
          <t>Короб</t>
        </is>
      </c>
      <c r="AK204" s="69" t="n">
        <v>1</v>
      </c>
      <c r="BB204" s="203" t="inlineStr">
        <is>
          <t>ЗПФ</t>
        </is>
      </c>
      <c r="BM204" s="66">
        <f>IFERROR(X204*I204,"0")</f>
        <v/>
      </c>
      <c r="BN204" s="66">
        <f>IFERROR(Y204*I204,"0")</f>
        <v/>
      </c>
      <c r="BO204" s="66">
        <f>IFERROR(X204/J204,"0")</f>
        <v/>
      </c>
      <c r="BP204" s="66">
        <f>IFERROR(Y204/J204,"0")</f>
        <v/>
      </c>
    </row>
    <row r="205" ht="27" customHeight="1">
      <c r="A205" s="53" t="inlineStr">
        <is>
          <t>SU002066</t>
        </is>
      </c>
      <c r="B205" s="53" t="inlineStr">
        <is>
          <t>P003004</t>
        </is>
      </c>
      <c r="C205" s="31" t="n">
        <v>4301070920</v>
      </c>
      <c r="D205" s="316" t="n">
        <v>4607111035929</v>
      </c>
      <c r="E205" s="317" t="n"/>
      <c r="F205" s="305" t="n">
        <v>0.9</v>
      </c>
      <c r="G205" s="32" t="n">
        <v>8</v>
      </c>
      <c r="H205" s="305" t="n">
        <v>7.2</v>
      </c>
      <c r="I205" s="305" t="n">
        <v>7.47</v>
      </c>
      <c r="J205" s="32" t="n">
        <v>84</v>
      </c>
      <c r="K205" s="32" t="inlineStr">
        <is>
          <t>12</t>
        </is>
      </c>
      <c r="L205" s="32" t="inlineStr">
        <is>
          <t>Короб, мин. 1</t>
        </is>
      </c>
      <c r="M205" s="33" t="inlineStr">
        <is>
          <t>МГ</t>
        </is>
      </c>
      <c r="N205" s="33" t="n"/>
      <c r="O205" s="32" t="n">
        <v>180</v>
      </c>
      <c r="P205" s="389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/>
      </c>
      <c r="Q205" s="313" t="n"/>
      <c r="R205" s="313" t="n"/>
      <c r="S205" s="313" t="n"/>
      <c r="T205" s="314" t="n"/>
      <c r="U205" s="34" t="n"/>
      <c r="V205" s="34" t="n"/>
      <c r="W205" s="35" t="inlineStr">
        <is>
          <t>кор</t>
        </is>
      </c>
      <c r="X205" s="306" t="n">
        <v>0</v>
      </c>
      <c r="Y205" s="307">
        <f>IFERROR(IF(X205="","",X205),"")</f>
        <v/>
      </c>
      <c r="Z205" s="36">
        <f>IFERROR(IF(X205="","",X205*0.0155),"")</f>
        <v/>
      </c>
      <c r="AA205" s="55" t="n"/>
      <c r="AB205" s="56" t="n"/>
      <c r="AC205" s="204" t="inlineStr">
        <is>
          <t>ЕАЭС N RU Д-RU.PA01.B.06796/21</t>
        </is>
      </c>
      <c r="AG205" s="66" t="n"/>
      <c r="AJ205" s="69" t="inlineStr">
        <is>
          <t>Короб</t>
        </is>
      </c>
      <c r="AK205" s="69" t="n">
        <v>1</v>
      </c>
      <c r="BB205" s="205" t="inlineStr">
        <is>
          <t>ЗПФ</t>
        </is>
      </c>
      <c r="BM205" s="66">
        <f>IFERROR(X205*I205,"0")</f>
        <v/>
      </c>
      <c r="BN205" s="66">
        <f>IFERROR(Y205*I205,"0")</f>
        <v/>
      </c>
      <c r="BO205" s="66">
        <f>IFERROR(X205/J205,"0")</f>
        <v/>
      </c>
      <c r="BP205" s="66">
        <f>IFERROR(Y205/J205,"0")</f>
        <v/>
      </c>
    </row>
    <row r="206" ht="27" customHeight="1">
      <c r="A206" s="53" t="inlineStr">
        <is>
          <t>SU002067</t>
        </is>
      </c>
      <c r="B206" s="53" t="inlineStr">
        <is>
          <t>P002999</t>
        </is>
      </c>
      <c r="C206" s="31" t="n">
        <v>4301070915</v>
      </c>
      <c r="D206" s="316" t="n">
        <v>4607111035882</v>
      </c>
      <c r="E206" s="317" t="n"/>
      <c r="F206" s="305" t="n">
        <v>0.43</v>
      </c>
      <c r="G206" s="32" t="n">
        <v>16</v>
      </c>
      <c r="H206" s="305" t="n">
        <v>6.88</v>
      </c>
      <c r="I206" s="305" t="n">
        <v>7.19</v>
      </c>
      <c r="J206" s="32" t="n">
        <v>84</v>
      </c>
      <c r="K206" s="32" t="inlineStr">
        <is>
          <t>12</t>
        </is>
      </c>
      <c r="L206" s="32" t="inlineStr">
        <is>
          <t>Короб, мин. 1</t>
        </is>
      </c>
      <c r="M206" s="33" t="inlineStr">
        <is>
          <t>МГ</t>
        </is>
      </c>
      <c r="N206" s="33" t="n"/>
      <c r="O206" s="32" t="n">
        <v>180</v>
      </c>
      <c r="P206" s="426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/>
      </c>
      <c r="Q206" s="313" t="n"/>
      <c r="R206" s="313" t="n"/>
      <c r="S206" s="313" t="n"/>
      <c r="T206" s="314" t="n"/>
      <c r="U206" s="34" t="n"/>
      <c r="V206" s="34" t="n"/>
      <c r="W206" s="35" t="inlineStr">
        <is>
          <t>кор</t>
        </is>
      </c>
      <c r="X206" s="306" t="n">
        <v>0</v>
      </c>
      <c r="Y206" s="307">
        <f>IFERROR(IF(X206="","",X206),"")</f>
        <v/>
      </c>
      <c r="Z206" s="36">
        <f>IFERROR(IF(X206="","",X206*0.0155),"")</f>
        <v/>
      </c>
      <c r="AA206" s="55" t="n"/>
      <c r="AB206" s="56" t="n"/>
      <c r="AC206" s="206" t="inlineStr">
        <is>
          <t>ЕАЭС N RU Д-RU.PA01.B.05295/21</t>
        </is>
      </c>
      <c r="AG206" s="66" t="n"/>
      <c r="AJ206" s="69" t="inlineStr">
        <is>
          <t>Короб</t>
        </is>
      </c>
      <c r="AK206" s="69" t="n">
        <v>1</v>
      </c>
      <c r="BB206" s="207" t="inlineStr">
        <is>
          <t>ЗПФ</t>
        </is>
      </c>
      <c r="BM206" s="66">
        <f>IFERROR(X206*I206,"0")</f>
        <v/>
      </c>
      <c r="BN206" s="66">
        <f>IFERROR(Y206*I206,"0")</f>
        <v/>
      </c>
      <c r="BO206" s="66">
        <f>IFERROR(X206/J206,"0")</f>
        <v/>
      </c>
      <c r="BP206" s="66">
        <f>IFERROR(Y206/J206,"0")</f>
        <v/>
      </c>
    </row>
    <row r="207" ht="27" customHeight="1">
      <c r="A207" s="53" t="inlineStr">
        <is>
          <t>SU002068</t>
        </is>
      </c>
      <c r="B207" s="53" t="inlineStr">
        <is>
          <t>P003005</t>
        </is>
      </c>
      <c r="C207" s="31" t="n">
        <v>4301070921</v>
      </c>
      <c r="D207" s="316" t="n">
        <v>4607111035905</v>
      </c>
      <c r="E207" s="317" t="n"/>
      <c r="F207" s="305" t="n">
        <v>0.9</v>
      </c>
      <c r="G207" s="32" t="n">
        <v>8</v>
      </c>
      <c r="H207" s="305" t="n">
        <v>7.2</v>
      </c>
      <c r="I207" s="305" t="n">
        <v>7.47</v>
      </c>
      <c r="J207" s="32" t="n">
        <v>84</v>
      </c>
      <c r="K207" s="32" t="inlineStr">
        <is>
          <t>12</t>
        </is>
      </c>
      <c r="L207" s="32" t="inlineStr">
        <is>
          <t>Короб, мин. 1</t>
        </is>
      </c>
      <c r="M207" s="33" t="inlineStr">
        <is>
          <t>МГ</t>
        </is>
      </c>
      <c r="N207" s="33" t="n"/>
      <c r="O207" s="32" t="n">
        <v>180</v>
      </c>
      <c r="P207" s="428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/>
      </c>
      <c r="Q207" s="313" t="n"/>
      <c r="R207" s="313" t="n"/>
      <c r="S207" s="313" t="n"/>
      <c r="T207" s="314" t="n"/>
      <c r="U207" s="34" t="n"/>
      <c r="V207" s="34" t="n"/>
      <c r="W207" s="35" t="inlineStr">
        <is>
          <t>кор</t>
        </is>
      </c>
      <c r="X207" s="306" t="n">
        <v>0</v>
      </c>
      <c r="Y207" s="307">
        <f>IFERROR(IF(X207="","",X207),"")</f>
        <v/>
      </c>
      <c r="Z207" s="36">
        <f>IFERROR(IF(X207="","",X207*0.0155),"")</f>
        <v/>
      </c>
      <c r="AA207" s="55" t="n"/>
      <c r="AB207" s="56" t="n"/>
      <c r="AC207" s="208" t="inlineStr">
        <is>
          <t>ЕАЭС N RU Д-RU.PA01.B.05295/21</t>
        </is>
      </c>
      <c r="AG207" s="66" t="n"/>
      <c r="AJ207" s="69" t="inlineStr">
        <is>
          <t>Короб</t>
        </is>
      </c>
      <c r="AK207" s="69" t="n">
        <v>1</v>
      </c>
      <c r="BB207" s="209" t="inlineStr">
        <is>
          <t>ЗПФ</t>
        </is>
      </c>
      <c r="BM207" s="66">
        <f>IFERROR(X207*I207,"0")</f>
        <v/>
      </c>
      <c r="BN207" s="66">
        <f>IFERROR(Y207*I207,"0")</f>
        <v/>
      </c>
      <c r="BO207" s="66">
        <f>IFERROR(X207/J207,"0")</f>
        <v/>
      </c>
      <c r="BP207" s="66">
        <f>IFERROR(Y207/J207,"0")</f>
        <v/>
      </c>
    </row>
    <row r="208">
      <c r="A208" s="318" t="n"/>
      <c r="B208" s="319" t="n"/>
      <c r="C208" s="319" t="n"/>
      <c r="D208" s="319" t="n"/>
      <c r="E208" s="319" t="n"/>
      <c r="F208" s="319" t="n"/>
      <c r="G208" s="319" t="n"/>
      <c r="H208" s="319" t="n"/>
      <c r="I208" s="319" t="n"/>
      <c r="J208" s="319" t="n"/>
      <c r="K208" s="319" t="n"/>
      <c r="L208" s="319" t="n"/>
      <c r="M208" s="319" t="n"/>
      <c r="N208" s="319" t="n"/>
      <c r="O208" s="320" t="n"/>
      <c r="P208" s="321" t="inlineStr">
        <is>
          <t>Итого</t>
        </is>
      </c>
      <c r="Q208" s="322" t="n"/>
      <c r="R208" s="322" t="n"/>
      <c r="S208" s="322" t="n"/>
      <c r="T208" s="322" t="n"/>
      <c r="U208" s="322" t="n"/>
      <c r="V208" s="323" t="n"/>
      <c r="W208" s="37" t="inlineStr">
        <is>
          <t>кор</t>
        </is>
      </c>
      <c r="X208" s="308">
        <f>IFERROR(SUM(X204:X207),"0")</f>
        <v/>
      </c>
      <c r="Y208" s="308">
        <f>IFERROR(SUM(Y204:Y207),"0")</f>
        <v/>
      </c>
      <c r="Z208" s="308">
        <f>IFERROR(IF(Z204="",0,Z204),"0")+IFERROR(IF(Z205="",0,Z205),"0")+IFERROR(IF(Z206="",0,Z206),"0")+IFERROR(IF(Z207="",0,Z207),"0")</f>
        <v/>
      </c>
      <c r="AA208" s="309" t="n"/>
      <c r="AB208" s="309" t="n"/>
      <c r="AC208" s="309" t="n"/>
    </row>
    <row r="209">
      <c r="A209" s="319" t="n"/>
      <c r="B209" s="319" t="n"/>
      <c r="C209" s="319" t="n"/>
      <c r="D209" s="319" t="n"/>
      <c r="E209" s="319" t="n"/>
      <c r="F209" s="319" t="n"/>
      <c r="G209" s="319" t="n"/>
      <c r="H209" s="319" t="n"/>
      <c r="I209" s="319" t="n"/>
      <c r="J209" s="319" t="n"/>
      <c r="K209" s="319" t="n"/>
      <c r="L209" s="319" t="n"/>
      <c r="M209" s="319" t="n"/>
      <c r="N209" s="319" t="n"/>
      <c r="O209" s="320" t="n"/>
      <c r="P209" s="321" t="inlineStr">
        <is>
          <t>Итого</t>
        </is>
      </c>
      <c r="Q209" s="322" t="n"/>
      <c r="R209" s="322" t="n"/>
      <c r="S209" s="322" t="n"/>
      <c r="T209" s="322" t="n"/>
      <c r="U209" s="322" t="n"/>
      <c r="V209" s="323" t="n"/>
      <c r="W209" s="37" t="inlineStr">
        <is>
          <t>кг</t>
        </is>
      </c>
      <c r="X209" s="308">
        <f>IFERROR(SUMPRODUCT(X204:X207*H204:H207),"0")</f>
        <v/>
      </c>
      <c r="Y209" s="308">
        <f>IFERROR(SUMPRODUCT(Y204:Y207*H204:H207),"0")</f>
        <v/>
      </c>
      <c r="Z209" s="37" t="n"/>
      <c r="AA209" s="309" t="n"/>
      <c r="AB209" s="309" t="n"/>
      <c r="AC209" s="309" t="n"/>
    </row>
    <row r="210" ht="16.5" customHeight="1">
      <c r="A210" s="324" t="inlineStr">
        <is>
          <t>Стародворские</t>
        </is>
      </c>
      <c r="B210" s="319" t="n"/>
      <c r="C210" s="319" t="n"/>
      <c r="D210" s="319" t="n"/>
      <c r="E210" s="319" t="n"/>
      <c r="F210" s="319" t="n"/>
      <c r="G210" s="319" t="n"/>
      <c r="H210" s="319" t="n"/>
      <c r="I210" s="319" t="n"/>
      <c r="J210" s="319" t="n"/>
      <c r="K210" s="319" t="n"/>
      <c r="L210" s="319" t="n"/>
      <c r="M210" s="319" t="n"/>
      <c r="N210" s="319" t="n"/>
      <c r="O210" s="319" t="n"/>
      <c r="P210" s="319" t="n"/>
      <c r="Q210" s="319" t="n"/>
      <c r="R210" s="319" t="n"/>
      <c r="S210" s="319" t="n"/>
      <c r="T210" s="319" t="n"/>
      <c r="U210" s="319" t="n"/>
      <c r="V210" s="319" t="n"/>
      <c r="W210" s="319" t="n"/>
      <c r="X210" s="319" t="n"/>
      <c r="Y210" s="319" t="n"/>
      <c r="Z210" s="319" t="n"/>
      <c r="AA210" s="324" t="n"/>
      <c r="AB210" s="324" t="n"/>
      <c r="AC210" s="324" t="n"/>
    </row>
    <row r="211" ht="14.25" customHeight="1">
      <c r="A211" s="329" t="inlineStr">
        <is>
          <t>Пельмени</t>
        </is>
      </c>
      <c r="B211" s="319" t="n"/>
      <c r="C211" s="319" t="n"/>
      <c r="D211" s="319" t="n"/>
      <c r="E211" s="319" t="n"/>
      <c r="F211" s="319" t="n"/>
      <c r="G211" s="319" t="n"/>
      <c r="H211" s="319" t="n"/>
      <c r="I211" s="319" t="n"/>
      <c r="J211" s="319" t="n"/>
      <c r="K211" s="319" t="n"/>
      <c r="L211" s="319" t="n"/>
      <c r="M211" s="319" t="n"/>
      <c r="N211" s="319" t="n"/>
      <c r="O211" s="319" t="n"/>
      <c r="P211" s="319" t="n"/>
      <c r="Q211" s="319" t="n"/>
      <c r="R211" s="319" t="n"/>
      <c r="S211" s="319" t="n"/>
      <c r="T211" s="319" t="n"/>
      <c r="U211" s="319" t="n"/>
      <c r="V211" s="319" t="n"/>
      <c r="W211" s="319" t="n"/>
      <c r="X211" s="319" t="n"/>
      <c r="Y211" s="319" t="n"/>
      <c r="Z211" s="319" t="n"/>
      <c r="AA211" s="329" t="n"/>
      <c r="AB211" s="329" t="n"/>
      <c r="AC211" s="329" t="n"/>
    </row>
    <row r="212" ht="27" customHeight="1">
      <c r="A212" s="53" t="inlineStr">
        <is>
          <t>SU003935</t>
        </is>
      </c>
      <c r="B212" s="53" t="inlineStr">
        <is>
          <t>P005048</t>
        </is>
      </c>
      <c r="C212" s="31" t="n">
        <v>4301071097</v>
      </c>
      <c r="D212" s="316" t="n">
        <v>4620207491096</v>
      </c>
      <c r="E212" s="317" t="n"/>
      <c r="F212" s="305" t="n">
        <v>1</v>
      </c>
      <c r="G212" s="32" t="n">
        <v>5</v>
      </c>
      <c r="H212" s="305" t="n">
        <v>5</v>
      </c>
      <c r="I212" s="305" t="n">
        <v>5.23</v>
      </c>
      <c r="J212" s="32" t="n">
        <v>84</v>
      </c>
      <c r="K212" s="32" t="inlineStr">
        <is>
          <t>12</t>
        </is>
      </c>
      <c r="L212" s="32" t="inlineStr">
        <is>
          <t>Короб, мин. 1</t>
        </is>
      </c>
      <c r="M212" s="33" t="inlineStr">
        <is>
          <t>МГ</t>
        </is>
      </c>
      <c r="N212" s="33" t="n"/>
      <c r="O212" s="32" t="n">
        <v>180</v>
      </c>
      <c r="P212" s="435" t="inlineStr">
        <is>
          <t>Пельмени «Мясные с говядиной» Фикс.вес 1 сфера ТМ «Стародворье»</t>
        </is>
      </c>
      <c r="Q212" s="313" t="n"/>
      <c r="R212" s="313" t="n"/>
      <c r="S212" s="313" t="n"/>
      <c r="T212" s="314" t="n"/>
      <c r="U212" s="34" t="n"/>
      <c r="V212" s="34" t="n"/>
      <c r="W212" s="35" t="inlineStr">
        <is>
          <t>кор</t>
        </is>
      </c>
      <c r="X212" s="306" t="n">
        <v>0</v>
      </c>
      <c r="Y212" s="307">
        <f>IFERROR(IF(X212="","",X212),"")</f>
        <v/>
      </c>
      <c r="Z212" s="36">
        <f>IFERROR(IF(X212="","",X212*0.0155),"")</f>
        <v/>
      </c>
      <c r="AA212" s="55" t="n"/>
      <c r="AB212" s="56" t="n"/>
      <c r="AC212" s="210" t="inlineStr">
        <is>
          <t>ЕАЭС N RU Д-RU.РА02.В.24375/25</t>
        </is>
      </c>
      <c r="AG212" s="66" t="n"/>
      <c r="AJ212" s="69" t="inlineStr">
        <is>
          <t>Короб</t>
        </is>
      </c>
      <c r="AK212" s="69" t="n">
        <v>1</v>
      </c>
      <c r="BB212" s="211" t="inlineStr">
        <is>
          <t>ЗПФ</t>
        </is>
      </c>
      <c r="BM212" s="66">
        <f>IFERROR(X212*I212,"0")</f>
        <v/>
      </c>
      <c r="BN212" s="66">
        <f>IFERROR(Y212*I212,"0")</f>
        <v/>
      </c>
      <c r="BO212" s="66">
        <f>IFERROR(X212/J212,"0")</f>
        <v/>
      </c>
      <c r="BP212" s="66">
        <f>IFERROR(Y212/J212,"0")</f>
        <v/>
      </c>
    </row>
    <row r="213">
      <c r="A213" s="318" t="n"/>
      <c r="B213" s="319" t="n"/>
      <c r="C213" s="319" t="n"/>
      <c r="D213" s="319" t="n"/>
      <c r="E213" s="319" t="n"/>
      <c r="F213" s="319" t="n"/>
      <c r="G213" s="319" t="n"/>
      <c r="H213" s="319" t="n"/>
      <c r="I213" s="319" t="n"/>
      <c r="J213" s="319" t="n"/>
      <c r="K213" s="319" t="n"/>
      <c r="L213" s="319" t="n"/>
      <c r="M213" s="319" t="n"/>
      <c r="N213" s="319" t="n"/>
      <c r="O213" s="320" t="n"/>
      <c r="P213" s="321" t="inlineStr">
        <is>
          <t>Итого</t>
        </is>
      </c>
      <c r="Q213" s="322" t="n"/>
      <c r="R213" s="322" t="n"/>
      <c r="S213" s="322" t="n"/>
      <c r="T213" s="322" t="n"/>
      <c r="U213" s="322" t="n"/>
      <c r="V213" s="323" t="n"/>
      <c r="W213" s="37" t="inlineStr">
        <is>
          <t>кор</t>
        </is>
      </c>
      <c r="X213" s="308">
        <f>IFERROR(SUM(X212:X212),"0")</f>
        <v/>
      </c>
      <c r="Y213" s="308">
        <f>IFERROR(SUM(Y212:Y212),"0")</f>
        <v/>
      </c>
      <c r="Z213" s="308">
        <f>IFERROR(IF(Z212="",0,Z212),"0")</f>
        <v/>
      </c>
      <c r="AA213" s="309" t="n"/>
      <c r="AB213" s="309" t="n"/>
      <c r="AC213" s="309" t="n"/>
    </row>
    <row r="214">
      <c r="A214" s="319" t="n"/>
      <c r="B214" s="319" t="n"/>
      <c r="C214" s="319" t="n"/>
      <c r="D214" s="319" t="n"/>
      <c r="E214" s="319" t="n"/>
      <c r="F214" s="319" t="n"/>
      <c r="G214" s="319" t="n"/>
      <c r="H214" s="319" t="n"/>
      <c r="I214" s="319" t="n"/>
      <c r="J214" s="319" t="n"/>
      <c r="K214" s="319" t="n"/>
      <c r="L214" s="319" t="n"/>
      <c r="M214" s="319" t="n"/>
      <c r="N214" s="319" t="n"/>
      <c r="O214" s="320" t="n"/>
      <c r="P214" s="321" t="inlineStr">
        <is>
          <t>Итого</t>
        </is>
      </c>
      <c r="Q214" s="322" t="n"/>
      <c r="R214" s="322" t="n"/>
      <c r="S214" s="322" t="n"/>
      <c r="T214" s="322" t="n"/>
      <c r="U214" s="322" t="n"/>
      <c r="V214" s="323" t="n"/>
      <c r="W214" s="37" t="inlineStr">
        <is>
          <t>кг</t>
        </is>
      </c>
      <c r="X214" s="308">
        <f>IFERROR(SUMPRODUCT(X212:X212*H212:H212),"0")</f>
        <v/>
      </c>
      <c r="Y214" s="308">
        <f>IFERROR(SUMPRODUCT(Y212:Y212*H212:H212),"0")</f>
        <v/>
      </c>
      <c r="Z214" s="37" t="n"/>
      <c r="AA214" s="309" t="n"/>
      <c r="AB214" s="309" t="n"/>
      <c r="AC214" s="309" t="n"/>
    </row>
    <row r="215" ht="16.5" customHeight="1">
      <c r="A215" s="324" t="inlineStr">
        <is>
          <t>Добросельские ЭТМ</t>
        </is>
      </c>
      <c r="B215" s="319" t="n"/>
      <c r="C215" s="319" t="n"/>
      <c r="D215" s="319" t="n"/>
      <c r="E215" s="319" t="n"/>
      <c r="F215" s="319" t="n"/>
      <c r="G215" s="319" t="n"/>
      <c r="H215" s="319" t="n"/>
      <c r="I215" s="319" t="n"/>
      <c r="J215" s="319" t="n"/>
      <c r="K215" s="319" t="n"/>
      <c r="L215" s="319" t="n"/>
      <c r="M215" s="319" t="n"/>
      <c r="N215" s="319" t="n"/>
      <c r="O215" s="319" t="n"/>
      <c r="P215" s="319" t="n"/>
      <c r="Q215" s="319" t="n"/>
      <c r="R215" s="319" t="n"/>
      <c r="S215" s="319" t="n"/>
      <c r="T215" s="319" t="n"/>
      <c r="U215" s="319" t="n"/>
      <c r="V215" s="319" t="n"/>
      <c r="W215" s="319" t="n"/>
      <c r="X215" s="319" t="n"/>
      <c r="Y215" s="319" t="n"/>
      <c r="Z215" s="319" t="n"/>
      <c r="AA215" s="324" t="n"/>
      <c r="AB215" s="324" t="n"/>
      <c r="AC215" s="324" t="n"/>
    </row>
    <row r="216" ht="14.25" customHeight="1">
      <c r="A216" s="329" t="inlineStr">
        <is>
          <t>Пельмени</t>
        </is>
      </c>
      <c r="B216" s="319" t="n"/>
      <c r="C216" s="319" t="n"/>
      <c r="D216" s="319" t="n"/>
      <c r="E216" s="319" t="n"/>
      <c r="F216" s="319" t="n"/>
      <c r="G216" s="319" t="n"/>
      <c r="H216" s="319" t="n"/>
      <c r="I216" s="319" t="n"/>
      <c r="J216" s="319" t="n"/>
      <c r="K216" s="319" t="n"/>
      <c r="L216" s="319" t="n"/>
      <c r="M216" s="319" t="n"/>
      <c r="N216" s="319" t="n"/>
      <c r="O216" s="319" t="n"/>
      <c r="P216" s="319" t="n"/>
      <c r="Q216" s="319" t="n"/>
      <c r="R216" s="319" t="n"/>
      <c r="S216" s="319" t="n"/>
      <c r="T216" s="319" t="n"/>
      <c r="U216" s="319" t="n"/>
      <c r="V216" s="319" t="n"/>
      <c r="W216" s="319" t="n"/>
      <c r="X216" s="319" t="n"/>
      <c r="Y216" s="319" t="n"/>
      <c r="Z216" s="319" t="n"/>
      <c r="AA216" s="329" t="n"/>
      <c r="AB216" s="329" t="n"/>
      <c r="AC216" s="329" t="n"/>
    </row>
    <row r="217" ht="27" customHeight="1">
      <c r="A217" s="53" t="inlineStr">
        <is>
          <t>SU003841</t>
        </is>
      </c>
      <c r="B217" s="53" t="inlineStr">
        <is>
          <t>P004905</t>
        </is>
      </c>
      <c r="C217" s="31" t="n">
        <v>4301071093</v>
      </c>
      <c r="D217" s="316" t="n">
        <v>4620207490709</v>
      </c>
      <c r="E217" s="317" t="n"/>
      <c r="F217" s="305" t="n">
        <v>0.65</v>
      </c>
      <c r="G217" s="32" t="n">
        <v>8</v>
      </c>
      <c r="H217" s="305" t="n">
        <v>5.2</v>
      </c>
      <c r="I217" s="305" t="n">
        <v>5.47</v>
      </c>
      <c r="J217" s="32" t="n">
        <v>84</v>
      </c>
      <c r="K217" s="32" t="inlineStr">
        <is>
          <t>12</t>
        </is>
      </c>
      <c r="L217" s="32" t="inlineStr">
        <is>
          <t>Короб, мин. 1</t>
        </is>
      </c>
      <c r="M217" s="33" t="inlineStr">
        <is>
          <t>МГ</t>
        </is>
      </c>
      <c r="N217" s="33" t="n"/>
      <c r="O217" s="32" t="n">
        <v>180</v>
      </c>
      <c r="P217" s="430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/>
      </c>
      <c r="Q217" s="313" t="n"/>
      <c r="R217" s="313" t="n"/>
      <c r="S217" s="313" t="n"/>
      <c r="T217" s="314" t="n"/>
      <c r="U217" s="34" t="n"/>
      <c r="V217" s="34" t="n"/>
      <c r="W217" s="35" t="inlineStr">
        <is>
          <t>кор</t>
        </is>
      </c>
      <c r="X217" s="306" t="n">
        <v>0</v>
      </c>
      <c r="Y217" s="307">
        <f>IFERROR(IF(X217="","",X217),"")</f>
        <v/>
      </c>
      <c r="Z217" s="36">
        <f>IFERROR(IF(X217="","",X217*0.0155),"")</f>
        <v/>
      </c>
      <c r="AA217" s="55" t="n"/>
      <c r="AB217" s="56" t="n"/>
      <c r="AC217" s="212" t="inlineStr">
        <is>
          <t>ЕАЭС N RU Д-RU.РА10.В.54690/24</t>
        </is>
      </c>
      <c r="AG217" s="66" t="n"/>
      <c r="AJ217" s="69" t="inlineStr">
        <is>
          <t>Короб</t>
        </is>
      </c>
      <c r="AK217" s="69" t="n">
        <v>1</v>
      </c>
      <c r="BB217" s="213" t="inlineStr">
        <is>
          <t>ЗПФ</t>
        </is>
      </c>
      <c r="BM217" s="66">
        <f>IFERROR(X217*I217,"0")</f>
        <v/>
      </c>
      <c r="BN217" s="66">
        <f>IFERROR(Y217*I217,"0")</f>
        <v/>
      </c>
      <c r="BO217" s="66">
        <f>IFERROR(X217/J217,"0")</f>
        <v/>
      </c>
      <c r="BP217" s="66">
        <f>IFERROR(Y217/J217,"0")</f>
        <v/>
      </c>
    </row>
    <row r="218">
      <c r="A218" s="318" t="n"/>
      <c r="B218" s="319" t="n"/>
      <c r="C218" s="319" t="n"/>
      <c r="D218" s="319" t="n"/>
      <c r="E218" s="319" t="n"/>
      <c r="F218" s="319" t="n"/>
      <c r="G218" s="319" t="n"/>
      <c r="H218" s="319" t="n"/>
      <c r="I218" s="319" t="n"/>
      <c r="J218" s="319" t="n"/>
      <c r="K218" s="319" t="n"/>
      <c r="L218" s="319" t="n"/>
      <c r="M218" s="319" t="n"/>
      <c r="N218" s="319" t="n"/>
      <c r="O218" s="320" t="n"/>
      <c r="P218" s="321" t="inlineStr">
        <is>
          <t>Итого</t>
        </is>
      </c>
      <c r="Q218" s="322" t="n"/>
      <c r="R218" s="322" t="n"/>
      <c r="S218" s="322" t="n"/>
      <c r="T218" s="322" t="n"/>
      <c r="U218" s="322" t="n"/>
      <c r="V218" s="323" t="n"/>
      <c r="W218" s="37" t="inlineStr">
        <is>
          <t>кор</t>
        </is>
      </c>
      <c r="X218" s="308">
        <f>IFERROR(SUM(X217:X217),"0")</f>
        <v/>
      </c>
      <c r="Y218" s="308">
        <f>IFERROR(SUM(Y217:Y217),"0")</f>
        <v/>
      </c>
      <c r="Z218" s="308">
        <f>IFERROR(IF(Z217="",0,Z217),"0")</f>
        <v/>
      </c>
      <c r="AA218" s="309" t="n"/>
      <c r="AB218" s="309" t="n"/>
      <c r="AC218" s="309" t="n"/>
    </row>
    <row r="219">
      <c r="A219" s="319" t="n"/>
      <c r="B219" s="319" t="n"/>
      <c r="C219" s="319" t="n"/>
      <c r="D219" s="319" t="n"/>
      <c r="E219" s="319" t="n"/>
      <c r="F219" s="319" t="n"/>
      <c r="G219" s="319" t="n"/>
      <c r="H219" s="319" t="n"/>
      <c r="I219" s="319" t="n"/>
      <c r="J219" s="319" t="n"/>
      <c r="K219" s="319" t="n"/>
      <c r="L219" s="319" t="n"/>
      <c r="M219" s="319" t="n"/>
      <c r="N219" s="319" t="n"/>
      <c r="O219" s="320" t="n"/>
      <c r="P219" s="321" t="inlineStr">
        <is>
          <t>Итого</t>
        </is>
      </c>
      <c r="Q219" s="322" t="n"/>
      <c r="R219" s="322" t="n"/>
      <c r="S219" s="322" t="n"/>
      <c r="T219" s="322" t="n"/>
      <c r="U219" s="322" t="n"/>
      <c r="V219" s="323" t="n"/>
      <c r="W219" s="37" t="inlineStr">
        <is>
          <t>кг</t>
        </is>
      </c>
      <c r="X219" s="308">
        <f>IFERROR(SUMPRODUCT(X217:X217*H217:H217),"0")</f>
        <v/>
      </c>
      <c r="Y219" s="308">
        <f>IFERROR(SUMPRODUCT(Y217:Y217*H217:H217),"0")</f>
        <v/>
      </c>
      <c r="Z219" s="37" t="n"/>
      <c r="AA219" s="309" t="n"/>
      <c r="AB219" s="309" t="n"/>
      <c r="AC219" s="309" t="n"/>
    </row>
    <row r="220" ht="14.25" customHeight="1">
      <c r="A220" s="329" t="inlineStr">
        <is>
          <t>Снеки</t>
        </is>
      </c>
      <c r="B220" s="319" t="n"/>
      <c r="C220" s="319" t="n"/>
      <c r="D220" s="319" t="n"/>
      <c r="E220" s="319" t="n"/>
      <c r="F220" s="319" t="n"/>
      <c r="G220" s="319" t="n"/>
      <c r="H220" s="319" t="n"/>
      <c r="I220" s="319" t="n"/>
      <c r="J220" s="319" t="n"/>
      <c r="K220" s="319" t="n"/>
      <c r="L220" s="319" t="n"/>
      <c r="M220" s="319" t="n"/>
      <c r="N220" s="319" t="n"/>
      <c r="O220" s="319" t="n"/>
      <c r="P220" s="319" t="n"/>
      <c r="Q220" s="319" t="n"/>
      <c r="R220" s="319" t="n"/>
      <c r="S220" s="319" t="n"/>
      <c r="T220" s="319" t="n"/>
      <c r="U220" s="319" t="n"/>
      <c r="V220" s="319" t="n"/>
      <c r="W220" s="319" t="n"/>
      <c r="X220" s="319" t="n"/>
      <c r="Y220" s="319" t="n"/>
      <c r="Z220" s="319" t="n"/>
      <c r="AA220" s="329" t="n"/>
      <c r="AB220" s="329" t="n"/>
      <c r="AC220" s="329" t="n"/>
    </row>
    <row r="221" ht="27" customHeight="1">
      <c r="A221" s="53" t="inlineStr">
        <is>
          <t>SU003708</t>
        </is>
      </c>
      <c r="B221" s="53" t="inlineStr">
        <is>
          <t>P004806</t>
        </is>
      </c>
      <c r="C221" s="31" t="n">
        <v>4301135692</v>
      </c>
      <c r="D221" s="316" t="n">
        <v>4620207490570</v>
      </c>
      <c r="E221" s="317" t="n"/>
      <c r="F221" s="305" t="n">
        <v>0.2</v>
      </c>
      <c r="G221" s="32" t="n">
        <v>12</v>
      </c>
      <c r="H221" s="305" t="n">
        <v>2.4</v>
      </c>
      <c r="I221" s="305" t="n">
        <v>3.1036</v>
      </c>
      <c r="J221" s="32" t="n">
        <v>70</v>
      </c>
      <c r="K221" s="32" t="inlineStr">
        <is>
          <t>14</t>
        </is>
      </c>
      <c r="L221" s="32" t="inlineStr">
        <is>
          <t>Короб, мин. 1</t>
        </is>
      </c>
      <c r="M221" s="33" t="inlineStr">
        <is>
          <t>МГ</t>
        </is>
      </c>
      <c r="N221" s="33" t="n"/>
      <c r="O221" s="32" t="n">
        <v>180</v>
      </c>
      <c r="P221" s="336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/>
      </c>
      <c r="Q221" s="313" t="n"/>
      <c r="R221" s="313" t="n"/>
      <c r="S221" s="313" t="n"/>
      <c r="T221" s="314" t="n"/>
      <c r="U221" s="34" t="n"/>
      <c r="V221" s="34" t="n"/>
      <c r="W221" s="35" t="inlineStr">
        <is>
          <t>кор</t>
        </is>
      </c>
      <c r="X221" s="306" t="n">
        <v>0</v>
      </c>
      <c r="Y221" s="307">
        <f>IFERROR(IF(X221="","",X221),"")</f>
        <v/>
      </c>
      <c r="Z221" s="36">
        <f>IFERROR(IF(X221="","",X221*0.01788),"")</f>
        <v/>
      </c>
      <c r="AA221" s="55" t="n"/>
      <c r="AB221" s="56" t="n"/>
      <c r="AC221" s="214" t="inlineStr">
        <is>
          <t>ЕАЭС N RU Д-RU.РА10.В.24095/24</t>
        </is>
      </c>
      <c r="AG221" s="66" t="n"/>
      <c r="AJ221" s="69" t="inlineStr">
        <is>
          <t>Короб</t>
        </is>
      </c>
      <c r="AK221" s="69" t="n">
        <v>1</v>
      </c>
      <c r="BB221" s="215" t="inlineStr">
        <is>
          <t>ПГП</t>
        </is>
      </c>
      <c r="BM221" s="66">
        <f>IFERROR(X221*I221,"0")</f>
        <v/>
      </c>
      <c r="BN221" s="66">
        <f>IFERROR(Y221*I221,"0")</f>
        <v/>
      </c>
      <c r="BO221" s="66">
        <f>IFERROR(X221/J221,"0")</f>
        <v/>
      </c>
      <c r="BP221" s="66">
        <f>IFERROR(Y221/J221,"0")</f>
        <v/>
      </c>
    </row>
    <row r="222" ht="27" customHeight="1">
      <c r="A222" s="53" t="inlineStr">
        <is>
          <t>SU003706</t>
        </is>
      </c>
      <c r="B222" s="53" t="inlineStr">
        <is>
          <t>P004804</t>
        </is>
      </c>
      <c r="C222" s="31" t="n">
        <v>4301135691</v>
      </c>
      <c r="D222" s="316" t="n">
        <v>4620207490549</v>
      </c>
      <c r="E222" s="317" t="n"/>
      <c r="F222" s="305" t="n">
        <v>0.2</v>
      </c>
      <c r="G222" s="32" t="n">
        <v>12</v>
      </c>
      <c r="H222" s="305" t="n">
        <v>2.4</v>
      </c>
      <c r="I222" s="305" t="n">
        <v>3.1036</v>
      </c>
      <c r="J222" s="32" t="n">
        <v>70</v>
      </c>
      <c r="K222" s="32" t="inlineStr">
        <is>
          <t>14</t>
        </is>
      </c>
      <c r="L222" s="32" t="inlineStr">
        <is>
          <t>Короб, мин. 1</t>
        </is>
      </c>
      <c r="M222" s="33" t="inlineStr">
        <is>
          <t>МГ</t>
        </is>
      </c>
      <c r="N222" s="33" t="n"/>
      <c r="O222" s="32" t="n">
        <v>180</v>
      </c>
      <c r="P222" s="448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/>
      </c>
      <c r="Q222" s="313" t="n"/>
      <c r="R222" s="313" t="n"/>
      <c r="S222" s="313" t="n"/>
      <c r="T222" s="314" t="n"/>
      <c r="U222" s="34" t="n"/>
      <c r="V222" s="34" t="n"/>
      <c r="W222" s="35" t="inlineStr">
        <is>
          <t>кор</t>
        </is>
      </c>
      <c r="X222" s="306" t="n">
        <v>0</v>
      </c>
      <c r="Y222" s="307">
        <f>IFERROR(IF(X222="","",X222),"")</f>
        <v/>
      </c>
      <c r="Z222" s="36">
        <f>IFERROR(IF(X222="","",X222*0.01788),"")</f>
        <v/>
      </c>
      <c r="AA222" s="55" t="n"/>
      <c r="AB222" s="56" t="n"/>
      <c r="AC222" s="216" t="inlineStr">
        <is>
          <t>ЕАЭС N RU Д-RU.РА10.В.24095/24</t>
        </is>
      </c>
      <c r="AG222" s="66" t="n"/>
      <c r="AJ222" s="69" t="inlineStr">
        <is>
          <t>Короб</t>
        </is>
      </c>
      <c r="AK222" s="69" t="n">
        <v>1</v>
      </c>
      <c r="BB222" s="217" t="inlineStr">
        <is>
          <t>ПГП</t>
        </is>
      </c>
      <c r="BM222" s="66">
        <f>IFERROR(X222*I222,"0")</f>
        <v/>
      </c>
      <c r="BN222" s="66">
        <f>IFERROR(Y222*I222,"0")</f>
        <v/>
      </c>
      <c r="BO222" s="66">
        <f>IFERROR(X222/J222,"0")</f>
        <v/>
      </c>
      <c r="BP222" s="66">
        <f>IFERROR(Y222/J222,"0")</f>
        <v/>
      </c>
    </row>
    <row r="223" ht="27" customHeight="1">
      <c r="A223" s="53" t="inlineStr">
        <is>
          <t>SU003707</t>
        </is>
      </c>
      <c r="B223" s="53" t="inlineStr">
        <is>
          <t>P004805</t>
        </is>
      </c>
      <c r="C223" s="31" t="n">
        <v>4301135694</v>
      </c>
      <c r="D223" s="316" t="n">
        <v>4620207490501</v>
      </c>
      <c r="E223" s="317" t="n"/>
      <c r="F223" s="305" t="n">
        <v>0.2</v>
      </c>
      <c r="G223" s="32" t="n">
        <v>12</v>
      </c>
      <c r="H223" s="305" t="n">
        <v>2.4</v>
      </c>
      <c r="I223" s="305" t="n">
        <v>3.1036</v>
      </c>
      <c r="J223" s="32" t="n">
        <v>70</v>
      </c>
      <c r="K223" s="32" t="inlineStr">
        <is>
          <t>14</t>
        </is>
      </c>
      <c r="L223" s="32" t="inlineStr">
        <is>
          <t>Короб, мин. 1</t>
        </is>
      </c>
      <c r="M223" s="33" t="inlineStr">
        <is>
          <t>МГ</t>
        </is>
      </c>
      <c r="N223" s="33" t="n"/>
      <c r="O223" s="32" t="n">
        <v>180</v>
      </c>
      <c r="P223" s="378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/>
      </c>
      <c r="Q223" s="313" t="n"/>
      <c r="R223" s="313" t="n"/>
      <c r="S223" s="313" t="n"/>
      <c r="T223" s="314" t="n"/>
      <c r="U223" s="34" t="n"/>
      <c r="V223" s="34" t="n"/>
      <c r="W223" s="35" t="inlineStr">
        <is>
          <t>кор</t>
        </is>
      </c>
      <c r="X223" s="306" t="n">
        <v>0</v>
      </c>
      <c r="Y223" s="307">
        <f>IFERROR(IF(X223="","",X223),"")</f>
        <v/>
      </c>
      <c r="Z223" s="36">
        <f>IFERROR(IF(X223="","",X223*0.01788),"")</f>
        <v/>
      </c>
      <c r="AA223" s="55" t="n"/>
      <c r="AB223" s="56" t="n"/>
      <c r="AC223" s="218" t="inlineStr">
        <is>
          <t>ЕАЭС N RU Д-RU.РА10.В.24095/24</t>
        </is>
      </c>
      <c r="AG223" s="66" t="n"/>
      <c r="AJ223" s="69" t="inlineStr">
        <is>
          <t>Короб</t>
        </is>
      </c>
      <c r="AK223" s="69" t="n">
        <v>1</v>
      </c>
      <c r="BB223" s="219" t="inlineStr">
        <is>
          <t>ПГП</t>
        </is>
      </c>
      <c r="BM223" s="66">
        <f>IFERROR(X223*I223,"0")</f>
        <v/>
      </c>
      <c r="BN223" s="66">
        <f>IFERROR(Y223*I223,"0")</f>
        <v/>
      </c>
      <c r="BO223" s="66">
        <f>IFERROR(X223/J223,"0")</f>
        <v/>
      </c>
      <c r="BP223" s="66">
        <f>IFERROR(Y223/J223,"0")</f>
        <v/>
      </c>
    </row>
    <row r="224">
      <c r="A224" s="318" t="n"/>
      <c r="B224" s="319" t="n"/>
      <c r="C224" s="319" t="n"/>
      <c r="D224" s="319" t="n"/>
      <c r="E224" s="319" t="n"/>
      <c r="F224" s="319" t="n"/>
      <c r="G224" s="319" t="n"/>
      <c r="H224" s="319" t="n"/>
      <c r="I224" s="319" t="n"/>
      <c r="J224" s="319" t="n"/>
      <c r="K224" s="319" t="n"/>
      <c r="L224" s="319" t="n"/>
      <c r="M224" s="319" t="n"/>
      <c r="N224" s="319" t="n"/>
      <c r="O224" s="320" t="n"/>
      <c r="P224" s="321" t="inlineStr">
        <is>
          <t>Итого</t>
        </is>
      </c>
      <c r="Q224" s="322" t="n"/>
      <c r="R224" s="322" t="n"/>
      <c r="S224" s="322" t="n"/>
      <c r="T224" s="322" t="n"/>
      <c r="U224" s="322" t="n"/>
      <c r="V224" s="323" t="n"/>
      <c r="W224" s="37" t="inlineStr">
        <is>
          <t>кор</t>
        </is>
      </c>
      <c r="X224" s="308">
        <f>IFERROR(SUM(X221:X223),"0")</f>
        <v/>
      </c>
      <c r="Y224" s="308">
        <f>IFERROR(SUM(Y221:Y223),"0")</f>
        <v/>
      </c>
      <c r="Z224" s="308">
        <f>IFERROR(IF(Z221="",0,Z221),"0")+IFERROR(IF(Z222="",0,Z222),"0")+IFERROR(IF(Z223="",0,Z223),"0")</f>
        <v/>
      </c>
      <c r="AA224" s="309" t="n"/>
      <c r="AB224" s="309" t="n"/>
      <c r="AC224" s="309" t="n"/>
    </row>
    <row r="225">
      <c r="A225" s="319" t="n"/>
      <c r="B225" s="319" t="n"/>
      <c r="C225" s="319" t="n"/>
      <c r="D225" s="319" t="n"/>
      <c r="E225" s="319" t="n"/>
      <c r="F225" s="319" t="n"/>
      <c r="G225" s="319" t="n"/>
      <c r="H225" s="319" t="n"/>
      <c r="I225" s="319" t="n"/>
      <c r="J225" s="319" t="n"/>
      <c r="K225" s="319" t="n"/>
      <c r="L225" s="319" t="n"/>
      <c r="M225" s="319" t="n"/>
      <c r="N225" s="319" t="n"/>
      <c r="O225" s="320" t="n"/>
      <c r="P225" s="321" t="inlineStr">
        <is>
          <t>Итого</t>
        </is>
      </c>
      <c r="Q225" s="322" t="n"/>
      <c r="R225" s="322" t="n"/>
      <c r="S225" s="322" t="n"/>
      <c r="T225" s="322" t="n"/>
      <c r="U225" s="322" t="n"/>
      <c r="V225" s="323" t="n"/>
      <c r="W225" s="37" t="inlineStr">
        <is>
          <t>кг</t>
        </is>
      </c>
      <c r="X225" s="308">
        <f>IFERROR(SUMPRODUCT(X221:X223*H221:H223),"0")</f>
        <v/>
      </c>
      <c r="Y225" s="308">
        <f>IFERROR(SUMPRODUCT(Y221:Y223*H221:H223),"0")</f>
        <v/>
      </c>
      <c r="Z225" s="37" t="n"/>
      <c r="AA225" s="309" t="n"/>
      <c r="AB225" s="309" t="n"/>
      <c r="AC225" s="309" t="n"/>
    </row>
    <row r="226" ht="16.5" customHeight="1">
      <c r="A226" s="324" t="inlineStr">
        <is>
          <t>Сочные</t>
        </is>
      </c>
      <c r="B226" s="319" t="n"/>
      <c r="C226" s="319" t="n"/>
      <c r="D226" s="319" t="n"/>
      <c r="E226" s="319" t="n"/>
      <c r="F226" s="319" t="n"/>
      <c r="G226" s="319" t="n"/>
      <c r="H226" s="319" t="n"/>
      <c r="I226" s="319" t="n"/>
      <c r="J226" s="319" t="n"/>
      <c r="K226" s="319" t="n"/>
      <c r="L226" s="319" t="n"/>
      <c r="M226" s="319" t="n"/>
      <c r="N226" s="319" t="n"/>
      <c r="O226" s="319" t="n"/>
      <c r="P226" s="319" t="n"/>
      <c r="Q226" s="319" t="n"/>
      <c r="R226" s="319" t="n"/>
      <c r="S226" s="319" t="n"/>
      <c r="T226" s="319" t="n"/>
      <c r="U226" s="319" t="n"/>
      <c r="V226" s="319" t="n"/>
      <c r="W226" s="319" t="n"/>
      <c r="X226" s="319" t="n"/>
      <c r="Y226" s="319" t="n"/>
      <c r="Z226" s="319" t="n"/>
      <c r="AA226" s="324" t="n"/>
      <c r="AB226" s="324" t="n"/>
      <c r="AC226" s="324" t="n"/>
    </row>
    <row r="227" ht="14.25" customHeight="1">
      <c r="A227" s="329" t="inlineStr">
        <is>
          <t>Пельмени</t>
        </is>
      </c>
      <c r="B227" s="319" t="n"/>
      <c r="C227" s="319" t="n"/>
      <c r="D227" s="319" t="n"/>
      <c r="E227" s="319" t="n"/>
      <c r="F227" s="319" t="n"/>
      <c r="G227" s="319" t="n"/>
      <c r="H227" s="319" t="n"/>
      <c r="I227" s="319" t="n"/>
      <c r="J227" s="319" t="n"/>
      <c r="K227" s="319" t="n"/>
      <c r="L227" s="319" t="n"/>
      <c r="M227" s="319" t="n"/>
      <c r="N227" s="319" t="n"/>
      <c r="O227" s="319" t="n"/>
      <c r="P227" s="319" t="n"/>
      <c r="Q227" s="319" t="n"/>
      <c r="R227" s="319" t="n"/>
      <c r="S227" s="319" t="n"/>
      <c r="T227" s="319" t="n"/>
      <c r="U227" s="319" t="n"/>
      <c r="V227" s="319" t="n"/>
      <c r="W227" s="319" t="n"/>
      <c r="X227" s="319" t="n"/>
      <c r="Y227" s="319" t="n"/>
      <c r="Z227" s="319" t="n"/>
      <c r="AA227" s="329" t="n"/>
      <c r="AB227" s="329" t="n"/>
      <c r="AC227" s="329" t="n"/>
    </row>
    <row r="228" ht="16.5" customHeight="1">
      <c r="A228" s="53" t="inlineStr">
        <is>
          <t>SU001859</t>
        </is>
      </c>
      <c r="B228" s="53" t="inlineStr">
        <is>
          <t>P004634</t>
        </is>
      </c>
      <c r="C228" s="31" t="n">
        <v>4301071063</v>
      </c>
      <c r="D228" s="316" t="n">
        <v>4607111039019</v>
      </c>
      <c r="E228" s="317" t="n"/>
      <c r="F228" s="305" t="n">
        <v>0.43</v>
      </c>
      <c r="G228" s="32" t="n">
        <v>16</v>
      </c>
      <c r="H228" s="305" t="n">
        <v>6.88</v>
      </c>
      <c r="I228" s="305" t="n">
        <v>7.206</v>
      </c>
      <c r="J228" s="32" t="n">
        <v>84</v>
      </c>
      <c r="K228" s="32" t="inlineStr">
        <is>
          <t>12</t>
        </is>
      </c>
      <c r="L228" s="32" t="inlineStr">
        <is>
          <t>Короб, мин. 1</t>
        </is>
      </c>
      <c r="M228" s="33" t="inlineStr">
        <is>
          <t>МГ</t>
        </is>
      </c>
      <c r="N228" s="33" t="n"/>
      <c r="O228" s="32" t="n">
        <v>180</v>
      </c>
      <c r="P228" s="500">
        <f>HYPERLINK("https://abi.ru/products/Замороженные/Стародворье/Сочные/Пельмени/P004634/","Пельмени «Сочные» 0,43 ТМ «Стародворье»")</f>
        <v/>
      </c>
      <c r="Q228" s="313" t="n"/>
      <c r="R228" s="313" t="n"/>
      <c r="S228" s="313" t="n"/>
      <c r="T228" s="314" t="n"/>
      <c r="U228" s="34" t="n"/>
      <c r="V228" s="34" t="n"/>
      <c r="W228" s="35" t="inlineStr">
        <is>
          <t>кор</t>
        </is>
      </c>
      <c r="X228" s="306" t="n">
        <v>0</v>
      </c>
      <c r="Y228" s="307">
        <f>IFERROR(IF(X228="","",X228),"")</f>
        <v/>
      </c>
      <c r="Z228" s="36">
        <f>IFERROR(IF(X228="","",X228*0.0155),"")</f>
        <v/>
      </c>
      <c r="AA228" s="55" t="n"/>
      <c r="AB228" s="56" t="n"/>
      <c r="AC228" s="220" t="inlineStr">
        <is>
          <t>ЕАЭС N RU Д-RU.РА01.В.86265/24</t>
        </is>
      </c>
      <c r="AG228" s="66" t="n"/>
      <c r="AJ228" s="69" t="inlineStr">
        <is>
          <t>Короб</t>
        </is>
      </c>
      <c r="AK228" s="69" t="n">
        <v>1</v>
      </c>
      <c r="BB228" s="221" t="inlineStr">
        <is>
          <t>ЗПФ</t>
        </is>
      </c>
      <c r="BM228" s="66">
        <f>IFERROR(X228*I228,"0")</f>
        <v/>
      </c>
      <c r="BN228" s="66">
        <f>IFERROR(Y228*I228,"0")</f>
        <v/>
      </c>
      <c r="BO228" s="66">
        <f>IFERROR(X228/J228,"0")</f>
        <v/>
      </c>
      <c r="BP228" s="66">
        <f>IFERROR(Y228/J228,"0")</f>
        <v/>
      </c>
    </row>
    <row r="229" ht="16.5" customHeight="1">
      <c r="A229" s="53" t="inlineStr">
        <is>
          <t>SU003291</t>
        </is>
      </c>
      <c r="B229" s="53" t="inlineStr">
        <is>
          <t>P004009</t>
        </is>
      </c>
      <c r="C229" s="31" t="n">
        <v>4301071000</v>
      </c>
      <c r="D229" s="316" t="n">
        <v>4607111038708</v>
      </c>
      <c r="E229" s="317" t="n"/>
      <c r="F229" s="305" t="n">
        <v>0.8</v>
      </c>
      <c r="G229" s="32" t="n">
        <v>8</v>
      </c>
      <c r="H229" s="305" t="n">
        <v>6.4</v>
      </c>
      <c r="I229" s="305" t="n">
        <v>6.67</v>
      </c>
      <c r="J229" s="32" t="n">
        <v>84</v>
      </c>
      <c r="K229" s="32" t="inlineStr">
        <is>
          <t>12</t>
        </is>
      </c>
      <c r="L229" s="32" t="inlineStr">
        <is>
          <t>Короб, мин. 1</t>
        </is>
      </c>
      <c r="M229" s="33" t="inlineStr">
        <is>
          <t>МГ</t>
        </is>
      </c>
      <c r="N229" s="33" t="n"/>
      <c r="O229" s="32" t="n">
        <v>180</v>
      </c>
      <c r="P229" s="424">
        <f>HYPERLINK("https://abi.ru/products/Замороженные/Стародворье/Сочные/Пельмени/P004009/","Пельмени Сочные Сочные 0,8 Сфера Стародворье")</f>
        <v/>
      </c>
      <c r="Q229" s="313" t="n"/>
      <c r="R229" s="313" t="n"/>
      <c r="S229" s="313" t="n"/>
      <c r="T229" s="314" t="n"/>
      <c r="U229" s="34" t="n"/>
      <c r="V229" s="34" t="n"/>
      <c r="W229" s="35" t="inlineStr">
        <is>
          <t>кор</t>
        </is>
      </c>
      <c r="X229" s="306" t="n">
        <v>0</v>
      </c>
      <c r="Y229" s="307">
        <f>IFERROR(IF(X229="","",X229),"")</f>
        <v/>
      </c>
      <c r="Z229" s="36">
        <f>IFERROR(IF(X229="","",X229*0.0155),"")</f>
        <v/>
      </c>
      <c r="AA229" s="55" t="n"/>
      <c r="AB229" s="56" t="n"/>
      <c r="AC229" s="222" t="inlineStr">
        <is>
          <t>ЕАЭС N RU Д-RU.РА01.В.86265/24</t>
        </is>
      </c>
      <c r="AG229" s="66" t="n"/>
      <c r="AJ229" s="69" t="inlineStr">
        <is>
          <t>Короб</t>
        </is>
      </c>
      <c r="AK229" s="69" t="n">
        <v>1</v>
      </c>
      <c r="BB229" s="223" t="inlineStr">
        <is>
          <t>ЗПФ</t>
        </is>
      </c>
      <c r="BM229" s="66">
        <f>IFERROR(X229*I229,"0")</f>
        <v/>
      </c>
      <c r="BN229" s="66">
        <f>IFERROR(Y229*I229,"0")</f>
        <v/>
      </c>
      <c r="BO229" s="66">
        <f>IFERROR(X229/J229,"0")</f>
        <v/>
      </c>
      <c r="BP229" s="66">
        <f>IFERROR(Y229/J229,"0")</f>
        <v/>
      </c>
    </row>
    <row r="230">
      <c r="A230" s="318" t="n"/>
      <c r="B230" s="319" t="n"/>
      <c r="C230" s="319" t="n"/>
      <c r="D230" s="319" t="n"/>
      <c r="E230" s="319" t="n"/>
      <c r="F230" s="319" t="n"/>
      <c r="G230" s="319" t="n"/>
      <c r="H230" s="319" t="n"/>
      <c r="I230" s="319" t="n"/>
      <c r="J230" s="319" t="n"/>
      <c r="K230" s="319" t="n"/>
      <c r="L230" s="319" t="n"/>
      <c r="M230" s="319" t="n"/>
      <c r="N230" s="319" t="n"/>
      <c r="O230" s="320" t="n"/>
      <c r="P230" s="321" t="inlineStr">
        <is>
          <t>Итого</t>
        </is>
      </c>
      <c r="Q230" s="322" t="n"/>
      <c r="R230" s="322" t="n"/>
      <c r="S230" s="322" t="n"/>
      <c r="T230" s="322" t="n"/>
      <c r="U230" s="322" t="n"/>
      <c r="V230" s="323" t="n"/>
      <c r="W230" s="37" t="inlineStr">
        <is>
          <t>кор</t>
        </is>
      </c>
      <c r="X230" s="308">
        <f>IFERROR(SUM(X228:X229),"0")</f>
        <v/>
      </c>
      <c r="Y230" s="308">
        <f>IFERROR(SUM(Y228:Y229),"0")</f>
        <v/>
      </c>
      <c r="Z230" s="308">
        <f>IFERROR(IF(Z228="",0,Z228),"0")+IFERROR(IF(Z229="",0,Z229),"0")</f>
        <v/>
      </c>
      <c r="AA230" s="309" t="n"/>
      <c r="AB230" s="309" t="n"/>
      <c r="AC230" s="309" t="n"/>
    </row>
    <row r="231">
      <c r="A231" s="319" t="n"/>
      <c r="B231" s="319" t="n"/>
      <c r="C231" s="319" t="n"/>
      <c r="D231" s="319" t="n"/>
      <c r="E231" s="319" t="n"/>
      <c r="F231" s="319" t="n"/>
      <c r="G231" s="319" t="n"/>
      <c r="H231" s="319" t="n"/>
      <c r="I231" s="319" t="n"/>
      <c r="J231" s="319" t="n"/>
      <c r="K231" s="319" t="n"/>
      <c r="L231" s="319" t="n"/>
      <c r="M231" s="319" t="n"/>
      <c r="N231" s="319" t="n"/>
      <c r="O231" s="320" t="n"/>
      <c r="P231" s="321" t="inlineStr">
        <is>
          <t>Итого</t>
        </is>
      </c>
      <c r="Q231" s="322" t="n"/>
      <c r="R231" s="322" t="n"/>
      <c r="S231" s="322" t="n"/>
      <c r="T231" s="322" t="n"/>
      <c r="U231" s="322" t="n"/>
      <c r="V231" s="323" t="n"/>
      <c r="W231" s="37" t="inlineStr">
        <is>
          <t>кг</t>
        </is>
      </c>
      <c r="X231" s="308">
        <f>IFERROR(SUMPRODUCT(X228:X229*H228:H229),"0")</f>
        <v/>
      </c>
      <c r="Y231" s="308">
        <f>IFERROR(SUMPRODUCT(Y228:Y229*H228:H229),"0")</f>
        <v/>
      </c>
      <c r="Z231" s="37" t="n"/>
      <c r="AA231" s="309" t="n"/>
      <c r="AB231" s="309" t="n"/>
      <c r="AC231" s="309" t="n"/>
    </row>
    <row r="232" ht="27.75" customHeight="1">
      <c r="A232" s="365" t="inlineStr">
        <is>
          <t>Колбасный стандарт</t>
        </is>
      </c>
      <c r="B232" s="366" t="n"/>
      <c r="C232" s="366" t="n"/>
      <c r="D232" s="366" t="n"/>
      <c r="E232" s="366" t="n"/>
      <c r="F232" s="366" t="n"/>
      <c r="G232" s="366" t="n"/>
      <c r="H232" s="366" t="n"/>
      <c r="I232" s="366" t="n"/>
      <c r="J232" s="366" t="n"/>
      <c r="K232" s="366" t="n"/>
      <c r="L232" s="366" t="n"/>
      <c r="M232" s="366" t="n"/>
      <c r="N232" s="366" t="n"/>
      <c r="O232" s="366" t="n"/>
      <c r="P232" s="366" t="n"/>
      <c r="Q232" s="366" t="n"/>
      <c r="R232" s="366" t="n"/>
      <c r="S232" s="366" t="n"/>
      <c r="T232" s="366" t="n"/>
      <c r="U232" s="366" t="n"/>
      <c r="V232" s="366" t="n"/>
      <c r="W232" s="366" t="n"/>
      <c r="X232" s="366" t="n"/>
      <c r="Y232" s="366" t="n"/>
      <c r="Z232" s="366" t="n"/>
      <c r="AA232" s="48" t="n"/>
      <c r="AB232" s="48" t="n"/>
      <c r="AC232" s="48" t="n"/>
    </row>
    <row r="233" ht="16.5" customHeight="1">
      <c r="A233" s="324" t="inlineStr">
        <is>
          <t>Владимирский Стандарт ЗПФ</t>
        </is>
      </c>
      <c r="B233" s="319" t="n"/>
      <c r="C233" s="319" t="n"/>
      <c r="D233" s="319" t="n"/>
      <c r="E233" s="319" t="n"/>
      <c r="F233" s="319" t="n"/>
      <c r="G233" s="319" t="n"/>
      <c r="H233" s="319" t="n"/>
      <c r="I233" s="319" t="n"/>
      <c r="J233" s="319" t="n"/>
      <c r="K233" s="319" t="n"/>
      <c r="L233" s="319" t="n"/>
      <c r="M233" s="319" t="n"/>
      <c r="N233" s="319" t="n"/>
      <c r="O233" s="319" t="n"/>
      <c r="P233" s="319" t="n"/>
      <c r="Q233" s="319" t="n"/>
      <c r="R233" s="319" t="n"/>
      <c r="S233" s="319" t="n"/>
      <c r="T233" s="319" t="n"/>
      <c r="U233" s="319" t="n"/>
      <c r="V233" s="319" t="n"/>
      <c r="W233" s="319" t="n"/>
      <c r="X233" s="319" t="n"/>
      <c r="Y233" s="319" t="n"/>
      <c r="Z233" s="319" t="n"/>
      <c r="AA233" s="324" t="n"/>
      <c r="AB233" s="324" t="n"/>
      <c r="AC233" s="324" t="n"/>
    </row>
    <row r="234" ht="14.25" customHeight="1">
      <c r="A234" s="329" t="inlineStr">
        <is>
          <t>Пельмени</t>
        </is>
      </c>
      <c r="B234" s="319" t="n"/>
      <c r="C234" s="319" t="n"/>
      <c r="D234" s="319" t="n"/>
      <c r="E234" s="319" t="n"/>
      <c r="F234" s="319" t="n"/>
      <c r="G234" s="319" t="n"/>
      <c r="H234" s="319" t="n"/>
      <c r="I234" s="319" t="n"/>
      <c r="J234" s="319" t="n"/>
      <c r="K234" s="319" t="n"/>
      <c r="L234" s="319" t="n"/>
      <c r="M234" s="319" t="n"/>
      <c r="N234" s="319" t="n"/>
      <c r="O234" s="319" t="n"/>
      <c r="P234" s="319" t="n"/>
      <c r="Q234" s="319" t="n"/>
      <c r="R234" s="319" t="n"/>
      <c r="S234" s="319" t="n"/>
      <c r="T234" s="319" t="n"/>
      <c r="U234" s="319" t="n"/>
      <c r="V234" s="319" t="n"/>
      <c r="W234" s="319" t="n"/>
      <c r="X234" s="319" t="n"/>
      <c r="Y234" s="319" t="n"/>
      <c r="Z234" s="319" t="n"/>
      <c r="AA234" s="329" t="n"/>
      <c r="AB234" s="329" t="n"/>
      <c r="AC234" s="329" t="n"/>
    </row>
    <row r="235" ht="27" customHeight="1">
      <c r="A235" s="53" t="inlineStr">
        <is>
          <t>SU002267</t>
        </is>
      </c>
      <c r="B235" s="53" t="inlineStr">
        <is>
          <t>P004241</t>
        </is>
      </c>
      <c r="C235" s="31" t="n">
        <v>4301071036</v>
      </c>
      <c r="D235" s="316" t="n">
        <v>4607111036162</v>
      </c>
      <c r="E235" s="317" t="n"/>
      <c r="F235" s="305" t="n">
        <v>0.8</v>
      </c>
      <c r="G235" s="32" t="n">
        <v>8</v>
      </c>
      <c r="H235" s="305" t="n">
        <v>6.4</v>
      </c>
      <c r="I235" s="305" t="n">
        <v>6.6812</v>
      </c>
      <c r="J235" s="32" t="n">
        <v>84</v>
      </c>
      <c r="K235" s="32" t="inlineStr">
        <is>
          <t>12</t>
        </is>
      </c>
      <c r="L235" s="32" t="inlineStr">
        <is>
          <t>Короб, мин. 1</t>
        </is>
      </c>
      <c r="M235" s="33" t="inlineStr">
        <is>
          <t>МГ</t>
        </is>
      </c>
      <c r="N235" s="33" t="n"/>
      <c r="O235" s="32" t="n">
        <v>90</v>
      </c>
      <c r="P235" s="427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/>
      </c>
      <c r="Q235" s="313" t="n"/>
      <c r="R235" s="313" t="n"/>
      <c r="S235" s="313" t="n"/>
      <c r="T235" s="314" t="n"/>
      <c r="U235" s="34" t="n"/>
      <c r="V235" s="34" t="n"/>
      <c r="W235" s="35" t="inlineStr">
        <is>
          <t>кор</t>
        </is>
      </c>
      <c r="X235" s="306" t="n">
        <v>0</v>
      </c>
      <c r="Y235" s="307">
        <f>IFERROR(IF(X235="","",X235),"")</f>
        <v/>
      </c>
      <c r="Z235" s="36">
        <f>IFERROR(IF(X235="","",X235*0.0155),"")</f>
        <v/>
      </c>
      <c r="AA235" s="55" t="n"/>
      <c r="AB235" s="56" t="n"/>
      <c r="AC235" s="224" t="inlineStr">
        <is>
          <t>ЕАЭС N RU Д-RU.РА01.В.86313/24</t>
        </is>
      </c>
      <c r="AG235" s="66" t="n"/>
      <c r="AJ235" s="69" t="inlineStr">
        <is>
          <t>Короб</t>
        </is>
      </c>
      <c r="AK235" s="69" t="n">
        <v>1</v>
      </c>
      <c r="BB235" s="225" t="inlineStr">
        <is>
          <t>ЗПФ</t>
        </is>
      </c>
      <c r="BM235" s="66">
        <f>IFERROR(X235*I235,"0")</f>
        <v/>
      </c>
      <c r="BN235" s="66">
        <f>IFERROR(Y235*I235,"0")</f>
        <v/>
      </c>
      <c r="BO235" s="66">
        <f>IFERROR(X235/J235,"0")</f>
        <v/>
      </c>
      <c r="BP235" s="66">
        <f>IFERROR(Y235/J235,"0")</f>
        <v/>
      </c>
    </row>
    <row r="236">
      <c r="A236" s="318" t="n"/>
      <c r="B236" s="319" t="n"/>
      <c r="C236" s="319" t="n"/>
      <c r="D236" s="319" t="n"/>
      <c r="E236" s="319" t="n"/>
      <c r="F236" s="319" t="n"/>
      <c r="G236" s="319" t="n"/>
      <c r="H236" s="319" t="n"/>
      <c r="I236" s="319" t="n"/>
      <c r="J236" s="319" t="n"/>
      <c r="K236" s="319" t="n"/>
      <c r="L236" s="319" t="n"/>
      <c r="M236" s="319" t="n"/>
      <c r="N236" s="319" t="n"/>
      <c r="O236" s="320" t="n"/>
      <c r="P236" s="321" t="inlineStr">
        <is>
          <t>Итого</t>
        </is>
      </c>
      <c r="Q236" s="322" t="n"/>
      <c r="R236" s="322" t="n"/>
      <c r="S236" s="322" t="n"/>
      <c r="T236" s="322" t="n"/>
      <c r="U236" s="322" t="n"/>
      <c r="V236" s="323" t="n"/>
      <c r="W236" s="37" t="inlineStr">
        <is>
          <t>кор</t>
        </is>
      </c>
      <c r="X236" s="308">
        <f>IFERROR(SUM(X235:X235),"0")</f>
        <v/>
      </c>
      <c r="Y236" s="308">
        <f>IFERROR(SUM(Y235:Y235),"0")</f>
        <v/>
      </c>
      <c r="Z236" s="308">
        <f>IFERROR(IF(Z235="",0,Z235),"0")</f>
        <v/>
      </c>
      <c r="AA236" s="309" t="n"/>
      <c r="AB236" s="309" t="n"/>
      <c r="AC236" s="309" t="n"/>
    </row>
    <row r="237">
      <c r="A237" s="319" t="n"/>
      <c r="B237" s="319" t="n"/>
      <c r="C237" s="319" t="n"/>
      <c r="D237" s="319" t="n"/>
      <c r="E237" s="319" t="n"/>
      <c r="F237" s="319" t="n"/>
      <c r="G237" s="319" t="n"/>
      <c r="H237" s="319" t="n"/>
      <c r="I237" s="319" t="n"/>
      <c r="J237" s="319" t="n"/>
      <c r="K237" s="319" t="n"/>
      <c r="L237" s="319" t="n"/>
      <c r="M237" s="319" t="n"/>
      <c r="N237" s="319" t="n"/>
      <c r="O237" s="320" t="n"/>
      <c r="P237" s="321" t="inlineStr">
        <is>
          <t>Итого</t>
        </is>
      </c>
      <c r="Q237" s="322" t="n"/>
      <c r="R237" s="322" t="n"/>
      <c r="S237" s="322" t="n"/>
      <c r="T237" s="322" t="n"/>
      <c r="U237" s="322" t="n"/>
      <c r="V237" s="323" t="n"/>
      <c r="W237" s="37" t="inlineStr">
        <is>
          <t>кг</t>
        </is>
      </c>
      <c r="X237" s="308">
        <f>IFERROR(SUMPRODUCT(X235:X235*H235:H235),"0")</f>
        <v/>
      </c>
      <c r="Y237" s="308">
        <f>IFERROR(SUMPRODUCT(Y235:Y235*H235:H235),"0")</f>
        <v/>
      </c>
      <c r="Z237" s="37" t="n"/>
      <c r="AA237" s="309" t="n"/>
      <c r="AB237" s="309" t="n"/>
      <c r="AC237" s="309" t="n"/>
    </row>
    <row r="238" ht="27.75" customHeight="1">
      <c r="A238" s="365" t="inlineStr">
        <is>
          <t>Особый рецепт</t>
        </is>
      </c>
      <c r="B238" s="366" t="n"/>
      <c r="C238" s="366" t="n"/>
      <c r="D238" s="366" t="n"/>
      <c r="E238" s="366" t="n"/>
      <c r="F238" s="366" t="n"/>
      <c r="G238" s="366" t="n"/>
      <c r="H238" s="366" t="n"/>
      <c r="I238" s="366" t="n"/>
      <c r="J238" s="366" t="n"/>
      <c r="K238" s="366" t="n"/>
      <c r="L238" s="366" t="n"/>
      <c r="M238" s="366" t="n"/>
      <c r="N238" s="366" t="n"/>
      <c r="O238" s="366" t="n"/>
      <c r="P238" s="366" t="n"/>
      <c r="Q238" s="366" t="n"/>
      <c r="R238" s="366" t="n"/>
      <c r="S238" s="366" t="n"/>
      <c r="T238" s="366" t="n"/>
      <c r="U238" s="366" t="n"/>
      <c r="V238" s="366" t="n"/>
      <c r="W238" s="366" t="n"/>
      <c r="X238" s="366" t="n"/>
      <c r="Y238" s="366" t="n"/>
      <c r="Z238" s="366" t="n"/>
      <c r="AA238" s="48" t="n"/>
      <c r="AB238" s="48" t="n"/>
      <c r="AC238" s="48" t="n"/>
    </row>
    <row r="239" ht="16.5" customHeight="1">
      <c r="A239" s="324" t="inlineStr">
        <is>
          <t>Любимая ложка</t>
        </is>
      </c>
      <c r="B239" s="319" t="n"/>
      <c r="C239" s="319" t="n"/>
      <c r="D239" s="319" t="n"/>
      <c r="E239" s="319" t="n"/>
      <c r="F239" s="319" t="n"/>
      <c r="G239" s="319" t="n"/>
      <c r="H239" s="319" t="n"/>
      <c r="I239" s="319" t="n"/>
      <c r="J239" s="319" t="n"/>
      <c r="K239" s="319" t="n"/>
      <c r="L239" s="319" t="n"/>
      <c r="M239" s="319" t="n"/>
      <c r="N239" s="319" t="n"/>
      <c r="O239" s="319" t="n"/>
      <c r="P239" s="319" t="n"/>
      <c r="Q239" s="319" t="n"/>
      <c r="R239" s="319" t="n"/>
      <c r="S239" s="319" t="n"/>
      <c r="T239" s="319" t="n"/>
      <c r="U239" s="319" t="n"/>
      <c r="V239" s="319" t="n"/>
      <c r="W239" s="319" t="n"/>
      <c r="X239" s="319" t="n"/>
      <c r="Y239" s="319" t="n"/>
      <c r="Z239" s="319" t="n"/>
      <c r="AA239" s="324" t="n"/>
      <c r="AB239" s="324" t="n"/>
      <c r="AC239" s="324" t="n"/>
    </row>
    <row r="240" ht="14.25" customHeight="1">
      <c r="A240" s="329" t="inlineStr">
        <is>
          <t>Пельмени</t>
        </is>
      </c>
      <c r="B240" s="319" t="n"/>
      <c r="C240" s="319" t="n"/>
      <c r="D240" s="319" t="n"/>
      <c r="E240" s="319" t="n"/>
      <c r="F240" s="319" t="n"/>
      <c r="G240" s="319" t="n"/>
      <c r="H240" s="319" t="n"/>
      <c r="I240" s="319" t="n"/>
      <c r="J240" s="319" t="n"/>
      <c r="K240" s="319" t="n"/>
      <c r="L240" s="319" t="n"/>
      <c r="M240" s="319" t="n"/>
      <c r="N240" s="319" t="n"/>
      <c r="O240" s="319" t="n"/>
      <c r="P240" s="319" t="n"/>
      <c r="Q240" s="319" t="n"/>
      <c r="R240" s="319" t="n"/>
      <c r="S240" s="319" t="n"/>
      <c r="T240" s="319" t="n"/>
      <c r="U240" s="319" t="n"/>
      <c r="V240" s="319" t="n"/>
      <c r="W240" s="319" t="n"/>
      <c r="X240" s="319" t="n"/>
      <c r="Y240" s="319" t="n"/>
      <c r="Z240" s="319" t="n"/>
      <c r="AA240" s="329" t="n"/>
      <c r="AB240" s="329" t="n"/>
      <c r="AC240" s="329" t="n"/>
    </row>
    <row r="241" ht="27" customHeight="1">
      <c r="A241" s="53" t="inlineStr">
        <is>
          <t>SU002268</t>
        </is>
      </c>
      <c r="B241" s="53" t="inlineStr">
        <is>
          <t>P004081</t>
        </is>
      </c>
      <c r="C241" s="31" t="n">
        <v>4301071029</v>
      </c>
      <c r="D241" s="316" t="n">
        <v>4607111035899</v>
      </c>
      <c r="E241" s="317" t="n"/>
      <c r="F241" s="305" t="n">
        <v>1</v>
      </c>
      <c r="G241" s="32" t="n">
        <v>5</v>
      </c>
      <c r="H241" s="305" t="n">
        <v>5</v>
      </c>
      <c r="I241" s="305" t="n">
        <v>5.262</v>
      </c>
      <c r="J241" s="32" t="n">
        <v>84</v>
      </c>
      <c r="K241" s="32" t="inlineStr">
        <is>
          <t>12</t>
        </is>
      </c>
      <c r="L241" s="32" t="inlineStr">
        <is>
          <t>Короб, мин. 1</t>
        </is>
      </c>
      <c r="M241" s="33" t="inlineStr">
        <is>
          <t>МГ</t>
        </is>
      </c>
      <c r="N241" s="33" t="n"/>
      <c r="O241" s="32" t="n">
        <v>180</v>
      </c>
      <c r="P241" s="470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/>
      </c>
      <c r="Q241" s="313" t="n"/>
      <c r="R241" s="313" t="n"/>
      <c r="S241" s="313" t="n"/>
      <c r="T241" s="314" t="n"/>
      <c r="U241" s="34" t="n"/>
      <c r="V241" s="34" t="n"/>
      <c r="W241" s="35" t="inlineStr">
        <is>
          <t>кор</t>
        </is>
      </c>
      <c r="X241" s="306" t="n">
        <v>0</v>
      </c>
      <c r="Y241" s="307">
        <f>IFERROR(IF(X241="","",X241),"")</f>
        <v/>
      </c>
      <c r="Z241" s="36">
        <f>IFERROR(IF(X241="","",X241*0.0155),"")</f>
        <v/>
      </c>
      <c r="AA241" s="55" t="n"/>
      <c r="AB241" s="56" t="n"/>
      <c r="AC241" s="226" t="inlineStr">
        <is>
          <t>ЕАЭС N RU Д-RU.РА08.В.65691/23</t>
        </is>
      </c>
      <c r="AG241" s="66" t="n"/>
      <c r="AJ241" s="69" t="inlineStr">
        <is>
          <t>Короб</t>
        </is>
      </c>
      <c r="AK241" s="69" t="n">
        <v>1</v>
      </c>
      <c r="BB241" s="227" t="inlineStr">
        <is>
          <t>ЗПФ</t>
        </is>
      </c>
      <c r="BM241" s="66">
        <f>IFERROR(X241*I241,"0")</f>
        <v/>
      </c>
      <c r="BN241" s="66">
        <f>IFERROR(Y241*I241,"0")</f>
        <v/>
      </c>
      <c r="BO241" s="66">
        <f>IFERROR(X241/J241,"0")</f>
        <v/>
      </c>
      <c r="BP241" s="66">
        <f>IFERROR(Y241/J241,"0")</f>
        <v/>
      </c>
    </row>
    <row r="242">
      <c r="A242" s="318" t="n"/>
      <c r="B242" s="319" t="n"/>
      <c r="C242" s="319" t="n"/>
      <c r="D242" s="319" t="n"/>
      <c r="E242" s="319" t="n"/>
      <c r="F242" s="319" t="n"/>
      <c r="G242" s="319" t="n"/>
      <c r="H242" s="319" t="n"/>
      <c r="I242" s="319" t="n"/>
      <c r="J242" s="319" t="n"/>
      <c r="K242" s="319" t="n"/>
      <c r="L242" s="319" t="n"/>
      <c r="M242" s="319" t="n"/>
      <c r="N242" s="319" t="n"/>
      <c r="O242" s="320" t="n"/>
      <c r="P242" s="321" t="inlineStr">
        <is>
          <t>Итого</t>
        </is>
      </c>
      <c r="Q242" s="322" t="n"/>
      <c r="R242" s="322" t="n"/>
      <c r="S242" s="322" t="n"/>
      <c r="T242" s="322" t="n"/>
      <c r="U242" s="322" t="n"/>
      <c r="V242" s="323" t="n"/>
      <c r="W242" s="37" t="inlineStr">
        <is>
          <t>кор</t>
        </is>
      </c>
      <c r="X242" s="308">
        <f>IFERROR(SUM(X241:X241),"0")</f>
        <v/>
      </c>
      <c r="Y242" s="308">
        <f>IFERROR(SUM(Y241:Y241),"0")</f>
        <v/>
      </c>
      <c r="Z242" s="308">
        <f>IFERROR(IF(Z241="",0,Z241),"0")</f>
        <v/>
      </c>
      <c r="AA242" s="309" t="n"/>
      <c r="AB242" s="309" t="n"/>
      <c r="AC242" s="309" t="n"/>
    </row>
    <row r="243">
      <c r="A243" s="319" t="n"/>
      <c r="B243" s="319" t="n"/>
      <c r="C243" s="319" t="n"/>
      <c r="D243" s="319" t="n"/>
      <c r="E243" s="319" t="n"/>
      <c r="F243" s="319" t="n"/>
      <c r="G243" s="319" t="n"/>
      <c r="H243" s="319" t="n"/>
      <c r="I243" s="319" t="n"/>
      <c r="J243" s="319" t="n"/>
      <c r="K243" s="319" t="n"/>
      <c r="L243" s="319" t="n"/>
      <c r="M243" s="319" t="n"/>
      <c r="N243" s="319" t="n"/>
      <c r="O243" s="320" t="n"/>
      <c r="P243" s="321" t="inlineStr">
        <is>
          <t>Итого</t>
        </is>
      </c>
      <c r="Q243" s="322" t="n"/>
      <c r="R243" s="322" t="n"/>
      <c r="S243" s="322" t="n"/>
      <c r="T243" s="322" t="n"/>
      <c r="U243" s="322" t="n"/>
      <c r="V243" s="323" t="n"/>
      <c r="W243" s="37" t="inlineStr">
        <is>
          <t>кг</t>
        </is>
      </c>
      <c r="X243" s="308">
        <f>IFERROR(SUMPRODUCT(X241:X241*H241:H241),"0")</f>
        <v/>
      </c>
      <c r="Y243" s="308">
        <f>IFERROR(SUMPRODUCT(Y241:Y241*H241:H241),"0")</f>
        <v/>
      </c>
      <c r="Z243" s="37" t="n"/>
      <c r="AA243" s="309" t="n"/>
      <c r="AB243" s="309" t="n"/>
      <c r="AC243" s="309" t="n"/>
    </row>
    <row r="244" ht="27.75" customHeight="1">
      <c r="A244" s="365" t="inlineStr">
        <is>
          <t>Владимирский стандарт</t>
        </is>
      </c>
      <c r="B244" s="366" t="n"/>
      <c r="C244" s="366" t="n"/>
      <c r="D244" s="366" t="n"/>
      <c r="E244" s="366" t="n"/>
      <c r="F244" s="366" t="n"/>
      <c r="G244" s="366" t="n"/>
      <c r="H244" s="366" t="n"/>
      <c r="I244" s="366" t="n"/>
      <c r="J244" s="366" t="n"/>
      <c r="K244" s="366" t="n"/>
      <c r="L244" s="366" t="n"/>
      <c r="M244" s="366" t="n"/>
      <c r="N244" s="366" t="n"/>
      <c r="O244" s="366" t="n"/>
      <c r="P244" s="366" t="n"/>
      <c r="Q244" s="366" t="n"/>
      <c r="R244" s="366" t="n"/>
      <c r="S244" s="366" t="n"/>
      <c r="T244" s="366" t="n"/>
      <c r="U244" s="366" t="n"/>
      <c r="V244" s="366" t="n"/>
      <c r="W244" s="366" t="n"/>
      <c r="X244" s="366" t="n"/>
      <c r="Y244" s="366" t="n"/>
      <c r="Z244" s="366" t="n"/>
      <c r="AA244" s="48" t="n"/>
      <c r="AB244" s="48" t="n"/>
      <c r="AC244" s="48" t="n"/>
    </row>
    <row r="245" ht="16.5" customHeight="1">
      <c r="A245" s="324" t="inlineStr">
        <is>
          <t>Владимирский Стандарт ПГП</t>
        </is>
      </c>
      <c r="B245" s="319" t="n"/>
      <c r="C245" s="319" t="n"/>
      <c r="D245" s="319" t="n"/>
      <c r="E245" s="319" t="n"/>
      <c r="F245" s="319" t="n"/>
      <c r="G245" s="319" t="n"/>
      <c r="H245" s="319" t="n"/>
      <c r="I245" s="319" t="n"/>
      <c r="J245" s="319" t="n"/>
      <c r="K245" s="319" t="n"/>
      <c r="L245" s="319" t="n"/>
      <c r="M245" s="319" t="n"/>
      <c r="N245" s="319" t="n"/>
      <c r="O245" s="319" t="n"/>
      <c r="P245" s="319" t="n"/>
      <c r="Q245" s="319" t="n"/>
      <c r="R245" s="319" t="n"/>
      <c r="S245" s="319" t="n"/>
      <c r="T245" s="319" t="n"/>
      <c r="U245" s="319" t="n"/>
      <c r="V245" s="319" t="n"/>
      <c r="W245" s="319" t="n"/>
      <c r="X245" s="319" t="n"/>
      <c r="Y245" s="319" t="n"/>
      <c r="Z245" s="319" t="n"/>
      <c r="AA245" s="324" t="n"/>
      <c r="AB245" s="324" t="n"/>
      <c r="AC245" s="324" t="n"/>
    </row>
    <row r="246" ht="14.25" customHeight="1">
      <c r="A246" s="329" t="inlineStr">
        <is>
          <t>Печеные пельмени</t>
        </is>
      </c>
      <c r="B246" s="319" t="n"/>
      <c r="C246" s="319" t="n"/>
      <c r="D246" s="319" t="n"/>
      <c r="E246" s="319" t="n"/>
      <c r="F246" s="319" t="n"/>
      <c r="G246" s="319" t="n"/>
      <c r="H246" s="319" t="n"/>
      <c r="I246" s="319" t="n"/>
      <c r="J246" s="319" t="n"/>
      <c r="K246" s="319" t="n"/>
      <c r="L246" s="319" t="n"/>
      <c r="M246" s="319" t="n"/>
      <c r="N246" s="319" t="n"/>
      <c r="O246" s="319" t="n"/>
      <c r="P246" s="319" t="n"/>
      <c r="Q246" s="319" t="n"/>
      <c r="R246" s="319" t="n"/>
      <c r="S246" s="319" t="n"/>
      <c r="T246" s="319" t="n"/>
      <c r="U246" s="319" t="n"/>
      <c r="V246" s="319" t="n"/>
      <c r="W246" s="319" t="n"/>
      <c r="X246" s="319" t="n"/>
      <c r="Y246" s="319" t="n"/>
      <c r="Z246" s="319" t="n"/>
      <c r="AA246" s="329" t="n"/>
      <c r="AB246" s="329" t="n"/>
      <c r="AC246" s="329" t="n"/>
    </row>
    <row r="247" ht="27" customHeight="1">
      <c r="A247" s="53" t="inlineStr">
        <is>
          <t>SU003457</t>
        </is>
      </c>
      <c r="B247" s="53" t="inlineStr">
        <is>
          <t>P004382</t>
        </is>
      </c>
      <c r="C247" s="31" t="n">
        <v>4301133004</v>
      </c>
      <c r="D247" s="316" t="n">
        <v>4607111039774</v>
      </c>
      <c r="E247" s="317" t="n"/>
      <c r="F247" s="305" t="n">
        <v>0.25</v>
      </c>
      <c r="G247" s="32" t="n">
        <v>12</v>
      </c>
      <c r="H247" s="305" t="n">
        <v>3</v>
      </c>
      <c r="I247" s="305" t="n">
        <v>3.22</v>
      </c>
      <c r="J247" s="32" t="n">
        <v>70</v>
      </c>
      <c r="K247" s="32" t="inlineStr">
        <is>
          <t>14</t>
        </is>
      </c>
      <c r="L247" s="32" t="inlineStr">
        <is>
          <t>Короб, мин. 1</t>
        </is>
      </c>
      <c r="M247" s="33" t="inlineStr">
        <is>
          <t>МГ</t>
        </is>
      </c>
      <c r="N247" s="33" t="n"/>
      <c r="O247" s="32" t="n">
        <v>180</v>
      </c>
      <c r="P247" s="469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/>
      </c>
      <c r="Q247" s="313" t="n"/>
      <c r="R247" s="313" t="n"/>
      <c r="S247" s="313" t="n"/>
      <c r="T247" s="314" t="n"/>
      <c r="U247" s="34" t="n"/>
      <c r="V247" s="34" t="n"/>
      <c r="W247" s="35" t="inlineStr">
        <is>
          <t>кор</t>
        </is>
      </c>
      <c r="X247" s="306" t="n">
        <v>0</v>
      </c>
      <c r="Y247" s="307">
        <f>IFERROR(IF(X247="","",X247),"")</f>
        <v/>
      </c>
      <c r="Z247" s="36">
        <f>IFERROR(IF(X247="","",X247*0.01788),"")</f>
        <v/>
      </c>
      <c r="AA247" s="55" t="n"/>
      <c r="AB247" s="56" t="n"/>
      <c r="AC247" s="228" t="inlineStr">
        <is>
          <t>ЕАЭС N RU Д-RU.РА04.В.81528/24</t>
        </is>
      </c>
      <c r="AG247" s="66" t="n"/>
      <c r="AJ247" s="69" t="inlineStr">
        <is>
          <t>Короб</t>
        </is>
      </c>
      <c r="AK247" s="69" t="n">
        <v>1</v>
      </c>
      <c r="BB247" s="229" t="inlineStr">
        <is>
          <t>ПГП</t>
        </is>
      </c>
      <c r="BM247" s="66">
        <f>IFERROR(X247*I247,"0")</f>
        <v/>
      </c>
      <c r="BN247" s="66">
        <f>IFERROR(Y247*I247,"0")</f>
        <v/>
      </c>
      <c r="BO247" s="66">
        <f>IFERROR(X247/J247,"0")</f>
        <v/>
      </c>
      <c r="BP247" s="66">
        <f>IFERROR(Y247/J247,"0")</f>
        <v/>
      </c>
    </row>
    <row r="248">
      <c r="A248" s="318" t="n"/>
      <c r="B248" s="319" t="n"/>
      <c r="C248" s="319" t="n"/>
      <c r="D248" s="319" t="n"/>
      <c r="E248" s="319" t="n"/>
      <c r="F248" s="319" t="n"/>
      <c r="G248" s="319" t="n"/>
      <c r="H248" s="319" t="n"/>
      <c r="I248" s="319" t="n"/>
      <c r="J248" s="319" t="n"/>
      <c r="K248" s="319" t="n"/>
      <c r="L248" s="319" t="n"/>
      <c r="M248" s="319" t="n"/>
      <c r="N248" s="319" t="n"/>
      <c r="O248" s="320" t="n"/>
      <c r="P248" s="321" t="inlineStr">
        <is>
          <t>Итого</t>
        </is>
      </c>
      <c r="Q248" s="322" t="n"/>
      <c r="R248" s="322" t="n"/>
      <c r="S248" s="322" t="n"/>
      <c r="T248" s="322" t="n"/>
      <c r="U248" s="322" t="n"/>
      <c r="V248" s="323" t="n"/>
      <c r="W248" s="37" t="inlineStr">
        <is>
          <t>кор</t>
        </is>
      </c>
      <c r="X248" s="308">
        <f>IFERROR(SUM(X247:X247),"0")</f>
        <v/>
      </c>
      <c r="Y248" s="308">
        <f>IFERROR(SUM(Y247:Y247),"0")</f>
        <v/>
      </c>
      <c r="Z248" s="308">
        <f>IFERROR(IF(Z247="",0,Z247),"0")</f>
        <v/>
      </c>
      <c r="AA248" s="309" t="n"/>
      <c r="AB248" s="309" t="n"/>
      <c r="AC248" s="309" t="n"/>
    </row>
    <row r="249">
      <c r="A249" s="319" t="n"/>
      <c r="B249" s="319" t="n"/>
      <c r="C249" s="319" t="n"/>
      <c r="D249" s="319" t="n"/>
      <c r="E249" s="319" t="n"/>
      <c r="F249" s="319" t="n"/>
      <c r="G249" s="319" t="n"/>
      <c r="H249" s="319" t="n"/>
      <c r="I249" s="319" t="n"/>
      <c r="J249" s="319" t="n"/>
      <c r="K249" s="319" t="n"/>
      <c r="L249" s="319" t="n"/>
      <c r="M249" s="319" t="n"/>
      <c r="N249" s="319" t="n"/>
      <c r="O249" s="320" t="n"/>
      <c r="P249" s="321" t="inlineStr">
        <is>
          <t>Итого</t>
        </is>
      </c>
      <c r="Q249" s="322" t="n"/>
      <c r="R249" s="322" t="n"/>
      <c r="S249" s="322" t="n"/>
      <c r="T249" s="322" t="n"/>
      <c r="U249" s="322" t="n"/>
      <c r="V249" s="323" t="n"/>
      <c r="W249" s="37" t="inlineStr">
        <is>
          <t>кг</t>
        </is>
      </c>
      <c r="X249" s="308">
        <f>IFERROR(SUMPRODUCT(X247:X247*H247:H247),"0")</f>
        <v/>
      </c>
      <c r="Y249" s="308">
        <f>IFERROR(SUMPRODUCT(Y247:Y247*H247:H247),"0")</f>
        <v/>
      </c>
      <c r="Z249" s="37" t="n"/>
      <c r="AA249" s="309" t="n"/>
      <c r="AB249" s="309" t="n"/>
      <c r="AC249" s="309" t="n"/>
    </row>
    <row r="250" ht="14.25" customHeight="1">
      <c r="A250" s="329" t="inlineStr">
        <is>
          <t>Снеки</t>
        </is>
      </c>
      <c r="B250" s="319" t="n"/>
      <c r="C250" s="319" t="n"/>
      <c r="D250" s="319" t="n"/>
      <c r="E250" s="319" t="n"/>
      <c r="F250" s="319" t="n"/>
      <c r="G250" s="319" t="n"/>
      <c r="H250" s="319" t="n"/>
      <c r="I250" s="319" t="n"/>
      <c r="J250" s="319" t="n"/>
      <c r="K250" s="319" t="n"/>
      <c r="L250" s="319" t="n"/>
      <c r="M250" s="319" t="n"/>
      <c r="N250" s="319" t="n"/>
      <c r="O250" s="319" t="n"/>
      <c r="P250" s="319" t="n"/>
      <c r="Q250" s="319" t="n"/>
      <c r="R250" s="319" t="n"/>
      <c r="S250" s="319" t="n"/>
      <c r="T250" s="319" t="n"/>
      <c r="U250" s="319" t="n"/>
      <c r="V250" s="319" t="n"/>
      <c r="W250" s="319" t="n"/>
      <c r="X250" s="319" t="n"/>
      <c r="Y250" s="319" t="n"/>
      <c r="Z250" s="319" t="n"/>
      <c r="AA250" s="329" t="n"/>
      <c r="AB250" s="329" t="n"/>
      <c r="AC250" s="329" t="n"/>
    </row>
    <row r="251" ht="37.5" customHeight="1">
      <c r="A251" s="53" t="inlineStr">
        <is>
          <t>SU003458</t>
        </is>
      </c>
      <c r="B251" s="53" t="inlineStr">
        <is>
          <t>P004385</t>
        </is>
      </c>
      <c r="C251" s="31" t="n">
        <v>4301135400</v>
      </c>
      <c r="D251" s="316" t="n">
        <v>4607111039361</v>
      </c>
      <c r="E251" s="317" t="n"/>
      <c r="F251" s="305" t="n">
        <v>0.25</v>
      </c>
      <c r="G251" s="32" t="n">
        <v>12</v>
      </c>
      <c r="H251" s="305" t="n">
        <v>3</v>
      </c>
      <c r="I251" s="305" t="n">
        <v>3.7036</v>
      </c>
      <c r="J251" s="32" t="n">
        <v>70</v>
      </c>
      <c r="K251" s="32" t="inlineStr">
        <is>
          <t>14</t>
        </is>
      </c>
      <c r="L251" s="32" t="inlineStr">
        <is>
          <t>Короб, мин. 1</t>
        </is>
      </c>
      <c r="M251" s="33" t="inlineStr">
        <is>
          <t>МГ</t>
        </is>
      </c>
      <c r="N251" s="33" t="n"/>
      <c r="O251" s="32" t="n">
        <v>180</v>
      </c>
      <c r="P251" s="440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/>
      </c>
      <c r="Q251" s="313" t="n"/>
      <c r="R251" s="313" t="n"/>
      <c r="S251" s="313" t="n"/>
      <c r="T251" s="314" t="n"/>
      <c r="U251" s="34" t="n"/>
      <c r="V251" s="34" t="n"/>
      <c r="W251" s="35" t="inlineStr">
        <is>
          <t>кор</t>
        </is>
      </c>
      <c r="X251" s="306" t="n">
        <v>0</v>
      </c>
      <c r="Y251" s="307">
        <f>IFERROR(IF(X251="","",X251),"")</f>
        <v/>
      </c>
      <c r="Z251" s="36">
        <f>IFERROR(IF(X251="","",X251*0.01788),"")</f>
        <v/>
      </c>
      <c r="AA251" s="55" t="n"/>
      <c r="AB251" s="56" t="n"/>
      <c r="AC251" s="230" t="inlineStr">
        <is>
          <t>ЕАЭС N RU Д-RU.РА04.В.81528/24</t>
        </is>
      </c>
      <c r="AG251" s="66" t="n"/>
      <c r="AJ251" s="69" t="inlineStr">
        <is>
          <t>Короб</t>
        </is>
      </c>
      <c r="AK251" s="69" t="n">
        <v>1</v>
      </c>
      <c r="BB251" s="231" t="inlineStr">
        <is>
          <t>ПГП</t>
        </is>
      </c>
      <c r="BM251" s="66">
        <f>IFERROR(X251*I251,"0")</f>
        <v/>
      </c>
      <c r="BN251" s="66">
        <f>IFERROR(Y251*I251,"0")</f>
        <v/>
      </c>
      <c r="BO251" s="66">
        <f>IFERROR(X251/J251,"0")</f>
        <v/>
      </c>
      <c r="BP251" s="66">
        <f>IFERROR(Y251/J251,"0")</f>
        <v/>
      </c>
    </row>
    <row r="252">
      <c r="A252" s="318" t="n"/>
      <c r="B252" s="319" t="n"/>
      <c r="C252" s="319" t="n"/>
      <c r="D252" s="319" t="n"/>
      <c r="E252" s="319" t="n"/>
      <c r="F252" s="319" t="n"/>
      <c r="G252" s="319" t="n"/>
      <c r="H252" s="319" t="n"/>
      <c r="I252" s="319" t="n"/>
      <c r="J252" s="319" t="n"/>
      <c r="K252" s="319" t="n"/>
      <c r="L252" s="319" t="n"/>
      <c r="M252" s="319" t="n"/>
      <c r="N252" s="319" t="n"/>
      <c r="O252" s="320" t="n"/>
      <c r="P252" s="321" t="inlineStr">
        <is>
          <t>Итого</t>
        </is>
      </c>
      <c r="Q252" s="322" t="n"/>
      <c r="R252" s="322" t="n"/>
      <c r="S252" s="322" t="n"/>
      <c r="T252" s="322" t="n"/>
      <c r="U252" s="322" t="n"/>
      <c r="V252" s="323" t="n"/>
      <c r="W252" s="37" t="inlineStr">
        <is>
          <t>кор</t>
        </is>
      </c>
      <c r="X252" s="308">
        <f>IFERROR(SUM(X251:X251),"0")</f>
        <v/>
      </c>
      <c r="Y252" s="308">
        <f>IFERROR(SUM(Y251:Y251),"0")</f>
        <v/>
      </c>
      <c r="Z252" s="308">
        <f>IFERROR(IF(Z251="",0,Z251),"0")</f>
        <v/>
      </c>
      <c r="AA252" s="309" t="n"/>
      <c r="AB252" s="309" t="n"/>
      <c r="AC252" s="309" t="n"/>
    </row>
    <row r="253">
      <c r="A253" s="319" t="n"/>
      <c r="B253" s="319" t="n"/>
      <c r="C253" s="319" t="n"/>
      <c r="D253" s="319" t="n"/>
      <c r="E253" s="319" t="n"/>
      <c r="F253" s="319" t="n"/>
      <c r="G253" s="319" t="n"/>
      <c r="H253" s="319" t="n"/>
      <c r="I253" s="319" t="n"/>
      <c r="J253" s="319" t="n"/>
      <c r="K253" s="319" t="n"/>
      <c r="L253" s="319" t="n"/>
      <c r="M253" s="319" t="n"/>
      <c r="N253" s="319" t="n"/>
      <c r="O253" s="320" t="n"/>
      <c r="P253" s="321" t="inlineStr">
        <is>
          <t>Итого</t>
        </is>
      </c>
      <c r="Q253" s="322" t="n"/>
      <c r="R253" s="322" t="n"/>
      <c r="S253" s="322" t="n"/>
      <c r="T253" s="322" t="n"/>
      <c r="U253" s="322" t="n"/>
      <c r="V253" s="323" t="n"/>
      <c r="W253" s="37" t="inlineStr">
        <is>
          <t>кг</t>
        </is>
      </c>
      <c r="X253" s="308">
        <f>IFERROR(SUMPRODUCT(X251:X251*H251:H251),"0")</f>
        <v/>
      </c>
      <c r="Y253" s="308">
        <f>IFERROR(SUMPRODUCT(Y251:Y251*H251:H251),"0")</f>
        <v/>
      </c>
      <c r="Z253" s="37" t="n"/>
      <c r="AA253" s="309" t="n"/>
      <c r="AB253" s="309" t="n"/>
      <c r="AC253" s="309" t="n"/>
    </row>
    <row r="254" ht="27.75" customHeight="1">
      <c r="A254" s="365" t="inlineStr">
        <is>
          <t>Зареченские продукты</t>
        </is>
      </c>
      <c r="B254" s="366" t="n"/>
      <c r="C254" s="366" t="n"/>
      <c r="D254" s="366" t="n"/>
      <c r="E254" s="366" t="n"/>
      <c r="F254" s="366" t="n"/>
      <c r="G254" s="366" t="n"/>
      <c r="H254" s="366" t="n"/>
      <c r="I254" s="366" t="n"/>
      <c r="J254" s="366" t="n"/>
      <c r="K254" s="366" t="n"/>
      <c r="L254" s="366" t="n"/>
      <c r="M254" s="366" t="n"/>
      <c r="N254" s="366" t="n"/>
      <c r="O254" s="366" t="n"/>
      <c r="P254" s="366" t="n"/>
      <c r="Q254" s="366" t="n"/>
      <c r="R254" s="366" t="n"/>
      <c r="S254" s="366" t="n"/>
      <c r="T254" s="366" t="n"/>
      <c r="U254" s="366" t="n"/>
      <c r="V254" s="366" t="n"/>
      <c r="W254" s="366" t="n"/>
      <c r="X254" s="366" t="n"/>
      <c r="Y254" s="366" t="n"/>
      <c r="Z254" s="366" t="n"/>
      <c r="AA254" s="48" t="n"/>
      <c r="AB254" s="48" t="n"/>
      <c r="AC254" s="48" t="n"/>
    </row>
    <row r="255" ht="16.5" customHeight="1">
      <c r="A255" s="324" t="inlineStr">
        <is>
          <t>Зареченские продукты</t>
        </is>
      </c>
      <c r="B255" s="319" t="n"/>
      <c r="C255" s="319" t="n"/>
      <c r="D255" s="319" t="n"/>
      <c r="E255" s="319" t="n"/>
      <c r="F255" s="319" t="n"/>
      <c r="G255" s="319" t="n"/>
      <c r="H255" s="319" t="n"/>
      <c r="I255" s="319" t="n"/>
      <c r="J255" s="319" t="n"/>
      <c r="K255" s="319" t="n"/>
      <c r="L255" s="319" t="n"/>
      <c r="M255" s="319" t="n"/>
      <c r="N255" s="319" t="n"/>
      <c r="O255" s="319" t="n"/>
      <c r="P255" s="319" t="n"/>
      <c r="Q255" s="319" t="n"/>
      <c r="R255" s="319" t="n"/>
      <c r="S255" s="319" t="n"/>
      <c r="T255" s="319" t="n"/>
      <c r="U255" s="319" t="n"/>
      <c r="V255" s="319" t="n"/>
      <c r="W255" s="319" t="n"/>
      <c r="X255" s="319" t="n"/>
      <c r="Y255" s="319" t="n"/>
      <c r="Z255" s="319" t="n"/>
      <c r="AA255" s="324" t="n"/>
      <c r="AB255" s="324" t="n"/>
      <c r="AC255" s="324" t="n"/>
    </row>
    <row r="256" ht="14.25" customHeight="1">
      <c r="A256" s="329" t="inlineStr">
        <is>
          <t>Пельмени</t>
        </is>
      </c>
      <c r="B256" s="319" t="n"/>
      <c r="C256" s="319" t="n"/>
      <c r="D256" s="319" t="n"/>
      <c r="E256" s="319" t="n"/>
      <c r="F256" s="319" t="n"/>
      <c r="G256" s="319" t="n"/>
      <c r="H256" s="319" t="n"/>
      <c r="I256" s="319" t="n"/>
      <c r="J256" s="319" t="n"/>
      <c r="K256" s="319" t="n"/>
      <c r="L256" s="319" t="n"/>
      <c r="M256" s="319" t="n"/>
      <c r="N256" s="319" t="n"/>
      <c r="O256" s="319" t="n"/>
      <c r="P256" s="319" t="n"/>
      <c r="Q256" s="319" t="n"/>
      <c r="R256" s="319" t="n"/>
      <c r="S256" s="319" t="n"/>
      <c r="T256" s="319" t="n"/>
      <c r="U256" s="319" t="n"/>
      <c r="V256" s="319" t="n"/>
      <c r="W256" s="319" t="n"/>
      <c r="X256" s="319" t="n"/>
      <c r="Y256" s="319" t="n"/>
      <c r="Z256" s="319" t="n"/>
      <c r="AA256" s="329" t="n"/>
      <c r="AB256" s="329" t="n"/>
      <c r="AC256" s="329" t="n"/>
    </row>
    <row r="257" ht="27" customHeight="1">
      <c r="A257" s="53" t="inlineStr">
        <is>
          <t>SU003319</t>
        </is>
      </c>
      <c r="B257" s="53" t="inlineStr">
        <is>
          <t>P004053</t>
        </is>
      </c>
      <c r="C257" s="31" t="n">
        <v>4301071014</v>
      </c>
      <c r="D257" s="316" t="n">
        <v>4640242181264</v>
      </c>
      <c r="E257" s="317" t="n"/>
      <c r="F257" s="305" t="n">
        <v>0.7</v>
      </c>
      <c r="G257" s="32" t="n">
        <v>10</v>
      </c>
      <c r="H257" s="305" t="n">
        <v>7</v>
      </c>
      <c r="I257" s="305" t="n">
        <v>7.28</v>
      </c>
      <c r="J257" s="32" t="n">
        <v>84</v>
      </c>
      <c r="K257" s="32" t="inlineStr">
        <is>
          <t>12</t>
        </is>
      </c>
      <c r="L257" s="32" t="inlineStr">
        <is>
          <t>Короб, мин. 1</t>
        </is>
      </c>
      <c r="M257" s="33" t="inlineStr">
        <is>
          <t>МГ</t>
        </is>
      </c>
      <c r="N257" s="33" t="n"/>
      <c r="O257" s="32" t="n">
        <v>180</v>
      </c>
      <c r="P257" s="450" t="inlineStr">
        <is>
          <t>Пельмени «Домашние» 0,7 сфера ТМ «Зареченские»</t>
        </is>
      </c>
      <c r="Q257" s="313" t="n"/>
      <c r="R257" s="313" t="n"/>
      <c r="S257" s="313" t="n"/>
      <c r="T257" s="314" t="n"/>
      <c r="U257" s="34" t="n"/>
      <c r="V257" s="34" t="n"/>
      <c r="W257" s="35" t="inlineStr">
        <is>
          <t>кор</t>
        </is>
      </c>
      <c r="X257" s="306" t="n">
        <v>0</v>
      </c>
      <c r="Y257" s="307">
        <f>IFERROR(IF(X257="","",X257),"")</f>
        <v/>
      </c>
      <c r="Z257" s="36">
        <f>IFERROR(IF(X257="","",X257*0.0155),"")</f>
        <v/>
      </c>
      <c r="AA257" s="55" t="n"/>
      <c r="AB257" s="56" t="n"/>
      <c r="AC257" s="232" t="inlineStr">
        <is>
          <t>ЕАЭС N RU Д-RU.РА01.В.15225/24</t>
        </is>
      </c>
      <c r="AG257" s="66" t="n"/>
      <c r="AJ257" s="69" t="inlineStr">
        <is>
          <t>Короб</t>
        </is>
      </c>
      <c r="AK257" s="69" t="n">
        <v>1</v>
      </c>
      <c r="BB257" s="233" t="inlineStr">
        <is>
          <t>ЗПФ</t>
        </is>
      </c>
      <c r="BM257" s="66">
        <f>IFERROR(X257*I257,"0")</f>
        <v/>
      </c>
      <c r="BN257" s="66">
        <f>IFERROR(Y257*I257,"0")</f>
        <v/>
      </c>
      <c r="BO257" s="66">
        <f>IFERROR(X257/J257,"0")</f>
        <v/>
      </c>
      <c r="BP257" s="66">
        <f>IFERROR(Y257/J257,"0")</f>
        <v/>
      </c>
    </row>
    <row r="258" ht="27" customHeight="1">
      <c r="A258" s="53" t="inlineStr">
        <is>
          <t>SU003320</t>
        </is>
      </c>
      <c r="B258" s="53" t="inlineStr">
        <is>
          <t>P004060</t>
        </is>
      </c>
      <c r="C258" s="31" t="n">
        <v>4301071021</v>
      </c>
      <c r="D258" s="316" t="n">
        <v>4640242181325</v>
      </c>
      <c r="E258" s="317" t="n"/>
      <c r="F258" s="305" t="n">
        <v>0.7</v>
      </c>
      <c r="G258" s="32" t="n">
        <v>10</v>
      </c>
      <c r="H258" s="305" t="n">
        <v>7</v>
      </c>
      <c r="I258" s="305" t="n">
        <v>7.28</v>
      </c>
      <c r="J258" s="32" t="n">
        <v>84</v>
      </c>
      <c r="K258" s="32" t="inlineStr">
        <is>
          <t>12</t>
        </is>
      </c>
      <c r="L258" s="32" t="inlineStr">
        <is>
          <t>Короб, мин. 1</t>
        </is>
      </c>
      <c r="M258" s="33" t="inlineStr">
        <is>
          <t>МГ</t>
        </is>
      </c>
      <c r="N258" s="33" t="n"/>
      <c r="O258" s="32" t="n">
        <v>180</v>
      </c>
      <c r="P258" s="377" t="inlineStr">
        <is>
          <t>Пельмени «Домашние со сливочным маслом» 0,7 сфера ТМ «Зареченские»</t>
        </is>
      </c>
      <c r="Q258" s="313" t="n"/>
      <c r="R258" s="313" t="n"/>
      <c r="S258" s="313" t="n"/>
      <c r="T258" s="314" t="n"/>
      <c r="U258" s="34" t="n"/>
      <c r="V258" s="34" t="n"/>
      <c r="W258" s="35" t="inlineStr">
        <is>
          <t>кор</t>
        </is>
      </c>
      <c r="X258" s="306" t="n">
        <v>0</v>
      </c>
      <c r="Y258" s="307">
        <f>IFERROR(IF(X258="","",X258),"")</f>
        <v/>
      </c>
      <c r="Z258" s="36">
        <f>IFERROR(IF(X258="","",X258*0.0155),"")</f>
        <v/>
      </c>
      <c r="AA258" s="55" t="n"/>
      <c r="AB258" s="56" t="n"/>
      <c r="AC258" s="234" t="inlineStr">
        <is>
          <t>ЕАЭС N RU Д-RU.РА01.В.15225/24</t>
        </is>
      </c>
      <c r="AG258" s="66" t="n"/>
      <c r="AJ258" s="69" t="inlineStr">
        <is>
          <t>Короб</t>
        </is>
      </c>
      <c r="AK258" s="69" t="n">
        <v>1</v>
      </c>
      <c r="BB258" s="235" t="inlineStr">
        <is>
          <t>ЗПФ</t>
        </is>
      </c>
      <c r="BM258" s="66">
        <f>IFERROR(X258*I258,"0")</f>
        <v/>
      </c>
      <c r="BN258" s="66">
        <f>IFERROR(Y258*I258,"0")</f>
        <v/>
      </c>
      <c r="BO258" s="66">
        <f>IFERROR(X258/J258,"0")</f>
        <v/>
      </c>
      <c r="BP258" s="66">
        <f>IFERROR(Y258/J258,"0")</f>
        <v/>
      </c>
    </row>
    <row r="259" ht="27" customHeight="1">
      <c r="A259" s="53" t="inlineStr">
        <is>
          <t>SU003086</t>
        </is>
      </c>
      <c r="B259" s="53" t="inlineStr">
        <is>
          <t>P003803</t>
        </is>
      </c>
      <c r="C259" s="31" t="n">
        <v>4301070993</v>
      </c>
      <c r="D259" s="316" t="n">
        <v>4640242180670</v>
      </c>
      <c r="E259" s="317" t="n"/>
      <c r="F259" s="305" t="n">
        <v>1</v>
      </c>
      <c r="G259" s="32" t="n">
        <v>6</v>
      </c>
      <c r="H259" s="305" t="n">
        <v>6</v>
      </c>
      <c r="I259" s="305" t="n">
        <v>6.23</v>
      </c>
      <c r="J259" s="32" t="n">
        <v>84</v>
      </c>
      <c r="K259" s="32" t="inlineStr">
        <is>
          <t>12</t>
        </is>
      </c>
      <c r="L259" s="32" t="inlineStr">
        <is>
          <t>Короб, мин. 1</t>
        </is>
      </c>
      <c r="M259" s="33" t="inlineStr">
        <is>
          <t>МГ</t>
        </is>
      </c>
      <c r="N259" s="33" t="n"/>
      <c r="O259" s="32" t="n">
        <v>180</v>
      </c>
      <c r="P259" s="363" t="inlineStr">
        <is>
          <t>Пельмени «Жемчужные» 1,0 сфера ТМ «Зареченские»</t>
        </is>
      </c>
      <c r="Q259" s="313" t="n"/>
      <c r="R259" s="313" t="n"/>
      <c r="S259" s="313" t="n"/>
      <c r="T259" s="314" t="n"/>
      <c r="U259" s="34" t="n"/>
      <c r="V259" s="34" t="n"/>
      <c r="W259" s="35" t="inlineStr">
        <is>
          <t>кор</t>
        </is>
      </c>
      <c r="X259" s="306" t="n">
        <v>0</v>
      </c>
      <c r="Y259" s="307">
        <f>IFERROR(IF(X259="","",X259),"")</f>
        <v/>
      </c>
      <c r="Z259" s="36">
        <f>IFERROR(IF(X259="","",X259*0.0155),"")</f>
        <v/>
      </c>
      <c r="AA259" s="55" t="n"/>
      <c r="AB259" s="56" t="n"/>
      <c r="AC259" s="236" t="inlineStr">
        <is>
          <t>ЕАЭС N RU Д-RU.РА05.В.31150/22</t>
        </is>
      </c>
      <c r="AG259" s="66" t="n"/>
      <c r="AJ259" s="69" t="inlineStr">
        <is>
          <t>Короб</t>
        </is>
      </c>
      <c r="AK259" s="69" t="n">
        <v>1</v>
      </c>
      <c r="BB259" s="237" t="inlineStr">
        <is>
          <t>ЗПФ</t>
        </is>
      </c>
      <c r="BM259" s="66">
        <f>IFERROR(X259*I259,"0")</f>
        <v/>
      </c>
      <c r="BN259" s="66">
        <f>IFERROR(Y259*I259,"0")</f>
        <v/>
      </c>
      <c r="BO259" s="66">
        <f>IFERROR(X259/J259,"0")</f>
        <v/>
      </c>
      <c r="BP259" s="66">
        <f>IFERROR(Y259/J259,"0")</f>
        <v/>
      </c>
    </row>
    <row r="260">
      <c r="A260" s="318" t="n"/>
      <c r="B260" s="319" t="n"/>
      <c r="C260" s="319" t="n"/>
      <c r="D260" s="319" t="n"/>
      <c r="E260" s="319" t="n"/>
      <c r="F260" s="319" t="n"/>
      <c r="G260" s="319" t="n"/>
      <c r="H260" s="319" t="n"/>
      <c r="I260" s="319" t="n"/>
      <c r="J260" s="319" t="n"/>
      <c r="K260" s="319" t="n"/>
      <c r="L260" s="319" t="n"/>
      <c r="M260" s="319" t="n"/>
      <c r="N260" s="319" t="n"/>
      <c r="O260" s="320" t="n"/>
      <c r="P260" s="321" t="inlineStr">
        <is>
          <t>Итого</t>
        </is>
      </c>
      <c r="Q260" s="322" t="n"/>
      <c r="R260" s="322" t="n"/>
      <c r="S260" s="322" t="n"/>
      <c r="T260" s="322" t="n"/>
      <c r="U260" s="322" t="n"/>
      <c r="V260" s="323" t="n"/>
      <c r="W260" s="37" t="inlineStr">
        <is>
          <t>кор</t>
        </is>
      </c>
      <c r="X260" s="308">
        <f>IFERROR(SUM(X257:X259),"0")</f>
        <v/>
      </c>
      <c r="Y260" s="308">
        <f>IFERROR(SUM(Y257:Y259),"0")</f>
        <v/>
      </c>
      <c r="Z260" s="308">
        <f>IFERROR(IF(Z257="",0,Z257),"0")+IFERROR(IF(Z258="",0,Z258),"0")+IFERROR(IF(Z259="",0,Z259),"0")</f>
        <v/>
      </c>
      <c r="AA260" s="309" t="n"/>
      <c r="AB260" s="309" t="n"/>
      <c r="AC260" s="309" t="n"/>
    </row>
    <row r="261">
      <c r="A261" s="319" t="n"/>
      <c r="B261" s="319" t="n"/>
      <c r="C261" s="319" t="n"/>
      <c r="D261" s="319" t="n"/>
      <c r="E261" s="319" t="n"/>
      <c r="F261" s="319" t="n"/>
      <c r="G261" s="319" t="n"/>
      <c r="H261" s="319" t="n"/>
      <c r="I261" s="319" t="n"/>
      <c r="J261" s="319" t="n"/>
      <c r="K261" s="319" t="n"/>
      <c r="L261" s="319" t="n"/>
      <c r="M261" s="319" t="n"/>
      <c r="N261" s="319" t="n"/>
      <c r="O261" s="320" t="n"/>
      <c r="P261" s="321" t="inlineStr">
        <is>
          <t>Итого</t>
        </is>
      </c>
      <c r="Q261" s="322" t="n"/>
      <c r="R261" s="322" t="n"/>
      <c r="S261" s="322" t="n"/>
      <c r="T261" s="322" t="n"/>
      <c r="U261" s="322" t="n"/>
      <c r="V261" s="323" t="n"/>
      <c r="W261" s="37" t="inlineStr">
        <is>
          <t>кг</t>
        </is>
      </c>
      <c r="X261" s="308">
        <f>IFERROR(SUMPRODUCT(X257:X259*H257:H259),"0")</f>
        <v/>
      </c>
      <c r="Y261" s="308">
        <f>IFERROR(SUMPRODUCT(Y257:Y259*H257:H259),"0")</f>
        <v/>
      </c>
      <c r="Z261" s="37" t="n"/>
      <c r="AA261" s="309" t="n"/>
      <c r="AB261" s="309" t="n"/>
      <c r="AC261" s="309" t="n"/>
    </row>
    <row r="262" ht="14.25" customHeight="1">
      <c r="A262" s="329" t="inlineStr">
        <is>
          <t>Наггетсы</t>
        </is>
      </c>
      <c r="B262" s="319" t="n"/>
      <c r="C262" s="319" t="n"/>
      <c r="D262" s="319" t="n"/>
      <c r="E262" s="319" t="n"/>
      <c r="F262" s="319" t="n"/>
      <c r="G262" s="319" t="n"/>
      <c r="H262" s="319" t="n"/>
      <c r="I262" s="319" t="n"/>
      <c r="J262" s="319" t="n"/>
      <c r="K262" s="319" t="n"/>
      <c r="L262" s="319" t="n"/>
      <c r="M262" s="319" t="n"/>
      <c r="N262" s="319" t="n"/>
      <c r="O262" s="319" t="n"/>
      <c r="P262" s="319" t="n"/>
      <c r="Q262" s="319" t="n"/>
      <c r="R262" s="319" t="n"/>
      <c r="S262" s="319" t="n"/>
      <c r="T262" s="319" t="n"/>
      <c r="U262" s="319" t="n"/>
      <c r="V262" s="319" t="n"/>
      <c r="W262" s="319" t="n"/>
      <c r="X262" s="319" t="n"/>
      <c r="Y262" s="319" t="n"/>
      <c r="Z262" s="319" t="n"/>
      <c r="AA262" s="329" t="n"/>
      <c r="AB262" s="329" t="n"/>
      <c r="AC262" s="329" t="n"/>
    </row>
    <row r="263" ht="27" customHeight="1">
      <c r="A263" s="53" t="inlineStr">
        <is>
          <t>SU003020</t>
        </is>
      </c>
      <c r="B263" s="53" t="inlineStr">
        <is>
          <t>P003486</t>
        </is>
      </c>
      <c r="C263" s="31" t="n">
        <v>4301132080</v>
      </c>
      <c r="D263" s="316" t="n">
        <v>4640242180397</v>
      </c>
      <c r="E263" s="317" t="n"/>
      <c r="F263" s="305" t="n">
        <v>1</v>
      </c>
      <c r="G263" s="32" t="n">
        <v>6</v>
      </c>
      <c r="H263" s="305" t="n">
        <v>6</v>
      </c>
      <c r="I263" s="305" t="n">
        <v>6.26</v>
      </c>
      <c r="J263" s="32" t="n">
        <v>84</v>
      </c>
      <c r="K263" s="32" t="inlineStr">
        <is>
          <t>12</t>
        </is>
      </c>
      <c r="L263" s="32" t="inlineStr">
        <is>
          <t>Короб, мин. 1</t>
        </is>
      </c>
      <c r="M263" s="33" t="inlineStr">
        <is>
          <t>МГ</t>
        </is>
      </c>
      <c r="N263" s="33" t="n"/>
      <c r="O263" s="32" t="n">
        <v>180</v>
      </c>
      <c r="P263" s="499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/>
      </c>
      <c r="Q263" s="313" t="n"/>
      <c r="R263" s="313" t="n"/>
      <c r="S263" s="313" t="n"/>
      <c r="T263" s="314" t="n"/>
      <c r="U263" s="34" t="n"/>
      <c r="V263" s="34" t="n"/>
      <c r="W263" s="35" t="inlineStr">
        <is>
          <t>кор</t>
        </is>
      </c>
      <c r="X263" s="306" t="n">
        <v>0</v>
      </c>
      <c r="Y263" s="307">
        <f>IFERROR(IF(X263="","",X263),"")</f>
        <v/>
      </c>
      <c r="Z263" s="36">
        <f>IFERROR(IF(X263="","",X263*0.0155),"")</f>
        <v/>
      </c>
      <c r="AA263" s="55" t="n"/>
      <c r="AB263" s="56" t="n"/>
      <c r="AC263" s="238" t="inlineStr">
        <is>
          <t>ЕАЭС N RU Д-RU. РА04.В.81113/23</t>
        </is>
      </c>
      <c r="AG263" s="66" t="n"/>
      <c r="AJ263" s="69" t="inlineStr">
        <is>
          <t>Короб</t>
        </is>
      </c>
      <c r="AK263" s="69" t="n">
        <v>1</v>
      </c>
      <c r="BB263" s="239" t="inlineStr">
        <is>
          <t>ПГП</t>
        </is>
      </c>
      <c r="BM263" s="66">
        <f>IFERROR(X263*I263,"0")</f>
        <v/>
      </c>
      <c r="BN263" s="66">
        <f>IFERROR(Y263*I263,"0")</f>
        <v/>
      </c>
      <c r="BO263" s="66">
        <f>IFERROR(X263/J263,"0")</f>
        <v/>
      </c>
      <c r="BP263" s="66">
        <f>IFERROR(Y263/J263,"0")</f>
        <v/>
      </c>
    </row>
    <row r="264" ht="27" customHeight="1">
      <c r="A264" s="53" t="inlineStr">
        <is>
          <t>SU003381</t>
        </is>
      </c>
      <c r="B264" s="53" t="inlineStr">
        <is>
          <t>P004190</t>
        </is>
      </c>
      <c r="C264" s="31" t="n">
        <v>4301132104</v>
      </c>
      <c r="D264" s="316" t="n">
        <v>4640242181219</v>
      </c>
      <c r="E264" s="317" t="n"/>
      <c r="F264" s="305" t="n">
        <v>0.3</v>
      </c>
      <c r="G264" s="32" t="n">
        <v>9</v>
      </c>
      <c r="H264" s="305" t="n">
        <v>2.7</v>
      </c>
      <c r="I264" s="305" t="n">
        <v>2.845</v>
      </c>
      <c r="J264" s="32" t="n">
        <v>234</v>
      </c>
      <c r="K264" s="32" t="inlineStr">
        <is>
          <t>18</t>
        </is>
      </c>
      <c r="L264" s="32" t="inlineStr">
        <is>
          <t>Короб, мин. 1</t>
        </is>
      </c>
      <c r="M264" s="33" t="inlineStr">
        <is>
          <t>МГ</t>
        </is>
      </c>
      <c r="N264" s="33" t="n"/>
      <c r="O264" s="32" t="n">
        <v>180</v>
      </c>
      <c r="P264" s="406" t="inlineStr">
        <is>
          <t>Наггетсы «Хрустящие» Фикс.вес 0,3 ф/п ТМ «Зареченские»</t>
        </is>
      </c>
      <c r="Q264" s="313" t="n"/>
      <c r="R264" s="313" t="n"/>
      <c r="S264" s="313" t="n"/>
      <c r="T264" s="314" t="n"/>
      <c r="U264" s="34" t="n"/>
      <c r="V264" s="34" t="n"/>
      <c r="W264" s="35" t="inlineStr">
        <is>
          <t>кор</t>
        </is>
      </c>
      <c r="X264" s="306" t="n">
        <v>0</v>
      </c>
      <c r="Y264" s="307">
        <f>IFERROR(IF(X264="","",X264),"")</f>
        <v/>
      </c>
      <c r="Z264" s="36">
        <f>IFERROR(IF(X264="","",X264*0.00502),"")</f>
        <v/>
      </c>
      <c r="AA264" s="55" t="n"/>
      <c r="AB264" s="56" t="n"/>
      <c r="AC264" s="240" t="inlineStr">
        <is>
          <t>ЕАЭС N RU Д-RU. РА04.В.81113/23</t>
        </is>
      </c>
      <c r="AG264" s="66" t="n"/>
      <c r="AJ264" s="69" t="inlineStr">
        <is>
          <t>Короб</t>
        </is>
      </c>
      <c r="AK264" s="69" t="n">
        <v>1</v>
      </c>
      <c r="BB264" s="241" t="inlineStr">
        <is>
          <t>ПГП</t>
        </is>
      </c>
      <c r="BM264" s="66">
        <f>IFERROR(X264*I264,"0")</f>
        <v/>
      </c>
      <c r="BN264" s="66">
        <f>IFERROR(Y264*I264,"0")</f>
        <v/>
      </c>
      <c r="BO264" s="66">
        <f>IFERROR(X264/J264,"0")</f>
        <v/>
      </c>
      <c r="BP264" s="66">
        <f>IFERROR(Y264/J264,"0")</f>
        <v/>
      </c>
    </row>
    <row r="265">
      <c r="A265" s="318" t="n"/>
      <c r="B265" s="319" t="n"/>
      <c r="C265" s="319" t="n"/>
      <c r="D265" s="319" t="n"/>
      <c r="E265" s="319" t="n"/>
      <c r="F265" s="319" t="n"/>
      <c r="G265" s="319" t="n"/>
      <c r="H265" s="319" t="n"/>
      <c r="I265" s="319" t="n"/>
      <c r="J265" s="319" t="n"/>
      <c r="K265" s="319" t="n"/>
      <c r="L265" s="319" t="n"/>
      <c r="M265" s="319" t="n"/>
      <c r="N265" s="319" t="n"/>
      <c r="O265" s="320" t="n"/>
      <c r="P265" s="321" t="inlineStr">
        <is>
          <t>Итого</t>
        </is>
      </c>
      <c r="Q265" s="322" t="n"/>
      <c r="R265" s="322" t="n"/>
      <c r="S265" s="322" t="n"/>
      <c r="T265" s="322" t="n"/>
      <c r="U265" s="322" t="n"/>
      <c r="V265" s="323" t="n"/>
      <c r="W265" s="37" t="inlineStr">
        <is>
          <t>кор</t>
        </is>
      </c>
      <c r="X265" s="308">
        <f>IFERROR(SUM(X263:X264),"0")</f>
        <v/>
      </c>
      <c r="Y265" s="308">
        <f>IFERROR(SUM(Y263:Y264),"0")</f>
        <v/>
      </c>
      <c r="Z265" s="308">
        <f>IFERROR(IF(Z263="",0,Z263),"0")+IFERROR(IF(Z264="",0,Z264),"0")</f>
        <v/>
      </c>
      <c r="AA265" s="309" t="n"/>
      <c r="AB265" s="309" t="n"/>
      <c r="AC265" s="309" t="n"/>
    </row>
    <row r="266">
      <c r="A266" s="319" t="n"/>
      <c r="B266" s="319" t="n"/>
      <c r="C266" s="319" t="n"/>
      <c r="D266" s="319" t="n"/>
      <c r="E266" s="319" t="n"/>
      <c r="F266" s="319" t="n"/>
      <c r="G266" s="319" t="n"/>
      <c r="H266" s="319" t="n"/>
      <c r="I266" s="319" t="n"/>
      <c r="J266" s="319" t="n"/>
      <c r="K266" s="319" t="n"/>
      <c r="L266" s="319" t="n"/>
      <c r="M266" s="319" t="n"/>
      <c r="N266" s="319" t="n"/>
      <c r="O266" s="320" t="n"/>
      <c r="P266" s="321" t="inlineStr">
        <is>
          <t>Итого</t>
        </is>
      </c>
      <c r="Q266" s="322" t="n"/>
      <c r="R266" s="322" t="n"/>
      <c r="S266" s="322" t="n"/>
      <c r="T266" s="322" t="n"/>
      <c r="U266" s="322" t="n"/>
      <c r="V266" s="323" t="n"/>
      <c r="W266" s="37" t="inlineStr">
        <is>
          <t>кг</t>
        </is>
      </c>
      <c r="X266" s="308">
        <f>IFERROR(SUMPRODUCT(X263:X264*H263:H264),"0")</f>
        <v/>
      </c>
      <c r="Y266" s="308">
        <f>IFERROR(SUMPRODUCT(Y263:Y264*H263:H264),"0")</f>
        <v/>
      </c>
      <c r="Z266" s="37" t="n"/>
      <c r="AA266" s="309" t="n"/>
      <c r="AB266" s="309" t="n"/>
      <c r="AC266" s="309" t="n"/>
    </row>
    <row r="267" ht="14.25" customHeight="1">
      <c r="A267" s="329" t="inlineStr">
        <is>
          <t>Чебуреки</t>
        </is>
      </c>
      <c r="B267" s="319" t="n"/>
      <c r="C267" s="319" t="n"/>
      <c r="D267" s="319" t="n"/>
      <c r="E267" s="319" t="n"/>
      <c r="F267" s="319" t="n"/>
      <c r="G267" s="319" t="n"/>
      <c r="H267" s="319" t="n"/>
      <c r="I267" s="319" t="n"/>
      <c r="J267" s="319" t="n"/>
      <c r="K267" s="319" t="n"/>
      <c r="L267" s="319" t="n"/>
      <c r="M267" s="319" t="n"/>
      <c r="N267" s="319" t="n"/>
      <c r="O267" s="319" t="n"/>
      <c r="P267" s="319" t="n"/>
      <c r="Q267" s="319" t="n"/>
      <c r="R267" s="319" t="n"/>
      <c r="S267" s="319" t="n"/>
      <c r="T267" s="319" t="n"/>
      <c r="U267" s="319" t="n"/>
      <c r="V267" s="319" t="n"/>
      <c r="W267" s="319" t="n"/>
      <c r="X267" s="319" t="n"/>
      <c r="Y267" s="319" t="n"/>
      <c r="Z267" s="319" t="n"/>
      <c r="AA267" s="329" t="n"/>
      <c r="AB267" s="329" t="n"/>
      <c r="AC267" s="329" t="n"/>
    </row>
    <row r="268" ht="27" customHeight="1">
      <c r="A268" s="53" t="inlineStr">
        <is>
          <t>SU003012</t>
        </is>
      </c>
      <c r="B268" s="53" t="inlineStr">
        <is>
          <t>P003478</t>
        </is>
      </c>
      <c r="C268" s="31" t="n">
        <v>4301136051</v>
      </c>
      <c r="D268" s="316" t="n">
        <v>4640242180304</v>
      </c>
      <c r="E268" s="317" t="n"/>
      <c r="F268" s="305" t="n">
        <v>2.7</v>
      </c>
      <c r="G268" s="32" t="n">
        <v>1</v>
      </c>
      <c r="H268" s="305" t="n">
        <v>2.7</v>
      </c>
      <c r="I268" s="305" t="n">
        <v>2.8906</v>
      </c>
      <c r="J268" s="32" t="n">
        <v>126</v>
      </c>
      <c r="K268" s="32" t="inlineStr">
        <is>
          <t>14</t>
        </is>
      </c>
      <c r="L268" s="32" t="inlineStr">
        <is>
          <t>Короб, мин. 1</t>
        </is>
      </c>
      <c r="M268" s="33" t="inlineStr">
        <is>
          <t>МГ</t>
        </is>
      </c>
      <c r="N268" s="33" t="n"/>
      <c r="O268" s="32" t="n">
        <v>180</v>
      </c>
      <c r="P268" s="364" t="inlineStr">
        <is>
          <t>Чебуреки «Мясные» Весовые ТМ «Зареченские» 2,7 кг</t>
        </is>
      </c>
      <c r="Q268" s="313" t="n"/>
      <c r="R268" s="313" t="n"/>
      <c r="S268" s="313" t="n"/>
      <c r="T268" s="314" t="n"/>
      <c r="U268" s="34" t="n"/>
      <c r="V268" s="34" t="n"/>
      <c r="W268" s="35" t="inlineStr">
        <is>
          <t>кор</t>
        </is>
      </c>
      <c r="X268" s="306" t="n">
        <v>0</v>
      </c>
      <c r="Y268" s="307">
        <f>IFERROR(IF(X268="","",X268),"")</f>
        <v/>
      </c>
      <c r="Z268" s="36">
        <f>IFERROR(IF(X268="","",X268*0.00936),"")</f>
        <v/>
      </c>
      <c r="AA268" s="55" t="n"/>
      <c r="AB268" s="56" t="n"/>
      <c r="AC268" s="242" t="inlineStr">
        <is>
          <t>ЕАЭС N RU Д-RU. РА04.В.83320/23</t>
        </is>
      </c>
      <c r="AG268" s="66" t="n"/>
      <c r="AJ268" s="69" t="inlineStr">
        <is>
          <t>Короб</t>
        </is>
      </c>
      <c r="AK268" s="69" t="n">
        <v>1</v>
      </c>
      <c r="BB268" s="243" t="inlineStr">
        <is>
          <t>ПГП</t>
        </is>
      </c>
      <c r="BM268" s="66">
        <f>IFERROR(X268*I268,"0")</f>
        <v/>
      </c>
      <c r="BN268" s="66">
        <f>IFERROR(Y268*I268,"0")</f>
        <v/>
      </c>
      <c r="BO268" s="66">
        <f>IFERROR(X268/J268,"0")</f>
        <v/>
      </c>
      <c r="BP268" s="66">
        <f>IFERROR(Y268/J268,"0")</f>
        <v/>
      </c>
    </row>
    <row r="269" ht="27" customHeight="1">
      <c r="A269" s="53" t="inlineStr">
        <is>
          <t>SU003010</t>
        </is>
      </c>
      <c r="B269" s="53" t="inlineStr">
        <is>
          <t>P003476</t>
        </is>
      </c>
      <c r="C269" s="31" t="n">
        <v>4301136053</v>
      </c>
      <c r="D269" s="316" t="n">
        <v>4640242180236</v>
      </c>
      <c r="E269" s="317" t="n"/>
      <c r="F269" s="305" t="n">
        <v>5</v>
      </c>
      <c r="G269" s="32" t="n">
        <v>1</v>
      </c>
      <c r="H269" s="305" t="n">
        <v>5</v>
      </c>
      <c r="I269" s="305" t="n">
        <v>5.235</v>
      </c>
      <c r="J269" s="32" t="n">
        <v>84</v>
      </c>
      <c r="K269" s="32" t="inlineStr">
        <is>
          <t>12</t>
        </is>
      </c>
      <c r="L269" s="32" t="inlineStr">
        <is>
          <t>Короб, мин. 1</t>
        </is>
      </c>
      <c r="M269" s="33" t="inlineStr">
        <is>
          <t>МГ</t>
        </is>
      </c>
      <c r="N269" s="33" t="n"/>
      <c r="O269" s="32" t="n">
        <v>180</v>
      </c>
      <c r="P269" s="459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/>
      </c>
      <c r="Q269" s="313" t="n"/>
      <c r="R269" s="313" t="n"/>
      <c r="S269" s="313" t="n"/>
      <c r="T269" s="314" t="n"/>
      <c r="U269" s="34" t="n"/>
      <c r="V269" s="34" t="n"/>
      <c r="W269" s="35" t="inlineStr">
        <is>
          <t>кор</t>
        </is>
      </c>
      <c r="X269" s="306" t="n">
        <v>0</v>
      </c>
      <c r="Y269" s="307">
        <f>IFERROR(IF(X269="","",X269),"")</f>
        <v/>
      </c>
      <c r="Z269" s="36">
        <f>IFERROR(IF(X269="","",X269*0.0155),"")</f>
        <v/>
      </c>
      <c r="AA269" s="55" t="n"/>
      <c r="AB269" s="56" t="n"/>
      <c r="AC269" s="244" t="inlineStr">
        <is>
          <t>ЕАЭС N RU Д-RU. РА04.В.83320/23</t>
        </is>
      </c>
      <c r="AG269" s="66" t="n"/>
      <c r="AJ269" s="69" t="inlineStr">
        <is>
          <t>Короб</t>
        </is>
      </c>
      <c r="AK269" s="69" t="n">
        <v>1</v>
      </c>
      <c r="BB269" s="245" t="inlineStr">
        <is>
          <t>ПГП</t>
        </is>
      </c>
      <c r="BM269" s="66">
        <f>IFERROR(X269*I269,"0")</f>
        <v/>
      </c>
      <c r="BN269" s="66">
        <f>IFERROR(Y269*I269,"0")</f>
        <v/>
      </c>
      <c r="BO269" s="66">
        <f>IFERROR(X269/J269,"0")</f>
        <v/>
      </c>
      <c r="BP269" s="66">
        <f>IFERROR(Y269/J269,"0")</f>
        <v/>
      </c>
    </row>
    <row r="270" ht="27" customHeight="1">
      <c r="A270" s="53" t="inlineStr">
        <is>
          <t>SU003025</t>
        </is>
      </c>
      <c r="B270" s="53" t="inlineStr">
        <is>
          <t>P003495</t>
        </is>
      </c>
      <c r="C270" s="31" t="n">
        <v>4301136052</v>
      </c>
      <c r="D270" s="316" t="n">
        <v>4640242180410</v>
      </c>
      <c r="E270" s="317" t="n"/>
      <c r="F270" s="305" t="n">
        <v>2.24</v>
      </c>
      <c r="G270" s="32" t="n">
        <v>1</v>
      </c>
      <c r="H270" s="305" t="n">
        <v>2.24</v>
      </c>
      <c r="I270" s="305" t="n">
        <v>2.432</v>
      </c>
      <c r="J270" s="32" t="n">
        <v>126</v>
      </c>
      <c r="K270" s="32" t="inlineStr">
        <is>
          <t>14</t>
        </is>
      </c>
      <c r="L270" s="32" t="inlineStr">
        <is>
          <t>Короб, мин. 1</t>
        </is>
      </c>
      <c r="M270" s="33" t="inlineStr">
        <is>
          <t>МГ</t>
        </is>
      </c>
      <c r="N270" s="33" t="n"/>
      <c r="O270" s="32" t="n">
        <v>180</v>
      </c>
      <c r="P270" s="474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/>
      </c>
      <c r="Q270" s="313" t="n"/>
      <c r="R270" s="313" t="n"/>
      <c r="S270" s="313" t="n"/>
      <c r="T270" s="314" t="n"/>
      <c r="U270" s="34" t="n"/>
      <c r="V270" s="34" t="n"/>
      <c r="W270" s="35" t="inlineStr">
        <is>
          <t>кор</t>
        </is>
      </c>
      <c r="X270" s="306" t="n">
        <v>0</v>
      </c>
      <c r="Y270" s="307">
        <f>IFERROR(IF(X270="","",X270),"")</f>
        <v/>
      </c>
      <c r="Z270" s="36">
        <f>IFERROR(IF(X270="","",X270*0.00936),"")</f>
        <v/>
      </c>
      <c r="AA270" s="55" t="n"/>
      <c r="AB270" s="56" t="n"/>
      <c r="AC270" s="246" t="inlineStr">
        <is>
          <t>ЕАЭС N RU Д-RU. РА04.В.83320/23</t>
        </is>
      </c>
      <c r="AG270" s="66" t="n"/>
      <c r="AJ270" s="69" t="inlineStr">
        <is>
          <t>Короб</t>
        </is>
      </c>
      <c r="AK270" s="69" t="n">
        <v>1</v>
      </c>
      <c r="BB270" s="247" t="inlineStr">
        <is>
          <t>ПГП</t>
        </is>
      </c>
      <c r="BM270" s="66">
        <f>IFERROR(X270*I270,"0")</f>
        <v/>
      </c>
      <c r="BN270" s="66">
        <f>IFERROR(Y270*I270,"0")</f>
        <v/>
      </c>
      <c r="BO270" s="66">
        <f>IFERROR(X270/J270,"0")</f>
        <v/>
      </c>
      <c r="BP270" s="66">
        <f>IFERROR(Y270/J270,"0")</f>
        <v/>
      </c>
    </row>
    <row r="271">
      <c r="A271" s="318" t="n"/>
      <c r="B271" s="319" t="n"/>
      <c r="C271" s="319" t="n"/>
      <c r="D271" s="319" t="n"/>
      <c r="E271" s="319" t="n"/>
      <c r="F271" s="319" t="n"/>
      <c r="G271" s="319" t="n"/>
      <c r="H271" s="319" t="n"/>
      <c r="I271" s="319" t="n"/>
      <c r="J271" s="319" t="n"/>
      <c r="K271" s="319" t="n"/>
      <c r="L271" s="319" t="n"/>
      <c r="M271" s="319" t="n"/>
      <c r="N271" s="319" t="n"/>
      <c r="O271" s="320" t="n"/>
      <c r="P271" s="321" t="inlineStr">
        <is>
          <t>Итого</t>
        </is>
      </c>
      <c r="Q271" s="322" t="n"/>
      <c r="R271" s="322" t="n"/>
      <c r="S271" s="322" t="n"/>
      <c r="T271" s="322" t="n"/>
      <c r="U271" s="322" t="n"/>
      <c r="V271" s="323" t="n"/>
      <c r="W271" s="37" t="inlineStr">
        <is>
          <t>кор</t>
        </is>
      </c>
      <c r="X271" s="308">
        <f>IFERROR(SUM(X268:X270),"0")</f>
        <v/>
      </c>
      <c r="Y271" s="308">
        <f>IFERROR(SUM(Y268:Y270),"0")</f>
        <v/>
      </c>
      <c r="Z271" s="308">
        <f>IFERROR(IF(Z268="",0,Z268),"0")+IFERROR(IF(Z269="",0,Z269),"0")+IFERROR(IF(Z270="",0,Z270),"0")</f>
        <v/>
      </c>
      <c r="AA271" s="309" t="n"/>
      <c r="AB271" s="309" t="n"/>
      <c r="AC271" s="309" t="n"/>
    </row>
    <row r="272">
      <c r="A272" s="319" t="n"/>
      <c r="B272" s="319" t="n"/>
      <c r="C272" s="319" t="n"/>
      <c r="D272" s="319" t="n"/>
      <c r="E272" s="319" t="n"/>
      <c r="F272" s="319" t="n"/>
      <c r="G272" s="319" t="n"/>
      <c r="H272" s="319" t="n"/>
      <c r="I272" s="319" t="n"/>
      <c r="J272" s="319" t="n"/>
      <c r="K272" s="319" t="n"/>
      <c r="L272" s="319" t="n"/>
      <c r="M272" s="319" t="n"/>
      <c r="N272" s="319" t="n"/>
      <c r="O272" s="320" t="n"/>
      <c r="P272" s="321" t="inlineStr">
        <is>
          <t>Итого</t>
        </is>
      </c>
      <c r="Q272" s="322" t="n"/>
      <c r="R272" s="322" t="n"/>
      <c r="S272" s="322" t="n"/>
      <c r="T272" s="322" t="n"/>
      <c r="U272" s="322" t="n"/>
      <c r="V272" s="323" t="n"/>
      <c r="W272" s="37" t="inlineStr">
        <is>
          <t>кг</t>
        </is>
      </c>
      <c r="X272" s="308">
        <f>IFERROR(SUMPRODUCT(X268:X270*H268:H270),"0")</f>
        <v/>
      </c>
      <c r="Y272" s="308">
        <f>IFERROR(SUMPRODUCT(Y268:Y270*H268:H270),"0")</f>
        <v/>
      </c>
      <c r="Z272" s="37" t="n"/>
      <c r="AA272" s="309" t="n"/>
      <c r="AB272" s="309" t="n"/>
      <c r="AC272" s="309" t="n"/>
    </row>
    <row r="273" ht="14.25" customHeight="1">
      <c r="A273" s="329" t="inlineStr">
        <is>
          <t>Снеки</t>
        </is>
      </c>
      <c r="B273" s="319" t="n"/>
      <c r="C273" s="319" t="n"/>
      <c r="D273" s="319" t="n"/>
      <c r="E273" s="319" t="n"/>
      <c r="F273" s="319" t="n"/>
      <c r="G273" s="319" t="n"/>
      <c r="H273" s="319" t="n"/>
      <c r="I273" s="319" t="n"/>
      <c r="J273" s="319" t="n"/>
      <c r="K273" s="319" t="n"/>
      <c r="L273" s="319" t="n"/>
      <c r="M273" s="319" t="n"/>
      <c r="N273" s="319" t="n"/>
      <c r="O273" s="319" t="n"/>
      <c r="P273" s="319" t="n"/>
      <c r="Q273" s="319" t="n"/>
      <c r="R273" s="319" t="n"/>
      <c r="S273" s="319" t="n"/>
      <c r="T273" s="319" t="n"/>
      <c r="U273" s="319" t="n"/>
      <c r="V273" s="319" t="n"/>
      <c r="W273" s="319" t="n"/>
      <c r="X273" s="319" t="n"/>
      <c r="Y273" s="319" t="n"/>
      <c r="Z273" s="319" t="n"/>
      <c r="AA273" s="329" t="n"/>
      <c r="AB273" s="329" t="n"/>
      <c r="AC273" s="329" t="n"/>
    </row>
    <row r="274" ht="37.5" customHeight="1">
      <c r="A274" s="53" t="inlineStr">
        <is>
          <t>SU003510</t>
        </is>
      </c>
      <c r="B274" s="53" t="inlineStr">
        <is>
          <t>P004457</t>
        </is>
      </c>
      <c r="C274" s="31" t="n">
        <v>4301135504</v>
      </c>
      <c r="D274" s="316" t="n">
        <v>4640242181554</v>
      </c>
      <c r="E274" s="317" t="n"/>
      <c r="F274" s="305" t="n">
        <v>3</v>
      </c>
      <c r="G274" s="32" t="n">
        <v>1</v>
      </c>
      <c r="H274" s="305" t="n">
        <v>3</v>
      </c>
      <c r="I274" s="305" t="n">
        <v>3.192</v>
      </c>
      <c r="J274" s="32" t="n">
        <v>126</v>
      </c>
      <c r="K274" s="32" t="inlineStr">
        <is>
          <t>14</t>
        </is>
      </c>
      <c r="L274" s="32" t="inlineStr">
        <is>
          <t>Короб, мин. 1</t>
        </is>
      </c>
      <c r="M274" s="33" t="inlineStr">
        <is>
          <t>МГ</t>
        </is>
      </c>
      <c r="N274" s="33" t="n"/>
      <c r="O274" s="32" t="n">
        <v>180</v>
      </c>
      <c r="P274" s="447" t="inlineStr">
        <is>
          <t>Снеки «Мини-пицца с ветчиной и сыром» Весовые ТМ «Зареченские продукты» 3 кг</t>
        </is>
      </c>
      <c r="Q274" s="313" t="n"/>
      <c r="R274" s="313" t="n"/>
      <c r="S274" s="313" t="n"/>
      <c r="T274" s="314" t="n"/>
      <c r="U274" s="34" t="n"/>
      <c r="V274" s="34" t="n"/>
      <c r="W274" s="35" t="inlineStr">
        <is>
          <t>кор</t>
        </is>
      </c>
      <c r="X274" s="306" t="n">
        <v>0</v>
      </c>
      <c r="Y274" s="307">
        <f>IFERROR(IF(X274="","",X274),"")</f>
        <v/>
      </c>
      <c r="Z274" s="36">
        <f>IFERROR(IF(X274="","",X274*0.00936),"")</f>
        <v/>
      </c>
      <c r="AA274" s="55" t="n"/>
      <c r="AB274" s="56" t="n"/>
      <c r="AC274" s="248" t="inlineStr">
        <is>
          <t>ЕАЭС N RU Д-RU.РА02.В.25079/24</t>
        </is>
      </c>
      <c r="AG274" s="66" t="n"/>
      <c r="AJ274" s="69" t="inlineStr">
        <is>
          <t>Короб</t>
        </is>
      </c>
      <c r="AK274" s="69" t="n">
        <v>1</v>
      </c>
      <c r="BB274" s="249" t="inlineStr">
        <is>
          <t>ПГП</t>
        </is>
      </c>
      <c r="BM274" s="66">
        <f>IFERROR(X274*I274,"0")</f>
        <v/>
      </c>
      <c r="BN274" s="66">
        <f>IFERROR(Y274*I274,"0")</f>
        <v/>
      </c>
      <c r="BO274" s="66">
        <f>IFERROR(X274/J274,"0")</f>
        <v/>
      </c>
      <c r="BP274" s="66">
        <f>IFERROR(Y274/J274,"0")</f>
        <v/>
      </c>
    </row>
    <row r="275" ht="27" customHeight="1">
      <c r="A275" s="53" t="inlineStr">
        <is>
          <t>SU003454</t>
        </is>
      </c>
      <c r="B275" s="53" t="inlineStr">
        <is>
          <t>P004364</t>
        </is>
      </c>
      <c r="C275" s="31" t="n">
        <v>4301135518</v>
      </c>
      <c r="D275" s="316" t="n">
        <v>4640242181561</v>
      </c>
      <c r="E275" s="317" t="n"/>
      <c r="F275" s="305" t="n">
        <v>3.7</v>
      </c>
      <c r="G275" s="32" t="n">
        <v>1</v>
      </c>
      <c r="H275" s="305" t="n">
        <v>3.7</v>
      </c>
      <c r="I275" s="305" t="n">
        <v>3.892</v>
      </c>
      <c r="J275" s="32" t="n">
        <v>126</v>
      </c>
      <c r="K275" s="32" t="inlineStr">
        <is>
          <t>14</t>
        </is>
      </c>
      <c r="L275" s="32" t="inlineStr">
        <is>
          <t>Короб, мин. 1</t>
        </is>
      </c>
      <c r="M275" s="33" t="inlineStr">
        <is>
          <t>МГ</t>
        </is>
      </c>
      <c r="N275" s="33" t="n"/>
      <c r="O275" s="32" t="n">
        <v>180</v>
      </c>
      <c r="P275" s="338" t="inlineStr">
        <is>
          <t>Снеки «Мини-сосиски в тесте» Весовые ТМ «Зареченские» 3,7 кг</t>
        </is>
      </c>
      <c r="Q275" s="313" t="n"/>
      <c r="R275" s="313" t="n"/>
      <c r="S275" s="313" t="n"/>
      <c r="T275" s="314" t="n"/>
      <c r="U275" s="34" t="n"/>
      <c r="V275" s="34" t="n"/>
      <c r="W275" s="35" t="inlineStr">
        <is>
          <t>кор</t>
        </is>
      </c>
      <c r="X275" s="306" t="n">
        <v>0</v>
      </c>
      <c r="Y275" s="307">
        <f>IFERROR(IF(X275="","",X275),"")</f>
        <v/>
      </c>
      <c r="Z275" s="36">
        <f>IFERROR(IF(X275="","",X275*0.00936),"")</f>
        <v/>
      </c>
      <c r="AA275" s="55" t="n"/>
      <c r="AB275" s="56" t="n"/>
      <c r="AC275" s="250" t="inlineStr">
        <is>
          <t>ЕАЭС N RU Д-RU.РА02.В.58883/24</t>
        </is>
      </c>
      <c r="AG275" s="66" t="n"/>
      <c r="AJ275" s="69" t="inlineStr">
        <is>
          <t>Короб</t>
        </is>
      </c>
      <c r="AK275" s="69" t="n">
        <v>1</v>
      </c>
      <c r="BB275" s="251" t="inlineStr">
        <is>
          <t>ПГП</t>
        </is>
      </c>
      <c r="BM275" s="66">
        <f>IFERROR(X275*I275,"0")</f>
        <v/>
      </c>
      <c r="BN275" s="66">
        <f>IFERROR(Y275*I275,"0")</f>
        <v/>
      </c>
      <c r="BO275" s="66">
        <f>IFERROR(X275/J275,"0")</f>
        <v/>
      </c>
      <c r="BP275" s="66">
        <f>IFERROR(Y275/J275,"0")</f>
        <v/>
      </c>
    </row>
    <row r="276" ht="27" customHeight="1">
      <c r="A276" s="53" t="inlineStr">
        <is>
          <t>SU003434</t>
        </is>
      </c>
      <c r="B276" s="53" t="inlineStr">
        <is>
          <t>P004358</t>
        </is>
      </c>
      <c r="C276" s="31" t="n">
        <v>4301135374</v>
      </c>
      <c r="D276" s="316" t="n">
        <v>4640242181424</v>
      </c>
      <c r="E276" s="317" t="n"/>
      <c r="F276" s="305" t="n">
        <v>5.5</v>
      </c>
      <c r="G276" s="32" t="n">
        <v>1</v>
      </c>
      <c r="H276" s="305" t="n">
        <v>5.5</v>
      </c>
      <c r="I276" s="305" t="n">
        <v>5.735</v>
      </c>
      <c r="J276" s="32" t="n">
        <v>84</v>
      </c>
      <c r="K276" s="32" t="inlineStr">
        <is>
          <t>12</t>
        </is>
      </c>
      <c r="L276" s="32" t="inlineStr">
        <is>
          <t>Короб, мин. 1</t>
        </is>
      </c>
      <c r="M276" s="33" t="inlineStr">
        <is>
          <t>МГ</t>
        </is>
      </c>
      <c r="N276" s="33" t="n"/>
      <c r="O276" s="32" t="n">
        <v>180</v>
      </c>
      <c r="P276" s="473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/>
      </c>
      <c r="Q276" s="313" t="n"/>
      <c r="R276" s="313" t="n"/>
      <c r="S276" s="313" t="n"/>
      <c r="T276" s="314" t="n"/>
      <c r="U276" s="34" t="n"/>
      <c r="V276" s="34" t="n"/>
      <c r="W276" s="35" t="inlineStr">
        <is>
          <t>кор</t>
        </is>
      </c>
      <c r="X276" s="306" t="n">
        <v>0</v>
      </c>
      <c r="Y276" s="307">
        <f>IFERROR(IF(X276="","",X276),"")</f>
        <v/>
      </c>
      <c r="Z276" s="36">
        <f>IFERROR(IF(X276="","",X276*0.0155),"")</f>
        <v/>
      </c>
      <c r="AA276" s="55" t="n"/>
      <c r="AB276" s="56" t="n"/>
      <c r="AC276" s="252" t="inlineStr">
        <is>
          <t>ЕАЭС N RU Д-RU.РА02.В.25079/24</t>
        </is>
      </c>
      <c r="AG276" s="66" t="n"/>
      <c r="AJ276" s="69" t="inlineStr">
        <is>
          <t>Короб</t>
        </is>
      </c>
      <c r="AK276" s="69" t="n">
        <v>1</v>
      </c>
      <c r="BB276" s="253" t="inlineStr">
        <is>
          <t>ПГП</t>
        </is>
      </c>
      <c r="BM276" s="66">
        <f>IFERROR(X276*I276,"0")</f>
        <v/>
      </c>
      <c r="BN276" s="66">
        <f>IFERROR(Y276*I276,"0")</f>
        <v/>
      </c>
      <c r="BO276" s="66">
        <f>IFERROR(X276/J276,"0")</f>
        <v/>
      </c>
      <c r="BP276" s="66">
        <f>IFERROR(Y276/J276,"0")</f>
        <v/>
      </c>
    </row>
    <row r="277" ht="37.5" customHeight="1">
      <c r="A277" s="53" t="inlineStr">
        <is>
          <t>SU003436</t>
        </is>
      </c>
      <c r="B277" s="53" t="inlineStr">
        <is>
          <t>P004439</t>
        </is>
      </c>
      <c r="C277" s="31" t="n">
        <v>4301135552</v>
      </c>
      <c r="D277" s="316" t="n">
        <v>4640242181431</v>
      </c>
      <c r="E277" s="317" t="n"/>
      <c r="F277" s="305" t="n">
        <v>3.5</v>
      </c>
      <c r="G277" s="32" t="n">
        <v>1</v>
      </c>
      <c r="H277" s="305" t="n">
        <v>3.5</v>
      </c>
      <c r="I277" s="305" t="n">
        <v>3.692</v>
      </c>
      <c r="J277" s="32" t="n">
        <v>126</v>
      </c>
      <c r="K277" s="32" t="inlineStr">
        <is>
          <t>14</t>
        </is>
      </c>
      <c r="L277" s="32" t="inlineStr">
        <is>
          <t>Короб, мин. 1</t>
        </is>
      </c>
      <c r="M277" s="33" t="inlineStr">
        <is>
          <t>МГ</t>
        </is>
      </c>
      <c r="N277" s="33" t="n"/>
      <c r="O277" s="32" t="n">
        <v>180</v>
      </c>
      <c r="P277" s="411" t="inlineStr">
        <is>
          <t>Снеки «Мини-чебуречки с картофелем и сочной грудинкой» Весовой ТМ «Зареченские продукты» 3,5 кг</t>
        </is>
      </c>
      <c r="Q277" s="313" t="n"/>
      <c r="R277" s="313" t="n"/>
      <c r="S277" s="313" t="n"/>
      <c r="T277" s="314" t="n"/>
      <c r="U277" s="34" t="n"/>
      <c r="V277" s="34" t="n"/>
      <c r="W277" s="35" t="inlineStr">
        <is>
          <t>кор</t>
        </is>
      </c>
      <c r="X277" s="306" t="n">
        <v>0</v>
      </c>
      <c r="Y277" s="307">
        <f>IFERROR(IF(X277="","",X277),"")</f>
        <v/>
      </c>
      <c r="Z277" s="36">
        <f>IFERROR(IF(X277="","",X277*0.00936),"")</f>
        <v/>
      </c>
      <c r="AA277" s="55" t="n"/>
      <c r="AB277" s="56" t="n"/>
      <c r="AC277" s="254" t="inlineStr">
        <is>
          <t>ЕАЭС N RU Д-RU.РА03.В.46679/24</t>
        </is>
      </c>
      <c r="AG277" s="66" t="n"/>
      <c r="AJ277" s="69" t="inlineStr">
        <is>
          <t>Короб</t>
        </is>
      </c>
      <c r="AK277" s="69" t="n">
        <v>1</v>
      </c>
      <c r="BB277" s="255" t="inlineStr">
        <is>
          <t>ПГП</t>
        </is>
      </c>
      <c r="BM277" s="66">
        <f>IFERROR(X277*I277,"0")</f>
        <v/>
      </c>
      <c r="BN277" s="66">
        <f>IFERROR(Y277*I277,"0")</f>
        <v/>
      </c>
      <c r="BO277" s="66">
        <f>IFERROR(X277/J277,"0")</f>
        <v/>
      </c>
      <c r="BP277" s="66">
        <f>IFERROR(Y277/J277,"0")</f>
        <v/>
      </c>
    </row>
    <row r="278" ht="27" customHeight="1">
      <c r="A278" s="53" t="inlineStr">
        <is>
          <t>SU003448</t>
        </is>
      </c>
      <c r="B278" s="53" t="inlineStr">
        <is>
          <t>P004394</t>
        </is>
      </c>
      <c r="C278" s="31" t="n">
        <v>4301135405</v>
      </c>
      <c r="D278" s="316" t="n">
        <v>4640242181523</v>
      </c>
      <c r="E278" s="317" t="n"/>
      <c r="F278" s="305" t="n">
        <v>3</v>
      </c>
      <c r="G278" s="32" t="n">
        <v>1</v>
      </c>
      <c r="H278" s="305" t="n">
        <v>3</v>
      </c>
      <c r="I278" s="305" t="n">
        <v>3.192</v>
      </c>
      <c r="J278" s="32" t="n">
        <v>126</v>
      </c>
      <c r="K278" s="32" t="inlineStr">
        <is>
          <t>14</t>
        </is>
      </c>
      <c r="L278" s="32" t="inlineStr">
        <is>
          <t>Короб, мин. 1</t>
        </is>
      </c>
      <c r="M278" s="33" t="inlineStr">
        <is>
          <t>МГ</t>
        </is>
      </c>
      <c r="N278" s="33" t="n"/>
      <c r="O278" s="32" t="n">
        <v>180</v>
      </c>
      <c r="P278" s="477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/>
      </c>
      <c r="Q278" s="313" t="n"/>
      <c r="R278" s="313" t="n"/>
      <c r="S278" s="313" t="n"/>
      <c r="T278" s="314" t="n"/>
      <c r="U278" s="34" t="n"/>
      <c r="V278" s="34" t="n"/>
      <c r="W278" s="35" t="inlineStr">
        <is>
          <t>кор</t>
        </is>
      </c>
      <c r="X278" s="306" t="n">
        <v>0</v>
      </c>
      <c r="Y278" s="307">
        <f>IFERROR(IF(X278="","",X278),"")</f>
        <v/>
      </c>
      <c r="Z278" s="36">
        <f>IFERROR(IF(X278="","",X278*0.00936),"")</f>
        <v/>
      </c>
      <c r="AA278" s="55" t="n"/>
      <c r="AB278" s="56" t="n"/>
      <c r="AC278" s="256" t="inlineStr">
        <is>
          <t>ЕАЭС N RU Д-RU.РА02.В.58883/24</t>
        </is>
      </c>
      <c r="AG278" s="66" t="n"/>
      <c r="AJ278" s="69" t="inlineStr">
        <is>
          <t>Короб</t>
        </is>
      </c>
      <c r="AK278" s="69" t="n">
        <v>1</v>
      </c>
      <c r="BB278" s="257" t="inlineStr">
        <is>
          <t>ПГП</t>
        </is>
      </c>
      <c r="BM278" s="66">
        <f>IFERROR(X278*I278,"0")</f>
        <v/>
      </c>
      <c r="BN278" s="66">
        <f>IFERROR(Y278*I278,"0")</f>
        <v/>
      </c>
      <c r="BO278" s="66">
        <f>IFERROR(X278/J278,"0")</f>
        <v/>
      </c>
      <c r="BP278" s="66">
        <f>IFERROR(Y278/J278,"0")</f>
        <v/>
      </c>
    </row>
    <row r="279" ht="27" customHeight="1">
      <c r="A279" s="53" t="inlineStr">
        <is>
          <t>SU003439</t>
        </is>
      </c>
      <c r="B279" s="53" t="inlineStr">
        <is>
          <t>P004359</t>
        </is>
      </c>
      <c r="C279" s="31" t="n">
        <v>4301135375</v>
      </c>
      <c r="D279" s="316" t="n">
        <v>4640242181486</v>
      </c>
      <c r="E279" s="317" t="n"/>
      <c r="F279" s="305" t="n">
        <v>3.7</v>
      </c>
      <c r="G279" s="32" t="n">
        <v>1</v>
      </c>
      <c r="H279" s="305" t="n">
        <v>3.7</v>
      </c>
      <c r="I279" s="305" t="n">
        <v>3.892</v>
      </c>
      <c r="J279" s="32" t="n">
        <v>126</v>
      </c>
      <c r="K279" s="32" t="inlineStr">
        <is>
          <t>14</t>
        </is>
      </c>
      <c r="L279" s="32" t="inlineStr">
        <is>
          <t>Короб, мин. 1</t>
        </is>
      </c>
      <c r="M279" s="33" t="inlineStr">
        <is>
          <t>МГ</t>
        </is>
      </c>
      <c r="N279" s="33" t="n"/>
      <c r="O279" s="32" t="n">
        <v>180</v>
      </c>
      <c r="P279" s="439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/>
      </c>
      <c r="Q279" s="313" t="n"/>
      <c r="R279" s="313" t="n"/>
      <c r="S279" s="313" t="n"/>
      <c r="T279" s="314" t="n"/>
      <c r="U279" s="34" t="n"/>
      <c r="V279" s="34" t="n"/>
      <c r="W279" s="35" t="inlineStr">
        <is>
          <t>кор</t>
        </is>
      </c>
      <c r="X279" s="306" t="n">
        <v>0</v>
      </c>
      <c r="Y279" s="307">
        <f>IFERROR(IF(X279="","",X279),"")</f>
        <v/>
      </c>
      <c r="Z279" s="36">
        <f>IFERROR(IF(X279="","",X279*0.00936),"")</f>
        <v/>
      </c>
      <c r="AA279" s="55" t="n"/>
      <c r="AB279" s="56" t="n"/>
      <c r="AC279" s="258" t="inlineStr">
        <is>
          <t>ЕАЭС N RU Д-RU.РА02.В.25079/24</t>
        </is>
      </c>
      <c r="AG279" s="66" t="n"/>
      <c r="AJ279" s="69" t="inlineStr">
        <is>
          <t>Короб</t>
        </is>
      </c>
      <c r="AK279" s="69" t="n">
        <v>1</v>
      </c>
      <c r="BB279" s="259" t="inlineStr">
        <is>
          <t>ПГП</t>
        </is>
      </c>
      <c r="BM279" s="66">
        <f>IFERROR(X279*I279,"0")</f>
        <v/>
      </c>
      <c r="BN279" s="66">
        <f>IFERROR(Y279*I279,"0")</f>
        <v/>
      </c>
      <c r="BO279" s="66">
        <f>IFERROR(X279/J279,"0")</f>
        <v/>
      </c>
      <c r="BP279" s="66">
        <f>IFERROR(Y279/J279,"0")</f>
        <v/>
      </c>
    </row>
    <row r="280" ht="37.5" customHeight="1">
      <c r="A280" s="53" t="inlineStr">
        <is>
          <t>SU003442</t>
        </is>
      </c>
      <c r="B280" s="53" t="inlineStr">
        <is>
          <t>P004391</t>
        </is>
      </c>
      <c r="C280" s="31" t="n">
        <v>4301135402</v>
      </c>
      <c r="D280" s="316" t="n">
        <v>4640242181493</v>
      </c>
      <c r="E280" s="317" t="n"/>
      <c r="F280" s="305" t="n">
        <v>3.7</v>
      </c>
      <c r="G280" s="32" t="n">
        <v>1</v>
      </c>
      <c r="H280" s="305" t="n">
        <v>3.7</v>
      </c>
      <c r="I280" s="305" t="n">
        <v>3.892</v>
      </c>
      <c r="J280" s="32" t="n">
        <v>126</v>
      </c>
      <c r="K280" s="32" t="inlineStr">
        <is>
          <t>14</t>
        </is>
      </c>
      <c r="L280" s="32" t="inlineStr">
        <is>
          <t>Короб, мин. 1</t>
        </is>
      </c>
      <c r="M280" s="33" t="inlineStr">
        <is>
          <t>МГ</t>
        </is>
      </c>
      <c r="N280" s="33" t="n"/>
      <c r="O280" s="32" t="n">
        <v>180</v>
      </c>
      <c r="P280" s="394" t="inlineStr">
        <is>
          <t>Снеки «Пирожки с мясом, картофелем и грибами» Весовые ТМ «Зареченские» 3,7 кг</t>
        </is>
      </c>
      <c r="Q280" s="313" t="n"/>
      <c r="R280" s="313" t="n"/>
      <c r="S280" s="313" t="n"/>
      <c r="T280" s="314" t="n"/>
      <c r="U280" s="34" t="n"/>
      <c r="V280" s="34" t="n"/>
      <c r="W280" s="35" t="inlineStr">
        <is>
          <t>кор</t>
        </is>
      </c>
      <c r="X280" s="306" t="n">
        <v>0</v>
      </c>
      <c r="Y280" s="307">
        <f>IFERROR(IF(X280="","",X280),"")</f>
        <v/>
      </c>
      <c r="Z280" s="36">
        <f>IFERROR(IF(X280="","",X280*0.00936),"")</f>
        <v/>
      </c>
      <c r="AA280" s="55" t="n"/>
      <c r="AB280" s="56" t="n"/>
      <c r="AC280" s="260" t="inlineStr">
        <is>
          <t>ЕАЭС N RU Д-RU.РА02.В.25079/24</t>
        </is>
      </c>
      <c r="AG280" s="66" t="n"/>
      <c r="AJ280" s="69" t="inlineStr">
        <is>
          <t>Короб</t>
        </is>
      </c>
      <c r="AK280" s="69" t="n">
        <v>1</v>
      </c>
      <c r="BB280" s="261" t="inlineStr">
        <is>
          <t>ПГП</t>
        </is>
      </c>
      <c r="BM280" s="66">
        <f>IFERROR(X280*I280,"0")</f>
        <v/>
      </c>
      <c r="BN280" s="66">
        <f>IFERROR(Y280*I280,"0")</f>
        <v/>
      </c>
      <c r="BO280" s="66">
        <f>IFERROR(X280/J280,"0")</f>
        <v/>
      </c>
      <c r="BP280" s="66">
        <f>IFERROR(Y280/J280,"0")</f>
        <v/>
      </c>
    </row>
    <row r="281" ht="37.5" customHeight="1">
      <c r="A281" s="53" t="inlineStr">
        <is>
          <t>SU003444</t>
        </is>
      </c>
      <c r="B281" s="53" t="inlineStr">
        <is>
          <t>P004392</t>
        </is>
      </c>
      <c r="C281" s="31" t="n">
        <v>4301135403</v>
      </c>
      <c r="D281" s="316" t="n">
        <v>4640242181509</v>
      </c>
      <c r="E281" s="317" t="n"/>
      <c r="F281" s="305" t="n">
        <v>3.7</v>
      </c>
      <c r="G281" s="32" t="n">
        <v>1</v>
      </c>
      <c r="H281" s="305" t="n">
        <v>3.7</v>
      </c>
      <c r="I281" s="305" t="n">
        <v>3.892</v>
      </c>
      <c r="J281" s="32" t="n">
        <v>126</v>
      </c>
      <c r="K281" s="32" t="inlineStr">
        <is>
          <t>14</t>
        </is>
      </c>
      <c r="L281" s="32" t="inlineStr">
        <is>
          <t>Короб, мин. 1</t>
        </is>
      </c>
      <c r="M281" s="33" t="inlineStr">
        <is>
          <t>МГ</t>
        </is>
      </c>
      <c r="N281" s="33" t="n"/>
      <c r="O281" s="32" t="n">
        <v>180</v>
      </c>
      <c r="P281" s="381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/>
      </c>
      <c r="Q281" s="313" t="n"/>
      <c r="R281" s="313" t="n"/>
      <c r="S281" s="313" t="n"/>
      <c r="T281" s="314" t="n"/>
      <c r="U281" s="34" t="n"/>
      <c r="V281" s="34" t="n"/>
      <c r="W281" s="35" t="inlineStr">
        <is>
          <t>кор</t>
        </is>
      </c>
      <c r="X281" s="306" t="n">
        <v>0</v>
      </c>
      <c r="Y281" s="307">
        <f>IFERROR(IF(X281="","",X281),"")</f>
        <v/>
      </c>
      <c r="Z281" s="36">
        <f>IFERROR(IF(X281="","",X281*0.00936),"")</f>
        <v/>
      </c>
      <c r="AA281" s="55" t="n"/>
      <c r="AB281" s="56" t="n"/>
      <c r="AC281" s="262" t="inlineStr">
        <is>
          <t>ЕАЭС N RU Д-RU.РА02.В.25079/24</t>
        </is>
      </c>
      <c r="AG281" s="66" t="n"/>
      <c r="AJ281" s="69" t="inlineStr">
        <is>
          <t>Короб</t>
        </is>
      </c>
      <c r="AK281" s="69" t="n">
        <v>1</v>
      </c>
      <c r="BB281" s="263" t="inlineStr">
        <is>
          <t>ПГП</t>
        </is>
      </c>
      <c r="BM281" s="66">
        <f>IFERROR(X281*I281,"0")</f>
        <v/>
      </c>
      <c r="BN281" s="66">
        <f>IFERROR(Y281*I281,"0")</f>
        <v/>
      </c>
      <c r="BO281" s="66">
        <f>IFERROR(X281/J281,"0")</f>
        <v/>
      </c>
      <c r="BP281" s="66">
        <f>IFERROR(Y281/J281,"0")</f>
        <v/>
      </c>
    </row>
    <row r="282" ht="27" customHeight="1">
      <c r="A282" s="53" t="inlineStr">
        <is>
          <t>SU003383</t>
        </is>
      </c>
      <c r="B282" s="53" t="inlineStr">
        <is>
          <t>P004191</t>
        </is>
      </c>
      <c r="C282" s="31" t="n">
        <v>4301135304</v>
      </c>
      <c r="D282" s="316" t="n">
        <v>4640242181240</v>
      </c>
      <c r="E282" s="317" t="n"/>
      <c r="F282" s="305" t="n">
        <v>0.3</v>
      </c>
      <c r="G282" s="32" t="n">
        <v>9</v>
      </c>
      <c r="H282" s="305" t="n">
        <v>2.7</v>
      </c>
      <c r="I282" s="305" t="n">
        <v>2.88</v>
      </c>
      <c r="J282" s="32" t="n">
        <v>126</v>
      </c>
      <c r="K282" s="32" t="inlineStr">
        <is>
          <t>14</t>
        </is>
      </c>
      <c r="L282" s="32" t="inlineStr">
        <is>
          <t>Короб, мин. 1</t>
        </is>
      </c>
      <c r="M282" s="33" t="inlineStr">
        <is>
          <t>МГ</t>
        </is>
      </c>
      <c r="N282" s="33" t="n"/>
      <c r="O282" s="32" t="n">
        <v>180</v>
      </c>
      <c r="P282" s="464" t="inlineStr">
        <is>
          <t>Снеки «Мини-пицца с ветчиной и сыром» Фикс.вес 0,3 ф/п ТМ «Зареченские»</t>
        </is>
      </c>
      <c r="Q282" s="313" t="n"/>
      <c r="R282" s="313" t="n"/>
      <c r="S282" s="313" t="n"/>
      <c r="T282" s="314" t="n"/>
      <c r="U282" s="34" t="n"/>
      <c r="V282" s="34" t="n"/>
      <c r="W282" s="35" t="inlineStr">
        <is>
          <t>кор</t>
        </is>
      </c>
      <c r="X282" s="306" t="n">
        <v>0</v>
      </c>
      <c r="Y282" s="307">
        <f>IFERROR(IF(X282="","",X282),"")</f>
        <v/>
      </c>
      <c r="Z282" s="36">
        <f>IFERROR(IF(X282="","",X282*0.00936),"")</f>
        <v/>
      </c>
      <c r="AA282" s="55" t="n"/>
      <c r="AB282" s="56" t="n"/>
      <c r="AC282" s="264" t="inlineStr">
        <is>
          <t>ЕАЭС N RU Д-RU.РА02.В.25079/24</t>
        </is>
      </c>
      <c r="AG282" s="66" t="n"/>
      <c r="AJ282" s="69" t="inlineStr">
        <is>
          <t>Короб</t>
        </is>
      </c>
      <c r="AK282" s="69" t="n">
        <v>1</v>
      </c>
      <c r="BB282" s="265" t="inlineStr">
        <is>
          <t>ПГП</t>
        </is>
      </c>
      <c r="BM282" s="66">
        <f>IFERROR(X282*I282,"0")</f>
        <v/>
      </c>
      <c r="BN282" s="66">
        <f>IFERROR(Y282*I282,"0")</f>
        <v/>
      </c>
      <c r="BO282" s="66">
        <f>IFERROR(X282/J282,"0")</f>
        <v/>
      </c>
      <c r="BP282" s="66">
        <f>IFERROR(Y282/J282,"0")</f>
        <v/>
      </c>
    </row>
    <row r="283" ht="27" customHeight="1">
      <c r="A283" s="53" t="inlineStr">
        <is>
          <t>SU003382</t>
        </is>
      </c>
      <c r="B283" s="53" t="inlineStr">
        <is>
          <t>P004195</t>
        </is>
      </c>
      <c r="C283" s="31" t="n">
        <v>4301135610</v>
      </c>
      <c r="D283" s="316" t="n">
        <v>4640242181318</v>
      </c>
      <c r="E283" s="317" t="n"/>
      <c r="F283" s="305" t="n">
        <v>0.3</v>
      </c>
      <c r="G283" s="32" t="n">
        <v>9</v>
      </c>
      <c r="H283" s="305" t="n">
        <v>2.7</v>
      </c>
      <c r="I283" s="305" t="n">
        <v>2.988</v>
      </c>
      <c r="J283" s="32" t="n">
        <v>126</v>
      </c>
      <c r="K283" s="32" t="inlineStr">
        <is>
          <t>14</t>
        </is>
      </c>
      <c r="L283" s="32" t="inlineStr">
        <is>
          <t>Короб, мин. 1</t>
        </is>
      </c>
      <c r="M283" s="33" t="inlineStr">
        <is>
          <t>МГ</t>
        </is>
      </c>
      <c r="N283" s="33" t="n"/>
      <c r="O283" s="32" t="n">
        <v>180</v>
      </c>
      <c r="P283" s="410" t="inlineStr">
        <is>
          <t>Снеки «Мини-сосиски в тесте» Фикс.вес 0,3 ф/п ТМ «Зареченские»</t>
        </is>
      </c>
      <c r="Q283" s="313" t="n"/>
      <c r="R283" s="313" t="n"/>
      <c r="S283" s="313" t="n"/>
      <c r="T283" s="314" t="n"/>
      <c r="U283" s="34" t="n"/>
      <c r="V283" s="34" t="n"/>
      <c r="W283" s="35" t="inlineStr">
        <is>
          <t>кор</t>
        </is>
      </c>
      <c r="X283" s="306" t="n">
        <v>0</v>
      </c>
      <c r="Y283" s="307">
        <f>IFERROR(IF(X283="","",X283),"")</f>
        <v/>
      </c>
      <c r="Z283" s="36">
        <f>IFERROR(IF(X283="","",X283*0.00936),"")</f>
        <v/>
      </c>
      <c r="AA283" s="55" t="n"/>
      <c r="AB283" s="56" t="n"/>
      <c r="AC283" s="266" t="inlineStr">
        <is>
          <t>ЕАЭС N RU Д-RU.РА02.В.58883/24</t>
        </is>
      </c>
      <c r="AG283" s="66" t="n"/>
      <c r="AJ283" s="69" t="inlineStr">
        <is>
          <t>Короб</t>
        </is>
      </c>
      <c r="AK283" s="69" t="n">
        <v>1</v>
      </c>
      <c r="BB283" s="267" t="inlineStr">
        <is>
          <t>ПГП</t>
        </is>
      </c>
      <c r="BM283" s="66">
        <f>IFERROR(X283*I283,"0")</f>
        <v/>
      </c>
      <c r="BN283" s="66">
        <f>IFERROR(Y283*I283,"0")</f>
        <v/>
      </c>
      <c r="BO283" s="66">
        <f>IFERROR(X283/J283,"0")</f>
        <v/>
      </c>
      <c r="BP283" s="66">
        <f>IFERROR(Y283/J283,"0")</f>
        <v/>
      </c>
    </row>
    <row r="284" ht="27" customHeight="1">
      <c r="A284" s="53" t="inlineStr">
        <is>
          <t>SU003377</t>
        </is>
      </c>
      <c r="B284" s="53" t="inlineStr">
        <is>
          <t>P004193</t>
        </is>
      </c>
      <c r="C284" s="31" t="n">
        <v>4301135306</v>
      </c>
      <c r="D284" s="316" t="n">
        <v>4640242181387</v>
      </c>
      <c r="E284" s="317" t="n"/>
      <c r="F284" s="305" t="n">
        <v>0.3</v>
      </c>
      <c r="G284" s="32" t="n">
        <v>9</v>
      </c>
      <c r="H284" s="305" t="n">
        <v>2.7</v>
      </c>
      <c r="I284" s="305" t="n">
        <v>2.845</v>
      </c>
      <c r="J284" s="32" t="n">
        <v>234</v>
      </c>
      <c r="K284" s="32" t="inlineStr">
        <is>
          <t>18</t>
        </is>
      </c>
      <c r="L284" s="32" t="inlineStr">
        <is>
          <t>Короб, мин. 1</t>
        </is>
      </c>
      <c r="M284" s="33" t="inlineStr">
        <is>
          <t>МГ</t>
        </is>
      </c>
      <c r="N284" s="33" t="n"/>
      <c r="O284" s="32" t="n">
        <v>180</v>
      </c>
      <c r="P284" s="367" t="inlineStr">
        <is>
          <t>Снеки «Мини-чебуречки с мясом» Фикс.вес 0,3 ф/п ТМ «Зареченские»</t>
        </is>
      </c>
      <c r="Q284" s="313" t="n"/>
      <c r="R284" s="313" t="n"/>
      <c r="S284" s="313" t="n"/>
      <c r="T284" s="314" t="n"/>
      <c r="U284" s="34" t="n"/>
      <c r="V284" s="34" t="n"/>
      <c r="W284" s="35" t="inlineStr">
        <is>
          <t>кор</t>
        </is>
      </c>
      <c r="X284" s="306" t="n">
        <v>0</v>
      </c>
      <c r="Y284" s="307">
        <f>IFERROR(IF(X284="","",X284),"")</f>
        <v/>
      </c>
      <c r="Z284" s="36">
        <f>IFERROR(IF(X284="","",X284*0.00502),"")</f>
        <v/>
      </c>
      <c r="AA284" s="55" t="n"/>
      <c r="AB284" s="56" t="n"/>
      <c r="AC284" s="268" t="inlineStr">
        <is>
          <t>ЕАЭС N RU Д-RU.РА02.В.25079/24</t>
        </is>
      </c>
      <c r="AG284" s="66" t="n"/>
      <c r="AJ284" s="69" t="inlineStr">
        <is>
          <t>Короб</t>
        </is>
      </c>
      <c r="AK284" s="69" t="n">
        <v>1</v>
      </c>
      <c r="BB284" s="269" t="inlineStr">
        <is>
          <t>ПГП</t>
        </is>
      </c>
      <c r="BM284" s="66">
        <f>IFERROR(X284*I284,"0")</f>
        <v/>
      </c>
      <c r="BN284" s="66">
        <f>IFERROR(Y284*I284,"0")</f>
        <v/>
      </c>
      <c r="BO284" s="66">
        <f>IFERROR(X284/J284,"0")</f>
        <v/>
      </c>
      <c r="BP284" s="66">
        <f>IFERROR(Y284/J284,"0")</f>
        <v/>
      </c>
    </row>
    <row r="285" ht="27" customHeight="1">
      <c r="A285" s="53" t="inlineStr">
        <is>
          <t>SU003376</t>
        </is>
      </c>
      <c r="B285" s="53" t="inlineStr">
        <is>
          <t>P004194</t>
        </is>
      </c>
      <c r="C285" s="31" t="n">
        <v>4301135305</v>
      </c>
      <c r="D285" s="316" t="n">
        <v>4640242181394</v>
      </c>
      <c r="E285" s="317" t="n"/>
      <c r="F285" s="305" t="n">
        <v>0.3</v>
      </c>
      <c r="G285" s="32" t="n">
        <v>9</v>
      </c>
      <c r="H285" s="305" t="n">
        <v>2.7</v>
      </c>
      <c r="I285" s="305" t="n">
        <v>2.845</v>
      </c>
      <c r="J285" s="32" t="n">
        <v>234</v>
      </c>
      <c r="K285" s="32" t="inlineStr">
        <is>
          <t>18</t>
        </is>
      </c>
      <c r="L285" s="32" t="inlineStr">
        <is>
          <t>Короб, мин. 1</t>
        </is>
      </c>
      <c r="M285" s="33" t="inlineStr">
        <is>
          <t>МГ</t>
        </is>
      </c>
      <c r="N285" s="33" t="n"/>
      <c r="O285" s="32" t="n">
        <v>180</v>
      </c>
      <c r="P285" s="413" t="inlineStr">
        <is>
          <t>Снеки «Мини-чебуречки с сыром и ветчиной» Фикс.вес 0,3 ф/п ТМ «Зареченские»</t>
        </is>
      </c>
      <c r="Q285" s="313" t="n"/>
      <c r="R285" s="313" t="n"/>
      <c r="S285" s="313" t="n"/>
      <c r="T285" s="314" t="n"/>
      <c r="U285" s="34" t="n"/>
      <c r="V285" s="34" t="n"/>
      <c r="W285" s="35" t="inlineStr">
        <is>
          <t>кор</t>
        </is>
      </c>
      <c r="X285" s="306" t="n">
        <v>0</v>
      </c>
      <c r="Y285" s="307">
        <f>IFERROR(IF(X285="","",X285),"")</f>
        <v/>
      </c>
      <c r="Z285" s="36">
        <f>IFERROR(IF(X285="","",X285*0.00502),"")</f>
        <v/>
      </c>
      <c r="AA285" s="55" t="n"/>
      <c r="AB285" s="56" t="n"/>
      <c r="AC285" s="270" t="inlineStr">
        <is>
          <t>ЕАЭС N RU Д-RU.РА02.В.25079/24</t>
        </is>
      </c>
      <c r="AG285" s="66" t="n"/>
      <c r="AJ285" s="69" t="inlineStr">
        <is>
          <t>Короб</t>
        </is>
      </c>
      <c r="AK285" s="69" t="n">
        <v>1</v>
      </c>
      <c r="BB285" s="271" t="inlineStr">
        <is>
          <t>ПГП</t>
        </is>
      </c>
      <c r="BM285" s="66">
        <f>IFERROR(X285*I285,"0")</f>
        <v/>
      </c>
      <c r="BN285" s="66">
        <f>IFERROR(Y285*I285,"0")</f>
        <v/>
      </c>
      <c r="BO285" s="66">
        <f>IFERROR(X285/J285,"0")</f>
        <v/>
      </c>
      <c r="BP285" s="66">
        <f>IFERROR(Y285/J285,"0")</f>
        <v/>
      </c>
    </row>
    <row r="286" ht="27" customHeight="1">
      <c r="A286" s="53" t="inlineStr">
        <is>
          <t>SU003378</t>
        </is>
      </c>
      <c r="B286" s="53" t="inlineStr">
        <is>
          <t>P004196</t>
        </is>
      </c>
      <c r="C286" s="31" t="n">
        <v>4301135309</v>
      </c>
      <c r="D286" s="316" t="n">
        <v>4640242181332</v>
      </c>
      <c r="E286" s="317" t="n"/>
      <c r="F286" s="305" t="n">
        <v>0.3</v>
      </c>
      <c r="G286" s="32" t="n">
        <v>9</v>
      </c>
      <c r="H286" s="305" t="n">
        <v>2.7</v>
      </c>
      <c r="I286" s="305" t="n">
        <v>2.908</v>
      </c>
      <c r="J286" s="32" t="n">
        <v>234</v>
      </c>
      <c r="K286" s="32" t="inlineStr">
        <is>
          <t>18</t>
        </is>
      </c>
      <c r="L286" s="32" t="inlineStr">
        <is>
          <t>Короб, мин. 1</t>
        </is>
      </c>
      <c r="M286" s="33" t="inlineStr">
        <is>
          <t>МГ</t>
        </is>
      </c>
      <c r="N286" s="33" t="n"/>
      <c r="O286" s="32" t="n">
        <v>180</v>
      </c>
      <c r="P286" s="374" t="inlineStr">
        <is>
          <t>Снеки «Пирожки с мясом» Фикс.вес 0,3 ф/п ТМ «Зареченские»</t>
        </is>
      </c>
      <c r="Q286" s="313" t="n"/>
      <c r="R286" s="313" t="n"/>
      <c r="S286" s="313" t="n"/>
      <c r="T286" s="314" t="n"/>
      <c r="U286" s="34" t="n"/>
      <c r="V286" s="34" t="n"/>
      <c r="W286" s="35" t="inlineStr">
        <is>
          <t>кор</t>
        </is>
      </c>
      <c r="X286" s="306" t="n">
        <v>0</v>
      </c>
      <c r="Y286" s="307">
        <f>IFERROR(IF(X286="","",X286),"")</f>
        <v/>
      </c>
      <c r="Z286" s="36">
        <f>IFERROR(IF(X286="","",X286*0.00502),"")</f>
        <v/>
      </c>
      <c r="AA286" s="55" t="n"/>
      <c r="AB286" s="56" t="n"/>
      <c r="AC286" s="272" t="inlineStr">
        <is>
          <t>ЕАЭС N RU Д-RU.РА02.В.25079/24</t>
        </is>
      </c>
      <c r="AG286" s="66" t="n"/>
      <c r="AJ286" s="69" t="inlineStr">
        <is>
          <t>Короб</t>
        </is>
      </c>
      <c r="AK286" s="69" t="n">
        <v>1</v>
      </c>
      <c r="BB286" s="273" t="inlineStr">
        <is>
          <t>ПГП</t>
        </is>
      </c>
      <c r="BM286" s="66">
        <f>IFERROR(X286*I286,"0")</f>
        <v/>
      </c>
      <c r="BN286" s="66">
        <f>IFERROR(Y286*I286,"0")</f>
        <v/>
      </c>
      <c r="BO286" s="66">
        <f>IFERROR(X286/J286,"0")</f>
        <v/>
      </c>
      <c r="BP286" s="66">
        <f>IFERROR(Y286/J286,"0")</f>
        <v/>
      </c>
    </row>
    <row r="287" ht="27" customHeight="1">
      <c r="A287" s="53" t="inlineStr">
        <is>
          <t>SU003379</t>
        </is>
      </c>
      <c r="B287" s="53" t="inlineStr">
        <is>
          <t>P004197</t>
        </is>
      </c>
      <c r="C287" s="31" t="n">
        <v>4301135308</v>
      </c>
      <c r="D287" s="316" t="n">
        <v>4640242181349</v>
      </c>
      <c r="E287" s="317" t="n"/>
      <c r="F287" s="305" t="n">
        <v>0.3</v>
      </c>
      <c r="G287" s="32" t="n">
        <v>9</v>
      </c>
      <c r="H287" s="305" t="n">
        <v>2.7</v>
      </c>
      <c r="I287" s="305" t="n">
        <v>2.908</v>
      </c>
      <c r="J287" s="32" t="n">
        <v>234</v>
      </c>
      <c r="K287" s="32" t="inlineStr">
        <is>
          <t>18</t>
        </is>
      </c>
      <c r="L287" s="32" t="inlineStr">
        <is>
          <t>Короб, мин. 1</t>
        </is>
      </c>
      <c r="M287" s="33" t="inlineStr">
        <is>
          <t>МГ</t>
        </is>
      </c>
      <c r="N287" s="33" t="n"/>
      <c r="O287" s="32" t="n">
        <v>180</v>
      </c>
      <c r="P287" s="380" t="inlineStr">
        <is>
          <t>Снеки «Пирожки с мясом, картофелем и грибами» Фикс.вес 0,3 ф/п ТМ «Зареченские»</t>
        </is>
      </c>
      <c r="Q287" s="313" t="n"/>
      <c r="R287" s="313" t="n"/>
      <c r="S287" s="313" t="n"/>
      <c r="T287" s="314" t="n"/>
      <c r="U287" s="34" t="n"/>
      <c r="V287" s="34" t="n"/>
      <c r="W287" s="35" t="inlineStr">
        <is>
          <t>кор</t>
        </is>
      </c>
      <c r="X287" s="306" t="n">
        <v>0</v>
      </c>
      <c r="Y287" s="307">
        <f>IFERROR(IF(X287="","",X287),"")</f>
        <v/>
      </c>
      <c r="Z287" s="36">
        <f>IFERROR(IF(X287="","",X287*0.00502),"")</f>
        <v/>
      </c>
      <c r="AA287" s="55" t="n"/>
      <c r="AB287" s="56" t="n"/>
      <c r="AC287" s="274" t="inlineStr">
        <is>
          <t>ЕАЭС N RU Д-RU.РА02.В.25079/24</t>
        </is>
      </c>
      <c r="AG287" s="66" t="n"/>
      <c r="AJ287" s="69" t="inlineStr">
        <is>
          <t>Короб</t>
        </is>
      </c>
      <c r="AK287" s="69" t="n">
        <v>1</v>
      </c>
      <c r="BB287" s="275" t="inlineStr">
        <is>
          <t>ПГП</t>
        </is>
      </c>
      <c r="BM287" s="66">
        <f>IFERROR(X287*I287,"0")</f>
        <v/>
      </c>
      <c r="BN287" s="66">
        <f>IFERROR(Y287*I287,"0")</f>
        <v/>
      </c>
      <c r="BO287" s="66">
        <f>IFERROR(X287/J287,"0")</f>
        <v/>
      </c>
      <c r="BP287" s="66">
        <f>IFERROR(Y287/J287,"0")</f>
        <v/>
      </c>
    </row>
    <row r="288" ht="27" customHeight="1">
      <c r="A288" s="53" t="inlineStr">
        <is>
          <t>SU003380</t>
        </is>
      </c>
      <c r="B288" s="53" t="inlineStr">
        <is>
          <t>P004192</t>
        </is>
      </c>
      <c r="C288" s="31" t="n">
        <v>4301135307</v>
      </c>
      <c r="D288" s="316" t="n">
        <v>4640242181370</v>
      </c>
      <c r="E288" s="317" t="n"/>
      <c r="F288" s="305" t="n">
        <v>0.3</v>
      </c>
      <c r="G288" s="32" t="n">
        <v>9</v>
      </c>
      <c r="H288" s="305" t="n">
        <v>2.7</v>
      </c>
      <c r="I288" s="305" t="n">
        <v>2.908</v>
      </c>
      <c r="J288" s="32" t="n">
        <v>234</v>
      </c>
      <c r="K288" s="32" t="inlineStr">
        <is>
          <t>18</t>
        </is>
      </c>
      <c r="L288" s="32" t="inlineStr">
        <is>
          <t>Короб, мин. 1</t>
        </is>
      </c>
      <c r="M288" s="33" t="inlineStr">
        <is>
          <t>МГ</t>
        </is>
      </c>
      <c r="N288" s="33" t="n"/>
      <c r="O288" s="32" t="n">
        <v>180</v>
      </c>
      <c r="P288" s="497" t="inlineStr">
        <is>
          <t>Снеки «Пирожки с яблоком и грушей» Фикс.вес 0,3 ф/п ТМ «Зареченские»</t>
        </is>
      </c>
      <c r="Q288" s="313" t="n"/>
      <c r="R288" s="313" t="n"/>
      <c r="S288" s="313" t="n"/>
      <c r="T288" s="314" t="n"/>
      <c r="U288" s="34" t="n"/>
      <c r="V288" s="34" t="n"/>
      <c r="W288" s="35" t="inlineStr">
        <is>
          <t>кор</t>
        </is>
      </c>
      <c r="X288" s="306" t="n">
        <v>0</v>
      </c>
      <c r="Y288" s="307">
        <f>IFERROR(IF(X288="","",X288),"")</f>
        <v/>
      </c>
      <c r="Z288" s="36">
        <f>IFERROR(IF(X288="","",X288*0.00502),"")</f>
        <v/>
      </c>
      <c r="AA288" s="55" t="n"/>
      <c r="AB288" s="56" t="n"/>
      <c r="AC288" s="276" t="inlineStr">
        <is>
          <t>ЕАЭС N RU Д-RU. РА04. В.83232/23, ЕАЭС N RU Д-RU.РА02.В.25079/24</t>
        </is>
      </c>
      <c r="AG288" s="66" t="n"/>
      <c r="AJ288" s="69" t="inlineStr">
        <is>
          <t>Короб</t>
        </is>
      </c>
      <c r="AK288" s="69" t="n">
        <v>1</v>
      </c>
      <c r="BB288" s="277" t="inlineStr">
        <is>
          <t>ПГП</t>
        </is>
      </c>
      <c r="BM288" s="66">
        <f>IFERROR(X288*I288,"0")</f>
        <v/>
      </c>
      <c r="BN288" s="66">
        <f>IFERROR(Y288*I288,"0")</f>
        <v/>
      </c>
      <c r="BO288" s="66">
        <f>IFERROR(X288/J288,"0")</f>
        <v/>
      </c>
      <c r="BP288" s="66">
        <f>IFERROR(Y288/J288,"0")</f>
        <v/>
      </c>
    </row>
    <row r="289">
      <c r="A289" s="318" t="n"/>
      <c r="B289" s="319" t="n"/>
      <c r="C289" s="319" t="n"/>
      <c r="D289" s="319" t="n"/>
      <c r="E289" s="319" t="n"/>
      <c r="F289" s="319" t="n"/>
      <c r="G289" s="319" t="n"/>
      <c r="H289" s="319" t="n"/>
      <c r="I289" s="319" t="n"/>
      <c r="J289" s="319" t="n"/>
      <c r="K289" s="319" t="n"/>
      <c r="L289" s="319" t="n"/>
      <c r="M289" s="319" t="n"/>
      <c r="N289" s="319" t="n"/>
      <c r="O289" s="320" t="n"/>
      <c r="P289" s="321" t="inlineStr">
        <is>
          <t>Итого</t>
        </is>
      </c>
      <c r="Q289" s="322" t="n"/>
      <c r="R289" s="322" t="n"/>
      <c r="S289" s="322" t="n"/>
      <c r="T289" s="322" t="n"/>
      <c r="U289" s="322" t="n"/>
      <c r="V289" s="323" t="n"/>
      <c r="W289" s="37" t="inlineStr">
        <is>
          <t>кор</t>
        </is>
      </c>
      <c r="X289" s="308">
        <f>IFERROR(SUM(X274:X288),"0")</f>
        <v/>
      </c>
      <c r="Y289" s="308">
        <f>IFERROR(SUM(Y274:Y288),"0")</f>
        <v/>
      </c>
      <c r="Z289" s="308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/>
      </c>
      <c r="AA289" s="309" t="n"/>
      <c r="AB289" s="309" t="n"/>
      <c r="AC289" s="309" t="n"/>
    </row>
    <row r="290">
      <c r="A290" s="319" t="n"/>
      <c r="B290" s="319" t="n"/>
      <c r="C290" s="319" t="n"/>
      <c r="D290" s="319" t="n"/>
      <c r="E290" s="319" t="n"/>
      <c r="F290" s="319" t="n"/>
      <c r="G290" s="319" t="n"/>
      <c r="H290" s="319" t="n"/>
      <c r="I290" s="319" t="n"/>
      <c r="J290" s="319" t="n"/>
      <c r="K290" s="319" t="n"/>
      <c r="L290" s="319" t="n"/>
      <c r="M290" s="319" t="n"/>
      <c r="N290" s="319" t="n"/>
      <c r="O290" s="320" t="n"/>
      <c r="P290" s="321" t="inlineStr">
        <is>
          <t>Итого</t>
        </is>
      </c>
      <c r="Q290" s="322" t="n"/>
      <c r="R290" s="322" t="n"/>
      <c r="S290" s="322" t="n"/>
      <c r="T290" s="322" t="n"/>
      <c r="U290" s="322" t="n"/>
      <c r="V290" s="323" t="n"/>
      <c r="W290" s="37" t="inlineStr">
        <is>
          <t>кг</t>
        </is>
      </c>
      <c r="X290" s="308">
        <f>IFERROR(SUMPRODUCT(X274:X288*H274:H288),"0")</f>
        <v/>
      </c>
      <c r="Y290" s="308">
        <f>IFERROR(SUMPRODUCT(Y274:Y288*H274:H288),"0")</f>
        <v/>
      </c>
      <c r="Z290" s="37" t="n"/>
      <c r="AA290" s="309" t="n"/>
      <c r="AB290" s="309" t="n"/>
      <c r="AC290" s="309" t="n"/>
    </row>
    <row r="291" ht="15" customHeight="1">
      <c r="A291" s="344" t="n"/>
      <c r="B291" s="319" t="n"/>
      <c r="C291" s="319" t="n"/>
      <c r="D291" s="319" t="n"/>
      <c r="E291" s="319" t="n"/>
      <c r="F291" s="319" t="n"/>
      <c r="G291" s="319" t="n"/>
      <c r="H291" s="319" t="n"/>
      <c r="I291" s="319" t="n"/>
      <c r="J291" s="319" t="n"/>
      <c r="K291" s="319" t="n"/>
      <c r="L291" s="319" t="n"/>
      <c r="M291" s="319" t="n"/>
      <c r="N291" s="319" t="n"/>
      <c r="O291" s="345" t="n"/>
      <c r="P291" s="382" t="inlineStr">
        <is>
          <t>ИТОГО НЕТТО</t>
        </is>
      </c>
      <c r="Q291" s="383" t="n"/>
      <c r="R291" s="383" t="n"/>
      <c r="S291" s="383" t="n"/>
      <c r="T291" s="383" t="n"/>
      <c r="U291" s="383" t="n"/>
      <c r="V291" s="384" t="n"/>
      <c r="W291" s="37" t="inlineStr">
        <is>
          <t>кг</t>
        </is>
      </c>
      <c r="X291" s="308">
        <f>IFERROR(X24+X31+X38+X46+X51+X55+X59+X64+X70+X76+X82+X88+X98+X104+X113+X117+X121+X127+X133+X139+X144+X149+X154+X159+X166+X174+X178+X184+X191+X201+X209+X214+X219+X225+X231+X237+X243+X249+X253+X261+X266+X272+X290,"0")</f>
        <v/>
      </c>
      <c r="Y291" s="308">
        <f>IFERROR(Y24+Y31+Y38+Y46+Y51+Y55+Y59+Y64+Y70+Y76+Y82+Y88+Y98+Y104+Y113+Y117+Y121+Y127+Y133+Y139+Y144+Y149+Y154+Y159+Y166+Y174+Y178+Y184+Y191+Y201+Y209+Y214+Y219+Y225+Y231+Y237+Y243+Y249+Y253+Y261+Y266+Y272+Y290,"0")</f>
        <v/>
      </c>
      <c r="Z291" s="37" t="n"/>
      <c r="AA291" s="309" t="n"/>
      <c r="AB291" s="309" t="n"/>
      <c r="AC291" s="309" t="n"/>
    </row>
    <row r="292">
      <c r="A292" s="319" t="n"/>
      <c r="B292" s="319" t="n"/>
      <c r="C292" s="319" t="n"/>
      <c r="D292" s="319" t="n"/>
      <c r="E292" s="319" t="n"/>
      <c r="F292" s="319" t="n"/>
      <c r="G292" s="319" t="n"/>
      <c r="H292" s="319" t="n"/>
      <c r="I292" s="319" t="n"/>
      <c r="J292" s="319" t="n"/>
      <c r="K292" s="319" t="n"/>
      <c r="L292" s="319" t="n"/>
      <c r="M292" s="319" t="n"/>
      <c r="N292" s="319" t="n"/>
      <c r="O292" s="345" t="n"/>
      <c r="P292" s="382" t="inlineStr">
        <is>
          <t>ИТОГО БРУТТО</t>
        </is>
      </c>
      <c r="Q292" s="383" t="n"/>
      <c r="R292" s="383" t="n"/>
      <c r="S292" s="383" t="n"/>
      <c r="T292" s="383" t="n"/>
      <c r="U292" s="383" t="n"/>
      <c r="V292" s="384" t="n"/>
      <c r="W292" s="37" t="inlineStr">
        <is>
          <t>кг</t>
        </is>
      </c>
      <c r="X292" s="308">
        <f>IFERROR(SUM(BM22:BM288),"0")</f>
        <v/>
      </c>
      <c r="Y292" s="308">
        <f>IFERROR(SUM(BN22:BN288),"0")</f>
        <v/>
      </c>
      <c r="Z292" s="37" t="n"/>
      <c r="AA292" s="309" t="n"/>
      <c r="AB292" s="309" t="n"/>
      <c r="AC292" s="309" t="n"/>
    </row>
    <row r="293">
      <c r="A293" s="319" t="n"/>
      <c r="B293" s="319" t="n"/>
      <c r="C293" s="319" t="n"/>
      <c r="D293" s="319" t="n"/>
      <c r="E293" s="319" t="n"/>
      <c r="F293" s="319" t="n"/>
      <c r="G293" s="319" t="n"/>
      <c r="H293" s="319" t="n"/>
      <c r="I293" s="319" t="n"/>
      <c r="J293" s="319" t="n"/>
      <c r="K293" s="319" t="n"/>
      <c r="L293" s="319" t="n"/>
      <c r="M293" s="319" t="n"/>
      <c r="N293" s="319" t="n"/>
      <c r="O293" s="345" t="n"/>
      <c r="P293" s="382" t="inlineStr">
        <is>
          <t>Кол-во паллет</t>
        </is>
      </c>
      <c r="Q293" s="383" t="n"/>
      <c r="R293" s="383" t="n"/>
      <c r="S293" s="383" t="n"/>
      <c r="T293" s="383" t="n"/>
      <c r="U293" s="383" t="n"/>
      <c r="V293" s="384" t="n"/>
      <c r="W293" s="37" t="inlineStr">
        <is>
          <t>шт</t>
        </is>
      </c>
      <c r="X293" s="38">
        <f>ROUNDUP(SUM(BO22:BO288),0)</f>
        <v/>
      </c>
      <c r="Y293" s="38">
        <f>ROUNDUP(SUM(BP22:BP288),0)</f>
        <v/>
      </c>
      <c r="Z293" s="37" t="n"/>
      <c r="AA293" s="309" t="n"/>
      <c r="AB293" s="309" t="n"/>
      <c r="AC293" s="309" t="n"/>
    </row>
    <row r="294">
      <c r="A294" s="319" t="n"/>
      <c r="B294" s="319" t="n"/>
      <c r="C294" s="319" t="n"/>
      <c r="D294" s="319" t="n"/>
      <c r="E294" s="319" t="n"/>
      <c r="F294" s="319" t="n"/>
      <c r="G294" s="319" t="n"/>
      <c r="H294" s="319" t="n"/>
      <c r="I294" s="319" t="n"/>
      <c r="J294" s="319" t="n"/>
      <c r="K294" s="319" t="n"/>
      <c r="L294" s="319" t="n"/>
      <c r="M294" s="319" t="n"/>
      <c r="N294" s="319" t="n"/>
      <c r="O294" s="345" t="n"/>
      <c r="P294" s="382" t="inlineStr">
        <is>
          <t>Вес брутто  с паллетами</t>
        </is>
      </c>
      <c r="Q294" s="383" t="n"/>
      <c r="R294" s="383" t="n"/>
      <c r="S294" s="383" t="n"/>
      <c r="T294" s="383" t="n"/>
      <c r="U294" s="383" t="n"/>
      <c r="V294" s="384" t="n"/>
      <c r="W294" s="37" t="inlineStr">
        <is>
          <t>кг</t>
        </is>
      </c>
      <c r="X294" s="308">
        <f>GrossWeightTotal+PalletQtyTotal*25</f>
        <v/>
      </c>
      <c r="Y294" s="308">
        <f>GrossWeightTotalR+PalletQtyTotalR*25</f>
        <v/>
      </c>
      <c r="Z294" s="37" t="n"/>
      <c r="AA294" s="309" t="n"/>
      <c r="AB294" s="309" t="n"/>
      <c r="AC294" s="309" t="n"/>
    </row>
    <row r="295">
      <c r="A295" s="319" t="n"/>
      <c r="B295" s="319" t="n"/>
      <c r="C295" s="319" t="n"/>
      <c r="D295" s="319" t="n"/>
      <c r="E295" s="319" t="n"/>
      <c r="F295" s="319" t="n"/>
      <c r="G295" s="319" t="n"/>
      <c r="H295" s="319" t="n"/>
      <c r="I295" s="319" t="n"/>
      <c r="J295" s="319" t="n"/>
      <c r="K295" s="319" t="n"/>
      <c r="L295" s="319" t="n"/>
      <c r="M295" s="319" t="n"/>
      <c r="N295" s="319" t="n"/>
      <c r="O295" s="345" t="n"/>
      <c r="P295" s="382" t="inlineStr">
        <is>
          <t>Кол-во коробок</t>
        </is>
      </c>
      <c r="Q295" s="383" t="n"/>
      <c r="R295" s="383" t="n"/>
      <c r="S295" s="383" t="n"/>
      <c r="T295" s="383" t="n"/>
      <c r="U295" s="383" t="n"/>
      <c r="V295" s="384" t="n"/>
      <c r="W295" s="37" t="inlineStr">
        <is>
          <t>шт</t>
        </is>
      </c>
      <c r="X295" s="308">
        <f>IFERROR(X23+X30+X37+X45+X50+X54+X58+X63+X69+X75+X81+X87+X97+X103+X112+X116+X120+X126+X132+X138+X143+X148+X153+X158+X165+X173+X177+X183+X190+X200+X208+X213+X218+X224+X230+X236+X242+X248+X252+X260+X265+X271+X289,"0")</f>
        <v/>
      </c>
      <c r="Y295" s="308">
        <f>IFERROR(Y23+Y30+Y37+Y45+Y50+Y54+Y58+Y63+Y69+Y75+Y81+Y87+Y97+Y103+Y112+Y116+Y120+Y126+Y132+Y138+Y143+Y148+Y153+Y158+Y165+Y173+Y177+Y183+Y190+Y200+Y208+Y213+Y218+Y224+Y230+Y236+Y242+Y248+Y252+Y260+Y265+Y271+Y289,"0")</f>
        <v/>
      </c>
      <c r="Z295" s="37" t="n"/>
      <c r="AA295" s="309" t="n"/>
      <c r="AB295" s="309" t="n"/>
      <c r="AC295" s="309" t="n"/>
    </row>
    <row r="296" ht="14.25" customHeight="1">
      <c r="A296" s="319" t="n"/>
      <c r="B296" s="319" t="n"/>
      <c r="C296" s="319" t="n"/>
      <c r="D296" s="319" t="n"/>
      <c r="E296" s="319" t="n"/>
      <c r="F296" s="319" t="n"/>
      <c r="G296" s="319" t="n"/>
      <c r="H296" s="319" t="n"/>
      <c r="I296" s="319" t="n"/>
      <c r="J296" s="319" t="n"/>
      <c r="K296" s="319" t="n"/>
      <c r="L296" s="319" t="n"/>
      <c r="M296" s="319" t="n"/>
      <c r="N296" s="319" t="n"/>
      <c r="O296" s="345" t="n"/>
      <c r="P296" s="382" t="inlineStr">
        <is>
          <t>Объем заказа</t>
        </is>
      </c>
      <c r="Q296" s="383" t="n"/>
      <c r="R296" s="383" t="n"/>
      <c r="S296" s="383" t="n"/>
      <c r="T296" s="383" t="n"/>
      <c r="U296" s="383" t="n"/>
      <c r="V296" s="384" t="n"/>
      <c r="W296" s="39" t="inlineStr">
        <is>
          <t>м3</t>
        </is>
      </c>
      <c r="X296" s="37" t="n"/>
      <c r="Y296" s="37" t="n"/>
      <c r="Z296" s="37">
        <f>IFERROR(Z23+Z30+Z37+Z45+Z50+Z54+Z58+Z63+Z69+Z75+Z81+Z87+Z97+Z103+Z112+Z116+Z120+Z126+Z132+Z138+Z143+Z148+Z153+Z158+Z165+Z173+Z177+Z183+Z190+Z200+Z208+Z213+Z218+Z224+Z230+Z236+Z242+Z248+Z252+Z260+Z265+Z271+Z289,"0")</f>
        <v/>
      </c>
      <c r="AA296" s="309" t="n"/>
      <c r="AB296" s="309" t="n"/>
      <c r="AC296" s="309" t="n"/>
    </row>
    <row r="297" ht="13.5" customHeight="1" thickBot="1"/>
    <row r="298" ht="27" customHeight="1" thickBot="1" thickTop="1">
      <c r="A298" s="40" t="inlineStr">
        <is>
          <t>ТОРГОВАЯ МАРКА</t>
        </is>
      </c>
      <c r="B298" s="325" t="inlineStr">
        <is>
          <t>Ядрена копоть</t>
        </is>
      </c>
      <c r="C298" s="325" t="inlineStr">
        <is>
          <t>Горячая штучка</t>
        </is>
      </c>
      <c r="D298" s="436" t="n"/>
      <c r="E298" s="436" t="n"/>
      <c r="F298" s="436" t="n"/>
      <c r="G298" s="436" t="n"/>
      <c r="H298" s="436" t="n"/>
      <c r="I298" s="436" t="n"/>
      <c r="J298" s="436" t="n"/>
      <c r="K298" s="436" t="n"/>
      <c r="L298" s="436" t="n"/>
      <c r="M298" s="436" t="n"/>
      <c r="N298" s="436" t="n"/>
      <c r="O298" s="436" t="n"/>
      <c r="P298" s="436" t="n"/>
      <c r="Q298" s="436" t="n"/>
      <c r="R298" s="436" t="n"/>
      <c r="S298" s="436" t="n"/>
      <c r="T298" s="437" t="n"/>
      <c r="U298" s="325" t="inlineStr">
        <is>
          <t>No Name</t>
        </is>
      </c>
      <c r="V298" s="325" t="inlineStr">
        <is>
          <t>Вязанка</t>
        </is>
      </c>
      <c r="W298" s="325" t="inlineStr">
        <is>
          <t>Стародворье</t>
        </is>
      </c>
      <c r="X298" s="436" t="n"/>
      <c r="Y298" s="436" t="n"/>
      <c r="Z298" s="436" t="n"/>
      <c r="AA298" s="436" t="n"/>
      <c r="AB298" s="437" t="n"/>
      <c r="AC298" s="325" t="inlineStr">
        <is>
          <t>Колбасный стандарт</t>
        </is>
      </c>
      <c r="AD298" s="325" t="inlineStr">
        <is>
          <t>Особый рецепт</t>
        </is>
      </c>
      <c r="AE298" s="325" t="inlineStr">
        <is>
          <t>Владимирский стандарт</t>
        </is>
      </c>
      <c r="AF298" s="325" t="inlineStr">
        <is>
          <t>Зареченские продукты</t>
        </is>
      </c>
    </row>
    <row r="299" ht="14.25" customHeight="1" thickTop="1">
      <c r="A299" s="398" t="inlineStr">
        <is>
          <t>СЕРИЯ</t>
        </is>
      </c>
      <c r="B299" s="325" t="inlineStr">
        <is>
          <t>Ядрена копоть</t>
        </is>
      </c>
      <c r="C299" s="325" t="inlineStr">
        <is>
          <t>Наггетсы ГШ</t>
        </is>
      </c>
      <c r="D299" s="325" t="inlineStr">
        <is>
          <t>Grandmeni</t>
        </is>
      </c>
      <c r="E299" s="325" t="inlineStr">
        <is>
          <t>Бигбули ГШ</t>
        </is>
      </c>
      <c r="F299" s="325" t="inlineStr">
        <is>
          <t>Foodgital</t>
        </is>
      </c>
      <c r="G299" s="325" t="inlineStr">
        <is>
          <t>Бульмени вес ГШ</t>
        </is>
      </c>
      <c r="H299" s="325" t="inlineStr">
        <is>
          <t>Бельмеши</t>
        </is>
      </c>
      <c r="I299" s="325" t="inlineStr">
        <is>
          <t>Крылышки ГШ</t>
        </is>
      </c>
      <c r="J299" s="325" t="inlineStr">
        <is>
          <t>Чебупели</t>
        </is>
      </c>
      <c r="K299" s="325" t="inlineStr">
        <is>
          <t>Чебуреки ГШ</t>
        </is>
      </c>
      <c r="L299" s="325" t="inlineStr">
        <is>
          <t>Бульмени ГШ</t>
        </is>
      </c>
      <c r="M299" s="325" t="inlineStr">
        <is>
          <t>Чебупицца</t>
        </is>
      </c>
      <c r="N299" s="319" t="n"/>
      <c r="O299" s="325" t="inlineStr">
        <is>
          <t>Хотстеры</t>
        </is>
      </c>
      <c r="P299" s="325" t="inlineStr">
        <is>
          <t>Круггетсы</t>
        </is>
      </c>
      <c r="Q299" s="325" t="inlineStr">
        <is>
          <t>Пекерсы</t>
        </is>
      </c>
      <c r="R299" s="325" t="inlineStr">
        <is>
          <t>Хот-Догстер</t>
        </is>
      </c>
      <c r="S299" s="325" t="inlineStr">
        <is>
          <t>Супермени</t>
        </is>
      </c>
      <c r="T299" s="325" t="inlineStr">
        <is>
          <t>Чебуманы</t>
        </is>
      </c>
      <c r="U299" s="325" t="inlineStr">
        <is>
          <t>No Name ЗПФ</t>
        </is>
      </c>
      <c r="V299" s="325" t="inlineStr">
        <is>
          <t>Сливушка</t>
        </is>
      </c>
      <c r="W299" s="325" t="inlineStr">
        <is>
          <t>Стародворье ПГП</t>
        </is>
      </c>
      <c r="X299" s="325" t="inlineStr">
        <is>
          <t>Медвежьи ушки</t>
        </is>
      </c>
      <c r="Y299" s="325" t="inlineStr">
        <is>
          <t>Медвежье ушко</t>
        </is>
      </c>
      <c r="Z299" s="325" t="inlineStr">
        <is>
          <t>Стародворские</t>
        </is>
      </c>
      <c r="AA299" s="325" t="inlineStr">
        <is>
          <t>Добросельские ЭТМ</t>
        </is>
      </c>
      <c r="AB299" s="325" t="inlineStr">
        <is>
          <t>Сочные</t>
        </is>
      </c>
      <c r="AC299" s="325" t="inlineStr">
        <is>
          <t>Владимирский Стандарт ЗПФ</t>
        </is>
      </c>
      <c r="AD299" s="325" t="inlineStr">
        <is>
          <t>Любимая ложка</t>
        </is>
      </c>
      <c r="AE299" s="325" t="inlineStr">
        <is>
          <t>Владимирский Стандарт ПГП</t>
        </is>
      </c>
      <c r="AF299" s="325" t="inlineStr">
        <is>
          <t>Зареченские продукты</t>
        </is>
      </c>
    </row>
    <row r="300" ht="13.5" customHeight="1" thickBot="1">
      <c r="A300" s="399" t="n"/>
      <c r="B300" s="326" t="n"/>
      <c r="C300" s="326" t="n"/>
      <c r="D300" s="326" t="n"/>
      <c r="E300" s="326" t="n"/>
      <c r="F300" s="326" t="n"/>
      <c r="G300" s="326" t="n"/>
      <c r="H300" s="326" t="n"/>
      <c r="I300" s="326" t="n"/>
      <c r="J300" s="326" t="n"/>
      <c r="K300" s="326" t="n"/>
      <c r="L300" s="326" t="n"/>
      <c r="M300" s="326" t="n"/>
      <c r="N300" s="319" t="n"/>
      <c r="O300" s="326" t="n"/>
      <c r="P300" s="326" t="n"/>
      <c r="Q300" s="326" t="n"/>
      <c r="R300" s="326" t="n"/>
      <c r="S300" s="326" t="n"/>
      <c r="T300" s="326" t="n"/>
      <c r="U300" s="326" t="n"/>
      <c r="V300" s="326" t="n"/>
      <c r="W300" s="326" t="n"/>
      <c r="X300" s="326" t="n"/>
      <c r="Y300" s="326" t="n"/>
      <c r="Z300" s="326" t="n"/>
      <c r="AA300" s="326" t="n"/>
      <c r="AB300" s="326" t="n"/>
      <c r="AC300" s="326" t="n"/>
      <c r="AD300" s="326" t="n"/>
      <c r="AE300" s="326" t="n"/>
      <c r="AF300" s="326" t="n"/>
    </row>
    <row r="301" ht="18" customHeight="1" thickBot="1" thickTop="1">
      <c r="A301" s="40" t="inlineStr">
        <is>
          <t>ИТОГО, кг</t>
        </is>
      </c>
      <c r="B301" s="46">
        <f>IFERROR(X22*H22,"0")</f>
        <v/>
      </c>
      <c r="C301" s="46">
        <f>IFERROR(X28*H28,"0")+IFERROR(X29*H29,"0")</f>
        <v/>
      </c>
      <c r="D301" s="46">
        <f>IFERROR(X34*H34,"0")+IFERROR(X35*H35,"0")+IFERROR(X36*H36,"0")</f>
        <v/>
      </c>
      <c r="E301" s="46">
        <f>IFERROR(X41*H41,"0")+IFERROR(X42*H42,"0")+IFERROR(X43*H43,"0")+IFERROR(X44*H44,"0")</f>
        <v/>
      </c>
      <c r="F301" s="46">
        <f>IFERROR(X49*H49,"0")+IFERROR(X53*H53,"0")+IFERROR(X57*H57,"0")+IFERROR(X61*H61,"0")+IFERROR(X62*H62,"0")+IFERROR(X66*H66,"0")+IFERROR(X67*H67,"0")+IFERROR(X68*H68,"0")</f>
        <v/>
      </c>
      <c r="G301" s="46">
        <f>IFERROR(X73*H73,"0")+IFERROR(X74*H74,"0")</f>
        <v/>
      </c>
      <c r="H301" s="46">
        <f>IFERROR(X79*H79,"0")+IFERROR(X80*H80,"0")</f>
        <v/>
      </c>
      <c r="I301" s="46">
        <f>IFERROR(X85*H85,"0")+IFERROR(X86*H86,"0")</f>
        <v/>
      </c>
      <c r="J301" s="46">
        <f>IFERROR(X91*H91,"0")+IFERROR(X92*H92,"0")+IFERROR(X93*H93,"0")+IFERROR(X94*H94,"0")+IFERROR(X95*H95,"0")+IFERROR(X96*H96,"0")</f>
        <v/>
      </c>
      <c r="K301" s="46">
        <f>IFERROR(X101*H101,"0")+IFERROR(X102*H102,"0")</f>
        <v/>
      </c>
      <c r="L301" s="46">
        <f>IFERROR(X107*H107,"0")+IFERROR(X108*H108,"0")+IFERROR(X109*H109,"0")+IFERROR(X110*H110,"0")+IFERROR(X111*H111,"0")+IFERROR(X115*H115,"0")+IFERROR(X119*H119,"0")</f>
        <v/>
      </c>
      <c r="M301" s="46">
        <f>IFERROR(X124*H124,"0")+IFERROR(X125*H125,"0")</f>
        <v/>
      </c>
      <c r="N301" s="319" t="n"/>
      <c r="O301" s="46">
        <f>IFERROR(X130*H130,"0")+IFERROR(X131*H131,"0")</f>
        <v/>
      </c>
      <c r="P301" s="46">
        <f>IFERROR(X136*H136,"0")+IFERROR(X137*H137,"0")</f>
        <v/>
      </c>
      <c r="Q301" s="46">
        <f>IFERROR(X142*H142,"0")</f>
        <v/>
      </c>
      <c r="R301" s="46">
        <f>IFERROR(X147*H147,"0")</f>
        <v/>
      </c>
      <c r="S301" s="46">
        <f>IFERROR(X152*H152,"0")</f>
        <v/>
      </c>
      <c r="T301" s="46">
        <f>IFERROR(X157*H157,"0")</f>
        <v/>
      </c>
      <c r="U301" s="46">
        <f>IFERROR(X163*H163,"0")+IFERROR(X164*H164,"0")</f>
        <v/>
      </c>
      <c r="V301" s="46">
        <f>IFERROR(X170*H170,"0")+IFERROR(X171*H171,"0")+IFERROR(X172*H172,"0")+IFERROR(X176*H176,"0")</f>
        <v/>
      </c>
      <c r="W301" s="46">
        <f>IFERROR(X182*H182,"0")+IFERROR(X186*H186,"0")+IFERROR(X187*H187,"0")+IFERROR(X188*H188,"0")+IFERROR(X189*H189,"0")</f>
        <v/>
      </c>
      <c r="X301" s="46">
        <f>IFERROR(X194*H194,"0")+IFERROR(X195*H195,"0")+IFERROR(X196*H196,"0")+IFERROR(X197*H197,"0")+IFERROR(X198*H198,"0")+IFERROR(X199*H199,"0")</f>
        <v/>
      </c>
      <c r="Y301" s="46">
        <f>IFERROR(X204*H204,"0")+IFERROR(X205*H205,"0")+IFERROR(X206*H206,"0")+IFERROR(X207*H207,"0")</f>
        <v/>
      </c>
      <c r="Z301" s="46">
        <f>IFERROR(X212*H212,"0")</f>
        <v/>
      </c>
      <c r="AA301" s="46">
        <f>IFERROR(X217*H217,"0")+IFERROR(X221*H221,"0")+IFERROR(X222*H222,"0")+IFERROR(X223*H223,"0")</f>
        <v/>
      </c>
      <c r="AB301" s="46">
        <f>IFERROR(X228*H228,"0")+IFERROR(X229*H229,"0")</f>
        <v/>
      </c>
      <c r="AC301" s="46">
        <f>IFERROR(X235*H235,"0")</f>
        <v/>
      </c>
      <c r="AD301" s="46">
        <f>IFERROR(X241*H241,"0")</f>
        <v/>
      </c>
      <c r="AE301" s="46">
        <f>IFERROR(X247*H247,"0")+IFERROR(X251*H251,"0")</f>
        <v/>
      </c>
      <c r="AF301" s="46">
        <f>IFERROR(X257*H257,"0")+IFERROR(X258*H258,"0")+IFERROR(X259*H259,"0")+IFERROR(X263*H263,"0")+IFERROR(X264*H264,"0")+IFERROR(X268*H268,"0")+IFERROR(X269*H269,"0")+IFERROR(X270*H270,"0")+IFERROR(X274*H274,"0")+IFERROR(X275*H275,"0")+IFERROR(X276*H276,"0")+IFERROR(X277*H277,"0")+IFERROR(X278*H278,"0")+IFERROR(X279*H279,"0")+IFERROR(X280*H280,"0")+IFERROR(X281*H281,"0")+IFERROR(X282*H282,"0")+IFERROR(X283*H283,"0")+IFERROR(X284*H284,"0")+IFERROR(X285*H285,"0")+IFERROR(X286*H286,"0")+IFERROR(X287*H287,"0")+IFERROR(X288*H288,"0")</f>
        <v/>
      </c>
    </row>
    <row r="302" ht="13.5" customHeight="1" thickTop="1">
      <c r="C302" s="319" t="n"/>
    </row>
    <row r="303" ht="19.5" customHeight="1">
      <c r="A303" s="57" t="inlineStr">
        <is>
          <t>ЗПФ, кг</t>
        </is>
      </c>
      <c r="B303" s="57" t="inlineStr">
        <is>
          <t xml:space="preserve">ПГП, кг </t>
        </is>
      </c>
      <c r="C303" s="57" t="inlineStr">
        <is>
          <t>КИЗ, кг</t>
        </is>
      </c>
    </row>
    <row r="304">
      <c r="A304" s="58">
        <f>SUMPRODUCT(--(BB:BB="ЗПФ"),--(W:W="кор"),H:H,Y:Y)+SUMPRODUCT(--(BB:BB="ЗПФ"),--(W:W="кг"),Y:Y)</f>
        <v/>
      </c>
      <c r="B304" s="59">
        <f>SUMPRODUCT(--(BB:BB="ПГП"),--(W:W="кор"),H:H,Y:Y)+SUMPRODUCT(--(BB:BB="ПГП"),--(W:W="кг"),Y:Y)</f>
        <v/>
      </c>
      <c r="C304" s="59">
        <f>SUMPRODUCT(--(BB:BB="КИЗ"),--(W:W="кор"),H:H,Y:Y)+SUMPRODUCT(--(BB:BB="КИЗ"),--(W:W="кг"),Y:Y)</f>
        <v/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XEgJqMX8dZEtCmX+ndJB7g==" formatRows="1" sort="0" spinCount="100000" hashValue="YymRxQe/PNcMmSsv+8CPI8uK0SF+lnD+gDZPiE3pRL7SPJAMkrSUSP9oI8owFqwxdnlKEGkk7/yUpXruFUzhYg=="/>
  <autoFilter ref="A18:AF296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525">
    <mergeCell ref="P79:T79"/>
    <mergeCell ref="P73:T73"/>
    <mergeCell ref="D187:E187"/>
    <mergeCell ref="A190:O191"/>
    <mergeCell ref="A165:O166"/>
    <mergeCell ref="P87:V87"/>
    <mergeCell ref="A83:Z83"/>
    <mergeCell ref="E299:E300"/>
    <mergeCell ref="G299:G300"/>
    <mergeCell ref="H9:I9"/>
    <mergeCell ref="P224:V224"/>
    <mergeCell ref="P24:V24"/>
    <mergeCell ref="D281:E281"/>
    <mergeCell ref="P260:V260"/>
    <mergeCell ref="P88:V88"/>
    <mergeCell ref="A78:Z78"/>
    <mergeCell ref="P153:V153"/>
    <mergeCell ref="D263:E263"/>
    <mergeCell ref="A65:Z65"/>
    <mergeCell ref="A45:O46"/>
    <mergeCell ref="P86:T86"/>
    <mergeCell ref="P157:T157"/>
    <mergeCell ref="D205:E205"/>
    <mergeCell ref="A87:O88"/>
    <mergeCell ref="R1:T1"/>
    <mergeCell ref="A158:O159"/>
    <mergeCell ref="P28:T28"/>
    <mergeCell ref="P172:T172"/>
    <mergeCell ref="A218:O219"/>
    <mergeCell ref="P221:T221"/>
    <mergeCell ref="Z299:Z300"/>
    <mergeCell ref="AB299:AB300"/>
    <mergeCell ref="D73:E73"/>
    <mergeCell ref="P152:T152"/>
    <mergeCell ref="P166:V166"/>
    <mergeCell ref="A202:Z202"/>
    <mergeCell ref="P37:V37"/>
    <mergeCell ref="P230:V230"/>
    <mergeCell ref="A63:O64"/>
    <mergeCell ref="P275:T275"/>
    <mergeCell ref="B17:B18"/>
    <mergeCell ref="P143:V143"/>
    <mergeCell ref="P248:V248"/>
    <mergeCell ref="D131:E131"/>
    <mergeCell ref="D258:E258"/>
    <mergeCell ref="A60:Z60"/>
    <mergeCell ref="Y299:Y300"/>
    <mergeCell ref="D124:E124"/>
    <mergeCell ref="V10:W10"/>
    <mergeCell ref="D195:E195"/>
    <mergeCell ref="D189:E189"/>
    <mergeCell ref="A173:O174"/>
    <mergeCell ref="D287:E287"/>
    <mergeCell ref="P170:T170"/>
    <mergeCell ref="A291:O296"/>
    <mergeCell ref="D66:E66"/>
    <mergeCell ref="P113:V113"/>
    <mergeCell ref="D197:E197"/>
    <mergeCell ref="D53:E53"/>
    <mergeCell ref="A84:Z84"/>
    <mergeCell ref="P159:V159"/>
    <mergeCell ref="P147:T147"/>
    <mergeCell ref="W17:W18"/>
    <mergeCell ref="P261:V261"/>
    <mergeCell ref="A151:Z151"/>
    <mergeCell ref="M299:M300"/>
    <mergeCell ref="O299:O300"/>
    <mergeCell ref="P154:V154"/>
    <mergeCell ref="A150:Z150"/>
    <mergeCell ref="D142:E142"/>
    <mergeCell ref="A215:Z215"/>
    <mergeCell ref="A120:O121"/>
    <mergeCell ref="D7:M7"/>
    <mergeCell ref="D299:D300"/>
    <mergeCell ref="F299:F300"/>
    <mergeCell ref="D79:E79"/>
    <mergeCell ref="P92:T92"/>
    <mergeCell ref="P29:T29"/>
    <mergeCell ref="A97:O98"/>
    <mergeCell ref="P94:T94"/>
    <mergeCell ref="D8:M8"/>
    <mergeCell ref="P44:T44"/>
    <mergeCell ref="A226:Z226"/>
    <mergeCell ref="A148:O149"/>
    <mergeCell ref="P45:V45"/>
    <mergeCell ref="P95:T95"/>
    <mergeCell ref="H1:Q1"/>
    <mergeCell ref="P38:V38"/>
    <mergeCell ref="A99:Z99"/>
    <mergeCell ref="D284:E284"/>
    <mergeCell ref="D259:E259"/>
    <mergeCell ref="D28:E28"/>
    <mergeCell ref="D92:E92"/>
    <mergeCell ref="P171:T171"/>
    <mergeCell ref="D67:E67"/>
    <mergeCell ref="D5:E5"/>
    <mergeCell ref="A140:Z140"/>
    <mergeCell ref="P42:T42"/>
    <mergeCell ref="D94:E94"/>
    <mergeCell ref="P98:V98"/>
    <mergeCell ref="P259:T259"/>
    <mergeCell ref="P177:V177"/>
    <mergeCell ref="A216:Z216"/>
    <mergeCell ref="L299:L300"/>
    <mergeCell ref="A89:Z89"/>
    <mergeCell ref="D147:E147"/>
    <mergeCell ref="D274:E274"/>
    <mergeCell ref="A105:Z105"/>
    <mergeCell ref="A26:Z26"/>
    <mergeCell ref="P59:V59"/>
    <mergeCell ref="P268:T268"/>
    <mergeCell ref="D1:F1"/>
    <mergeCell ref="P190:V190"/>
    <mergeCell ref="P46:V46"/>
    <mergeCell ref="A71:Z71"/>
    <mergeCell ref="A234:Z234"/>
    <mergeCell ref="J17:J18"/>
    <mergeCell ref="L17:L18"/>
    <mergeCell ref="A244:Z244"/>
    <mergeCell ref="A100:Z100"/>
    <mergeCell ref="P112:V112"/>
    <mergeCell ref="A116:O117"/>
    <mergeCell ref="P284:T284"/>
    <mergeCell ref="P17:T18"/>
    <mergeCell ref="A77:Z77"/>
    <mergeCell ref="P194:T194"/>
    <mergeCell ref="P286:T286"/>
    <mergeCell ref="D229:E229"/>
    <mergeCell ref="P131:T131"/>
    <mergeCell ref="D108:E108"/>
    <mergeCell ref="P187:T187"/>
    <mergeCell ref="P258:T258"/>
    <mergeCell ref="P223:T223"/>
    <mergeCell ref="A168:Z168"/>
    <mergeCell ref="P201:V201"/>
    <mergeCell ref="P139:V139"/>
    <mergeCell ref="I17:I18"/>
    <mergeCell ref="P189:T189"/>
    <mergeCell ref="P287:T287"/>
    <mergeCell ref="P281:T281"/>
    <mergeCell ref="P295:V295"/>
    <mergeCell ref="P178:V178"/>
    <mergeCell ref="A177:O178"/>
    <mergeCell ref="D235:E235"/>
    <mergeCell ref="P214:V214"/>
    <mergeCell ref="A239:Z239"/>
    <mergeCell ref="Q9:R9"/>
    <mergeCell ref="A32:Z32"/>
    <mergeCell ref="A37:O38"/>
    <mergeCell ref="Q11:R11"/>
    <mergeCell ref="P205:T205"/>
    <mergeCell ref="A6:C6"/>
    <mergeCell ref="P142:T142"/>
    <mergeCell ref="A161:Z161"/>
    <mergeCell ref="D115:E115"/>
    <mergeCell ref="P182:T182"/>
    <mergeCell ref="Q12:R12"/>
    <mergeCell ref="P280:T280"/>
    <mergeCell ref="P119:T119"/>
    <mergeCell ref="P183:V183"/>
    <mergeCell ref="P133:V133"/>
    <mergeCell ref="P127:V127"/>
    <mergeCell ref="A123:Z123"/>
    <mergeCell ref="A250:Z250"/>
    <mergeCell ref="A5:C5"/>
    <mergeCell ref="P64:V64"/>
    <mergeCell ref="P191:V191"/>
    <mergeCell ref="P51:V51"/>
    <mergeCell ref="A17:A18"/>
    <mergeCell ref="K17:K18"/>
    <mergeCell ref="A118:Z118"/>
    <mergeCell ref="C17:C18"/>
    <mergeCell ref="P195:T195"/>
    <mergeCell ref="A238:Z238"/>
    <mergeCell ref="A208:O209"/>
    <mergeCell ref="A299:A300"/>
    <mergeCell ref="P66:T66"/>
    <mergeCell ref="D9:E9"/>
    <mergeCell ref="P137:T137"/>
    <mergeCell ref="P197:T197"/>
    <mergeCell ref="F9:G9"/>
    <mergeCell ref="P53:T53"/>
    <mergeCell ref="A183:O184"/>
    <mergeCell ref="A47:Z47"/>
    <mergeCell ref="C299:C300"/>
    <mergeCell ref="A248:O249"/>
    <mergeCell ref="P264:T264"/>
    <mergeCell ref="P68:T68"/>
    <mergeCell ref="P82:V82"/>
    <mergeCell ref="P253:V253"/>
    <mergeCell ref="A134:Z134"/>
    <mergeCell ref="P75:V75"/>
    <mergeCell ref="V299:V300"/>
    <mergeCell ref="D96:E96"/>
    <mergeCell ref="X299:X300"/>
    <mergeCell ref="A162:Z162"/>
    <mergeCell ref="A138:O139"/>
    <mergeCell ref="P15:T16"/>
    <mergeCell ref="A132:O133"/>
    <mergeCell ref="D91:E91"/>
    <mergeCell ref="A69:O70"/>
    <mergeCell ref="P283:T283"/>
    <mergeCell ref="D93:E93"/>
    <mergeCell ref="D264:E264"/>
    <mergeCell ref="P277:T277"/>
    <mergeCell ref="P291:V291"/>
    <mergeCell ref="P43:T43"/>
    <mergeCell ref="U299:U300"/>
    <mergeCell ref="D157:E157"/>
    <mergeCell ref="P285:T285"/>
    <mergeCell ref="W299:W300"/>
    <mergeCell ref="D251:E251"/>
    <mergeCell ref="A12:M12"/>
    <mergeCell ref="A180:Z180"/>
    <mergeCell ref="P293:V293"/>
    <mergeCell ref="A240:Z240"/>
    <mergeCell ref="P200:V200"/>
    <mergeCell ref="P74:T74"/>
    <mergeCell ref="P243:V243"/>
    <mergeCell ref="A19:Z19"/>
    <mergeCell ref="D182:E182"/>
    <mergeCell ref="P292:V292"/>
    <mergeCell ref="A14:M14"/>
    <mergeCell ref="D280:E280"/>
    <mergeCell ref="P163:T163"/>
    <mergeCell ref="D109:E109"/>
    <mergeCell ref="T5:U5"/>
    <mergeCell ref="D119:E119"/>
    <mergeCell ref="V5:W5"/>
    <mergeCell ref="A48:Z48"/>
    <mergeCell ref="P294:V294"/>
    <mergeCell ref="A224:O225"/>
    <mergeCell ref="D111:E111"/>
    <mergeCell ref="D282:E282"/>
    <mergeCell ref="Q8:R8"/>
    <mergeCell ref="D275:E275"/>
    <mergeCell ref="T6:U9"/>
    <mergeCell ref="Q10:R10"/>
    <mergeCell ref="A30:O31"/>
    <mergeCell ref="D41:E41"/>
    <mergeCell ref="B299:B300"/>
    <mergeCell ref="D277:E277"/>
    <mergeCell ref="A252:O253"/>
    <mergeCell ref="D43:E43"/>
    <mergeCell ref="P149:V149"/>
    <mergeCell ref="A145:Z145"/>
    <mergeCell ref="D137:E137"/>
    <mergeCell ref="A210:Z210"/>
    <mergeCell ref="D74:E74"/>
    <mergeCell ref="D130:E130"/>
    <mergeCell ref="D68:E68"/>
    <mergeCell ref="A203:Z203"/>
    <mergeCell ref="P126:V126"/>
    <mergeCell ref="D188:E188"/>
    <mergeCell ref="P225:V225"/>
    <mergeCell ref="D172:E172"/>
    <mergeCell ref="A143:O144"/>
    <mergeCell ref="D36:E36"/>
    <mergeCell ref="P58:V58"/>
    <mergeCell ref="A13:M13"/>
    <mergeCell ref="A230:O231"/>
    <mergeCell ref="D61:E61"/>
    <mergeCell ref="P115:T115"/>
    <mergeCell ref="P231:V231"/>
    <mergeCell ref="A256:Z256"/>
    <mergeCell ref="A15:M15"/>
    <mergeCell ref="P229:T229"/>
    <mergeCell ref="A153:O154"/>
    <mergeCell ref="A193:Z193"/>
    <mergeCell ref="D125:E125"/>
    <mergeCell ref="P204:T204"/>
    <mergeCell ref="A54:O55"/>
    <mergeCell ref="J9:M9"/>
    <mergeCell ref="D283:E283"/>
    <mergeCell ref="D62:E62"/>
    <mergeCell ref="P206:T206"/>
    <mergeCell ref="D176:E176"/>
    <mergeCell ref="D285:E285"/>
    <mergeCell ref="P235:T235"/>
    <mergeCell ref="P213:V213"/>
    <mergeCell ref="P249:V249"/>
    <mergeCell ref="H299:H300"/>
    <mergeCell ref="P207:T207"/>
    <mergeCell ref="J299:J300"/>
    <mergeCell ref="A40:Z40"/>
    <mergeCell ref="A211:Z211"/>
    <mergeCell ref="P165:V165"/>
    <mergeCell ref="P30:V30"/>
    <mergeCell ref="P96:T96"/>
    <mergeCell ref="H17:H18"/>
    <mergeCell ref="A146:Z146"/>
    <mergeCell ref="D204:E204"/>
    <mergeCell ref="P217:T217"/>
    <mergeCell ref="D198:E198"/>
    <mergeCell ref="D269:E269"/>
    <mergeCell ref="P104:V104"/>
    <mergeCell ref="AC299:AC300"/>
    <mergeCell ref="AE299:AE300"/>
    <mergeCell ref="D206:E206"/>
    <mergeCell ref="A271:O272"/>
    <mergeCell ref="A50:O51"/>
    <mergeCell ref="P91:T91"/>
    <mergeCell ref="P252:V252"/>
    <mergeCell ref="A160:Z160"/>
    <mergeCell ref="A141:Z141"/>
    <mergeCell ref="H10:M10"/>
    <mergeCell ref="AA17:AA18"/>
    <mergeCell ref="A135:Z135"/>
    <mergeCell ref="AC17:AC18"/>
    <mergeCell ref="P212:T212"/>
    <mergeCell ref="A122:Z122"/>
    <mergeCell ref="W298:AB298"/>
    <mergeCell ref="P108:T108"/>
    <mergeCell ref="P279:T279"/>
    <mergeCell ref="P209:V209"/>
    <mergeCell ref="A72:Z72"/>
    <mergeCell ref="P251:T251"/>
    <mergeCell ref="AD299:AD300"/>
    <mergeCell ref="V6:W9"/>
    <mergeCell ref="A112:O113"/>
    <mergeCell ref="D199:E199"/>
    <mergeCell ref="P109:T109"/>
    <mergeCell ref="D186:E186"/>
    <mergeCell ref="P274:T274"/>
    <mergeCell ref="D217:E217"/>
    <mergeCell ref="P222:T222"/>
    <mergeCell ref="P22:T22"/>
    <mergeCell ref="P236:V236"/>
    <mergeCell ref="P257:T257"/>
    <mergeCell ref="P54:V54"/>
    <mergeCell ref="P80:T80"/>
    <mergeCell ref="D194:E194"/>
    <mergeCell ref="Z17:Z18"/>
    <mergeCell ref="P173:V173"/>
    <mergeCell ref="AB17:AB18"/>
    <mergeCell ref="P271:V271"/>
    <mergeCell ref="P265:V265"/>
    <mergeCell ref="A90:Z90"/>
    <mergeCell ref="P237:V237"/>
    <mergeCell ref="H5:M5"/>
    <mergeCell ref="P31:V31"/>
    <mergeCell ref="A27:Z27"/>
    <mergeCell ref="A56:Z56"/>
    <mergeCell ref="P158:V158"/>
    <mergeCell ref="D212:E212"/>
    <mergeCell ref="D6:M6"/>
    <mergeCell ref="A75:O76"/>
    <mergeCell ref="I299:I300"/>
    <mergeCell ref="P266:V266"/>
    <mergeCell ref="K299:K300"/>
    <mergeCell ref="P93:T93"/>
    <mergeCell ref="D85:E85"/>
    <mergeCell ref="P164:T164"/>
    <mergeCell ref="D207:E207"/>
    <mergeCell ref="P120:V120"/>
    <mergeCell ref="P269:T269"/>
    <mergeCell ref="D222:E222"/>
    <mergeCell ref="P35:T35"/>
    <mergeCell ref="G17:G18"/>
    <mergeCell ref="A81:O82"/>
    <mergeCell ref="P184:V184"/>
    <mergeCell ref="A167:Z167"/>
    <mergeCell ref="P242:V242"/>
    <mergeCell ref="A232:Z232"/>
    <mergeCell ref="A289:O290"/>
    <mergeCell ref="D80:E80"/>
    <mergeCell ref="P121:V121"/>
    <mergeCell ref="P188:T188"/>
    <mergeCell ref="AF299:AF300"/>
    <mergeCell ref="A169:Z169"/>
    <mergeCell ref="D288:E288"/>
    <mergeCell ref="P148:V148"/>
    <mergeCell ref="P130:T130"/>
    <mergeCell ref="D136:E136"/>
    <mergeCell ref="P111:T111"/>
    <mergeCell ref="P282:T282"/>
    <mergeCell ref="A227:Z227"/>
    <mergeCell ref="P61:T61"/>
    <mergeCell ref="A273:Z273"/>
    <mergeCell ref="A9:C9"/>
    <mergeCell ref="P125:T125"/>
    <mergeCell ref="A242:O243"/>
    <mergeCell ref="A179:Z179"/>
    <mergeCell ref="A236:O237"/>
    <mergeCell ref="T299:T300"/>
    <mergeCell ref="P70:V70"/>
    <mergeCell ref="A156:Z156"/>
    <mergeCell ref="P116:V116"/>
    <mergeCell ref="P103:V103"/>
    <mergeCell ref="Q13:R13"/>
    <mergeCell ref="P97:V97"/>
    <mergeCell ref="A155:Z155"/>
    <mergeCell ref="A220:Z220"/>
    <mergeCell ref="P176:T176"/>
    <mergeCell ref="P247:T247"/>
    <mergeCell ref="P241:T241"/>
    <mergeCell ref="P41:T41"/>
    <mergeCell ref="D22:E22"/>
    <mergeCell ref="Q299:Q300"/>
    <mergeCell ref="P34:T34"/>
    <mergeCell ref="P276:T276"/>
    <mergeCell ref="S299:S300"/>
    <mergeCell ref="D86:E86"/>
    <mergeCell ref="D257:E257"/>
    <mergeCell ref="P270:T270"/>
    <mergeCell ref="P49:T49"/>
    <mergeCell ref="P36:T36"/>
    <mergeCell ref="P278:T278"/>
    <mergeCell ref="P107:T107"/>
    <mergeCell ref="P63:V63"/>
    <mergeCell ref="P101:T101"/>
    <mergeCell ref="A246:Z246"/>
    <mergeCell ref="P50:V50"/>
    <mergeCell ref="A103:O104"/>
    <mergeCell ref="A233:Z233"/>
    <mergeCell ref="M17:M18"/>
    <mergeCell ref="O17:O18"/>
    <mergeCell ref="P174:V174"/>
    <mergeCell ref="A175:Z175"/>
    <mergeCell ref="P102:T102"/>
    <mergeCell ref="A185:Z185"/>
    <mergeCell ref="P196:T196"/>
    <mergeCell ref="A106:Z106"/>
    <mergeCell ref="D164:E164"/>
    <mergeCell ref="P62:T62"/>
    <mergeCell ref="P2:W3"/>
    <mergeCell ref="P198:T198"/>
    <mergeCell ref="P218:V218"/>
    <mergeCell ref="D241:E241"/>
    <mergeCell ref="D35:E35"/>
    <mergeCell ref="D228:E228"/>
    <mergeCell ref="D10:E10"/>
    <mergeCell ref="A23:O24"/>
    <mergeCell ref="F10:G10"/>
    <mergeCell ref="D34:E34"/>
    <mergeCell ref="D270:E270"/>
    <mergeCell ref="AD17:AF18"/>
    <mergeCell ref="D101:E101"/>
    <mergeCell ref="P117:V117"/>
    <mergeCell ref="F5:G5"/>
    <mergeCell ref="P55:V55"/>
    <mergeCell ref="P144:V144"/>
    <mergeCell ref="A25:Z25"/>
    <mergeCell ref="P67:T67"/>
    <mergeCell ref="P186:T186"/>
    <mergeCell ref="D221:E221"/>
    <mergeCell ref="V11:W11"/>
    <mergeCell ref="P57:T57"/>
    <mergeCell ref="D152:E152"/>
    <mergeCell ref="D223:E223"/>
    <mergeCell ref="D279:E279"/>
    <mergeCell ref="A254:Z254"/>
    <mergeCell ref="D29:E29"/>
    <mergeCell ref="A20:Z20"/>
    <mergeCell ref="P299:P300"/>
    <mergeCell ref="P110:T110"/>
    <mergeCell ref="R299:R300"/>
    <mergeCell ref="D247:E247"/>
    <mergeCell ref="P289:V289"/>
    <mergeCell ref="A114:Z114"/>
    <mergeCell ref="D276:E276"/>
    <mergeCell ref="D170:E170"/>
    <mergeCell ref="P132:V132"/>
    <mergeCell ref="N17:N18"/>
    <mergeCell ref="A58:O59"/>
    <mergeCell ref="D49:E49"/>
    <mergeCell ref="P199:T199"/>
    <mergeCell ref="Q5:R5"/>
    <mergeCell ref="F17:F18"/>
    <mergeCell ref="P290:V290"/>
    <mergeCell ref="D107:E107"/>
    <mergeCell ref="D163:E163"/>
    <mergeCell ref="D278:E278"/>
    <mergeCell ref="P288:T288"/>
    <mergeCell ref="P136:T136"/>
    <mergeCell ref="P263:T263"/>
    <mergeCell ref="P228:T228"/>
    <mergeCell ref="D171:E171"/>
    <mergeCell ref="Q6:R6"/>
    <mergeCell ref="A267:Z267"/>
    <mergeCell ref="D102:E102"/>
    <mergeCell ref="C298:T298"/>
    <mergeCell ref="P81:V81"/>
    <mergeCell ref="P208:V208"/>
    <mergeCell ref="A33:Z33"/>
    <mergeCell ref="D196:E196"/>
    <mergeCell ref="A126:O127"/>
    <mergeCell ref="P219:V219"/>
    <mergeCell ref="P23:V23"/>
    <mergeCell ref="P272:V272"/>
    <mergeCell ref="A262:Z262"/>
    <mergeCell ref="AA299:AA300"/>
    <mergeCell ref="V12:W12"/>
    <mergeCell ref="A200:O201"/>
    <mergeCell ref="A265:O266"/>
    <mergeCell ref="A245:Z245"/>
    <mergeCell ref="A39:Z39"/>
    <mergeCell ref="P85:T85"/>
    <mergeCell ref="D95:E95"/>
    <mergeCell ref="U17:V17"/>
    <mergeCell ref="Y17:Y18"/>
    <mergeCell ref="D57:E57"/>
    <mergeCell ref="A8:C8"/>
    <mergeCell ref="P124:T124"/>
    <mergeCell ref="A260:O261"/>
    <mergeCell ref="P138:V138"/>
    <mergeCell ref="D268:E268"/>
    <mergeCell ref="P76:V76"/>
    <mergeCell ref="A128:Z128"/>
    <mergeCell ref="A255:Z255"/>
    <mergeCell ref="A10:C10"/>
    <mergeCell ref="P69:V69"/>
    <mergeCell ref="A21:Z21"/>
    <mergeCell ref="A192:Z192"/>
    <mergeCell ref="A129:Z129"/>
    <mergeCell ref="P296:V296"/>
    <mergeCell ref="D42:E42"/>
    <mergeCell ref="A181:Z181"/>
    <mergeCell ref="D17:E18"/>
    <mergeCell ref="A213:O214"/>
    <mergeCell ref="X17:X18"/>
    <mergeCell ref="A52:Z52"/>
    <mergeCell ref="D110:E110"/>
    <mergeCell ref="D44:E44"/>
    <mergeCell ref="D286:E286"/>
  </mergeCells>
  <conditionalFormatting sqref="A8:N10">
    <cfRule type="expression" priority="2" dxfId="0" stopIfTrue="1">
      <formula>IF($V$5="самовывоз",1,0)</formula>
    </cfRule>
  </conditionalFormatting>
  <conditionalFormatting sqref="P5:R6 P8:R8">
    <cfRule type="expression" priority="1" dxfId="1" stopIfTrue="1">
      <formula>IF($V$5="доставка",1,0)</formula>
    </cfRule>
  </conditionalFormatting>
  <conditionalFormatting sqref="P9:R13">
    <cfRule type="expression" priority="13" dxfId="0" stopIfTrue="1">
      <formula>IF($V$5="самовывоз",1,0)</formula>
    </cfRule>
  </conditionalFormatting>
  <dataValidations xWindow="697" yWindow="616" count="18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CHOOSE($D$7,UnloadAdressList0001,UnloadAdressList0002,UnloadAdressList0003,UnloadAdressList0004,UnloadAdressList0005,UnloadAdressList0006)</formula1>
    </dataValidation>
    <dataValidation sqref="X22 X28:X29 X34:X36 X41:X44 X49 X53 X57 X61:X62 X66:X68 X73:X74 X79:X80 X85:X86 X91:X96 X101:X102 X107:X111 X115 X119 X124:X125 X130:X131 X136:X137 X142 X147 X152 X157 X163:X164 X170:X172 X176 X182 X186:X189 X194:X199 X204:X207 X212 X217 X221:X223 X228:X229 X235 X241 X247 X251 X257:X259 X263:X264 X268:X270 X274:X288" showDropDown="0" showInputMessage="1" showErrorMessage="1" allowBlank="0" errorTitle="Нарушение кванта заказа!" error="Для этой позиции задан квант заказ равный Короб, введите значение не меньше минимального количества" type="custom">
      <formula1>IF(AK22&gt;0,OR(X22=0,AND(IF(X22-AK22&gt;=0,TRUE,FALSE),X22&gt;0)),FALSE)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305"/>
  <sheetViews>
    <sheetView tabSelected="1" workbookViewId="0">
      <pane ySplit="18" topLeftCell="A280" activePane="bottomLeft" state="frozen"/>
      <selection pane="bottomLeft" activeCell="AE296" sqref="AE296"/>
    </sheetView>
  </sheetViews>
  <sheetFormatPr baseColWidth="8" defaultColWidth="9.140625" defaultRowHeight="12.75"/>
  <cols>
    <col width="9.140625" customWidth="1" style="319" min="1" max="1"/>
    <col width="10.85546875" customWidth="1" style="2" min="2" max="2"/>
    <col width="12.5703125" customWidth="1" style="2" min="3" max="3"/>
    <col width="6.42578125" customWidth="1" style="2" min="4" max="4"/>
    <col width="6.85546875" customWidth="1" style="2" min="5" max="5"/>
    <col width="8.42578125" customWidth="1" style="2" min="6" max="6"/>
    <col width="9.42578125" customWidth="1" style="2" min="7" max="7"/>
    <col hidden="1" width="11.85546875" customWidth="1" style="2" min="8" max="8"/>
    <col hidden="1" width="9.42578125" customWidth="1" style="2" min="9" max="9"/>
    <col width="9.140625" customWidth="1" style="3" min="10" max="10"/>
    <col hidden="1" width="13.85546875" customWidth="1" style="3" min="11" max="12"/>
    <col hidden="1" width="9.42578125" customWidth="1" style="3" min="13" max="13"/>
    <col hidden="1" width="15.85546875" customWidth="1" style="3" min="14" max="14"/>
    <col hidden="1" width="10.42578125" customWidth="1" style="2" min="15" max="15"/>
    <col width="7.42578125" customWidth="1" style="1" min="16" max="16"/>
    <col width="15.5703125" customWidth="1" style="1" min="17" max="17"/>
    <col width="8.140625" customWidth="1" style="319" min="18" max="18"/>
    <col width="6.140625" customWidth="1" style="319" min="19" max="19"/>
    <col width="10.85546875" customWidth="1" style="328" min="20" max="20"/>
    <col width="10.42578125" customWidth="1" style="328" min="21" max="21"/>
    <col width="9.42578125" customWidth="1" style="328" min="22" max="22"/>
    <col width="8.42578125" customWidth="1" style="328" min="23" max="23"/>
    <col width="10" customWidth="1" style="291" min="24" max="24"/>
    <col width="11" customWidth="1" style="319" min="25" max="25"/>
    <col width="10" customWidth="1" style="319" min="26" max="26"/>
    <col width="11.5703125" customWidth="1" style="319" min="27" max="27"/>
    <col width="10.42578125" customWidth="1" style="319" min="28" max="28"/>
    <col width="30" customWidth="1" style="319" min="29" max="29"/>
    <col width="11.42578125" bestFit="1" customWidth="1" style="7" min="30" max="30"/>
    <col width="9.140625" customWidth="1" style="7" min="31" max="31"/>
    <col width="8.85546875" customWidth="1" style="7" min="32" max="32"/>
    <col width="13.5703125" customWidth="1" style="319" min="33" max="33"/>
    <col width="9.140625" customWidth="1" style="319" min="34" max="35"/>
    <col width="9.140625" customWidth="1" style="319" min="36" max="16384"/>
  </cols>
  <sheetData>
    <row r="1" hidden="1" ht="45" customFormat="1" customHeight="1" s="333">
      <c r="A1" s="41" t="n"/>
      <c r="B1" s="41" t="n"/>
      <c r="C1" s="41" t="n"/>
      <c r="D1" s="358" t="inlineStr">
        <is>
          <t xml:space="preserve">  БЛАНК ЗАКАЗА </t>
        </is>
      </c>
      <c r="G1" s="12" t="inlineStr">
        <is>
          <t>ЗПФ</t>
        </is>
      </c>
      <c r="H1" s="358" t="inlineStr">
        <is>
          <t>на отгрузку продукции с ООО Трейд-Сервис с</t>
        </is>
      </c>
      <c r="R1" s="332" t="inlineStr">
        <is>
          <t>05.08.2025</t>
        </is>
      </c>
      <c r="U1" s="13" t="n"/>
      <c r="V1" s="13" t="n"/>
      <c r="W1" s="13" t="n"/>
      <c r="X1" s="278" t="n"/>
      <c r="Y1" s="13" t="n"/>
      <c r="Z1" s="13" t="n"/>
      <c r="AA1" s="13" t="n"/>
      <c r="AB1" s="52" t="n"/>
      <c r="AC1" s="52" t="n"/>
      <c r="AD1" s="52" t="n"/>
      <c r="AE1" s="52" t="n"/>
      <c r="AF1" s="52" t="n"/>
    </row>
    <row r="2" hidden="1" ht="16.5" customFormat="1" customHeight="1" s="333">
      <c r="A2" s="29" t="inlineStr">
        <is>
          <t>бланк создан</t>
        </is>
      </c>
      <c r="B2" s="30" t="inlineStr">
        <is>
          <t>05.08.2025</t>
        </is>
      </c>
      <c r="C2" s="11" t="n"/>
      <c r="D2" s="11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483" t="n"/>
      <c r="Q2" s="319" t="n"/>
      <c r="R2" s="319" t="n"/>
      <c r="S2" s="319" t="n"/>
      <c r="T2" s="319" t="n"/>
      <c r="U2" s="319" t="n"/>
      <c r="V2" s="319" t="n"/>
      <c r="W2" s="319" t="n"/>
      <c r="X2" s="279" t="n"/>
      <c r="Y2" s="16" t="n"/>
      <c r="Z2" s="16" t="n"/>
      <c r="AA2" s="16" t="n"/>
      <c r="AB2" s="51" t="n"/>
      <c r="AC2" s="51" t="n"/>
      <c r="AD2" s="51" t="n"/>
      <c r="AE2" s="51" t="n"/>
    </row>
    <row r="3" hidden="1" ht="11.25" customFormat="1" customHeight="1" s="333">
      <c r="A3" s="27" t="n"/>
      <c r="B3" s="10" t="inlineStr">
        <is>
          <t>-поле, обязательное к заполнению</t>
        </is>
      </c>
      <c r="C3" s="14" t="n"/>
      <c r="D3" s="14" t="n"/>
      <c r="E3" s="17" t="n"/>
      <c r="F3" s="18" t="inlineStr">
        <is>
          <t>-поля, не обязательные к заполнению</t>
        </is>
      </c>
      <c r="G3" s="15" t="n"/>
      <c r="H3" s="15" t="n"/>
      <c r="I3" s="15" t="n"/>
      <c r="J3" s="18" t="n"/>
      <c r="K3" s="18" t="n"/>
      <c r="L3" s="18" t="n"/>
      <c r="M3" s="15" t="n"/>
      <c r="N3" s="15" t="n"/>
      <c r="O3" s="15" t="n"/>
      <c r="P3" s="319" t="n"/>
      <c r="Q3" s="319" t="n"/>
      <c r="R3" s="319" t="n"/>
      <c r="S3" s="319" t="n"/>
      <c r="T3" s="319" t="n"/>
      <c r="U3" s="319" t="n"/>
      <c r="V3" s="319" t="n"/>
      <c r="W3" s="319" t="n"/>
      <c r="X3" s="279" t="n"/>
      <c r="Y3" s="16" t="n"/>
      <c r="Z3" s="16" t="n"/>
      <c r="AA3" s="16" t="n"/>
      <c r="AB3" s="51" t="n"/>
      <c r="AC3" s="51" t="n"/>
      <c r="AD3" s="51" t="n"/>
      <c r="AE3" s="51" t="n"/>
    </row>
    <row r="4" hidden="1" ht="9" customFormat="1" customHeight="1" s="333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20" t="n"/>
      <c r="R4" s="20" t="n"/>
      <c r="S4" s="20" t="n"/>
      <c r="T4" s="20" t="n"/>
      <c r="U4" s="20" t="n"/>
      <c r="V4" s="21" t="n"/>
      <c r="W4" s="22" t="n"/>
      <c r="X4" s="280" t="n"/>
      <c r="Y4" s="22" t="n"/>
      <c r="Z4" s="22" t="n"/>
      <c r="AA4" s="22" t="n"/>
      <c r="AB4" s="51" t="n"/>
      <c r="AC4" s="51" t="n"/>
      <c r="AD4" s="51" t="n"/>
      <c r="AE4" s="51" t="n"/>
    </row>
    <row r="5" hidden="1" ht="23.45" customFormat="1" customHeight="1" s="333">
      <c r="A5" s="390" t="inlineStr">
        <is>
          <t xml:space="preserve">Ваш контактный телефон и имя: </t>
        </is>
      </c>
      <c r="B5" s="383" t="n"/>
      <c r="C5" s="384" t="n"/>
      <c r="D5" s="360" t="n"/>
      <c r="E5" s="361" t="n"/>
      <c r="F5" s="490" t="inlineStr">
        <is>
          <t>Комментарий к заказу:</t>
        </is>
      </c>
      <c r="G5" s="384" t="n"/>
      <c r="H5" s="360" t="n"/>
      <c r="I5" s="454" t="n"/>
      <c r="J5" s="454" t="n"/>
      <c r="K5" s="454" t="n"/>
      <c r="L5" s="454" t="n"/>
      <c r="M5" s="361" t="n"/>
      <c r="N5" s="60" t="n"/>
      <c r="P5" s="23" t="inlineStr">
        <is>
          <t>Дата загрузки</t>
        </is>
      </c>
      <c r="Q5" s="496" t="n">
        <v>45880</v>
      </c>
      <c r="R5" s="388" t="n"/>
      <c r="T5" s="417" t="inlineStr">
        <is>
          <t>Способ доставки (доставка/самовывоз)</t>
        </is>
      </c>
      <c r="U5" s="345" t="n"/>
      <c r="V5" s="418" t="inlineStr">
        <is>
          <t>Самовывоз</t>
        </is>
      </c>
      <c r="W5" s="388" t="n"/>
      <c r="X5" s="281" t="n"/>
      <c r="AB5" s="51" t="n"/>
      <c r="AC5" s="51" t="n"/>
      <c r="AD5" s="51" t="n"/>
      <c r="AE5" s="51" t="n"/>
    </row>
    <row r="6" hidden="1" ht="24" customFormat="1" customHeight="1" s="333">
      <c r="A6" s="390" t="inlineStr">
        <is>
          <t>Адрес доставки:</t>
        </is>
      </c>
      <c r="B6" s="383" t="n"/>
      <c r="C6" s="384" t="n"/>
      <c r="D6" s="455" t="inlineStr">
        <is>
          <t>НВ, ООО 9001015535, Запорожская обл, Мелитополь г, Полевая ул, д. 3, стр А,</t>
        </is>
      </c>
      <c r="E6" s="456" t="n"/>
      <c r="F6" s="456" t="n"/>
      <c r="G6" s="456" t="n"/>
      <c r="H6" s="456" t="n"/>
      <c r="I6" s="456" t="n"/>
      <c r="J6" s="456" t="n"/>
      <c r="K6" s="456" t="n"/>
      <c r="L6" s="456" t="n"/>
      <c r="M6" s="388" t="n"/>
      <c r="N6" s="61" t="n"/>
      <c r="P6" s="23" t="inlineStr">
        <is>
          <t>День недели</t>
        </is>
      </c>
      <c r="Q6" s="501">
        <f>IF(Q5=0," ",CHOOSE(WEEKDAY(Q5,2),"Понедельник","Вторник","Среда","Четверг","Пятница","Суббота","Воскресенье"))</f>
        <v/>
      </c>
      <c r="R6" s="317" t="n"/>
      <c r="T6" s="419" t="inlineStr">
        <is>
          <t>Наименование клиента</t>
        </is>
      </c>
      <c r="U6" s="345" t="n"/>
      <c r="V6" s="441" t="inlineStr">
        <is>
          <t>ОБЩЕСТВО С ОГРАНИЧЕННОЙ ОТВЕТСТВЕННОСТЬЮ "НОВОЕ ВРЕМЯ"</t>
        </is>
      </c>
      <c r="W6" s="342" t="n"/>
      <c r="X6" s="281" t="n"/>
      <c r="AB6" s="51" t="n"/>
      <c r="AC6" s="51" t="n"/>
      <c r="AD6" s="51" t="n"/>
      <c r="AE6" s="51" t="n"/>
    </row>
    <row r="7" hidden="1" ht="21.75" customFormat="1" customHeight="1" s="333">
      <c r="A7" s="54" t="n"/>
      <c r="B7" s="54" t="n"/>
      <c r="C7" s="54" t="n"/>
      <c r="D7" s="347">
        <f>IFERROR(VLOOKUP(DeliveryAddress,Table,3,0),1)</f>
        <v/>
      </c>
      <c r="E7" s="348" t="n"/>
      <c r="F7" s="348" t="n"/>
      <c r="G7" s="348" t="n"/>
      <c r="H7" s="348" t="n"/>
      <c r="I7" s="348" t="n"/>
      <c r="J7" s="348" t="n"/>
      <c r="K7" s="348" t="n"/>
      <c r="L7" s="348" t="n"/>
      <c r="M7" s="349" t="n"/>
      <c r="N7" s="62" t="n"/>
      <c r="P7" s="23" t="n"/>
      <c r="Q7" s="42" t="n"/>
      <c r="R7" s="42" t="n"/>
      <c r="T7" s="319" t="n"/>
      <c r="U7" s="345" t="n"/>
      <c r="V7" s="442" t="n"/>
      <c r="W7" s="443" t="n"/>
      <c r="X7" s="281" t="n"/>
      <c r="AB7" s="51" t="n"/>
      <c r="AC7" s="51" t="n"/>
      <c r="AD7" s="51" t="n"/>
      <c r="AE7" s="51" t="n"/>
    </row>
    <row r="8" hidden="1" ht="25.5" customFormat="1" customHeight="1" s="333">
      <c r="A8" s="506" t="inlineStr">
        <is>
          <t>Адрес сдачи груза:</t>
        </is>
      </c>
      <c r="B8" s="322" t="n"/>
      <c r="C8" s="323" t="n"/>
      <c r="D8" s="353" t="n"/>
      <c r="E8" s="354" t="n"/>
      <c r="F8" s="354" t="n"/>
      <c r="G8" s="354" t="n"/>
      <c r="H8" s="354" t="n"/>
      <c r="I8" s="354" t="n"/>
      <c r="J8" s="354" t="n"/>
      <c r="K8" s="354" t="n"/>
      <c r="L8" s="354" t="n"/>
      <c r="M8" s="355" t="n"/>
      <c r="N8" s="63" t="n"/>
      <c r="P8" s="23" t="inlineStr">
        <is>
          <t>Время загрузки</t>
        </is>
      </c>
      <c r="Q8" s="393" t="n">
        <v>0.4166666666666667</v>
      </c>
      <c r="R8" s="349" t="n"/>
      <c r="T8" s="319" t="n"/>
      <c r="U8" s="345" t="n"/>
      <c r="V8" s="442" t="n"/>
      <c r="W8" s="443" t="n"/>
      <c r="X8" s="281" t="n"/>
      <c r="AB8" s="51" t="n"/>
      <c r="AC8" s="51" t="n"/>
      <c r="AD8" s="51" t="n"/>
      <c r="AE8" s="51" t="n"/>
    </row>
    <row r="9" hidden="1" ht="39.95" customFormat="1" customHeight="1" s="333">
      <c r="A9" s="404" t="n"/>
      <c r="B9" s="319" t="n"/>
      <c r="C9" s="319" t="n"/>
      <c r="D9" s="401" t="n"/>
      <c r="E9" s="328" t="n"/>
      <c r="F9" s="404" t="n"/>
      <c r="G9" s="319" t="n"/>
      <c r="H9" s="327" t="n"/>
      <c r="I9" s="328" t="n"/>
      <c r="J9" s="327" t="n"/>
      <c r="K9" s="328" t="n"/>
      <c r="L9" s="328" t="n"/>
      <c r="M9" s="328" t="n"/>
      <c r="N9" s="327" t="n"/>
      <c r="P9" s="26" t="inlineStr">
        <is>
          <t>Дата доставки</t>
        </is>
      </c>
      <c r="Q9" s="385" t="n"/>
      <c r="R9" s="386" t="n"/>
      <c r="T9" s="319" t="n"/>
      <c r="U9" s="345" t="n"/>
      <c r="V9" s="444" t="n"/>
      <c r="W9" s="445" t="n"/>
      <c r="X9" s="282" t="n"/>
      <c r="Y9" s="43" t="n"/>
      <c r="Z9" s="43" t="n"/>
      <c r="AA9" s="43" t="n"/>
      <c r="AB9" s="51" t="n"/>
      <c r="AC9" s="51" t="n"/>
      <c r="AD9" s="51" t="n"/>
      <c r="AE9" s="51" t="n"/>
    </row>
    <row r="10" hidden="1" ht="26.45" customFormat="1" customHeight="1" s="333">
      <c r="A10" s="404" t="n"/>
      <c r="B10" s="319" t="n"/>
      <c r="C10" s="319" t="n"/>
      <c r="D10" s="401" t="n"/>
      <c r="E10" s="328" t="n"/>
      <c r="F10" s="404" t="n"/>
      <c r="G10" s="319" t="n"/>
      <c r="H10" s="432" t="n"/>
      <c r="I10" s="319" t="n"/>
      <c r="J10" s="319" t="n"/>
      <c r="K10" s="319" t="n"/>
      <c r="L10" s="319" t="n"/>
      <c r="M10" s="319" t="n"/>
      <c r="N10" s="432" t="n"/>
      <c r="P10" s="26" t="inlineStr">
        <is>
          <t>Время доставки</t>
        </is>
      </c>
      <c r="Q10" s="420" t="n"/>
      <c r="R10" s="421" t="n"/>
      <c r="U10" s="23" t="inlineStr">
        <is>
          <t>КОД Аксапты Клиента</t>
        </is>
      </c>
      <c r="V10" s="341" t="inlineStr">
        <is>
          <t>596383</t>
        </is>
      </c>
      <c r="W10" s="342" t="n"/>
      <c r="X10" s="283" t="n"/>
      <c r="Y10" s="44" t="n"/>
      <c r="Z10" s="44" t="n"/>
      <c r="AA10" s="44" t="n"/>
      <c r="AB10" s="51" t="n"/>
      <c r="AC10" s="51" t="n"/>
      <c r="AD10" s="51" t="n"/>
      <c r="AE10" s="51" t="n"/>
    </row>
    <row r="11" hidden="1" ht="15.95" customFormat="1" customHeight="1" s="333">
      <c r="A11" s="28" t="inlineStr">
        <is>
          <t>Справочная информация: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P11" s="26" t="inlineStr">
        <is>
          <t>Время доставки 2 машины</t>
        </is>
      </c>
      <c r="Q11" s="387" t="n"/>
      <c r="R11" s="388" t="n"/>
      <c r="U11" s="23" t="inlineStr">
        <is>
          <t>Тип заказа</t>
        </is>
      </c>
      <c r="V11" s="467" t="inlineStr">
        <is>
          <t>Основной заказ</t>
        </is>
      </c>
      <c r="W11" s="386" t="n"/>
      <c r="X11" s="284" t="n"/>
      <c r="Y11" s="45" t="n"/>
      <c r="Z11" s="45" t="n"/>
      <c r="AA11" s="45" t="n"/>
      <c r="AB11" s="51" t="n"/>
      <c r="AC11" s="51" t="n"/>
      <c r="AD11" s="51" t="n"/>
      <c r="AE11" s="51" t="n"/>
    </row>
    <row r="12" hidden="1" ht="18.6" customFormat="1" customHeight="1" s="333">
      <c r="A12" s="414" t="inlineStr">
        <is>
          <t>Телефоны для заказов:8(919)022-63-02 E-mail: Zamorozka@abiproduct.ru, Телефон сотрудников склада: 8-980-75-76-203</t>
        </is>
      </c>
      <c r="B12" s="383" t="n"/>
      <c r="C12" s="383" t="n"/>
      <c r="D12" s="383" t="n"/>
      <c r="E12" s="383" t="n"/>
      <c r="F12" s="383" t="n"/>
      <c r="G12" s="383" t="n"/>
      <c r="H12" s="383" t="n"/>
      <c r="I12" s="383" t="n"/>
      <c r="J12" s="383" t="n"/>
      <c r="K12" s="383" t="n"/>
      <c r="L12" s="383" t="n"/>
      <c r="M12" s="384" t="n"/>
      <c r="N12" s="64" t="n"/>
      <c r="P12" s="23" t="inlineStr">
        <is>
          <t>Время доставки 3 машины</t>
        </is>
      </c>
      <c r="Q12" s="393" t="n"/>
      <c r="R12" s="349" t="n"/>
      <c r="S12" s="24" t="n"/>
      <c r="U12" s="23" t="n"/>
      <c r="V12" s="333" t="n"/>
      <c r="W12" s="319" t="n"/>
      <c r="X12" s="285" t="n"/>
      <c r="AB12" s="51" t="n"/>
      <c r="AC12" s="51" t="n"/>
      <c r="AD12" s="51" t="n"/>
      <c r="AE12" s="51" t="n"/>
    </row>
    <row r="13" hidden="1" ht="23.25" customFormat="1" customHeight="1" s="333">
      <c r="A13" s="414" t="inlineStr">
        <is>
          <t>График приема заказов: Заказы принимаются за ДВА дня до отгрузки Пн-Пт: с 9:00 до 14:00, Суб. - Вс. выходной</t>
        </is>
      </c>
      <c r="B13" s="383" t="n"/>
      <c r="C13" s="383" t="n"/>
      <c r="D13" s="383" t="n"/>
      <c r="E13" s="383" t="n"/>
      <c r="F13" s="383" t="n"/>
      <c r="G13" s="383" t="n"/>
      <c r="H13" s="383" t="n"/>
      <c r="I13" s="383" t="n"/>
      <c r="J13" s="383" t="n"/>
      <c r="K13" s="383" t="n"/>
      <c r="L13" s="383" t="n"/>
      <c r="M13" s="384" t="n"/>
      <c r="N13" s="64" t="n"/>
      <c r="O13" s="26" t="n"/>
      <c r="P13" s="26" t="inlineStr">
        <is>
          <t>Время доставки 4 машины</t>
        </is>
      </c>
      <c r="Q13" s="467" t="n"/>
      <c r="R13" s="386" t="n"/>
      <c r="S13" s="24" t="n"/>
      <c r="X13" s="286" t="n"/>
      <c r="Y13" s="49" t="n"/>
      <c r="Z13" s="49" t="n"/>
      <c r="AA13" s="49" t="n"/>
      <c r="AB13" s="51" t="n"/>
      <c r="AC13" s="51" t="n"/>
      <c r="AD13" s="51" t="n"/>
      <c r="AE13" s="51" t="n"/>
    </row>
    <row r="14" hidden="1" ht="18.6" customFormat="1" customHeight="1" s="333">
      <c r="A14" s="414" t="inlineStr">
        <is>
          <t>Телефон менеджера по логистике: 8 (919) 012-30-55 - по вопросам доставки продукции</t>
        </is>
      </c>
      <c r="B14" s="383" t="n"/>
      <c r="C14" s="383" t="n"/>
      <c r="D14" s="383" t="n"/>
      <c r="E14" s="383" t="n"/>
      <c r="F14" s="383" t="n"/>
      <c r="G14" s="383" t="n"/>
      <c r="H14" s="383" t="n"/>
      <c r="I14" s="383" t="n"/>
      <c r="J14" s="383" t="n"/>
      <c r="K14" s="383" t="n"/>
      <c r="L14" s="383" t="n"/>
      <c r="M14" s="384" t="n"/>
      <c r="N14" s="64" t="n"/>
      <c r="X14" s="287" t="n"/>
      <c r="Y14" s="50" t="n"/>
      <c r="Z14" s="50" t="n"/>
      <c r="AA14" s="50" t="n"/>
      <c r="AB14" s="51" t="n"/>
      <c r="AC14" s="51" t="n"/>
      <c r="AD14" s="51" t="n"/>
      <c r="AE14" s="51" t="n"/>
    </row>
    <row r="15" hidden="1" ht="22.5" customFormat="1" customHeight="1" s="333">
      <c r="A15" s="423" t="inlineStr">
        <is>
          <t>Телефон по работе с претензиями/жалобами (WhatSapp): 8 (980) 757-69-93       E-mail: Claims@abiproduct.ru</t>
        </is>
      </c>
      <c r="B15" s="383" t="n"/>
      <c r="C15" s="383" t="n"/>
      <c r="D15" s="383" t="n"/>
      <c r="E15" s="383" t="n"/>
      <c r="F15" s="383" t="n"/>
      <c r="G15" s="383" t="n"/>
      <c r="H15" s="383" t="n"/>
      <c r="I15" s="383" t="n"/>
      <c r="J15" s="383" t="n"/>
      <c r="K15" s="383" t="n"/>
      <c r="L15" s="383" t="n"/>
      <c r="M15" s="384" t="n"/>
      <c r="N15" s="65" t="n"/>
      <c r="P15" s="408" t="inlineStr">
        <is>
          <t>Кликните на продукт, чтобы просмотреть изображение</t>
        </is>
      </c>
      <c r="X15" s="281" t="n"/>
      <c r="AB15" s="51" t="n"/>
      <c r="AC15" s="51" t="n"/>
      <c r="AD15" s="51" t="n"/>
      <c r="AE15" s="51" t="n"/>
    </row>
    <row r="16" hidden="1" ht="18.75" customHeight="1">
      <c r="B16" s="5" t="n"/>
      <c r="C16" s="5" t="n"/>
      <c r="D16" s="4" t="n"/>
      <c r="E16" s="4" t="n"/>
      <c r="F16" s="4" t="n"/>
      <c r="G16" s="4" t="n"/>
      <c r="H16" s="6" t="n"/>
      <c r="I16" s="6" t="n"/>
      <c r="J16" s="6" t="n"/>
      <c r="K16" s="6" t="n"/>
      <c r="L16" s="6" t="n"/>
      <c r="M16" s="6" t="n"/>
      <c r="N16" s="6" t="n"/>
      <c r="O16" s="6" t="n"/>
      <c r="P16" s="409" t="n"/>
      <c r="Q16" s="409" t="n"/>
      <c r="R16" s="409" t="n"/>
      <c r="S16" s="409" t="n"/>
      <c r="T16" s="409" t="n"/>
      <c r="U16" s="6" t="n"/>
      <c r="V16" s="6" t="n"/>
      <c r="W16" s="8" t="n"/>
      <c r="X16" s="288" t="n"/>
      <c r="Y16" s="9" t="n"/>
      <c r="Z16" s="9" t="n"/>
      <c r="AA16" s="9" t="n"/>
      <c r="AB16" s="9" t="n"/>
      <c r="AC16" s="9" t="n"/>
    </row>
    <row r="17" ht="27.75" customHeight="1">
      <c r="A17" s="339" t="inlineStr">
        <is>
          <t>Код единицы продаж</t>
        </is>
      </c>
      <c r="B17" s="339" t="inlineStr">
        <is>
          <t>Код продукта</t>
        </is>
      </c>
      <c r="C17" s="396" t="inlineStr">
        <is>
          <t>Номер варианта</t>
        </is>
      </c>
      <c r="D17" s="339" t="inlineStr">
        <is>
          <t xml:space="preserve">Штрих-код </t>
        </is>
      </c>
      <c r="E17" s="369" t="n"/>
      <c r="F17" s="339" t="inlineStr">
        <is>
          <t>Вес нетто штуки, кг</t>
        </is>
      </c>
      <c r="G17" s="339" t="inlineStr">
        <is>
          <t>Кол-во штук в коробе, шт</t>
        </is>
      </c>
      <c r="H17" s="339" t="inlineStr">
        <is>
          <t>Вес нетто короба, кг</t>
        </is>
      </c>
      <c r="I17" s="339" t="inlineStr">
        <is>
          <t>Вес брутто короба, кг</t>
        </is>
      </c>
      <c r="J17" s="339" t="inlineStr">
        <is>
          <t>Кол-во кор. на паллте, шт</t>
        </is>
      </c>
      <c r="K17" s="339" t="inlineStr">
        <is>
          <t>Коробов в слое</t>
        </is>
      </c>
      <c r="L17" s="339" t="inlineStr">
        <is>
          <t>Квант заказа</t>
        </is>
      </c>
      <c r="M17" s="339" t="inlineStr">
        <is>
          <t>Завод</t>
        </is>
      </c>
      <c r="N17" s="339" t="inlineStr">
        <is>
          <t>Внешний код номенклатуры</t>
        </is>
      </c>
      <c r="O17" s="339" t="inlineStr">
        <is>
          <t>Срок годности, сут.</t>
        </is>
      </c>
      <c r="P17" s="339" t="inlineStr">
        <is>
          <t>Наименование</t>
        </is>
      </c>
      <c r="Q17" s="368" t="n"/>
      <c r="R17" s="368" t="n"/>
      <c r="S17" s="368" t="n"/>
      <c r="T17" s="369" t="n"/>
      <c r="U17" s="503" t="inlineStr">
        <is>
          <t>Доступно к отгрузке</t>
        </is>
      </c>
      <c r="V17" s="384" t="n"/>
      <c r="W17" s="339" t="inlineStr">
        <is>
          <t>Ед. изм.</t>
        </is>
      </c>
      <c r="X17" s="509">
        <f>SUM(AE22:AE296)</f>
        <v/>
      </c>
      <c r="Y17" s="504" t="inlineStr">
        <is>
          <t>Заказ с округлением до короба</t>
        </is>
      </c>
      <c r="Z17" s="452" t="inlineStr">
        <is>
          <t>Объём заказа, м3</t>
        </is>
      </c>
      <c r="AA17" s="433" t="inlineStr">
        <is>
          <t>Примечание по продуктку</t>
        </is>
      </c>
      <c r="AB17" s="433" t="inlineStr">
        <is>
          <t>Признак "НОВИНКА"</t>
        </is>
      </c>
      <c r="AC17" s="433" t="inlineStr">
        <is>
          <t>Декларация/Сертификат</t>
        </is>
      </c>
      <c r="AD17" s="433" t="inlineStr">
        <is>
          <t>Для формул</t>
        </is>
      </c>
      <c r="AE17" s="485" t="n"/>
      <c r="AF17" s="486" t="n"/>
      <c r="AG17" s="68" t="n"/>
      <c r="BD17" s="67" t="inlineStr">
        <is>
          <t>Вид продукции</t>
        </is>
      </c>
    </row>
    <row r="18" ht="14.25" customHeight="1">
      <c r="A18" s="340" t="n"/>
      <c r="B18" s="340" t="n"/>
      <c r="C18" s="340" t="n"/>
      <c r="D18" s="370" t="n"/>
      <c r="E18" s="372" t="n"/>
      <c r="F18" s="340" t="n"/>
      <c r="G18" s="340" t="n"/>
      <c r="H18" s="340" t="n"/>
      <c r="I18" s="340" t="n"/>
      <c r="J18" s="340" t="n"/>
      <c r="K18" s="340" t="n"/>
      <c r="L18" s="340" t="n"/>
      <c r="M18" s="340" t="n"/>
      <c r="N18" s="340" t="n"/>
      <c r="O18" s="340" t="n"/>
      <c r="P18" s="370" t="n"/>
      <c r="Q18" s="371" t="n"/>
      <c r="R18" s="371" t="n"/>
      <c r="S18" s="371" t="n"/>
      <c r="T18" s="372" t="n"/>
      <c r="U18" s="503" t="inlineStr">
        <is>
          <t>начиная с</t>
        </is>
      </c>
      <c r="V18" s="503" t="inlineStr">
        <is>
          <t>до</t>
        </is>
      </c>
      <c r="W18" s="340" t="n"/>
      <c r="X18" s="340" t="n"/>
      <c r="Y18" s="505" t="n"/>
      <c r="Z18" s="453" t="n"/>
      <c r="AA18" s="434" t="n"/>
      <c r="AB18" s="434" t="n"/>
      <c r="AC18" s="434" t="n"/>
      <c r="AD18" s="487" t="n"/>
      <c r="AE18" s="488" t="n"/>
      <c r="AF18" s="489" t="n"/>
      <c r="AG18" s="68" t="n"/>
      <c r="BD18" s="67" t="n"/>
    </row>
    <row r="19" ht="27.75" customHeight="1">
      <c r="A19" s="365" t="inlineStr">
        <is>
          <t>Ядрена копоть</t>
        </is>
      </c>
      <c r="B19" s="366" t="n"/>
      <c r="C19" s="366" t="n"/>
      <c r="D19" s="366" t="n"/>
      <c r="E19" s="366" t="n"/>
      <c r="F19" s="366" t="n"/>
      <c r="G19" s="366" t="n"/>
      <c r="H19" s="366" t="n"/>
      <c r="I19" s="366" t="n"/>
      <c r="J19" s="366" t="n"/>
      <c r="K19" s="366" t="n"/>
      <c r="L19" s="366" t="n"/>
      <c r="M19" s="366" t="n"/>
      <c r="N19" s="366" t="n"/>
      <c r="O19" s="366" t="n"/>
      <c r="P19" s="366" t="n"/>
      <c r="Q19" s="366" t="n"/>
      <c r="R19" s="366" t="n"/>
      <c r="S19" s="366" t="n"/>
      <c r="T19" s="366" t="n"/>
      <c r="U19" s="366" t="n"/>
      <c r="V19" s="366" t="n"/>
      <c r="W19" s="366" t="n"/>
      <c r="X19" s="366" t="n"/>
      <c r="Y19" s="366" t="n"/>
      <c r="Z19" s="366" t="n"/>
      <c r="AA19" s="48" t="n"/>
      <c r="AB19" s="48" t="n"/>
      <c r="AC19" s="48" t="n"/>
    </row>
    <row r="20" ht="16.5" customHeight="1">
      <c r="A20" s="324" t="inlineStr">
        <is>
          <t>Ядрена копоть</t>
        </is>
      </c>
      <c r="B20" s="319" t="n"/>
      <c r="C20" s="319" t="n"/>
      <c r="D20" s="319" t="n"/>
      <c r="E20" s="319" t="n"/>
      <c r="F20" s="319" t="n"/>
      <c r="G20" s="319" t="n"/>
      <c r="H20" s="319" t="n"/>
      <c r="I20" s="319" t="n"/>
      <c r="J20" s="319" t="n"/>
      <c r="K20" s="319" t="n"/>
      <c r="L20" s="319" t="n"/>
      <c r="M20" s="319" t="n"/>
      <c r="N20" s="319" t="n"/>
      <c r="O20" s="319" t="n"/>
      <c r="P20" s="319" t="n"/>
      <c r="Q20" s="319" t="n"/>
      <c r="R20" s="319" t="n"/>
      <c r="S20" s="319" t="n"/>
      <c r="T20" s="319" t="n"/>
      <c r="U20" s="319" t="n"/>
      <c r="V20" s="319" t="n"/>
      <c r="W20" s="319" t="n"/>
      <c r="X20" s="319" t="n"/>
      <c r="Y20" s="319" t="n"/>
      <c r="Z20" s="319" t="n"/>
      <c r="AA20" s="324" t="n"/>
      <c r="AB20" s="324" t="n"/>
      <c r="AC20" s="324" t="n"/>
    </row>
    <row r="21" ht="14.25" customHeight="1">
      <c r="A21" s="329" t="inlineStr">
        <is>
          <t>Пельмени</t>
        </is>
      </c>
      <c r="B21" s="319" t="n"/>
      <c r="C21" s="319" t="n"/>
      <c r="D21" s="319" t="n"/>
      <c r="E21" s="319" t="n"/>
      <c r="F21" s="319" t="n"/>
      <c r="G21" s="319" t="n"/>
      <c r="H21" s="319" t="n"/>
      <c r="I21" s="319" t="n"/>
      <c r="J21" s="319" t="n"/>
      <c r="K21" s="319" t="n"/>
      <c r="L21" s="319" t="n"/>
      <c r="M21" s="319" t="n"/>
      <c r="N21" s="319" t="n"/>
      <c r="O21" s="319" t="n"/>
      <c r="P21" s="319" t="n"/>
      <c r="Q21" s="319" t="n"/>
      <c r="R21" s="319" t="n"/>
      <c r="S21" s="319" t="n"/>
      <c r="T21" s="319" t="n"/>
      <c r="U21" s="319" t="n"/>
      <c r="V21" s="319" t="n"/>
      <c r="W21" s="319" t="n"/>
      <c r="X21" s="319" t="n"/>
      <c r="Y21" s="319" t="n"/>
      <c r="Z21" s="319" t="n"/>
      <c r="AA21" s="329" t="n"/>
      <c r="AB21" s="329" t="n"/>
      <c r="AC21" s="329" t="n"/>
    </row>
    <row r="22" ht="27" customHeight="1">
      <c r="A22" s="53" t="inlineStr">
        <is>
          <t>SU002224</t>
        </is>
      </c>
      <c r="B22" s="53" t="inlineStr">
        <is>
          <t>P002928</t>
        </is>
      </c>
      <c r="C22" s="31" t="n">
        <v>4301070899</v>
      </c>
      <c r="D22" s="316" t="n">
        <v>4607111035752</v>
      </c>
      <c r="E22" s="317" t="n"/>
      <c r="F22" s="305" t="n">
        <v>0.43</v>
      </c>
      <c r="G22" s="32" t="n">
        <v>16</v>
      </c>
      <c r="H22" s="305" t="n">
        <v>6.88</v>
      </c>
      <c r="I22" s="305" t="n">
        <v>7.254</v>
      </c>
      <c r="J22" s="32" t="n">
        <v>84</v>
      </c>
      <c r="K22" s="32" t="inlineStr">
        <is>
          <t>12</t>
        </is>
      </c>
      <c r="L22" s="32" t="inlineStr">
        <is>
          <t>Короб, мин. 1</t>
        </is>
      </c>
      <c r="M22" s="33" t="inlineStr">
        <is>
          <t>МГ</t>
        </is>
      </c>
      <c r="N22" s="33" t="n"/>
      <c r="O22" s="32" t="n">
        <v>180</v>
      </c>
      <c r="P22" s="449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/>
      </c>
      <c r="Q22" s="313" t="n"/>
      <c r="R22" s="313" t="n"/>
      <c r="S22" s="313" t="n"/>
      <c r="T22" s="314" t="n"/>
      <c r="U22" s="34" t="n"/>
      <c r="V22" s="34" t="n"/>
      <c r="W22" s="35" t="inlineStr">
        <is>
          <t>кор</t>
        </is>
      </c>
      <c r="X22" s="310" t="n"/>
      <c r="Y22" s="307">
        <f>IFERROR(IF(X22="","",X22),"")</f>
        <v/>
      </c>
      <c r="Z22" s="36">
        <f>IFERROR(IF(X22="","",X22*0.0155),"")</f>
        <v/>
      </c>
      <c r="AA22" s="55" t="n"/>
      <c r="AB22" s="56" t="n"/>
      <c r="AC22" s="70" t="inlineStr">
        <is>
          <t>ЕАЭС N RU Д-RU.РА01.В.80841/20</t>
        </is>
      </c>
      <c r="AD22" s="7">
        <f>X22*G22</f>
        <v/>
      </c>
      <c r="AE22" s="7">
        <f>X22/J22</f>
        <v/>
      </c>
      <c r="AG22" s="66" t="n"/>
      <c r="AJ22" s="69" t="inlineStr">
        <is>
          <t>Короб</t>
        </is>
      </c>
      <c r="AK22" s="69" t="n">
        <v>1</v>
      </c>
      <c r="BB22" s="71" t="inlineStr">
        <is>
          <t>ЗПФ</t>
        </is>
      </c>
      <c r="BM22" s="66" t="n">
        <v>0</v>
      </c>
      <c r="BN22" s="66" t="n">
        <v>0</v>
      </c>
      <c r="BO22" s="66" t="n">
        <v>0</v>
      </c>
      <c r="BP22" s="66" t="n">
        <v>0</v>
      </c>
    </row>
    <row r="23">
      <c r="A23" s="318" t="n"/>
      <c r="B23" s="319" t="n"/>
      <c r="C23" s="319" t="n"/>
      <c r="D23" s="319" t="n"/>
      <c r="E23" s="319" t="n"/>
      <c r="F23" s="319" t="n"/>
      <c r="G23" s="319" t="n"/>
      <c r="H23" s="319" t="n"/>
      <c r="I23" s="319" t="n"/>
      <c r="J23" s="319" t="n"/>
      <c r="K23" s="319" t="n"/>
      <c r="L23" s="319" t="n"/>
      <c r="M23" s="319" t="n"/>
      <c r="N23" s="319" t="n"/>
      <c r="O23" s="320" t="n"/>
      <c r="P23" s="321" t="inlineStr">
        <is>
          <t>Итого</t>
        </is>
      </c>
      <c r="Q23" s="322" t="n"/>
      <c r="R23" s="322" t="n"/>
      <c r="S23" s="322" t="n"/>
      <c r="T23" s="322" t="n"/>
      <c r="U23" s="322" t="n"/>
      <c r="V23" s="323" t="n"/>
      <c r="W23" s="37" t="inlineStr">
        <is>
          <t>кор</t>
        </is>
      </c>
      <c r="X23" s="311">
        <f>IFERROR(SUM(X22:X22),"0")</f>
        <v/>
      </c>
      <c r="Y23" s="308">
        <f>IFERROR(SUM(Y22:Y22),"0")</f>
        <v/>
      </c>
      <c r="Z23" s="308">
        <f>IFERROR(IF(Z22="",0,Z22),"0")</f>
        <v/>
      </c>
      <c r="AA23" s="309" t="n"/>
      <c r="AB23" s="309" t="n"/>
      <c r="AC23" s="309" t="n"/>
    </row>
    <row r="24">
      <c r="A24" s="319" t="n"/>
      <c r="B24" s="319" t="n"/>
      <c r="C24" s="319" t="n"/>
      <c r="D24" s="319" t="n"/>
      <c r="E24" s="319" t="n"/>
      <c r="F24" s="319" t="n"/>
      <c r="G24" s="319" t="n"/>
      <c r="H24" s="319" t="n"/>
      <c r="I24" s="319" t="n"/>
      <c r="J24" s="319" t="n"/>
      <c r="K24" s="319" t="n"/>
      <c r="L24" s="319" t="n"/>
      <c r="M24" s="319" t="n"/>
      <c r="N24" s="319" t="n"/>
      <c r="O24" s="320" t="n"/>
      <c r="P24" s="321" t="inlineStr">
        <is>
          <t>Итого</t>
        </is>
      </c>
      <c r="Q24" s="322" t="n"/>
      <c r="R24" s="322" t="n"/>
      <c r="S24" s="322" t="n"/>
      <c r="T24" s="322" t="n"/>
      <c r="U24" s="322" t="n"/>
      <c r="V24" s="323" t="n"/>
      <c r="W24" s="37" t="inlineStr">
        <is>
          <t>кг</t>
        </is>
      </c>
      <c r="X24" s="311">
        <f>IFERROR(SUMPRODUCT(X22:X22*H22:H22),"0")</f>
        <v/>
      </c>
      <c r="Y24" s="308">
        <f>IFERROR(SUMPRODUCT(Y22:Y22*H22:H22),"0")</f>
        <v/>
      </c>
      <c r="Z24" s="37" t="n"/>
      <c r="AA24" s="309" t="n"/>
      <c r="AB24" s="309" t="n"/>
      <c r="AC24" s="309" t="n"/>
    </row>
    <row r="25" ht="27.75" customHeight="1">
      <c r="A25" s="365" t="inlineStr">
        <is>
          <t>Горячая штучка</t>
        </is>
      </c>
      <c r="B25" s="366" t="n"/>
      <c r="C25" s="366" t="n"/>
      <c r="D25" s="366" t="n"/>
      <c r="E25" s="366" t="n"/>
      <c r="F25" s="366" t="n"/>
      <c r="G25" s="366" t="n"/>
      <c r="H25" s="366" t="n"/>
      <c r="I25" s="366" t="n"/>
      <c r="J25" s="366" t="n"/>
      <c r="K25" s="366" t="n"/>
      <c r="L25" s="366" t="n"/>
      <c r="M25" s="366" t="n"/>
      <c r="N25" s="366" t="n"/>
      <c r="O25" s="366" t="n"/>
      <c r="P25" s="366" t="n"/>
      <c r="Q25" s="366" t="n"/>
      <c r="R25" s="366" t="n"/>
      <c r="S25" s="366" t="n"/>
      <c r="T25" s="366" t="n"/>
      <c r="U25" s="366" t="n"/>
      <c r="V25" s="366" t="n"/>
      <c r="W25" s="366" t="n"/>
      <c r="X25" s="366" t="n"/>
      <c r="Y25" s="366" t="n"/>
      <c r="Z25" s="366" t="n"/>
      <c r="AA25" s="48" t="n"/>
      <c r="AB25" s="48" t="n"/>
      <c r="AC25" s="48" t="n"/>
    </row>
    <row r="26" ht="16.5" customHeight="1">
      <c r="A26" s="324" t="inlineStr">
        <is>
          <t>Наггетсы ГШ</t>
        </is>
      </c>
      <c r="B26" s="319" t="n"/>
      <c r="C26" s="319" t="n"/>
      <c r="D26" s="319" t="n"/>
      <c r="E26" s="319" t="n"/>
      <c r="F26" s="319" t="n"/>
      <c r="G26" s="319" t="n"/>
      <c r="H26" s="319" t="n"/>
      <c r="I26" s="319" t="n"/>
      <c r="J26" s="319" t="n"/>
      <c r="K26" s="319" t="n"/>
      <c r="L26" s="319" t="n"/>
      <c r="M26" s="319" t="n"/>
      <c r="N26" s="319" t="n"/>
      <c r="O26" s="319" t="n"/>
      <c r="P26" s="319" t="n"/>
      <c r="Q26" s="319" t="n"/>
      <c r="R26" s="319" t="n"/>
      <c r="S26" s="319" t="n"/>
      <c r="T26" s="319" t="n"/>
      <c r="U26" s="319" t="n"/>
      <c r="V26" s="319" t="n"/>
      <c r="W26" s="319" t="n"/>
      <c r="X26" s="319" t="n"/>
      <c r="Y26" s="319" t="n"/>
      <c r="Z26" s="319" t="n"/>
      <c r="AA26" s="324" t="n"/>
      <c r="AB26" s="324" t="n"/>
      <c r="AC26" s="324" t="n"/>
    </row>
    <row r="27" ht="14.25" customHeight="1">
      <c r="A27" s="329" t="inlineStr">
        <is>
          <t>Наггетсы</t>
        </is>
      </c>
      <c r="B27" s="319" t="n"/>
      <c r="C27" s="319" t="n"/>
      <c r="D27" s="319" t="n"/>
      <c r="E27" s="319" t="n"/>
      <c r="F27" s="319" t="n"/>
      <c r="G27" s="319" t="n"/>
      <c r="H27" s="319" t="n"/>
      <c r="I27" s="319" t="n"/>
      <c r="J27" s="319" t="n"/>
      <c r="K27" s="319" t="n"/>
      <c r="L27" s="319" t="n"/>
      <c r="M27" s="319" t="n"/>
      <c r="N27" s="319" t="n"/>
      <c r="O27" s="319" t="n"/>
      <c r="P27" s="319" t="n"/>
      <c r="Q27" s="319" t="n"/>
      <c r="R27" s="319" t="n"/>
      <c r="S27" s="319" t="n"/>
      <c r="T27" s="319" t="n"/>
      <c r="U27" s="319" t="n"/>
      <c r="V27" s="319" t="n"/>
      <c r="W27" s="319" t="n"/>
      <c r="X27" s="319" t="n"/>
      <c r="Y27" s="319" t="n"/>
      <c r="Z27" s="319" t="n"/>
      <c r="AA27" s="329" t="n"/>
      <c r="AB27" s="329" t="n"/>
      <c r="AC27" s="329" t="n"/>
    </row>
    <row r="28" ht="27" customHeight="1">
      <c r="A28" s="53" t="inlineStr">
        <is>
          <t>SU003598</t>
        </is>
      </c>
      <c r="B28" s="53" t="inlineStr">
        <is>
          <t>P004602</t>
        </is>
      </c>
      <c r="C28" s="31" t="n">
        <v>4301132190</v>
      </c>
      <c r="D28" s="316" t="n">
        <v>4607111036537</v>
      </c>
      <c r="E28" s="317" t="n"/>
      <c r="F28" s="305" t="n">
        <v>0.25</v>
      </c>
      <c r="G28" s="32" t="n">
        <v>6</v>
      </c>
      <c r="H28" s="305" t="n">
        <v>1.5</v>
      </c>
      <c r="I28" s="305" t="n">
        <v>1.9218</v>
      </c>
      <c r="J28" s="32" t="n">
        <v>140</v>
      </c>
      <c r="K28" s="32" t="inlineStr">
        <is>
          <t>14</t>
        </is>
      </c>
      <c r="L28" s="32" t="inlineStr">
        <is>
          <t>Короб, мин. 1</t>
        </is>
      </c>
      <c r="M28" s="33" t="inlineStr">
        <is>
          <t>МГ</t>
        </is>
      </c>
      <c r="N28" s="33" t="n"/>
      <c r="O28" s="32" t="n">
        <v>365</v>
      </c>
      <c r="P28" s="334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/>
      </c>
      <c r="Q28" s="313" t="n"/>
      <c r="R28" s="313" t="n"/>
      <c r="S28" s="313" t="n"/>
      <c r="T28" s="314" t="n"/>
      <c r="U28" s="34" t="n"/>
      <c r="V28" s="34" t="n"/>
      <c r="W28" s="35" t="inlineStr">
        <is>
          <t>кор</t>
        </is>
      </c>
      <c r="X28" s="310" t="n">
        <v>210</v>
      </c>
      <c r="Y28" s="307">
        <f>IFERROR(IF(X28="","",X28),"")</f>
        <v/>
      </c>
      <c r="Z28" s="36">
        <f>IFERROR(IF(X28="","",X28*0.00941),"")</f>
        <v/>
      </c>
      <c r="AA28" s="55" t="n"/>
      <c r="AB28" s="56" t="n"/>
      <c r="AC28" s="72" t="inlineStr">
        <is>
          <t>ЕАЭС N RU Д-RU.РА10.В.22386/23</t>
        </is>
      </c>
      <c r="AD28" s="7">
        <f>X28*G28</f>
        <v/>
      </c>
      <c r="AE28" s="7">
        <f>X28/J28</f>
        <v/>
      </c>
      <c r="AG28" s="66" t="n"/>
      <c r="AJ28" s="69" t="inlineStr">
        <is>
          <t>Короб</t>
        </is>
      </c>
      <c r="AK28" s="69" t="n">
        <v>1</v>
      </c>
      <c r="BB28" s="73" t="inlineStr">
        <is>
          <t>ПГП</t>
        </is>
      </c>
      <c r="BM28" s="66" t="n">
        <v>0</v>
      </c>
      <c r="BN28" s="66" t="n">
        <v>0</v>
      </c>
      <c r="BO28" s="66" t="n">
        <v>0</v>
      </c>
      <c r="BP28" s="66" t="n">
        <v>0</v>
      </c>
    </row>
    <row r="29" ht="27" customHeight="1">
      <c r="A29" s="53" t="inlineStr">
        <is>
          <t>SU003600</t>
        </is>
      </c>
      <c r="B29" s="53" t="inlineStr">
        <is>
          <t>P004600</t>
        </is>
      </c>
      <c r="C29" s="31" t="n">
        <v>4301132188</v>
      </c>
      <c r="D29" s="316" t="n">
        <v>4607111036605</v>
      </c>
      <c r="E29" s="317" t="n"/>
      <c r="F29" s="305" t="n">
        <v>0.25</v>
      </c>
      <c r="G29" s="32" t="n">
        <v>6</v>
      </c>
      <c r="H29" s="305" t="n">
        <v>1.5</v>
      </c>
      <c r="I29" s="305" t="n">
        <v>1.9218</v>
      </c>
      <c r="J29" s="32" t="n">
        <v>140</v>
      </c>
      <c r="K29" s="32" t="inlineStr">
        <is>
          <t>14</t>
        </is>
      </c>
      <c r="L29" s="32" t="inlineStr">
        <is>
          <t>Короб, мин. 1</t>
        </is>
      </c>
      <c r="M29" s="33" t="inlineStr">
        <is>
          <t>МГ</t>
        </is>
      </c>
      <c r="N29" s="33" t="n"/>
      <c r="O29" s="32" t="n">
        <v>365</v>
      </c>
      <c r="P29" s="351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/>
      </c>
      <c r="Q29" s="313" t="n"/>
      <c r="R29" s="313" t="n"/>
      <c r="S29" s="313" t="n"/>
      <c r="T29" s="314" t="n"/>
      <c r="U29" s="34" t="n"/>
      <c r="V29" s="34" t="n"/>
      <c r="W29" s="35" t="inlineStr">
        <is>
          <t>кор</t>
        </is>
      </c>
      <c r="X29" s="310" t="n">
        <v>210</v>
      </c>
      <c r="Y29" s="307">
        <f>IFERROR(IF(X29="","",X29),"")</f>
        <v/>
      </c>
      <c r="Z29" s="36">
        <f>IFERROR(IF(X29="","",X29*0.00941),"")</f>
        <v/>
      </c>
      <c r="AA29" s="55" t="n"/>
      <c r="AB29" s="56" t="n"/>
      <c r="AC29" s="74" t="inlineStr">
        <is>
          <t>ЕАЭС N RU Д-RU.РА10.В.22386/23</t>
        </is>
      </c>
      <c r="AD29" s="7">
        <f>X29*G29</f>
        <v/>
      </c>
      <c r="AE29" s="7">
        <f>X29/J29</f>
        <v/>
      </c>
      <c r="AG29" s="66" t="n"/>
      <c r="AJ29" s="69" t="inlineStr">
        <is>
          <t>Короб</t>
        </is>
      </c>
      <c r="AK29" s="69" t="n">
        <v>1</v>
      </c>
      <c r="BB29" s="75" t="inlineStr">
        <is>
          <t>ПГП</t>
        </is>
      </c>
      <c r="BM29" s="66" t="n">
        <v>0</v>
      </c>
      <c r="BN29" s="66" t="n">
        <v>0</v>
      </c>
      <c r="BO29" s="66" t="n">
        <v>0</v>
      </c>
      <c r="BP29" s="66" t="n">
        <v>0</v>
      </c>
    </row>
    <row r="30">
      <c r="A30" s="318" t="n"/>
      <c r="B30" s="319" t="n"/>
      <c r="C30" s="319" t="n"/>
      <c r="D30" s="319" t="n"/>
      <c r="E30" s="319" t="n"/>
      <c r="F30" s="319" t="n"/>
      <c r="G30" s="319" t="n"/>
      <c r="H30" s="319" t="n"/>
      <c r="I30" s="319" t="n"/>
      <c r="J30" s="319" t="n"/>
      <c r="K30" s="319" t="n"/>
      <c r="L30" s="319" t="n"/>
      <c r="M30" s="319" t="n"/>
      <c r="N30" s="319" t="n"/>
      <c r="O30" s="320" t="n"/>
      <c r="P30" s="321" t="inlineStr">
        <is>
          <t>Итого</t>
        </is>
      </c>
      <c r="Q30" s="322" t="n"/>
      <c r="R30" s="322" t="n"/>
      <c r="S30" s="322" t="n"/>
      <c r="T30" s="322" t="n"/>
      <c r="U30" s="322" t="n"/>
      <c r="V30" s="323" t="n"/>
      <c r="W30" s="37" t="inlineStr">
        <is>
          <t>кор</t>
        </is>
      </c>
      <c r="X30" s="311">
        <f>IFERROR(SUM(X28:X29),"0")</f>
        <v/>
      </c>
      <c r="Y30" s="308">
        <f>IFERROR(SUM(Y28:Y29),"0")</f>
        <v/>
      </c>
      <c r="Z30" s="308">
        <f>IFERROR(IF(Z28="",0,Z28),"0")+IFERROR(IF(Z29="",0,Z29),"0")</f>
        <v/>
      </c>
      <c r="AA30" s="309" t="n"/>
      <c r="AB30" s="309" t="n"/>
      <c r="AC30" s="309" t="n"/>
    </row>
    <row r="31">
      <c r="A31" s="319" t="n"/>
      <c r="B31" s="319" t="n"/>
      <c r="C31" s="319" t="n"/>
      <c r="D31" s="319" t="n"/>
      <c r="E31" s="319" t="n"/>
      <c r="F31" s="319" t="n"/>
      <c r="G31" s="319" t="n"/>
      <c r="H31" s="319" t="n"/>
      <c r="I31" s="319" t="n"/>
      <c r="J31" s="319" t="n"/>
      <c r="K31" s="319" t="n"/>
      <c r="L31" s="319" t="n"/>
      <c r="M31" s="319" t="n"/>
      <c r="N31" s="319" t="n"/>
      <c r="O31" s="320" t="n"/>
      <c r="P31" s="321" t="inlineStr">
        <is>
          <t>Итого</t>
        </is>
      </c>
      <c r="Q31" s="322" t="n"/>
      <c r="R31" s="322" t="n"/>
      <c r="S31" s="322" t="n"/>
      <c r="T31" s="322" t="n"/>
      <c r="U31" s="322" t="n"/>
      <c r="V31" s="323" t="n"/>
      <c r="W31" s="37" t="inlineStr">
        <is>
          <t>кг</t>
        </is>
      </c>
      <c r="X31" s="311">
        <f>IFERROR(SUMPRODUCT(X28:X29*H28:H29),"0")</f>
        <v/>
      </c>
      <c r="Y31" s="308">
        <f>IFERROR(SUMPRODUCT(Y28:Y29*H28:H29),"0")</f>
        <v/>
      </c>
      <c r="Z31" s="37" t="n"/>
      <c r="AA31" s="309" t="n"/>
      <c r="AB31" s="309" t="n"/>
      <c r="AC31" s="309" t="n"/>
    </row>
    <row r="32" ht="16.5" customHeight="1">
      <c r="A32" s="324" t="inlineStr">
        <is>
          <t>Grandmeni</t>
        </is>
      </c>
      <c r="B32" s="319" t="n"/>
      <c r="C32" s="319" t="n"/>
      <c r="D32" s="319" t="n"/>
      <c r="E32" s="319" t="n"/>
      <c r="F32" s="319" t="n"/>
      <c r="G32" s="319" t="n"/>
      <c r="H32" s="319" t="n"/>
      <c r="I32" s="319" t="n"/>
      <c r="J32" s="319" t="n"/>
      <c r="K32" s="319" t="n"/>
      <c r="L32" s="319" t="n"/>
      <c r="M32" s="319" t="n"/>
      <c r="N32" s="319" t="n"/>
      <c r="O32" s="319" t="n"/>
      <c r="P32" s="319" t="n"/>
      <c r="Q32" s="319" t="n"/>
      <c r="R32" s="319" t="n"/>
      <c r="S32" s="319" t="n"/>
      <c r="T32" s="319" t="n"/>
      <c r="U32" s="319" t="n"/>
      <c r="V32" s="319" t="n"/>
      <c r="W32" s="319" t="n"/>
      <c r="X32" s="319" t="n"/>
      <c r="Y32" s="319" t="n"/>
      <c r="Z32" s="319" t="n"/>
      <c r="AA32" s="324" t="n"/>
      <c r="AB32" s="324" t="n"/>
      <c r="AC32" s="324" t="n"/>
    </row>
    <row r="33" ht="14.25" customHeight="1">
      <c r="A33" s="329" t="inlineStr">
        <is>
          <t>Пельмени</t>
        </is>
      </c>
      <c r="B33" s="319" t="n"/>
      <c r="C33" s="319" t="n"/>
      <c r="D33" s="319" t="n"/>
      <c r="E33" s="319" t="n"/>
      <c r="F33" s="319" t="n"/>
      <c r="G33" s="319" t="n"/>
      <c r="H33" s="319" t="n"/>
      <c r="I33" s="319" t="n"/>
      <c r="J33" s="319" t="n"/>
      <c r="K33" s="319" t="n"/>
      <c r="L33" s="319" t="n"/>
      <c r="M33" s="319" t="n"/>
      <c r="N33" s="319" t="n"/>
      <c r="O33" s="319" t="n"/>
      <c r="P33" s="319" t="n"/>
      <c r="Q33" s="319" t="n"/>
      <c r="R33" s="319" t="n"/>
      <c r="S33" s="319" t="n"/>
      <c r="T33" s="319" t="n"/>
      <c r="U33" s="319" t="n"/>
      <c r="V33" s="319" t="n"/>
      <c r="W33" s="319" t="n"/>
      <c r="X33" s="319" t="n"/>
      <c r="Y33" s="319" t="n"/>
      <c r="Z33" s="319" t="n"/>
      <c r="AA33" s="329" t="n"/>
      <c r="AB33" s="329" t="n"/>
      <c r="AC33" s="329" t="n"/>
    </row>
    <row r="34" ht="27" customHeight="1">
      <c r="A34" s="53" t="inlineStr">
        <is>
          <t>SU003826</t>
        </is>
      </c>
      <c r="B34" s="53" t="inlineStr">
        <is>
          <t>P004887</t>
        </is>
      </c>
      <c r="C34" s="31" t="n">
        <v>4301071090</v>
      </c>
      <c r="D34" s="316" t="n">
        <v>4620207490075</v>
      </c>
      <c r="E34" s="317" t="n"/>
      <c r="F34" s="305" t="n">
        <v>0.7</v>
      </c>
      <c r="G34" s="32" t="n">
        <v>8</v>
      </c>
      <c r="H34" s="305" t="n">
        <v>5.6</v>
      </c>
      <c r="I34" s="305" t="n">
        <v>5.87</v>
      </c>
      <c r="J34" s="32" t="n">
        <v>84</v>
      </c>
      <c r="K34" s="32" t="inlineStr">
        <is>
          <t>12</t>
        </is>
      </c>
      <c r="L34" s="32" t="inlineStr">
        <is>
          <t>Короб, мин. 1</t>
        </is>
      </c>
      <c r="M34" s="33" t="inlineStr">
        <is>
          <t>МГ</t>
        </is>
      </c>
      <c r="N34" s="33" t="n"/>
      <c r="O34" s="32" t="n">
        <v>180</v>
      </c>
      <c r="P34" s="472">
        <f>HYPERLINK("https://abi.ru/products/Замороженные/Горячая штучка/Grandmeni/Пельмени/P004887/","Пельмени «Grandmeni с говядиной» Фикс.вес 0,7 сфера ТМ «Горячая штучка»")</f>
        <v/>
      </c>
      <c r="Q34" s="313" t="n"/>
      <c r="R34" s="313" t="n"/>
      <c r="S34" s="313" t="n"/>
      <c r="T34" s="314" t="n"/>
      <c r="U34" s="34" t="n"/>
      <c r="V34" s="34" t="n"/>
      <c r="W34" s="35" t="inlineStr">
        <is>
          <t>кор</t>
        </is>
      </c>
      <c r="X34" s="310" t="n">
        <v>0</v>
      </c>
      <c r="Y34" s="307">
        <f>IFERROR(IF(X34="","",X34),"")</f>
        <v/>
      </c>
      <c r="Z34" s="36">
        <f>IFERROR(IF(X34="","",X34*0.0155),"")</f>
        <v/>
      </c>
      <c r="AA34" s="55" t="n"/>
      <c r="AB34" s="56" t="n"/>
      <c r="AC34" s="76" t="inlineStr">
        <is>
          <t>ЕАЭС N RU Д-RU.РА05.В.25234/24</t>
        </is>
      </c>
      <c r="AD34" s="7">
        <f>X34*G34</f>
        <v/>
      </c>
      <c r="AE34" s="7">
        <f>X34/J34</f>
        <v/>
      </c>
      <c r="AG34" s="66" t="n"/>
      <c r="AJ34" s="69" t="inlineStr">
        <is>
          <t>Короб</t>
        </is>
      </c>
      <c r="AK34" s="69" t="n">
        <v>1</v>
      </c>
      <c r="BB34" s="77" t="inlineStr">
        <is>
          <t>ЗПФ</t>
        </is>
      </c>
      <c r="BM34" s="66" t="n">
        <v>0</v>
      </c>
      <c r="BN34" s="66" t="n">
        <v>0</v>
      </c>
      <c r="BO34" s="66" t="n">
        <v>0</v>
      </c>
      <c r="BP34" s="66" t="n">
        <v>0</v>
      </c>
    </row>
    <row r="35" ht="27" customHeight="1">
      <c r="A35" s="53" t="inlineStr">
        <is>
          <t>SU003828</t>
        </is>
      </c>
      <c r="B35" s="53" t="inlineStr">
        <is>
          <t>P004889</t>
        </is>
      </c>
      <c r="C35" s="31" t="n">
        <v>4301071092</v>
      </c>
      <c r="D35" s="316" t="n">
        <v>4620207490174</v>
      </c>
      <c r="E35" s="317" t="n"/>
      <c r="F35" s="305" t="n">
        <v>0.7</v>
      </c>
      <c r="G35" s="32" t="n">
        <v>8</v>
      </c>
      <c r="H35" s="305" t="n">
        <v>5.6</v>
      </c>
      <c r="I35" s="305" t="n">
        <v>5.87</v>
      </c>
      <c r="J35" s="32" t="n">
        <v>84</v>
      </c>
      <c r="K35" s="32" t="inlineStr">
        <is>
          <t>12</t>
        </is>
      </c>
      <c r="L35" s="32" t="inlineStr">
        <is>
          <t>Короб, мин. 1</t>
        </is>
      </c>
      <c r="M35" s="33" t="inlineStr">
        <is>
          <t>МГ</t>
        </is>
      </c>
      <c r="N35" s="33" t="n"/>
      <c r="O35" s="32" t="n">
        <v>180</v>
      </c>
      <c r="P35" s="460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/>
      </c>
      <c r="Q35" s="313" t="n"/>
      <c r="R35" s="313" t="n"/>
      <c r="S35" s="313" t="n"/>
      <c r="T35" s="314" t="n"/>
      <c r="U35" s="34" t="n"/>
      <c r="V35" s="34" t="n"/>
      <c r="W35" s="35" t="inlineStr">
        <is>
          <t>кор</t>
        </is>
      </c>
      <c r="X35" s="310" t="n">
        <v>0</v>
      </c>
      <c r="Y35" s="307">
        <f>IFERROR(IF(X35="","",X35),"")</f>
        <v/>
      </c>
      <c r="Z35" s="36">
        <f>IFERROR(IF(X35="","",X35*0.0155),"")</f>
        <v/>
      </c>
      <c r="AA35" s="55" t="n"/>
      <c r="AB35" s="56" t="n"/>
      <c r="AC35" s="78" t="inlineStr">
        <is>
          <t>ЕАЭС N RU Д-RU.РА05.В.16662/24</t>
        </is>
      </c>
      <c r="AD35" s="7">
        <f>X35*G35</f>
        <v/>
      </c>
      <c r="AE35" s="7">
        <f>X35/J35</f>
        <v/>
      </c>
      <c r="AG35" s="66" t="n"/>
      <c r="AJ35" s="69" t="inlineStr">
        <is>
          <t>Короб</t>
        </is>
      </c>
      <c r="AK35" s="69" t="n">
        <v>1</v>
      </c>
      <c r="BB35" s="79" t="inlineStr">
        <is>
          <t>ЗПФ</t>
        </is>
      </c>
      <c r="BM35" s="66" t="n">
        <v>0</v>
      </c>
      <c r="BN35" s="66" t="n">
        <v>0</v>
      </c>
      <c r="BO35" s="66" t="n">
        <v>0</v>
      </c>
      <c r="BP35" s="66" t="n">
        <v>0</v>
      </c>
    </row>
    <row r="36" ht="27" customHeight="1">
      <c r="A36" s="53" t="inlineStr">
        <is>
          <t>SU003827</t>
        </is>
      </c>
      <c r="B36" s="53" t="inlineStr">
        <is>
          <t>P004888</t>
        </is>
      </c>
      <c r="C36" s="31" t="n">
        <v>4301071091</v>
      </c>
      <c r="D36" s="316" t="n">
        <v>4620207490044</v>
      </c>
      <c r="E36" s="317" t="n"/>
      <c r="F36" s="305" t="n">
        <v>0.7</v>
      </c>
      <c r="G36" s="32" t="n">
        <v>8</v>
      </c>
      <c r="H36" s="305" t="n">
        <v>5.6</v>
      </c>
      <c r="I36" s="305" t="n">
        <v>5.87</v>
      </c>
      <c r="J36" s="32" t="n">
        <v>84</v>
      </c>
      <c r="K36" s="32" t="inlineStr">
        <is>
          <t>12</t>
        </is>
      </c>
      <c r="L36" s="32" t="inlineStr">
        <is>
          <t>Короб, мин. 1</t>
        </is>
      </c>
      <c r="M36" s="33" t="inlineStr">
        <is>
          <t>МГ</t>
        </is>
      </c>
      <c r="N36" s="33" t="n"/>
      <c r="O36" s="32" t="n">
        <v>180</v>
      </c>
      <c r="P36" s="476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/>
      </c>
      <c r="Q36" s="313" t="n"/>
      <c r="R36" s="313" t="n"/>
      <c r="S36" s="313" t="n"/>
      <c r="T36" s="314" t="n"/>
      <c r="U36" s="34" t="n"/>
      <c r="V36" s="34" t="n"/>
      <c r="W36" s="35" t="inlineStr">
        <is>
          <t>кор</t>
        </is>
      </c>
      <c r="X36" s="310" t="n">
        <v>0</v>
      </c>
      <c r="Y36" s="307">
        <f>IFERROR(IF(X36="","",X36),"")</f>
        <v/>
      </c>
      <c r="Z36" s="36">
        <f>IFERROR(IF(X36="","",X36*0.0155),"")</f>
        <v/>
      </c>
      <c r="AA36" s="55" t="n"/>
      <c r="AB36" s="56" t="n"/>
      <c r="AC36" s="80" t="inlineStr">
        <is>
          <t>ЕАЭС N RU Д-RU.РА05.В.39960/24</t>
        </is>
      </c>
      <c r="AD36" s="7">
        <f>X36*G36</f>
        <v/>
      </c>
      <c r="AE36" s="7">
        <f>X36/J36</f>
        <v/>
      </c>
      <c r="AG36" s="66" t="n"/>
      <c r="AJ36" s="69" t="inlineStr">
        <is>
          <t>Короб</t>
        </is>
      </c>
      <c r="AK36" s="69" t="n">
        <v>1</v>
      </c>
      <c r="BB36" s="81" t="inlineStr">
        <is>
          <t>ЗПФ</t>
        </is>
      </c>
      <c r="BM36" s="66" t="n">
        <v>0</v>
      </c>
      <c r="BN36" s="66" t="n">
        <v>0</v>
      </c>
      <c r="BO36" s="66" t="n">
        <v>0</v>
      </c>
      <c r="BP36" s="66" t="n">
        <v>0</v>
      </c>
    </row>
    <row r="37">
      <c r="A37" s="318" t="n"/>
      <c r="B37" s="319" t="n"/>
      <c r="C37" s="319" t="n"/>
      <c r="D37" s="319" t="n"/>
      <c r="E37" s="319" t="n"/>
      <c r="F37" s="319" t="n"/>
      <c r="G37" s="319" t="n"/>
      <c r="H37" s="319" t="n"/>
      <c r="I37" s="319" t="n"/>
      <c r="J37" s="319" t="n"/>
      <c r="K37" s="319" t="n"/>
      <c r="L37" s="319" t="n"/>
      <c r="M37" s="319" t="n"/>
      <c r="N37" s="319" t="n"/>
      <c r="O37" s="320" t="n"/>
      <c r="P37" s="321" t="inlineStr">
        <is>
          <t>Итого</t>
        </is>
      </c>
      <c r="Q37" s="322" t="n"/>
      <c r="R37" s="322" t="n"/>
      <c r="S37" s="322" t="n"/>
      <c r="T37" s="322" t="n"/>
      <c r="U37" s="322" t="n"/>
      <c r="V37" s="323" t="n"/>
      <c r="W37" s="37" t="inlineStr">
        <is>
          <t>кор</t>
        </is>
      </c>
      <c r="X37" s="311">
        <f>IFERROR(SUM(X34:X36),"0")</f>
        <v/>
      </c>
      <c r="Y37" s="308">
        <f>IFERROR(SUM(Y34:Y36),"0")</f>
        <v/>
      </c>
      <c r="Z37" s="308">
        <f>IFERROR(IF(Z34="",0,Z34),"0")+IFERROR(IF(Z35="",0,Z35),"0")+IFERROR(IF(Z36="",0,Z36),"0")</f>
        <v/>
      </c>
      <c r="AA37" s="309" t="n"/>
      <c r="AB37" s="309" t="n"/>
      <c r="AC37" s="309" t="n"/>
    </row>
    <row r="38">
      <c r="A38" s="319" t="n"/>
      <c r="B38" s="319" t="n"/>
      <c r="C38" s="319" t="n"/>
      <c r="D38" s="319" t="n"/>
      <c r="E38" s="319" t="n"/>
      <c r="F38" s="319" t="n"/>
      <c r="G38" s="319" t="n"/>
      <c r="H38" s="319" t="n"/>
      <c r="I38" s="319" t="n"/>
      <c r="J38" s="319" t="n"/>
      <c r="K38" s="319" t="n"/>
      <c r="L38" s="319" t="n"/>
      <c r="M38" s="319" t="n"/>
      <c r="N38" s="319" t="n"/>
      <c r="O38" s="320" t="n"/>
      <c r="P38" s="321" t="inlineStr">
        <is>
          <t>Итого</t>
        </is>
      </c>
      <c r="Q38" s="322" t="n"/>
      <c r="R38" s="322" t="n"/>
      <c r="S38" s="322" t="n"/>
      <c r="T38" s="322" t="n"/>
      <c r="U38" s="322" t="n"/>
      <c r="V38" s="323" t="n"/>
      <c r="W38" s="37" t="inlineStr">
        <is>
          <t>кг</t>
        </is>
      </c>
      <c r="X38" s="311">
        <f>IFERROR(SUMPRODUCT(X34:X36*H34:H36),"0")</f>
        <v/>
      </c>
      <c r="Y38" s="308">
        <f>IFERROR(SUMPRODUCT(Y34:Y36*H34:H36),"0")</f>
        <v/>
      </c>
      <c r="Z38" s="37" t="n"/>
      <c r="AA38" s="309" t="n"/>
      <c r="AB38" s="309" t="n"/>
      <c r="AC38" s="309" t="n"/>
    </row>
    <row r="39" ht="16.5" customHeight="1">
      <c r="A39" s="324" t="inlineStr">
        <is>
          <t>Бигбули ГШ</t>
        </is>
      </c>
      <c r="B39" s="319" t="n"/>
      <c r="C39" s="319" t="n"/>
      <c r="D39" s="319" t="n"/>
      <c r="E39" s="319" t="n"/>
      <c r="F39" s="319" t="n"/>
      <c r="G39" s="319" t="n"/>
      <c r="H39" s="319" t="n"/>
      <c r="I39" s="319" t="n"/>
      <c r="J39" s="319" t="n"/>
      <c r="K39" s="319" t="n"/>
      <c r="L39" s="319" t="n"/>
      <c r="M39" s="319" t="n"/>
      <c r="N39" s="319" t="n"/>
      <c r="O39" s="319" t="n"/>
      <c r="P39" s="319" t="n"/>
      <c r="Q39" s="319" t="n"/>
      <c r="R39" s="319" t="n"/>
      <c r="S39" s="319" t="n"/>
      <c r="T39" s="319" t="n"/>
      <c r="U39" s="319" t="n"/>
      <c r="V39" s="319" t="n"/>
      <c r="W39" s="319" t="n"/>
      <c r="X39" s="319" t="n"/>
      <c r="Y39" s="319" t="n"/>
      <c r="Z39" s="319" t="n"/>
      <c r="AA39" s="324" t="n"/>
      <c r="AB39" s="324" t="n"/>
      <c r="AC39" s="324" t="n"/>
    </row>
    <row r="40" ht="14.25" customHeight="1">
      <c r="A40" s="329" t="inlineStr">
        <is>
          <t>Пельмени</t>
        </is>
      </c>
      <c r="B40" s="319" t="n"/>
      <c r="C40" s="319" t="n"/>
      <c r="D40" s="319" t="n"/>
      <c r="E40" s="319" t="n"/>
      <c r="F40" s="319" t="n"/>
      <c r="G40" s="319" t="n"/>
      <c r="H40" s="319" t="n"/>
      <c r="I40" s="319" t="n"/>
      <c r="J40" s="319" t="n"/>
      <c r="K40" s="319" t="n"/>
      <c r="L40" s="319" t="n"/>
      <c r="M40" s="319" t="n"/>
      <c r="N40" s="319" t="n"/>
      <c r="O40" s="319" t="n"/>
      <c r="P40" s="319" t="n"/>
      <c r="Q40" s="319" t="n"/>
      <c r="R40" s="319" t="n"/>
      <c r="S40" s="319" t="n"/>
      <c r="T40" s="319" t="n"/>
      <c r="U40" s="319" t="n"/>
      <c r="V40" s="319" t="n"/>
      <c r="W40" s="319" t="n"/>
      <c r="X40" s="319" t="n"/>
      <c r="Y40" s="319" t="n"/>
      <c r="Z40" s="319" t="n"/>
      <c r="AA40" s="329" t="n"/>
      <c r="AB40" s="329" t="n"/>
      <c r="AC40" s="329" t="n"/>
    </row>
    <row r="41" ht="27" customHeight="1">
      <c r="A41" s="53" t="inlineStr">
        <is>
          <t>SU003532</t>
        </is>
      </c>
      <c r="B41" s="53" t="inlineStr">
        <is>
          <t>P004440</t>
        </is>
      </c>
      <c r="C41" s="31" t="n">
        <v>4301071044</v>
      </c>
      <c r="D41" s="316" t="n">
        <v>4607111039385</v>
      </c>
      <c r="E41" s="317" t="n"/>
      <c r="F41" s="305" t="n">
        <v>0.7</v>
      </c>
      <c r="G41" s="32" t="n">
        <v>10</v>
      </c>
      <c r="H41" s="305" t="n">
        <v>7</v>
      </c>
      <c r="I41" s="305" t="n">
        <v>7.3</v>
      </c>
      <c r="J41" s="32" t="n">
        <v>84</v>
      </c>
      <c r="K41" s="32" t="inlineStr">
        <is>
          <t>12</t>
        </is>
      </c>
      <c r="L41" s="32" t="inlineStr">
        <is>
          <t>Короб, мин. 1</t>
        </is>
      </c>
      <c r="M41" s="33" t="inlineStr">
        <is>
          <t>МГ</t>
        </is>
      </c>
      <c r="N41" s="33" t="n"/>
      <c r="O41" s="32" t="n">
        <v>180</v>
      </c>
      <c r="P41" s="471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/>
      </c>
      <c r="Q41" s="313" t="n"/>
      <c r="R41" s="313" t="n"/>
      <c r="S41" s="313" t="n"/>
      <c r="T41" s="314" t="n"/>
      <c r="U41" s="34" t="n"/>
      <c r="V41" s="34" t="n"/>
      <c r="W41" s="35" t="inlineStr">
        <is>
          <t>кор</t>
        </is>
      </c>
      <c r="X41" s="310" t="n">
        <v>112</v>
      </c>
      <c r="Y41" s="307">
        <f>IFERROR(IF(X41="","",X41),"")</f>
        <v/>
      </c>
      <c r="Z41" s="36">
        <f>IFERROR(IF(X41="","",X41*0.0155),"")</f>
        <v/>
      </c>
      <c r="AA41" s="55" t="n"/>
      <c r="AB41" s="56" t="n"/>
      <c r="AC41" s="82" t="inlineStr">
        <is>
          <t>ЕАЭС N RU Д-RU.РА06.В.58287/22</t>
        </is>
      </c>
      <c r="AD41" s="7">
        <f>X41*G41</f>
        <v/>
      </c>
      <c r="AE41" s="7">
        <f>X41/J41</f>
        <v/>
      </c>
      <c r="AG41" s="66" t="n"/>
      <c r="AJ41" s="69" t="inlineStr">
        <is>
          <t>Короб</t>
        </is>
      </c>
      <c r="AK41" s="69" t="n">
        <v>1</v>
      </c>
      <c r="BB41" s="83" t="inlineStr">
        <is>
          <t>ЗПФ</t>
        </is>
      </c>
      <c r="BM41" s="66" t="n">
        <v>0</v>
      </c>
      <c r="BN41" s="66" t="n">
        <v>0</v>
      </c>
      <c r="BO41" s="66" t="n">
        <v>0</v>
      </c>
      <c r="BP41" s="66" t="n">
        <v>0</v>
      </c>
    </row>
    <row r="42" ht="27" customHeight="1">
      <c r="A42" s="53" t="inlineStr">
        <is>
          <t>SU003385</t>
        </is>
      </c>
      <c r="B42" s="53" t="inlineStr">
        <is>
          <t>P004203</t>
        </is>
      </c>
      <c r="C42" s="31" t="n">
        <v>4301071031</v>
      </c>
      <c r="D42" s="316" t="n">
        <v>4607111038982</v>
      </c>
      <c r="E42" s="317" t="n"/>
      <c r="F42" s="305" t="n">
        <v>0.7</v>
      </c>
      <c r="G42" s="32" t="n">
        <v>10</v>
      </c>
      <c r="H42" s="305" t="n">
        <v>7</v>
      </c>
      <c r="I42" s="305" t="n">
        <v>7.286</v>
      </c>
      <c r="J42" s="32" t="n">
        <v>84</v>
      </c>
      <c r="K42" s="32" t="inlineStr">
        <is>
          <t>12</t>
        </is>
      </c>
      <c r="L42" s="32" t="inlineStr">
        <is>
          <t>Короб, мин. 1</t>
        </is>
      </c>
      <c r="M42" s="33" t="inlineStr">
        <is>
          <t>МГ</t>
        </is>
      </c>
      <c r="N42" s="33" t="n"/>
      <c r="O42" s="32" t="n">
        <v>180</v>
      </c>
      <c r="P42" s="362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/>
      </c>
      <c r="Q42" s="313" t="n"/>
      <c r="R42" s="313" t="n"/>
      <c r="S42" s="313" t="n"/>
      <c r="T42" s="314" t="n"/>
      <c r="U42" s="34" t="n"/>
      <c r="V42" s="34" t="n"/>
      <c r="W42" s="35" t="inlineStr">
        <is>
          <t>кор</t>
        </is>
      </c>
      <c r="X42" s="310" t="n">
        <v>112</v>
      </c>
      <c r="Y42" s="307">
        <f>IFERROR(IF(X42="","",X42),"")</f>
        <v/>
      </c>
      <c r="Z42" s="36">
        <f>IFERROR(IF(X42="","",X42*0.0155),"")</f>
        <v/>
      </c>
      <c r="AA42" s="55" t="n"/>
      <c r="AB42" s="56" t="n"/>
      <c r="AC42" s="84" t="inlineStr">
        <is>
          <t>ЕАЭС N RU Д-RU.РА04.В.26948/22</t>
        </is>
      </c>
      <c r="AD42" s="7">
        <f>X42*G42</f>
        <v/>
      </c>
      <c r="AE42" s="7">
        <f>X42/J42</f>
        <v/>
      </c>
      <c r="AG42" s="66" t="n"/>
      <c r="AJ42" s="69" t="inlineStr">
        <is>
          <t>Короб</t>
        </is>
      </c>
      <c r="AK42" s="69" t="n">
        <v>1</v>
      </c>
      <c r="BB42" s="85" t="inlineStr">
        <is>
          <t>ЗПФ</t>
        </is>
      </c>
      <c r="BM42" s="66" t="n">
        <v>0</v>
      </c>
      <c r="BN42" s="66" t="n">
        <v>0</v>
      </c>
      <c r="BO42" s="66" t="n">
        <v>0</v>
      </c>
      <c r="BP42" s="66" t="n">
        <v>0</v>
      </c>
    </row>
    <row r="43" ht="27" customHeight="1">
      <c r="A43" s="53" t="inlineStr">
        <is>
          <t>SU003530</t>
        </is>
      </c>
      <c r="B43" s="53" t="inlineStr">
        <is>
          <t>P004443</t>
        </is>
      </c>
      <c r="C43" s="31" t="n">
        <v>4301071046</v>
      </c>
      <c r="D43" s="316" t="n">
        <v>4607111039354</v>
      </c>
      <c r="E43" s="317" t="n"/>
      <c r="F43" s="305" t="n">
        <v>0.4</v>
      </c>
      <c r="G43" s="32" t="n">
        <v>16</v>
      </c>
      <c r="H43" s="305" t="n">
        <v>6.4</v>
      </c>
      <c r="I43" s="305" t="n">
        <v>6.7196</v>
      </c>
      <c r="J43" s="32" t="n">
        <v>84</v>
      </c>
      <c r="K43" s="32" t="inlineStr">
        <is>
          <t>12</t>
        </is>
      </c>
      <c r="L43" s="32" t="inlineStr">
        <is>
          <t>Короб, мин. 1</t>
        </is>
      </c>
      <c r="M43" s="33" t="inlineStr">
        <is>
          <t>МГ</t>
        </is>
      </c>
      <c r="N43" s="33" t="n"/>
      <c r="O43" s="32" t="n">
        <v>180</v>
      </c>
      <c r="P43" s="412">
        <f>HYPERLINK("https://abi.ru/products/Замороженные/Горячая штучка/Бигбули ГШ/Пельмени/P004443/","Пельмени «Бигбули с мясом» 0,4 Сфера ТМ «Горячая штучка»")</f>
        <v/>
      </c>
      <c r="Q43" s="313" t="n"/>
      <c r="R43" s="313" t="n"/>
      <c r="S43" s="313" t="n"/>
      <c r="T43" s="314" t="n"/>
      <c r="U43" s="34" t="n"/>
      <c r="V43" s="34" t="n"/>
      <c r="W43" s="35" t="inlineStr">
        <is>
          <t>кор</t>
        </is>
      </c>
      <c r="X43" s="310" t="n"/>
      <c r="Y43" s="307">
        <f>IFERROR(IF(X43="","",X43),"")</f>
        <v/>
      </c>
      <c r="Z43" s="36">
        <f>IFERROR(IF(X43="","",X43*0.0155),"")</f>
        <v/>
      </c>
      <c r="AA43" s="55" t="n"/>
      <c r="AB43" s="56" t="n"/>
      <c r="AC43" s="86" t="inlineStr">
        <is>
          <t>ЕАЭС N RU Д-RU.РА04.В.26948/22</t>
        </is>
      </c>
      <c r="AD43" s="7">
        <f>X43*G43</f>
        <v/>
      </c>
      <c r="AE43" s="7">
        <f>X43/J43</f>
        <v/>
      </c>
      <c r="AG43" s="66" t="n"/>
      <c r="AJ43" s="69" t="inlineStr">
        <is>
          <t>Короб</t>
        </is>
      </c>
      <c r="AK43" s="69" t="n">
        <v>1</v>
      </c>
      <c r="BB43" s="87" t="inlineStr">
        <is>
          <t>ЗПФ</t>
        </is>
      </c>
      <c r="BM43" s="66" t="n">
        <v>0</v>
      </c>
      <c r="BN43" s="66" t="n">
        <v>0</v>
      </c>
      <c r="BO43" s="66" t="n">
        <v>0</v>
      </c>
      <c r="BP43" s="66" t="n">
        <v>0</v>
      </c>
    </row>
    <row r="44" ht="27" customHeight="1">
      <c r="A44" s="53" t="inlineStr">
        <is>
          <t>SU003529</t>
        </is>
      </c>
      <c r="B44" s="53" t="inlineStr">
        <is>
          <t>P004442</t>
        </is>
      </c>
      <c r="C44" s="31" t="n">
        <v>4301071047</v>
      </c>
      <c r="D44" s="316" t="n">
        <v>4607111039330</v>
      </c>
      <c r="E44" s="317" t="n"/>
      <c r="F44" s="305" t="n">
        <v>0.7</v>
      </c>
      <c r="G44" s="32" t="n">
        <v>10</v>
      </c>
      <c r="H44" s="305" t="n">
        <v>7</v>
      </c>
      <c r="I44" s="305" t="n">
        <v>7.3</v>
      </c>
      <c r="J44" s="32" t="n">
        <v>84</v>
      </c>
      <c r="K44" s="32" t="inlineStr">
        <is>
          <t>12</t>
        </is>
      </c>
      <c r="L44" s="32" t="inlineStr">
        <is>
          <t>Короб, мин. 1</t>
        </is>
      </c>
      <c r="M44" s="33" t="inlineStr">
        <is>
          <t>МГ</t>
        </is>
      </c>
      <c r="N44" s="33" t="n"/>
      <c r="O44" s="32" t="n">
        <v>180</v>
      </c>
      <c r="P44" s="356">
        <f>HYPERLINK("https://abi.ru/products/Замороженные/Горячая штучка/Бигбули ГШ/Пельмени/P004442/","Пельмени «Бигбули с мясом» 0,7 Сфера ТМ «Горячая штучка»")</f>
        <v/>
      </c>
      <c r="Q44" s="313" t="n"/>
      <c r="R44" s="313" t="n"/>
      <c r="S44" s="313" t="n"/>
      <c r="T44" s="314" t="n"/>
      <c r="U44" s="34" t="n"/>
      <c r="V44" s="34" t="n"/>
      <c r="W44" s="35" t="inlineStr">
        <is>
          <t>кор</t>
        </is>
      </c>
      <c r="X44" s="310" t="n">
        <v>112</v>
      </c>
      <c r="Y44" s="307">
        <f>IFERROR(IF(X44="","",X44),"")</f>
        <v/>
      </c>
      <c r="Z44" s="36">
        <f>IFERROR(IF(X44="","",X44*0.0155),"")</f>
        <v/>
      </c>
      <c r="AA44" s="55" t="n"/>
      <c r="AB44" s="56" t="n"/>
      <c r="AC44" s="88" t="inlineStr">
        <is>
          <t>ЕАЭС N RU Д-RU.РА04.В.26948/22</t>
        </is>
      </c>
      <c r="AD44" s="7">
        <f>X44*G44</f>
        <v/>
      </c>
      <c r="AE44" s="7">
        <f>X44/J44</f>
        <v/>
      </c>
      <c r="AG44" s="66" t="n"/>
      <c r="AJ44" s="69" t="inlineStr">
        <is>
          <t>Короб</t>
        </is>
      </c>
      <c r="AK44" s="69" t="n">
        <v>1</v>
      </c>
      <c r="BB44" s="89" t="inlineStr">
        <is>
          <t>ЗПФ</t>
        </is>
      </c>
      <c r="BM44" s="66" t="n">
        <v>0</v>
      </c>
      <c r="BN44" s="66" t="n">
        <v>0</v>
      </c>
      <c r="BO44" s="66" t="n">
        <v>0</v>
      </c>
      <c r="BP44" s="66" t="n">
        <v>0</v>
      </c>
    </row>
    <row r="45">
      <c r="A45" s="318" t="n"/>
      <c r="B45" s="319" t="n"/>
      <c r="C45" s="319" t="n"/>
      <c r="D45" s="319" t="n"/>
      <c r="E45" s="319" t="n"/>
      <c r="F45" s="319" t="n"/>
      <c r="G45" s="319" t="n"/>
      <c r="H45" s="319" t="n"/>
      <c r="I45" s="319" t="n"/>
      <c r="J45" s="319" t="n"/>
      <c r="K45" s="319" t="n"/>
      <c r="L45" s="319" t="n"/>
      <c r="M45" s="319" t="n"/>
      <c r="N45" s="319" t="n"/>
      <c r="O45" s="320" t="n"/>
      <c r="P45" s="321" t="inlineStr">
        <is>
          <t>Итого</t>
        </is>
      </c>
      <c r="Q45" s="322" t="n"/>
      <c r="R45" s="322" t="n"/>
      <c r="S45" s="322" t="n"/>
      <c r="T45" s="322" t="n"/>
      <c r="U45" s="322" t="n"/>
      <c r="V45" s="323" t="n"/>
      <c r="W45" s="37" t="inlineStr">
        <is>
          <t>кор</t>
        </is>
      </c>
      <c r="X45" s="311">
        <f>IFERROR(SUM(X41:X44),"0")</f>
        <v/>
      </c>
      <c r="Y45" s="308">
        <f>IFERROR(SUM(Y41:Y44),"0")</f>
        <v/>
      </c>
      <c r="Z45" s="308">
        <f>IFERROR(IF(Z41="",0,Z41),"0")+IFERROR(IF(Z42="",0,Z42),"0")+IFERROR(IF(Z43="",0,Z43),"0")+IFERROR(IF(Z44="",0,Z44),"0")</f>
        <v/>
      </c>
      <c r="AA45" s="309" t="n"/>
      <c r="AB45" s="309" t="n"/>
      <c r="AC45" s="309" t="n"/>
    </row>
    <row r="46">
      <c r="A46" s="319" t="n"/>
      <c r="B46" s="319" t="n"/>
      <c r="C46" s="319" t="n"/>
      <c r="D46" s="319" t="n"/>
      <c r="E46" s="319" t="n"/>
      <c r="F46" s="319" t="n"/>
      <c r="G46" s="319" t="n"/>
      <c r="H46" s="319" t="n"/>
      <c r="I46" s="319" t="n"/>
      <c r="J46" s="319" t="n"/>
      <c r="K46" s="319" t="n"/>
      <c r="L46" s="319" t="n"/>
      <c r="M46" s="319" t="n"/>
      <c r="N46" s="319" t="n"/>
      <c r="O46" s="320" t="n"/>
      <c r="P46" s="321" t="inlineStr">
        <is>
          <t>Итого</t>
        </is>
      </c>
      <c r="Q46" s="322" t="n"/>
      <c r="R46" s="322" t="n"/>
      <c r="S46" s="322" t="n"/>
      <c r="T46" s="322" t="n"/>
      <c r="U46" s="322" t="n"/>
      <c r="V46" s="323" t="n"/>
      <c r="W46" s="37" t="inlineStr">
        <is>
          <t>кг</t>
        </is>
      </c>
      <c r="X46" s="311">
        <f>IFERROR(SUMPRODUCT(X41:X44*H41:H44),"0")</f>
        <v/>
      </c>
      <c r="Y46" s="308">
        <f>IFERROR(SUMPRODUCT(Y41:Y44*H41:H44),"0")</f>
        <v/>
      </c>
      <c r="Z46" s="37" t="n"/>
      <c r="AA46" s="309" t="n"/>
      <c r="AB46" s="309" t="n"/>
      <c r="AC46" s="309" t="n"/>
    </row>
    <row r="47" ht="16.5" customHeight="1">
      <c r="A47" s="324" t="inlineStr">
        <is>
          <t>Foodgital</t>
        </is>
      </c>
      <c r="B47" s="319" t="n"/>
      <c r="C47" s="319" t="n"/>
      <c r="D47" s="319" t="n"/>
      <c r="E47" s="319" t="n"/>
      <c r="F47" s="319" t="n"/>
      <c r="G47" s="319" t="n"/>
      <c r="H47" s="319" t="n"/>
      <c r="I47" s="319" t="n"/>
      <c r="J47" s="319" t="n"/>
      <c r="K47" s="319" t="n"/>
      <c r="L47" s="319" t="n"/>
      <c r="M47" s="319" t="n"/>
      <c r="N47" s="319" t="n"/>
      <c r="O47" s="319" t="n"/>
      <c r="P47" s="319" t="n"/>
      <c r="Q47" s="319" t="n"/>
      <c r="R47" s="319" t="n"/>
      <c r="S47" s="319" t="n"/>
      <c r="T47" s="319" t="n"/>
      <c r="U47" s="319" t="n"/>
      <c r="V47" s="319" t="n"/>
      <c r="W47" s="319" t="n"/>
      <c r="X47" s="319" t="n"/>
      <c r="Y47" s="319" t="n"/>
      <c r="Z47" s="319" t="n"/>
      <c r="AA47" s="324" t="n"/>
      <c r="AB47" s="324" t="n"/>
      <c r="AC47" s="324" t="n"/>
    </row>
    <row r="48" ht="14.25" customHeight="1">
      <c r="A48" s="329" t="inlineStr">
        <is>
          <t>Пельмени</t>
        </is>
      </c>
      <c r="B48" s="319" t="n"/>
      <c r="C48" s="319" t="n"/>
      <c r="D48" s="319" t="n"/>
      <c r="E48" s="319" t="n"/>
      <c r="F48" s="319" t="n"/>
      <c r="G48" s="319" t="n"/>
      <c r="H48" s="319" t="n"/>
      <c r="I48" s="319" t="n"/>
      <c r="J48" s="319" t="n"/>
      <c r="K48" s="319" t="n"/>
      <c r="L48" s="319" t="n"/>
      <c r="M48" s="319" t="n"/>
      <c r="N48" s="319" t="n"/>
      <c r="O48" s="319" t="n"/>
      <c r="P48" s="319" t="n"/>
      <c r="Q48" s="319" t="n"/>
      <c r="R48" s="319" t="n"/>
      <c r="S48" s="319" t="n"/>
      <c r="T48" s="319" t="n"/>
      <c r="U48" s="319" t="n"/>
      <c r="V48" s="319" t="n"/>
      <c r="W48" s="319" t="n"/>
      <c r="X48" s="319" t="n"/>
      <c r="Y48" s="319" t="n"/>
      <c r="Z48" s="319" t="n"/>
      <c r="AA48" s="329" t="n"/>
      <c r="AB48" s="329" t="n"/>
      <c r="AC48" s="329" t="n"/>
    </row>
    <row r="49" ht="16.5" customHeight="1">
      <c r="A49" s="53" t="inlineStr">
        <is>
          <t>SU003691</t>
        </is>
      </c>
      <c r="B49" s="53" t="inlineStr">
        <is>
          <t>P004772</t>
        </is>
      </c>
      <c r="C49" s="31" t="n">
        <v>4301071073</v>
      </c>
      <c r="D49" s="316" t="n">
        <v>4620207490822</v>
      </c>
      <c r="E49" s="317" t="n"/>
      <c r="F49" s="305" t="n">
        <v>0.43</v>
      </c>
      <c r="G49" s="32" t="n">
        <v>8</v>
      </c>
      <c r="H49" s="305" t="n">
        <v>3.44</v>
      </c>
      <c r="I49" s="305" t="n">
        <v>3.64</v>
      </c>
      <c r="J49" s="32" t="n">
        <v>144</v>
      </c>
      <c r="K49" s="32" t="inlineStr">
        <is>
          <t>12</t>
        </is>
      </c>
      <c r="L49" s="32" t="inlineStr">
        <is>
          <t>Короб, мин. 1</t>
        </is>
      </c>
      <c r="M49" s="33" t="inlineStr">
        <is>
          <t>МГ</t>
        </is>
      </c>
      <c r="N49" s="33" t="n"/>
      <c r="O49" s="32" t="n">
        <v>365</v>
      </c>
      <c r="P49" s="475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/>
      </c>
      <c r="Q49" s="313" t="n"/>
      <c r="R49" s="313" t="n"/>
      <c r="S49" s="313" t="n"/>
      <c r="T49" s="314" t="n"/>
      <c r="U49" s="34" t="n"/>
      <c r="V49" s="34" t="n"/>
      <c r="W49" s="35" t="inlineStr">
        <is>
          <t>кор</t>
        </is>
      </c>
      <c r="X49" s="310" t="n">
        <v>0</v>
      </c>
      <c r="Y49" s="307">
        <f>IFERROR(IF(X49="","",X49),"")</f>
        <v/>
      </c>
      <c r="Z49" s="36">
        <f>IFERROR(IF(X49="","",X49*0.00866),"")</f>
        <v/>
      </c>
      <c r="AA49" s="55" t="n"/>
      <c r="AB49" s="56" t="n"/>
      <c r="AC49" s="90" t="inlineStr">
        <is>
          <t>ЕАЭС N RU Д-RU.РА08.В.01107/24</t>
        </is>
      </c>
      <c r="AD49" s="7">
        <f>X49*G49</f>
        <v/>
      </c>
      <c r="AE49" s="7">
        <f>X49/J49</f>
        <v/>
      </c>
      <c r="AG49" s="66" t="n"/>
      <c r="AJ49" s="69" t="inlineStr">
        <is>
          <t>Короб</t>
        </is>
      </c>
      <c r="AK49" s="69" t="n">
        <v>1</v>
      </c>
      <c r="BB49" s="91" t="inlineStr">
        <is>
          <t>ЗПФ</t>
        </is>
      </c>
      <c r="BM49" s="66" t="n">
        <v>0</v>
      </c>
      <c r="BN49" s="66" t="n">
        <v>0</v>
      </c>
      <c r="BO49" s="66" t="n">
        <v>0</v>
      </c>
      <c r="BP49" s="66" t="n">
        <v>0</v>
      </c>
    </row>
    <row r="50">
      <c r="A50" s="318" t="n"/>
      <c r="B50" s="319" t="n"/>
      <c r="C50" s="319" t="n"/>
      <c r="D50" s="319" t="n"/>
      <c r="E50" s="319" t="n"/>
      <c r="F50" s="319" t="n"/>
      <c r="G50" s="319" t="n"/>
      <c r="H50" s="319" t="n"/>
      <c r="I50" s="319" t="n"/>
      <c r="J50" s="319" t="n"/>
      <c r="K50" s="319" t="n"/>
      <c r="L50" s="319" t="n"/>
      <c r="M50" s="319" t="n"/>
      <c r="N50" s="319" t="n"/>
      <c r="O50" s="320" t="n"/>
      <c r="P50" s="321" t="inlineStr">
        <is>
          <t>Итого</t>
        </is>
      </c>
      <c r="Q50" s="322" t="n"/>
      <c r="R50" s="322" t="n"/>
      <c r="S50" s="322" t="n"/>
      <c r="T50" s="322" t="n"/>
      <c r="U50" s="322" t="n"/>
      <c r="V50" s="323" t="n"/>
      <c r="W50" s="37" t="inlineStr">
        <is>
          <t>кор</t>
        </is>
      </c>
      <c r="X50" s="311">
        <f>IFERROR(SUM(X49:X49),"0")</f>
        <v/>
      </c>
      <c r="Y50" s="308">
        <f>IFERROR(SUM(Y49:Y49),"0")</f>
        <v/>
      </c>
      <c r="Z50" s="308">
        <f>IFERROR(IF(Z49="",0,Z49),"0")</f>
        <v/>
      </c>
      <c r="AA50" s="309" t="n"/>
      <c r="AB50" s="309" t="n"/>
      <c r="AC50" s="309" t="n"/>
    </row>
    <row r="51">
      <c r="A51" s="319" t="n"/>
      <c r="B51" s="319" t="n"/>
      <c r="C51" s="319" t="n"/>
      <c r="D51" s="319" t="n"/>
      <c r="E51" s="319" t="n"/>
      <c r="F51" s="319" t="n"/>
      <c r="G51" s="319" t="n"/>
      <c r="H51" s="319" t="n"/>
      <c r="I51" s="319" t="n"/>
      <c r="J51" s="319" t="n"/>
      <c r="K51" s="319" t="n"/>
      <c r="L51" s="319" t="n"/>
      <c r="M51" s="319" t="n"/>
      <c r="N51" s="319" t="n"/>
      <c r="O51" s="320" t="n"/>
      <c r="P51" s="321" t="inlineStr">
        <is>
          <t>Итого</t>
        </is>
      </c>
      <c r="Q51" s="322" t="n"/>
      <c r="R51" s="322" t="n"/>
      <c r="S51" s="322" t="n"/>
      <c r="T51" s="322" t="n"/>
      <c r="U51" s="322" t="n"/>
      <c r="V51" s="323" t="n"/>
      <c r="W51" s="37" t="inlineStr">
        <is>
          <t>кг</t>
        </is>
      </c>
      <c r="X51" s="311">
        <f>IFERROR(SUMPRODUCT(X49:X49*H49:H49),"0")</f>
        <v/>
      </c>
      <c r="Y51" s="308">
        <f>IFERROR(SUMPRODUCT(Y49:Y49*H49:H49),"0")</f>
        <v/>
      </c>
      <c r="Z51" s="37" t="n"/>
      <c r="AA51" s="309" t="n"/>
      <c r="AB51" s="309" t="n"/>
      <c r="AC51" s="309" t="n"/>
    </row>
    <row r="52" ht="14.25" customHeight="1">
      <c r="A52" s="329" t="inlineStr">
        <is>
          <t>Котлеты</t>
        </is>
      </c>
      <c r="B52" s="319" t="n"/>
      <c r="C52" s="319" t="n"/>
      <c r="D52" s="319" t="n"/>
      <c r="E52" s="319" t="n"/>
      <c r="F52" s="319" t="n"/>
      <c r="G52" s="319" t="n"/>
      <c r="H52" s="319" t="n"/>
      <c r="I52" s="319" t="n"/>
      <c r="J52" s="319" t="n"/>
      <c r="K52" s="319" t="n"/>
      <c r="L52" s="319" t="n"/>
      <c r="M52" s="319" t="n"/>
      <c r="N52" s="319" t="n"/>
      <c r="O52" s="319" t="n"/>
      <c r="P52" s="319" t="n"/>
      <c r="Q52" s="319" t="n"/>
      <c r="R52" s="319" t="n"/>
      <c r="S52" s="319" t="n"/>
      <c r="T52" s="319" t="n"/>
      <c r="U52" s="319" t="n"/>
      <c r="V52" s="319" t="n"/>
      <c r="W52" s="319" t="n"/>
      <c r="X52" s="319" t="n"/>
      <c r="Y52" s="319" t="n"/>
      <c r="Z52" s="319" t="n"/>
      <c r="AA52" s="329" t="n"/>
      <c r="AB52" s="329" t="n"/>
      <c r="AC52" s="329" t="n"/>
    </row>
    <row r="53" ht="16.5" customHeight="1">
      <c r="A53" s="53" t="inlineStr">
        <is>
          <t>SU003679</t>
        </is>
      </c>
      <c r="B53" s="53" t="inlineStr">
        <is>
          <t>P004730</t>
        </is>
      </c>
      <c r="C53" s="31" t="n">
        <v>4301100087</v>
      </c>
      <c r="D53" s="316" t="n">
        <v>4607111039743</v>
      </c>
      <c r="E53" s="317" t="n"/>
      <c r="F53" s="305" t="n">
        <v>0.18</v>
      </c>
      <c r="G53" s="32" t="n">
        <v>6</v>
      </c>
      <c r="H53" s="305" t="n">
        <v>1.08</v>
      </c>
      <c r="I53" s="305" t="n">
        <v>2.34</v>
      </c>
      <c r="J53" s="32" t="n">
        <v>182</v>
      </c>
      <c r="K53" s="32" t="inlineStr">
        <is>
          <t>14</t>
        </is>
      </c>
      <c r="L53" s="32" t="inlineStr">
        <is>
          <t>Короб, мин. 1</t>
        </is>
      </c>
      <c r="M53" s="33" t="inlineStr">
        <is>
          <t>МГ</t>
        </is>
      </c>
      <c r="N53" s="33" t="n"/>
      <c r="O53" s="32" t="n">
        <v>365</v>
      </c>
      <c r="P53" s="405">
        <f>HYPERLINK("https://abi.ru/products/Замороженные/Горячая штучка/Foodgital/Котлеты/P004730/","Котлеты «Котлеты» Фикс.вес 0,18 ТС «Foodgital» ТМ «Горячая штучка»")</f>
        <v/>
      </c>
      <c r="Q53" s="313" t="n"/>
      <c r="R53" s="313" t="n"/>
      <c r="S53" s="313" t="n"/>
      <c r="T53" s="314" t="n"/>
      <c r="U53" s="34" t="n"/>
      <c r="V53" s="34" t="n"/>
      <c r="W53" s="35" t="inlineStr">
        <is>
          <t>кор</t>
        </is>
      </c>
      <c r="X53" s="310" t="n">
        <v>0</v>
      </c>
      <c r="Y53" s="307">
        <f>IFERROR(IF(X53="","",X53),"")</f>
        <v/>
      </c>
      <c r="Z53" s="36">
        <f>IFERROR(IF(X53="","",X53*0.00941),"")</f>
        <v/>
      </c>
      <c r="AA53" s="55" t="n"/>
      <c r="AB53" s="56" t="n"/>
      <c r="AC53" s="92" t="inlineStr">
        <is>
          <t>ЕАЭС N RU Д-RU.РА05.В.89397/22</t>
        </is>
      </c>
      <c r="AD53" s="7">
        <f>X53*G53</f>
        <v/>
      </c>
      <c r="AE53" s="7">
        <f>X53/J53</f>
        <v/>
      </c>
      <c r="AG53" s="66" t="n"/>
      <c r="AJ53" s="69" t="inlineStr">
        <is>
          <t>Короб</t>
        </is>
      </c>
      <c r="AK53" s="69" t="n">
        <v>1</v>
      </c>
      <c r="BB53" s="93" t="inlineStr">
        <is>
          <t>ПГП</t>
        </is>
      </c>
      <c r="BM53" s="66" t="n">
        <v>0</v>
      </c>
      <c r="BN53" s="66" t="n">
        <v>0</v>
      </c>
      <c r="BO53" s="66" t="n">
        <v>0</v>
      </c>
      <c r="BP53" s="66" t="n">
        <v>0</v>
      </c>
    </row>
    <row r="54">
      <c r="A54" s="318" t="n"/>
      <c r="B54" s="319" t="n"/>
      <c r="C54" s="319" t="n"/>
      <c r="D54" s="319" t="n"/>
      <c r="E54" s="319" t="n"/>
      <c r="F54" s="319" t="n"/>
      <c r="G54" s="319" t="n"/>
      <c r="H54" s="319" t="n"/>
      <c r="I54" s="319" t="n"/>
      <c r="J54" s="319" t="n"/>
      <c r="K54" s="319" t="n"/>
      <c r="L54" s="319" t="n"/>
      <c r="M54" s="319" t="n"/>
      <c r="N54" s="319" t="n"/>
      <c r="O54" s="320" t="n"/>
      <c r="P54" s="321" t="inlineStr">
        <is>
          <t>Итого</t>
        </is>
      </c>
      <c r="Q54" s="322" t="n"/>
      <c r="R54" s="322" t="n"/>
      <c r="S54" s="322" t="n"/>
      <c r="T54" s="322" t="n"/>
      <c r="U54" s="322" t="n"/>
      <c r="V54" s="323" t="n"/>
      <c r="W54" s="37" t="inlineStr">
        <is>
          <t>кор</t>
        </is>
      </c>
      <c r="X54" s="311">
        <f>IFERROR(SUM(X53:X53),"0")</f>
        <v/>
      </c>
      <c r="Y54" s="308">
        <f>IFERROR(SUM(Y53:Y53),"0")</f>
        <v/>
      </c>
      <c r="Z54" s="308">
        <f>IFERROR(IF(Z53="",0,Z53),"0")</f>
        <v/>
      </c>
      <c r="AA54" s="309" t="n"/>
      <c r="AB54" s="309" t="n"/>
      <c r="AC54" s="309" t="n"/>
    </row>
    <row r="55">
      <c r="A55" s="319" t="n"/>
      <c r="B55" s="319" t="n"/>
      <c r="C55" s="319" t="n"/>
      <c r="D55" s="319" t="n"/>
      <c r="E55" s="319" t="n"/>
      <c r="F55" s="319" t="n"/>
      <c r="G55" s="319" t="n"/>
      <c r="H55" s="319" t="n"/>
      <c r="I55" s="319" t="n"/>
      <c r="J55" s="319" t="n"/>
      <c r="K55" s="319" t="n"/>
      <c r="L55" s="319" t="n"/>
      <c r="M55" s="319" t="n"/>
      <c r="N55" s="319" t="n"/>
      <c r="O55" s="320" t="n"/>
      <c r="P55" s="321" t="inlineStr">
        <is>
          <t>Итого</t>
        </is>
      </c>
      <c r="Q55" s="322" t="n"/>
      <c r="R55" s="322" t="n"/>
      <c r="S55" s="322" t="n"/>
      <c r="T55" s="322" t="n"/>
      <c r="U55" s="322" t="n"/>
      <c r="V55" s="323" t="n"/>
      <c r="W55" s="37" t="inlineStr">
        <is>
          <t>кг</t>
        </is>
      </c>
      <c r="X55" s="311">
        <f>IFERROR(SUMPRODUCT(X53:X53*H53:H53),"0")</f>
        <v/>
      </c>
      <c r="Y55" s="308">
        <f>IFERROR(SUMPRODUCT(Y53:Y53*H53:H53),"0")</f>
        <v/>
      </c>
      <c r="Z55" s="37" t="n"/>
      <c r="AA55" s="309" t="n"/>
      <c r="AB55" s="309" t="n"/>
      <c r="AC55" s="309" t="n"/>
    </row>
    <row r="56" ht="14.25" customHeight="1">
      <c r="A56" s="329" t="inlineStr">
        <is>
          <t>Наггетсы</t>
        </is>
      </c>
      <c r="B56" s="319" t="n"/>
      <c r="C56" s="319" t="n"/>
      <c r="D56" s="319" t="n"/>
      <c r="E56" s="319" t="n"/>
      <c r="F56" s="319" t="n"/>
      <c r="G56" s="319" t="n"/>
      <c r="H56" s="319" t="n"/>
      <c r="I56" s="319" t="n"/>
      <c r="J56" s="319" t="n"/>
      <c r="K56" s="319" t="n"/>
      <c r="L56" s="319" t="n"/>
      <c r="M56" s="319" t="n"/>
      <c r="N56" s="319" t="n"/>
      <c r="O56" s="319" t="n"/>
      <c r="P56" s="319" t="n"/>
      <c r="Q56" s="319" t="n"/>
      <c r="R56" s="319" t="n"/>
      <c r="S56" s="319" t="n"/>
      <c r="T56" s="319" t="n"/>
      <c r="U56" s="319" t="n"/>
      <c r="V56" s="319" t="n"/>
      <c r="W56" s="319" t="n"/>
      <c r="X56" s="319" t="n"/>
      <c r="Y56" s="319" t="n"/>
      <c r="Z56" s="319" t="n"/>
      <c r="AA56" s="329" t="n"/>
      <c r="AB56" s="329" t="n"/>
      <c r="AC56" s="329" t="n"/>
    </row>
    <row r="57" ht="16.5" customHeight="1">
      <c r="A57" s="53" t="inlineStr">
        <is>
          <t>SU003678</t>
        </is>
      </c>
      <c r="B57" s="53" t="inlineStr">
        <is>
          <t>P004731</t>
        </is>
      </c>
      <c r="C57" s="31" t="n">
        <v>4301132194</v>
      </c>
      <c r="D57" s="316" t="n">
        <v>4607111039712</v>
      </c>
      <c r="E57" s="317" t="n"/>
      <c r="F57" s="305" t="n">
        <v>0.2</v>
      </c>
      <c r="G57" s="32" t="n">
        <v>6</v>
      </c>
      <c r="H57" s="305" t="n">
        <v>1.2</v>
      </c>
      <c r="I57" s="305" t="n">
        <v>1.56</v>
      </c>
      <c r="J57" s="32" t="n">
        <v>140</v>
      </c>
      <c r="K57" s="32" t="inlineStr">
        <is>
          <t>14</t>
        </is>
      </c>
      <c r="L57" s="32" t="inlineStr">
        <is>
          <t>Короб, мин. 1</t>
        </is>
      </c>
      <c r="M57" s="33" t="inlineStr">
        <is>
          <t>МГ</t>
        </is>
      </c>
      <c r="N57" s="33" t="n"/>
      <c r="O57" s="32" t="n">
        <v>365</v>
      </c>
      <c r="P57" s="493">
        <f>HYPERLINK("https://abi.ru/products/Замороженные/Горячая штучка/Foodgital/Наггетсы/P004731/","Наггетсы «Наггетсы» Фикс.вес 0,2 ТС «Foodgital» ТМ «Горячая штучка»")</f>
        <v/>
      </c>
      <c r="Q57" s="313" t="n"/>
      <c r="R57" s="313" t="n"/>
      <c r="S57" s="313" t="n"/>
      <c r="T57" s="314" t="n"/>
      <c r="U57" s="34" t="n"/>
      <c r="V57" s="34" t="n"/>
      <c r="W57" s="35" t="inlineStr">
        <is>
          <t>кор</t>
        </is>
      </c>
      <c r="X57" s="310" t="n">
        <v>0</v>
      </c>
      <c r="Y57" s="307">
        <f>IFERROR(IF(X57="","",X57),"")</f>
        <v/>
      </c>
      <c r="Z57" s="36">
        <f>IFERROR(IF(X57="","",X57*0.00941),"")</f>
        <v/>
      </c>
      <c r="AA57" s="55" t="n"/>
      <c r="AB57" s="56" t="n"/>
      <c r="AC57" s="94" t="inlineStr">
        <is>
          <t>ЕАЭС N RU Д-RU.РА03.В.95139/22</t>
        </is>
      </c>
      <c r="AD57" s="7">
        <f>X57*G57</f>
        <v/>
      </c>
      <c r="AE57" s="7">
        <f>X57/J57</f>
        <v/>
      </c>
      <c r="AG57" s="66" t="n"/>
      <c r="AJ57" s="69" t="inlineStr">
        <is>
          <t>Короб</t>
        </is>
      </c>
      <c r="AK57" s="69" t="n">
        <v>1</v>
      </c>
      <c r="BB57" s="95" t="inlineStr">
        <is>
          <t>ПГП</t>
        </is>
      </c>
      <c r="BM57" s="66" t="n">
        <v>0</v>
      </c>
      <c r="BN57" s="66" t="n">
        <v>0</v>
      </c>
      <c r="BO57" s="66" t="n">
        <v>0</v>
      </c>
      <c r="BP57" s="66" t="n">
        <v>0</v>
      </c>
    </row>
    <row r="58">
      <c r="A58" s="318" t="n"/>
      <c r="B58" s="319" t="n"/>
      <c r="C58" s="319" t="n"/>
      <c r="D58" s="319" t="n"/>
      <c r="E58" s="319" t="n"/>
      <c r="F58" s="319" t="n"/>
      <c r="G58" s="319" t="n"/>
      <c r="H58" s="319" t="n"/>
      <c r="I58" s="319" t="n"/>
      <c r="J58" s="319" t="n"/>
      <c r="K58" s="319" t="n"/>
      <c r="L58" s="319" t="n"/>
      <c r="M58" s="319" t="n"/>
      <c r="N58" s="319" t="n"/>
      <c r="O58" s="320" t="n"/>
      <c r="P58" s="321" t="inlineStr">
        <is>
          <t>Итого</t>
        </is>
      </c>
      <c r="Q58" s="322" t="n"/>
      <c r="R58" s="322" t="n"/>
      <c r="S58" s="322" t="n"/>
      <c r="T58" s="322" t="n"/>
      <c r="U58" s="322" t="n"/>
      <c r="V58" s="323" t="n"/>
      <c r="W58" s="37" t="inlineStr">
        <is>
          <t>кор</t>
        </is>
      </c>
      <c r="X58" s="311">
        <f>IFERROR(SUM(X57:X57),"0")</f>
        <v/>
      </c>
      <c r="Y58" s="308">
        <f>IFERROR(SUM(Y57:Y57),"0")</f>
        <v/>
      </c>
      <c r="Z58" s="308">
        <f>IFERROR(IF(Z57="",0,Z57),"0")</f>
        <v/>
      </c>
      <c r="AA58" s="309" t="n"/>
      <c r="AB58" s="309" t="n"/>
      <c r="AC58" s="309" t="n"/>
    </row>
    <row r="59">
      <c r="A59" s="319" t="n"/>
      <c r="B59" s="319" t="n"/>
      <c r="C59" s="319" t="n"/>
      <c r="D59" s="319" t="n"/>
      <c r="E59" s="319" t="n"/>
      <c r="F59" s="319" t="n"/>
      <c r="G59" s="319" t="n"/>
      <c r="H59" s="319" t="n"/>
      <c r="I59" s="319" t="n"/>
      <c r="J59" s="319" t="n"/>
      <c r="K59" s="319" t="n"/>
      <c r="L59" s="319" t="n"/>
      <c r="M59" s="319" t="n"/>
      <c r="N59" s="319" t="n"/>
      <c r="O59" s="320" t="n"/>
      <c r="P59" s="321" t="inlineStr">
        <is>
          <t>Итого</t>
        </is>
      </c>
      <c r="Q59" s="322" t="n"/>
      <c r="R59" s="322" t="n"/>
      <c r="S59" s="322" t="n"/>
      <c r="T59" s="322" t="n"/>
      <c r="U59" s="322" t="n"/>
      <c r="V59" s="323" t="n"/>
      <c r="W59" s="37" t="inlineStr">
        <is>
          <t>кг</t>
        </is>
      </c>
      <c r="X59" s="311">
        <f>IFERROR(SUMPRODUCT(X57:X57*H57:H57),"0")</f>
        <v/>
      </c>
      <c r="Y59" s="308">
        <f>IFERROR(SUMPRODUCT(Y57:Y57*H57:H57),"0")</f>
        <v/>
      </c>
      <c r="Z59" s="37" t="n"/>
      <c r="AA59" s="309" t="n"/>
      <c r="AB59" s="309" t="n"/>
      <c r="AC59" s="309" t="n"/>
    </row>
    <row r="60" ht="14.25" customHeight="1">
      <c r="A60" s="329" t="inlineStr">
        <is>
          <t>Чебуреки</t>
        </is>
      </c>
      <c r="B60" s="319" t="n"/>
      <c r="C60" s="319" t="n"/>
      <c r="D60" s="319" t="n"/>
      <c r="E60" s="319" t="n"/>
      <c r="F60" s="319" t="n"/>
      <c r="G60" s="319" t="n"/>
      <c r="H60" s="319" t="n"/>
      <c r="I60" s="319" t="n"/>
      <c r="J60" s="319" t="n"/>
      <c r="K60" s="319" t="n"/>
      <c r="L60" s="319" t="n"/>
      <c r="M60" s="319" t="n"/>
      <c r="N60" s="319" t="n"/>
      <c r="O60" s="319" t="n"/>
      <c r="P60" s="319" t="n"/>
      <c r="Q60" s="319" t="n"/>
      <c r="R60" s="319" t="n"/>
      <c r="S60" s="319" t="n"/>
      <c r="T60" s="319" t="n"/>
      <c r="U60" s="319" t="n"/>
      <c r="V60" s="319" t="n"/>
      <c r="W60" s="319" t="n"/>
      <c r="X60" s="319" t="n"/>
      <c r="Y60" s="319" t="n"/>
      <c r="Z60" s="319" t="n"/>
      <c r="AA60" s="329" t="n"/>
      <c r="AB60" s="329" t="n"/>
      <c r="AC60" s="329" t="n"/>
    </row>
    <row r="61" ht="16.5" customHeight="1">
      <c r="A61" s="53" t="inlineStr">
        <is>
          <t>SU002657</t>
        </is>
      </c>
      <c r="B61" s="53" t="inlineStr">
        <is>
          <t>P003038</t>
        </is>
      </c>
      <c r="C61" s="31" t="n">
        <v>4301136018</v>
      </c>
      <c r="D61" s="316" t="n">
        <v>4607111037008</v>
      </c>
      <c r="E61" s="317" t="n"/>
      <c r="F61" s="305" t="n">
        <v>0.36</v>
      </c>
      <c r="G61" s="32" t="n">
        <v>4</v>
      </c>
      <c r="H61" s="305" t="n">
        <v>1.44</v>
      </c>
      <c r="I61" s="305" t="n">
        <v>1.74</v>
      </c>
      <c r="J61" s="32" t="n">
        <v>140</v>
      </c>
      <c r="K61" s="32" t="inlineStr">
        <is>
          <t>14</t>
        </is>
      </c>
      <c r="L61" s="32" t="inlineStr">
        <is>
          <t>Короб, мин. 1</t>
        </is>
      </c>
      <c r="M61" s="33" t="inlineStr">
        <is>
          <t>МГ</t>
        </is>
      </c>
      <c r="N61" s="33" t="n"/>
      <c r="O61" s="32" t="n">
        <v>365</v>
      </c>
      <c r="P61" s="465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/>
      </c>
      <c r="Q61" s="313" t="n"/>
      <c r="R61" s="313" t="n"/>
      <c r="S61" s="313" t="n"/>
      <c r="T61" s="314" t="n"/>
      <c r="U61" s="34" t="n"/>
      <c r="V61" s="34" t="n"/>
      <c r="W61" s="35" t="inlineStr">
        <is>
          <t>кор</t>
        </is>
      </c>
      <c r="X61" s="310" t="n">
        <v>0</v>
      </c>
      <c r="Y61" s="307">
        <f>IFERROR(IF(X61="","",X61),"")</f>
        <v/>
      </c>
      <c r="Z61" s="36">
        <f>IFERROR(IF(X61="","",X61*0.00941),"")</f>
        <v/>
      </c>
      <c r="AA61" s="55" t="n"/>
      <c r="AB61" s="56" t="n"/>
      <c r="AC61" s="96" t="inlineStr">
        <is>
          <t>ЕАЭС N RU Д-RU.РА03.В.64590/22</t>
        </is>
      </c>
      <c r="AD61" s="7">
        <f>X61*G61</f>
        <v/>
      </c>
      <c r="AE61" s="7">
        <f>X61/J61</f>
        <v/>
      </c>
      <c r="AG61" s="66" t="n"/>
      <c r="AJ61" s="69" t="inlineStr">
        <is>
          <t>Короб</t>
        </is>
      </c>
      <c r="AK61" s="69" t="n">
        <v>1</v>
      </c>
      <c r="BB61" s="97" t="inlineStr">
        <is>
          <t>ПГП</t>
        </is>
      </c>
      <c r="BM61" s="66" t="n">
        <v>0</v>
      </c>
      <c r="BN61" s="66" t="n">
        <v>0</v>
      </c>
      <c r="BO61" s="66" t="n">
        <v>0</v>
      </c>
      <c r="BP61" s="66" t="n">
        <v>0</v>
      </c>
    </row>
    <row r="62" ht="16.5" customHeight="1">
      <c r="A62" s="53" t="inlineStr">
        <is>
          <t>SU002607</t>
        </is>
      </c>
      <c r="B62" s="53" t="inlineStr">
        <is>
          <t>P002938</t>
        </is>
      </c>
      <c r="C62" s="31" t="n">
        <v>4301136015</v>
      </c>
      <c r="D62" s="316" t="n">
        <v>4607111037398</v>
      </c>
      <c r="E62" s="317" t="n"/>
      <c r="F62" s="305" t="n">
        <v>0.09</v>
      </c>
      <c r="G62" s="32" t="n">
        <v>24</v>
      </c>
      <c r="H62" s="305" t="n">
        <v>2.16</v>
      </c>
      <c r="I62" s="305" t="n">
        <v>4.02</v>
      </c>
      <c r="J62" s="32" t="n">
        <v>126</v>
      </c>
      <c r="K62" s="32" t="inlineStr">
        <is>
          <t>14</t>
        </is>
      </c>
      <c r="L62" s="32" t="inlineStr">
        <is>
          <t>Короб, мин. 1</t>
        </is>
      </c>
      <c r="M62" s="33" t="inlineStr">
        <is>
          <t>МГ</t>
        </is>
      </c>
      <c r="N62" s="33" t="n"/>
      <c r="O62" s="32" t="n">
        <v>365</v>
      </c>
      <c r="P62" s="482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/>
      </c>
      <c r="Q62" s="313" t="n"/>
      <c r="R62" s="313" t="n"/>
      <c r="S62" s="313" t="n"/>
      <c r="T62" s="314" t="n"/>
      <c r="U62" s="34" t="n"/>
      <c r="V62" s="34" t="n"/>
      <c r="W62" s="35" t="inlineStr">
        <is>
          <t>кор</t>
        </is>
      </c>
      <c r="X62" s="310" t="n">
        <v>0</v>
      </c>
      <c r="Y62" s="307">
        <f>IFERROR(IF(X62="","",X62),"")</f>
        <v/>
      </c>
      <c r="Z62" s="36">
        <f>IFERROR(IF(X62="","",X62*0.00936),"")</f>
        <v/>
      </c>
      <c r="AA62" s="55" t="n"/>
      <c r="AB62" s="56" t="n"/>
      <c r="AC62" s="98" t="inlineStr">
        <is>
          <t>ЕАЭС N RU Д-RU.РА03.В.64590/22</t>
        </is>
      </c>
      <c r="AD62" s="7">
        <f>X62*G62</f>
        <v/>
      </c>
      <c r="AE62" s="7">
        <f>X62/J62</f>
        <v/>
      </c>
      <c r="AG62" s="66" t="n"/>
      <c r="AJ62" s="69" t="inlineStr">
        <is>
          <t>Короб</t>
        </is>
      </c>
      <c r="AK62" s="69" t="n">
        <v>1</v>
      </c>
      <c r="BB62" s="99" t="inlineStr">
        <is>
          <t>ПГП</t>
        </is>
      </c>
      <c r="BM62" s="66" t="n">
        <v>0</v>
      </c>
      <c r="BN62" s="66" t="n">
        <v>0</v>
      </c>
      <c r="BO62" s="66" t="n">
        <v>0</v>
      </c>
      <c r="BP62" s="66" t="n">
        <v>0</v>
      </c>
    </row>
    <row r="63">
      <c r="A63" s="318" t="n"/>
      <c r="B63" s="319" t="n"/>
      <c r="C63" s="319" t="n"/>
      <c r="D63" s="319" t="n"/>
      <c r="E63" s="319" t="n"/>
      <c r="F63" s="319" t="n"/>
      <c r="G63" s="319" t="n"/>
      <c r="H63" s="319" t="n"/>
      <c r="I63" s="319" t="n"/>
      <c r="J63" s="319" t="n"/>
      <c r="K63" s="319" t="n"/>
      <c r="L63" s="319" t="n"/>
      <c r="M63" s="319" t="n"/>
      <c r="N63" s="319" t="n"/>
      <c r="O63" s="320" t="n"/>
      <c r="P63" s="321" t="inlineStr">
        <is>
          <t>Итого</t>
        </is>
      </c>
      <c r="Q63" s="322" t="n"/>
      <c r="R63" s="322" t="n"/>
      <c r="S63" s="322" t="n"/>
      <c r="T63" s="322" t="n"/>
      <c r="U63" s="322" t="n"/>
      <c r="V63" s="323" t="n"/>
      <c r="W63" s="37" t="inlineStr">
        <is>
          <t>кор</t>
        </is>
      </c>
      <c r="X63" s="311">
        <f>IFERROR(SUM(X61:X62),"0")</f>
        <v/>
      </c>
      <c r="Y63" s="308">
        <f>IFERROR(SUM(Y61:Y62),"0")</f>
        <v/>
      </c>
      <c r="Z63" s="308">
        <f>IFERROR(IF(Z61="",0,Z61),"0")+IFERROR(IF(Z62="",0,Z62),"0")</f>
        <v/>
      </c>
      <c r="AA63" s="309" t="n"/>
      <c r="AB63" s="309" t="n"/>
      <c r="AC63" s="309" t="n"/>
    </row>
    <row r="64">
      <c r="A64" s="319" t="n"/>
      <c r="B64" s="319" t="n"/>
      <c r="C64" s="319" t="n"/>
      <c r="D64" s="319" t="n"/>
      <c r="E64" s="319" t="n"/>
      <c r="F64" s="319" t="n"/>
      <c r="G64" s="319" t="n"/>
      <c r="H64" s="319" t="n"/>
      <c r="I64" s="319" t="n"/>
      <c r="J64" s="319" t="n"/>
      <c r="K64" s="319" t="n"/>
      <c r="L64" s="319" t="n"/>
      <c r="M64" s="319" t="n"/>
      <c r="N64" s="319" t="n"/>
      <c r="O64" s="320" t="n"/>
      <c r="P64" s="321" t="inlineStr">
        <is>
          <t>Итого</t>
        </is>
      </c>
      <c r="Q64" s="322" t="n"/>
      <c r="R64" s="322" t="n"/>
      <c r="S64" s="322" t="n"/>
      <c r="T64" s="322" t="n"/>
      <c r="U64" s="322" t="n"/>
      <c r="V64" s="323" t="n"/>
      <c r="W64" s="37" t="inlineStr">
        <is>
          <t>кг</t>
        </is>
      </c>
      <c r="X64" s="311">
        <f>IFERROR(SUMPRODUCT(X61:X62*H61:H62),"0")</f>
        <v/>
      </c>
      <c r="Y64" s="308">
        <f>IFERROR(SUMPRODUCT(Y61:Y62*H61:H62),"0")</f>
        <v/>
      </c>
      <c r="Z64" s="37" t="n"/>
      <c r="AA64" s="309" t="n"/>
      <c r="AB64" s="309" t="n"/>
      <c r="AC64" s="309" t="n"/>
    </row>
    <row r="65" ht="14.25" customHeight="1">
      <c r="A65" s="329" t="inlineStr">
        <is>
          <t>Снеки</t>
        </is>
      </c>
      <c r="B65" s="319" t="n"/>
      <c r="C65" s="319" t="n"/>
      <c r="D65" s="319" t="n"/>
      <c r="E65" s="319" t="n"/>
      <c r="F65" s="319" t="n"/>
      <c r="G65" s="319" t="n"/>
      <c r="H65" s="319" t="n"/>
      <c r="I65" s="319" t="n"/>
      <c r="J65" s="319" t="n"/>
      <c r="K65" s="319" t="n"/>
      <c r="L65" s="319" t="n"/>
      <c r="M65" s="319" t="n"/>
      <c r="N65" s="319" t="n"/>
      <c r="O65" s="319" t="n"/>
      <c r="P65" s="319" t="n"/>
      <c r="Q65" s="319" t="n"/>
      <c r="R65" s="319" t="n"/>
      <c r="S65" s="319" t="n"/>
      <c r="T65" s="319" t="n"/>
      <c r="U65" s="319" t="n"/>
      <c r="V65" s="319" t="n"/>
      <c r="W65" s="319" t="n"/>
      <c r="X65" s="319" t="n"/>
      <c r="Y65" s="319" t="n"/>
      <c r="Z65" s="319" t="n"/>
      <c r="AA65" s="329" t="n"/>
      <c r="AB65" s="329" t="n"/>
      <c r="AC65" s="329" t="n"/>
    </row>
    <row r="66" ht="27.75" customHeight="1">
      <c r="A66" s="53" t="inlineStr">
        <is>
          <t>SU003680</t>
        </is>
      </c>
      <c r="B66" s="53" t="inlineStr">
        <is>
          <t>P004732</t>
        </is>
      </c>
      <c r="C66" s="31" t="n">
        <v>4301135664</v>
      </c>
      <c r="D66" s="316" t="n">
        <v>4607111039705</v>
      </c>
      <c r="E66" s="317" t="n"/>
      <c r="F66" s="305" t="n">
        <v>0.2</v>
      </c>
      <c r="G66" s="32" t="n">
        <v>6</v>
      </c>
      <c r="H66" s="305" t="n">
        <v>1.2</v>
      </c>
      <c r="I66" s="305" t="n">
        <v>1.56</v>
      </c>
      <c r="J66" s="32" t="n">
        <v>140</v>
      </c>
      <c r="K66" s="32" t="inlineStr">
        <is>
          <t>14</t>
        </is>
      </c>
      <c r="L66" s="32" t="inlineStr">
        <is>
          <t>Короб, мин. 1</t>
        </is>
      </c>
      <c r="M66" s="33" t="inlineStr">
        <is>
          <t>МГ</t>
        </is>
      </c>
      <c r="N66" s="33" t="n"/>
      <c r="O66" s="32" t="n">
        <v>365</v>
      </c>
      <c r="P66" s="400">
        <f>HYPERLINK("https://abi.ru/products/Замороженные/Горячая штучка/Foodgital/Снеки/P004732/","Снеки «Чебупели» Фикс.вес 0,2 ТС «Foodgital» ТМ «Горячая штучка»")</f>
        <v/>
      </c>
      <c r="Q66" s="313" t="n"/>
      <c r="R66" s="313" t="n"/>
      <c r="S66" s="313" t="n"/>
      <c r="T66" s="314" t="n"/>
      <c r="U66" s="34" t="n"/>
      <c r="V66" s="34" t="n"/>
      <c r="W66" s="35" t="inlineStr">
        <is>
          <t>кор</t>
        </is>
      </c>
      <c r="X66" s="310" t="n"/>
      <c r="Y66" s="307">
        <f>IFERROR(IF(X66="","",X66),"")</f>
        <v/>
      </c>
      <c r="Z66" s="36">
        <f>IFERROR(IF(X66="","",X66*0.00941),"")</f>
        <v/>
      </c>
      <c r="AA66" s="55" t="n"/>
      <c r="AB66" s="56" t="n"/>
      <c r="AC66" s="100" t="inlineStr">
        <is>
          <t>ЕАЭС N RU Д-RU.РА03.В.64590/22</t>
        </is>
      </c>
      <c r="AD66" s="7">
        <f>X66*G66</f>
        <v/>
      </c>
      <c r="AE66" s="7">
        <f>X66/J66</f>
        <v/>
      </c>
      <c r="AG66" s="66" t="n"/>
      <c r="AJ66" s="69" t="inlineStr">
        <is>
          <t>Короб</t>
        </is>
      </c>
      <c r="AK66" s="69" t="n">
        <v>1</v>
      </c>
      <c r="BB66" s="101" t="inlineStr">
        <is>
          <t>ПГП</t>
        </is>
      </c>
      <c r="BM66" s="66" t="n">
        <v>0</v>
      </c>
      <c r="BN66" s="66" t="n">
        <v>0</v>
      </c>
      <c r="BO66" s="66" t="n">
        <v>0</v>
      </c>
      <c r="BP66" s="66" t="n">
        <v>0</v>
      </c>
    </row>
    <row r="67" ht="27" customHeight="1">
      <c r="A67" s="53" t="inlineStr">
        <is>
          <t>SU003677</t>
        </is>
      </c>
      <c r="B67" s="53" t="inlineStr">
        <is>
          <t>P004733</t>
        </is>
      </c>
      <c r="C67" s="31" t="n">
        <v>4301135665</v>
      </c>
      <c r="D67" s="316" t="n">
        <v>4607111039729</v>
      </c>
      <c r="E67" s="317" t="n"/>
      <c r="F67" s="305" t="n">
        <v>0.2</v>
      </c>
      <c r="G67" s="32" t="n">
        <v>6</v>
      </c>
      <c r="H67" s="305" t="n">
        <v>1.2</v>
      </c>
      <c r="I67" s="305" t="n">
        <v>1.56</v>
      </c>
      <c r="J67" s="32" t="n">
        <v>140</v>
      </c>
      <c r="K67" s="32" t="inlineStr">
        <is>
          <t>14</t>
        </is>
      </c>
      <c r="L67" s="32" t="inlineStr">
        <is>
          <t>Короб, мин. 1</t>
        </is>
      </c>
      <c r="M67" s="33" t="inlineStr">
        <is>
          <t>МГ</t>
        </is>
      </c>
      <c r="N67" s="33" t="n"/>
      <c r="O67" s="32" t="n">
        <v>365</v>
      </c>
      <c r="P67" s="491">
        <f>HYPERLINK("https://abi.ru/products/Замороженные/Горячая штучка/Foodgital/Снеки/P004733/","Снеки «Чебупицца Маргарита» Фикс.вес 0,2 ТС «Foodgital» ТМ «Горячая штучка»")</f>
        <v/>
      </c>
      <c r="Q67" s="313" t="n"/>
      <c r="R67" s="313" t="n"/>
      <c r="S67" s="313" t="n"/>
      <c r="T67" s="314" t="n"/>
      <c r="U67" s="34" t="n"/>
      <c r="V67" s="34" t="n"/>
      <c r="W67" s="35" t="inlineStr">
        <is>
          <t>кор</t>
        </is>
      </c>
      <c r="X67" s="310" t="n">
        <v>140</v>
      </c>
      <c r="Y67" s="307">
        <f>IFERROR(IF(X67="","",X67),"")</f>
        <v/>
      </c>
      <c r="Z67" s="36">
        <f>IFERROR(IF(X67="","",X67*0.00941),"")</f>
        <v/>
      </c>
      <c r="AA67" s="55" t="n"/>
      <c r="AB67" s="56" t="n"/>
      <c r="AC67" s="102" t="inlineStr">
        <is>
          <t>ЕАЭС N RU Д-RU.РА04.В.97529/23</t>
        </is>
      </c>
      <c r="AD67" s="7">
        <f>X67*G67</f>
        <v/>
      </c>
      <c r="AE67" s="7">
        <f>X67/J67</f>
        <v/>
      </c>
      <c r="AG67" s="66" t="n"/>
      <c r="AJ67" s="69" t="inlineStr">
        <is>
          <t>Короб</t>
        </is>
      </c>
      <c r="AK67" s="69" t="n">
        <v>1</v>
      </c>
      <c r="BB67" s="103" t="inlineStr">
        <is>
          <t>ПГП</t>
        </is>
      </c>
      <c r="BM67" s="66" t="n">
        <v>0</v>
      </c>
      <c r="BN67" s="66" t="n">
        <v>0</v>
      </c>
      <c r="BO67" s="66" t="n">
        <v>0</v>
      </c>
      <c r="BP67" s="66" t="n">
        <v>0</v>
      </c>
    </row>
    <row r="68" ht="27" customHeight="1">
      <c r="A68" s="53" t="inlineStr">
        <is>
          <t>SU003676</t>
        </is>
      </c>
      <c r="B68" s="53" t="inlineStr">
        <is>
          <t>P004818</t>
        </is>
      </c>
      <c r="C68" s="31" t="n">
        <v>4301135702</v>
      </c>
      <c r="D68" s="316" t="n">
        <v>4620207490228</v>
      </c>
      <c r="E68" s="317" t="n"/>
      <c r="F68" s="305" t="n">
        <v>0.2</v>
      </c>
      <c r="G68" s="32" t="n">
        <v>6</v>
      </c>
      <c r="H68" s="305" t="n">
        <v>1.2</v>
      </c>
      <c r="I68" s="305" t="n">
        <v>1.56</v>
      </c>
      <c r="J68" s="32" t="n">
        <v>140</v>
      </c>
      <c r="K68" s="32" t="inlineStr">
        <is>
          <t>14</t>
        </is>
      </c>
      <c r="L68" s="32" t="inlineStr">
        <is>
          <t>Короб, мин. 1</t>
        </is>
      </c>
      <c r="M68" s="33" t="inlineStr">
        <is>
          <t>МГ</t>
        </is>
      </c>
      <c r="N68" s="33" t="n"/>
      <c r="O68" s="32" t="n">
        <v>365</v>
      </c>
      <c r="P68" s="407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/>
      </c>
      <c r="Q68" s="313" t="n"/>
      <c r="R68" s="313" t="n"/>
      <c r="S68" s="313" t="n"/>
      <c r="T68" s="314" t="n"/>
      <c r="U68" s="34" t="n"/>
      <c r="V68" s="34" t="n"/>
      <c r="W68" s="35" t="inlineStr">
        <is>
          <t>кор</t>
        </is>
      </c>
      <c r="X68" s="310" t="n"/>
      <c r="Y68" s="307">
        <f>IFERROR(IF(X68="","",X68),"")</f>
        <v/>
      </c>
      <c r="Z68" s="36">
        <f>IFERROR(IF(X68="","",X68*0.00941),"")</f>
        <v/>
      </c>
      <c r="AA68" s="55" t="n"/>
      <c r="AB68" s="56" t="n"/>
      <c r="AC68" s="104" t="inlineStr">
        <is>
          <t>ЕАЭС N RU Д-RU.РА04.В.97529/23</t>
        </is>
      </c>
      <c r="AD68" s="7">
        <f>X68*G68</f>
        <v/>
      </c>
      <c r="AE68" s="7">
        <f>X68/J68</f>
        <v/>
      </c>
      <c r="AG68" s="66" t="n"/>
      <c r="AJ68" s="69" t="inlineStr">
        <is>
          <t>Короб</t>
        </is>
      </c>
      <c r="AK68" s="69" t="n">
        <v>1</v>
      </c>
      <c r="BB68" s="105" t="inlineStr">
        <is>
          <t>ПГП</t>
        </is>
      </c>
      <c r="BM68" s="66" t="n">
        <v>0</v>
      </c>
      <c r="BN68" s="66" t="n">
        <v>0</v>
      </c>
      <c r="BO68" s="66" t="n">
        <v>0</v>
      </c>
      <c r="BP68" s="66" t="n">
        <v>0</v>
      </c>
    </row>
    <row r="69">
      <c r="A69" s="318" t="n"/>
      <c r="B69" s="319" t="n"/>
      <c r="C69" s="319" t="n"/>
      <c r="D69" s="319" t="n"/>
      <c r="E69" s="319" t="n"/>
      <c r="F69" s="319" t="n"/>
      <c r="G69" s="319" t="n"/>
      <c r="H69" s="319" t="n"/>
      <c r="I69" s="319" t="n"/>
      <c r="J69" s="319" t="n"/>
      <c r="K69" s="319" t="n"/>
      <c r="L69" s="319" t="n"/>
      <c r="M69" s="319" t="n"/>
      <c r="N69" s="319" t="n"/>
      <c r="O69" s="320" t="n"/>
      <c r="P69" s="321" t="inlineStr">
        <is>
          <t>Итого</t>
        </is>
      </c>
      <c r="Q69" s="322" t="n"/>
      <c r="R69" s="322" t="n"/>
      <c r="S69" s="322" t="n"/>
      <c r="T69" s="322" t="n"/>
      <c r="U69" s="322" t="n"/>
      <c r="V69" s="323" t="n"/>
      <c r="W69" s="37" t="inlineStr">
        <is>
          <t>кор</t>
        </is>
      </c>
      <c r="X69" s="311">
        <f>IFERROR(SUM(X66:X68),"0")</f>
        <v/>
      </c>
      <c r="Y69" s="308">
        <f>IFERROR(SUM(Y66:Y68),"0")</f>
        <v/>
      </c>
      <c r="Z69" s="308">
        <f>IFERROR(IF(Z66="",0,Z66),"0")+IFERROR(IF(Z67="",0,Z67),"0")+IFERROR(IF(Z68="",0,Z68),"0")</f>
        <v/>
      </c>
      <c r="AA69" s="309" t="n"/>
      <c r="AB69" s="309" t="n"/>
      <c r="AC69" s="309" t="n"/>
    </row>
    <row r="70">
      <c r="A70" s="319" t="n"/>
      <c r="B70" s="319" t="n"/>
      <c r="C70" s="319" t="n"/>
      <c r="D70" s="319" t="n"/>
      <c r="E70" s="319" t="n"/>
      <c r="F70" s="319" t="n"/>
      <c r="G70" s="319" t="n"/>
      <c r="H70" s="319" t="n"/>
      <c r="I70" s="319" t="n"/>
      <c r="J70" s="319" t="n"/>
      <c r="K70" s="319" t="n"/>
      <c r="L70" s="319" t="n"/>
      <c r="M70" s="319" t="n"/>
      <c r="N70" s="319" t="n"/>
      <c r="O70" s="320" t="n"/>
      <c r="P70" s="321" t="inlineStr">
        <is>
          <t>Итого</t>
        </is>
      </c>
      <c r="Q70" s="322" t="n"/>
      <c r="R70" s="322" t="n"/>
      <c r="S70" s="322" t="n"/>
      <c r="T70" s="322" t="n"/>
      <c r="U70" s="322" t="n"/>
      <c r="V70" s="323" t="n"/>
      <c r="W70" s="37" t="inlineStr">
        <is>
          <t>кг</t>
        </is>
      </c>
      <c r="X70" s="311">
        <f>IFERROR(SUMPRODUCT(X66:X68*H66:H68),"0")</f>
        <v/>
      </c>
      <c r="Y70" s="308">
        <f>IFERROR(SUMPRODUCT(Y66:Y68*H66:H68),"0")</f>
        <v/>
      </c>
      <c r="Z70" s="37" t="n"/>
      <c r="AA70" s="309" t="n"/>
      <c r="AB70" s="309" t="n"/>
      <c r="AC70" s="309" t="n"/>
    </row>
    <row r="71" ht="16.5" customHeight="1">
      <c r="A71" s="324" t="inlineStr">
        <is>
          <t>Бульмени вес ГШ</t>
        </is>
      </c>
      <c r="B71" s="319" t="n"/>
      <c r="C71" s="319" t="n"/>
      <c r="D71" s="319" t="n"/>
      <c r="E71" s="319" t="n"/>
      <c r="F71" s="319" t="n"/>
      <c r="G71" s="319" t="n"/>
      <c r="H71" s="319" t="n"/>
      <c r="I71" s="319" t="n"/>
      <c r="J71" s="319" t="n"/>
      <c r="K71" s="319" t="n"/>
      <c r="L71" s="319" t="n"/>
      <c r="M71" s="319" t="n"/>
      <c r="N71" s="319" t="n"/>
      <c r="O71" s="319" t="n"/>
      <c r="P71" s="319" t="n"/>
      <c r="Q71" s="319" t="n"/>
      <c r="R71" s="319" t="n"/>
      <c r="S71" s="319" t="n"/>
      <c r="T71" s="319" t="n"/>
      <c r="U71" s="319" t="n"/>
      <c r="V71" s="319" t="n"/>
      <c r="W71" s="319" t="n"/>
      <c r="X71" s="319" t="n"/>
      <c r="Y71" s="319" t="n"/>
      <c r="Z71" s="319" t="n"/>
      <c r="AA71" s="324" t="n"/>
      <c r="AB71" s="324" t="n"/>
      <c r="AC71" s="324" t="n"/>
    </row>
    <row r="72" ht="14.25" customHeight="1">
      <c r="A72" s="329" t="inlineStr">
        <is>
          <t>Пельмени</t>
        </is>
      </c>
      <c r="B72" s="319" t="n"/>
      <c r="C72" s="319" t="n"/>
      <c r="D72" s="319" t="n"/>
      <c r="E72" s="319" t="n"/>
      <c r="F72" s="319" t="n"/>
      <c r="G72" s="319" t="n"/>
      <c r="H72" s="319" t="n"/>
      <c r="I72" s="319" t="n"/>
      <c r="J72" s="319" t="n"/>
      <c r="K72" s="319" t="n"/>
      <c r="L72" s="319" t="n"/>
      <c r="M72" s="319" t="n"/>
      <c r="N72" s="319" t="n"/>
      <c r="O72" s="319" t="n"/>
      <c r="P72" s="319" t="n"/>
      <c r="Q72" s="319" t="n"/>
      <c r="R72" s="319" t="n"/>
      <c r="S72" s="319" t="n"/>
      <c r="T72" s="319" t="n"/>
      <c r="U72" s="319" t="n"/>
      <c r="V72" s="319" t="n"/>
      <c r="W72" s="319" t="n"/>
      <c r="X72" s="319" t="n"/>
      <c r="Y72" s="319" t="n"/>
      <c r="Z72" s="319" t="n"/>
      <c r="AA72" s="329" t="n"/>
      <c r="AB72" s="329" t="n"/>
      <c r="AC72" s="329" t="n"/>
    </row>
    <row r="73" ht="27" customHeight="1">
      <c r="A73" s="53" t="inlineStr">
        <is>
          <t>SU002798</t>
        </is>
      </c>
      <c r="B73" s="53" t="inlineStr">
        <is>
          <t>P003687</t>
        </is>
      </c>
      <c r="C73" s="31" t="n">
        <v>4301070977</v>
      </c>
      <c r="D73" s="316" t="n">
        <v>4607111037411</v>
      </c>
      <c r="E73" s="317" t="n"/>
      <c r="F73" s="305" t="n">
        <v>2.7</v>
      </c>
      <c r="G73" s="32" t="n">
        <v>1</v>
      </c>
      <c r="H73" s="305" t="n">
        <v>2.7</v>
      </c>
      <c r="I73" s="305" t="n">
        <v>2.8132</v>
      </c>
      <c r="J73" s="32" t="n">
        <v>234</v>
      </c>
      <c r="K73" s="32" t="inlineStr">
        <is>
          <t>18</t>
        </is>
      </c>
      <c r="L73" s="32" t="inlineStr">
        <is>
          <t>Короб, мин. 1</t>
        </is>
      </c>
      <c r="M73" s="33" t="inlineStr">
        <is>
          <t>МГ</t>
        </is>
      </c>
      <c r="N73" s="33" t="n"/>
      <c r="O73" s="32" t="n">
        <v>180</v>
      </c>
      <c r="P73" s="315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/>
      </c>
      <c r="Q73" s="313" t="n"/>
      <c r="R73" s="313" t="n"/>
      <c r="S73" s="313" t="n"/>
      <c r="T73" s="314" t="n"/>
      <c r="U73" s="34" t="n"/>
      <c r="V73" s="34" t="n"/>
      <c r="W73" s="35" t="inlineStr">
        <is>
          <t>кор</t>
        </is>
      </c>
      <c r="X73" s="310" t="n"/>
      <c r="Y73" s="307">
        <f>IFERROR(IF(X73="","",X73),"")</f>
        <v/>
      </c>
      <c r="Z73" s="36">
        <f>IFERROR(IF(X73="","",X73*0.00502),"")</f>
        <v/>
      </c>
      <c r="AA73" s="55" t="n"/>
      <c r="AB73" s="56" t="n"/>
      <c r="AC73" s="106" t="inlineStr">
        <is>
          <t>ЕАЭС N RU Д-RU.РА02.В.13673/23</t>
        </is>
      </c>
      <c r="AD73" s="7">
        <f>X73*G73</f>
        <v/>
      </c>
      <c r="AE73" s="7">
        <f>X73/J73</f>
        <v/>
      </c>
      <c r="AG73" s="66" t="n"/>
      <c r="AJ73" s="69" t="inlineStr">
        <is>
          <t>Короб</t>
        </is>
      </c>
      <c r="AK73" s="69" t="n">
        <v>1</v>
      </c>
      <c r="BB73" s="107" t="inlineStr">
        <is>
          <t>ЗПФ</t>
        </is>
      </c>
      <c r="BM73" s="66" t="n">
        <v>0</v>
      </c>
      <c r="BN73" s="66" t="n">
        <v>0</v>
      </c>
      <c r="BO73" s="66" t="n">
        <v>0</v>
      </c>
      <c r="BP73" s="66" t="n">
        <v>0</v>
      </c>
    </row>
    <row r="74" ht="27" customHeight="1">
      <c r="A74" s="53" t="inlineStr">
        <is>
          <t>SU002595</t>
        </is>
      </c>
      <c r="B74" s="53" t="inlineStr">
        <is>
          <t>P003697</t>
        </is>
      </c>
      <c r="C74" s="31" t="n">
        <v>4301070981</v>
      </c>
      <c r="D74" s="316" t="n">
        <v>4607111036728</v>
      </c>
      <c r="E74" s="317" t="n"/>
      <c r="F74" s="305" t="n">
        <v>5</v>
      </c>
      <c r="G74" s="32" t="n">
        <v>1</v>
      </c>
      <c r="H74" s="305" t="n">
        <v>5</v>
      </c>
      <c r="I74" s="305" t="n">
        <v>5.2132</v>
      </c>
      <c r="J74" s="32" t="n">
        <v>144</v>
      </c>
      <c r="K74" s="32" t="inlineStr">
        <is>
          <t>12</t>
        </is>
      </c>
      <c r="L74" s="32" t="inlineStr">
        <is>
          <t>Короб, мин. 1</t>
        </is>
      </c>
      <c r="M74" s="33" t="inlineStr">
        <is>
          <t>МГ</t>
        </is>
      </c>
      <c r="N74" s="33" t="n"/>
      <c r="O74" s="32" t="n">
        <v>180</v>
      </c>
      <c r="P74" s="415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/>
      </c>
      <c r="Q74" s="313" t="n"/>
      <c r="R74" s="313" t="n"/>
      <c r="S74" s="313" t="n"/>
      <c r="T74" s="314" t="n"/>
      <c r="U74" s="34" t="n"/>
      <c r="V74" s="34" t="n"/>
      <c r="W74" s="35" t="inlineStr">
        <is>
          <t>кор</t>
        </is>
      </c>
      <c r="X74" s="310" t="n"/>
      <c r="Y74" s="307">
        <f>IFERROR(IF(X74="","",X74),"")</f>
        <v/>
      </c>
      <c r="Z74" s="36">
        <f>IFERROR(IF(X74="","",X74*0.00866),"")</f>
        <v/>
      </c>
      <c r="AA74" s="55" t="n"/>
      <c r="AB74" s="56" t="n"/>
      <c r="AC74" s="108" t="inlineStr">
        <is>
          <t>ЕАЭС N RU Д-RU.РА02.В.13673/23</t>
        </is>
      </c>
      <c r="AD74" s="7">
        <f>X74*G74</f>
        <v/>
      </c>
      <c r="AE74" s="7">
        <f>X74/J74</f>
        <v/>
      </c>
      <c r="AG74" s="66" t="n"/>
      <c r="AJ74" s="69" t="inlineStr">
        <is>
          <t>Короб</t>
        </is>
      </c>
      <c r="AK74" s="69" t="n">
        <v>1</v>
      </c>
      <c r="BB74" s="109" t="inlineStr">
        <is>
          <t>ЗПФ</t>
        </is>
      </c>
      <c r="BM74" s="66" t="n">
        <v>0</v>
      </c>
      <c r="BN74" s="66" t="n">
        <v>0</v>
      </c>
      <c r="BO74" s="66" t="n">
        <v>0</v>
      </c>
      <c r="BP74" s="66" t="n">
        <v>0</v>
      </c>
    </row>
    <row r="75">
      <c r="A75" s="318" t="n"/>
      <c r="B75" s="319" t="n"/>
      <c r="C75" s="319" t="n"/>
      <c r="D75" s="319" t="n"/>
      <c r="E75" s="319" t="n"/>
      <c r="F75" s="319" t="n"/>
      <c r="G75" s="319" t="n"/>
      <c r="H75" s="319" t="n"/>
      <c r="I75" s="319" t="n"/>
      <c r="J75" s="319" t="n"/>
      <c r="K75" s="319" t="n"/>
      <c r="L75" s="319" t="n"/>
      <c r="M75" s="319" t="n"/>
      <c r="N75" s="319" t="n"/>
      <c r="O75" s="320" t="n"/>
      <c r="P75" s="321" t="inlineStr">
        <is>
          <t>Итого</t>
        </is>
      </c>
      <c r="Q75" s="322" t="n"/>
      <c r="R75" s="322" t="n"/>
      <c r="S75" s="322" t="n"/>
      <c r="T75" s="322" t="n"/>
      <c r="U75" s="322" t="n"/>
      <c r="V75" s="323" t="n"/>
      <c r="W75" s="37" t="inlineStr">
        <is>
          <t>кор</t>
        </is>
      </c>
      <c r="X75" s="311">
        <f>IFERROR(SUM(X73:X74),"0")</f>
        <v/>
      </c>
      <c r="Y75" s="308">
        <f>IFERROR(SUM(Y73:Y74),"0")</f>
        <v/>
      </c>
      <c r="Z75" s="308">
        <f>IFERROR(IF(Z73="",0,Z73),"0")+IFERROR(IF(Z74="",0,Z74),"0")</f>
        <v/>
      </c>
      <c r="AA75" s="309" t="n"/>
      <c r="AB75" s="309" t="n"/>
      <c r="AC75" s="309" t="n"/>
    </row>
    <row r="76">
      <c r="A76" s="319" t="n"/>
      <c r="B76" s="319" t="n"/>
      <c r="C76" s="319" t="n"/>
      <c r="D76" s="319" t="n"/>
      <c r="E76" s="319" t="n"/>
      <c r="F76" s="319" t="n"/>
      <c r="G76" s="319" t="n"/>
      <c r="H76" s="319" t="n"/>
      <c r="I76" s="319" t="n"/>
      <c r="J76" s="319" t="n"/>
      <c r="K76" s="319" t="n"/>
      <c r="L76" s="319" t="n"/>
      <c r="M76" s="319" t="n"/>
      <c r="N76" s="319" t="n"/>
      <c r="O76" s="320" t="n"/>
      <c r="P76" s="321" t="inlineStr">
        <is>
          <t>Итого</t>
        </is>
      </c>
      <c r="Q76" s="322" t="n"/>
      <c r="R76" s="322" t="n"/>
      <c r="S76" s="322" t="n"/>
      <c r="T76" s="322" t="n"/>
      <c r="U76" s="322" t="n"/>
      <c r="V76" s="323" t="n"/>
      <c r="W76" s="37" t="inlineStr">
        <is>
          <t>кг</t>
        </is>
      </c>
      <c r="X76" s="311">
        <f>IFERROR(SUMPRODUCT(X73:X74*H73:H74),"0")</f>
        <v/>
      </c>
      <c r="Y76" s="308">
        <f>IFERROR(SUMPRODUCT(Y73:Y74*H73:H74),"0")</f>
        <v/>
      </c>
      <c r="Z76" s="37" t="n"/>
      <c r="AA76" s="309" t="n"/>
      <c r="AB76" s="309" t="n"/>
      <c r="AC76" s="309" t="n"/>
    </row>
    <row r="77" ht="16.5" customHeight="1">
      <c r="A77" s="324" t="inlineStr">
        <is>
          <t>Бельмеши</t>
        </is>
      </c>
      <c r="B77" s="319" t="n"/>
      <c r="C77" s="319" t="n"/>
      <c r="D77" s="319" t="n"/>
      <c r="E77" s="319" t="n"/>
      <c r="F77" s="319" t="n"/>
      <c r="G77" s="319" t="n"/>
      <c r="H77" s="319" t="n"/>
      <c r="I77" s="319" t="n"/>
      <c r="J77" s="319" t="n"/>
      <c r="K77" s="319" t="n"/>
      <c r="L77" s="319" t="n"/>
      <c r="M77" s="319" t="n"/>
      <c r="N77" s="319" t="n"/>
      <c r="O77" s="319" t="n"/>
      <c r="P77" s="319" t="n"/>
      <c r="Q77" s="319" t="n"/>
      <c r="R77" s="319" t="n"/>
      <c r="S77" s="319" t="n"/>
      <c r="T77" s="319" t="n"/>
      <c r="U77" s="319" t="n"/>
      <c r="V77" s="319" t="n"/>
      <c r="W77" s="319" t="n"/>
      <c r="X77" s="319" t="n"/>
      <c r="Y77" s="319" t="n"/>
      <c r="Z77" s="319" t="n"/>
      <c r="AA77" s="324" t="n"/>
      <c r="AB77" s="324" t="n"/>
      <c r="AC77" s="324" t="n"/>
    </row>
    <row r="78" ht="14.25" customHeight="1">
      <c r="A78" s="329" t="inlineStr">
        <is>
          <t>Снеки</t>
        </is>
      </c>
      <c r="B78" s="319" t="n"/>
      <c r="C78" s="319" t="n"/>
      <c r="D78" s="319" t="n"/>
      <c r="E78" s="319" t="n"/>
      <c r="F78" s="319" t="n"/>
      <c r="G78" s="319" t="n"/>
      <c r="H78" s="319" t="n"/>
      <c r="I78" s="319" t="n"/>
      <c r="J78" s="319" t="n"/>
      <c r="K78" s="319" t="n"/>
      <c r="L78" s="319" t="n"/>
      <c r="M78" s="319" t="n"/>
      <c r="N78" s="319" t="n"/>
      <c r="O78" s="319" t="n"/>
      <c r="P78" s="319" t="n"/>
      <c r="Q78" s="319" t="n"/>
      <c r="R78" s="319" t="n"/>
      <c r="S78" s="319" t="n"/>
      <c r="T78" s="319" t="n"/>
      <c r="U78" s="319" t="n"/>
      <c r="V78" s="319" t="n"/>
      <c r="W78" s="319" t="n"/>
      <c r="X78" s="319" t="n"/>
      <c r="Y78" s="319" t="n"/>
      <c r="Z78" s="319" t="n"/>
      <c r="AA78" s="329" t="n"/>
      <c r="AB78" s="329" t="n"/>
      <c r="AC78" s="329" t="n"/>
    </row>
    <row r="79" ht="27" customHeight="1">
      <c r="A79" s="53" t="inlineStr">
        <is>
          <t>SU003593</t>
        </is>
      </c>
      <c r="B79" s="53" t="inlineStr">
        <is>
          <t>P004598</t>
        </is>
      </c>
      <c r="C79" s="31" t="n">
        <v>4301135574</v>
      </c>
      <c r="D79" s="316" t="n">
        <v>4607111033659</v>
      </c>
      <c r="E79" s="317" t="n"/>
      <c r="F79" s="305" t="n">
        <v>0.3</v>
      </c>
      <c r="G79" s="32" t="n">
        <v>12</v>
      </c>
      <c r="H79" s="305" t="n">
        <v>3.6</v>
      </c>
      <c r="I79" s="305" t="n">
        <v>4.3036</v>
      </c>
      <c r="J79" s="32" t="n">
        <v>70</v>
      </c>
      <c r="K79" s="32" t="inlineStr">
        <is>
          <t>14</t>
        </is>
      </c>
      <c r="L79" s="32" t="inlineStr">
        <is>
          <t>Короб, мин. 1</t>
        </is>
      </c>
      <c r="M79" s="33" t="inlineStr">
        <is>
          <t>МГ</t>
        </is>
      </c>
      <c r="N79" s="33" t="n"/>
      <c r="O79" s="32" t="n">
        <v>180</v>
      </c>
      <c r="P79" s="312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/>
      </c>
      <c r="Q79" s="313" t="n"/>
      <c r="R79" s="313" t="n"/>
      <c r="S79" s="313" t="n"/>
      <c r="T79" s="314" t="n"/>
      <c r="U79" s="34" t="n"/>
      <c r="V79" s="34" t="n"/>
      <c r="W79" s="35" t="inlineStr">
        <is>
          <t>кор</t>
        </is>
      </c>
      <c r="X79" s="510" t="n">
        <v>140</v>
      </c>
      <c r="Y79" s="307">
        <f>IFERROR(IF(X79="","",X79),"")</f>
        <v/>
      </c>
      <c r="Z79" s="36">
        <f>IFERROR(IF(X79="","",X79*0.01788),"")</f>
        <v/>
      </c>
      <c r="AA79" s="55" t="n"/>
      <c r="AB79" s="56" t="n"/>
      <c r="AC79" s="110" t="inlineStr">
        <is>
          <t>ЕАЭС N RU Д-RU.РА02.В.49579/23</t>
        </is>
      </c>
      <c r="AD79" s="7">
        <f>X79*G79</f>
        <v/>
      </c>
      <c r="AE79" s="7">
        <f>X79/J79</f>
        <v/>
      </c>
      <c r="AF79" s="7" t="inlineStr">
        <is>
          <t>сложение двух позиций (кор. 6шт. и кор. 12шт.)</t>
        </is>
      </c>
      <c r="AG79" s="66" t="n"/>
      <c r="AJ79" s="69" t="inlineStr">
        <is>
          <t>Короб</t>
        </is>
      </c>
      <c r="AK79" s="69" t="n">
        <v>1</v>
      </c>
      <c r="BB79" s="111" t="inlineStr">
        <is>
          <t>ПГП</t>
        </is>
      </c>
      <c r="BM79" s="66" t="n">
        <v>0</v>
      </c>
      <c r="BN79" s="66" t="n">
        <v>0</v>
      </c>
      <c r="BO79" s="66" t="n">
        <v>0</v>
      </c>
      <c r="BP79" s="66" t="n">
        <v>0</v>
      </c>
    </row>
    <row r="80" ht="27" customHeight="1">
      <c r="A80" s="302" t="inlineStr">
        <is>
          <t>SU003593</t>
        </is>
      </c>
      <c r="B80" s="302" t="inlineStr">
        <is>
          <t>P004598</t>
        </is>
      </c>
      <c r="C80" s="303" t="n">
        <v>4301135574</v>
      </c>
      <c r="D80" s="316" t="n">
        <v>4607111033659</v>
      </c>
      <c r="E80" s="317" t="n"/>
      <c r="F80" s="305" t="n">
        <v>0.3</v>
      </c>
      <c r="G80" s="304" t="n">
        <v>12</v>
      </c>
      <c r="H80" s="305" t="n">
        <v>1.8</v>
      </c>
      <c r="I80" s="305" t="n">
        <v>2.2218</v>
      </c>
      <c r="J80" s="32" t="n">
        <v>140</v>
      </c>
      <c r="K80" s="32" t="inlineStr">
        <is>
          <t>14</t>
        </is>
      </c>
      <c r="L80" s="32" t="inlineStr">
        <is>
          <t>Короб, мин. 1</t>
        </is>
      </c>
      <c r="M80" s="33" t="inlineStr">
        <is>
          <t>МГ</t>
        </is>
      </c>
      <c r="N80" s="33" t="n"/>
      <c r="O80" s="32" t="n">
        <v>180</v>
      </c>
      <c r="P80" s="451">
        <f>HYPERLINK("https://abi.ru/products/Замороженные/Горячая штучка/Бельмеши/Снеки/P004596/","Снеки «Бельмеши сочные с мясом» Фикс.вес 0,3 Пакет ТМ «Горячая штучка»")</f>
        <v/>
      </c>
      <c r="Q80" s="313" t="n"/>
      <c r="R80" s="313" t="n"/>
      <c r="S80" s="313" t="n"/>
      <c r="T80" s="314" t="n"/>
      <c r="U80" s="34" t="n"/>
      <c r="V80" s="34" t="n"/>
      <c r="W80" s="35" t="inlineStr">
        <is>
          <t>кор</t>
        </is>
      </c>
      <c r="X80" s="310" t="n">
        <v>0</v>
      </c>
      <c r="Y80" s="307">
        <f>IFERROR(IF(X80="","",X80),"")</f>
        <v/>
      </c>
      <c r="Z80" s="36">
        <f>IFERROR(IF(X80="","",X80*0.00941),"")</f>
        <v/>
      </c>
      <c r="AA80" s="55" t="n"/>
      <c r="AB80" s="56" t="n"/>
      <c r="AC80" s="112" t="inlineStr">
        <is>
          <t>ЕАЭС N RU Д-RU.РА02.В.49579/23</t>
        </is>
      </c>
      <c r="AD80" s="7">
        <f>X80*G80</f>
        <v/>
      </c>
      <c r="AE80" s="7">
        <f>X80/J80</f>
        <v/>
      </c>
      <c r="AF80" s="7" t="inlineStr">
        <is>
          <t>изменкние кратности коробки (было 6) и кодировок</t>
        </is>
      </c>
      <c r="AG80" s="66" t="n"/>
      <c r="AJ80" s="69" t="inlineStr">
        <is>
          <t>Короб</t>
        </is>
      </c>
      <c r="AK80" s="69" t="n">
        <v>1</v>
      </c>
      <c r="BB80" s="113" t="inlineStr">
        <is>
          <t>ПГП</t>
        </is>
      </c>
      <c r="BM80" s="66" t="n">
        <v>0</v>
      </c>
      <c r="BN80" s="66" t="n">
        <v>0</v>
      </c>
      <c r="BO80" s="66" t="n">
        <v>0</v>
      </c>
      <c r="BP80" s="66" t="n">
        <v>0</v>
      </c>
    </row>
    <row r="81">
      <c r="A81" s="318" t="n"/>
      <c r="B81" s="319" t="n"/>
      <c r="C81" s="319" t="n"/>
      <c r="D81" s="319" t="n"/>
      <c r="E81" s="319" t="n"/>
      <c r="F81" s="319" t="n"/>
      <c r="G81" s="319" t="n"/>
      <c r="H81" s="319" t="n"/>
      <c r="I81" s="319" t="n"/>
      <c r="J81" s="319" t="n"/>
      <c r="K81" s="319" t="n"/>
      <c r="L81" s="319" t="n"/>
      <c r="M81" s="319" t="n"/>
      <c r="N81" s="319" t="n"/>
      <c r="O81" s="320" t="n"/>
      <c r="P81" s="321" t="inlineStr">
        <is>
          <t>Итого</t>
        </is>
      </c>
      <c r="Q81" s="322" t="n"/>
      <c r="R81" s="322" t="n"/>
      <c r="S81" s="322" t="n"/>
      <c r="T81" s="322" t="n"/>
      <c r="U81" s="322" t="n"/>
      <c r="V81" s="323" t="n"/>
      <c r="W81" s="37" t="inlineStr">
        <is>
          <t>кор</t>
        </is>
      </c>
      <c r="X81" s="311">
        <f>IFERROR(SUM(X79:X80),"0")</f>
        <v/>
      </c>
      <c r="Y81" s="308">
        <f>IFERROR(SUM(Y79:Y80),"0")</f>
        <v/>
      </c>
      <c r="Z81" s="308">
        <f>IFERROR(IF(Z79="",0,Z79),"0")+IFERROR(IF(Z80="",0,Z80),"0")</f>
        <v/>
      </c>
      <c r="AA81" s="309" t="n"/>
      <c r="AB81" s="309" t="n"/>
      <c r="AC81" s="309" t="n"/>
    </row>
    <row r="82">
      <c r="A82" s="319" t="n"/>
      <c r="B82" s="319" t="n"/>
      <c r="C82" s="319" t="n"/>
      <c r="D82" s="319" t="n"/>
      <c r="E82" s="319" t="n"/>
      <c r="F82" s="319" t="n"/>
      <c r="G82" s="319" t="n"/>
      <c r="H82" s="319" t="n"/>
      <c r="I82" s="319" t="n"/>
      <c r="J82" s="319" t="n"/>
      <c r="K82" s="319" t="n"/>
      <c r="L82" s="319" t="n"/>
      <c r="M82" s="319" t="n"/>
      <c r="N82" s="319" t="n"/>
      <c r="O82" s="320" t="n"/>
      <c r="P82" s="321" t="inlineStr">
        <is>
          <t>Итого</t>
        </is>
      </c>
      <c r="Q82" s="322" t="n"/>
      <c r="R82" s="322" t="n"/>
      <c r="S82" s="322" t="n"/>
      <c r="T82" s="322" t="n"/>
      <c r="U82" s="322" t="n"/>
      <c r="V82" s="323" t="n"/>
      <c r="W82" s="37" t="inlineStr">
        <is>
          <t>кг</t>
        </is>
      </c>
      <c r="X82" s="311">
        <f>IFERROR(SUMPRODUCT(X79:X80*H79:H80),"0")</f>
        <v/>
      </c>
      <c r="Y82" s="308">
        <f>IFERROR(SUMPRODUCT(Y79:Y80*H79:H80),"0")</f>
        <v/>
      </c>
      <c r="Z82" s="37" t="n"/>
      <c r="AA82" s="309" t="n"/>
      <c r="AB82" s="309" t="n"/>
      <c r="AC82" s="309" t="n"/>
    </row>
    <row r="83" ht="16.5" customHeight="1">
      <c r="A83" s="324" t="inlineStr">
        <is>
          <t>Крылышки ГШ</t>
        </is>
      </c>
      <c r="B83" s="319" t="n"/>
      <c r="C83" s="319" t="n"/>
      <c r="D83" s="319" t="n"/>
      <c r="E83" s="319" t="n"/>
      <c r="F83" s="319" t="n"/>
      <c r="G83" s="319" t="n"/>
      <c r="H83" s="319" t="n"/>
      <c r="I83" s="319" t="n"/>
      <c r="J83" s="319" t="n"/>
      <c r="K83" s="319" t="n"/>
      <c r="L83" s="319" t="n"/>
      <c r="M83" s="319" t="n"/>
      <c r="N83" s="319" t="n"/>
      <c r="O83" s="319" t="n"/>
      <c r="P83" s="319" t="n"/>
      <c r="Q83" s="319" t="n"/>
      <c r="R83" s="319" t="n"/>
      <c r="S83" s="319" t="n"/>
      <c r="T83" s="319" t="n"/>
      <c r="U83" s="319" t="n"/>
      <c r="V83" s="319" t="n"/>
      <c r="W83" s="319" t="n"/>
      <c r="X83" s="319" t="n"/>
      <c r="Y83" s="319" t="n"/>
      <c r="Z83" s="319" t="n"/>
      <c r="AA83" s="324" t="n"/>
      <c r="AB83" s="324" t="n"/>
      <c r="AC83" s="324" t="n"/>
    </row>
    <row r="84" ht="14.25" customHeight="1">
      <c r="A84" s="329" t="inlineStr">
        <is>
          <t>Крылья</t>
        </is>
      </c>
      <c r="B84" s="319" t="n"/>
      <c r="C84" s="319" t="n"/>
      <c r="D84" s="319" t="n"/>
      <c r="E84" s="319" t="n"/>
      <c r="F84" s="319" t="n"/>
      <c r="G84" s="319" t="n"/>
      <c r="H84" s="319" t="n"/>
      <c r="I84" s="319" t="n"/>
      <c r="J84" s="319" t="n"/>
      <c r="K84" s="319" t="n"/>
      <c r="L84" s="319" t="n"/>
      <c r="M84" s="319" t="n"/>
      <c r="N84" s="319" t="n"/>
      <c r="O84" s="319" t="n"/>
      <c r="P84" s="319" t="n"/>
      <c r="Q84" s="319" t="n"/>
      <c r="R84" s="319" t="n"/>
      <c r="S84" s="319" t="n"/>
      <c r="T84" s="319" t="n"/>
      <c r="U84" s="319" t="n"/>
      <c r="V84" s="319" t="n"/>
      <c r="W84" s="319" t="n"/>
      <c r="X84" s="319" t="n"/>
      <c r="Y84" s="319" t="n"/>
      <c r="Z84" s="319" t="n"/>
      <c r="AA84" s="329" t="n"/>
      <c r="AB84" s="329" t="n"/>
      <c r="AC84" s="329" t="n"/>
    </row>
    <row r="85" ht="27" customHeight="1">
      <c r="A85" s="53" t="inlineStr">
        <is>
          <t>SU003591</t>
        </is>
      </c>
      <c r="B85" s="53" t="inlineStr">
        <is>
          <t>P004588</t>
        </is>
      </c>
      <c r="C85" s="31" t="n">
        <v>4301131047</v>
      </c>
      <c r="D85" s="316" t="n">
        <v>4607111034120</v>
      </c>
      <c r="E85" s="317" t="n"/>
      <c r="F85" s="305" t="n">
        <v>0.3</v>
      </c>
      <c r="G85" s="32" t="n">
        <v>12</v>
      </c>
      <c r="H85" s="305" t="n">
        <v>3.6</v>
      </c>
      <c r="I85" s="305" t="n">
        <v>4.3036</v>
      </c>
      <c r="J85" s="32" t="n">
        <v>70</v>
      </c>
      <c r="K85" s="32" t="inlineStr">
        <is>
          <t>14</t>
        </is>
      </c>
      <c r="L85" s="32" t="inlineStr">
        <is>
          <t>Короб, мин. 1</t>
        </is>
      </c>
      <c r="M85" s="33" t="inlineStr">
        <is>
          <t>МГ</t>
        </is>
      </c>
      <c r="N85" s="33" t="n"/>
      <c r="O85" s="32" t="n">
        <v>180</v>
      </c>
      <c r="P85" s="502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/>
      </c>
      <c r="Q85" s="313" t="n"/>
      <c r="R85" s="313" t="n"/>
      <c r="S85" s="313" t="n"/>
      <c r="T85" s="314" t="n"/>
      <c r="U85" s="34" t="n"/>
      <c r="V85" s="34" t="n"/>
      <c r="W85" s="35" t="inlineStr">
        <is>
          <t>кор</t>
        </is>
      </c>
      <c r="X85" s="310" t="n">
        <v>210</v>
      </c>
      <c r="Y85" s="307">
        <f>IFERROR(IF(X85="","",X85),"")</f>
        <v/>
      </c>
      <c r="Z85" s="36">
        <f>IFERROR(IF(X85="","",X85*0.01788),"")</f>
        <v/>
      </c>
      <c r="AA85" s="55" t="n"/>
      <c r="AB85" s="56" t="n"/>
      <c r="AC85" s="114" t="inlineStr">
        <is>
          <t>ЕАЭС N RU Д-RU.РА10.В.35725/23</t>
        </is>
      </c>
      <c r="AD85" s="7">
        <f>X85*G85</f>
        <v/>
      </c>
      <c r="AE85" s="7">
        <f>X85/J85</f>
        <v/>
      </c>
      <c r="AG85" s="66" t="n"/>
      <c r="AJ85" s="69" t="inlineStr">
        <is>
          <t>Короб</t>
        </is>
      </c>
      <c r="AK85" s="69" t="n">
        <v>1</v>
      </c>
      <c r="BB85" s="115" t="inlineStr">
        <is>
          <t>ПГП</t>
        </is>
      </c>
      <c r="BM85" s="66" t="n">
        <v>0</v>
      </c>
      <c r="BN85" s="66" t="n">
        <v>0</v>
      </c>
      <c r="BO85" s="66" t="n">
        <v>0</v>
      </c>
      <c r="BP85" s="66" t="n">
        <v>0</v>
      </c>
    </row>
    <row r="86" ht="27" customHeight="1">
      <c r="A86" s="53" t="inlineStr">
        <is>
          <t>SU003607</t>
        </is>
      </c>
      <c r="B86" s="53" t="inlineStr">
        <is>
          <t>P004589</t>
        </is>
      </c>
      <c r="C86" s="31" t="n">
        <v>4301131046</v>
      </c>
      <c r="D86" s="316" t="n">
        <v>4607111034137</v>
      </c>
      <c r="E86" s="317" t="n"/>
      <c r="F86" s="305" t="n">
        <v>0.3</v>
      </c>
      <c r="G86" s="32" t="n">
        <v>12</v>
      </c>
      <c r="H86" s="305" t="n">
        <v>3.6</v>
      </c>
      <c r="I86" s="305" t="n">
        <v>4.3036</v>
      </c>
      <c r="J86" s="32" t="n">
        <v>70</v>
      </c>
      <c r="K86" s="32" t="inlineStr">
        <is>
          <t>14</t>
        </is>
      </c>
      <c r="L86" s="32" t="inlineStr">
        <is>
          <t>Короб, мин. 1</t>
        </is>
      </c>
      <c r="M86" s="33" t="inlineStr">
        <is>
          <t>МГ</t>
        </is>
      </c>
      <c r="N86" s="33" t="n"/>
      <c r="O86" s="32" t="n">
        <v>180</v>
      </c>
      <c r="P86" s="330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/>
      </c>
      <c r="Q86" s="313" t="n"/>
      <c r="R86" s="313" t="n"/>
      <c r="S86" s="313" t="n"/>
      <c r="T86" s="314" t="n"/>
      <c r="U86" s="34" t="n"/>
      <c r="V86" s="34" t="n"/>
      <c r="W86" s="35" t="inlineStr">
        <is>
          <t>кор</t>
        </is>
      </c>
      <c r="X86" s="310" t="n">
        <v>140</v>
      </c>
      <c r="Y86" s="307">
        <f>IFERROR(IF(X86="","",X86),"")</f>
        <v/>
      </c>
      <c r="Z86" s="36">
        <f>IFERROR(IF(X86="","",X86*0.01788),"")</f>
        <v/>
      </c>
      <c r="AA86" s="55" t="n"/>
      <c r="AB86" s="56" t="n"/>
      <c r="AC86" s="116" t="inlineStr">
        <is>
          <t>ЕАЭС N RU Д-RU.РА01.В.97554/24</t>
        </is>
      </c>
      <c r="AD86" s="7">
        <f>X86*G86</f>
        <v/>
      </c>
      <c r="AE86" s="7">
        <f>X86/J86</f>
        <v/>
      </c>
      <c r="AG86" s="66" t="n"/>
      <c r="AJ86" s="69" t="inlineStr">
        <is>
          <t>Короб</t>
        </is>
      </c>
      <c r="AK86" s="69" t="n">
        <v>1</v>
      </c>
      <c r="BB86" s="117" t="inlineStr">
        <is>
          <t>ПГП</t>
        </is>
      </c>
      <c r="BM86" s="66" t="n">
        <v>0</v>
      </c>
      <c r="BN86" s="66" t="n">
        <v>0</v>
      </c>
      <c r="BO86" s="66" t="n">
        <v>0</v>
      </c>
      <c r="BP86" s="66" t="n">
        <v>0</v>
      </c>
    </row>
    <row r="87">
      <c r="A87" s="318" t="n"/>
      <c r="B87" s="319" t="n"/>
      <c r="C87" s="319" t="n"/>
      <c r="D87" s="319" t="n"/>
      <c r="E87" s="319" t="n"/>
      <c r="F87" s="319" t="n"/>
      <c r="G87" s="319" t="n"/>
      <c r="H87" s="319" t="n"/>
      <c r="I87" s="319" t="n"/>
      <c r="J87" s="319" t="n"/>
      <c r="K87" s="319" t="n"/>
      <c r="L87" s="319" t="n"/>
      <c r="M87" s="319" t="n"/>
      <c r="N87" s="319" t="n"/>
      <c r="O87" s="320" t="n"/>
      <c r="P87" s="321" t="inlineStr">
        <is>
          <t>Итого</t>
        </is>
      </c>
      <c r="Q87" s="322" t="n"/>
      <c r="R87" s="322" t="n"/>
      <c r="S87" s="322" t="n"/>
      <c r="T87" s="322" t="n"/>
      <c r="U87" s="322" t="n"/>
      <c r="V87" s="323" t="n"/>
      <c r="W87" s="37" t="inlineStr">
        <is>
          <t>кор</t>
        </is>
      </c>
      <c r="X87" s="311">
        <f>IFERROR(SUM(X85:X86),"0")</f>
        <v/>
      </c>
      <c r="Y87" s="308">
        <f>IFERROR(SUM(Y85:Y86),"0")</f>
        <v/>
      </c>
      <c r="Z87" s="308">
        <f>IFERROR(IF(Z85="",0,Z85),"0")+IFERROR(IF(Z86="",0,Z86),"0")</f>
        <v/>
      </c>
      <c r="AA87" s="309" t="n"/>
      <c r="AB87" s="309" t="n"/>
      <c r="AC87" s="309" t="n"/>
    </row>
    <row r="88">
      <c r="A88" s="319" t="n"/>
      <c r="B88" s="319" t="n"/>
      <c r="C88" s="319" t="n"/>
      <c r="D88" s="319" t="n"/>
      <c r="E88" s="319" t="n"/>
      <c r="F88" s="319" t="n"/>
      <c r="G88" s="319" t="n"/>
      <c r="H88" s="319" t="n"/>
      <c r="I88" s="319" t="n"/>
      <c r="J88" s="319" t="n"/>
      <c r="K88" s="319" t="n"/>
      <c r="L88" s="319" t="n"/>
      <c r="M88" s="319" t="n"/>
      <c r="N88" s="319" t="n"/>
      <c r="O88" s="320" t="n"/>
      <c r="P88" s="321" t="inlineStr">
        <is>
          <t>Итого</t>
        </is>
      </c>
      <c r="Q88" s="322" t="n"/>
      <c r="R88" s="322" t="n"/>
      <c r="S88" s="322" t="n"/>
      <c r="T88" s="322" t="n"/>
      <c r="U88" s="322" t="n"/>
      <c r="V88" s="323" t="n"/>
      <c r="W88" s="37" t="inlineStr">
        <is>
          <t>кг</t>
        </is>
      </c>
      <c r="X88" s="311">
        <f>IFERROR(SUMPRODUCT(X85:X86*H85:H86),"0")</f>
        <v/>
      </c>
      <c r="Y88" s="308">
        <f>IFERROR(SUMPRODUCT(Y85:Y86*H85:H86),"0")</f>
        <v/>
      </c>
      <c r="Z88" s="37" t="n"/>
      <c r="AA88" s="309" t="n"/>
      <c r="AB88" s="309" t="n"/>
      <c r="AC88" s="309" t="n"/>
    </row>
    <row r="89" ht="16.5" customHeight="1">
      <c r="A89" s="324" t="inlineStr">
        <is>
          <t>Чебупели</t>
        </is>
      </c>
      <c r="B89" s="319" t="n"/>
      <c r="C89" s="319" t="n"/>
      <c r="D89" s="319" t="n"/>
      <c r="E89" s="319" t="n"/>
      <c r="F89" s="319" t="n"/>
      <c r="G89" s="319" t="n"/>
      <c r="H89" s="319" t="n"/>
      <c r="I89" s="319" t="n"/>
      <c r="J89" s="319" t="n"/>
      <c r="K89" s="319" t="n"/>
      <c r="L89" s="319" t="n"/>
      <c r="M89" s="319" t="n"/>
      <c r="N89" s="319" t="n"/>
      <c r="O89" s="319" t="n"/>
      <c r="P89" s="319" t="n"/>
      <c r="Q89" s="319" t="n"/>
      <c r="R89" s="319" t="n"/>
      <c r="S89" s="319" t="n"/>
      <c r="T89" s="319" t="n"/>
      <c r="U89" s="319" t="n"/>
      <c r="V89" s="319" t="n"/>
      <c r="W89" s="319" t="n"/>
      <c r="X89" s="319" t="n"/>
      <c r="Y89" s="319" t="n"/>
      <c r="Z89" s="319" t="n"/>
      <c r="AA89" s="324" t="n"/>
      <c r="AB89" s="324" t="n"/>
      <c r="AC89" s="324" t="n"/>
    </row>
    <row r="90" ht="14.25" customHeight="1">
      <c r="A90" s="329" t="inlineStr">
        <is>
          <t>Снеки</t>
        </is>
      </c>
      <c r="B90" s="319" t="n"/>
      <c r="C90" s="319" t="n"/>
      <c r="D90" s="319" t="n"/>
      <c r="E90" s="319" t="n"/>
      <c r="F90" s="319" t="n"/>
      <c r="G90" s="319" t="n"/>
      <c r="H90" s="319" t="n"/>
      <c r="I90" s="319" t="n"/>
      <c r="J90" s="319" t="n"/>
      <c r="K90" s="319" t="n"/>
      <c r="L90" s="319" t="n"/>
      <c r="M90" s="319" t="n"/>
      <c r="N90" s="319" t="n"/>
      <c r="O90" s="319" t="n"/>
      <c r="P90" s="319" t="n"/>
      <c r="Q90" s="319" t="n"/>
      <c r="R90" s="319" t="n"/>
      <c r="S90" s="319" t="n"/>
      <c r="T90" s="319" t="n"/>
      <c r="U90" s="319" t="n"/>
      <c r="V90" s="319" t="n"/>
      <c r="W90" s="319" t="n"/>
      <c r="X90" s="319" t="n"/>
      <c r="Y90" s="319" t="n"/>
      <c r="Z90" s="319" t="n"/>
      <c r="AA90" s="329" t="n"/>
      <c r="AB90" s="329" t="n"/>
      <c r="AC90" s="329" t="n"/>
    </row>
    <row r="91" ht="27" customHeight="1">
      <c r="A91" s="53" t="inlineStr">
        <is>
          <t>SU003887</t>
        </is>
      </c>
      <c r="B91" s="53" t="inlineStr">
        <is>
          <t>P004969</t>
        </is>
      </c>
      <c r="C91" s="31" t="n">
        <v>4301135763</v>
      </c>
      <c r="D91" s="316" t="n">
        <v>4620207491027</v>
      </c>
      <c r="E91" s="317" t="n"/>
      <c r="F91" s="305" t="n">
        <v>0.24</v>
      </c>
      <c r="G91" s="32" t="n">
        <v>12</v>
      </c>
      <c r="H91" s="305" t="n">
        <v>2.88</v>
      </c>
      <c r="I91" s="305" t="n">
        <v>3.5836</v>
      </c>
      <c r="J91" s="32" t="n">
        <v>70</v>
      </c>
      <c r="K91" s="32" t="inlineStr">
        <is>
          <t>14</t>
        </is>
      </c>
      <c r="L91" s="32" t="inlineStr">
        <is>
          <t>Короб, мин. 1</t>
        </is>
      </c>
      <c r="M91" s="33" t="inlineStr">
        <is>
          <t>МГ</t>
        </is>
      </c>
      <c r="N91" s="33" t="n"/>
      <c r="O91" s="32" t="n">
        <v>180</v>
      </c>
      <c r="P91" s="431" t="inlineStr">
        <is>
          <t>Снеки «Готовые чебупели острые с мясом» Фикс.вес 0,24 ТМ «Горячая штучка»</t>
        </is>
      </c>
      <c r="Q91" s="313" t="n"/>
      <c r="R91" s="313" t="n"/>
      <c r="S91" s="313" t="n"/>
      <c r="T91" s="314" t="n"/>
      <c r="U91" s="34" t="n"/>
      <c r="V91" s="34" t="n"/>
      <c r="W91" s="35" t="inlineStr">
        <is>
          <t>кор</t>
        </is>
      </c>
      <c r="X91" s="310" t="n">
        <v>70</v>
      </c>
      <c r="Y91" s="307">
        <f>IFERROR(IF(X91="","",X91),"")</f>
        <v/>
      </c>
      <c r="Z91" s="36">
        <f>IFERROR(IF(X91="","",X91*0.01788),"")</f>
        <v/>
      </c>
      <c r="AA91" s="55" t="n"/>
      <c r="AB91" s="56" t="n"/>
      <c r="AC91" s="118" t="inlineStr">
        <is>
          <t>ЕАЭС N RU Д-RU.РА02.В.49579/23</t>
        </is>
      </c>
      <c r="AD91" s="7">
        <f>X91*G91</f>
        <v/>
      </c>
      <c r="AE91" s="7">
        <f>X91/J91</f>
        <v/>
      </c>
      <c r="AG91" s="66" t="n"/>
      <c r="AJ91" s="69" t="inlineStr">
        <is>
          <t>Короб</t>
        </is>
      </c>
      <c r="AK91" s="69" t="n">
        <v>1</v>
      </c>
      <c r="BB91" s="119" t="inlineStr">
        <is>
          <t>ПГП</t>
        </is>
      </c>
      <c r="BM91" s="66" t="n">
        <v>0</v>
      </c>
      <c r="BN91" s="66" t="n">
        <v>0</v>
      </c>
      <c r="BO91" s="66" t="n">
        <v>0</v>
      </c>
      <c r="BP91" s="66" t="n">
        <v>0</v>
      </c>
    </row>
    <row r="92" ht="27" customHeight="1">
      <c r="A92" s="53" t="inlineStr">
        <is>
          <t>SU003889</t>
        </is>
      </c>
      <c r="B92" s="53" t="inlineStr">
        <is>
          <t>P004971</t>
        </is>
      </c>
      <c r="C92" s="31" t="n">
        <v>4301135793</v>
      </c>
      <c r="D92" s="316" t="n">
        <v>4620207491003</v>
      </c>
      <c r="E92" s="317" t="n"/>
      <c r="F92" s="305" t="n">
        <v>0.24</v>
      </c>
      <c r="G92" s="32" t="n">
        <v>12</v>
      </c>
      <c r="H92" s="305" t="n">
        <v>2.88</v>
      </c>
      <c r="I92" s="305" t="n">
        <v>3.5836</v>
      </c>
      <c r="J92" s="32" t="n">
        <v>70</v>
      </c>
      <c r="K92" s="32" t="inlineStr">
        <is>
          <t>14</t>
        </is>
      </c>
      <c r="L92" s="32" t="inlineStr">
        <is>
          <t>Короб, мин. 1</t>
        </is>
      </c>
      <c r="M92" s="33" t="inlineStr">
        <is>
          <t>МГ</t>
        </is>
      </c>
      <c r="N92" s="33" t="n"/>
      <c r="O92" s="32" t="n">
        <v>180</v>
      </c>
      <c r="P92" s="350" t="inlineStr">
        <is>
          <t>Снеки «Готовые чебупели с ветчиной и сыром» Фикс.вес 0,24 ТМ «Горячая штучка»</t>
        </is>
      </c>
      <c r="Q92" s="313" t="n"/>
      <c r="R92" s="313" t="n"/>
      <c r="S92" s="313" t="n"/>
      <c r="T92" s="314" t="n"/>
      <c r="U92" s="34" t="n"/>
      <c r="V92" s="34" t="n"/>
      <c r="W92" s="35" t="inlineStr">
        <is>
          <t>кор</t>
        </is>
      </c>
      <c r="X92" s="310" t="n">
        <v>140</v>
      </c>
      <c r="Y92" s="307">
        <f>IFERROR(IF(X92="","",X92),"")</f>
        <v/>
      </c>
      <c r="Z92" s="36">
        <f>IFERROR(IF(X92="","",X92*0.01788),"")</f>
        <v/>
      </c>
      <c r="AA92" s="55" t="n"/>
      <c r="AB92" s="56" t="n"/>
      <c r="AC92" s="120" t="inlineStr">
        <is>
          <t>ЕАЭС N RU Д-RU.РА02.В.49579/23</t>
        </is>
      </c>
      <c r="AD92" s="7">
        <f>X92*G92</f>
        <v/>
      </c>
      <c r="AE92" s="7">
        <f>X92/J92</f>
        <v/>
      </c>
      <c r="AG92" s="66" t="n"/>
      <c r="AJ92" s="69" t="inlineStr">
        <is>
          <t>Короб</t>
        </is>
      </c>
      <c r="AK92" s="69" t="n">
        <v>1</v>
      </c>
      <c r="BB92" s="121" t="inlineStr">
        <is>
          <t>ПГП</t>
        </is>
      </c>
      <c r="BM92" s="66" t="n">
        <v>0</v>
      </c>
      <c r="BN92" s="66" t="n">
        <v>0</v>
      </c>
      <c r="BO92" s="66" t="n">
        <v>0</v>
      </c>
      <c r="BP92" s="66" t="n">
        <v>0</v>
      </c>
    </row>
    <row r="93" ht="27" customHeight="1">
      <c r="A93" s="53" t="inlineStr">
        <is>
          <t>SU003892</t>
        </is>
      </c>
      <c r="B93" s="53" t="inlineStr">
        <is>
          <t>P004974</t>
        </is>
      </c>
      <c r="C93" s="31" t="n">
        <v>4301135768</v>
      </c>
      <c r="D93" s="316" t="n">
        <v>4620207491034</v>
      </c>
      <c r="E93" s="317" t="n"/>
      <c r="F93" s="305" t="n">
        <v>0.24</v>
      </c>
      <c r="G93" s="32" t="n">
        <v>12</v>
      </c>
      <c r="H93" s="305" t="n">
        <v>2.88</v>
      </c>
      <c r="I93" s="305" t="n">
        <v>3.5836</v>
      </c>
      <c r="J93" s="32" t="n">
        <v>70</v>
      </c>
      <c r="K93" s="32" t="inlineStr">
        <is>
          <t>14</t>
        </is>
      </c>
      <c r="L93" s="32" t="inlineStr">
        <is>
          <t>Короб, мин. 1</t>
        </is>
      </c>
      <c r="M93" s="33" t="inlineStr">
        <is>
          <t>МГ</t>
        </is>
      </c>
      <c r="N93" s="33" t="n"/>
      <c r="O93" s="32" t="n">
        <v>180</v>
      </c>
      <c r="P93" s="457" t="inlineStr">
        <is>
          <t>Снеки «Готовые чебупели с мясом» Фикс.вес 0,24 ТМ «Горячая штучка»</t>
        </is>
      </c>
      <c r="Q93" s="313" t="n"/>
      <c r="R93" s="313" t="n"/>
      <c r="S93" s="313" t="n"/>
      <c r="T93" s="314" t="n"/>
      <c r="U93" s="34" t="n"/>
      <c r="V93" s="34" t="n"/>
      <c r="W93" s="35" t="inlineStr">
        <is>
          <t>кор</t>
        </is>
      </c>
      <c r="X93" s="310" t="n">
        <v>70</v>
      </c>
      <c r="Y93" s="307">
        <f>IFERROR(IF(X93="","",X93),"")</f>
        <v/>
      </c>
      <c r="Z93" s="36">
        <f>IFERROR(IF(X93="","",X93*0.01788),"")</f>
        <v/>
      </c>
      <c r="AA93" s="55" t="n"/>
      <c r="AB93" s="56" t="n"/>
      <c r="AC93" s="122" t="inlineStr">
        <is>
          <t>ЕАЭС N RU Д-RU.РА01.В.13713/23</t>
        </is>
      </c>
      <c r="AD93" s="7">
        <f>X93*G93</f>
        <v/>
      </c>
      <c r="AE93" s="7">
        <f>X93/J93</f>
        <v/>
      </c>
      <c r="AG93" s="66" t="n"/>
      <c r="AJ93" s="69" t="inlineStr">
        <is>
          <t>Короб</t>
        </is>
      </c>
      <c r="AK93" s="69" t="n">
        <v>1</v>
      </c>
      <c r="BB93" s="123" t="inlineStr">
        <is>
          <t>ПГП</t>
        </is>
      </c>
      <c r="BM93" s="66" t="n">
        <v>0</v>
      </c>
      <c r="BN93" s="66" t="n">
        <v>0</v>
      </c>
      <c r="BO93" s="66" t="n">
        <v>0</v>
      </c>
      <c r="BP93" s="66" t="n">
        <v>0</v>
      </c>
    </row>
    <row r="94" ht="27" customHeight="1">
      <c r="A94" s="53" t="inlineStr">
        <is>
          <t>SU003884</t>
        </is>
      </c>
      <c r="B94" s="53" t="inlineStr">
        <is>
          <t>P004966</t>
        </is>
      </c>
      <c r="C94" s="31" t="n">
        <v>4301135760</v>
      </c>
      <c r="D94" s="316" t="n">
        <v>4620207491010</v>
      </c>
      <c r="E94" s="317" t="n"/>
      <c r="F94" s="305" t="n">
        <v>0.24</v>
      </c>
      <c r="G94" s="32" t="n">
        <v>12</v>
      </c>
      <c r="H94" s="305" t="n">
        <v>2.88</v>
      </c>
      <c r="I94" s="305" t="n">
        <v>3.5836</v>
      </c>
      <c r="J94" s="32" t="n">
        <v>70</v>
      </c>
      <c r="K94" s="32" t="inlineStr">
        <is>
          <t>14</t>
        </is>
      </c>
      <c r="L94" s="32" t="inlineStr">
        <is>
          <t>Короб, мин. 1</t>
        </is>
      </c>
      <c r="M94" s="33" t="inlineStr">
        <is>
          <t>МГ</t>
        </is>
      </c>
      <c r="N94" s="33" t="n"/>
      <c r="O94" s="32" t="n">
        <v>180</v>
      </c>
      <c r="P94" s="352" t="inlineStr">
        <is>
          <t>Снеки «Готовые чебупели сочные с мясом» Фикс.вес 0,24 ТМ «Горячая штучка»</t>
        </is>
      </c>
      <c r="Q94" s="313" t="n"/>
      <c r="R94" s="313" t="n"/>
      <c r="S94" s="313" t="n"/>
      <c r="T94" s="314" t="n"/>
      <c r="U94" s="34" t="n"/>
      <c r="V94" s="34" t="n"/>
      <c r="W94" s="35" t="inlineStr">
        <is>
          <t>кор</t>
        </is>
      </c>
      <c r="X94" s="310" t="n">
        <v>210</v>
      </c>
      <c r="Y94" s="307">
        <f>IFERROR(IF(X94="","",X94),"")</f>
        <v/>
      </c>
      <c r="Z94" s="36">
        <f>IFERROR(IF(X94="","",X94*0.01788),"")</f>
        <v/>
      </c>
      <c r="AA94" s="55" t="n"/>
      <c r="AB94" s="56" t="n"/>
      <c r="AC94" s="124" t="inlineStr">
        <is>
          <t>ЕАЭС N RU Д-RU.РА02.В.49579/23</t>
        </is>
      </c>
      <c r="AD94" s="7">
        <f>X94*G94</f>
        <v/>
      </c>
      <c r="AE94" s="7">
        <f>X94/J94</f>
        <v/>
      </c>
      <c r="AG94" s="66" t="n"/>
      <c r="AJ94" s="69" t="inlineStr">
        <is>
          <t>Короб</t>
        </is>
      </c>
      <c r="AK94" s="69" t="n">
        <v>1</v>
      </c>
      <c r="BB94" s="125" t="inlineStr">
        <is>
          <t>ПГП</t>
        </is>
      </c>
      <c r="BM94" s="66" t="n">
        <v>0</v>
      </c>
      <c r="BN94" s="66" t="n">
        <v>0</v>
      </c>
      <c r="BO94" s="66" t="n">
        <v>0</v>
      </c>
      <c r="BP94" s="66" t="n">
        <v>0</v>
      </c>
    </row>
    <row r="95" ht="27" customHeight="1">
      <c r="A95" s="53" t="inlineStr">
        <is>
          <t>SU003605</t>
        </is>
      </c>
      <c r="B95" s="53" t="inlineStr">
        <is>
          <t>P004595</t>
        </is>
      </c>
      <c r="C95" s="31" t="n">
        <v>4301135571</v>
      </c>
      <c r="D95" s="316" t="n">
        <v>4607111035028</v>
      </c>
      <c r="E95" s="317" t="n"/>
      <c r="F95" s="305" t="n">
        <v>0.48</v>
      </c>
      <c r="G95" s="32" t="n">
        <v>8</v>
      </c>
      <c r="H95" s="305" t="n">
        <v>3.84</v>
      </c>
      <c r="I95" s="305" t="n">
        <v>4.4488</v>
      </c>
      <c r="J95" s="32" t="n">
        <v>70</v>
      </c>
      <c r="K95" s="32" t="inlineStr">
        <is>
          <t>14</t>
        </is>
      </c>
      <c r="L95" s="32" t="inlineStr">
        <is>
          <t>Короб, мин. 1</t>
        </is>
      </c>
      <c r="M95" s="33" t="inlineStr">
        <is>
          <t>МГ</t>
        </is>
      </c>
      <c r="N95" s="33" t="n"/>
      <c r="O95" s="32" t="n">
        <v>180</v>
      </c>
      <c r="P95" s="357" t="inlineStr">
        <is>
          <t>Снеки «Готовые чебупели сочные с мясом» Фикс.вес 0,48 ТМ «Горячая штучка»</t>
        </is>
      </c>
      <c r="Q95" s="313" t="n"/>
      <c r="R95" s="313" t="n"/>
      <c r="S95" s="313" t="n"/>
      <c r="T95" s="314" t="n"/>
      <c r="U95" s="34" t="n"/>
      <c r="V95" s="34" t="n"/>
      <c r="W95" s="35" t="inlineStr">
        <is>
          <t>кор</t>
        </is>
      </c>
      <c r="X95" s="310" t="n"/>
      <c r="Y95" s="307">
        <f>IFERROR(IF(X95="","",X95),"")</f>
        <v/>
      </c>
      <c r="Z95" s="36">
        <f>IFERROR(IF(X95="","",X95*0.01788),"")</f>
        <v/>
      </c>
      <c r="AA95" s="55" t="n"/>
      <c r="AB95" s="56" t="n"/>
      <c r="AC95" s="126" t="inlineStr">
        <is>
          <t>ЕАЭС N RU Д-RU.РА02.В.49579/23</t>
        </is>
      </c>
      <c r="AD95" s="7">
        <f>X95*G95</f>
        <v/>
      </c>
      <c r="AE95" s="7">
        <f>X95/J95</f>
        <v/>
      </c>
      <c r="AG95" s="66" t="n"/>
      <c r="AJ95" s="69" t="inlineStr">
        <is>
          <t>Короб</t>
        </is>
      </c>
      <c r="AK95" s="69" t="n">
        <v>1</v>
      </c>
      <c r="BB95" s="127" t="inlineStr">
        <is>
          <t>ПГП</t>
        </is>
      </c>
      <c r="BM95" s="66" t="n">
        <v>0</v>
      </c>
      <c r="BN95" s="66" t="n">
        <v>0</v>
      </c>
      <c r="BO95" s="66" t="n">
        <v>0</v>
      </c>
      <c r="BP95" s="66" t="n">
        <v>0</v>
      </c>
    </row>
    <row r="96" ht="27" customHeight="1">
      <c r="A96" s="53" t="inlineStr">
        <is>
          <t>SU002293</t>
        </is>
      </c>
      <c r="B96" s="53" t="inlineStr">
        <is>
          <t>P004113</t>
        </is>
      </c>
      <c r="C96" s="31" t="n">
        <v>4301135285</v>
      </c>
      <c r="D96" s="316" t="n">
        <v>4607111036407</v>
      </c>
      <c r="E96" s="317" t="n"/>
      <c r="F96" s="305" t="n">
        <v>0.3</v>
      </c>
      <c r="G96" s="32" t="n">
        <v>14</v>
      </c>
      <c r="H96" s="305" t="n">
        <v>4.2</v>
      </c>
      <c r="I96" s="305" t="n">
        <v>4.5292</v>
      </c>
      <c r="J96" s="32" t="n">
        <v>70</v>
      </c>
      <c r="K96" s="32" t="inlineStr">
        <is>
          <t>14</t>
        </is>
      </c>
      <c r="L96" s="32" t="inlineStr">
        <is>
          <t>Короб, мин. 1</t>
        </is>
      </c>
      <c r="M96" s="33" t="inlineStr">
        <is>
          <t>МГ</t>
        </is>
      </c>
      <c r="N96" s="33" t="n"/>
      <c r="O96" s="32" t="n">
        <v>180</v>
      </c>
      <c r="P96" s="429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/>
      </c>
      <c r="Q96" s="313" t="n"/>
      <c r="R96" s="313" t="n"/>
      <c r="S96" s="313" t="n"/>
      <c r="T96" s="314" t="n"/>
      <c r="U96" s="34" t="n"/>
      <c r="V96" s="34" t="n"/>
      <c r="W96" s="35" t="inlineStr">
        <is>
          <t>кор</t>
        </is>
      </c>
      <c r="X96" s="310" t="n"/>
      <c r="Y96" s="307">
        <f>IFERROR(IF(X96="","",X96),"")</f>
        <v/>
      </c>
      <c r="Z96" s="36">
        <f>IFERROR(IF(X96="","",X96*0.01788),"")</f>
        <v/>
      </c>
      <c r="AA96" s="55" t="n"/>
      <c r="AB96" s="56" t="n"/>
      <c r="AC96" s="128" t="inlineStr">
        <is>
          <t>ЕАЭС N RU Д-RU.РА01.В.78287/24, ЕАЭС N RU Д-RU.РА01.В.92613/21</t>
        </is>
      </c>
      <c r="AD96" s="7">
        <f>X96*G96</f>
        <v/>
      </c>
      <c r="AE96" s="7">
        <f>X96/J96</f>
        <v/>
      </c>
      <c r="AG96" s="66" t="n"/>
      <c r="AJ96" s="69" t="inlineStr">
        <is>
          <t>Короб</t>
        </is>
      </c>
      <c r="AK96" s="69" t="n">
        <v>1</v>
      </c>
      <c r="BB96" s="129" t="inlineStr">
        <is>
          <t>ПГП</t>
        </is>
      </c>
      <c r="BM96" s="66" t="n">
        <v>0</v>
      </c>
      <c r="BN96" s="66" t="n">
        <v>0</v>
      </c>
      <c r="BO96" s="66" t="n">
        <v>0</v>
      </c>
      <c r="BP96" s="66" t="n">
        <v>0</v>
      </c>
    </row>
    <row r="97">
      <c r="A97" s="318" t="n"/>
      <c r="B97" s="319" t="n"/>
      <c r="C97" s="319" t="n"/>
      <c r="D97" s="319" t="n"/>
      <c r="E97" s="319" t="n"/>
      <c r="F97" s="319" t="n"/>
      <c r="G97" s="319" t="n"/>
      <c r="H97" s="319" t="n"/>
      <c r="I97" s="319" t="n"/>
      <c r="J97" s="319" t="n"/>
      <c r="K97" s="319" t="n"/>
      <c r="L97" s="319" t="n"/>
      <c r="M97" s="319" t="n"/>
      <c r="N97" s="319" t="n"/>
      <c r="O97" s="320" t="n"/>
      <c r="P97" s="321" t="inlineStr">
        <is>
          <t>Итого</t>
        </is>
      </c>
      <c r="Q97" s="322" t="n"/>
      <c r="R97" s="322" t="n"/>
      <c r="S97" s="322" t="n"/>
      <c r="T97" s="322" t="n"/>
      <c r="U97" s="322" t="n"/>
      <c r="V97" s="323" t="n"/>
      <c r="W97" s="37" t="inlineStr">
        <is>
          <t>кор</t>
        </is>
      </c>
      <c r="X97" s="311">
        <f>IFERROR(SUM(X91:X96),"0")</f>
        <v/>
      </c>
      <c r="Y97" s="308">
        <f>IFERROR(SUM(Y91:Y96),"0")</f>
        <v/>
      </c>
      <c r="Z97" s="308">
        <f>IFERROR(IF(Z91="",0,Z91),"0")+IFERROR(IF(Z92="",0,Z92),"0")+IFERROR(IF(Z93="",0,Z93),"0")+IFERROR(IF(Z94="",0,Z94),"0")+IFERROR(IF(Z95="",0,Z95),"0")+IFERROR(IF(Z96="",0,Z96),"0")</f>
        <v/>
      </c>
      <c r="AA97" s="309" t="n"/>
      <c r="AB97" s="309" t="n"/>
      <c r="AC97" s="309" t="n"/>
    </row>
    <row r="98">
      <c r="A98" s="319" t="n"/>
      <c r="B98" s="319" t="n"/>
      <c r="C98" s="319" t="n"/>
      <c r="D98" s="319" t="n"/>
      <c r="E98" s="319" t="n"/>
      <c r="F98" s="319" t="n"/>
      <c r="G98" s="319" t="n"/>
      <c r="H98" s="319" t="n"/>
      <c r="I98" s="319" t="n"/>
      <c r="J98" s="319" t="n"/>
      <c r="K98" s="319" t="n"/>
      <c r="L98" s="319" t="n"/>
      <c r="M98" s="319" t="n"/>
      <c r="N98" s="319" t="n"/>
      <c r="O98" s="320" t="n"/>
      <c r="P98" s="321" t="inlineStr">
        <is>
          <t>Итого</t>
        </is>
      </c>
      <c r="Q98" s="322" t="n"/>
      <c r="R98" s="322" t="n"/>
      <c r="S98" s="322" t="n"/>
      <c r="T98" s="322" t="n"/>
      <c r="U98" s="322" t="n"/>
      <c r="V98" s="323" t="n"/>
      <c r="W98" s="37" t="inlineStr">
        <is>
          <t>кг</t>
        </is>
      </c>
      <c r="X98" s="311">
        <f>IFERROR(SUMPRODUCT(X91:X96*H91:H96),"0")</f>
        <v/>
      </c>
      <c r="Y98" s="308">
        <f>IFERROR(SUMPRODUCT(Y91:Y96*H91:H96),"0")</f>
        <v/>
      </c>
      <c r="Z98" s="37" t="n"/>
      <c r="AA98" s="309" t="n"/>
      <c r="AB98" s="309" t="n"/>
      <c r="AC98" s="309" t="n"/>
    </row>
    <row r="99" ht="16.5" customHeight="1">
      <c r="A99" s="324" t="inlineStr">
        <is>
          <t>Чебуреки ГШ</t>
        </is>
      </c>
      <c r="B99" s="319" t="n"/>
      <c r="C99" s="319" t="n"/>
      <c r="D99" s="319" t="n"/>
      <c r="E99" s="319" t="n"/>
      <c r="F99" s="319" t="n"/>
      <c r="G99" s="319" t="n"/>
      <c r="H99" s="319" t="n"/>
      <c r="I99" s="319" t="n"/>
      <c r="J99" s="319" t="n"/>
      <c r="K99" s="319" t="n"/>
      <c r="L99" s="319" t="n"/>
      <c r="M99" s="319" t="n"/>
      <c r="N99" s="319" t="n"/>
      <c r="O99" s="319" t="n"/>
      <c r="P99" s="319" t="n"/>
      <c r="Q99" s="319" t="n"/>
      <c r="R99" s="319" t="n"/>
      <c r="S99" s="319" t="n"/>
      <c r="T99" s="319" t="n"/>
      <c r="U99" s="319" t="n"/>
      <c r="V99" s="319" t="n"/>
      <c r="W99" s="319" t="n"/>
      <c r="X99" s="319" t="n"/>
      <c r="Y99" s="319" t="n"/>
      <c r="Z99" s="319" t="n"/>
      <c r="AA99" s="324" t="n"/>
      <c r="AB99" s="324" t="n"/>
      <c r="AC99" s="324" t="n"/>
    </row>
    <row r="100" ht="14.25" customHeight="1">
      <c r="A100" s="329" t="inlineStr">
        <is>
          <t>Чебуреки</t>
        </is>
      </c>
      <c r="B100" s="319" t="n"/>
      <c r="C100" s="319" t="n"/>
      <c r="D100" s="319" t="n"/>
      <c r="E100" s="319" t="n"/>
      <c r="F100" s="319" t="n"/>
      <c r="G100" s="319" t="n"/>
      <c r="H100" s="319" t="n"/>
      <c r="I100" s="319" t="n"/>
      <c r="J100" s="319" t="n"/>
      <c r="K100" s="319" t="n"/>
      <c r="L100" s="319" t="n"/>
      <c r="M100" s="319" t="n"/>
      <c r="N100" s="319" t="n"/>
      <c r="O100" s="319" t="n"/>
      <c r="P100" s="319" t="n"/>
      <c r="Q100" s="319" t="n"/>
      <c r="R100" s="319" t="n"/>
      <c r="S100" s="319" t="n"/>
      <c r="T100" s="319" t="n"/>
      <c r="U100" s="319" t="n"/>
      <c r="V100" s="319" t="n"/>
      <c r="W100" s="319" t="n"/>
      <c r="X100" s="319" t="n"/>
      <c r="Y100" s="319" t="n"/>
      <c r="Z100" s="319" t="n"/>
      <c r="AA100" s="329" t="n"/>
      <c r="AB100" s="329" t="n"/>
      <c r="AC100" s="329" t="n"/>
    </row>
    <row r="101" ht="27" customHeight="1">
      <c r="A101" s="53" t="inlineStr">
        <is>
          <t>SU002573</t>
        </is>
      </c>
      <c r="B101" s="53" t="inlineStr">
        <is>
          <t>P004138</t>
        </is>
      </c>
      <c r="C101" s="31" t="n">
        <v>4301136070</v>
      </c>
      <c r="D101" s="316" t="n">
        <v>4607025784012</v>
      </c>
      <c r="E101" s="317" t="n"/>
      <c r="F101" s="305" t="n">
        <v>0.09</v>
      </c>
      <c r="G101" s="32" t="n">
        <v>24</v>
      </c>
      <c r="H101" s="305" t="n">
        <v>2.16</v>
      </c>
      <c r="I101" s="305" t="n">
        <v>2.4912</v>
      </c>
      <c r="J101" s="32" t="n">
        <v>126</v>
      </c>
      <c r="K101" s="32" t="inlineStr">
        <is>
          <t>14</t>
        </is>
      </c>
      <c r="L101" s="32" t="inlineStr">
        <is>
          <t>Короб, мин. 1</t>
        </is>
      </c>
      <c r="M101" s="33" t="inlineStr">
        <is>
          <t>МГ</t>
        </is>
      </c>
      <c r="N101" s="33" t="n"/>
      <c r="O101" s="32" t="n">
        <v>180</v>
      </c>
      <c r="P101" s="479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/>
      </c>
      <c r="Q101" s="313" t="n"/>
      <c r="R101" s="313" t="n"/>
      <c r="S101" s="313" t="n"/>
      <c r="T101" s="314" t="n"/>
      <c r="U101" s="34" t="n"/>
      <c r="V101" s="34" t="n"/>
      <c r="W101" s="35" t="inlineStr">
        <is>
          <t>кор</t>
        </is>
      </c>
      <c r="X101" s="310" t="n"/>
      <c r="Y101" s="307">
        <f>IFERROR(IF(X101="","",X101),"")</f>
        <v/>
      </c>
      <c r="Z101" s="36">
        <f>IFERROR(IF(X101="","",X101*0.00936),"")</f>
        <v/>
      </c>
      <c r="AA101" s="55" t="n"/>
      <c r="AB101" s="56" t="n"/>
      <c r="AC101" s="130" t="inlineStr">
        <is>
          <t>ЕАЭС N RU Д-RU.РА01.В.13713/23, ЕАЭС N RU Д-RU.РА05.В.14262/23</t>
        </is>
      </c>
      <c r="AD101" s="7">
        <f>X101*G101</f>
        <v/>
      </c>
      <c r="AE101" s="7">
        <f>X101/J101</f>
        <v/>
      </c>
      <c r="AG101" s="66" t="n"/>
      <c r="AJ101" s="69" t="inlineStr">
        <is>
          <t>Короб</t>
        </is>
      </c>
      <c r="AK101" s="69" t="n">
        <v>1</v>
      </c>
      <c r="BB101" s="131" t="inlineStr">
        <is>
          <t>ПГП</t>
        </is>
      </c>
      <c r="BM101" s="66" t="n">
        <v>0</v>
      </c>
      <c r="BN101" s="66" t="n">
        <v>0</v>
      </c>
      <c r="BO101" s="66" t="n">
        <v>0</v>
      </c>
      <c r="BP101" s="66" t="n">
        <v>0</v>
      </c>
    </row>
    <row r="102" ht="27" customHeight="1">
      <c r="A102" s="53" t="inlineStr">
        <is>
          <t>SU003613</t>
        </is>
      </c>
      <c r="B102" s="53" t="inlineStr">
        <is>
          <t>P004583</t>
        </is>
      </c>
      <c r="C102" s="31" t="n">
        <v>4301136079</v>
      </c>
      <c r="D102" s="316" t="n">
        <v>4607025784319</v>
      </c>
      <c r="E102" s="317" t="n"/>
      <c r="F102" s="305" t="n">
        <v>0.36</v>
      </c>
      <c r="G102" s="32" t="n">
        <v>10</v>
      </c>
      <c r="H102" s="305" t="n">
        <v>3.6</v>
      </c>
      <c r="I102" s="305" t="n">
        <v>4.244</v>
      </c>
      <c r="J102" s="32" t="n">
        <v>70</v>
      </c>
      <c r="K102" s="32" t="inlineStr">
        <is>
          <t>14</t>
        </is>
      </c>
      <c r="L102" s="32" t="inlineStr">
        <is>
          <t>Короб, мин. 1</t>
        </is>
      </c>
      <c r="M102" s="33" t="inlineStr">
        <is>
          <t>МГ</t>
        </is>
      </c>
      <c r="N102" s="33" t="n"/>
      <c r="O102" s="32" t="n">
        <v>180</v>
      </c>
      <c r="P102" s="480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/>
      </c>
      <c r="Q102" s="313" t="n"/>
      <c r="R102" s="313" t="n"/>
      <c r="S102" s="313" t="n"/>
      <c r="T102" s="314" t="n"/>
      <c r="U102" s="34" t="n"/>
      <c r="V102" s="34" t="n"/>
      <c r="W102" s="35" t="inlineStr">
        <is>
          <t>кор</t>
        </is>
      </c>
      <c r="X102" s="310" t="n"/>
      <c r="Y102" s="307">
        <f>IFERROR(IF(X102="","",X102),"")</f>
        <v/>
      </c>
      <c r="Z102" s="36">
        <f>IFERROR(IF(X102="","",X102*0.01788),"")</f>
        <v/>
      </c>
      <c r="AA102" s="55" t="n"/>
      <c r="AB102" s="56" t="n"/>
      <c r="AC102" s="132" t="inlineStr">
        <is>
          <t>ЕАЭС N RU Д-RU.РА02.В.49579/23</t>
        </is>
      </c>
      <c r="AD102" s="7">
        <f>X102*G102</f>
        <v/>
      </c>
      <c r="AE102" s="7">
        <f>X102/J102</f>
        <v/>
      </c>
      <c r="AG102" s="66" t="n"/>
      <c r="AJ102" s="69" t="inlineStr">
        <is>
          <t>Короб</t>
        </is>
      </c>
      <c r="AK102" s="69" t="n">
        <v>1</v>
      </c>
      <c r="BB102" s="133" t="inlineStr">
        <is>
          <t>ПГП</t>
        </is>
      </c>
      <c r="BM102" s="66" t="n">
        <v>0</v>
      </c>
      <c r="BN102" s="66" t="n">
        <v>0</v>
      </c>
      <c r="BO102" s="66" t="n">
        <v>0</v>
      </c>
      <c r="BP102" s="66" t="n">
        <v>0</v>
      </c>
    </row>
    <row r="103">
      <c r="A103" s="318" t="n"/>
      <c r="B103" s="319" t="n"/>
      <c r="C103" s="319" t="n"/>
      <c r="D103" s="319" t="n"/>
      <c r="E103" s="319" t="n"/>
      <c r="F103" s="319" t="n"/>
      <c r="G103" s="319" t="n"/>
      <c r="H103" s="319" t="n"/>
      <c r="I103" s="319" t="n"/>
      <c r="J103" s="319" t="n"/>
      <c r="K103" s="319" t="n"/>
      <c r="L103" s="319" t="n"/>
      <c r="M103" s="319" t="n"/>
      <c r="N103" s="319" t="n"/>
      <c r="O103" s="320" t="n"/>
      <c r="P103" s="321" t="inlineStr">
        <is>
          <t>Итого</t>
        </is>
      </c>
      <c r="Q103" s="322" t="n"/>
      <c r="R103" s="322" t="n"/>
      <c r="S103" s="322" t="n"/>
      <c r="T103" s="322" t="n"/>
      <c r="U103" s="322" t="n"/>
      <c r="V103" s="323" t="n"/>
      <c r="W103" s="37" t="inlineStr">
        <is>
          <t>кор</t>
        </is>
      </c>
      <c r="X103" s="311">
        <f>IFERROR(SUM(X101:X102),"0")</f>
        <v/>
      </c>
      <c r="Y103" s="308">
        <f>IFERROR(SUM(Y101:Y102),"0")</f>
        <v/>
      </c>
      <c r="Z103" s="308">
        <f>IFERROR(IF(Z101="",0,Z101),"0")+IFERROR(IF(Z102="",0,Z102),"0")</f>
        <v/>
      </c>
      <c r="AA103" s="309" t="n"/>
      <c r="AB103" s="309" t="n"/>
      <c r="AC103" s="309" t="n"/>
    </row>
    <row r="104">
      <c r="A104" s="319" t="n"/>
      <c r="B104" s="319" t="n"/>
      <c r="C104" s="319" t="n"/>
      <c r="D104" s="319" t="n"/>
      <c r="E104" s="319" t="n"/>
      <c r="F104" s="319" t="n"/>
      <c r="G104" s="319" t="n"/>
      <c r="H104" s="319" t="n"/>
      <c r="I104" s="319" t="n"/>
      <c r="J104" s="319" t="n"/>
      <c r="K104" s="319" t="n"/>
      <c r="L104" s="319" t="n"/>
      <c r="M104" s="319" t="n"/>
      <c r="N104" s="319" t="n"/>
      <c r="O104" s="320" t="n"/>
      <c r="P104" s="321" t="inlineStr">
        <is>
          <t>Итого</t>
        </is>
      </c>
      <c r="Q104" s="322" t="n"/>
      <c r="R104" s="322" t="n"/>
      <c r="S104" s="322" t="n"/>
      <c r="T104" s="322" t="n"/>
      <c r="U104" s="322" t="n"/>
      <c r="V104" s="323" t="n"/>
      <c r="W104" s="37" t="inlineStr">
        <is>
          <t>кг</t>
        </is>
      </c>
      <c r="X104" s="311">
        <f>IFERROR(SUMPRODUCT(X101:X102*H101:H102),"0")</f>
        <v/>
      </c>
      <c r="Y104" s="308">
        <f>IFERROR(SUMPRODUCT(Y101:Y102*H101:H102),"0")</f>
        <v/>
      </c>
      <c r="Z104" s="37" t="n"/>
      <c r="AA104" s="309" t="n"/>
      <c r="AB104" s="309" t="n"/>
      <c r="AC104" s="309" t="n"/>
    </row>
    <row r="105" ht="16.5" customHeight="1">
      <c r="A105" s="324" t="inlineStr">
        <is>
          <t>Бульмени ГШ</t>
        </is>
      </c>
      <c r="B105" s="319" t="n"/>
      <c r="C105" s="319" t="n"/>
      <c r="D105" s="319" t="n"/>
      <c r="E105" s="319" t="n"/>
      <c r="F105" s="319" t="n"/>
      <c r="G105" s="319" t="n"/>
      <c r="H105" s="319" t="n"/>
      <c r="I105" s="319" t="n"/>
      <c r="J105" s="319" t="n"/>
      <c r="K105" s="319" t="n"/>
      <c r="L105" s="319" t="n"/>
      <c r="M105" s="319" t="n"/>
      <c r="N105" s="319" t="n"/>
      <c r="O105" s="319" t="n"/>
      <c r="P105" s="319" t="n"/>
      <c r="Q105" s="319" t="n"/>
      <c r="R105" s="319" t="n"/>
      <c r="S105" s="319" t="n"/>
      <c r="T105" s="319" t="n"/>
      <c r="U105" s="319" t="n"/>
      <c r="V105" s="319" t="n"/>
      <c r="W105" s="319" t="n"/>
      <c r="X105" s="319" t="n"/>
      <c r="Y105" s="319" t="n"/>
      <c r="Z105" s="319" t="n"/>
      <c r="AA105" s="324" t="n"/>
      <c r="AB105" s="324" t="n"/>
      <c r="AC105" s="324" t="n"/>
    </row>
    <row r="106" ht="14.25" customHeight="1">
      <c r="A106" s="329" t="inlineStr">
        <is>
          <t>Пельмени</t>
        </is>
      </c>
      <c r="B106" s="319" t="n"/>
      <c r="C106" s="319" t="n"/>
      <c r="D106" s="319" t="n"/>
      <c r="E106" s="319" t="n"/>
      <c r="F106" s="319" t="n"/>
      <c r="G106" s="319" t="n"/>
      <c r="H106" s="319" t="n"/>
      <c r="I106" s="319" t="n"/>
      <c r="J106" s="319" t="n"/>
      <c r="K106" s="319" t="n"/>
      <c r="L106" s="319" t="n"/>
      <c r="M106" s="319" t="n"/>
      <c r="N106" s="319" t="n"/>
      <c r="O106" s="319" t="n"/>
      <c r="P106" s="319" t="n"/>
      <c r="Q106" s="319" t="n"/>
      <c r="R106" s="319" t="n"/>
      <c r="S106" s="319" t="n"/>
      <c r="T106" s="319" t="n"/>
      <c r="U106" s="319" t="n"/>
      <c r="V106" s="319" t="n"/>
      <c r="W106" s="319" t="n"/>
      <c r="X106" s="319" t="n"/>
      <c r="Y106" s="319" t="n"/>
      <c r="Z106" s="319" t="n"/>
      <c r="AA106" s="329" t="n"/>
      <c r="AB106" s="329" t="n"/>
      <c r="AC106" s="329" t="n"/>
    </row>
    <row r="107" ht="27" customHeight="1">
      <c r="A107" s="53" t="inlineStr">
        <is>
          <t>SU003717</t>
        </is>
      </c>
      <c r="B107" s="53" t="inlineStr">
        <is>
          <t>P004819</t>
        </is>
      </c>
      <c r="C107" s="31" t="n">
        <v>4301071074</v>
      </c>
      <c r="D107" s="316" t="n">
        <v>4620207491157</v>
      </c>
      <c r="E107" s="317" t="n"/>
      <c r="F107" s="305" t="n">
        <v>0.7</v>
      </c>
      <c r="G107" s="32" t="n">
        <v>10</v>
      </c>
      <c r="H107" s="305" t="n">
        <v>7</v>
      </c>
      <c r="I107" s="305" t="n">
        <v>7.28</v>
      </c>
      <c r="J107" s="32" t="n">
        <v>84</v>
      </c>
      <c r="K107" s="32" t="inlineStr">
        <is>
          <t>12</t>
        </is>
      </c>
      <c r="L107" s="32" t="inlineStr">
        <is>
          <t>Короб, мин. 1</t>
        </is>
      </c>
      <c r="M107" s="33" t="inlineStr">
        <is>
          <t>МГ</t>
        </is>
      </c>
      <c r="N107" s="33" t="n"/>
      <c r="O107" s="32" t="n">
        <v>180</v>
      </c>
      <c r="P107" s="478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/>
      </c>
      <c r="Q107" s="313" t="n"/>
      <c r="R107" s="313" t="n"/>
      <c r="S107" s="313" t="n"/>
      <c r="T107" s="314" t="n"/>
      <c r="U107" s="34" t="n"/>
      <c r="V107" s="34" t="n"/>
      <c r="W107" s="35" t="inlineStr">
        <is>
          <t>кор</t>
        </is>
      </c>
      <c r="X107" s="310" t="n"/>
      <c r="Y107" s="307">
        <f>IFERROR(IF(X107="","",X107),"")</f>
        <v/>
      </c>
      <c r="Z107" s="36">
        <f>IFERROR(IF(X107="","",X107*0.0155),"")</f>
        <v/>
      </c>
      <c r="AA107" s="55" t="n"/>
      <c r="AB107" s="56" t="n"/>
      <c r="AC107" s="134" t="inlineStr">
        <is>
          <t>ЕАЭС N RU Д-RU.РА01.В.70735/25</t>
        </is>
      </c>
      <c r="AD107" s="7">
        <f>X107*G107</f>
        <v/>
      </c>
      <c r="AE107" s="7">
        <f>X107/J107</f>
        <v/>
      </c>
      <c r="AG107" s="66" t="n"/>
      <c r="AJ107" s="69" t="inlineStr">
        <is>
          <t>Короб</t>
        </is>
      </c>
      <c r="AK107" s="69" t="n">
        <v>1</v>
      </c>
      <c r="BB107" s="135" t="inlineStr">
        <is>
          <t>ЗПФ</t>
        </is>
      </c>
      <c r="BM107" s="66" t="n">
        <v>0</v>
      </c>
      <c r="BN107" s="66" t="n">
        <v>0</v>
      </c>
      <c r="BO107" s="66" t="n">
        <v>0</v>
      </c>
      <c r="BP107" s="66" t="n">
        <v>0</v>
      </c>
    </row>
    <row r="108" ht="27" customHeight="1">
      <c r="A108" s="53" t="inlineStr">
        <is>
          <t>SU003527</t>
        </is>
      </c>
      <c r="B108" s="53" t="inlineStr">
        <is>
          <t>P004474</t>
        </is>
      </c>
      <c r="C108" s="31" t="n">
        <v>4301071051</v>
      </c>
      <c r="D108" s="316" t="n">
        <v>4607111039262</v>
      </c>
      <c r="E108" s="317" t="n"/>
      <c r="F108" s="305" t="n">
        <v>0.4</v>
      </c>
      <c r="G108" s="32" t="n">
        <v>16</v>
      </c>
      <c r="H108" s="305" t="n">
        <v>6.4</v>
      </c>
      <c r="I108" s="305" t="n">
        <v>6.7196</v>
      </c>
      <c r="J108" s="32" t="n">
        <v>84</v>
      </c>
      <c r="K108" s="32" t="inlineStr">
        <is>
          <t>12</t>
        </is>
      </c>
      <c r="L108" s="32" t="inlineStr">
        <is>
          <t>Короб, мин. 1</t>
        </is>
      </c>
      <c r="M108" s="33" t="inlineStr">
        <is>
          <t>МГ</t>
        </is>
      </c>
      <c r="N108" s="33" t="n"/>
      <c r="O108" s="32" t="n">
        <v>180</v>
      </c>
      <c r="P108" s="438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/>
      </c>
      <c r="Q108" s="313" t="n"/>
      <c r="R108" s="313" t="n"/>
      <c r="S108" s="313" t="n"/>
      <c r="T108" s="314" t="n"/>
      <c r="U108" s="34" t="n"/>
      <c r="V108" s="34" t="n"/>
      <c r="W108" s="35" t="inlineStr">
        <is>
          <t>кор</t>
        </is>
      </c>
      <c r="X108" s="310" t="n"/>
      <c r="Y108" s="307">
        <f>IFERROR(IF(X108="","",X108),"")</f>
        <v/>
      </c>
      <c r="Z108" s="36">
        <f>IFERROR(IF(X108="","",X108*0.0155),"")</f>
        <v/>
      </c>
      <c r="AA108" s="55" t="n"/>
      <c r="AB108" s="56" t="n"/>
      <c r="AC108" s="136" t="inlineStr">
        <is>
          <t>ЕАЭС N RU Д-RU.РА02.В.13673/23</t>
        </is>
      </c>
      <c r="AD108" s="7">
        <f>X108*G108</f>
        <v/>
      </c>
      <c r="AE108" s="7">
        <f>X108/J108</f>
        <v/>
      </c>
      <c r="AG108" s="66" t="n"/>
      <c r="AJ108" s="69" t="inlineStr">
        <is>
          <t>Короб</t>
        </is>
      </c>
      <c r="AK108" s="69" t="n">
        <v>1</v>
      </c>
      <c r="BB108" s="137" t="inlineStr">
        <is>
          <t>ЗПФ</t>
        </is>
      </c>
      <c r="BM108" s="66" t="n">
        <v>0</v>
      </c>
      <c r="BN108" s="66" t="n">
        <v>0</v>
      </c>
      <c r="BO108" s="66" t="n">
        <v>0</v>
      </c>
      <c r="BP108" s="66" t="n">
        <v>0</v>
      </c>
    </row>
    <row r="109" ht="27" customHeight="1">
      <c r="A109" s="53" t="inlineStr">
        <is>
          <t>SU003460</t>
        </is>
      </c>
      <c r="B109" s="53" t="inlineStr">
        <is>
          <t>P004345</t>
        </is>
      </c>
      <c r="C109" s="31" t="n">
        <v>4301071038</v>
      </c>
      <c r="D109" s="316" t="n">
        <v>4607111039248</v>
      </c>
      <c r="E109" s="317" t="n"/>
      <c r="F109" s="305" t="n">
        <v>0.7</v>
      </c>
      <c r="G109" s="32" t="n">
        <v>10</v>
      </c>
      <c r="H109" s="305" t="n">
        <v>7</v>
      </c>
      <c r="I109" s="305" t="n">
        <v>7.3</v>
      </c>
      <c r="J109" s="32" t="n">
        <v>84</v>
      </c>
      <c r="K109" s="32" t="inlineStr">
        <is>
          <t>12</t>
        </is>
      </c>
      <c r="L109" s="32" t="inlineStr">
        <is>
          <t>Короб, мин. 1</t>
        </is>
      </c>
      <c r="M109" s="33" t="inlineStr">
        <is>
          <t>МГ</t>
        </is>
      </c>
      <c r="N109" s="33" t="n"/>
      <c r="O109" s="32" t="n">
        <v>180</v>
      </c>
      <c r="P109" s="446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/>
      </c>
      <c r="Q109" s="313" t="n"/>
      <c r="R109" s="313" t="n"/>
      <c r="S109" s="313" t="n"/>
      <c r="T109" s="314" t="n"/>
      <c r="U109" s="34" t="n"/>
      <c r="V109" s="34" t="n"/>
      <c r="W109" s="35" t="inlineStr">
        <is>
          <t>кор</t>
        </is>
      </c>
      <c r="X109" s="310" t="n"/>
      <c r="Y109" s="307">
        <f>IFERROR(IF(X109="","",X109),"")</f>
        <v/>
      </c>
      <c r="Z109" s="36">
        <f>IFERROR(IF(X109="","",X109*0.0155),"")</f>
        <v/>
      </c>
      <c r="AA109" s="55" t="n"/>
      <c r="AB109" s="56" t="n"/>
      <c r="AC109" s="138" t="inlineStr">
        <is>
          <t>ЕАЭС N RU Д-RU.РА02.В.13673/23</t>
        </is>
      </c>
      <c r="AD109" s="7">
        <f>X109*G109</f>
        <v/>
      </c>
      <c r="AE109" s="7">
        <f>X109/J109</f>
        <v/>
      </c>
      <c r="AG109" s="66" t="n"/>
      <c r="AJ109" s="69" t="inlineStr">
        <is>
          <t>Короб</t>
        </is>
      </c>
      <c r="AK109" s="69" t="n">
        <v>1</v>
      </c>
      <c r="BB109" s="139" t="inlineStr">
        <is>
          <t>ЗПФ</t>
        </is>
      </c>
      <c r="BM109" s="66" t="n">
        <v>0</v>
      </c>
      <c r="BN109" s="66" t="n">
        <v>0</v>
      </c>
      <c r="BO109" s="66" t="n">
        <v>0</v>
      </c>
      <c r="BP109" s="66" t="n">
        <v>0</v>
      </c>
    </row>
    <row r="110" ht="27" customHeight="1">
      <c r="A110" s="53" t="inlineStr">
        <is>
          <t>SU003528</t>
        </is>
      </c>
      <c r="B110" s="53" t="inlineStr">
        <is>
          <t>P004444</t>
        </is>
      </c>
      <c r="C110" s="31" t="n">
        <v>4301071049</v>
      </c>
      <c r="D110" s="316" t="n">
        <v>4607111039293</v>
      </c>
      <c r="E110" s="317" t="n"/>
      <c r="F110" s="305" t="n">
        <v>0.4</v>
      </c>
      <c r="G110" s="32" t="n">
        <v>16</v>
      </c>
      <c r="H110" s="305" t="n">
        <v>6.4</v>
      </c>
      <c r="I110" s="305" t="n">
        <v>6.7196</v>
      </c>
      <c r="J110" s="32" t="n">
        <v>84</v>
      </c>
      <c r="K110" s="32" t="inlineStr">
        <is>
          <t>12</t>
        </is>
      </c>
      <c r="L110" s="32" t="inlineStr">
        <is>
          <t>Короб, мин. 1</t>
        </is>
      </c>
      <c r="M110" s="33" t="inlineStr">
        <is>
          <t>МГ</t>
        </is>
      </c>
      <c r="N110" s="33" t="n"/>
      <c r="O110" s="32" t="n">
        <v>180</v>
      </c>
      <c r="P110" s="494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/>
      </c>
      <c r="Q110" s="313" t="n"/>
      <c r="R110" s="313" t="n"/>
      <c r="S110" s="313" t="n"/>
      <c r="T110" s="314" t="n"/>
      <c r="U110" s="34" t="n"/>
      <c r="V110" s="34" t="n"/>
      <c r="W110" s="35" t="inlineStr">
        <is>
          <t>кор</t>
        </is>
      </c>
      <c r="X110" s="310" t="n"/>
      <c r="Y110" s="307">
        <f>IFERROR(IF(X110="","",X110),"")</f>
        <v/>
      </c>
      <c r="Z110" s="36">
        <f>IFERROR(IF(X110="","",X110*0.0155),"")</f>
        <v/>
      </c>
      <c r="AA110" s="55" t="n"/>
      <c r="AB110" s="56" t="n"/>
      <c r="AC110" s="140" t="inlineStr">
        <is>
          <t>ЕАЭС N RU Д-RU.РА02.В.13673/23</t>
        </is>
      </c>
      <c r="AD110" s="7">
        <f>X110*G110</f>
        <v/>
      </c>
      <c r="AE110" s="7">
        <f>X110/J110</f>
        <v/>
      </c>
      <c r="AG110" s="66" t="n"/>
      <c r="AJ110" s="69" t="inlineStr">
        <is>
          <t>Короб</t>
        </is>
      </c>
      <c r="AK110" s="69" t="n">
        <v>1</v>
      </c>
      <c r="BB110" s="141" t="inlineStr">
        <is>
          <t>ЗПФ</t>
        </is>
      </c>
      <c r="BM110" s="66" t="n">
        <v>0</v>
      </c>
      <c r="BN110" s="66" t="n">
        <v>0</v>
      </c>
      <c r="BO110" s="66" t="n">
        <v>0</v>
      </c>
      <c r="BP110" s="66" t="n">
        <v>0</v>
      </c>
    </row>
    <row r="111" ht="27" customHeight="1">
      <c r="A111" s="53" t="inlineStr">
        <is>
          <t>SU003459</t>
        </is>
      </c>
      <c r="B111" s="53" t="inlineStr">
        <is>
          <t>P004346</t>
        </is>
      </c>
      <c r="C111" s="31" t="n">
        <v>4301071039</v>
      </c>
      <c r="D111" s="316" t="n">
        <v>4607111039279</v>
      </c>
      <c r="E111" s="317" t="n"/>
      <c r="F111" s="305" t="n">
        <v>0.7</v>
      </c>
      <c r="G111" s="32" t="n">
        <v>10</v>
      </c>
      <c r="H111" s="305" t="n">
        <v>7</v>
      </c>
      <c r="I111" s="305" t="n">
        <v>7.3</v>
      </c>
      <c r="J111" s="32" t="n">
        <v>84</v>
      </c>
      <c r="K111" s="32" t="inlineStr">
        <is>
          <t>12</t>
        </is>
      </c>
      <c r="L111" s="32" t="inlineStr">
        <is>
          <t>Короб, мин. 1</t>
        </is>
      </c>
      <c r="M111" s="33" t="inlineStr">
        <is>
          <t>МГ</t>
        </is>
      </c>
      <c r="N111" s="33" t="n"/>
      <c r="O111" s="32" t="n">
        <v>180</v>
      </c>
      <c r="P111" s="463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/>
      </c>
      <c r="Q111" s="313" t="n"/>
      <c r="R111" s="313" t="n"/>
      <c r="S111" s="313" t="n"/>
      <c r="T111" s="314" t="n"/>
      <c r="U111" s="34" t="n"/>
      <c r="V111" s="34" t="n"/>
      <c r="W111" s="35" t="inlineStr">
        <is>
          <t>кор</t>
        </is>
      </c>
      <c r="X111" s="310" t="n"/>
      <c r="Y111" s="307">
        <f>IFERROR(IF(X111="","",X111),"")</f>
        <v/>
      </c>
      <c r="Z111" s="36">
        <f>IFERROR(IF(X111="","",X111*0.0155),"")</f>
        <v/>
      </c>
      <c r="AA111" s="55" t="n"/>
      <c r="AB111" s="56" t="n"/>
      <c r="AC111" s="142" t="inlineStr">
        <is>
          <t>ЕАЭС N RU Д-RU.РА02.В.13673/23</t>
        </is>
      </c>
      <c r="AD111" s="7">
        <f>X111*G111</f>
        <v/>
      </c>
      <c r="AE111" s="7">
        <f>X111/J111</f>
        <v/>
      </c>
      <c r="AG111" s="66" t="n"/>
      <c r="AJ111" s="69" t="inlineStr">
        <is>
          <t>Короб</t>
        </is>
      </c>
      <c r="AK111" s="69" t="n">
        <v>1</v>
      </c>
      <c r="BB111" s="143" t="inlineStr">
        <is>
          <t>ЗПФ</t>
        </is>
      </c>
      <c r="BM111" s="66" t="n">
        <v>0</v>
      </c>
      <c r="BN111" s="66" t="n">
        <v>0</v>
      </c>
      <c r="BO111" s="66" t="n">
        <v>0</v>
      </c>
      <c r="BP111" s="66" t="n">
        <v>0</v>
      </c>
    </row>
    <row r="112">
      <c r="A112" s="318" t="n"/>
      <c r="B112" s="319" t="n"/>
      <c r="C112" s="319" t="n"/>
      <c r="D112" s="319" t="n"/>
      <c r="E112" s="319" t="n"/>
      <c r="F112" s="319" t="n"/>
      <c r="G112" s="319" t="n"/>
      <c r="H112" s="319" t="n"/>
      <c r="I112" s="319" t="n"/>
      <c r="J112" s="319" t="n"/>
      <c r="K112" s="319" t="n"/>
      <c r="L112" s="319" t="n"/>
      <c r="M112" s="319" t="n"/>
      <c r="N112" s="319" t="n"/>
      <c r="O112" s="320" t="n"/>
      <c r="P112" s="321" t="inlineStr">
        <is>
          <t>Итого</t>
        </is>
      </c>
      <c r="Q112" s="322" t="n"/>
      <c r="R112" s="322" t="n"/>
      <c r="S112" s="322" t="n"/>
      <c r="T112" s="322" t="n"/>
      <c r="U112" s="322" t="n"/>
      <c r="V112" s="323" t="n"/>
      <c r="W112" s="37" t="inlineStr">
        <is>
          <t>кор</t>
        </is>
      </c>
      <c r="X112" s="311">
        <f>IFERROR(SUM(X107:X111),"0")</f>
        <v/>
      </c>
      <c r="Y112" s="308">
        <f>IFERROR(SUM(Y107:Y111),"0")</f>
        <v/>
      </c>
      <c r="Z112" s="308">
        <f>IFERROR(IF(Z107="",0,Z107),"0")+IFERROR(IF(Z108="",0,Z108),"0")+IFERROR(IF(Z109="",0,Z109),"0")+IFERROR(IF(Z110="",0,Z110),"0")+IFERROR(IF(Z111="",0,Z111),"0")</f>
        <v/>
      </c>
      <c r="AA112" s="309" t="n"/>
      <c r="AB112" s="309" t="n"/>
      <c r="AC112" s="309" t="n"/>
    </row>
    <row r="113">
      <c r="A113" s="319" t="n"/>
      <c r="B113" s="319" t="n"/>
      <c r="C113" s="319" t="n"/>
      <c r="D113" s="319" t="n"/>
      <c r="E113" s="319" t="n"/>
      <c r="F113" s="319" t="n"/>
      <c r="G113" s="319" t="n"/>
      <c r="H113" s="319" t="n"/>
      <c r="I113" s="319" t="n"/>
      <c r="J113" s="319" t="n"/>
      <c r="K113" s="319" t="n"/>
      <c r="L113" s="319" t="n"/>
      <c r="M113" s="319" t="n"/>
      <c r="N113" s="319" t="n"/>
      <c r="O113" s="320" t="n"/>
      <c r="P113" s="321" t="inlineStr">
        <is>
          <t>Итого</t>
        </is>
      </c>
      <c r="Q113" s="322" t="n"/>
      <c r="R113" s="322" t="n"/>
      <c r="S113" s="322" t="n"/>
      <c r="T113" s="322" t="n"/>
      <c r="U113" s="322" t="n"/>
      <c r="V113" s="323" t="n"/>
      <c r="W113" s="37" t="inlineStr">
        <is>
          <t>кг</t>
        </is>
      </c>
      <c r="X113" s="311">
        <f>IFERROR(SUMPRODUCT(X107:X111*H107:H111),"0")</f>
        <v/>
      </c>
      <c r="Y113" s="308">
        <f>IFERROR(SUMPRODUCT(Y107:Y111*H107:H111),"0")</f>
        <v/>
      </c>
      <c r="Z113" s="37" t="n"/>
      <c r="AA113" s="309" t="n"/>
      <c r="AB113" s="309" t="n"/>
      <c r="AC113" s="309" t="n"/>
    </row>
    <row r="114" ht="14.25" customHeight="1">
      <c r="A114" s="329" t="inlineStr">
        <is>
          <t>Снеки</t>
        </is>
      </c>
      <c r="B114" s="319" t="n"/>
      <c r="C114" s="319" t="n"/>
      <c r="D114" s="319" t="n"/>
      <c r="E114" s="319" t="n"/>
      <c r="F114" s="319" t="n"/>
      <c r="G114" s="319" t="n"/>
      <c r="H114" s="319" t="n"/>
      <c r="I114" s="319" t="n"/>
      <c r="J114" s="319" t="n"/>
      <c r="K114" s="319" t="n"/>
      <c r="L114" s="319" t="n"/>
      <c r="M114" s="319" t="n"/>
      <c r="N114" s="319" t="n"/>
      <c r="O114" s="319" t="n"/>
      <c r="P114" s="319" t="n"/>
      <c r="Q114" s="319" t="n"/>
      <c r="R114" s="319" t="n"/>
      <c r="S114" s="319" t="n"/>
      <c r="T114" s="319" t="n"/>
      <c r="U114" s="319" t="n"/>
      <c r="V114" s="319" t="n"/>
      <c r="W114" s="319" t="n"/>
      <c r="X114" s="319" t="n"/>
      <c r="Y114" s="319" t="n"/>
      <c r="Z114" s="319" t="n"/>
      <c r="AA114" s="329" t="n"/>
      <c r="AB114" s="329" t="n"/>
      <c r="AC114" s="329" t="n"/>
    </row>
    <row r="115" ht="27" customHeight="1">
      <c r="A115" s="53" t="inlineStr">
        <is>
          <t>SU003727</t>
        </is>
      </c>
      <c r="B115" s="53" t="inlineStr">
        <is>
          <t>P004749</t>
        </is>
      </c>
      <c r="C115" s="31" t="n">
        <v>4301135670</v>
      </c>
      <c r="D115" s="316" t="n">
        <v>4620207490983</v>
      </c>
      <c r="E115" s="317" t="n"/>
      <c r="F115" s="305" t="n">
        <v>0.22</v>
      </c>
      <c r="G115" s="32" t="n">
        <v>12</v>
      </c>
      <c r="H115" s="305" t="n">
        <v>2.64</v>
      </c>
      <c r="I115" s="305" t="n">
        <v>3.3436</v>
      </c>
      <c r="J115" s="32" t="n">
        <v>70</v>
      </c>
      <c r="K115" s="32" t="inlineStr">
        <is>
          <t>14</t>
        </is>
      </c>
      <c r="L115" s="32" t="inlineStr">
        <is>
          <t>Короб, мин. 1</t>
        </is>
      </c>
      <c r="M115" s="33" t="inlineStr">
        <is>
          <t>МГ</t>
        </is>
      </c>
      <c r="N115" s="33" t="n"/>
      <c r="O115" s="32" t="n">
        <v>180</v>
      </c>
      <c r="P115" s="422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/>
      </c>
      <c r="Q115" s="313" t="n"/>
      <c r="R115" s="313" t="n"/>
      <c r="S115" s="313" t="n"/>
      <c r="T115" s="314" t="n"/>
      <c r="U115" s="34" t="n"/>
      <c r="V115" s="34" t="n"/>
      <c r="W115" s="35" t="inlineStr">
        <is>
          <t>кор</t>
        </is>
      </c>
      <c r="X115" s="310" t="n">
        <v>0</v>
      </c>
      <c r="Y115" s="307">
        <f>IFERROR(IF(X115="","",X115),"")</f>
        <v/>
      </c>
      <c r="Z115" s="36">
        <f>IFERROR(IF(X115="","",X115*0.01788),"")</f>
        <v/>
      </c>
      <c r="AA115" s="55" t="n"/>
      <c r="AB115" s="56" t="n"/>
      <c r="AC115" s="144" t="inlineStr">
        <is>
          <t>ЕАЭС N RU Д-RU.РА01.В.73804/25</t>
        </is>
      </c>
      <c r="AD115" s="7">
        <f>X115*G115</f>
        <v/>
      </c>
      <c r="AE115" s="7">
        <f>X115/J115</f>
        <v/>
      </c>
      <c r="AG115" s="66" t="n"/>
      <c r="AJ115" s="69" t="inlineStr">
        <is>
          <t>Короб</t>
        </is>
      </c>
      <c r="AK115" s="69" t="n">
        <v>1</v>
      </c>
      <c r="BB115" s="145" t="inlineStr">
        <is>
          <t>ПГП</t>
        </is>
      </c>
      <c r="BM115" s="66" t="n">
        <v>0</v>
      </c>
      <c r="BN115" s="66" t="n">
        <v>0</v>
      </c>
      <c r="BO115" s="66" t="n">
        <v>0</v>
      </c>
      <c r="BP115" s="66" t="n">
        <v>0</v>
      </c>
    </row>
    <row r="116">
      <c r="A116" s="318" t="n"/>
      <c r="B116" s="319" t="n"/>
      <c r="C116" s="319" t="n"/>
      <c r="D116" s="319" t="n"/>
      <c r="E116" s="319" t="n"/>
      <c r="F116" s="319" t="n"/>
      <c r="G116" s="319" t="n"/>
      <c r="H116" s="319" t="n"/>
      <c r="I116" s="319" t="n"/>
      <c r="J116" s="319" t="n"/>
      <c r="K116" s="319" t="n"/>
      <c r="L116" s="319" t="n"/>
      <c r="M116" s="319" t="n"/>
      <c r="N116" s="319" t="n"/>
      <c r="O116" s="320" t="n"/>
      <c r="P116" s="321" t="inlineStr">
        <is>
          <t>Итого</t>
        </is>
      </c>
      <c r="Q116" s="322" t="n"/>
      <c r="R116" s="322" t="n"/>
      <c r="S116" s="322" t="n"/>
      <c r="T116" s="322" t="n"/>
      <c r="U116" s="322" t="n"/>
      <c r="V116" s="323" t="n"/>
      <c r="W116" s="37" t="inlineStr">
        <is>
          <t>кор</t>
        </is>
      </c>
      <c r="X116" s="311">
        <f>IFERROR(SUM(X115:X115),"0")</f>
        <v/>
      </c>
      <c r="Y116" s="308">
        <f>IFERROR(SUM(Y115:Y115),"0")</f>
        <v/>
      </c>
      <c r="Z116" s="308">
        <f>IFERROR(IF(Z115="",0,Z115),"0")</f>
        <v/>
      </c>
      <c r="AA116" s="309" t="n"/>
      <c r="AB116" s="309" t="n"/>
      <c r="AC116" s="309" t="n"/>
    </row>
    <row r="117">
      <c r="A117" s="319" t="n"/>
      <c r="B117" s="319" t="n"/>
      <c r="C117" s="319" t="n"/>
      <c r="D117" s="319" t="n"/>
      <c r="E117" s="319" t="n"/>
      <c r="F117" s="319" t="n"/>
      <c r="G117" s="319" t="n"/>
      <c r="H117" s="319" t="n"/>
      <c r="I117" s="319" t="n"/>
      <c r="J117" s="319" t="n"/>
      <c r="K117" s="319" t="n"/>
      <c r="L117" s="319" t="n"/>
      <c r="M117" s="319" t="n"/>
      <c r="N117" s="319" t="n"/>
      <c r="O117" s="320" t="n"/>
      <c r="P117" s="321" t="inlineStr">
        <is>
          <t>Итого</t>
        </is>
      </c>
      <c r="Q117" s="322" t="n"/>
      <c r="R117" s="322" t="n"/>
      <c r="S117" s="322" t="n"/>
      <c r="T117" s="322" t="n"/>
      <c r="U117" s="322" t="n"/>
      <c r="V117" s="323" t="n"/>
      <c r="W117" s="37" t="inlineStr">
        <is>
          <t>кг</t>
        </is>
      </c>
      <c r="X117" s="311">
        <f>IFERROR(SUMPRODUCT(X115:X115*H115:H115),"0")</f>
        <v/>
      </c>
      <c r="Y117" s="308">
        <f>IFERROR(SUMPRODUCT(Y115:Y115*H115:H115),"0")</f>
        <v/>
      </c>
      <c r="Z117" s="37" t="n"/>
      <c r="AA117" s="309" t="n"/>
      <c r="AB117" s="309" t="n"/>
      <c r="AC117" s="309" t="n"/>
    </row>
    <row r="118" ht="14.25" customHeight="1">
      <c r="A118" s="329" t="inlineStr">
        <is>
          <t>Пельмени ПГП</t>
        </is>
      </c>
      <c r="B118" s="319" t="n"/>
      <c r="C118" s="319" t="n"/>
      <c r="D118" s="319" t="n"/>
      <c r="E118" s="319" t="n"/>
      <c r="F118" s="319" t="n"/>
      <c r="G118" s="319" t="n"/>
      <c r="H118" s="319" t="n"/>
      <c r="I118" s="319" t="n"/>
      <c r="J118" s="319" t="n"/>
      <c r="K118" s="319" t="n"/>
      <c r="L118" s="319" t="n"/>
      <c r="M118" s="319" t="n"/>
      <c r="N118" s="319" t="n"/>
      <c r="O118" s="319" t="n"/>
      <c r="P118" s="319" t="n"/>
      <c r="Q118" s="319" t="n"/>
      <c r="R118" s="319" t="n"/>
      <c r="S118" s="319" t="n"/>
      <c r="T118" s="319" t="n"/>
      <c r="U118" s="319" t="n"/>
      <c r="V118" s="319" t="n"/>
      <c r="W118" s="319" t="n"/>
      <c r="X118" s="319" t="n"/>
      <c r="Y118" s="319" t="n"/>
      <c r="Z118" s="319" t="n"/>
      <c r="AA118" s="329" t="n"/>
      <c r="AB118" s="329" t="n"/>
      <c r="AC118" s="329" t="n"/>
    </row>
    <row r="119" ht="27" customHeight="1">
      <c r="A119" s="53" t="inlineStr">
        <is>
          <t>SU003845</t>
        </is>
      </c>
      <c r="B119" s="53" t="inlineStr">
        <is>
          <t>P004909</t>
        </is>
      </c>
      <c r="C119" s="31" t="n">
        <v>4301071094</v>
      </c>
      <c r="D119" s="316" t="n">
        <v>4620207491140</v>
      </c>
      <c r="E119" s="317" t="n"/>
      <c r="F119" s="305" t="n">
        <v>0.6</v>
      </c>
      <c r="G119" s="32" t="n">
        <v>10</v>
      </c>
      <c r="H119" s="305" t="n">
        <v>6</v>
      </c>
      <c r="I119" s="305" t="n">
        <v>6.28</v>
      </c>
      <c r="J119" s="32" t="n">
        <v>84</v>
      </c>
      <c r="K119" s="32" t="inlineStr">
        <is>
          <t>12</t>
        </is>
      </c>
      <c r="L119" s="32" t="inlineStr">
        <is>
          <t>Короб, мин. 1</t>
        </is>
      </c>
      <c r="M119" s="33" t="inlineStr">
        <is>
          <t>МГ</t>
        </is>
      </c>
      <c r="N119" s="33" t="n"/>
      <c r="O119" s="32" t="n">
        <v>180</v>
      </c>
      <c r="P119" s="395" t="inlineStr">
        <is>
          <t>Пельмени ПГП «Пельмени Бульмени Нейробуст с мясом» Фикс.вес 0,6 сфера ТМ «Горячая штучка»</t>
        </is>
      </c>
      <c r="Q119" s="313" t="n"/>
      <c r="R119" s="313" t="n"/>
      <c r="S119" s="313" t="n"/>
      <c r="T119" s="314" t="n"/>
      <c r="U119" s="34" t="n"/>
      <c r="V119" s="34" t="n"/>
      <c r="W119" s="35" t="inlineStr">
        <is>
          <t>кор</t>
        </is>
      </c>
      <c r="X119" s="310" t="n"/>
      <c r="Y119" s="307">
        <f>IFERROR(IF(X119="","",X119),"")</f>
        <v/>
      </c>
      <c r="Z119" s="36">
        <f>IFERROR(IF(X119="","",X119*0.0155),"")</f>
        <v/>
      </c>
      <c r="AA119" s="55" t="n"/>
      <c r="AB119" s="56" t="n"/>
      <c r="AC119" s="146" t="inlineStr">
        <is>
          <t>ЕАЭС N RU Д-RU.РА04.В.40597/25</t>
        </is>
      </c>
      <c r="AD119" s="7">
        <f>X119*G119</f>
        <v/>
      </c>
      <c r="AE119" s="7">
        <f>X119/J119</f>
        <v/>
      </c>
      <c r="AG119" s="66" t="n"/>
      <c r="AJ119" s="69" t="inlineStr">
        <is>
          <t>Короб</t>
        </is>
      </c>
      <c r="AK119" s="69" t="n">
        <v>1</v>
      </c>
      <c r="BB119" s="147" t="inlineStr">
        <is>
          <t>ПГП</t>
        </is>
      </c>
      <c r="BM119" s="66" t="n">
        <v>0</v>
      </c>
      <c r="BN119" s="66" t="n">
        <v>0</v>
      </c>
      <c r="BO119" s="66" t="n">
        <v>0</v>
      </c>
      <c r="BP119" s="66" t="n">
        <v>0</v>
      </c>
    </row>
    <row r="120">
      <c r="A120" s="318" t="n"/>
      <c r="B120" s="319" t="n"/>
      <c r="C120" s="319" t="n"/>
      <c r="D120" s="319" t="n"/>
      <c r="E120" s="319" t="n"/>
      <c r="F120" s="319" t="n"/>
      <c r="G120" s="319" t="n"/>
      <c r="H120" s="319" t="n"/>
      <c r="I120" s="319" t="n"/>
      <c r="J120" s="319" t="n"/>
      <c r="K120" s="319" t="n"/>
      <c r="L120" s="319" t="n"/>
      <c r="M120" s="319" t="n"/>
      <c r="N120" s="319" t="n"/>
      <c r="O120" s="320" t="n"/>
      <c r="P120" s="321" t="inlineStr">
        <is>
          <t>Итого</t>
        </is>
      </c>
      <c r="Q120" s="322" t="n"/>
      <c r="R120" s="322" t="n"/>
      <c r="S120" s="322" t="n"/>
      <c r="T120" s="322" t="n"/>
      <c r="U120" s="322" t="n"/>
      <c r="V120" s="323" t="n"/>
      <c r="W120" s="37" t="inlineStr">
        <is>
          <t>кор</t>
        </is>
      </c>
      <c r="X120" s="311">
        <f>IFERROR(SUM(X119:X119),"0")</f>
        <v/>
      </c>
      <c r="Y120" s="308">
        <f>IFERROR(SUM(Y119:Y119),"0")</f>
        <v/>
      </c>
      <c r="Z120" s="308">
        <f>IFERROR(IF(Z119="",0,Z119),"0")</f>
        <v/>
      </c>
      <c r="AA120" s="309" t="n"/>
      <c r="AB120" s="309" t="n"/>
      <c r="AC120" s="309" t="n"/>
    </row>
    <row r="121">
      <c r="A121" s="319" t="n"/>
      <c r="B121" s="319" t="n"/>
      <c r="C121" s="319" t="n"/>
      <c r="D121" s="319" t="n"/>
      <c r="E121" s="319" t="n"/>
      <c r="F121" s="319" t="n"/>
      <c r="G121" s="319" t="n"/>
      <c r="H121" s="319" t="n"/>
      <c r="I121" s="319" t="n"/>
      <c r="J121" s="319" t="n"/>
      <c r="K121" s="319" t="n"/>
      <c r="L121" s="319" t="n"/>
      <c r="M121" s="319" t="n"/>
      <c r="N121" s="319" t="n"/>
      <c r="O121" s="320" t="n"/>
      <c r="P121" s="321" t="inlineStr">
        <is>
          <t>Итого</t>
        </is>
      </c>
      <c r="Q121" s="322" t="n"/>
      <c r="R121" s="322" t="n"/>
      <c r="S121" s="322" t="n"/>
      <c r="T121" s="322" t="n"/>
      <c r="U121" s="322" t="n"/>
      <c r="V121" s="323" t="n"/>
      <c r="W121" s="37" t="inlineStr">
        <is>
          <t>кг</t>
        </is>
      </c>
      <c r="X121" s="311">
        <f>IFERROR(SUMPRODUCT(X119:X119*H119:H119),"0")</f>
        <v/>
      </c>
      <c r="Y121" s="308">
        <f>IFERROR(SUMPRODUCT(Y119:Y119*H119:H119),"0")</f>
        <v/>
      </c>
      <c r="Z121" s="37" t="n"/>
      <c r="AA121" s="309" t="n"/>
      <c r="AB121" s="309" t="n"/>
      <c r="AC121" s="309" t="n"/>
    </row>
    <row r="122" ht="16.5" customHeight="1">
      <c r="A122" s="324" t="inlineStr">
        <is>
          <t>Чебупицца</t>
        </is>
      </c>
      <c r="B122" s="319" t="n"/>
      <c r="C122" s="319" t="n"/>
      <c r="D122" s="319" t="n"/>
      <c r="E122" s="319" t="n"/>
      <c r="F122" s="319" t="n"/>
      <c r="G122" s="319" t="n"/>
      <c r="H122" s="319" t="n"/>
      <c r="I122" s="319" t="n"/>
      <c r="J122" s="319" t="n"/>
      <c r="K122" s="319" t="n"/>
      <c r="L122" s="319" t="n"/>
      <c r="M122" s="319" t="n"/>
      <c r="N122" s="319" t="n"/>
      <c r="O122" s="319" t="n"/>
      <c r="P122" s="319" t="n"/>
      <c r="Q122" s="319" t="n"/>
      <c r="R122" s="319" t="n"/>
      <c r="S122" s="319" t="n"/>
      <c r="T122" s="319" t="n"/>
      <c r="U122" s="319" t="n"/>
      <c r="V122" s="319" t="n"/>
      <c r="W122" s="319" t="n"/>
      <c r="X122" s="319" t="n"/>
      <c r="Y122" s="319" t="n"/>
      <c r="Z122" s="319" t="n"/>
      <c r="AA122" s="324" t="n"/>
      <c r="AB122" s="324" t="n"/>
      <c r="AC122" s="324" t="n"/>
    </row>
    <row r="123" ht="14.25" customHeight="1">
      <c r="A123" s="329" t="inlineStr">
        <is>
          <t>Снеки</t>
        </is>
      </c>
      <c r="B123" s="319" t="n"/>
      <c r="C123" s="319" t="n"/>
      <c r="D123" s="319" t="n"/>
      <c r="E123" s="319" t="n"/>
      <c r="F123" s="319" t="n"/>
      <c r="G123" s="319" t="n"/>
      <c r="H123" s="319" t="n"/>
      <c r="I123" s="319" t="n"/>
      <c r="J123" s="319" t="n"/>
      <c r="K123" s="319" t="n"/>
      <c r="L123" s="319" t="n"/>
      <c r="M123" s="319" t="n"/>
      <c r="N123" s="319" t="n"/>
      <c r="O123" s="319" t="n"/>
      <c r="P123" s="319" t="n"/>
      <c r="Q123" s="319" t="n"/>
      <c r="R123" s="319" t="n"/>
      <c r="S123" s="319" t="n"/>
      <c r="T123" s="319" t="n"/>
      <c r="U123" s="319" t="n"/>
      <c r="V123" s="319" t="n"/>
      <c r="W123" s="319" t="n"/>
      <c r="X123" s="319" t="n"/>
      <c r="Y123" s="319" t="n"/>
      <c r="Z123" s="319" t="n"/>
      <c r="AA123" s="329" t="n"/>
      <c r="AB123" s="329" t="n"/>
      <c r="AC123" s="329" t="n"/>
    </row>
    <row r="124" ht="27" customHeight="1">
      <c r="A124" s="53" t="inlineStr">
        <is>
          <t>SU003578</t>
        </is>
      </c>
      <c r="B124" s="53" t="inlineStr">
        <is>
          <t>P004484</t>
        </is>
      </c>
      <c r="C124" s="31" t="n">
        <v>4301135555</v>
      </c>
      <c r="D124" s="316" t="n">
        <v>4607111034014</v>
      </c>
      <c r="E124" s="317" t="n"/>
      <c r="F124" s="305" t="n">
        <v>0.25</v>
      </c>
      <c r="G124" s="32" t="n">
        <v>12</v>
      </c>
      <c r="H124" s="305" t="n">
        <v>3</v>
      </c>
      <c r="I124" s="305" t="n">
        <v>3.7036</v>
      </c>
      <c r="J124" s="32" t="n">
        <v>70</v>
      </c>
      <c r="K124" s="32" t="inlineStr">
        <is>
          <t>14</t>
        </is>
      </c>
      <c r="L124" s="32" t="inlineStr">
        <is>
          <t>Короб, мин. 1</t>
        </is>
      </c>
      <c r="M124" s="33" t="inlineStr">
        <is>
          <t>МГ</t>
        </is>
      </c>
      <c r="N124" s="33" t="n"/>
      <c r="O124" s="32" t="n">
        <v>180</v>
      </c>
      <c r="P124" s="507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/>
      </c>
      <c r="Q124" s="313" t="n"/>
      <c r="R124" s="313" t="n"/>
      <c r="S124" s="313" t="n"/>
      <c r="T124" s="314" t="n"/>
      <c r="U124" s="34" t="n"/>
      <c r="V124" s="34" t="n"/>
      <c r="W124" s="35" t="inlineStr">
        <is>
          <t>кор</t>
        </is>
      </c>
      <c r="X124" s="310" t="n">
        <v>140</v>
      </c>
      <c r="Y124" s="307">
        <f>IFERROR(IF(X124="","",X124),"")</f>
        <v/>
      </c>
      <c r="Z124" s="36">
        <f>IFERROR(IF(X124="","",X124*0.01788),"")</f>
        <v/>
      </c>
      <c r="AA124" s="55" t="n"/>
      <c r="AB124" s="56" t="n"/>
      <c r="AC124" s="148" t="inlineStr">
        <is>
          <t>ЕАЭС N RU Д-RU.РА10.В.33475/23</t>
        </is>
      </c>
      <c r="AD124" s="7">
        <f>X124*G124</f>
        <v/>
      </c>
      <c r="AE124" s="7">
        <f>X124/J124</f>
        <v/>
      </c>
      <c r="AG124" s="66" t="n"/>
      <c r="AJ124" s="69" t="inlineStr">
        <is>
          <t>Короб</t>
        </is>
      </c>
      <c r="AK124" s="69" t="n">
        <v>1</v>
      </c>
      <c r="BB124" s="149" t="inlineStr">
        <is>
          <t>ПГП</t>
        </is>
      </c>
      <c r="BM124" s="66" t="n">
        <v>0</v>
      </c>
      <c r="BN124" s="66" t="n">
        <v>0</v>
      </c>
      <c r="BO124" s="66" t="n">
        <v>0</v>
      </c>
      <c r="BP124" s="66" t="n">
        <v>0</v>
      </c>
    </row>
    <row r="125" ht="27" customHeight="1">
      <c r="A125" s="53" t="inlineStr">
        <is>
          <t>SU003580</t>
        </is>
      </c>
      <c r="B125" s="53" t="inlineStr">
        <is>
          <t>P004486</t>
        </is>
      </c>
      <c r="C125" s="31" t="n">
        <v>4301135532</v>
      </c>
      <c r="D125" s="316" t="n">
        <v>4607111033994</v>
      </c>
      <c r="E125" s="317" t="n"/>
      <c r="F125" s="305" t="n">
        <v>0.25</v>
      </c>
      <c r="G125" s="32" t="n">
        <v>12</v>
      </c>
      <c r="H125" s="305" t="n">
        <v>3</v>
      </c>
      <c r="I125" s="305" t="n">
        <v>3.7036</v>
      </c>
      <c r="J125" s="32" t="n">
        <v>70</v>
      </c>
      <c r="K125" s="32" t="inlineStr">
        <is>
          <t>14</t>
        </is>
      </c>
      <c r="L125" s="32" t="inlineStr">
        <is>
          <t>Короб, мин. 1</t>
        </is>
      </c>
      <c r="M125" s="33" t="inlineStr">
        <is>
          <t>МГ</t>
        </is>
      </c>
      <c r="N125" s="33" t="n"/>
      <c r="O125" s="32" t="n">
        <v>180</v>
      </c>
      <c r="P125" s="466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/>
      </c>
      <c r="Q125" s="313" t="n"/>
      <c r="R125" s="313" t="n"/>
      <c r="S125" s="313" t="n"/>
      <c r="T125" s="314" t="n"/>
      <c r="U125" s="34" t="n"/>
      <c r="V125" s="34" t="n"/>
      <c r="W125" s="35" t="inlineStr">
        <is>
          <t>кор</t>
        </is>
      </c>
      <c r="X125" s="310" t="n">
        <v>70</v>
      </c>
      <c r="Y125" s="307">
        <f>IFERROR(IF(X125="","",X125),"")</f>
        <v/>
      </c>
      <c r="Z125" s="36">
        <f>IFERROR(IF(X125="","",X125*0.01788),"")</f>
        <v/>
      </c>
      <c r="AA125" s="55" t="n"/>
      <c r="AB125" s="56" t="n"/>
      <c r="AC125" s="150" t="inlineStr">
        <is>
          <t>ЕАЭС N RU Д-RU.РА02.В.49579/23</t>
        </is>
      </c>
      <c r="AD125" s="7">
        <f>X125*G125</f>
        <v/>
      </c>
      <c r="AE125" s="7">
        <f>X125/J125</f>
        <v/>
      </c>
      <c r="AG125" s="66" t="n"/>
      <c r="AJ125" s="69" t="inlineStr">
        <is>
          <t>Короб</t>
        </is>
      </c>
      <c r="AK125" s="69" t="n">
        <v>1</v>
      </c>
      <c r="BB125" s="151" t="inlineStr">
        <is>
          <t>ПГП</t>
        </is>
      </c>
      <c r="BM125" s="66" t="n">
        <v>0</v>
      </c>
      <c r="BN125" s="66" t="n">
        <v>0</v>
      </c>
      <c r="BO125" s="66" t="n">
        <v>0</v>
      </c>
      <c r="BP125" s="66" t="n">
        <v>0</v>
      </c>
    </row>
    <row r="126">
      <c r="A126" s="318" t="n"/>
      <c r="B126" s="319" t="n"/>
      <c r="C126" s="319" t="n"/>
      <c r="D126" s="319" t="n"/>
      <c r="E126" s="319" t="n"/>
      <c r="F126" s="319" t="n"/>
      <c r="G126" s="319" t="n"/>
      <c r="H126" s="319" t="n"/>
      <c r="I126" s="319" t="n"/>
      <c r="J126" s="319" t="n"/>
      <c r="K126" s="319" t="n"/>
      <c r="L126" s="319" t="n"/>
      <c r="M126" s="319" t="n"/>
      <c r="N126" s="319" t="n"/>
      <c r="O126" s="320" t="n"/>
      <c r="P126" s="321" t="inlineStr">
        <is>
          <t>Итого</t>
        </is>
      </c>
      <c r="Q126" s="322" t="n"/>
      <c r="R126" s="322" t="n"/>
      <c r="S126" s="322" t="n"/>
      <c r="T126" s="322" t="n"/>
      <c r="U126" s="322" t="n"/>
      <c r="V126" s="323" t="n"/>
      <c r="W126" s="37" t="inlineStr">
        <is>
          <t>кор</t>
        </is>
      </c>
      <c r="X126" s="311">
        <f>IFERROR(SUM(X124:X125),"0")</f>
        <v/>
      </c>
      <c r="Y126" s="308">
        <f>IFERROR(SUM(Y124:Y125),"0")</f>
        <v/>
      </c>
      <c r="Z126" s="308">
        <f>IFERROR(IF(Z124="",0,Z124),"0")+IFERROR(IF(Z125="",0,Z125),"0")</f>
        <v/>
      </c>
      <c r="AA126" s="309" t="n"/>
      <c r="AB126" s="309" t="n"/>
      <c r="AC126" s="309" t="n"/>
    </row>
    <row r="127">
      <c r="A127" s="319" t="n"/>
      <c r="B127" s="319" t="n"/>
      <c r="C127" s="319" t="n"/>
      <c r="D127" s="319" t="n"/>
      <c r="E127" s="319" t="n"/>
      <c r="F127" s="319" t="n"/>
      <c r="G127" s="319" t="n"/>
      <c r="H127" s="319" t="n"/>
      <c r="I127" s="319" t="n"/>
      <c r="J127" s="319" t="n"/>
      <c r="K127" s="319" t="n"/>
      <c r="L127" s="319" t="n"/>
      <c r="M127" s="319" t="n"/>
      <c r="N127" s="319" t="n"/>
      <c r="O127" s="320" t="n"/>
      <c r="P127" s="321" t="inlineStr">
        <is>
          <t>Итого</t>
        </is>
      </c>
      <c r="Q127" s="322" t="n"/>
      <c r="R127" s="322" t="n"/>
      <c r="S127" s="322" t="n"/>
      <c r="T127" s="322" t="n"/>
      <c r="U127" s="322" t="n"/>
      <c r="V127" s="323" t="n"/>
      <c r="W127" s="37" t="inlineStr">
        <is>
          <t>кг</t>
        </is>
      </c>
      <c r="X127" s="311">
        <f>IFERROR(SUMPRODUCT(X124:X125*H124:H125),"0")</f>
        <v/>
      </c>
      <c r="Y127" s="308">
        <f>IFERROR(SUMPRODUCT(Y124:Y125*H124:H125),"0")</f>
        <v/>
      </c>
      <c r="Z127" s="37" t="n"/>
      <c r="AA127" s="309" t="n"/>
      <c r="AB127" s="309" t="n"/>
      <c r="AC127" s="309" t="n"/>
    </row>
    <row r="128" ht="16.5" customHeight="1">
      <c r="A128" s="324" t="inlineStr">
        <is>
          <t>Хотстеры</t>
        </is>
      </c>
      <c r="B128" s="319" t="n"/>
      <c r="C128" s="319" t="n"/>
      <c r="D128" s="319" t="n"/>
      <c r="E128" s="319" t="n"/>
      <c r="F128" s="319" t="n"/>
      <c r="G128" s="319" t="n"/>
      <c r="H128" s="319" t="n"/>
      <c r="I128" s="319" t="n"/>
      <c r="J128" s="319" t="n"/>
      <c r="K128" s="319" t="n"/>
      <c r="L128" s="319" t="n"/>
      <c r="M128" s="319" t="n"/>
      <c r="N128" s="319" t="n"/>
      <c r="O128" s="319" t="n"/>
      <c r="P128" s="319" t="n"/>
      <c r="Q128" s="319" t="n"/>
      <c r="R128" s="319" t="n"/>
      <c r="S128" s="319" t="n"/>
      <c r="T128" s="319" t="n"/>
      <c r="U128" s="319" t="n"/>
      <c r="V128" s="319" t="n"/>
      <c r="W128" s="319" t="n"/>
      <c r="X128" s="319" t="n"/>
      <c r="Y128" s="319" t="n"/>
      <c r="Z128" s="319" t="n"/>
      <c r="AA128" s="324" t="n"/>
      <c r="AB128" s="324" t="n"/>
      <c r="AC128" s="324" t="n"/>
    </row>
    <row r="129" ht="14.25" customHeight="1">
      <c r="A129" s="329" t="inlineStr">
        <is>
          <t>Снеки</t>
        </is>
      </c>
      <c r="B129" s="319" t="n"/>
      <c r="C129" s="319" t="n"/>
      <c r="D129" s="319" t="n"/>
      <c r="E129" s="319" t="n"/>
      <c r="F129" s="319" t="n"/>
      <c r="G129" s="319" t="n"/>
      <c r="H129" s="319" t="n"/>
      <c r="I129" s="319" t="n"/>
      <c r="J129" s="319" t="n"/>
      <c r="K129" s="319" t="n"/>
      <c r="L129" s="319" t="n"/>
      <c r="M129" s="319" t="n"/>
      <c r="N129" s="319" t="n"/>
      <c r="O129" s="319" t="n"/>
      <c r="P129" s="319" t="n"/>
      <c r="Q129" s="319" t="n"/>
      <c r="R129" s="319" t="n"/>
      <c r="S129" s="319" t="n"/>
      <c r="T129" s="319" t="n"/>
      <c r="U129" s="319" t="n"/>
      <c r="V129" s="319" t="n"/>
      <c r="W129" s="319" t="n"/>
      <c r="X129" s="319" t="n"/>
      <c r="Y129" s="319" t="n"/>
      <c r="Z129" s="319" t="n"/>
      <c r="AA129" s="329" t="n"/>
      <c r="AB129" s="329" t="n"/>
      <c r="AC129" s="329" t="n"/>
    </row>
    <row r="130" ht="27" customHeight="1">
      <c r="A130" s="302" t="inlineStr">
        <is>
          <t>SU003944</t>
        </is>
      </c>
      <c r="B130" s="302" t="inlineStr">
        <is>
          <t>P005058</t>
        </is>
      </c>
      <c r="C130" s="303" t="n">
        <v>4301135824</v>
      </c>
      <c r="D130" s="316" t="n">
        <v>4607111039095</v>
      </c>
      <c r="E130" s="317" t="n"/>
      <c r="F130" s="305" t="n">
        <v>0.25</v>
      </c>
      <c r="G130" s="32" t="n">
        <v>12</v>
      </c>
      <c r="H130" s="305" t="n">
        <v>3</v>
      </c>
      <c r="I130" s="305" t="n">
        <v>3.748</v>
      </c>
      <c r="J130" s="32" t="n">
        <v>70</v>
      </c>
      <c r="K130" s="32" t="inlineStr">
        <is>
          <t>14</t>
        </is>
      </c>
      <c r="L130" s="32" t="inlineStr">
        <is>
          <t>Короб, мин. 1</t>
        </is>
      </c>
      <c r="M130" s="33" t="inlineStr">
        <is>
          <t>МГ</t>
        </is>
      </c>
      <c r="N130" s="33" t="n"/>
      <c r="O130" s="32" t="n">
        <v>180</v>
      </c>
      <c r="P130" s="462">
        <f>HYPERLINK("https://abi.ru/products/Замороженные/Горячая штучка/Хотстеры/Снеки/P004205/","Снеки «Хотстеры с сыром» ф/в 0,25 ТМ «Горячая штучка»")</f>
        <v/>
      </c>
      <c r="Q130" s="313" t="n"/>
      <c r="R130" s="313" t="n"/>
      <c r="S130" s="313" t="n"/>
      <c r="T130" s="314" t="n"/>
      <c r="U130" s="34" t="n"/>
      <c r="V130" s="34" t="n"/>
      <c r="W130" s="35" t="inlineStr">
        <is>
          <t>кор</t>
        </is>
      </c>
      <c r="X130" s="310" t="n">
        <v>140</v>
      </c>
      <c r="Y130" s="307">
        <f>IFERROR(IF(X130="","",X130),"")</f>
        <v/>
      </c>
      <c r="Z130" s="36">
        <f>IFERROR(IF(X130="","",X130*0.01788),"")</f>
        <v/>
      </c>
      <c r="AA130" s="55" t="n"/>
      <c r="AB130" s="56" t="n"/>
      <c r="AC130" s="152" t="inlineStr">
        <is>
          <t>ЕАЭС N RU Д-RU.РА02.В.13267/24</t>
        </is>
      </c>
      <c r="AD130" s="7">
        <f>X130*G130</f>
        <v/>
      </c>
      <c r="AE130" s="7">
        <f>X130/J130</f>
        <v/>
      </c>
      <c r="AF130" s="7" t="inlineStr">
        <is>
          <t>изменилась кодировка</t>
        </is>
      </c>
      <c r="AG130" s="66" t="n"/>
      <c r="AJ130" s="69" t="inlineStr">
        <is>
          <t>Короб</t>
        </is>
      </c>
      <c r="AK130" s="69" t="n">
        <v>1</v>
      </c>
      <c r="BB130" s="153" t="inlineStr">
        <is>
          <t>ПГП</t>
        </is>
      </c>
      <c r="BM130" s="66" t="n">
        <v>0</v>
      </c>
      <c r="BN130" s="66" t="n">
        <v>0</v>
      </c>
      <c r="BO130" s="66" t="n">
        <v>0</v>
      </c>
      <c r="BP130" s="66" t="n">
        <v>0</v>
      </c>
    </row>
    <row r="131" ht="16.5" customHeight="1">
      <c r="A131" s="53" t="inlineStr">
        <is>
          <t>SU003576</t>
        </is>
      </c>
      <c r="B131" s="53" t="inlineStr">
        <is>
          <t>P004489</t>
        </is>
      </c>
      <c r="C131" s="31" t="n">
        <v>4301135550</v>
      </c>
      <c r="D131" s="316" t="n">
        <v>4607111034199</v>
      </c>
      <c r="E131" s="317" t="n"/>
      <c r="F131" s="305" t="n">
        <v>0.25</v>
      </c>
      <c r="G131" s="32" t="n">
        <v>12</v>
      </c>
      <c r="H131" s="305" t="n">
        <v>3</v>
      </c>
      <c r="I131" s="305" t="n">
        <v>3.7036</v>
      </c>
      <c r="J131" s="32" t="n">
        <v>70</v>
      </c>
      <c r="K131" s="32" t="inlineStr">
        <is>
          <t>14</t>
        </is>
      </c>
      <c r="L131" s="32" t="inlineStr">
        <is>
          <t>Короб, мин. 1</t>
        </is>
      </c>
      <c r="M131" s="33" t="inlineStr">
        <is>
          <t>МГ</t>
        </is>
      </c>
      <c r="N131" s="33" t="n"/>
      <c r="O131" s="32" t="n">
        <v>180</v>
      </c>
      <c r="P131" s="375">
        <f>HYPERLINK("https://abi.ru/products/Замороженные/Горячая штучка/Хотстеры/Снеки/P004489/","Снеки «Хотстеры» Фикс.вес 0,25 Пакет ТМ «Горячая штучка»")</f>
        <v/>
      </c>
      <c r="Q131" s="313" t="n"/>
      <c r="R131" s="313" t="n"/>
      <c r="S131" s="313" t="n"/>
      <c r="T131" s="314" t="n"/>
      <c r="U131" s="34" t="n"/>
      <c r="V131" s="34" t="n"/>
      <c r="W131" s="35" t="inlineStr">
        <is>
          <t>кор</t>
        </is>
      </c>
      <c r="X131" s="310" t="n">
        <v>140</v>
      </c>
      <c r="Y131" s="307">
        <f>IFERROR(IF(X131="","",X131),"")</f>
        <v/>
      </c>
      <c r="Z131" s="36">
        <f>IFERROR(IF(X131="","",X131*0.01788),"")</f>
        <v/>
      </c>
      <c r="AA131" s="55" t="n"/>
      <c r="AB131" s="56" t="n"/>
      <c r="AC131" s="154" t="inlineStr">
        <is>
          <t>ЕАЭС N RU Д-RU.РА05.В.14086/23</t>
        </is>
      </c>
      <c r="AD131" s="7">
        <f>X131*G131</f>
        <v/>
      </c>
      <c r="AE131" s="7">
        <f>X131/J131</f>
        <v/>
      </c>
      <c r="AG131" s="66" t="n"/>
      <c r="AJ131" s="69" t="inlineStr">
        <is>
          <t>Короб</t>
        </is>
      </c>
      <c r="AK131" s="69" t="n">
        <v>1</v>
      </c>
      <c r="BB131" s="155" t="inlineStr">
        <is>
          <t>ПГП</t>
        </is>
      </c>
      <c r="BM131" s="66" t="n">
        <v>0</v>
      </c>
      <c r="BN131" s="66" t="n">
        <v>0</v>
      </c>
      <c r="BO131" s="66" t="n">
        <v>0</v>
      </c>
      <c r="BP131" s="66" t="n">
        <v>0</v>
      </c>
    </row>
    <row r="132">
      <c r="A132" s="318" t="n"/>
      <c r="B132" s="319" t="n"/>
      <c r="C132" s="319" t="n"/>
      <c r="D132" s="319" t="n"/>
      <c r="E132" s="319" t="n"/>
      <c r="F132" s="319" t="n"/>
      <c r="G132" s="319" t="n"/>
      <c r="H132" s="319" t="n"/>
      <c r="I132" s="319" t="n"/>
      <c r="J132" s="319" t="n"/>
      <c r="K132" s="319" t="n"/>
      <c r="L132" s="319" t="n"/>
      <c r="M132" s="319" t="n"/>
      <c r="N132" s="319" t="n"/>
      <c r="O132" s="320" t="n"/>
      <c r="P132" s="321" t="inlineStr">
        <is>
          <t>Итого</t>
        </is>
      </c>
      <c r="Q132" s="322" t="n"/>
      <c r="R132" s="322" t="n"/>
      <c r="S132" s="322" t="n"/>
      <c r="T132" s="322" t="n"/>
      <c r="U132" s="322" t="n"/>
      <c r="V132" s="323" t="n"/>
      <c r="W132" s="37" t="inlineStr">
        <is>
          <t>кор</t>
        </is>
      </c>
      <c r="X132" s="311">
        <f>IFERROR(SUM(X130:X131),"0")</f>
        <v/>
      </c>
      <c r="Y132" s="308">
        <f>IFERROR(SUM(Y130:Y131),"0")</f>
        <v/>
      </c>
      <c r="Z132" s="308">
        <f>IFERROR(IF(Z130="",0,Z130),"0")+IFERROR(IF(Z131="",0,Z131),"0")</f>
        <v/>
      </c>
      <c r="AA132" s="309" t="n"/>
      <c r="AB132" s="309" t="n"/>
      <c r="AC132" s="309" t="n"/>
    </row>
    <row r="133">
      <c r="A133" s="319" t="n"/>
      <c r="B133" s="319" t="n"/>
      <c r="C133" s="319" t="n"/>
      <c r="D133" s="319" t="n"/>
      <c r="E133" s="319" t="n"/>
      <c r="F133" s="319" t="n"/>
      <c r="G133" s="319" t="n"/>
      <c r="H133" s="319" t="n"/>
      <c r="I133" s="319" t="n"/>
      <c r="J133" s="319" t="n"/>
      <c r="K133" s="319" t="n"/>
      <c r="L133" s="319" t="n"/>
      <c r="M133" s="319" t="n"/>
      <c r="N133" s="319" t="n"/>
      <c r="O133" s="320" t="n"/>
      <c r="P133" s="321" t="inlineStr">
        <is>
          <t>Итого</t>
        </is>
      </c>
      <c r="Q133" s="322" t="n"/>
      <c r="R133" s="322" t="n"/>
      <c r="S133" s="322" t="n"/>
      <c r="T133" s="322" t="n"/>
      <c r="U133" s="322" t="n"/>
      <c r="V133" s="323" t="n"/>
      <c r="W133" s="37" t="inlineStr">
        <is>
          <t>кг</t>
        </is>
      </c>
      <c r="X133" s="311">
        <f>IFERROR(SUMPRODUCT(X130:X131*H130:H131),"0")</f>
        <v/>
      </c>
      <c r="Y133" s="308">
        <f>IFERROR(SUMPRODUCT(Y130:Y131*H130:H131),"0")</f>
        <v/>
      </c>
      <c r="Z133" s="37" t="n"/>
      <c r="AA133" s="309" t="n"/>
      <c r="AB133" s="309" t="n"/>
      <c r="AC133" s="309" t="n"/>
    </row>
    <row r="134" ht="16.5" customHeight="1">
      <c r="A134" s="324" t="inlineStr">
        <is>
          <t>Круггетсы</t>
        </is>
      </c>
      <c r="B134" s="319" t="n"/>
      <c r="C134" s="319" t="n"/>
      <c r="D134" s="319" t="n"/>
      <c r="E134" s="319" t="n"/>
      <c r="F134" s="319" t="n"/>
      <c r="G134" s="319" t="n"/>
      <c r="H134" s="319" t="n"/>
      <c r="I134" s="319" t="n"/>
      <c r="J134" s="319" t="n"/>
      <c r="K134" s="319" t="n"/>
      <c r="L134" s="319" t="n"/>
      <c r="M134" s="319" t="n"/>
      <c r="N134" s="319" t="n"/>
      <c r="O134" s="319" t="n"/>
      <c r="P134" s="319" t="n"/>
      <c r="Q134" s="319" t="n"/>
      <c r="R134" s="319" t="n"/>
      <c r="S134" s="319" t="n"/>
      <c r="T134" s="319" t="n"/>
      <c r="U134" s="319" t="n"/>
      <c r="V134" s="319" t="n"/>
      <c r="W134" s="319" t="n"/>
      <c r="X134" s="319" t="n"/>
      <c r="Y134" s="319" t="n"/>
      <c r="Z134" s="319" t="n"/>
      <c r="AA134" s="324" t="n"/>
      <c r="AB134" s="324" t="n"/>
      <c r="AC134" s="324" t="n"/>
    </row>
    <row r="135" ht="14.25" customHeight="1">
      <c r="A135" s="329" t="inlineStr">
        <is>
          <t>Снеки</t>
        </is>
      </c>
      <c r="B135" s="319" t="n"/>
      <c r="C135" s="319" t="n"/>
      <c r="D135" s="319" t="n"/>
      <c r="E135" s="319" t="n"/>
      <c r="F135" s="319" t="n"/>
      <c r="G135" s="319" t="n"/>
      <c r="H135" s="319" t="n"/>
      <c r="I135" s="319" t="n"/>
      <c r="J135" s="319" t="n"/>
      <c r="K135" s="319" t="n"/>
      <c r="L135" s="319" t="n"/>
      <c r="M135" s="319" t="n"/>
      <c r="N135" s="319" t="n"/>
      <c r="O135" s="319" t="n"/>
      <c r="P135" s="319" t="n"/>
      <c r="Q135" s="319" t="n"/>
      <c r="R135" s="319" t="n"/>
      <c r="S135" s="319" t="n"/>
      <c r="T135" s="319" t="n"/>
      <c r="U135" s="319" t="n"/>
      <c r="V135" s="319" t="n"/>
      <c r="W135" s="319" t="n"/>
      <c r="X135" s="319" t="n"/>
      <c r="Y135" s="319" t="n"/>
      <c r="Z135" s="319" t="n"/>
      <c r="AA135" s="329" t="n"/>
      <c r="AB135" s="329" t="n"/>
      <c r="AC135" s="329" t="n"/>
    </row>
    <row r="136" ht="27" customHeight="1">
      <c r="A136" s="53" t="inlineStr">
        <is>
          <t>SU003872</t>
        </is>
      </c>
      <c r="B136" s="53" t="inlineStr">
        <is>
          <t>P004956</t>
        </is>
      </c>
      <c r="C136" s="31" t="n">
        <v>4301135753</v>
      </c>
      <c r="D136" s="316" t="n">
        <v>4620207490914</v>
      </c>
      <c r="E136" s="317" t="n"/>
      <c r="F136" s="305" t="n">
        <v>0.2</v>
      </c>
      <c r="G136" s="32" t="n">
        <v>12</v>
      </c>
      <c r="H136" s="305" t="n">
        <v>2.4</v>
      </c>
      <c r="I136" s="305" t="n">
        <v>2.68</v>
      </c>
      <c r="J136" s="32" t="n">
        <v>70</v>
      </c>
      <c r="K136" s="32" t="inlineStr">
        <is>
          <t>14</t>
        </is>
      </c>
      <c r="L136" s="32" t="inlineStr">
        <is>
          <t>Короб, мин. 1</t>
        </is>
      </c>
      <c r="M136" s="33" t="inlineStr">
        <is>
          <t>МГ</t>
        </is>
      </c>
      <c r="N136" s="33" t="n"/>
      <c r="O136" s="32" t="n">
        <v>180</v>
      </c>
      <c r="P136" s="498" t="inlineStr">
        <is>
          <t>Снеки «Круггетсы с сырным соусом» Фикс.вес 0,2 ТМ «Горячая штучка»</t>
        </is>
      </c>
      <c r="Q136" s="313" t="n"/>
      <c r="R136" s="313" t="n"/>
      <c r="S136" s="313" t="n"/>
      <c r="T136" s="314" t="n"/>
      <c r="U136" s="34" t="n"/>
      <c r="V136" s="34" t="n"/>
      <c r="W136" s="35" t="inlineStr">
        <is>
          <t>кор</t>
        </is>
      </c>
      <c r="X136" s="310" t="n"/>
      <c r="Y136" s="307">
        <f>IFERROR(IF(X136="","",X136),"")</f>
        <v/>
      </c>
      <c r="Z136" s="36">
        <f>IFERROR(IF(X136="","",X136*0.01788),"")</f>
        <v/>
      </c>
      <c r="AA136" s="55" t="n"/>
      <c r="AB136" s="56" t="n"/>
      <c r="AC136" s="156" t="inlineStr">
        <is>
          <t>ЕАЭС N RU Д-RU.РА10.В.33475/23</t>
        </is>
      </c>
      <c r="AD136" s="7">
        <f>X136*G136</f>
        <v/>
      </c>
      <c r="AE136" s="7">
        <f>X136/J136</f>
        <v/>
      </c>
      <c r="AG136" s="66" t="n"/>
      <c r="AJ136" s="69" t="inlineStr">
        <is>
          <t>Короб</t>
        </is>
      </c>
      <c r="AK136" s="69" t="n">
        <v>1</v>
      </c>
      <c r="BB136" s="157" t="inlineStr">
        <is>
          <t>ПГП</t>
        </is>
      </c>
      <c r="BM136" s="66" t="n">
        <v>0</v>
      </c>
      <c r="BN136" s="66" t="n">
        <v>0</v>
      </c>
      <c r="BO136" s="66" t="n">
        <v>0</v>
      </c>
      <c r="BP136" s="66" t="n">
        <v>0</v>
      </c>
    </row>
    <row r="137" ht="27" customHeight="1">
      <c r="A137" s="53" t="inlineStr">
        <is>
          <t>SU003870</t>
        </is>
      </c>
      <c r="B137" s="53" t="inlineStr">
        <is>
          <t>P004953</t>
        </is>
      </c>
      <c r="C137" s="31" t="n">
        <v>4301135778</v>
      </c>
      <c r="D137" s="316" t="n">
        <v>4620207490853</v>
      </c>
      <c r="E137" s="317" t="n"/>
      <c r="F137" s="305" t="n">
        <v>0.2</v>
      </c>
      <c r="G137" s="32" t="n">
        <v>12</v>
      </c>
      <c r="H137" s="305" t="n">
        <v>2.4</v>
      </c>
      <c r="I137" s="305" t="n">
        <v>2.68</v>
      </c>
      <c r="J137" s="32" t="n">
        <v>70</v>
      </c>
      <c r="K137" s="32" t="inlineStr">
        <is>
          <t>14</t>
        </is>
      </c>
      <c r="L137" s="32" t="inlineStr">
        <is>
          <t>Короб, мин. 1</t>
        </is>
      </c>
      <c r="M137" s="33" t="inlineStr">
        <is>
          <t>МГ</t>
        </is>
      </c>
      <c r="N137" s="33" t="n"/>
      <c r="O137" s="32" t="n">
        <v>180</v>
      </c>
      <c r="P137" s="402" t="inlineStr">
        <is>
          <t>Снеки «Круггетсы сочные» Фикс.вес 0,2 ТМ «Горячая штучка»</t>
        </is>
      </c>
      <c r="Q137" s="313" t="n"/>
      <c r="R137" s="313" t="n"/>
      <c r="S137" s="313" t="n"/>
      <c r="T137" s="314" t="n"/>
      <c r="U137" s="34" t="n"/>
      <c r="V137" s="34" t="n"/>
      <c r="W137" s="35" t="inlineStr">
        <is>
          <t>кор</t>
        </is>
      </c>
      <c r="X137" s="310" t="n"/>
      <c r="Y137" s="307">
        <f>IFERROR(IF(X137="","",X137),"")</f>
        <v/>
      </c>
      <c r="Z137" s="36">
        <f>IFERROR(IF(X137="","",X137*0.01788),"")</f>
        <v/>
      </c>
      <c r="AA137" s="55" t="n"/>
      <c r="AB137" s="56" t="n"/>
      <c r="AC137" s="158" t="inlineStr">
        <is>
          <t>ЕАЭС N RU Д-RU.РА10.В.33475/23</t>
        </is>
      </c>
      <c r="AD137" s="7">
        <f>X137*G137</f>
        <v/>
      </c>
      <c r="AE137" s="7">
        <f>X137/J137</f>
        <v/>
      </c>
      <c r="AG137" s="66" t="n"/>
      <c r="AJ137" s="69" t="inlineStr">
        <is>
          <t>Короб</t>
        </is>
      </c>
      <c r="AK137" s="69" t="n">
        <v>1</v>
      </c>
      <c r="BB137" s="159" t="inlineStr">
        <is>
          <t>ПГП</t>
        </is>
      </c>
      <c r="BM137" s="66" t="n">
        <v>0</v>
      </c>
      <c r="BN137" s="66" t="n">
        <v>0</v>
      </c>
      <c r="BO137" s="66" t="n">
        <v>0</v>
      </c>
      <c r="BP137" s="66" t="n">
        <v>0</v>
      </c>
    </row>
    <row r="138">
      <c r="A138" s="318" t="n"/>
      <c r="B138" s="319" t="n"/>
      <c r="C138" s="319" t="n"/>
      <c r="D138" s="319" t="n"/>
      <c r="E138" s="319" t="n"/>
      <c r="F138" s="319" t="n"/>
      <c r="G138" s="319" t="n"/>
      <c r="H138" s="319" t="n"/>
      <c r="I138" s="319" t="n"/>
      <c r="J138" s="319" t="n"/>
      <c r="K138" s="319" t="n"/>
      <c r="L138" s="319" t="n"/>
      <c r="M138" s="319" t="n"/>
      <c r="N138" s="319" t="n"/>
      <c r="O138" s="320" t="n"/>
      <c r="P138" s="321" t="inlineStr">
        <is>
          <t>Итого</t>
        </is>
      </c>
      <c r="Q138" s="322" t="n"/>
      <c r="R138" s="322" t="n"/>
      <c r="S138" s="322" t="n"/>
      <c r="T138" s="322" t="n"/>
      <c r="U138" s="322" t="n"/>
      <c r="V138" s="323" t="n"/>
      <c r="W138" s="37" t="inlineStr">
        <is>
          <t>кор</t>
        </is>
      </c>
      <c r="X138" s="311">
        <f>IFERROR(SUM(X136:X137),"0")</f>
        <v/>
      </c>
      <c r="Y138" s="308">
        <f>IFERROR(SUM(Y136:Y137),"0")</f>
        <v/>
      </c>
      <c r="Z138" s="308">
        <f>IFERROR(IF(Z136="",0,Z136),"0")+IFERROR(IF(Z137="",0,Z137),"0")</f>
        <v/>
      </c>
      <c r="AA138" s="309" t="n"/>
      <c r="AB138" s="309" t="n"/>
      <c r="AC138" s="309" t="n"/>
    </row>
    <row r="139">
      <c r="A139" s="319" t="n"/>
      <c r="B139" s="319" t="n"/>
      <c r="C139" s="319" t="n"/>
      <c r="D139" s="319" t="n"/>
      <c r="E139" s="319" t="n"/>
      <c r="F139" s="319" t="n"/>
      <c r="G139" s="319" t="n"/>
      <c r="H139" s="319" t="n"/>
      <c r="I139" s="319" t="n"/>
      <c r="J139" s="319" t="n"/>
      <c r="K139" s="319" t="n"/>
      <c r="L139" s="319" t="n"/>
      <c r="M139" s="319" t="n"/>
      <c r="N139" s="319" t="n"/>
      <c r="O139" s="320" t="n"/>
      <c r="P139" s="321" t="inlineStr">
        <is>
          <t>Итого</t>
        </is>
      </c>
      <c r="Q139" s="322" t="n"/>
      <c r="R139" s="322" t="n"/>
      <c r="S139" s="322" t="n"/>
      <c r="T139" s="322" t="n"/>
      <c r="U139" s="322" t="n"/>
      <c r="V139" s="323" t="n"/>
      <c r="W139" s="37" t="inlineStr">
        <is>
          <t>кг</t>
        </is>
      </c>
      <c r="X139" s="311">
        <f>IFERROR(SUMPRODUCT(X136:X137*H136:H137),"0")</f>
        <v/>
      </c>
      <c r="Y139" s="308">
        <f>IFERROR(SUMPRODUCT(Y136:Y137*H136:H137),"0")</f>
        <v/>
      </c>
      <c r="Z139" s="37" t="n"/>
      <c r="AA139" s="309" t="n"/>
      <c r="AB139" s="309" t="n"/>
      <c r="AC139" s="309" t="n"/>
    </row>
    <row r="140" ht="16.5" customHeight="1">
      <c r="A140" s="324" t="inlineStr">
        <is>
          <t>Пекерсы</t>
        </is>
      </c>
      <c r="B140" s="319" t="n"/>
      <c r="C140" s="319" t="n"/>
      <c r="D140" s="319" t="n"/>
      <c r="E140" s="319" t="n"/>
      <c r="F140" s="319" t="n"/>
      <c r="G140" s="319" t="n"/>
      <c r="H140" s="319" t="n"/>
      <c r="I140" s="319" t="n"/>
      <c r="J140" s="319" t="n"/>
      <c r="K140" s="319" t="n"/>
      <c r="L140" s="319" t="n"/>
      <c r="M140" s="319" t="n"/>
      <c r="N140" s="319" t="n"/>
      <c r="O140" s="319" t="n"/>
      <c r="P140" s="319" t="n"/>
      <c r="Q140" s="319" t="n"/>
      <c r="R140" s="319" t="n"/>
      <c r="S140" s="319" t="n"/>
      <c r="T140" s="319" t="n"/>
      <c r="U140" s="319" t="n"/>
      <c r="V140" s="319" t="n"/>
      <c r="W140" s="319" t="n"/>
      <c r="X140" s="319" t="n"/>
      <c r="Y140" s="319" t="n"/>
      <c r="Z140" s="319" t="n"/>
      <c r="AA140" s="324" t="n"/>
      <c r="AB140" s="324" t="n"/>
      <c r="AC140" s="324" t="n"/>
    </row>
    <row r="141" ht="14.25" customHeight="1">
      <c r="A141" s="329" t="inlineStr">
        <is>
          <t>Снеки</t>
        </is>
      </c>
      <c r="B141" s="319" t="n"/>
      <c r="C141" s="319" t="n"/>
      <c r="D141" s="319" t="n"/>
      <c r="E141" s="319" t="n"/>
      <c r="F141" s="319" t="n"/>
      <c r="G141" s="319" t="n"/>
      <c r="H141" s="319" t="n"/>
      <c r="I141" s="319" t="n"/>
      <c r="J141" s="319" t="n"/>
      <c r="K141" s="319" t="n"/>
      <c r="L141" s="319" t="n"/>
      <c r="M141" s="319" t="n"/>
      <c r="N141" s="319" t="n"/>
      <c r="O141" s="319" t="n"/>
      <c r="P141" s="319" t="n"/>
      <c r="Q141" s="319" t="n"/>
      <c r="R141" s="319" t="n"/>
      <c r="S141" s="319" t="n"/>
      <c r="T141" s="319" t="n"/>
      <c r="U141" s="319" t="n"/>
      <c r="V141" s="319" t="n"/>
      <c r="W141" s="319" t="n"/>
      <c r="X141" s="319" t="n"/>
      <c r="Y141" s="319" t="n"/>
      <c r="Z141" s="319" t="n"/>
      <c r="AA141" s="329" t="n"/>
      <c r="AB141" s="329" t="n"/>
      <c r="AC141" s="329" t="n"/>
    </row>
    <row r="142" ht="27" customHeight="1">
      <c r="A142" s="53" t="inlineStr">
        <is>
          <t>SU003596</t>
        </is>
      </c>
      <c r="B142" s="53" t="inlineStr">
        <is>
          <t>P004594</t>
        </is>
      </c>
      <c r="C142" s="31" t="n">
        <v>4301135570</v>
      </c>
      <c r="D142" s="316" t="n">
        <v>4607111035806</v>
      </c>
      <c r="E142" s="317" t="n"/>
      <c r="F142" s="305" t="n">
        <v>0.25</v>
      </c>
      <c r="G142" s="32" t="n">
        <v>12</v>
      </c>
      <c r="H142" s="305" t="n">
        <v>3</v>
      </c>
      <c r="I142" s="305" t="n">
        <v>3.7036</v>
      </c>
      <c r="J142" s="32" t="n">
        <v>70</v>
      </c>
      <c r="K142" s="32" t="inlineStr">
        <is>
          <t>14</t>
        </is>
      </c>
      <c r="L142" s="32" t="inlineStr">
        <is>
          <t>Короб, мин. 1</t>
        </is>
      </c>
      <c r="M142" s="33" t="inlineStr">
        <is>
          <t>МГ</t>
        </is>
      </c>
      <c r="N142" s="33" t="n"/>
      <c r="O142" s="32" t="n">
        <v>180</v>
      </c>
      <c r="P142" s="391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/>
      </c>
      <c r="Q142" s="313" t="n"/>
      <c r="R142" s="313" t="n"/>
      <c r="S142" s="313" t="n"/>
      <c r="T142" s="314" t="n"/>
      <c r="U142" s="34" t="n"/>
      <c r="V142" s="34" t="n"/>
      <c r="W142" s="35" t="inlineStr">
        <is>
          <t>кор</t>
        </is>
      </c>
      <c r="X142" s="310" t="n">
        <v>70</v>
      </c>
      <c r="Y142" s="307">
        <f>IFERROR(IF(X142="","",X142),"")</f>
        <v/>
      </c>
      <c r="Z142" s="36">
        <f>IFERROR(IF(X142="","",X142*0.01788),"")</f>
        <v/>
      </c>
      <c r="AA142" s="55" t="n"/>
      <c r="AB142" s="56" t="n"/>
      <c r="AC142" s="160" t="inlineStr">
        <is>
          <t>ЕАЭС N RU Д-RU.РА05.В.54714/24</t>
        </is>
      </c>
      <c r="AD142" s="7">
        <f>X142*G142</f>
        <v/>
      </c>
      <c r="AE142" s="7">
        <f>X142/J142</f>
        <v/>
      </c>
      <c r="AG142" s="66" t="n"/>
      <c r="AJ142" s="69" t="inlineStr">
        <is>
          <t>Короб</t>
        </is>
      </c>
      <c r="AK142" s="69" t="n">
        <v>1</v>
      </c>
      <c r="BB142" s="161" t="inlineStr">
        <is>
          <t>ПГП</t>
        </is>
      </c>
      <c r="BM142" s="66" t="n">
        <v>0</v>
      </c>
      <c r="BN142" s="66" t="n">
        <v>0</v>
      </c>
      <c r="BO142" s="66" t="n">
        <v>0</v>
      </c>
      <c r="BP142" s="66" t="n">
        <v>0</v>
      </c>
    </row>
    <row r="143">
      <c r="A143" s="318" t="n"/>
      <c r="B143" s="319" t="n"/>
      <c r="C143" s="319" t="n"/>
      <c r="D143" s="319" t="n"/>
      <c r="E143" s="319" t="n"/>
      <c r="F143" s="319" t="n"/>
      <c r="G143" s="319" t="n"/>
      <c r="H143" s="319" t="n"/>
      <c r="I143" s="319" t="n"/>
      <c r="J143" s="319" t="n"/>
      <c r="K143" s="319" t="n"/>
      <c r="L143" s="319" t="n"/>
      <c r="M143" s="319" t="n"/>
      <c r="N143" s="319" t="n"/>
      <c r="O143" s="320" t="n"/>
      <c r="P143" s="321" t="inlineStr">
        <is>
          <t>Итого</t>
        </is>
      </c>
      <c r="Q143" s="322" t="n"/>
      <c r="R143" s="322" t="n"/>
      <c r="S143" s="322" t="n"/>
      <c r="T143" s="322" t="n"/>
      <c r="U143" s="322" t="n"/>
      <c r="V143" s="323" t="n"/>
      <c r="W143" s="37" t="inlineStr">
        <is>
          <t>кор</t>
        </is>
      </c>
      <c r="X143" s="311">
        <f>IFERROR(SUM(X142:X142),"0")</f>
        <v/>
      </c>
      <c r="Y143" s="308">
        <f>IFERROR(SUM(Y142:Y142),"0")</f>
        <v/>
      </c>
      <c r="Z143" s="308">
        <f>IFERROR(IF(Z142="",0,Z142),"0")</f>
        <v/>
      </c>
      <c r="AA143" s="309" t="n"/>
      <c r="AB143" s="309" t="n"/>
      <c r="AC143" s="309" t="n"/>
    </row>
    <row r="144">
      <c r="A144" s="319" t="n"/>
      <c r="B144" s="319" t="n"/>
      <c r="C144" s="319" t="n"/>
      <c r="D144" s="319" t="n"/>
      <c r="E144" s="319" t="n"/>
      <c r="F144" s="319" t="n"/>
      <c r="G144" s="319" t="n"/>
      <c r="H144" s="319" t="n"/>
      <c r="I144" s="319" t="n"/>
      <c r="J144" s="319" t="n"/>
      <c r="K144" s="319" t="n"/>
      <c r="L144" s="319" t="n"/>
      <c r="M144" s="319" t="n"/>
      <c r="N144" s="319" t="n"/>
      <c r="O144" s="320" t="n"/>
      <c r="P144" s="321" t="inlineStr">
        <is>
          <t>Итого</t>
        </is>
      </c>
      <c r="Q144" s="322" t="n"/>
      <c r="R144" s="322" t="n"/>
      <c r="S144" s="322" t="n"/>
      <c r="T144" s="322" t="n"/>
      <c r="U144" s="322" t="n"/>
      <c r="V144" s="323" t="n"/>
      <c r="W144" s="37" t="inlineStr">
        <is>
          <t>кг</t>
        </is>
      </c>
      <c r="X144" s="311">
        <f>IFERROR(SUMPRODUCT(X142:X142*H142:H142),"0")</f>
        <v/>
      </c>
      <c r="Y144" s="308">
        <f>IFERROR(SUMPRODUCT(Y142:Y142*H142:H142),"0")</f>
        <v/>
      </c>
      <c r="Z144" s="37" t="n"/>
      <c r="AA144" s="309" t="n"/>
      <c r="AB144" s="309" t="n"/>
      <c r="AC144" s="309" t="n"/>
    </row>
    <row r="145" ht="16.5" customHeight="1">
      <c r="A145" s="324" t="inlineStr">
        <is>
          <t>Хот-Догстер</t>
        </is>
      </c>
      <c r="B145" s="319" t="n"/>
      <c r="C145" s="319" t="n"/>
      <c r="D145" s="319" t="n"/>
      <c r="E145" s="319" t="n"/>
      <c r="F145" s="319" t="n"/>
      <c r="G145" s="319" t="n"/>
      <c r="H145" s="319" t="n"/>
      <c r="I145" s="319" t="n"/>
      <c r="J145" s="319" t="n"/>
      <c r="K145" s="319" t="n"/>
      <c r="L145" s="319" t="n"/>
      <c r="M145" s="319" t="n"/>
      <c r="N145" s="319" t="n"/>
      <c r="O145" s="319" t="n"/>
      <c r="P145" s="319" t="n"/>
      <c r="Q145" s="319" t="n"/>
      <c r="R145" s="319" t="n"/>
      <c r="S145" s="319" t="n"/>
      <c r="T145" s="319" t="n"/>
      <c r="U145" s="319" t="n"/>
      <c r="V145" s="319" t="n"/>
      <c r="W145" s="319" t="n"/>
      <c r="X145" s="319" t="n"/>
      <c r="Y145" s="319" t="n"/>
      <c r="Z145" s="319" t="n"/>
      <c r="AA145" s="324" t="n"/>
      <c r="AB145" s="324" t="n"/>
      <c r="AC145" s="324" t="n"/>
    </row>
    <row r="146" ht="14.25" customHeight="1">
      <c r="A146" s="329" t="inlineStr">
        <is>
          <t>Снеки</t>
        </is>
      </c>
      <c r="B146" s="319" t="n"/>
      <c r="C146" s="319" t="n"/>
      <c r="D146" s="319" t="n"/>
      <c r="E146" s="319" t="n"/>
      <c r="F146" s="319" t="n"/>
      <c r="G146" s="319" t="n"/>
      <c r="H146" s="319" t="n"/>
      <c r="I146" s="319" t="n"/>
      <c r="J146" s="319" t="n"/>
      <c r="K146" s="319" t="n"/>
      <c r="L146" s="319" t="n"/>
      <c r="M146" s="319" t="n"/>
      <c r="N146" s="319" t="n"/>
      <c r="O146" s="319" t="n"/>
      <c r="P146" s="319" t="n"/>
      <c r="Q146" s="319" t="n"/>
      <c r="R146" s="319" t="n"/>
      <c r="S146" s="319" t="n"/>
      <c r="T146" s="319" t="n"/>
      <c r="U146" s="319" t="n"/>
      <c r="V146" s="319" t="n"/>
      <c r="W146" s="319" t="n"/>
      <c r="X146" s="319" t="n"/>
      <c r="Y146" s="319" t="n"/>
      <c r="Z146" s="319" t="n"/>
      <c r="AA146" s="329" t="n"/>
      <c r="AB146" s="329" t="n"/>
      <c r="AC146" s="329" t="n"/>
    </row>
    <row r="147" ht="16.5" customHeight="1">
      <c r="A147" s="53" t="inlineStr">
        <is>
          <t>SU003632</t>
        </is>
      </c>
      <c r="B147" s="53" t="inlineStr">
        <is>
          <t>P004630</t>
        </is>
      </c>
      <c r="C147" s="31" t="n">
        <v>4301135607</v>
      </c>
      <c r="D147" s="316" t="n">
        <v>4607111039613</v>
      </c>
      <c r="E147" s="317" t="n"/>
      <c r="F147" s="305" t="n">
        <v>0.09</v>
      </c>
      <c r="G147" s="32" t="n">
        <v>30</v>
      </c>
      <c r="H147" s="305" t="n">
        <v>2.7</v>
      </c>
      <c r="I147" s="305" t="n">
        <v>3.09</v>
      </c>
      <c r="J147" s="32" t="n">
        <v>126</v>
      </c>
      <c r="K147" s="32" t="inlineStr">
        <is>
          <t>14</t>
        </is>
      </c>
      <c r="L147" s="32" t="inlineStr">
        <is>
          <t>Короб, мин. 1</t>
        </is>
      </c>
      <c r="M147" s="33" t="inlineStr">
        <is>
          <t>МГ</t>
        </is>
      </c>
      <c r="N147" s="33" t="n"/>
      <c r="O147" s="32" t="n">
        <v>180</v>
      </c>
      <c r="P147" s="346">
        <f>HYPERLINK("https://abi.ru/products/Замороженные/Горячая штучка/Хот-Догстер/Снеки/P004630/","Снеки «Хот-догстер» Фикс.вес 0,09 ТМ «Горячая штучка»")</f>
        <v/>
      </c>
      <c r="Q147" s="313" t="n"/>
      <c r="R147" s="313" t="n"/>
      <c r="S147" s="313" t="n"/>
      <c r="T147" s="314" t="n"/>
      <c r="U147" s="34" t="n"/>
      <c r="V147" s="34" t="n"/>
      <c r="W147" s="35" t="inlineStr">
        <is>
          <t>кор</t>
        </is>
      </c>
      <c r="X147" s="310" t="n">
        <v>0</v>
      </c>
      <c r="Y147" s="307">
        <f>IFERROR(IF(X147="","",X147),"")</f>
        <v/>
      </c>
      <c r="Z147" s="36">
        <f>IFERROR(IF(X147="","",X147*0.00936),"")</f>
        <v/>
      </c>
      <c r="AA147" s="55" t="n"/>
      <c r="AB147" s="56" t="n"/>
      <c r="AC147" s="162" t="inlineStr">
        <is>
          <t>ЕАЭС N RU Д-RU.РА02.В.13267/24</t>
        </is>
      </c>
      <c r="AD147" s="7">
        <f>X147*G147</f>
        <v/>
      </c>
      <c r="AE147" s="7">
        <f>X147/J147</f>
        <v/>
      </c>
      <c r="AG147" s="66" t="n"/>
      <c r="AJ147" s="69" t="inlineStr">
        <is>
          <t>Короб</t>
        </is>
      </c>
      <c r="AK147" s="69" t="n">
        <v>1</v>
      </c>
      <c r="BB147" s="163" t="inlineStr">
        <is>
          <t>ПГП</t>
        </is>
      </c>
      <c r="BM147" s="66" t="n">
        <v>0</v>
      </c>
      <c r="BN147" s="66" t="n">
        <v>0</v>
      </c>
      <c r="BO147" s="66" t="n">
        <v>0</v>
      </c>
      <c r="BP147" s="66" t="n">
        <v>0</v>
      </c>
    </row>
    <row r="148">
      <c r="A148" s="318" t="n"/>
      <c r="B148" s="319" t="n"/>
      <c r="C148" s="319" t="n"/>
      <c r="D148" s="319" t="n"/>
      <c r="E148" s="319" t="n"/>
      <c r="F148" s="319" t="n"/>
      <c r="G148" s="319" t="n"/>
      <c r="H148" s="319" t="n"/>
      <c r="I148" s="319" t="n"/>
      <c r="J148" s="319" t="n"/>
      <c r="K148" s="319" t="n"/>
      <c r="L148" s="319" t="n"/>
      <c r="M148" s="319" t="n"/>
      <c r="N148" s="319" t="n"/>
      <c r="O148" s="320" t="n"/>
      <c r="P148" s="321" t="inlineStr">
        <is>
          <t>Итого</t>
        </is>
      </c>
      <c r="Q148" s="322" t="n"/>
      <c r="R148" s="322" t="n"/>
      <c r="S148" s="322" t="n"/>
      <c r="T148" s="322" t="n"/>
      <c r="U148" s="322" t="n"/>
      <c r="V148" s="323" t="n"/>
      <c r="W148" s="37" t="inlineStr">
        <is>
          <t>кор</t>
        </is>
      </c>
      <c r="X148" s="311">
        <f>IFERROR(SUM(X147:X147),"0")</f>
        <v/>
      </c>
      <c r="Y148" s="308">
        <f>IFERROR(SUM(Y147:Y147),"0")</f>
        <v/>
      </c>
      <c r="Z148" s="308">
        <f>IFERROR(IF(Z147="",0,Z147),"0")</f>
        <v/>
      </c>
      <c r="AA148" s="309" t="n"/>
      <c r="AB148" s="309" t="n"/>
      <c r="AC148" s="309" t="n"/>
    </row>
    <row r="149">
      <c r="A149" s="319" t="n"/>
      <c r="B149" s="319" t="n"/>
      <c r="C149" s="319" t="n"/>
      <c r="D149" s="319" t="n"/>
      <c r="E149" s="319" t="n"/>
      <c r="F149" s="319" t="n"/>
      <c r="G149" s="319" t="n"/>
      <c r="H149" s="319" t="n"/>
      <c r="I149" s="319" t="n"/>
      <c r="J149" s="319" t="n"/>
      <c r="K149" s="319" t="n"/>
      <c r="L149" s="319" t="n"/>
      <c r="M149" s="319" t="n"/>
      <c r="N149" s="319" t="n"/>
      <c r="O149" s="320" t="n"/>
      <c r="P149" s="321" t="inlineStr">
        <is>
          <t>Итого</t>
        </is>
      </c>
      <c r="Q149" s="322" t="n"/>
      <c r="R149" s="322" t="n"/>
      <c r="S149" s="322" t="n"/>
      <c r="T149" s="322" t="n"/>
      <c r="U149" s="322" t="n"/>
      <c r="V149" s="323" t="n"/>
      <c r="W149" s="37" t="inlineStr">
        <is>
          <t>кг</t>
        </is>
      </c>
      <c r="X149" s="311">
        <f>IFERROR(SUMPRODUCT(X147:X147*H147:H147),"0")</f>
        <v/>
      </c>
      <c r="Y149" s="308">
        <f>IFERROR(SUMPRODUCT(Y147:Y147*H147:H147),"0")</f>
        <v/>
      </c>
      <c r="Z149" s="37" t="n"/>
      <c r="AA149" s="309" t="n"/>
      <c r="AB149" s="309" t="n"/>
      <c r="AC149" s="309" t="n"/>
    </row>
    <row r="150" ht="16.5" customHeight="1">
      <c r="A150" s="324" t="inlineStr">
        <is>
          <t>Супермени</t>
        </is>
      </c>
      <c r="B150" s="319" t="n"/>
      <c r="C150" s="319" t="n"/>
      <c r="D150" s="319" t="n"/>
      <c r="E150" s="319" t="n"/>
      <c r="F150" s="319" t="n"/>
      <c r="G150" s="319" t="n"/>
      <c r="H150" s="319" t="n"/>
      <c r="I150" s="319" t="n"/>
      <c r="J150" s="319" t="n"/>
      <c r="K150" s="319" t="n"/>
      <c r="L150" s="319" t="n"/>
      <c r="M150" s="319" t="n"/>
      <c r="N150" s="319" t="n"/>
      <c r="O150" s="319" t="n"/>
      <c r="P150" s="319" t="n"/>
      <c r="Q150" s="319" t="n"/>
      <c r="R150" s="319" t="n"/>
      <c r="S150" s="319" t="n"/>
      <c r="T150" s="319" t="n"/>
      <c r="U150" s="319" t="n"/>
      <c r="V150" s="319" t="n"/>
      <c r="W150" s="319" t="n"/>
      <c r="X150" s="319" t="n"/>
      <c r="Y150" s="319" t="n"/>
      <c r="Z150" s="319" t="n"/>
      <c r="AA150" s="324" t="n"/>
      <c r="AB150" s="324" t="n"/>
      <c r="AC150" s="324" t="n"/>
    </row>
    <row r="151" ht="14.25" customHeight="1">
      <c r="A151" s="329" t="inlineStr">
        <is>
          <t>Пельмени ПГП</t>
        </is>
      </c>
      <c r="B151" s="319" t="n"/>
      <c r="C151" s="319" t="n"/>
      <c r="D151" s="319" t="n"/>
      <c r="E151" s="319" t="n"/>
      <c r="F151" s="319" t="n"/>
      <c r="G151" s="319" t="n"/>
      <c r="H151" s="319" t="n"/>
      <c r="I151" s="319" t="n"/>
      <c r="J151" s="319" t="n"/>
      <c r="K151" s="319" t="n"/>
      <c r="L151" s="319" t="n"/>
      <c r="M151" s="319" t="n"/>
      <c r="N151" s="319" t="n"/>
      <c r="O151" s="319" t="n"/>
      <c r="P151" s="319" t="n"/>
      <c r="Q151" s="319" t="n"/>
      <c r="R151" s="319" t="n"/>
      <c r="S151" s="319" t="n"/>
      <c r="T151" s="319" t="n"/>
      <c r="U151" s="319" t="n"/>
      <c r="V151" s="319" t="n"/>
      <c r="W151" s="319" t="n"/>
      <c r="X151" s="319" t="n"/>
      <c r="Y151" s="319" t="n"/>
      <c r="Z151" s="319" t="n"/>
      <c r="AA151" s="329" t="n"/>
      <c r="AB151" s="329" t="n"/>
      <c r="AC151" s="329" t="n"/>
    </row>
    <row r="152" ht="27" customHeight="1">
      <c r="A152" s="53" t="inlineStr">
        <is>
          <t>SU002177</t>
        </is>
      </c>
      <c r="B152" s="53" t="inlineStr">
        <is>
          <t>P004523</t>
        </is>
      </c>
      <c r="C152" s="31" t="n">
        <v>4301135540</v>
      </c>
      <c r="D152" s="316" t="n">
        <v>4607111035646</v>
      </c>
      <c r="E152" s="317" t="n"/>
      <c r="F152" s="305" t="n">
        <v>0.2</v>
      </c>
      <c r="G152" s="32" t="n">
        <v>8</v>
      </c>
      <c r="H152" s="305" t="n">
        <v>1.6</v>
      </c>
      <c r="I152" s="305" t="n">
        <v>2.12</v>
      </c>
      <c r="J152" s="32" t="n">
        <v>72</v>
      </c>
      <c r="K152" s="32" t="inlineStr">
        <is>
          <t>6</t>
        </is>
      </c>
      <c r="L152" s="32" t="inlineStr">
        <is>
          <t>Короб, мин. 1</t>
        </is>
      </c>
      <c r="M152" s="33" t="inlineStr">
        <is>
          <t>МГ</t>
        </is>
      </c>
      <c r="N152" s="33" t="n"/>
      <c r="O152" s="32" t="n">
        <v>180</v>
      </c>
      <c r="P152" s="337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/>
      </c>
      <c r="Q152" s="313" t="n"/>
      <c r="R152" s="313" t="n"/>
      <c r="S152" s="313" t="n"/>
      <c r="T152" s="314" t="n"/>
      <c r="U152" s="34" t="n"/>
      <c r="V152" s="34" t="n"/>
      <c r="W152" s="35" t="inlineStr">
        <is>
          <t>кор</t>
        </is>
      </c>
      <c r="X152" s="310" t="n">
        <v>72</v>
      </c>
      <c r="Y152" s="307">
        <f>IFERROR(IF(X152="","",X152),"")</f>
        <v/>
      </c>
      <c r="Z152" s="36">
        <f>IFERROR(IF(X152="","",X152*0.01157),"")</f>
        <v/>
      </c>
      <c r="AA152" s="55" t="n"/>
      <c r="AB152" s="56" t="n"/>
      <c r="AC152" s="164" t="inlineStr">
        <is>
          <t>ЕАЭС N RU Д-RU.РА02.В.69059/24</t>
        </is>
      </c>
      <c r="AD152" s="7">
        <f>X152*G152</f>
        <v/>
      </c>
      <c r="AE152" s="7">
        <f>X152/J152</f>
        <v/>
      </c>
      <c r="AG152" s="66" t="n"/>
      <c r="AJ152" s="69" t="inlineStr">
        <is>
          <t>Короб</t>
        </is>
      </c>
      <c r="AK152" s="69" t="n">
        <v>1</v>
      </c>
      <c r="BB152" s="165" t="inlineStr">
        <is>
          <t>ПГП</t>
        </is>
      </c>
      <c r="BM152" s="66" t="n">
        <v>0</v>
      </c>
      <c r="BN152" s="66" t="n">
        <v>0</v>
      </c>
      <c r="BO152" s="66" t="n">
        <v>0</v>
      </c>
      <c r="BP152" s="66" t="n">
        <v>0</v>
      </c>
    </row>
    <row r="153">
      <c r="A153" s="318" t="n"/>
      <c r="B153" s="319" t="n"/>
      <c r="C153" s="319" t="n"/>
      <c r="D153" s="319" t="n"/>
      <c r="E153" s="319" t="n"/>
      <c r="F153" s="319" t="n"/>
      <c r="G153" s="319" t="n"/>
      <c r="H153" s="319" t="n"/>
      <c r="I153" s="319" t="n"/>
      <c r="J153" s="319" t="n"/>
      <c r="K153" s="319" t="n"/>
      <c r="L153" s="319" t="n"/>
      <c r="M153" s="319" t="n"/>
      <c r="N153" s="319" t="n"/>
      <c r="O153" s="320" t="n"/>
      <c r="P153" s="321" t="inlineStr">
        <is>
          <t>Итого</t>
        </is>
      </c>
      <c r="Q153" s="322" t="n"/>
      <c r="R153" s="322" t="n"/>
      <c r="S153" s="322" t="n"/>
      <c r="T153" s="322" t="n"/>
      <c r="U153" s="322" t="n"/>
      <c r="V153" s="323" t="n"/>
      <c r="W153" s="37" t="inlineStr">
        <is>
          <t>кор</t>
        </is>
      </c>
      <c r="X153" s="311">
        <f>IFERROR(SUM(X152:X152),"0")</f>
        <v/>
      </c>
      <c r="Y153" s="308">
        <f>IFERROR(SUM(Y152:Y152),"0")</f>
        <v/>
      </c>
      <c r="Z153" s="308">
        <f>IFERROR(IF(Z152="",0,Z152),"0")</f>
        <v/>
      </c>
      <c r="AA153" s="309" t="n"/>
      <c r="AB153" s="309" t="n"/>
      <c r="AC153" s="309" t="n"/>
    </row>
    <row r="154">
      <c r="A154" s="319" t="n"/>
      <c r="B154" s="319" t="n"/>
      <c r="C154" s="319" t="n"/>
      <c r="D154" s="319" t="n"/>
      <c r="E154" s="319" t="n"/>
      <c r="F154" s="319" t="n"/>
      <c r="G154" s="319" t="n"/>
      <c r="H154" s="319" t="n"/>
      <c r="I154" s="319" t="n"/>
      <c r="J154" s="319" t="n"/>
      <c r="K154" s="319" t="n"/>
      <c r="L154" s="319" t="n"/>
      <c r="M154" s="319" t="n"/>
      <c r="N154" s="319" t="n"/>
      <c r="O154" s="320" t="n"/>
      <c r="P154" s="321" t="inlineStr">
        <is>
          <t>Итого</t>
        </is>
      </c>
      <c r="Q154" s="322" t="n"/>
      <c r="R154" s="322" t="n"/>
      <c r="S154" s="322" t="n"/>
      <c r="T154" s="322" t="n"/>
      <c r="U154" s="322" t="n"/>
      <c r="V154" s="323" t="n"/>
      <c r="W154" s="37" t="inlineStr">
        <is>
          <t>кг</t>
        </is>
      </c>
      <c r="X154" s="311">
        <f>IFERROR(SUMPRODUCT(X152:X152*H152:H152),"0")</f>
        <v/>
      </c>
      <c r="Y154" s="308">
        <f>IFERROR(SUMPRODUCT(Y152:Y152*H152:H152),"0")</f>
        <v/>
      </c>
      <c r="Z154" s="37" t="n"/>
      <c r="AA154" s="309" t="n"/>
      <c r="AB154" s="309" t="n"/>
      <c r="AC154" s="309" t="n"/>
    </row>
    <row r="155" ht="16.5" customHeight="1">
      <c r="A155" s="324" t="inlineStr">
        <is>
          <t>Чебуманы</t>
        </is>
      </c>
      <c r="B155" s="319" t="n"/>
      <c r="C155" s="319" t="n"/>
      <c r="D155" s="319" t="n"/>
      <c r="E155" s="319" t="n"/>
      <c r="F155" s="319" t="n"/>
      <c r="G155" s="319" t="n"/>
      <c r="H155" s="319" t="n"/>
      <c r="I155" s="319" t="n"/>
      <c r="J155" s="319" t="n"/>
      <c r="K155" s="319" t="n"/>
      <c r="L155" s="319" t="n"/>
      <c r="M155" s="319" t="n"/>
      <c r="N155" s="319" t="n"/>
      <c r="O155" s="319" t="n"/>
      <c r="P155" s="319" t="n"/>
      <c r="Q155" s="319" t="n"/>
      <c r="R155" s="319" t="n"/>
      <c r="S155" s="319" t="n"/>
      <c r="T155" s="319" t="n"/>
      <c r="U155" s="319" t="n"/>
      <c r="V155" s="319" t="n"/>
      <c r="W155" s="319" t="n"/>
      <c r="X155" s="319" t="n"/>
      <c r="Y155" s="319" t="n"/>
      <c r="Z155" s="319" t="n"/>
      <c r="AA155" s="324" t="n"/>
      <c r="AB155" s="324" t="n"/>
      <c r="AC155" s="324" t="n"/>
    </row>
    <row r="156" ht="14.25" customHeight="1">
      <c r="A156" s="329" t="inlineStr">
        <is>
          <t>Снеки</t>
        </is>
      </c>
      <c r="B156" s="319" t="n"/>
      <c r="C156" s="319" t="n"/>
      <c r="D156" s="319" t="n"/>
      <c r="E156" s="319" t="n"/>
      <c r="F156" s="319" t="n"/>
      <c r="G156" s="319" t="n"/>
      <c r="H156" s="319" t="n"/>
      <c r="I156" s="319" t="n"/>
      <c r="J156" s="319" t="n"/>
      <c r="K156" s="319" t="n"/>
      <c r="L156" s="319" t="n"/>
      <c r="M156" s="319" t="n"/>
      <c r="N156" s="319" t="n"/>
      <c r="O156" s="319" t="n"/>
      <c r="P156" s="319" t="n"/>
      <c r="Q156" s="319" t="n"/>
      <c r="R156" s="319" t="n"/>
      <c r="S156" s="319" t="n"/>
      <c r="T156" s="319" t="n"/>
      <c r="U156" s="319" t="n"/>
      <c r="V156" s="319" t="n"/>
      <c r="W156" s="319" t="n"/>
      <c r="X156" s="319" t="n"/>
      <c r="Y156" s="319" t="n"/>
      <c r="Z156" s="319" t="n"/>
      <c r="AA156" s="329" t="n"/>
      <c r="AB156" s="329" t="n"/>
      <c r="AC156" s="329" t="n"/>
    </row>
    <row r="157" ht="27" customHeight="1">
      <c r="A157" s="53" t="inlineStr">
        <is>
          <t>SU003601</t>
        </is>
      </c>
      <c r="B157" s="53" t="inlineStr">
        <is>
          <t>P004597</t>
        </is>
      </c>
      <c r="C157" s="31" t="n">
        <v>4301135591</v>
      </c>
      <c r="D157" s="316" t="n">
        <v>4607111036568</v>
      </c>
      <c r="E157" s="317" t="n"/>
      <c r="F157" s="305" t="n">
        <v>0.28</v>
      </c>
      <c r="G157" s="32" t="n">
        <v>6</v>
      </c>
      <c r="H157" s="305" t="n">
        <v>1.68</v>
      </c>
      <c r="I157" s="305" t="n">
        <v>2.1018</v>
      </c>
      <c r="J157" s="32" t="n">
        <v>140</v>
      </c>
      <c r="K157" s="32" t="inlineStr">
        <is>
          <t>14</t>
        </is>
      </c>
      <c r="L157" s="32" t="inlineStr">
        <is>
          <t>Короб, мин. 1</t>
        </is>
      </c>
      <c r="M157" s="33" t="inlineStr">
        <is>
          <t>МГ</t>
        </is>
      </c>
      <c r="N157" s="33" t="n"/>
      <c r="O157" s="32" t="n">
        <v>180</v>
      </c>
      <c r="P157" s="331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/>
      </c>
      <c r="Q157" s="313" t="n"/>
      <c r="R157" s="313" t="n"/>
      <c r="S157" s="313" t="n"/>
      <c r="T157" s="314" t="n"/>
      <c r="U157" s="34" t="n"/>
      <c r="V157" s="34" t="n"/>
      <c r="W157" s="35" t="inlineStr">
        <is>
          <t>кор</t>
        </is>
      </c>
      <c r="X157" s="310" t="n">
        <v>140</v>
      </c>
      <c r="Y157" s="307">
        <f>IFERROR(IF(X157="","",X157),"")</f>
        <v/>
      </c>
      <c r="Z157" s="36">
        <f>IFERROR(IF(X157="","",X157*0.00941),"")</f>
        <v/>
      </c>
      <c r="AA157" s="55" t="n"/>
      <c r="AB157" s="56" t="n"/>
      <c r="AC157" s="166" t="inlineStr">
        <is>
          <t>ЕАЭС N RU Д-RU.РА02.В.49579/23, ЕАЭС N RU Д-RU.РА07.В.66009/22</t>
        </is>
      </c>
      <c r="AD157" s="7">
        <f>X157*G157</f>
        <v/>
      </c>
      <c r="AE157" s="7">
        <f>X157/J157</f>
        <v/>
      </c>
      <c r="AG157" s="66" t="n"/>
      <c r="AJ157" s="69" t="inlineStr">
        <is>
          <t>Короб</t>
        </is>
      </c>
      <c r="AK157" s="69" t="n">
        <v>1</v>
      </c>
      <c r="BB157" s="167" t="inlineStr">
        <is>
          <t>ПГП</t>
        </is>
      </c>
      <c r="BM157" s="66" t="n">
        <v>0</v>
      </c>
      <c r="BN157" s="66" t="n">
        <v>0</v>
      </c>
      <c r="BO157" s="66" t="n">
        <v>0</v>
      </c>
      <c r="BP157" s="66" t="n">
        <v>0</v>
      </c>
    </row>
    <row r="158">
      <c r="A158" s="318" t="n"/>
      <c r="B158" s="319" t="n"/>
      <c r="C158" s="319" t="n"/>
      <c r="D158" s="319" t="n"/>
      <c r="E158" s="319" t="n"/>
      <c r="F158" s="319" t="n"/>
      <c r="G158" s="319" t="n"/>
      <c r="H158" s="319" t="n"/>
      <c r="I158" s="319" t="n"/>
      <c r="J158" s="319" t="n"/>
      <c r="K158" s="319" t="n"/>
      <c r="L158" s="319" t="n"/>
      <c r="M158" s="319" t="n"/>
      <c r="N158" s="319" t="n"/>
      <c r="O158" s="320" t="n"/>
      <c r="P158" s="321" t="inlineStr">
        <is>
          <t>Итого</t>
        </is>
      </c>
      <c r="Q158" s="322" t="n"/>
      <c r="R158" s="322" t="n"/>
      <c r="S158" s="322" t="n"/>
      <c r="T158" s="322" t="n"/>
      <c r="U158" s="322" t="n"/>
      <c r="V158" s="323" t="n"/>
      <c r="W158" s="37" t="inlineStr">
        <is>
          <t>кор</t>
        </is>
      </c>
      <c r="X158" s="311">
        <f>IFERROR(SUM(X157:X157),"0")</f>
        <v/>
      </c>
      <c r="Y158" s="308">
        <f>IFERROR(SUM(Y157:Y157),"0")</f>
        <v/>
      </c>
      <c r="Z158" s="308">
        <f>IFERROR(IF(Z157="",0,Z157),"0")</f>
        <v/>
      </c>
      <c r="AA158" s="309" t="n"/>
      <c r="AB158" s="309" t="n"/>
      <c r="AC158" s="309" t="n"/>
    </row>
    <row r="159">
      <c r="A159" s="319" t="n"/>
      <c r="B159" s="319" t="n"/>
      <c r="C159" s="319" t="n"/>
      <c r="D159" s="319" t="n"/>
      <c r="E159" s="319" t="n"/>
      <c r="F159" s="319" t="n"/>
      <c r="G159" s="319" t="n"/>
      <c r="H159" s="319" t="n"/>
      <c r="I159" s="319" t="n"/>
      <c r="J159" s="319" t="n"/>
      <c r="K159" s="319" t="n"/>
      <c r="L159" s="319" t="n"/>
      <c r="M159" s="319" t="n"/>
      <c r="N159" s="319" t="n"/>
      <c r="O159" s="320" t="n"/>
      <c r="P159" s="321" t="inlineStr">
        <is>
          <t>Итого</t>
        </is>
      </c>
      <c r="Q159" s="322" t="n"/>
      <c r="R159" s="322" t="n"/>
      <c r="S159" s="322" t="n"/>
      <c r="T159" s="322" t="n"/>
      <c r="U159" s="322" t="n"/>
      <c r="V159" s="323" t="n"/>
      <c r="W159" s="37" t="inlineStr">
        <is>
          <t>кг</t>
        </is>
      </c>
      <c r="X159" s="311">
        <f>IFERROR(SUMPRODUCT(X157:X157*H157:H157),"0")</f>
        <v/>
      </c>
      <c r="Y159" s="308">
        <f>IFERROR(SUMPRODUCT(Y157:Y157*H157:H157),"0")</f>
        <v/>
      </c>
      <c r="Z159" s="37" t="n"/>
      <c r="AA159" s="309" t="n"/>
      <c r="AB159" s="309" t="n"/>
      <c r="AC159" s="309" t="n"/>
    </row>
    <row r="160" ht="27.75" customHeight="1">
      <c r="A160" s="365" t="inlineStr">
        <is>
          <t>No Name</t>
        </is>
      </c>
      <c r="B160" s="366" t="n"/>
      <c r="C160" s="366" t="n"/>
      <c r="D160" s="366" t="n"/>
      <c r="E160" s="366" t="n"/>
      <c r="F160" s="366" t="n"/>
      <c r="G160" s="366" t="n"/>
      <c r="H160" s="366" t="n"/>
      <c r="I160" s="366" t="n"/>
      <c r="J160" s="366" t="n"/>
      <c r="K160" s="366" t="n"/>
      <c r="L160" s="366" t="n"/>
      <c r="M160" s="366" t="n"/>
      <c r="N160" s="366" t="n"/>
      <c r="O160" s="366" t="n"/>
      <c r="P160" s="366" t="n"/>
      <c r="Q160" s="366" t="n"/>
      <c r="R160" s="366" t="n"/>
      <c r="S160" s="366" t="n"/>
      <c r="T160" s="366" t="n"/>
      <c r="U160" s="366" t="n"/>
      <c r="V160" s="366" t="n"/>
      <c r="W160" s="366" t="n"/>
      <c r="X160" s="366" t="n"/>
      <c r="Y160" s="366" t="n"/>
      <c r="Z160" s="366" t="n"/>
      <c r="AA160" s="48" t="n"/>
      <c r="AB160" s="48" t="n"/>
      <c r="AC160" s="48" t="n"/>
    </row>
    <row r="161" ht="16.5" customHeight="1">
      <c r="A161" s="324" t="inlineStr">
        <is>
          <t>No Name ЗПФ</t>
        </is>
      </c>
      <c r="B161" s="319" t="n"/>
      <c r="C161" s="319" t="n"/>
      <c r="D161" s="319" t="n"/>
      <c r="E161" s="319" t="n"/>
      <c r="F161" s="319" t="n"/>
      <c r="G161" s="319" t="n"/>
      <c r="H161" s="319" t="n"/>
      <c r="I161" s="319" t="n"/>
      <c r="J161" s="319" t="n"/>
      <c r="K161" s="319" t="n"/>
      <c r="L161" s="319" t="n"/>
      <c r="M161" s="319" t="n"/>
      <c r="N161" s="319" t="n"/>
      <c r="O161" s="319" t="n"/>
      <c r="P161" s="319" t="n"/>
      <c r="Q161" s="319" t="n"/>
      <c r="R161" s="319" t="n"/>
      <c r="S161" s="319" t="n"/>
      <c r="T161" s="319" t="n"/>
      <c r="U161" s="319" t="n"/>
      <c r="V161" s="319" t="n"/>
      <c r="W161" s="319" t="n"/>
      <c r="X161" s="319" t="n"/>
      <c r="Y161" s="319" t="n"/>
      <c r="Z161" s="319" t="n"/>
      <c r="AA161" s="324" t="n"/>
      <c r="AB161" s="324" t="n"/>
      <c r="AC161" s="324" t="n"/>
    </row>
    <row r="162" ht="14.25" customHeight="1">
      <c r="A162" s="329" t="inlineStr">
        <is>
          <t>Пельмени</t>
        </is>
      </c>
      <c r="B162" s="319" t="n"/>
      <c r="C162" s="319" t="n"/>
      <c r="D162" s="319" t="n"/>
      <c r="E162" s="319" t="n"/>
      <c r="F162" s="319" t="n"/>
      <c r="G162" s="319" t="n"/>
      <c r="H162" s="319" t="n"/>
      <c r="I162" s="319" t="n"/>
      <c r="J162" s="319" t="n"/>
      <c r="K162" s="319" t="n"/>
      <c r="L162" s="319" t="n"/>
      <c r="M162" s="319" t="n"/>
      <c r="N162" s="319" t="n"/>
      <c r="O162" s="319" t="n"/>
      <c r="P162" s="319" t="n"/>
      <c r="Q162" s="319" t="n"/>
      <c r="R162" s="319" t="n"/>
      <c r="S162" s="319" t="n"/>
      <c r="T162" s="319" t="n"/>
      <c r="U162" s="319" t="n"/>
      <c r="V162" s="319" t="n"/>
      <c r="W162" s="319" t="n"/>
      <c r="X162" s="319" t="n"/>
      <c r="Y162" s="319" t="n"/>
      <c r="Z162" s="319" t="n"/>
      <c r="AA162" s="329" t="n"/>
      <c r="AB162" s="329" t="n"/>
      <c r="AC162" s="329" t="n"/>
    </row>
    <row r="163" ht="16.5" customHeight="1">
      <c r="A163" s="53" t="inlineStr">
        <is>
          <t>SU002396</t>
        </is>
      </c>
      <c r="B163" s="53" t="inlineStr">
        <is>
          <t>P004620</t>
        </is>
      </c>
      <c r="C163" s="31" t="n">
        <v>4301071062</v>
      </c>
      <c r="D163" s="316" t="n">
        <v>4607111036384</v>
      </c>
      <c r="E163" s="317" t="n"/>
      <c r="F163" s="305" t="n">
        <v>5</v>
      </c>
      <c r="G163" s="32" t="n">
        <v>1</v>
      </c>
      <c r="H163" s="305" t="n">
        <v>5</v>
      </c>
      <c r="I163" s="305" t="n">
        <v>5.2106</v>
      </c>
      <c r="J163" s="32" t="n">
        <v>144</v>
      </c>
      <c r="K163" s="32" t="inlineStr">
        <is>
          <t>12</t>
        </is>
      </c>
      <c r="L163" s="32" t="inlineStr">
        <is>
          <t>Короб, мин. 1</t>
        </is>
      </c>
      <c r="M163" s="33" t="inlineStr">
        <is>
          <t>МГ</t>
        </is>
      </c>
      <c r="N163" s="33" t="n"/>
      <c r="O163" s="32" t="n">
        <v>180</v>
      </c>
      <c r="P163" s="416" t="inlineStr">
        <is>
          <t>Пельмени «Зареченские» Весовые Сфера ТМ «No name» 5 кг</t>
        </is>
      </c>
      <c r="Q163" s="313" t="n"/>
      <c r="R163" s="313" t="n"/>
      <c r="S163" s="313" t="n"/>
      <c r="T163" s="314" t="n"/>
      <c r="U163" s="34" t="n"/>
      <c r="V163" s="34" t="n"/>
      <c r="W163" s="35" t="inlineStr">
        <is>
          <t>кор</t>
        </is>
      </c>
      <c r="X163" s="310" t="n"/>
      <c r="Y163" s="307">
        <f>IFERROR(IF(X163="","",X163),"")</f>
        <v/>
      </c>
      <c r="Z163" s="36">
        <f>IFERROR(IF(X163="","",X163*0.00866),"")</f>
        <v/>
      </c>
      <c r="AA163" s="55" t="n"/>
      <c r="AB163" s="56" t="n"/>
      <c r="AC163" s="168" t="inlineStr">
        <is>
          <t>ЕАЭС N RU Д-RU.РА05.В.15328/24</t>
        </is>
      </c>
      <c r="AD163" s="7">
        <f>X163*G163</f>
        <v/>
      </c>
      <c r="AE163" s="7">
        <f>X163/J163</f>
        <v/>
      </c>
      <c r="AG163" s="66" t="n"/>
      <c r="AJ163" s="69" t="inlineStr">
        <is>
          <t>Короб</t>
        </is>
      </c>
      <c r="AK163" s="69" t="n">
        <v>1</v>
      </c>
      <c r="BB163" s="169" t="inlineStr">
        <is>
          <t>ЗПФ</t>
        </is>
      </c>
      <c r="BM163" s="66" t="n">
        <v>0</v>
      </c>
      <c r="BN163" s="66" t="n">
        <v>0</v>
      </c>
      <c r="BO163" s="66" t="n">
        <v>0</v>
      </c>
      <c r="BP163" s="66" t="n">
        <v>0</v>
      </c>
    </row>
    <row r="164" ht="27" customHeight="1">
      <c r="A164" s="53" t="inlineStr">
        <is>
          <t>SU000197</t>
        </is>
      </c>
      <c r="B164" s="53" t="inlineStr">
        <is>
          <t>P004472</t>
        </is>
      </c>
      <c r="C164" s="31" t="n">
        <v>4301071050</v>
      </c>
      <c r="D164" s="316" t="n">
        <v>4607111036216</v>
      </c>
      <c r="E164" s="317" t="n"/>
      <c r="F164" s="305" t="n">
        <v>5</v>
      </c>
      <c r="G164" s="32" t="n">
        <v>1</v>
      </c>
      <c r="H164" s="305" t="n">
        <v>5</v>
      </c>
      <c r="I164" s="305" t="n">
        <v>5.2132</v>
      </c>
      <c r="J164" s="32" t="n">
        <v>144</v>
      </c>
      <c r="K164" s="32" t="inlineStr">
        <is>
          <t>12</t>
        </is>
      </c>
      <c r="L164" s="32" t="inlineStr">
        <is>
          <t>Короб, мин. 1</t>
        </is>
      </c>
      <c r="M164" s="33" t="inlineStr">
        <is>
          <t>МГ</t>
        </is>
      </c>
      <c r="N164" s="33" t="n"/>
      <c r="O164" s="32" t="n">
        <v>180</v>
      </c>
      <c r="P164" s="458">
        <f>HYPERLINK("https://abi.ru/products/Замороженные/No Name/No Name ЗПФ/Пельмени/P004472/","Пельмени «Пуговки с говядиной и свининой» Весовые Сфера ТМ «No Name» 5 кг")</f>
        <v/>
      </c>
      <c r="Q164" s="313" t="n"/>
      <c r="R164" s="313" t="n"/>
      <c r="S164" s="313" t="n"/>
      <c r="T164" s="314" t="n"/>
      <c r="U164" s="34" t="n"/>
      <c r="V164" s="34" t="n"/>
      <c r="W164" s="35" t="inlineStr">
        <is>
          <t>кор</t>
        </is>
      </c>
      <c r="X164" s="310" t="n">
        <v>0</v>
      </c>
      <c r="Y164" s="307">
        <f>IFERROR(IF(X164="","",X164),"")</f>
        <v/>
      </c>
      <c r="Z164" s="36">
        <f>IFERROR(IF(X164="","",X164*0.00866),"")</f>
        <v/>
      </c>
      <c r="AA164" s="55" t="n"/>
      <c r="AB164" s="56" t="n"/>
      <c r="AC164" s="170" t="inlineStr">
        <is>
          <t>ЕАЭС N RU Д-RU.РА08.В.65691/23</t>
        </is>
      </c>
      <c r="AD164" s="7">
        <f>X164*G164</f>
        <v/>
      </c>
      <c r="AE164" s="7">
        <f>X164/J164</f>
        <v/>
      </c>
      <c r="AG164" s="66" t="n"/>
      <c r="AJ164" s="69" t="inlineStr">
        <is>
          <t>Короб</t>
        </is>
      </c>
      <c r="AK164" s="69" t="n">
        <v>1</v>
      </c>
      <c r="BB164" s="171" t="inlineStr">
        <is>
          <t>ЗПФ</t>
        </is>
      </c>
      <c r="BM164" s="66" t="n">
        <v>0</v>
      </c>
      <c r="BN164" s="66" t="n">
        <v>0</v>
      </c>
      <c r="BO164" s="66" t="n">
        <v>0</v>
      </c>
      <c r="BP164" s="66" t="n">
        <v>0</v>
      </c>
    </row>
    <row r="165">
      <c r="A165" s="318" t="n"/>
      <c r="B165" s="319" t="n"/>
      <c r="C165" s="319" t="n"/>
      <c r="D165" s="319" t="n"/>
      <c r="E165" s="319" t="n"/>
      <c r="F165" s="319" t="n"/>
      <c r="G165" s="319" t="n"/>
      <c r="H165" s="319" t="n"/>
      <c r="I165" s="319" t="n"/>
      <c r="J165" s="319" t="n"/>
      <c r="K165" s="319" t="n"/>
      <c r="L165" s="319" t="n"/>
      <c r="M165" s="319" t="n"/>
      <c r="N165" s="319" t="n"/>
      <c r="O165" s="320" t="n"/>
      <c r="P165" s="321" t="inlineStr">
        <is>
          <t>Итого</t>
        </is>
      </c>
      <c r="Q165" s="322" t="n"/>
      <c r="R165" s="322" t="n"/>
      <c r="S165" s="322" t="n"/>
      <c r="T165" s="322" t="n"/>
      <c r="U165" s="322" t="n"/>
      <c r="V165" s="323" t="n"/>
      <c r="W165" s="37" t="inlineStr">
        <is>
          <t>кор</t>
        </is>
      </c>
      <c r="X165" s="311">
        <f>IFERROR(SUM(X163:X164),"0")</f>
        <v/>
      </c>
      <c r="Y165" s="308">
        <f>IFERROR(SUM(Y163:Y164),"0")</f>
        <v/>
      </c>
      <c r="Z165" s="308">
        <f>IFERROR(IF(Z163="",0,Z163),"0")+IFERROR(IF(Z164="",0,Z164),"0")</f>
        <v/>
      </c>
      <c r="AA165" s="309" t="n"/>
      <c r="AB165" s="309" t="n"/>
      <c r="AC165" s="309" t="n"/>
    </row>
    <row r="166">
      <c r="A166" s="319" t="n"/>
      <c r="B166" s="319" t="n"/>
      <c r="C166" s="319" t="n"/>
      <c r="D166" s="319" t="n"/>
      <c r="E166" s="319" t="n"/>
      <c r="F166" s="319" t="n"/>
      <c r="G166" s="319" t="n"/>
      <c r="H166" s="319" t="n"/>
      <c r="I166" s="319" t="n"/>
      <c r="J166" s="319" t="n"/>
      <c r="K166" s="319" t="n"/>
      <c r="L166" s="319" t="n"/>
      <c r="M166" s="319" t="n"/>
      <c r="N166" s="319" t="n"/>
      <c r="O166" s="320" t="n"/>
      <c r="P166" s="321" t="inlineStr">
        <is>
          <t>Итого</t>
        </is>
      </c>
      <c r="Q166" s="322" t="n"/>
      <c r="R166" s="322" t="n"/>
      <c r="S166" s="322" t="n"/>
      <c r="T166" s="322" t="n"/>
      <c r="U166" s="322" t="n"/>
      <c r="V166" s="323" t="n"/>
      <c r="W166" s="37" t="inlineStr">
        <is>
          <t>кг</t>
        </is>
      </c>
      <c r="X166" s="311">
        <f>IFERROR(SUMPRODUCT(X163:X164*H163:H164),"0")</f>
        <v/>
      </c>
      <c r="Y166" s="308">
        <f>IFERROR(SUMPRODUCT(Y163:Y164*H163:H164),"0")</f>
        <v/>
      </c>
      <c r="Z166" s="37" t="n"/>
      <c r="AA166" s="309" t="n"/>
      <c r="AB166" s="309" t="n"/>
      <c r="AC166" s="309" t="n"/>
    </row>
    <row r="167" ht="27.75" customHeight="1">
      <c r="A167" s="365" t="inlineStr">
        <is>
          <t>Вязанка</t>
        </is>
      </c>
      <c r="B167" s="366" t="n"/>
      <c r="C167" s="366" t="n"/>
      <c r="D167" s="366" t="n"/>
      <c r="E167" s="366" t="n"/>
      <c r="F167" s="366" t="n"/>
      <c r="G167" s="366" t="n"/>
      <c r="H167" s="366" t="n"/>
      <c r="I167" s="366" t="n"/>
      <c r="J167" s="366" t="n"/>
      <c r="K167" s="366" t="n"/>
      <c r="L167" s="366" t="n"/>
      <c r="M167" s="366" t="n"/>
      <c r="N167" s="366" t="n"/>
      <c r="O167" s="366" t="n"/>
      <c r="P167" s="366" t="n"/>
      <c r="Q167" s="366" t="n"/>
      <c r="R167" s="366" t="n"/>
      <c r="S167" s="366" t="n"/>
      <c r="T167" s="366" t="n"/>
      <c r="U167" s="366" t="n"/>
      <c r="V167" s="366" t="n"/>
      <c r="W167" s="366" t="n"/>
      <c r="X167" s="366" t="n"/>
      <c r="Y167" s="366" t="n"/>
      <c r="Z167" s="366" t="n"/>
      <c r="AA167" s="48" t="n"/>
      <c r="AB167" s="48" t="n"/>
      <c r="AC167" s="48" t="n"/>
    </row>
    <row r="168" ht="16.5" customHeight="1">
      <c r="A168" s="324" t="inlineStr">
        <is>
          <t>Сливушка</t>
        </is>
      </c>
      <c r="B168" s="319" t="n"/>
      <c r="C168" s="319" t="n"/>
      <c r="D168" s="319" t="n"/>
      <c r="E168" s="319" t="n"/>
      <c r="F168" s="319" t="n"/>
      <c r="G168" s="319" t="n"/>
      <c r="H168" s="319" t="n"/>
      <c r="I168" s="319" t="n"/>
      <c r="J168" s="319" t="n"/>
      <c r="K168" s="319" t="n"/>
      <c r="L168" s="319" t="n"/>
      <c r="M168" s="319" t="n"/>
      <c r="N168" s="319" t="n"/>
      <c r="O168" s="319" t="n"/>
      <c r="P168" s="319" t="n"/>
      <c r="Q168" s="319" t="n"/>
      <c r="R168" s="319" t="n"/>
      <c r="S168" s="319" t="n"/>
      <c r="T168" s="319" t="n"/>
      <c r="U168" s="319" t="n"/>
      <c r="V168" s="319" t="n"/>
      <c r="W168" s="319" t="n"/>
      <c r="X168" s="319" t="n"/>
      <c r="Y168" s="319" t="n"/>
      <c r="Z168" s="319" t="n"/>
      <c r="AA168" s="324" t="n"/>
      <c r="AB168" s="324" t="n"/>
      <c r="AC168" s="324" t="n"/>
    </row>
    <row r="169" ht="14.25" customHeight="1">
      <c r="A169" s="329" t="inlineStr">
        <is>
          <t>Наггетсы</t>
        </is>
      </c>
      <c r="B169" s="319" t="n"/>
      <c r="C169" s="319" t="n"/>
      <c r="D169" s="319" t="n"/>
      <c r="E169" s="319" t="n"/>
      <c r="F169" s="319" t="n"/>
      <c r="G169" s="319" t="n"/>
      <c r="H169" s="319" t="n"/>
      <c r="I169" s="319" t="n"/>
      <c r="J169" s="319" t="n"/>
      <c r="K169" s="319" t="n"/>
      <c r="L169" s="319" t="n"/>
      <c r="M169" s="319" t="n"/>
      <c r="N169" s="319" t="n"/>
      <c r="O169" s="319" t="n"/>
      <c r="P169" s="319" t="n"/>
      <c r="Q169" s="319" t="n"/>
      <c r="R169" s="319" t="n"/>
      <c r="S169" s="319" t="n"/>
      <c r="T169" s="319" t="n"/>
      <c r="U169" s="319" t="n"/>
      <c r="V169" s="319" t="n"/>
      <c r="W169" s="319" t="n"/>
      <c r="X169" s="319" t="n"/>
      <c r="Y169" s="319" t="n"/>
      <c r="Z169" s="319" t="n"/>
      <c r="AA169" s="329" t="n"/>
      <c r="AB169" s="329" t="n"/>
      <c r="AC169" s="329" t="n"/>
    </row>
    <row r="170" ht="16.5" customHeight="1">
      <c r="A170" s="53" t="inlineStr">
        <is>
          <t>SU003797</t>
        </is>
      </c>
      <c r="B170" s="53" t="inlineStr">
        <is>
          <t>P004497</t>
        </is>
      </c>
      <c r="C170" s="31" t="n">
        <v>4301132179</v>
      </c>
      <c r="D170" s="316" t="n">
        <v>4607111035691</v>
      </c>
      <c r="E170" s="317" t="n"/>
      <c r="F170" s="305" t="n">
        <v>0.25</v>
      </c>
      <c r="G170" s="32" t="n">
        <v>12</v>
      </c>
      <c r="H170" s="305" t="n">
        <v>3</v>
      </c>
      <c r="I170" s="305" t="n">
        <v>3.388</v>
      </c>
      <c r="J170" s="32" t="n">
        <v>70</v>
      </c>
      <c r="K170" s="32" t="inlineStr">
        <is>
          <t>14</t>
        </is>
      </c>
      <c r="L170" s="32" t="inlineStr">
        <is>
          <t>Короб, мин. 1</t>
        </is>
      </c>
      <c r="M170" s="33" t="inlineStr">
        <is>
          <t>МГ</t>
        </is>
      </c>
      <c r="N170" s="33" t="n"/>
      <c r="O170" s="32" t="n">
        <v>365</v>
      </c>
      <c r="P170" s="343">
        <f>HYPERLINK("https://abi.ru/products/Замороженные/Вязанка/Сливушка/Наггетсы/P004497/","Наггетсы «из печи» Фикс.вес 0,25 ТМ «Вязанка»")</f>
        <v/>
      </c>
      <c r="Q170" s="313" t="n"/>
      <c r="R170" s="313" t="n"/>
      <c r="S170" s="313" t="n"/>
      <c r="T170" s="314" t="n"/>
      <c r="U170" s="34" t="n"/>
      <c r="V170" s="34" t="n"/>
      <c r="W170" s="35" t="inlineStr">
        <is>
          <t>кор</t>
        </is>
      </c>
      <c r="X170" s="310" t="n">
        <v>0</v>
      </c>
      <c r="Y170" s="307">
        <f>IFERROR(IF(X170="","",X170),"")</f>
        <v/>
      </c>
      <c r="Z170" s="36">
        <f>IFERROR(IF(X170="","",X170*0.01788),"")</f>
        <v/>
      </c>
      <c r="AA170" s="55" t="n"/>
      <c r="AB170" s="56" t="n"/>
      <c r="AC170" s="172" t="inlineStr">
        <is>
          <t>ЕАЭС N RU Д-RU.РА06.В.19349/24</t>
        </is>
      </c>
      <c r="AD170" s="7">
        <f>X170*G170</f>
        <v/>
      </c>
      <c r="AE170" s="7">
        <f>X170/J170</f>
        <v/>
      </c>
      <c r="AG170" s="66" t="n"/>
      <c r="AJ170" s="69" t="inlineStr">
        <is>
          <t>Короб</t>
        </is>
      </c>
      <c r="AK170" s="69" t="n">
        <v>1</v>
      </c>
      <c r="BB170" s="173" t="inlineStr">
        <is>
          <t>ПГП</t>
        </is>
      </c>
      <c r="BM170" s="66" t="n">
        <v>0</v>
      </c>
      <c r="BN170" s="66" t="n">
        <v>0</v>
      </c>
      <c r="BO170" s="66" t="n">
        <v>0</v>
      </c>
      <c r="BP170" s="66" t="n">
        <v>0</v>
      </c>
    </row>
    <row r="171" ht="27" customHeight="1">
      <c r="A171" s="53" t="inlineStr">
        <is>
          <t>SU003800</t>
        </is>
      </c>
      <c r="B171" s="53" t="inlineStr">
        <is>
          <t>P004496</t>
        </is>
      </c>
      <c r="C171" s="31" t="n">
        <v>4301132182</v>
      </c>
      <c r="D171" s="316" t="n">
        <v>4607111035721</v>
      </c>
      <c r="E171" s="317" t="n"/>
      <c r="F171" s="305" t="n">
        <v>0.25</v>
      </c>
      <c r="G171" s="32" t="n">
        <v>12</v>
      </c>
      <c r="H171" s="305" t="n">
        <v>3</v>
      </c>
      <c r="I171" s="305" t="n">
        <v>3.388</v>
      </c>
      <c r="J171" s="32" t="n">
        <v>70</v>
      </c>
      <c r="K171" s="32" t="inlineStr">
        <is>
          <t>14</t>
        </is>
      </c>
      <c r="L171" s="32" t="inlineStr">
        <is>
          <t>Короб, мин. 1</t>
        </is>
      </c>
      <c r="M171" s="33" t="inlineStr">
        <is>
          <t>МГ</t>
        </is>
      </c>
      <c r="N171" s="33" t="n"/>
      <c r="O171" s="32" t="n">
        <v>365</v>
      </c>
      <c r="P171" s="359">
        <f>HYPERLINK("https://abi.ru/products/Замороженные/Вязанка/Сливушка/Наггетсы/P004496/","Наггетсы «с индейкой» Фикс.вес 0,25 ТМ «Вязанка»")</f>
        <v/>
      </c>
      <c r="Q171" s="313" t="n"/>
      <c r="R171" s="313" t="n"/>
      <c r="S171" s="313" t="n"/>
      <c r="T171" s="314" t="n"/>
      <c r="U171" s="34" t="n"/>
      <c r="V171" s="34" t="n"/>
      <c r="W171" s="35" t="inlineStr">
        <is>
          <t>кор</t>
        </is>
      </c>
      <c r="X171" s="310" t="n">
        <v>0</v>
      </c>
      <c r="Y171" s="307">
        <f>IFERROR(IF(X171="","",X171),"")</f>
        <v/>
      </c>
      <c r="Z171" s="36">
        <f>IFERROR(IF(X171="","",X171*0.01788),"")</f>
        <v/>
      </c>
      <c r="AA171" s="55" t="n"/>
      <c r="AB171" s="56" t="n"/>
      <c r="AC171" s="174" t="inlineStr">
        <is>
          <t>ЕАЭС N RU Д-RU.РА04.В.84034/24</t>
        </is>
      </c>
      <c r="AD171" s="7">
        <f>X171*G171</f>
        <v/>
      </c>
      <c r="AE171" s="7">
        <f>X171/J171</f>
        <v/>
      </c>
      <c r="AG171" s="66" t="n"/>
      <c r="AJ171" s="69" t="inlineStr">
        <is>
          <t>Короб</t>
        </is>
      </c>
      <c r="AK171" s="69" t="n">
        <v>1</v>
      </c>
      <c r="BB171" s="175" t="inlineStr">
        <is>
          <t>ПГП</t>
        </is>
      </c>
      <c r="BM171" s="66" t="n">
        <v>0</v>
      </c>
      <c r="BN171" s="66" t="n">
        <v>0</v>
      </c>
      <c r="BO171" s="66" t="n">
        <v>0</v>
      </c>
      <c r="BP171" s="66" t="n">
        <v>0</v>
      </c>
    </row>
    <row r="172" ht="27" customHeight="1">
      <c r="A172" s="53" t="inlineStr">
        <is>
          <t>SU003795</t>
        </is>
      </c>
      <c r="B172" s="53" t="inlineStr">
        <is>
          <t>P004535</t>
        </is>
      </c>
      <c r="C172" s="31" t="n">
        <v>4301132170</v>
      </c>
      <c r="D172" s="316" t="n">
        <v>4607111038487</v>
      </c>
      <c r="E172" s="317" t="n"/>
      <c r="F172" s="305" t="n">
        <v>0.25</v>
      </c>
      <c r="G172" s="32" t="n">
        <v>12</v>
      </c>
      <c r="H172" s="305" t="n">
        <v>3</v>
      </c>
      <c r="I172" s="305" t="n">
        <v>3.736</v>
      </c>
      <c r="J172" s="32" t="n">
        <v>70</v>
      </c>
      <c r="K172" s="32" t="inlineStr">
        <is>
          <t>14</t>
        </is>
      </c>
      <c r="L172" s="32" t="inlineStr">
        <is>
          <t>Короб, мин. 1</t>
        </is>
      </c>
      <c r="M172" s="33" t="inlineStr">
        <is>
          <t>МГ</t>
        </is>
      </c>
      <c r="N172" s="33" t="n"/>
      <c r="O172" s="32" t="n">
        <v>180</v>
      </c>
      <c r="P172" s="335">
        <f>HYPERLINK("https://abi.ru/products/Замороженные/Вязанка/Сливушка/Наггетсы/P004535/","Наггетсы «с куриным филе и сыром» Фикс.вес 0,25 ТМ «Вязанка»")</f>
        <v/>
      </c>
      <c r="Q172" s="313" t="n"/>
      <c r="R172" s="313" t="n"/>
      <c r="S172" s="313" t="n"/>
      <c r="T172" s="314" t="n"/>
      <c r="U172" s="34" t="n"/>
      <c r="V172" s="34" t="n"/>
      <c r="W172" s="35" t="inlineStr">
        <is>
          <t>кор</t>
        </is>
      </c>
      <c r="X172" s="310" t="n">
        <v>0</v>
      </c>
      <c r="Y172" s="307">
        <f>IFERROR(IF(X172="","",X172),"")</f>
        <v/>
      </c>
      <c r="Z172" s="36">
        <f>IFERROR(IF(X172="","",X172*0.01788),"")</f>
        <v/>
      </c>
      <c r="AA172" s="55" t="n"/>
      <c r="AB172" s="56" t="n"/>
      <c r="AC172" s="176" t="inlineStr">
        <is>
          <t>ЕАЭС N RU Д-RU.РА04.В.87517/24</t>
        </is>
      </c>
      <c r="AD172" s="7">
        <f>X172*G172</f>
        <v/>
      </c>
      <c r="AE172" s="7">
        <f>X172/J172</f>
        <v/>
      </c>
      <c r="AG172" s="66" t="n"/>
      <c r="AJ172" s="69" t="inlineStr">
        <is>
          <t>Короб</t>
        </is>
      </c>
      <c r="AK172" s="69" t="n">
        <v>1</v>
      </c>
      <c r="BB172" s="177" t="inlineStr">
        <is>
          <t>ПГП</t>
        </is>
      </c>
      <c r="BM172" s="66" t="n">
        <v>0</v>
      </c>
      <c r="BN172" s="66" t="n">
        <v>0</v>
      </c>
      <c r="BO172" s="66" t="n">
        <v>0</v>
      </c>
      <c r="BP172" s="66" t="n">
        <v>0</v>
      </c>
    </row>
    <row r="173">
      <c r="A173" s="318" t="n"/>
      <c r="B173" s="319" t="n"/>
      <c r="C173" s="319" t="n"/>
      <c r="D173" s="319" t="n"/>
      <c r="E173" s="319" t="n"/>
      <c r="F173" s="319" t="n"/>
      <c r="G173" s="319" t="n"/>
      <c r="H173" s="319" t="n"/>
      <c r="I173" s="319" t="n"/>
      <c r="J173" s="319" t="n"/>
      <c r="K173" s="319" t="n"/>
      <c r="L173" s="319" t="n"/>
      <c r="M173" s="319" t="n"/>
      <c r="N173" s="319" t="n"/>
      <c r="O173" s="320" t="n"/>
      <c r="P173" s="321" t="inlineStr">
        <is>
          <t>Итого</t>
        </is>
      </c>
      <c r="Q173" s="322" t="n"/>
      <c r="R173" s="322" t="n"/>
      <c r="S173" s="322" t="n"/>
      <c r="T173" s="322" t="n"/>
      <c r="U173" s="322" t="n"/>
      <c r="V173" s="323" t="n"/>
      <c r="W173" s="37" t="inlineStr">
        <is>
          <t>кор</t>
        </is>
      </c>
      <c r="X173" s="311">
        <f>IFERROR(SUM(X170:X172),"0")</f>
        <v/>
      </c>
      <c r="Y173" s="308">
        <f>IFERROR(SUM(Y170:Y172),"0")</f>
        <v/>
      </c>
      <c r="Z173" s="308">
        <f>IFERROR(IF(Z170="",0,Z170),"0")+IFERROR(IF(Z171="",0,Z171),"0")+IFERROR(IF(Z172="",0,Z172),"0")</f>
        <v/>
      </c>
      <c r="AA173" s="309" t="n"/>
      <c r="AB173" s="309" t="n"/>
      <c r="AC173" s="309" t="n"/>
    </row>
    <row r="174">
      <c r="A174" s="319" t="n"/>
      <c r="B174" s="319" t="n"/>
      <c r="C174" s="319" t="n"/>
      <c r="D174" s="319" t="n"/>
      <c r="E174" s="319" t="n"/>
      <c r="F174" s="319" t="n"/>
      <c r="G174" s="319" t="n"/>
      <c r="H174" s="319" t="n"/>
      <c r="I174" s="319" t="n"/>
      <c r="J174" s="319" t="n"/>
      <c r="K174" s="319" t="n"/>
      <c r="L174" s="319" t="n"/>
      <c r="M174" s="319" t="n"/>
      <c r="N174" s="319" t="n"/>
      <c r="O174" s="320" t="n"/>
      <c r="P174" s="321" t="inlineStr">
        <is>
          <t>Итого</t>
        </is>
      </c>
      <c r="Q174" s="322" t="n"/>
      <c r="R174" s="322" t="n"/>
      <c r="S174" s="322" t="n"/>
      <c r="T174" s="322" t="n"/>
      <c r="U174" s="322" t="n"/>
      <c r="V174" s="323" t="n"/>
      <c r="W174" s="37" t="inlineStr">
        <is>
          <t>кг</t>
        </is>
      </c>
      <c r="X174" s="311">
        <f>IFERROR(SUMPRODUCT(X170:X172*H170:H172),"0")</f>
        <v/>
      </c>
      <c r="Y174" s="308">
        <f>IFERROR(SUMPRODUCT(Y170:Y172*H170:H172),"0")</f>
        <v/>
      </c>
      <c r="Z174" s="37" t="n"/>
      <c r="AA174" s="309" t="n"/>
      <c r="AB174" s="309" t="n"/>
      <c r="AC174" s="309" t="n"/>
    </row>
    <row r="175" ht="14.25" customHeight="1">
      <c r="A175" s="329" t="inlineStr">
        <is>
          <t>Сосиски замороженные</t>
        </is>
      </c>
      <c r="B175" s="319" t="n"/>
      <c r="C175" s="319" t="n"/>
      <c r="D175" s="319" t="n"/>
      <c r="E175" s="319" t="n"/>
      <c r="F175" s="319" t="n"/>
      <c r="G175" s="319" t="n"/>
      <c r="H175" s="319" t="n"/>
      <c r="I175" s="319" t="n"/>
      <c r="J175" s="319" t="n"/>
      <c r="K175" s="319" t="n"/>
      <c r="L175" s="319" t="n"/>
      <c r="M175" s="319" t="n"/>
      <c r="N175" s="319" t="n"/>
      <c r="O175" s="319" t="n"/>
      <c r="P175" s="319" t="n"/>
      <c r="Q175" s="319" t="n"/>
      <c r="R175" s="319" t="n"/>
      <c r="S175" s="319" t="n"/>
      <c r="T175" s="319" t="n"/>
      <c r="U175" s="319" t="n"/>
      <c r="V175" s="319" t="n"/>
      <c r="W175" s="319" t="n"/>
      <c r="X175" s="319" t="n"/>
      <c r="Y175" s="319" t="n"/>
      <c r="Z175" s="319" t="n"/>
      <c r="AA175" s="329" t="n"/>
      <c r="AB175" s="329" t="n"/>
      <c r="AC175" s="329" t="n"/>
    </row>
    <row r="176" ht="27" customHeight="1">
      <c r="A176" s="53" t="inlineStr">
        <is>
          <t>SU003643</t>
        </is>
      </c>
      <c r="B176" s="53" t="inlineStr">
        <is>
          <t>P004612</t>
        </is>
      </c>
      <c r="C176" s="31" t="n">
        <v>4301051855</v>
      </c>
      <c r="D176" s="316" t="n">
        <v>4680115885875</v>
      </c>
      <c r="E176" s="317" t="n"/>
      <c r="F176" s="305" t="n">
        <v>1</v>
      </c>
      <c r="G176" s="32" t="n">
        <v>9</v>
      </c>
      <c r="H176" s="305" t="n">
        <v>9</v>
      </c>
      <c r="I176" s="305" t="n">
        <v>9.435</v>
      </c>
      <c r="J176" s="32" t="n">
        <v>64</v>
      </c>
      <c r="K176" s="32" t="inlineStr">
        <is>
          <t>8</t>
        </is>
      </c>
      <c r="L176" s="32" t="inlineStr">
        <is>
          <t>Короб, мин. 1</t>
        </is>
      </c>
      <c r="M176" s="33" t="inlineStr">
        <is>
          <t>СК2</t>
        </is>
      </c>
      <c r="N176" s="33" t="n"/>
      <c r="O176" s="32" t="n">
        <v>365</v>
      </c>
      <c r="P176" s="468" t="inlineStr">
        <is>
          <t>Сосиски замороженные «Сосиски с сыром» Весовой ТМ «Вязанка» для корн-догов</t>
        </is>
      </c>
      <c r="Q176" s="313" t="n"/>
      <c r="R176" s="313" t="n"/>
      <c r="S176" s="313" t="n"/>
      <c r="T176" s="314" t="n"/>
      <c r="U176" s="34" t="n"/>
      <c r="V176" s="34" t="n"/>
      <c r="W176" s="35" t="inlineStr">
        <is>
          <t>кор</t>
        </is>
      </c>
      <c r="X176" s="310" t="n">
        <v>0</v>
      </c>
      <c r="Y176" s="307">
        <f>IFERROR(IF(X176="","",X176),"")</f>
        <v/>
      </c>
      <c r="Z176" s="36">
        <f>IFERROR(IF(X176="","",X176*0.01898),"")</f>
        <v/>
      </c>
      <c r="AA176" s="55" t="n"/>
      <c r="AB176" s="56" t="n"/>
      <c r="AC176" s="178" t="inlineStr">
        <is>
          <t>ЕАЭС N RU Д-RU.РА05.В.23448/24</t>
        </is>
      </c>
      <c r="AD176" s="7">
        <f>X176*G176</f>
        <v/>
      </c>
      <c r="AE176" s="7">
        <f>X176/J176</f>
        <v/>
      </c>
      <c r="AG176" s="66" t="n"/>
      <c r="AJ176" s="69" t="inlineStr">
        <is>
          <t>Короб</t>
        </is>
      </c>
      <c r="AK176" s="69" t="n">
        <v>1</v>
      </c>
      <c r="BB176" s="179" t="inlineStr">
        <is>
          <t>КИЗ</t>
        </is>
      </c>
      <c r="BM176" s="66" t="n">
        <v>0</v>
      </c>
      <c r="BN176" s="66" t="n">
        <v>0</v>
      </c>
      <c r="BO176" s="66" t="n">
        <v>0</v>
      </c>
      <c r="BP176" s="66" t="n">
        <v>0</v>
      </c>
    </row>
    <row r="177">
      <c r="A177" s="318" t="n"/>
      <c r="B177" s="319" t="n"/>
      <c r="C177" s="319" t="n"/>
      <c r="D177" s="319" t="n"/>
      <c r="E177" s="319" t="n"/>
      <c r="F177" s="319" t="n"/>
      <c r="G177" s="319" t="n"/>
      <c r="H177" s="319" t="n"/>
      <c r="I177" s="319" t="n"/>
      <c r="J177" s="319" t="n"/>
      <c r="K177" s="319" t="n"/>
      <c r="L177" s="319" t="n"/>
      <c r="M177" s="319" t="n"/>
      <c r="N177" s="319" t="n"/>
      <c r="O177" s="320" t="n"/>
      <c r="P177" s="321" t="inlineStr">
        <is>
          <t>Итого</t>
        </is>
      </c>
      <c r="Q177" s="322" t="n"/>
      <c r="R177" s="322" t="n"/>
      <c r="S177" s="322" t="n"/>
      <c r="T177" s="322" t="n"/>
      <c r="U177" s="322" t="n"/>
      <c r="V177" s="323" t="n"/>
      <c r="W177" s="37" t="inlineStr">
        <is>
          <t>кор</t>
        </is>
      </c>
      <c r="X177" s="311">
        <f>IFERROR(SUM(X176:X176),"0")</f>
        <v/>
      </c>
      <c r="Y177" s="308">
        <f>IFERROR(SUM(Y176:Y176),"0")</f>
        <v/>
      </c>
      <c r="Z177" s="308">
        <f>IFERROR(IF(Z176="",0,Z176),"0")</f>
        <v/>
      </c>
      <c r="AA177" s="309" t="n"/>
      <c r="AB177" s="309" t="n"/>
      <c r="AC177" s="309" t="n"/>
    </row>
    <row r="178">
      <c r="A178" s="319" t="n"/>
      <c r="B178" s="319" t="n"/>
      <c r="C178" s="319" t="n"/>
      <c r="D178" s="319" t="n"/>
      <c r="E178" s="319" t="n"/>
      <c r="F178" s="319" t="n"/>
      <c r="G178" s="319" t="n"/>
      <c r="H178" s="319" t="n"/>
      <c r="I178" s="319" t="n"/>
      <c r="J178" s="319" t="n"/>
      <c r="K178" s="319" t="n"/>
      <c r="L178" s="319" t="n"/>
      <c r="M178" s="319" t="n"/>
      <c r="N178" s="319" t="n"/>
      <c r="O178" s="320" t="n"/>
      <c r="P178" s="321" t="inlineStr">
        <is>
          <t>Итого</t>
        </is>
      </c>
      <c r="Q178" s="322" t="n"/>
      <c r="R178" s="322" t="n"/>
      <c r="S178" s="322" t="n"/>
      <c r="T178" s="322" t="n"/>
      <c r="U178" s="322" t="n"/>
      <c r="V178" s="323" t="n"/>
      <c r="W178" s="37" t="inlineStr">
        <is>
          <t>кг</t>
        </is>
      </c>
      <c r="X178" s="311">
        <f>IFERROR(SUMPRODUCT(X176:X176*H176:H176),"0")</f>
        <v/>
      </c>
      <c r="Y178" s="308">
        <f>IFERROR(SUMPRODUCT(Y176:Y176*H176:H176),"0")</f>
        <v/>
      </c>
      <c r="Z178" s="37" t="n"/>
      <c r="AA178" s="309" t="n"/>
      <c r="AB178" s="309" t="n"/>
      <c r="AC178" s="309" t="n"/>
    </row>
    <row r="179" ht="27.75" customHeight="1">
      <c r="A179" s="365" t="inlineStr">
        <is>
          <t>Стародворье</t>
        </is>
      </c>
      <c r="B179" s="366" t="n"/>
      <c r="C179" s="366" t="n"/>
      <c r="D179" s="366" t="n"/>
      <c r="E179" s="366" t="n"/>
      <c r="F179" s="366" t="n"/>
      <c r="G179" s="366" t="n"/>
      <c r="H179" s="366" t="n"/>
      <c r="I179" s="366" t="n"/>
      <c r="J179" s="366" t="n"/>
      <c r="K179" s="366" t="n"/>
      <c r="L179" s="366" t="n"/>
      <c r="M179" s="366" t="n"/>
      <c r="N179" s="366" t="n"/>
      <c r="O179" s="366" t="n"/>
      <c r="P179" s="366" t="n"/>
      <c r="Q179" s="366" t="n"/>
      <c r="R179" s="366" t="n"/>
      <c r="S179" s="366" t="n"/>
      <c r="T179" s="366" t="n"/>
      <c r="U179" s="366" t="n"/>
      <c r="V179" s="366" t="n"/>
      <c r="W179" s="366" t="n"/>
      <c r="X179" s="366" t="n"/>
      <c r="Y179" s="366" t="n"/>
      <c r="Z179" s="366" t="n"/>
      <c r="AA179" s="48" t="n"/>
      <c r="AB179" s="48" t="n"/>
      <c r="AC179" s="48" t="n"/>
    </row>
    <row r="180" ht="16.5" customHeight="1">
      <c r="A180" s="324" t="inlineStr">
        <is>
          <t>Стародворье ПГП</t>
        </is>
      </c>
      <c r="B180" s="319" t="n"/>
      <c r="C180" s="319" t="n"/>
      <c r="D180" s="319" t="n"/>
      <c r="E180" s="319" t="n"/>
      <c r="F180" s="319" t="n"/>
      <c r="G180" s="319" t="n"/>
      <c r="H180" s="319" t="n"/>
      <c r="I180" s="319" t="n"/>
      <c r="J180" s="319" t="n"/>
      <c r="K180" s="319" t="n"/>
      <c r="L180" s="319" t="n"/>
      <c r="M180" s="319" t="n"/>
      <c r="N180" s="319" t="n"/>
      <c r="O180" s="319" t="n"/>
      <c r="P180" s="319" t="n"/>
      <c r="Q180" s="319" t="n"/>
      <c r="R180" s="319" t="n"/>
      <c r="S180" s="319" t="n"/>
      <c r="T180" s="319" t="n"/>
      <c r="U180" s="319" t="n"/>
      <c r="V180" s="319" t="n"/>
      <c r="W180" s="319" t="n"/>
      <c r="X180" s="319" t="n"/>
      <c r="Y180" s="319" t="n"/>
      <c r="Z180" s="319" t="n"/>
      <c r="AA180" s="324" t="n"/>
      <c r="AB180" s="324" t="n"/>
      <c r="AC180" s="324" t="n"/>
    </row>
    <row r="181" ht="14.25" customHeight="1">
      <c r="A181" s="329" t="inlineStr">
        <is>
          <t>Наггетсы</t>
        </is>
      </c>
      <c r="B181" s="319" t="n"/>
      <c r="C181" s="319" t="n"/>
      <c r="D181" s="319" t="n"/>
      <c r="E181" s="319" t="n"/>
      <c r="F181" s="319" t="n"/>
      <c r="G181" s="319" t="n"/>
      <c r="H181" s="319" t="n"/>
      <c r="I181" s="319" t="n"/>
      <c r="J181" s="319" t="n"/>
      <c r="K181" s="319" t="n"/>
      <c r="L181" s="319" t="n"/>
      <c r="M181" s="319" t="n"/>
      <c r="N181" s="319" t="n"/>
      <c r="O181" s="319" t="n"/>
      <c r="P181" s="319" t="n"/>
      <c r="Q181" s="319" t="n"/>
      <c r="R181" s="319" t="n"/>
      <c r="S181" s="319" t="n"/>
      <c r="T181" s="319" t="n"/>
      <c r="U181" s="319" t="n"/>
      <c r="V181" s="319" t="n"/>
      <c r="W181" s="319" t="n"/>
      <c r="X181" s="319" t="n"/>
      <c r="Y181" s="319" t="n"/>
      <c r="Z181" s="319" t="n"/>
      <c r="AA181" s="329" t="n"/>
      <c r="AB181" s="329" t="n"/>
      <c r="AC181" s="329" t="n"/>
    </row>
    <row r="182" ht="27" customHeight="1">
      <c r="A182" s="53" t="inlineStr">
        <is>
          <t>SU003930</t>
        </is>
      </c>
      <c r="B182" s="53" t="inlineStr">
        <is>
          <t>P005043</t>
        </is>
      </c>
      <c r="C182" s="31" t="n">
        <v>4301132227</v>
      </c>
      <c r="D182" s="316" t="n">
        <v>4620207491133</v>
      </c>
      <c r="E182" s="317" t="n"/>
      <c r="F182" s="305" t="n">
        <v>0.23</v>
      </c>
      <c r="G182" s="32" t="n">
        <v>12</v>
      </c>
      <c r="H182" s="305" t="n">
        <v>2.76</v>
      </c>
      <c r="I182" s="305" t="n">
        <v>2.98</v>
      </c>
      <c r="J182" s="32" t="n">
        <v>70</v>
      </c>
      <c r="K182" s="32" t="inlineStr">
        <is>
          <t>14</t>
        </is>
      </c>
      <c r="L182" s="32" t="inlineStr">
        <is>
          <t>Короб, мин. 1</t>
        </is>
      </c>
      <c r="M182" s="33" t="inlineStr">
        <is>
          <t>МГ</t>
        </is>
      </c>
      <c r="N182" s="33" t="n"/>
      <c r="O182" s="32" t="n">
        <v>180</v>
      </c>
      <c r="P182" s="392" t="inlineStr">
        <is>
          <t>Наггетсы «Хрустящие с сочной курочкой» Фикс.вес 0,23 ТМ «Стародворье»</t>
        </is>
      </c>
      <c r="Q182" s="313" t="n"/>
      <c r="R182" s="313" t="n"/>
      <c r="S182" s="313" t="n"/>
      <c r="T182" s="314" t="n"/>
      <c r="U182" s="34" t="n"/>
      <c r="V182" s="34" t="n"/>
      <c r="W182" s="35" t="inlineStr">
        <is>
          <t>кор</t>
        </is>
      </c>
      <c r="X182" s="310" t="n">
        <v>0</v>
      </c>
      <c r="Y182" s="307">
        <f>IFERROR(IF(X182="","",X182),"")</f>
        <v/>
      </c>
      <c r="Z182" s="36">
        <f>IFERROR(IF(X182="","",X182*0.01788),"")</f>
        <v/>
      </c>
      <c r="AA182" s="55" t="n"/>
      <c r="AB182" s="56" t="n"/>
      <c r="AC182" s="180" t="inlineStr">
        <is>
          <t>ЕАЭС N RU Д-RU.РА03.В.98877/23</t>
        </is>
      </c>
      <c r="AD182" s="7">
        <f>X182*G182</f>
        <v/>
      </c>
      <c r="AE182" s="7">
        <f>X182/J182</f>
        <v/>
      </c>
      <c r="AG182" s="66" t="n"/>
      <c r="AJ182" s="69" t="inlineStr">
        <is>
          <t>Короб</t>
        </is>
      </c>
      <c r="AK182" s="69" t="n">
        <v>1</v>
      </c>
      <c r="BB182" s="181" t="inlineStr">
        <is>
          <t>ПГП</t>
        </is>
      </c>
      <c r="BM182" s="66" t="n">
        <v>0</v>
      </c>
      <c r="BN182" s="66" t="n">
        <v>0</v>
      </c>
      <c r="BO182" s="66" t="n">
        <v>0</v>
      </c>
      <c r="BP182" s="66" t="n">
        <v>0</v>
      </c>
    </row>
    <row r="183">
      <c r="A183" s="318" t="n"/>
      <c r="B183" s="319" t="n"/>
      <c r="C183" s="319" t="n"/>
      <c r="D183" s="319" t="n"/>
      <c r="E183" s="319" t="n"/>
      <c r="F183" s="319" t="n"/>
      <c r="G183" s="319" t="n"/>
      <c r="H183" s="319" t="n"/>
      <c r="I183" s="319" t="n"/>
      <c r="J183" s="319" t="n"/>
      <c r="K183" s="319" t="n"/>
      <c r="L183" s="319" t="n"/>
      <c r="M183" s="319" t="n"/>
      <c r="N183" s="319" t="n"/>
      <c r="O183" s="320" t="n"/>
      <c r="P183" s="321" t="inlineStr">
        <is>
          <t>Итого</t>
        </is>
      </c>
      <c r="Q183" s="322" t="n"/>
      <c r="R183" s="322" t="n"/>
      <c r="S183" s="322" t="n"/>
      <c r="T183" s="322" t="n"/>
      <c r="U183" s="322" t="n"/>
      <c r="V183" s="323" t="n"/>
      <c r="W183" s="37" t="inlineStr">
        <is>
          <t>кор</t>
        </is>
      </c>
      <c r="X183" s="311">
        <f>IFERROR(SUM(X182:X182),"0")</f>
        <v/>
      </c>
      <c r="Y183" s="308">
        <f>IFERROR(SUM(Y182:Y182),"0")</f>
        <v/>
      </c>
      <c r="Z183" s="308">
        <f>IFERROR(IF(Z182="",0,Z182),"0")</f>
        <v/>
      </c>
      <c r="AA183" s="309" t="n"/>
      <c r="AB183" s="309" t="n"/>
      <c r="AC183" s="309" t="n"/>
    </row>
    <row r="184">
      <c r="A184" s="319" t="n"/>
      <c r="B184" s="319" t="n"/>
      <c r="C184" s="319" t="n"/>
      <c r="D184" s="319" t="n"/>
      <c r="E184" s="319" t="n"/>
      <c r="F184" s="319" t="n"/>
      <c r="G184" s="319" t="n"/>
      <c r="H184" s="319" t="n"/>
      <c r="I184" s="319" t="n"/>
      <c r="J184" s="319" t="n"/>
      <c r="K184" s="319" t="n"/>
      <c r="L184" s="319" t="n"/>
      <c r="M184" s="319" t="n"/>
      <c r="N184" s="319" t="n"/>
      <c r="O184" s="320" t="n"/>
      <c r="P184" s="321" t="inlineStr">
        <is>
          <t>Итого</t>
        </is>
      </c>
      <c r="Q184" s="322" t="n"/>
      <c r="R184" s="322" t="n"/>
      <c r="S184" s="322" t="n"/>
      <c r="T184" s="322" t="n"/>
      <c r="U184" s="322" t="n"/>
      <c r="V184" s="323" t="n"/>
      <c r="W184" s="37" t="inlineStr">
        <is>
          <t>кг</t>
        </is>
      </c>
      <c r="X184" s="311">
        <f>IFERROR(SUMPRODUCT(X182:X182*H182:H182),"0")</f>
        <v/>
      </c>
      <c r="Y184" s="308">
        <f>IFERROR(SUMPRODUCT(Y182:Y182*H182:H182),"0")</f>
        <v/>
      </c>
      <c r="Z184" s="37" t="n"/>
      <c r="AA184" s="309" t="n"/>
      <c r="AB184" s="309" t="n"/>
      <c r="AC184" s="309" t="n"/>
    </row>
    <row r="185" ht="14.25" customHeight="1">
      <c r="A185" s="329" t="inlineStr">
        <is>
          <t>Снеки</t>
        </is>
      </c>
      <c r="B185" s="319" t="n"/>
      <c r="C185" s="319" t="n"/>
      <c r="D185" s="319" t="n"/>
      <c r="E185" s="319" t="n"/>
      <c r="F185" s="319" t="n"/>
      <c r="G185" s="319" t="n"/>
      <c r="H185" s="319" t="n"/>
      <c r="I185" s="319" t="n"/>
      <c r="J185" s="319" t="n"/>
      <c r="K185" s="319" t="n"/>
      <c r="L185" s="319" t="n"/>
      <c r="M185" s="319" t="n"/>
      <c r="N185" s="319" t="n"/>
      <c r="O185" s="319" t="n"/>
      <c r="P185" s="319" t="n"/>
      <c r="Q185" s="319" t="n"/>
      <c r="R185" s="319" t="n"/>
      <c r="S185" s="319" t="n"/>
      <c r="T185" s="319" t="n"/>
      <c r="U185" s="319" t="n"/>
      <c r="V185" s="319" t="n"/>
      <c r="W185" s="319" t="n"/>
      <c r="X185" s="319" t="n"/>
      <c r="Y185" s="319" t="n"/>
      <c r="Z185" s="319" t="n"/>
      <c r="AA185" s="329" t="n"/>
      <c r="AB185" s="329" t="n"/>
      <c r="AC185" s="329" t="n"/>
    </row>
    <row r="186" ht="27" customHeight="1">
      <c r="A186" s="53" t="inlineStr">
        <is>
          <t>SU003777</t>
        </is>
      </c>
      <c r="B186" s="53" t="inlineStr">
        <is>
          <t>P004822</t>
        </is>
      </c>
      <c r="C186" s="31" t="n">
        <v>4301135707</v>
      </c>
      <c r="D186" s="316" t="n">
        <v>4620207490198</v>
      </c>
      <c r="E186" s="317" t="n"/>
      <c r="F186" s="305" t="n">
        <v>0.2</v>
      </c>
      <c r="G186" s="32" t="n">
        <v>12</v>
      </c>
      <c r="H186" s="305" t="n">
        <v>2.4</v>
      </c>
      <c r="I186" s="305" t="n">
        <v>3.1036</v>
      </c>
      <c r="J186" s="32" t="n">
        <v>70</v>
      </c>
      <c r="K186" s="32" t="inlineStr">
        <is>
          <t>14</t>
        </is>
      </c>
      <c r="L186" s="32" t="inlineStr">
        <is>
          <t>Короб, мин. 1</t>
        </is>
      </c>
      <c r="M186" s="33" t="inlineStr">
        <is>
          <t>МГ</t>
        </is>
      </c>
      <c r="N186" s="33" t="n"/>
      <c r="O186" s="32" t="n">
        <v>180</v>
      </c>
      <c r="P186" s="492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/>
      </c>
      <c r="Q186" s="313" t="n"/>
      <c r="R186" s="313" t="n"/>
      <c r="S186" s="313" t="n"/>
      <c r="T186" s="314" t="n"/>
      <c r="U186" s="34" t="n"/>
      <c r="V186" s="34" t="n"/>
      <c r="W186" s="35" t="inlineStr">
        <is>
          <t>кор</t>
        </is>
      </c>
      <c r="X186" s="310" t="n">
        <v>0</v>
      </c>
      <c r="Y186" s="307">
        <f>IFERROR(IF(X186="","",X186),"")</f>
        <v/>
      </c>
      <c r="Z186" s="36">
        <f>IFERROR(IF(X186="","",X186*0.01788),"")</f>
        <v/>
      </c>
      <c r="AA186" s="55" t="n"/>
      <c r="AB186" s="56" t="n"/>
      <c r="AC186" s="182" t="inlineStr">
        <is>
          <t>ЕАЭС N RU Д-RU.РА08.В.93674/24</t>
        </is>
      </c>
      <c r="AD186" s="7">
        <f>X186*G186</f>
        <v/>
      </c>
      <c r="AE186" s="7">
        <f>X186/J186</f>
        <v/>
      </c>
      <c r="AG186" s="66" t="n"/>
      <c r="AJ186" s="69" t="inlineStr">
        <is>
          <t>Короб</t>
        </is>
      </c>
      <c r="AK186" s="69" t="n">
        <v>1</v>
      </c>
      <c r="BB186" s="183" t="inlineStr">
        <is>
          <t>ПГП</t>
        </is>
      </c>
      <c r="BM186" s="66" t="n">
        <v>0</v>
      </c>
      <c r="BN186" s="66" t="n">
        <v>0</v>
      </c>
      <c r="BO186" s="66" t="n">
        <v>0</v>
      </c>
      <c r="BP186" s="66" t="n">
        <v>0</v>
      </c>
    </row>
    <row r="187" ht="27" customHeight="1">
      <c r="A187" s="53" t="inlineStr">
        <is>
          <t>SU003721</t>
        </is>
      </c>
      <c r="B187" s="53" t="inlineStr">
        <is>
          <t>P004811</t>
        </is>
      </c>
      <c r="C187" s="31" t="n">
        <v>4301135696</v>
      </c>
      <c r="D187" s="316" t="n">
        <v>4620207490235</v>
      </c>
      <c r="E187" s="317" t="n"/>
      <c r="F187" s="305" t="n">
        <v>0.2</v>
      </c>
      <c r="G187" s="32" t="n">
        <v>12</v>
      </c>
      <c r="H187" s="305" t="n">
        <v>2.4</v>
      </c>
      <c r="I187" s="305" t="n">
        <v>3.1036</v>
      </c>
      <c r="J187" s="32" t="n">
        <v>70</v>
      </c>
      <c r="K187" s="32" t="inlineStr">
        <is>
          <t>14</t>
        </is>
      </c>
      <c r="L187" s="32" t="inlineStr">
        <is>
          <t>Короб, мин. 1</t>
        </is>
      </c>
      <c r="M187" s="33" t="inlineStr">
        <is>
          <t>МГ</t>
        </is>
      </c>
      <c r="N187" s="33" t="n"/>
      <c r="O187" s="32" t="n">
        <v>180</v>
      </c>
      <c r="P187" s="376">
        <f>HYPERLINK("https://abi.ru/products/Замороженные/Стародворье/Стародворье ПГП/Снеки/P004811/","Снеки «ЖАР-ладушки с мясом» Фикс.вес 0,2 ТМ «Стародворье»")</f>
        <v/>
      </c>
      <c r="Q187" s="313" t="n"/>
      <c r="R187" s="313" t="n"/>
      <c r="S187" s="313" t="n"/>
      <c r="T187" s="314" t="n"/>
      <c r="U187" s="34" t="n"/>
      <c r="V187" s="34" t="n"/>
      <c r="W187" s="35" t="inlineStr">
        <is>
          <t>кор</t>
        </is>
      </c>
      <c r="X187" s="310" t="n">
        <v>0</v>
      </c>
      <c r="Y187" s="307">
        <f>IFERROR(IF(X187="","",X187),"")</f>
        <v/>
      </c>
      <c r="Z187" s="36">
        <f>IFERROR(IF(X187="","",X187*0.01788),"")</f>
        <v/>
      </c>
      <c r="AA187" s="55" t="n"/>
      <c r="AB187" s="56" t="n"/>
      <c r="AC187" s="184" t="inlineStr">
        <is>
          <t>ЕАЭС N RU Д-RU.РА09.В.00509/24</t>
        </is>
      </c>
      <c r="AD187" s="7">
        <f>X187*G187</f>
        <v/>
      </c>
      <c r="AE187" s="7">
        <f>X187/J187</f>
        <v/>
      </c>
      <c r="AG187" s="66" t="n"/>
      <c r="AJ187" s="69" t="inlineStr">
        <is>
          <t>Короб</t>
        </is>
      </c>
      <c r="AK187" s="69" t="n">
        <v>1</v>
      </c>
      <c r="BB187" s="185" t="inlineStr">
        <is>
          <t>ПГП</t>
        </is>
      </c>
      <c r="BM187" s="66" t="n">
        <v>0</v>
      </c>
      <c r="BN187" s="66" t="n">
        <v>0</v>
      </c>
      <c r="BO187" s="66" t="n">
        <v>0</v>
      </c>
      <c r="BP187" s="66" t="n">
        <v>0</v>
      </c>
    </row>
    <row r="188" ht="27" customHeight="1">
      <c r="A188" s="53" t="inlineStr">
        <is>
          <t>SU003722</t>
        </is>
      </c>
      <c r="B188" s="53" t="inlineStr">
        <is>
          <t>P004812</t>
        </is>
      </c>
      <c r="C188" s="31" t="n">
        <v>4301135697</v>
      </c>
      <c r="D188" s="316" t="n">
        <v>4620207490259</v>
      </c>
      <c r="E188" s="317" t="n"/>
      <c r="F188" s="305" t="n">
        <v>0.2</v>
      </c>
      <c r="G188" s="32" t="n">
        <v>12</v>
      </c>
      <c r="H188" s="305" t="n">
        <v>2.4</v>
      </c>
      <c r="I188" s="305" t="n">
        <v>3.1036</v>
      </c>
      <c r="J188" s="32" t="n">
        <v>70</v>
      </c>
      <c r="K188" s="32" t="inlineStr">
        <is>
          <t>14</t>
        </is>
      </c>
      <c r="L188" s="32" t="inlineStr">
        <is>
          <t>Короб, мин. 1</t>
        </is>
      </c>
      <c r="M188" s="33" t="inlineStr">
        <is>
          <t>МГ</t>
        </is>
      </c>
      <c r="N188" s="33" t="n"/>
      <c r="O188" s="32" t="n">
        <v>180</v>
      </c>
      <c r="P188" s="461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/>
      </c>
      <c r="Q188" s="313" t="n"/>
      <c r="R188" s="313" t="n"/>
      <c r="S188" s="313" t="n"/>
      <c r="T188" s="314" t="n"/>
      <c r="U188" s="34" t="n"/>
      <c r="V188" s="34" t="n"/>
      <c r="W188" s="35" t="inlineStr">
        <is>
          <t>кор</t>
        </is>
      </c>
      <c r="X188" s="310" t="n">
        <v>0</v>
      </c>
      <c r="Y188" s="307">
        <f>IFERROR(IF(X188="","",X188),"")</f>
        <v/>
      </c>
      <c r="Z188" s="36">
        <f>IFERROR(IF(X188="","",X188*0.01788),"")</f>
        <v/>
      </c>
      <c r="AA188" s="55" t="n"/>
      <c r="AB188" s="56" t="n"/>
      <c r="AC188" s="186" t="inlineStr">
        <is>
          <t>ЕАЭС N RU Д-RU.РА08.В.93674/24</t>
        </is>
      </c>
      <c r="AD188" s="7">
        <f>X188*G188</f>
        <v/>
      </c>
      <c r="AE188" s="7">
        <f>X188/J188</f>
        <v/>
      </c>
      <c r="AG188" s="66" t="n"/>
      <c r="AJ188" s="69" t="inlineStr">
        <is>
          <t>Короб</t>
        </is>
      </c>
      <c r="AK188" s="69" t="n">
        <v>1</v>
      </c>
      <c r="BB188" s="187" t="inlineStr">
        <is>
          <t>ПГП</t>
        </is>
      </c>
      <c r="BM188" s="66" t="n">
        <v>0</v>
      </c>
      <c r="BN188" s="66" t="n">
        <v>0</v>
      </c>
      <c r="BO188" s="66" t="n">
        <v>0</v>
      </c>
      <c r="BP188" s="66" t="n">
        <v>0</v>
      </c>
    </row>
    <row r="189" ht="27" customHeight="1">
      <c r="A189" s="53" t="inlineStr">
        <is>
          <t>SU003712</t>
        </is>
      </c>
      <c r="B189" s="53" t="inlineStr">
        <is>
          <t>P004785</t>
        </is>
      </c>
      <c r="C189" s="31" t="n">
        <v>4301135681</v>
      </c>
      <c r="D189" s="316" t="n">
        <v>4620207490143</v>
      </c>
      <c r="E189" s="317" t="n"/>
      <c r="F189" s="305" t="n">
        <v>0.22</v>
      </c>
      <c r="G189" s="32" t="n">
        <v>12</v>
      </c>
      <c r="H189" s="305" t="n">
        <v>2.64</v>
      </c>
      <c r="I189" s="305" t="n">
        <v>3.3436</v>
      </c>
      <c r="J189" s="32" t="n">
        <v>70</v>
      </c>
      <c r="K189" s="32" t="inlineStr">
        <is>
          <t>14</t>
        </is>
      </c>
      <c r="L189" s="32" t="inlineStr">
        <is>
          <t>Короб, мин. 1</t>
        </is>
      </c>
      <c r="M189" s="33" t="inlineStr">
        <is>
          <t>МГ</t>
        </is>
      </c>
      <c r="N189" s="33" t="n"/>
      <c r="O189" s="32" t="n">
        <v>180</v>
      </c>
      <c r="P189" s="379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/>
      </c>
      <c r="Q189" s="313" t="n"/>
      <c r="R189" s="313" t="n"/>
      <c r="S189" s="313" t="n"/>
      <c r="T189" s="314" t="n"/>
      <c r="U189" s="34" t="n"/>
      <c r="V189" s="34" t="n"/>
      <c r="W189" s="35" t="inlineStr">
        <is>
          <t>кор</t>
        </is>
      </c>
      <c r="X189" s="310" t="n">
        <v>0</v>
      </c>
      <c r="Y189" s="307">
        <f>IFERROR(IF(X189="","",X189),"")</f>
        <v/>
      </c>
      <c r="Z189" s="36">
        <f>IFERROR(IF(X189="","",X189*0.01788),"")</f>
        <v/>
      </c>
      <c r="AA189" s="55" t="n"/>
      <c r="AB189" s="56" t="n"/>
      <c r="AC189" s="188" t="inlineStr">
        <is>
          <t>ЕАЭС N RU Д-RU.РА08.В.66172/24</t>
        </is>
      </c>
      <c r="AD189" s="7">
        <f>X189*G189</f>
        <v/>
      </c>
      <c r="AE189" s="7">
        <f>X189/J189</f>
        <v/>
      </c>
      <c r="AG189" s="66" t="n"/>
      <c r="AJ189" s="69" t="inlineStr">
        <is>
          <t>Короб</t>
        </is>
      </c>
      <c r="AK189" s="69" t="n">
        <v>1</v>
      </c>
      <c r="BB189" s="189" t="inlineStr">
        <is>
          <t>ПГП</t>
        </is>
      </c>
      <c r="BM189" s="66" t="n">
        <v>0</v>
      </c>
      <c r="BN189" s="66" t="n">
        <v>0</v>
      </c>
      <c r="BO189" s="66" t="n">
        <v>0</v>
      </c>
      <c r="BP189" s="66" t="n">
        <v>0</v>
      </c>
    </row>
    <row r="190">
      <c r="A190" s="318" t="n"/>
      <c r="B190" s="319" t="n"/>
      <c r="C190" s="319" t="n"/>
      <c r="D190" s="319" t="n"/>
      <c r="E190" s="319" t="n"/>
      <c r="F190" s="319" t="n"/>
      <c r="G190" s="319" t="n"/>
      <c r="H190" s="319" t="n"/>
      <c r="I190" s="319" t="n"/>
      <c r="J190" s="319" t="n"/>
      <c r="K190" s="319" t="n"/>
      <c r="L190" s="319" t="n"/>
      <c r="M190" s="319" t="n"/>
      <c r="N190" s="319" t="n"/>
      <c r="O190" s="320" t="n"/>
      <c r="P190" s="321" t="inlineStr">
        <is>
          <t>Итого</t>
        </is>
      </c>
      <c r="Q190" s="322" t="n"/>
      <c r="R190" s="322" t="n"/>
      <c r="S190" s="322" t="n"/>
      <c r="T190" s="322" t="n"/>
      <c r="U190" s="322" t="n"/>
      <c r="V190" s="323" t="n"/>
      <c r="W190" s="37" t="inlineStr">
        <is>
          <t>кор</t>
        </is>
      </c>
      <c r="X190" s="311">
        <f>IFERROR(SUM(X186:X189),"0")</f>
        <v/>
      </c>
      <c r="Y190" s="308">
        <f>IFERROR(SUM(Y186:Y189),"0")</f>
        <v/>
      </c>
      <c r="Z190" s="308">
        <f>IFERROR(IF(Z186="",0,Z186),"0")+IFERROR(IF(Z187="",0,Z187),"0")+IFERROR(IF(Z188="",0,Z188),"0")+IFERROR(IF(Z189="",0,Z189),"0")</f>
        <v/>
      </c>
      <c r="AA190" s="309" t="n"/>
      <c r="AB190" s="309" t="n"/>
      <c r="AC190" s="309" t="n"/>
    </row>
    <row r="191">
      <c r="A191" s="319" t="n"/>
      <c r="B191" s="319" t="n"/>
      <c r="C191" s="319" t="n"/>
      <c r="D191" s="319" t="n"/>
      <c r="E191" s="319" t="n"/>
      <c r="F191" s="319" t="n"/>
      <c r="G191" s="319" t="n"/>
      <c r="H191" s="319" t="n"/>
      <c r="I191" s="319" t="n"/>
      <c r="J191" s="319" t="n"/>
      <c r="K191" s="319" t="n"/>
      <c r="L191" s="319" t="n"/>
      <c r="M191" s="319" t="n"/>
      <c r="N191" s="319" t="n"/>
      <c r="O191" s="320" t="n"/>
      <c r="P191" s="321" t="inlineStr">
        <is>
          <t>Итого</t>
        </is>
      </c>
      <c r="Q191" s="322" t="n"/>
      <c r="R191" s="322" t="n"/>
      <c r="S191" s="322" t="n"/>
      <c r="T191" s="322" t="n"/>
      <c r="U191" s="322" t="n"/>
      <c r="V191" s="323" t="n"/>
      <c r="W191" s="37" t="inlineStr">
        <is>
          <t>кг</t>
        </is>
      </c>
      <c r="X191" s="311">
        <f>IFERROR(SUMPRODUCT(X186:X189*H186:H189),"0")</f>
        <v/>
      </c>
      <c r="Y191" s="308">
        <f>IFERROR(SUMPRODUCT(Y186:Y189*H186:H189),"0")</f>
        <v/>
      </c>
      <c r="Z191" s="37" t="n"/>
      <c r="AA191" s="309" t="n"/>
      <c r="AB191" s="309" t="n"/>
      <c r="AC191" s="309" t="n"/>
    </row>
    <row r="192" ht="16.5" customHeight="1">
      <c r="A192" s="324" t="inlineStr">
        <is>
          <t>Медвежьи ушки</t>
        </is>
      </c>
      <c r="B192" s="319" t="n"/>
      <c r="C192" s="319" t="n"/>
      <c r="D192" s="319" t="n"/>
      <c r="E192" s="319" t="n"/>
      <c r="F192" s="319" t="n"/>
      <c r="G192" s="319" t="n"/>
      <c r="H192" s="319" t="n"/>
      <c r="I192" s="319" t="n"/>
      <c r="J192" s="319" t="n"/>
      <c r="K192" s="319" t="n"/>
      <c r="L192" s="319" t="n"/>
      <c r="M192" s="319" t="n"/>
      <c r="N192" s="319" t="n"/>
      <c r="O192" s="319" t="n"/>
      <c r="P192" s="319" t="n"/>
      <c r="Q192" s="319" t="n"/>
      <c r="R192" s="319" t="n"/>
      <c r="S192" s="319" t="n"/>
      <c r="T192" s="319" t="n"/>
      <c r="U192" s="319" t="n"/>
      <c r="V192" s="319" t="n"/>
      <c r="W192" s="319" t="n"/>
      <c r="X192" s="319" t="n"/>
      <c r="Y192" s="319" t="n"/>
      <c r="Z192" s="319" t="n"/>
      <c r="AA192" s="324" t="n"/>
      <c r="AB192" s="324" t="n"/>
      <c r="AC192" s="324" t="n"/>
    </row>
    <row r="193" ht="14.25" customHeight="1">
      <c r="A193" s="329" t="inlineStr">
        <is>
          <t>Пельмени</t>
        </is>
      </c>
      <c r="B193" s="319" t="n"/>
      <c r="C193" s="319" t="n"/>
      <c r="D193" s="319" t="n"/>
      <c r="E193" s="319" t="n"/>
      <c r="F193" s="319" t="n"/>
      <c r="G193" s="319" t="n"/>
      <c r="H193" s="319" t="n"/>
      <c r="I193" s="319" t="n"/>
      <c r="J193" s="319" t="n"/>
      <c r="K193" s="319" t="n"/>
      <c r="L193" s="319" t="n"/>
      <c r="M193" s="319" t="n"/>
      <c r="N193" s="319" t="n"/>
      <c r="O193" s="319" t="n"/>
      <c r="P193" s="319" t="n"/>
      <c r="Q193" s="319" t="n"/>
      <c r="R193" s="319" t="n"/>
      <c r="S193" s="319" t="n"/>
      <c r="T193" s="319" t="n"/>
      <c r="U193" s="319" t="n"/>
      <c r="V193" s="319" t="n"/>
      <c r="W193" s="319" t="n"/>
      <c r="X193" s="319" t="n"/>
      <c r="Y193" s="319" t="n"/>
      <c r="Z193" s="319" t="n"/>
      <c r="AA193" s="329" t="n"/>
      <c r="AB193" s="329" t="n"/>
      <c r="AC193" s="329" t="n"/>
    </row>
    <row r="194" ht="27" customHeight="1">
      <c r="A194" s="53" t="inlineStr">
        <is>
          <t>SU003260</t>
        </is>
      </c>
      <c r="B194" s="53" t="inlineStr">
        <is>
          <t>P003918</t>
        </is>
      </c>
      <c r="C194" s="31" t="n">
        <v>4301070996</v>
      </c>
      <c r="D194" s="316" t="n">
        <v>4607111038654</v>
      </c>
      <c r="E194" s="317" t="n"/>
      <c r="F194" s="305" t="n">
        <v>0.4</v>
      </c>
      <c r="G194" s="32" t="n">
        <v>16</v>
      </c>
      <c r="H194" s="305" t="n">
        <v>6.4</v>
      </c>
      <c r="I194" s="305" t="n">
        <v>6.63</v>
      </c>
      <c r="J194" s="32" t="n">
        <v>84</v>
      </c>
      <c r="K194" s="32" t="inlineStr">
        <is>
          <t>12</t>
        </is>
      </c>
      <c r="L194" s="32" t="inlineStr">
        <is>
          <t>Короб, мин. 1</t>
        </is>
      </c>
      <c r="M194" s="33" t="inlineStr">
        <is>
          <t>МГ</t>
        </is>
      </c>
      <c r="N194" s="33" t="n"/>
      <c r="O194" s="32" t="n">
        <v>180</v>
      </c>
      <c r="P194" s="373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/>
      </c>
      <c r="Q194" s="313" t="n"/>
      <c r="R194" s="313" t="n"/>
      <c r="S194" s="313" t="n"/>
      <c r="T194" s="314" t="n"/>
      <c r="U194" s="34" t="n"/>
      <c r="V194" s="34" t="n"/>
      <c r="W194" s="35" t="inlineStr">
        <is>
          <t>кор</t>
        </is>
      </c>
      <c r="X194" s="310" t="n">
        <v>0</v>
      </c>
      <c r="Y194" s="307">
        <f>IFERROR(IF(X194="","",X194),"")</f>
        <v/>
      </c>
      <c r="Z194" s="36">
        <f>IFERROR(IF(X194="","",X194*0.0155),"")</f>
        <v/>
      </c>
      <c r="AA194" s="55" t="n"/>
      <c r="AB194" s="56" t="n"/>
      <c r="AC194" s="190" t="inlineStr">
        <is>
          <t>ЕАЭС N RU Д-RU.РА10.В.37060/23</t>
        </is>
      </c>
      <c r="AD194" s="7">
        <f>X194*G194</f>
        <v/>
      </c>
      <c r="AE194" s="7">
        <f>X194/J194</f>
        <v/>
      </c>
      <c r="AG194" s="66" t="n"/>
      <c r="AJ194" s="69" t="inlineStr">
        <is>
          <t>Короб</t>
        </is>
      </c>
      <c r="AK194" s="69" t="n">
        <v>1</v>
      </c>
      <c r="BB194" s="191" t="inlineStr">
        <is>
          <t>ЗПФ</t>
        </is>
      </c>
      <c r="BM194" s="66" t="n">
        <v>0</v>
      </c>
      <c r="BN194" s="66" t="n">
        <v>0</v>
      </c>
      <c r="BO194" s="66" t="n">
        <v>0</v>
      </c>
      <c r="BP194" s="66" t="n">
        <v>0</v>
      </c>
    </row>
    <row r="195" ht="27" customHeight="1">
      <c r="A195" s="53" t="inlineStr">
        <is>
          <t>SU003259</t>
        </is>
      </c>
      <c r="B195" s="53" t="inlineStr">
        <is>
          <t>P003920</t>
        </is>
      </c>
      <c r="C195" s="31" t="n">
        <v>4301070997</v>
      </c>
      <c r="D195" s="316" t="n">
        <v>4607111038586</v>
      </c>
      <c r="E195" s="317" t="n"/>
      <c r="F195" s="305" t="n">
        <v>0.7</v>
      </c>
      <c r="G195" s="32" t="n">
        <v>8</v>
      </c>
      <c r="H195" s="305" t="n">
        <v>5.6</v>
      </c>
      <c r="I195" s="305" t="n">
        <v>5.83</v>
      </c>
      <c r="J195" s="32" t="n">
        <v>84</v>
      </c>
      <c r="K195" s="32" t="inlineStr">
        <is>
          <t>12</t>
        </is>
      </c>
      <c r="L195" s="32" t="inlineStr">
        <is>
          <t>Короб, мин. 1</t>
        </is>
      </c>
      <c r="M195" s="33" t="inlineStr">
        <is>
          <t>МГ</t>
        </is>
      </c>
      <c r="N195" s="33" t="n"/>
      <c r="O195" s="32" t="n">
        <v>180</v>
      </c>
      <c r="P195" s="397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/>
      </c>
      <c r="Q195" s="313" t="n"/>
      <c r="R195" s="313" t="n"/>
      <c r="S195" s="313" t="n"/>
      <c r="T195" s="314" t="n"/>
      <c r="U195" s="34" t="n"/>
      <c r="V195" s="34" t="n"/>
      <c r="W195" s="35" t="inlineStr">
        <is>
          <t>кор</t>
        </is>
      </c>
      <c r="X195" s="310" t="n">
        <v>0</v>
      </c>
      <c r="Y195" s="307">
        <f>IFERROR(IF(X195="","",X195),"")</f>
        <v/>
      </c>
      <c r="Z195" s="36">
        <f>IFERROR(IF(X195="","",X195*0.0155),"")</f>
        <v/>
      </c>
      <c r="AA195" s="55" t="n"/>
      <c r="AB195" s="56" t="n"/>
      <c r="AC195" s="192" t="inlineStr">
        <is>
          <t>ЕАЭС N RU Д-RU.РА10.В.37060/23</t>
        </is>
      </c>
      <c r="AD195" s="7">
        <f>X195*G195</f>
        <v/>
      </c>
      <c r="AE195" s="7">
        <f>X195/J195</f>
        <v/>
      </c>
      <c r="AG195" s="66" t="n"/>
      <c r="AJ195" s="69" t="inlineStr">
        <is>
          <t>Короб</t>
        </is>
      </c>
      <c r="AK195" s="69" t="n">
        <v>1</v>
      </c>
      <c r="BB195" s="193" t="inlineStr">
        <is>
          <t>ЗПФ</t>
        </is>
      </c>
      <c r="BM195" s="66" t="n">
        <v>0</v>
      </c>
      <c r="BN195" s="66" t="n">
        <v>0</v>
      </c>
      <c r="BO195" s="66" t="n">
        <v>0</v>
      </c>
      <c r="BP195" s="66" t="n">
        <v>0</v>
      </c>
    </row>
    <row r="196" ht="27" customHeight="1">
      <c r="A196" s="53" t="inlineStr">
        <is>
          <t>SU003064</t>
        </is>
      </c>
      <c r="B196" s="53" t="inlineStr">
        <is>
          <t>P003639</t>
        </is>
      </c>
      <c r="C196" s="31" t="n">
        <v>4301070962</v>
      </c>
      <c r="D196" s="316" t="n">
        <v>4607111038609</v>
      </c>
      <c r="E196" s="317" t="n"/>
      <c r="F196" s="305" t="n">
        <v>0.4</v>
      </c>
      <c r="G196" s="32" t="n">
        <v>16</v>
      </c>
      <c r="H196" s="305" t="n">
        <v>6.4</v>
      </c>
      <c r="I196" s="305" t="n">
        <v>6.71</v>
      </c>
      <c r="J196" s="32" t="n">
        <v>84</v>
      </c>
      <c r="K196" s="32" t="inlineStr">
        <is>
          <t>12</t>
        </is>
      </c>
      <c r="L196" s="32" t="inlineStr">
        <is>
          <t>Короб, мин. 1</t>
        </is>
      </c>
      <c r="M196" s="33" t="inlineStr">
        <is>
          <t>МГ</t>
        </is>
      </c>
      <c r="N196" s="33" t="n"/>
      <c r="O196" s="32" t="n">
        <v>180</v>
      </c>
      <c r="P196" s="481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/>
      </c>
      <c r="Q196" s="313" t="n"/>
      <c r="R196" s="313" t="n"/>
      <c r="S196" s="313" t="n"/>
      <c r="T196" s="314" t="n"/>
      <c r="U196" s="34" t="n"/>
      <c r="V196" s="34" t="n"/>
      <c r="W196" s="35" t="inlineStr">
        <is>
          <t>кор</t>
        </is>
      </c>
      <c r="X196" s="310" t="n">
        <v>0</v>
      </c>
      <c r="Y196" s="307">
        <f>IFERROR(IF(X196="","",X196),"")</f>
        <v/>
      </c>
      <c r="Z196" s="36">
        <f>IFERROR(IF(X196="","",X196*0.0155),"")</f>
        <v/>
      </c>
      <c r="AA196" s="55" t="n"/>
      <c r="AB196" s="56" t="n"/>
      <c r="AC196" s="194" t="inlineStr">
        <is>
          <t>ЕАЭС N RU Д-RU.РА02.В.30885/24</t>
        </is>
      </c>
      <c r="AD196" s="7">
        <f>X196*G196</f>
        <v/>
      </c>
      <c r="AE196" s="7">
        <f>X196/J196</f>
        <v/>
      </c>
      <c r="AG196" s="66" t="n"/>
      <c r="AJ196" s="69" t="inlineStr">
        <is>
          <t>Короб</t>
        </is>
      </c>
      <c r="AK196" s="69" t="n">
        <v>1</v>
      </c>
      <c r="BB196" s="195" t="inlineStr">
        <is>
          <t>ЗПФ</t>
        </is>
      </c>
      <c r="BM196" s="66" t="n">
        <v>0</v>
      </c>
      <c r="BN196" s="66" t="n">
        <v>0</v>
      </c>
      <c r="BO196" s="66" t="n">
        <v>0</v>
      </c>
      <c r="BP196" s="66" t="n">
        <v>0</v>
      </c>
    </row>
    <row r="197" ht="27" customHeight="1">
      <c r="A197" s="53" t="inlineStr">
        <is>
          <t>SU003065</t>
        </is>
      </c>
      <c r="B197" s="53" t="inlineStr">
        <is>
          <t>P003641</t>
        </is>
      </c>
      <c r="C197" s="31" t="n">
        <v>4301070963</v>
      </c>
      <c r="D197" s="316" t="n">
        <v>4607111038630</v>
      </c>
      <c r="E197" s="317" t="n"/>
      <c r="F197" s="305" t="n">
        <v>0.7</v>
      </c>
      <c r="G197" s="32" t="n">
        <v>8</v>
      </c>
      <c r="H197" s="305" t="n">
        <v>5.6</v>
      </c>
      <c r="I197" s="305" t="n">
        <v>5.87</v>
      </c>
      <c r="J197" s="32" t="n">
        <v>84</v>
      </c>
      <c r="K197" s="32" t="inlineStr">
        <is>
          <t>12</t>
        </is>
      </c>
      <c r="L197" s="32" t="inlineStr">
        <is>
          <t>Короб, мин. 1</t>
        </is>
      </c>
      <c r="M197" s="33" t="inlineStr">
        <is>
          <t>МГ</t>
        </is>
      </c>
      <c r="N197" s="33" t="n"/>
      <c r="O197" s="32" t="n">
        <v>180</v>
      </c>
      <c r="P197" s="403">
        <f>HYPERLINK("https://abi.ru/products/Замороженные/Стародворье/Медвежьи ушки/Пельмени/P003641/","Пельмени «Медвежьи ушки с фермерской свининой и говядиной Большие» 0,7 классическая форма ТМ «Стародворье»")</f>
        <v/>
      </c>
      <c r="Q197" s="313" t="n"/>
      <c r="R197" s="313" t="n"/>
      <c r="S197" s="313" t="n"/>
      <c r="T197" s="314" t="n"/>
      <c r="U197" s="34" t="n"/>
      <c r="V197" s="34" t="n"/>
      <c r="W197" s="35" t="inlineStr">
        <is>
          <t>кор</t>
        </is>
      </c>
      <c r="X197" s="310" t="n">
        <v>0</v>
      </c>
      <c r="Y197" s="307">
        <f>IFERROR(IF(X197="","",X197),"")</f>
        <v/>
      </c>
      <c r="Z197" s="36">
        <f>IFERROR(IF(X197="","",X197*0.0155),"")</f>
        <v/>
      </c>
      <c r="AA197" s="55" t="n"/>
      <c r="AB197" s="56" t="n"/>
      <c r="AC197" s="196" t="inlineStr">
        <is>
          <t>ЕАЭС N RU Д-RU.РА02.В.30885/24</t>
        </is>
      </c>
      <c r="AD197" s="7">
        <f>X197*G197</f>
        <v/>
      </c>
      <c r="AE197" s="7">
        <f>X197/J197</f>
        <v/>
      </c>
      <c r="AG197" s="66" t="n"/>
      <c r="AJ197" s="69" t="inlineStr">
        <is>
          <t>Короб</t>
        </is>
      </c>
      <c r="AK197" s="69" t="n">
        <v>1</v>
      </c>
      <c r="BB197" s="197" t="inlineStr">
        <is>
          <t>ЗПФ</t>
        </is>
      </c>
      <c r="BM197" s="66" t="n">
        <v>0</v>
      </c>
      <c r="BN197" s="66" t="n">
        <v>0</v>
      </c>
      <c r="BO197" s="66" t="n">
        <v>0</v>
      </c>
      <c r="BP197" s="66" t="n">
        <v>0</v>
      </c>
    </row>
    <row r="198" ht="27" customHeight="1">
      <c r="A198" s="53" t="inlineStr">
        <is>
          <t>SU003066</t>
        </is>
      </c>
      <c r="B198" s="53" t="inlineStr">
        <is>
          <t>P003630</t>
        </is>
      </c>
      <c r="C198" s="31" t="n">
        <v>4301070959</v>
      </c>
      <c r="D198" s="316" t="n">
        <v>4607111038616</v>
      </c>
      <c r="E198" s="317" t="n"/>
      <c r="F198" s="305" t="n">
        <v>0.4</v>
      </c>
      <c r="G198" s="32" t="n">
        <v>16</v>
      </c>
      <c r="H198" s="305" t="n">
        <v>6.4</v>
      </c>
      <c r="I198" s="305" t="n">
        <v>6.71</v>
      </c>
      <c r="J198" s="32" t="n">
        <v>84</v>
      </c>
      <c r="K198" s="32" t="inlineStr">
        <is>
          <t>12</t>
        </is>
      </c>
      <c r="L198" s="32" t="inlineStr">
        <is>
          <t>Короб, мин. 1</t>
        </is>
      </c>
      <c r="M198" s="33" t="inlineStr">
        <is>
          <t>МГ</t>
        </is>
      </c>
      <c r="N198" s="33" t="n"/>
      <c r="O198" s="32" t="n">
        <v>180</v>
      </c>
      <c r="P198" s="484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/>
      </c>
      <c r="Q198" s="313" t="n"/>
      <c r="R198" s="313" t="n"/>
      <c r="S198" s="313" t="n"/>
      <c r="T198" s="314" t="n"/>
      <c r="U198" s="34" t="n"/>
      <c r="V198" s="34" t="n"/>
      <c r="W198" s="35" t="inlineStr">
        <is>
          <t>кор</t>
        </is>
      </c>
      <c r="X198" s="310" t="n">
        <v>0</v>
      </c>
      <c r="Y198" s="307">
        <f>IFERROR(IF(X198="","",X198),"")</f>
        <v/>
      </c>
      <c r="Z198" s="36">
        <f>IFERROR(IF(X198="","",X198*0.0155),"")</f>
        <v/>
      </c>
      <c r="AA198" s="55" t="n"/>
      <c r="AB198" s="56" t="n"/>
      <c r="AC198" s="198" t="inlineStr">
        <is>
          <t>ЕАЭС N RU Д-RU.РА10.В.37060/23</t>
        </is>
      </c>
      <c r="AD198" s="7">
        <f>X198*G198</f>
        <v/>
      </c>
      <c r="AE198" s="7">
        <f>X198/J198</f>
        <v/>
      </c>
      <c r="AG198" s="66" t="n"/>
      <c r="AJ198" s="69" t="inlineStr">
        <is>
          <t>Короб</t>
        </is>
      </c>
      <c r="AK198" s="69" t="n">
        <v>1</v>
      </c>
      <c r="BB198" s="199" t="inlineStr">
        <is>
          <t>ЗПФ</t>
        </is>
      </c>
      <c r="BM198" s="66" t="n">
        <v>0</v>
      </c>
      <c r="BN198" s="66" t="n">
        <v>0</v>
      </c>
      <c r="BO198" s="66" t="n">
        <v>0</v>
      </c>
      <c r="BP198" s="66" t="n">
        <v>0</v>
      </c>
    </row>
    <row r="199" ht="27" customHeight="1">
      <c r="A199" s="53" t="inlineStr">
        <is>
          <t>SU003067</t>
        </is>
      </c>
      <c r="B199" s="53" t="inlineStr">
        <is>
          <t>P003631</t>
        </is>
      </c>
      <c r="C199" s="31" t="n">
        <v>4301070960</v>
      </c>
      <c r="D199" s="316" t="n">
        <v>4607111038623</v>
      </c>
      <c r="E199" s="317" t="n"/>
      <c r="F199" s="305" t="n">
        <v>0.7</v>
      </c>
      <c r="G199" s="32" t="n">
        <v>8</v>
      </c>
      <c r="H199" s="305" t="n">
        <v>5.6</v>
      </c>
      <c r="I199" s="305" t="n">
        <v>5.87</v>
      </c>
      <c r="J199" s="32" t="n">
        <v>84</v>
      </c>
      <c r="K199" s="32" t="inlineStr">
        <is>
          <t>12</t>
        </is>
      </c>
      <c r="L199" s="32" t="inlineStr">
        <is>
          <t>Короб, мин. 1</t>
        </is>
      </c>
      <c r="M199" s="33" t="inlineStr">
        <is>
          <t>МГ</t>
        </is>
      </c>
      <c r="N199" s="33" t="n"/>
      <c r="O199" s="32" t="n">
        <v>180</v>
      </c>
      <c r="P199" s="495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/>
      </c>
      <c r="Q199" s="313" t="n"/>
      <c r="R199" s="313" t="n"/>
      <c r="S199" s="313" t="n"/>
      <c r="T199" s="314" t="n"/>
      <c r="U199" s="34" t="n"/>
      <c r="V199" s="34" t="n"/>
      <c r="W199" s="35" t="inlineStr">
        <is>
          <t>кор</t>
        </is>
      </c>
      <c r="X199" s="310" t="n">
        <v>0</v>
      </c>
      <c r="Y199" s="307">
        <f>IFERROR(IF(X199="","",X199),"")</f>
        <v/>
      </c>
      <c r="Z199" s="36">
        <f>IFERROR(IF(X199="","",X199*0.0155),"")</f>
        <v/>
      </c>
      <c r="AA199" s="55" t="n"/>
      <c r="AB199" s="56" t="n"/>
      <c r="AC199" s="200" t="inlineStr">
        <is>
          <t>ЕАЭС N RU Д-RU.РА10.В.37060/23</t>
        </is>
      </c>
      <c r="AD199" s="7">
        <f>X199*G199</f>
        <v/>
      </c>
      <c r="AE199" s="7">
        <f>X199/J199</f>
        <v/>
      </c>
      <c r="AG199" s="66" t="n"/>
      <c r="AJ199" s="69" t="inlineStr">
        <is>
          <t>Короб</t>
        </is>
      </c>
      <c r="AK199" s="69" t="n">
        <v>1</v>
      </c>
      <c r="BB199" s="201" t="inlineStr">
        <is>
          <t>ЗПФ</t>
        </is>
      </c>
      <c r="BM199" s="66" t="n">
        <v>0</v>
      </c>
      <c r="BN199" s="66" t="n">
        <v>0</v>
      </c>
      <c r="BO199" s="66" t="n">
        <v>0</v>
      </c>
      <c r="BP199" s="66" t="n">
        <v>0</v>
      </c>
    </row>
    <row r="200">
      <c r="A200" s="318" t="n"/>
      <c r="B200" s="319" t="n"/>
      <c r="C200" s="319" t="n"/>
      <c r="D200" s="319" t="n"/>
      <c r="E200" s="319" t="n"/>
      <c r="F200" s="319" t="n"/>
      <c r="G200" s="319" t="n"/>
      <c r="H200" s="319" t="n"/>
      <c r="I200" s="319" t="n"/>
      <c r="J200" s="319" t="n"/>
      <c r="K200" s="319" t="n"/>
      <c r="L200" s="319" t="n"/>
      <c r="M200" s="319" t="n"/>
      <c r="N200" s="319" t="n"/>
      <c r="O200" s="320" t="n"/>
      <c r="P200" s="321" t="inlineStr">
        <is>
          <t>Итого</t>
        </is>
      </c>
      <c r="Q200" s="322" t="n"/>
      <c r="R200" s="322" t="n"/>
      <c r="S200" s="322" t="n"/>
      <c r="T200" s="322" t="n"/>
      <c r="U200" s="322" t="n"/>
      <c r="V200" s="323" t="n"/>
      <c r="W200" s="37" t="inlineStr">
        <is>
          <t>кор</t>
        </is>
      </c>
      <c r="X200" s="311">
        <f>IFERROR(SUM(X194:X199),"0")</f>
        <v/>
      </c>
      <c r="Y200" s="308">
        <f>IFERROR(SUM(Y194:Y199),"0")</f>
        <v/>
      </c>
      <c r="Z200" s="308">
        <f>IFERROR(IF(Z194="",0,Z194),"0")+IFERROR(IF(Z195="",0,Z195),"0")+IFERROR(IF(Z196="",0,Z196),"0")+IFERROR(IF(Z197="",0,Z197),"0")+IFERROR(IF(Z198="",0,Z198),"0")+IFERROR(IF(Z199="",0,Z199),"0")</f>
        <v/>
      </c>
      <c r="AA200" s="309" t="n"/>
      <c r="AB200" s="309" t="n"/>
      <c r="AC200" s="309" t="n"/>
    </row>
    <row r="201">
      <c r="A201" s="319" t="n"/>
      <c r="B201" s="319" t="n"/>
      <c r="C201" s="319" t="n"/>
      <c r="D201" s="319" t="n"/>
      <c r="E201" s="319" t="n"/>
      <c r="F201" s="319" t="n"/>
      <c r="G201" s="319" t="n"/>
      <c r="H201" s="319" t="n"/>
      <c r="I201" s="319" t="n"/>
      <c r="J201" s="319" t="n"/>
      <c r="K201" s="319" t="n"/>
      <c r="L201" s="319" t="n"/>
      <c r="M201" s="319" t="n"/>
      <c r="N201" s="319" t="n"/>
      <c r="O201" s="320" t="n"/>
      <c r="P201" s="321" t="inlineStr">
        <is>
          <t>Итого</t>
        </is>
      </c>
      <c r="Q201" s="322" t="n"/>
      <c r="R201" s="322" t="n"/>
      <c r="S201" s="322" t="n"/>
      <c r="T201" s="322" t="n"/>
      <c r="U201" s="322" t="n"/>
      <c r="V201" s="323" t="n"/>
      <c r="W201" s="37" t="inlineStr">
        <is>
          <t>кг</t>
        </is>
      </c>
      <c r="X201" s="311">
        <f>IFERROR(SUMPRODUCT(X194:X199*H194:H199),"0")</f>
        <v/>
      </c>
      <c r="Y201" s="308">
        <f>IFERROR(SUMPRODUCT(Y194:Y199*H194:H199),"0")</f>
        <v/>
      </c>
      <c r="Z201" s="37" t="n"/>
      <c r="AA201" s="309" t="n"/>
      <c r="AB201" s="309" t="n"/>
      <c r="AC201" s="309" t="n"/>
    </row>
    <row r="202" ht="16.5" customHeight="1">
      <c r="A202" s="324" t="inlineStr">
        <is>
          <t>Медвежье ушко</t>
        </is>
      </c>
      <c r="B202" s="319" t="n"/>
      <c r="C202" s="319" t="n"/>
      <c r="D202" s="319" t="n"/>
      <c r="E202" s="319" t="n"/>
      <c r="F202" s="319" t="n"/>
      <c r="G202" s="319" t="n"/>
      <c r="H202" s="319" t="n"/>
      <c r="I202" s="319" t="n"/>
      <c r="J202" s="319" t="n"/>
      <c r="K202" s="319" t="n"/>
      <c r="L202" s="319" t="n"/>
      <c r="M202" s="319" t="n"/>
      <c r="N202" s="319" t="n"/>
      <c r="O202" s="319" t="n"/>
      <c r="P202" s="319" t="n"/>
      <c r="Q202" s="319" t="n"/>
      <c r="R202" s="319" t="n"/>
      <c r="S202" s="319" t="n"/>
      <c r="T202" s="319" t="n"/>
      <c r="U202" s="319" t="n"/>
      <c r="V202" s="319" t="n"/>
      <c r="W202" s="319" t="n"/>
      <c r="X202" s="319" t="n"/>
      <c r="Y202" s="319" t="n"/>
      <c r="Z202" s="319" t="n"/>
      <c r="AA202" s="324" t="n"/>
      <c r="AB202" s="324" t="n"/>
      <c r="AC202" s="324" t="n"/>
    </row>
    <row r="203" ht="14.25" customHeight="1">
      <c r="A203" s="329" t="inlineStr">
        <is>
          <t>Пельмени</t>
        </is>
      </c>
      <c r="B203" s="319" t="n"/>
      <c r="C203" s="319" t="n"/>
      <c r="D203" s="319" t="n"/>
      <c r="E203" s="319" t="n"/>
      <c r="F203" s="319" t="n"/>
      <c r="G203" s="319" t="n"/>
      <c r="H203" s="319" t="n"/>
      <c r="I203" s="319" t="n"/>
      <c r="J203" s="319" t="n"/>
      <c r="K203" s="319" t="n"/>
      <c r="L203" s="319" t="n"/>
      <c r="M203" s="319" t="n"/>
      <c r="N203" s="319" t="n"/>
      <c r="O203" s="319" t="n"/>
      <c r="P203" s="319" t="n"/>
      <c r="Q203" s="319" t="n"/>
      <c r="R203" s="319" t="n"/>
      <c r="S203" s="319" t="n"/>
      <c r="T203" s="319" t="n"/>
      <c r="U203" s="319" t="n"/>
      <c r="V203" s="319" t="n"/>
      <c r="W203" s="319" t="n"/>
      <c r="X203" s="319" t="n"/>
      <c r="Y203" s="319" t="n"/>
      <c r="Z203" s="319" t="n"/>
      <c r="AA203" s="329" t="n"/>
      <c r="AB203" s="329" t="n"/>
      <c r="AC203" s="329" t="n"/>
    </row>
    <row r="204" ht="27" customHeight="1">
      <c r="A204" s="53" t="inlineStr">
        <is>
          <t>SU002069</t>
        </is>
      </c>
      <c r="B204" s="53" t="inlineStr">
        <is>
          <t>P003001</t>
        </is>
      </c>
      <c r="C204" s="31" t="n">
        <v>4301070917</v>
      </c>
      <c r="D204" s="316" t="n">
        <v>4607111035912</v>
      </c>
      <c r="E204" s="317" t="n"/>
      <c r="F204" s="305" t="n">
        <v>0.43</v>
      </c>
      <c r="G204" s="32" t="n">
        <v>16</v>
      </c>
      <c r="H204" s="305" t="n">
        <v>6.88</v>
      </c>
      <c r="I204" s="305" t="n">
        <v>7.19</v>
      </c>
      <c r="J204" s="32" t="n">
        <v>84</v>
      </c>
      <c r="K204" s="32" t="inlineStr">
        <is>
          <t>12</t>
        </is>
      </c>
      <c r="L204" s="32" t="inlineStr">
        <is>
          <t>Короб, мин. 1</t>
        </is>
      </c>
      <c r="M204" s="33" t="inlineStr">
        <is>
          <t>МГ</t>
        </is>
      </c>
      <c r="N204" s="33" t="n"/>
      <c r="O204" s="32" t="n">
        <v>180</v>
      </c>
      <c r="P204" s="425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/>
      </c>
      <c r="Q204" s="313" t="n"/>
      <c r="R204" s="313" t="n"/>
      <c r="S204" s="313" t="n"/>
      <c r="T204" s="314" t="n"/>
      <c r="U204" s="34" t="n"/>
      <c r="V204" s="34" t="n"/>
      <c r="W204" s="35" t="inlineStr">
        <is>
          <t>кор</t>
        </is>
      </c>
      <c r="X204" s="310" t="n">
        <v>0</v>
      </c>
      <c r="Y204" s="307">
        <f>IFERROR(IF(X204="","",X204),"")</f>
        <v/>
      </c>
      <c r="Z204" s="36">
        <f>IFERROR(IF(X204="","",X204*0.0155),"")</f>
        <v/>
      </c>
      <c r="AA204" s="55" t="n"/>
      <c r="AB204" s="56" t="n"/>
      <c r="AC204" s="202" t="inlineStr">
        <is>
          <t>ЕАЭС N RU Д-RU.PA01.B.06796/21</t>
        </is>
      </c>
      <c r="AD204" s="7">
        <f>X204*G204</f>
        <v/>
      </c>
      <c r="AE204" s="7">
        <f>X204/J204</f>
        <v/>
      </c>
      <c r="AG204" s="66" t="n"/>
      <c r="AJ204" s="69" t="inlineStr">
        <is>
          <t>Короб</t>
        </is>
      </c>
      <c r="AK204" s="69" t="n">
        <v>1</v>
      </c>
      <c r="BB204" s="203" t="inlineStr">
        <is>
          <t>ЗПФ</t>
        </is>
      </c>
      <c r="BM204" s="66" t="n">
        <v>0</v>
      </c>
      <c r="BN204" s="66" t="n">
        <v>0</v>
      </c>
      <c r="BO204" s="66" t="n">
        <v>0</v>
      </c>
      <c r="BP204" s="66" t="n">
        <v>0</v>
      </c>
    </row>
    <row r="205" ht="27" customHeight="1">
      <c r="A205" s="53" t="inlineStr">
        <is>
          <t>SU002066</t>
        </is>
      </c>
      <c r="B205" s="53" t="inlineStr">
        <is>
          <t>P003004</t>
        </is>
      </c>
      <c r="C205" s="31" t="n">
        <v>4301070920</v>
      </c>
      <c r="D205" s="316" t="n">
        <v>4607111035929</v>
      </c>
      <c r="E205" s="317" t="n"/>
      <c r="F205" s="305" t="n">
        <v>0.9</v>
      </c>
      <c r="G205" s="32" t="n">
        <v>8</v>
      </c>
      <c r="H205" s="305" t="n">
        <v>7.2</v>
      </c>
      <c r="I205" s="305" t="n">
        <v>7.47</v>
      </c>
      <c r="J205" s="32" t="n">
        <v>84</v>
      </c>
      <c r="K205" s="32" t="inlineStr">
        <is>
          <t>12</t>
        </is>
      </c>
      <c r="L205" s="32" t="inlineStr">
        <is>
          <t>Короб, мин. 1</t>
        </is>
      </c>
      <c r="M205" s="33" t="inlineStr">
        <is>
          <t>МГ</t>
        </is>
      </c>
      <c r="N205" s="33" t="n"/>
      <c r="O205" s="32" t="n">
        <v>180</v>
      </c>
      <c r="P205" s="389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/>
      </c>
      <c r="Q205" s="313" t="n"/>
      <c r="R205" s="313" t="n"/>
      <c r="S205" s="313" t="n"/>
      <c r="T205" s="314" t="n"/>
      <c r="U205" s="34" t="n"/>
      <c r="V205" s="34" t="n"/>
      <c r="W205" s="35" t="inlineStr">
        <is>
          <t>кор</t>
        </is>
      </c>
      <c r="X205" s="310" t="n">
        <v>0</v>
      </c>
      <c r="Y205" s="307">
        <f>IFERROR(IF(X205="","",X205),"")</f>
        <v/>
      </c>
      <c r="Z205" s="36">
        <f>IFERROR(IF(X205="","",X205*0.0155),"")</f>
        <v/>
      </c>
      <c r="AA205" s="55" t="n"/>
      <c r="AB205" s="56" t="n"/>
      <c r="AC205" s="204" t="inlineStr">
        <is>
          <t>ЕАЭС N RU Д-RU.PA01.B.06796/21</t>
        </is>
      </c>
      <c r="AD205" s="7">
        <f>X205*G205</f>
        <v/>
      </c>
      <c r="AE205" s="7">
        <f>X205/J205</f>
        <v/>
      </c>
      <c r="AG205" s="66" t="n"/>
      <c r="AJ205" s="69" t="inlineStr">
        <is>
          <t>Короб</t>
        </is>
      </c>
      <c r="AK205" s="69" t="n">
        <v>1</v>
      </c>
      <c r="BB205" s="205" t="inlineStr">
        <is>
          <t>ЗПФ</t>
        </is>
      </c>
      <c r="BM205" s="66" t="n">
        <v>0</v>
      </c>
      <c r="BN205" s="66" t="n">
        <v>0</v>
      </c>
      <c r="BO205" s="66" t="n">
        <v>0</v>
      </c>
      <c r="BP205" s="66" t="n">
        <v>0</v>
      </c>
    </row>
    <row r="206" ht="27" customHeight="1">
      <c r="A206" s="53" t="inlineStr">
        <is>
          <t>SU002067</t>
        </is>
      </c>
      <c r="B206" s="53" t="inlineStr">
        <is>
          <t>P002999</t>
        </is>
      </c>
      <c r="C206" s="31" t="n">
        <v>4301070915</v>
      </c>
      <c r="D206" s="316" t="n">
        <v>4607111035882</v>
      </c>
      <c r="E206" s="317" t="n"/>
      <c r="F206" s="305" t="n">
        <v>0.43</v>
      </c>
      <c r="G206" s="32" t="n">
        <v>16</v>
      </c>
      <c r="H206" s="305" t="n">
        <v>6.88</v>
      </c>
      <c r="I206" s="305" t="n">
        <v>7.19</v>
      </c>
      <c r="J206" s="32" t="n">
        <v>84</v>
      </c>
      <c r="K206" s="32" t="inlineStr">
        <is>
          <t>12</t>
        </is>
      </c>
      <c r="L206" s="32" t="inlineStr">
        <is>
          <t>Короб, мин. 1</t>
        </is>
      </c>
      <c r="M206" s="33" t="inlineStr">
        <is>
          <t>МГ</t>
        </is>
      </c>
      <c r="N206" s="33" t="n"/>
      <c r="O206" s="32" t="n">
        <v>180</v>
      </c>
      <c r="P206" s="426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/>
      </c>
      <c r="Q206" s="313" t="n"/>
      <c r="R206" s="313" t="n"/>
      <c r="S206" s="313" t="n"/>
      <c r="T206" s="314" t="n"/>
      <c r="U206" s="34" t="n"/>
      <c r="V206" s="34" t="n"/>
      <c r="W206" s="35" t="inlineStr">
        <is>
          <t>кор</t>
        </is>
      </c>
      <c r="X206" s="310" t="n">
        <v>0</v>
      </c>
      <c r="Y206" s="307">
        <f>IFERROR(IF(X206="","",X206),"")</f>
        <v/>
      </c>
      <c r="Z206" s="36">
        <f>IFERROR(IF(X206="","",X206*0.0155),"")</f>
        <v/>
      </c>
      <c r="AA206" s="55" t="n"/>
      <c r="AB206" s="56" t="n"/>
      <c r="AC206" s="206" t="inlineStr">
        <is>
          <t>ЕАЭС N RU Д-RU.PA01.B.05295/21</t>
        </is>
      </c>
      <c r="AD206" s="7">
        <f>X206*G206</f>
        <v/>
      </c>
      <c r="AE206" s="7">
        <f>X206/J206</f>
        <v/>
      </c>
      <c r="AG206" s="66" t="n"/>
      <c r="AJ206" s="69" t="inlineStr">
        <is>
          <t>Короб</t>
        </is>
      </c>
      <c r="AK206" s="69" t="n">
        <v>1</v>
      </c>
      <c r="BB206" s="207" t="inlineStr">
        <is>
          <t>ЗПФ</t>
        </is>
      </c>
      <c r="BM206" s="66" t="n">
        <v>0</v>
      </c>
      <c r="BN206" s="66" t="n">
        <v>0</v>
      </c>
      <c r="BO206" s="66" t="n">
        <v>0</v>
      </c>
      <c r="BP206" s="66" t="n">
        <v>0</v>
      </c>
    </row>
    <row r="207" ht="27" customHeight="1">
      <c r="A207" s="53" t="inlineStr">
        <is>
          <t>SU002068</t>
        </is>
      </c>
      <c r="B207" s="53" t="inlineStr">
        <is>
          <t>P003005</t>
        </is>
      </c>
      <c r="C207" s="31" t="n">
        <v>4301070921</v>
      </c>
      <c r="D207" s="316" t="n">
        <v>4607111035905</v>
      </c>
      <c r="E207" s="317" t="n"/>
      <c r="F207" s="305" t="n">
        <v>0.9</v>
      </c>
      <c r="G207" s="32" t="n">
        <v>8</v>
      </c>
      <c r="H207" s="305" t="n">
        <v>7.2</v>
      </c>
      <c r="I207" s="305" t="n">
        <v>7.47</v>
      </c>
      <c r="J207" s="32" t="n">
        <v>84</v>
      </c>
      <c r="K207" s="32" t="inlineStr">
        <is>
          <t>12</t>
        </is>
      </c>
      <c r="L207" s="32" t="inlineStr">
        <is>
          <t>Короб, мин. 1</t>
        </is>
      </c>
      <c r="M207" s="33" t="inlineStr">
        <is>
          <t>МГ</t>
        </is>
      </c>
      <c r="N207" s="33" t="n"/>
      <c r="O207" s="32" t="n">
        <v>180</v>
      </c>
      <c r="P207" s="428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/>
      </c>
      <c r="Q207" s="313" t="n"/>
      <c r="R207" s="313" t="n"/>
      <c r="S207" s="313" t="n"/>
      <c r="T207" s="314" t="n"/>
      <c r="U207" s="34" t="n"/>
      <c r="V207" s="34" t="n"/>
      <c r="W207" s="35" t="inlineStr">
        <is>
          <t>кор</t>
        </is>
      </c>
      <c r="X207" s="310" t="n">
        <v>0</v>
      </c>
      <c r="Y207" s="307">
        <f>IFERROR(IF(X207="","",X207),"")</f>
        <v/>
      </c>
      <c r="Z207" s="36">
        <f>IFERROR(IF(X207="","",X207*0.0155),"")</f>
        <v/>
      </c>
      <c r="AA207" s="55" t="n"/>
      <c r="AB207" s="56" t="n"/>
      <c r="AC207" s="208" t="inlineStr">
        <is>
          <t>ЕАЭС N RU Д-RU.PA01.B.05295/21</t>
        </is>
      </c>
      <c r="AD207" s="7">
        <f>X207*G207</f>
        <v/>
      </c>
      <c r="AE207" s="7">
        <f>X207/J207</f>
        <v/>
      </c>
      <c r="AG207" s="66" t="n"/>
      <c r="AJ207" s="69" t="inlineStr">
        <is>
          <t>Короб</t>
        </is>
      </c>
      <c r="AK207" s="69" t="n">
        <v>1</v>
      </c>
      <c r="BB207" s="209" t="inlineStr">
        <is>
          <t>ЗПФ</t>
        </is>
      </c>
      <c r="BM207" s="66" t="n">
        <v>0</v>
      </c>
      <c r="BN207" s="66" t="n">
        <v>0</v>
      </c>
      <c r="BO207" s="66" t="n">
        <v>0</v>
      </c>
      <c r="BP207" s="66" t="n">
        <v>0</v>
      </c>
    </row>
    <row r="208">
      <c r="A208" s="318" t="n"/>
      <c r="B208" s="319" t="n"/>
      <c r="C208" s="319" t="n"/>
      <c r="D208" s="319" t="n"/>
      <c r="E208" s="319" t="n"/>
      <c r="F208" s="319" t="n"/>
      <c r="G208" s="319" t="n"/>
      <c r="H208" s="319" t="n"/>
      <c r="I208" s="319" t="n"/>
      <c r="J208" s="319" t="n"/>
      <c r="K208" s="319" t="n"/>
      <c r="L208" s="319" t="n"/>
      <c r="M208" s="319" t="n"/>
      <c r="N208" s="319" t="n"/>
      <c r="O208" s="320" t="n"/>
      <c r="P208" s="321" t="inlineStr">
        <is>
          <t>Итого</t>
        </is>
      </c>
      <c r="Q208" s="322" t="n"/>
      <c r="R208" s="322" t="n"/>
      <c r="S208" s="322" t="n"/>
      <c r="T208" s="322" t="n"/>
      <c r="U208" s="322" t="n"/>
      <c r="V208" s="323" t="n"/>
      <c r="W208" s="37" t="inlineStr">
        <is>
          <t>кор</t>
        </is>
      </c>
      <c r="X208" s="311">
        <f>IFERROR(SUM(X204:X207),"0")</f>
        <v/>
      </c>
      <c r="Y208" s="308">
        <f>IFERROR(SUM(Y204:Y207),"0")</f>
        <v/>
      </c>
      <c r="Z208" s="308">
        <f>IFERROR(IF(Z204="",0,Z204),"0")+IFERROR(IF(Z205="",0,Z205),"0")+IFERROR(IF(Z206="",0,Z206),"0")+IFERROR(IF(Z207="",0,Z207),"0")</f>
        <v/>
      </c>
      <c r="AA208" s="309" t="n"/>
      <c r="AB208" s="309" t="n"/>
      <c r="AC208" s="309" t="n"/>
    </row>
    <row r="209">
      <c r="A209" s="319" t="n"/>
      <c r="B209" s="319" t="n"/>
      <c r="C209" s="319" t="n"/>
      <c r="D209" s="319" t="n"/>
      <c r="E209" s="319" t="n"/>
      <c r="F209" s="319" t="n"/>
      <c r="G209" s="319" t="n"/>
      <c r="H209" s="319" t="n"/>
      <c r="I209" s="319" t="n"/>
      <c r="J209" s="319" t="n"/>
      <c r="K209" s="319" t="n"/>
      <c r="L209" s="319" t="n"/>
      <c r="M209" s="319" t="n"/>
      <c r="N209" s="319" t="n"/>
      <c r="O209" s="320" t="n"/>
      <c r="P209" s="321" t="inlineStr">
        <is>
          <t>Итого</t>
        </is>
      </c>
      <c r="Q209" s="322" t="n"/>
      <c r="R209" s="322" t="n"/>
      <c r="S209" s="322" t="n"/>
      <c r="T209" s="322" t="n"/>
      <c r="U209" s="322" t="n"/>
      <c r="V209" s="323" t="n"/>
      <c r="W209" s="37" t="inlineStr">
        <is>
          <t>кг</t>
        </is>
      </c>
      <c r="X209" s="311">
        <f>IFERROR(SUMPRODUCT(X204:X207*H204:H207),"0")</f>
        <v/>
      </c>
      <c r="Y209" s="308">
        <f>IFERROR(SUMPRODUCT(Y204:Y207*H204:H207),"0")</f>
        <v/>
      </c>
      <c r="Z209" s="37" t="n"/>
      <c r="AA209" s="309" t="n"/>
      <c r="AB209" s="309" t="n"/>
      <c r="AC209" s="309" t="n"/>
    </row>
    <row r="210" ht="16.5" customHeight="1">
      <c r="A210" s="324" t="inlineStr">
        <is>
          <t>Стародворские</t>
        </is>
      </c>
      <c r="B210" s="319" t="n"/>
      <c r="C210" s="319" t="n"/>
      <c r="D210" s="319" t="n"/>
      <c r="E210" s="319" t="n"/>
      <c r="F210" s="319" t="n"/>
      <c r="G210" s="319" t="n"/>
      <c r="H210" s="319" t="n"/>
      <c r="I210" s="319" t="n"/>
      <c r="J210" s="319" t="n"/>
      <c r="K210" s="319" t="n"/>
      <c r="L210" s="319" t="n"/>
      <c r="M210" s="319" t="n"/>
      <c r="N210" s="319" t="n"/>
      <c r="O210" s="319" t="n"/>
      <c r="P210" s="319" t="n"/>
      <c r="Q210" s="319" t="n"/>
      <c r="R210" s="319" t="n"/>
      <c r="S210" s="319" t="n"/>
      <c r="T210" s="319" t="n"/>
      <c r="U210" s="319" t="n"/>
      <c r="V210" s="319" t="n"/>
      <c r="W210" s="319" t="n"/>
      <c r="X210" s="319" t="n"/>
      <c r="Y210" s="319" t="n"/>
      <c r="Z210" s="319" t="n"/>
      <c r="AA210" s="324" t="n"/>
      <c r="AB210" s="324" t="n"/>
      <c r="AC210" s="324" t="n"/>
    </row>
    <row r="211" ht="14.25" customHeight="1">
      <c r="A211" s="329" t="inlineStr">
        <is>
          <t>Пельмени</t>
        </is>
      </c>
      <c r="B211" s="319" t="n"/>
      <c r="C211" s="319" t="n"/>
      <c r="D211" s="319" t="n"/>
      <c r="E211" s="319" t="n"/>
      <c r="F211" s="319" t="n"/>
      <c r="G211" s="319" t="n"/>
      <c r="H211" s="319" t="n"/>
      <c r="I211" s="319" t="n"/>
      <c r="J211" s="319" t="n"/>
      <c r="K211" s="319" t="n"/>
      <c r="L211" s="319" t="n"/>
      <c r="M211" s="319" t="n"/>
      <c r="N211" s="319" t="n"/>
      <c r="O211" s="319" t="n"/>
      <c r="P211" s="319" t="n"/>
      <c r="Q211" s="319" t="n"/>
      <c r="R211" s="319" t="n"/>
      <c r="S211" s="319" t="n"/>
      <c r="T211" s="319" t="n"/>
      <c r="U211" s="319" t="n"/>
      <c r="V211" s="319" t="n"/>
      <c r="W211" s="319" t="n"/>
      <c r="X211" s="319" t="n"/>
      <c r="Y211" s="319" t="n"/>
      <c r="Z211" s="319" t="n"/>
      <c r="AA211" s="329" t="n"/>
      <c r="AB211" s="329" t="n"/>
      <c r="AC211" s="329" t="n"/>
    </row>
    <row r="212" ht="27" customHeight="1">
      <c r="A212" s="53" t="inlineStr">
        <is>
          <t>SU003935</t>
        </is>
      </c>
      <c r="B212" s="53" t="inlineStr">
        <is>
          <t>P005048</t>
        </is>
      </c>
      <c r="C212" s="31" t="n">
        <v>4301071097</v>
      </c>
      <c r="D212" s="316" t="n">
        <v>4620207491096</v>
      </c>
      <c r="E212" s="317" t="n"/>
      <c r="F212" s="305" t="n">
        <v>1</v>
      </c>
      <c r="G212" s="32" t="n">
        <v>5</v>
      </c>
      <c r="H212" s="305" t="n">
        <v>5</v>
      </c>
      <c r="I212" s="305" t="n">
        <v>5.23</v>
      </c>
      <c r="J212" s="32" t="n">
        <v>84</v>
      </c>
      <c r="K212" s="32" t="inlineStr">
        <is>
          <t>12</t>
        </is>
      </c>
      <c r="L212" s="32" t="inlineStr">
        <is>
          <t>Короб, мин. 1</t>
        </is>
      </c>
      <c r="M212" s="33" t="inlineStr">
        <is>
          <t>МГ</t>
        </is>
      </c>
      <c r="N212" s="33" t="n"/>
      <c r="O212" s="32" t="n">
        <v>180</v>
      </c>
      <c r="P212" s="435" t="inlineStr">
        <is>
          <t>Пельмени «Мясные с говядиной» Фикс.вес 1 сфера ТМ «Стародворье»</t>
        </is>
      </c>
      <c r="Q212" s="313" t="n"/>
      <c r="R212" s="313" t="n"/>
      <c r="S212" s="313" t="n"/>
      <c r="T212" s="314" t="n"/>
      <c r="U212" s="34" t="n"/>
      <c r="V212" s="34" t="n"/>
      <c r="W212" s="35" t="inlineStr">
        <is>
          <t>кор</t>
        </is>
      </c>
      <c r="X212" s="310" t="n">
        <v>0</v>
      </c>
      <c r="Y212" s="307">
        <f>IFERROR(IF(X212="","",X212),"")</f>
        <v/>
      </c>
      <c r="Z212" s="36">
        <f>IFERROR(IF(X212="","",X212*0.0155),"")</f>
        <v/>
      </c>
      <c r="AA212" s="55" t="n"/>
      <c r="AB212" s="56" t="n"/>
      <c r="AC212" s="210" t="inlineStr">
        <is>
          <t>ЕАЭС N RU Д-RU.РА02.В.24375/25</t>
        </is>
      </c>
      <c r="AD212" s="7">
        <f>X212*G212</f>
        <v/>
      </c>
      <c r="AE212" s="7">
        <f>X212/J212</f>
        <v/>
      </c>
      <c r="AG212" s="66" t="n"/>
      <c r="AJ212" s="69" t="inlineStr">
        <is>
          <t>Короб</t>
        </is>
      </c>
      <c r="AK212" s="69" t="n">
        <v>1</v>
      </c>
      <c r="BB212" s="211" t="inlineStr">
        <is>
          <t>ЗПФ</t>
        </is>
      </c>
      <c r="BM212" s="66" t="n">
        <v>0</v>
      </c>
      <c r="BN212" s="66" t="n">
        <v>0</v>
      </c>
      <c r="BO212" s="66" t="n">
        <v>0</v>
      </c>
      <c r="BP212" s="66" t="n">
        <v>0</v>
      </c>
    </row>
    <row r="213">
      <c r="A213" s="318" t="n"/>
      <c r="B213" s="319" t="n"/>
      <c r="C213" s="319" t="n"/>
      <c r="D213" s="319" t="n"/>
      <c r="E213" s="319" t="n"/>
      <c r="F213" s="319" t="n"/>
      <c r="G213" s="319" t="n"/>
      <c r="H213" s="319" t="n"/>
      <c r="I213" s="319" t="n"/>
      <c r="J213" s="319" t="n"/>
      <c r="K213" s="319" t="n"/>
      <c r="L213" s="319" t="n"/>
      <c r="M213" s="319" t="n"/>
      <c r="N213" s="319" t="n"/>
      <c r="O213" s="320" t="n"/>
      <c r="P213" s="321" t="inlineStr">
        <is>
          <t>Итого</t>
        </is>
      </c>
      <c r="Q213" s="322" t="n"/>
      <c r="R213" s="322" t="n"/>
      <c r="S213" s="322" t="n"/>
      <c r="T213" s="322" t="n"/>
      <c r="U213" s="322" t="n"/>
      <c r="V213" s="323" t="n"/>
      <c r="W213" s="37" t="inlineStr">
        <is>
          <t>кор</t>
        </is>
      </c>
      <c r="X213" s="311">
        <f>IFERROR(SUM(X212:X212),"0")</f>
        <v/>
      </c>
      <c r="Y213" s="308">
        <f>IFERROR(SUM(Y212:Y212),"0")</f>
        <v/>
      </c>
      <c r="Z213" s="308">
        <f>IFERROR(IF(Z212="",0,Z212),"0")</f>
        <v/>
      </c>
      <c r="AA213" s="309" t="n"/>
      <c r="AB213" s="309" t="n"/>
      <c r="AC213" s="309" t="n"/>
    </row>
    <row r="214">
      <c r="A214" s="319" t="n"/>
      <c r="B214" s="319" t="n"/>
      <c r="C214" s="319" t="n"/>
      <c r="D214" s="319" t="n"/>
      <c r="E214" s="319" t="n"/>
      <c r="F214" s="319" t="n"/>
      <c r="G214" s="319" t="n"/>
      <c r="H214" s="319" t="n"/>
      <c r="I214" s="319" t="n"/>
      <c r="J214" s="319" t="n"/>
      <c r="K214" s="319" t="n"/>
      <c r="L214" s="319" t="n"/>
      <c r="M214" s="319" t="n"/>
      <c r="N214" s="319" t="n"/>
      <c r="O214" s="320" t="n"/>
      <c r="P214" s="321" t="inlineStr">
        <is>
          <t>Итого</t>
        </is>
      </c>
      <c r="Q214" s="322" t="n"/>
      <c r="R214" s="322" t="n"/>
      <c r="S214" s="322" t="n"/>
      <c r="T214" s="322" t="n"/>
      <c r="U214" s="322" t="n"/>
      <c r="V214" s="323" t="n"/>
      <c r="W214" s="37" t="inlineStr">
        <is>
          <t>кг</t>
        </is>
      </c>
      <c r="X214" s="311">
        <f>IFERROR(SUMPRODUCT(X212:X212*H212:H212),"0")</f>
        <v/>
      </c>
      <c r="Y214" s="308">
        <f>IFERROR(SUMPRODUCT(Y212:Y212*H212:H212),"0")</f>
        <v/>
      </c>
      <c r="Z214" s="37" t="n"/>
      <c r="AA214" s="309" t="n"/>
      <c r="AB214" s="309" t="n"/>
      <c r="AC214" s="309" t="n"/>
    </row>
    <row r="215" ht="16.5" customHeight="1">
      <c r="A215" s="324" t="inlineStr">
        <is>
          <t>Добросельские ЭТМ</t>
        </is>
      </c>
      <c r="B215" s="319" t="n"/>
      <c r="C215" s="319" t="n"/>
      <c r="D215" s="319" t="n"/>
      <c r="E215" s="319" t="n"/>
      <c r="F215" s="319" t="n"/>
      <c r="G215" s="319" t="n"/>
      <c r="H215" s="319" t="n"/>
      <c r="I215" s="319" t="n"/>
      <c r="J215" s="319" t="n"/>
      <c r="K215" s="319" t="n"/>
      <c r="L215" s="319" t="n"/>
      <c r="M215" s="319" t="n"/>
      <c r="N215" s="319" t="n"/>
      <c r="O215" s="319" t="n"/>
      <c r="P215" s="319" t="n"/>
      <c r="Q215" s="319" t="n"/>
      <c r="R215" s="319" t="n"/>
      <c r="S215" s="319" t="n"/>
      <c r="T215" s="319" t="n"/>
      <c r="U215" s="319" t="n"/>
      <c r="V215" s="319" t="n"/>
      <c r="W215" s="319" t="n"/>
      <c r="X215" s="319" t="n"/>
      <c r="Y215" s="319" t="n"/>
      <c r="Z215" s="319" t="n"/>
      <c r="AA215" s="324" t="n"/>
      <c r="AB215" s="324" t="n"/>
      <c r="AC215" s="324" t="n"/>
    </row>
    <row r="216" ht="14.25" customHeight="1">
      <c r="A216" s="329" t="inlineStr">
        <is>
          <t>Пельмени</t>
        </is>
      </c>
      <c r="B216" s="319" t="n"/>
      <c r="C216" s="319" t="n"/>
      <c r="D216" s="319" t="n"/>
      <c r="E216" s="319" t="n"/>
      <c r="F216" s="319" t="n"/>
      <c r="G216" s="319" t="n"/>
      <c r="H216" s="319" t="n"/>
      <c r="I216" s="319" t="n"/>
      <c r="J216" s="319" t="n"/>
      <c r="K216" s="319" t="n"/>
      <c r="L216" s="319" t="n"/>
      <c r="M216" s="319" t="n"/>
      <c r="N216" s="319" t="n"/>
      <c r="O216" s="319" t="n"/>
      <c r="P216" s="319" t="n"/>
      <c r="Q216" s="319" t="n"/>
      <c r="R216" s="319" t="n"/>
      <c r="S216" s="319" t="n"/>
      <c r="T216" s="319" t="n"/>
      <c r="U216" s="319" t="n"/>
      <c r="V216" s="319" t="n"/>
      <c r="W216" s="319" t="n"/>
      <c r="X216" s="319" t="n"/>
      <c r="Y216" s="319" t="n"/>
      <c r="Z216" s="319" t="n"/>
      <c r="AA216" s="329" t="n"/>
      <c r="AB216" s="329" t="n"/>
      <c r="AC216" s="329" t="n"/>
    </row>
    <row r="217" ht="27" customHeight="1">
      <c r="A217" s="53" t="inlineStr">
        <is>
          <t>SU003841</t>
        </is>
      </c>
      <c r="B217" s="53" t="inlineStr">
        <is>
          <t>P004905</t>
        </is>
      </c>
      <c r="C217" s="31" t="n">
        <v>4301071093</v>
      </c>
      <c r="D217" s="316" t="n">
        <v>4620207490709</v>
      </c>
      <c r="E217" s="317" t="n"/>
      <c r="F217" s="305" t="n">
        <v>0.65</v>
      </c>
      <c r="G217" s="32" t="n">
        <v>8</v>
      </c>
      <c r="H217" s="305" t="n">
        <v>5.2</v>
      </c>
      <c r="I217" s="305" t="n">
        <v>5.47</v>
      </c>
      <c r="J217" s="32" t="n">
        <v>84</v>
      </c>
      <c r="K217" s="32" t="inlineStr">
        <is>
          <t>12</t>
        </is>
      </c>
      <c r="L217" s="32" t="inlineStr">
        <is>
          <t>Короб, мин. 1</t>
        </is>
      </c>
      <c r="M217" s="33" t="inlineStr">
        <is>
          <t>МГ</t>
        </is>
      </c>
      <c r="N217" s="33" t="n"/>
      <c r="O217" s="32" t="n">
        <v>180</v>
      </c>
      <c r="P217" s="430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/>
      </c>
      <c r="Q217" s="313" t="n"/>
      <c r="R217" s="313" t="n"/>
      <c r="S217" s="313" t="n"/>
      <c r="T217" s="314" t="n"/>
      <c r="U217" s="34" t="n"/>
      <c r="V217" s="34" t="n"/>
      <c r="W217" s="35" t="inlineStr">
        <is>
          <t>кор</t>
        </is>
      </c>
      <c r="X217" s="310" t="n">
        <v>0</v>
      </c>
      <c r="Y217" s="307">
        <f>IFERROR(IF(X217="","",X217),"")</f>
        <v/>
      </c>
      <c r="Z217" s="36">
        <f>IFERROR(IF(X217="","",X217*0.0155),"")</f>
        <v/>
      </c>
      <c r="AA217" s="55" t="n"/>
      <c r="AB217" s="56" t="n"/>
      <c r="AC217" s="212" t="inlineStr">
        <is>
          <t>ЕАЭС N RU Д-RU.РА10.В.54690/24</t>
        </is>
      </c>
      <c r="AD217" s="7">
        <f>X217*G217</f>
        <v/>
      </c>
      <c r="AE217" s="7">
        <f>X217/J217</f>
        <v/>
      </c>
      <c r="AG217" s="66" t="n"/>
      <c r="AJ217" s="69" t="inlineStr">
        <is>
          <t>Короб</t>
        </is>
      </c>
      <c r="AK217" s="69" t="n">
        <v>1</v>
      </c>
      <c r="BB217" s="213" t="inlineStr">
        <is>
          <t>ЗПФ</t>
        </is>
      </c>
      <c r="BM217" s="66" t="n">
        <v>0</v>
      </c>
      <c r="BN217" s="66" t="n">
        <v>0</v>
      </c>
      <c r="BO217" s="66" t="n">
        <v>0</v>
      </c>
      <c r="BP217" s="66" t="n">
        <v>0</v>
      </c>
    </row>
    <row r="218">
      <c r="A218" s="318" t="n"/>
      <c r="B218" s="319" t="n"/>
      <c r="C218" s="319" t="n"/>
      <c r="D218" s="319" t="n"/>
      <c r="E218" s="319" t="n"/>
      <c r="F218" s="319" t="n"/>
      <c r="G218" s="319" t="n"/>
      <c r="H218" s="319" t="n"/>
      <c r="I218" s="319" t="n"/>
      <c r="J218" s="319" t="n"/>
      <c r="K218" s="319" t="n"/>
      <c r="L218" s="319" t="n"/>
      <c r="M218" s="319" t="n"/>
      <c r="N218" s="319" t="n"/>
      <c r="O218" s="320" t="n"/>
      <c r="P218" s="321" t="inlineStr">
        <is>
          <t>Итого</t>
        </is>
      </c>
      <c r="Q218" s="322" t="n"/>
      <c r="R218" s="322" t="n"/>
      <c r="S218" s="322" t="n"/>
      <c r="T218" s="322" t="n"/>
      <c r="U218" s="322" t="n"/>
      <c r="V218" s="323" t="n"/>
      <c r="W218" s="37" t="inlineStr">
        <is>
          <t>кор</t>
        </is>
      </c>
      <c r="X218" s="311">
        <f>IFERROR(SUM(X217:X217),"0")</f>
        <v/>
      </c>
      <c r="Y218" s="308">
        <f>IFERROR(SUM(Y217:Y217),"0")</f>
        <v/>
      </c>
      <c r="Z218" s="308">
        <f>IFERROR(IF(Z217="",0,Z217),"0")</f>
        <v/>
      </c>
      <c r="AA218" s="309" t="n"/>
      <c r="AB218" s="309" t="n"/>
      <c r="AC218" s="309" t="n"/>
    </row>
    <row r="219">
      <c r="A219" s="319" t="n"/>
      <c r="B219" s="319" t="n"/>
      <c r="C219" s="319" t="n"/>
      <c r="D219" s="319" t="n"/>
      <c r="E219" s="319" t="n"/>
      <c r="F219" s="319" t="n"/>
      <c r="G219" s="319" t="n"/>
      <c r="H219" s="319" t="n"/>
      <c r="I219" s="319" t="n"/>
      <c r="J219" s="319" t="n"/>
      <c r="K219" s="319" t="n"/>
      <c r="L219" s="319" t="n"/>
      <c r="M219" s="319" t="n"/>
      <c r="N219" s="319" t="n"/>
      <c r="O219" s="320" t="n"/>
      <c r="P219" s="321" t="inlineStr">
        <is>
          <t>Итого</t>
        </is>
      </c>
      <c r="Q219" s="322" t="n"/>
      <c r="R219" s="322" t="n"/>
      <c r="S219" s="322" t="n"/>
      <c r="T219" s="322" t="n"/>
      <c r="U219" s="322" t="n"/>
      <c r="V219" s="323" t="n"/>
      <c r="W219" s="37" t="inlineStr">
        <is>
          <t>кг</t>
        </is>
      </c>
      <c r="X219" s="311">
        <f>IFERROR(SUMPRODUCT(X217:X217*H217:H217),"0")</f>
        <v/>
      </c>
      <c r="Y219" s="308">
        <f>IFERROR(SUMPRODUCT(Y217:Y217*H217:H217),"0")</f>
        <v/>
      </c>
      <c r="Z219" s="37" t="n"/>
      <c r="AA219" s="309" t="n"/>
      <c r="AB219" s="309" t="n"/>
      <c r="AC219" s="309" t="n"/>
    </row>
    <row r="220" ht="14.25" customHeight="1">
      <c r="A220" s="329" t="inlineStr">
        <is>
          <t>Снеки</t>
        </is>
      </c>
      <c r="B220" s="319" t="n"/>
      <c r="C220" s="319" t="n"/>
      <c r="D220" s="319" t="n"/>
      <c r="E220" s="319" t="n"/>
      <c r="F220" s="319" t="n"/>
      <c r="G220" s="319" t="n"/>
      <c r="H220" s="319" t="n"/>
      <c r="I220" s="319" t="n"/>
      <c r="J220" s="319" t="n"/>
      <c r="K220" s="319" t="n"/>
      <c r="L220" s="319" t="n"/>
      <c r="M220" s="319" t="n"/>
      <c r="N220" s="319" t="n"/>
      <c r="O220" s="319" t="n"/>
      <c r="P220" s="319" t="n"/>
      <c r="Q220" s="319" t="n"/>
      <c r="R220" s="319" t="n"/>
      <c r="S220" s="319" t="n"/>
      <c r="T220" s="319" t="n"/>
      <c r="U220" s="319" t="n"/>
      <c r="V220" s="319" t="n"/>
      <c r="W220" s="319" t="n"/>
      <c r="X220" s="319" t="n"/>
      <c r="Y220" s="319" t="n"/>
      <c r="Z220" s="319" t="n"/>
      <c r="AA220" s="329" t="n"/>
      <c r="AB220" s="329" t="n"/>
      <c r="AC220" s="329" t="n"/>
    </row>
    <row r="221" ht="27" customHeight="1">
      <c r="A221" s="53" t="inlineStr">
        <is>
          <t>SU003708</t>
        </is>
      </c>
      <c r="B221" s="53" t="inlineStr">
        <is>
          <t>P004806</t>
        </is>
      </c>
      <c r="C221" s="31" t="n">
        <v>4301135692</v>
      </c>
      <c r="D221" s="316" t="n">
        <v>4620207490570</v>
      </c>
      <c r="E221" s="317" t="n"/>
      <c r="F221" s="305" t="n">
        <v>0.2</v>
      </c>
      <c r="G221" s="32" t="n">
        <v>12</v>
      </c>
      <c r="H221" s="305" t="n">
        <v>2.4</v>
      </c>
      <c r="I221" s="305" t="n">
        <v>3.1036</v>
      </c>
      <c r="J221" s="32" t="n">
        <v>70</v>
      </c>
      <c r="K221" s="32" t="inlineStr">
        <is>
          <t>14</t>
        </is>
      </c>
      <c r="L221" s="32" t="inlineStr">
        <is>
          <t>Короб, мин. 1</t>
        </is>
      </c>
      <c r="M221" s="33" t="inlineStr">
        <is>
          <t>МГ</t>
        </is>
      </c>
      <c r="N221" s="33" t="n"/>
      <c r="O221" s="32" t="n">
        <v>180</v>
      </c>
      <c r="P221" s="336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/>
      </c>
      <c r="Q221" s="313" t="n"/>
      <c r="R221" s="313" t="n"/>
      <c r="S221" s="313" t="n"/>
      <c r="T221" s="314" t="n"/>
      <c r="U221" s="34" t="n"/>
      <c r="V221" s="34" t="n"/>
      <c r="W221" s="35" t="inlineStr">
        <is>
          <t>кор</t>
        </is>
      </c>
      <c r="X221" s="310" t="n">
        <v>0</v>
      </c>
      <c r="Y221" s="307">
        <f>IFERROR(IF(X221="","",X221),"")</f>
        <v/>
      </c>
      <c r="Z221" s="36">
        <f>IFERROR(IF(X221="","",X221*0.01788),"")</f>
        <v/>
      </c>
      <c r="AA221" s="55" t="n"/>
      <c r="AB221" s="56" t="n"/>
      <c r="AC221" s="214" t="inlineStr">
        <is>
          <t>ЕАЭС N RU Д-RU.РА10.В.24095/24</t>
        </is>
      </c>
      <c r="AD221" s="7">
        <f>X221*G221</f>
        <v/>
      </c>
      <c r="AE221" s="7">
        <f>X221/J221</f>
        <v/>
      </c>
      <c r="AG221" s="66" t="n"/>
      <c r="AJ221" s="69" t="inlineStr">
        <is>
          <t>Короб</t>
        </is>
      </c>
      <c r="AK221" s="69" t="n">
        <v>1</v>
      </c>
      <c r="BB221" s="215" t="inlineStr">
        <is>
          <t>ПГП</t>
        </is>
      </c>
      <c r="BM221" s="66" t="n">
        <v>0</v>
      </c>
      <c r="BN221" s="66" t="n">
        <v>0</v>
      </c>
      <c r="BO221" s="66" t="n">
        <v>0</v>
      </c>
      <c r="BP221" s="66" t="n">
        <v>0</v>
      </c>
    </row>
    <row r="222" ht="27" customHeight="1">
      <c r="A222" s="53" t="inlineStr">
        <is>
          <t>SU003706</t>
        </is>
      </c>
      <c r="B222" s="53" t="inlineStr">
        <is>
          <t>P004804</t>
        </is>
      </c>
      <c r="C222" s="31" t="n">
        <v>4301135691</v>
      </c>
      <c r="D222" s="316" t="n">
        <v>4620207490549</v>
      </c>
      <c r="E222" s="317" t="n"/>
      <c r="F222" s="305" t="n">
        <v>0.2</v>
      </c>
      <c r="G222" s="32" t="n">
        <v>12</v>
      </c>
      <c r="H222" s="305" t="n">
        <v>2.4</v>
      </c>
      <c r="I222" s="305" t="n">
        <v>3.1036</v>
      </c>
      <c r="J222" s="32" t="n">
        <v>70</v>
      </c>
      <c r="K222" s="32" t="inlineStr">
        <is>
          <t>14</t>
        </is>
      </c>
      <c r="L222" s="32" t="inlineStr">
        <is>
          <t>Короб, мин. 1</t>
        </is>
      </c>
      <c r="M222" s="33" t="inlineStr">
        <is>
          <t>МГ</t>
        </is>
      </c>
      <c r="N222" s="33" t="n"/>
      <c r="O222" s="32" t="n">
        <v>180</v>
      </c>
      <c r="P222" s="448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/>
      </c>
      <c r="Q222" s="313" t="n"/>
      <c r="R222" s="313" t="n"/>
      <c r="S222" s="313" t="n"/>
      <c r="T222" s="314" t="n"/>
      <c r="U222" s="34" t="n"/>
      <c r="V222" s="34" t="n"/>
      <c r="W222" s="35" t="inlineStr">
        <is>
          <t>кор</t>
        </is>
      </c>
      <c r="X222" s="310" t="n">
        <v>0</v>
      </c>
      <c r="Y222" s="307">
        <f>IFERROR(IF(X222="","",X222),"")</f>
        <v/>
      </c>
      <c r="Z222" s="36">
        <f>IFERROR(IF(X222="","",X222*0.01788),"")</f>
        <v/>
      </c>
      <c r="AA222" s="55" t="n"/>
      <c r="AB222" s="56" t="n"/>
      <c r="AC222" s="216" t="inlineStr">
        <is>
          <t>ЕАЭС N RU Д-RU.РА10.В.24095/24</t>
        </is>
      </c>
      <c r="AD222" s="7">
        <f>X222*G222</f>
        <v/>
      </c>
      <c r="AE222" s="7">
        <f>X222/J222</f>
        <v/>
      </c>
      <c r="AG222" s="66" t="n"/>
      <c r="AJ222" s="69" t="inlineStr">
        <is>
          <t>Короб</t>
        </is>
      </c>
      <c r="AK222" s="69" t="n">
        <v>1</v>
      </c>
      <c r="BB222" s="217" t="inlineStr">
        <is>
          <t>ПГП</t>
        </is>
      </c>
      <c r="BM222" s="66" t="n">
        <v>0</v>
      </c>
      <c r="BN222" s="66" t="n">
        <v>0</v>
      </c>
      <c r="BO222" s="66" t="n">
        <v>0</v>
      </c>
      <c r="BP222" s="66" t="n">
        <v>0</v>
      </c>
    </row>
    <row r="223" ht="27" customHeight="1">
      <c r="A223" s="53" t="inlineStr">
        <is>
          <t>SU003707</t>
        </is>
      </c>
      <c r="B223" s="53" t="inlineStr">
        <is>
          <t>P004805</t>
        </is>
      </c>
      <c r="C223" s="31" t="n">
        <v>4301135694</v>
      </c>
      <c r="D223" s="316" t="n">
        <v>4620207490501</v>
      </c>
      <c r="E223" s="317" t="n"/>
      <c r="F223" s="305" t="n">
        <v>0.2</v>
      </c>
      <c r="G223" s="32" t="n">
        <v>12</v>
      </c>
      <c r="H223" s="305" t="n">
        <v>2.4</v>
      </c>
      <c r="I223" s="305" t="n">
        <v>3.1036</v>
      </c>
      <c r="J223" s="32" t="n">
        <v>70</v>
      </c>
      <c r="K223" s="32" t="inlineStr">
        <is>
          <t>14</t>
        </is>
      </c>
      <c r="L223" s="32" t="inlineStr">
        <is>
          <t>Короб, мин. 1</t>
        </is>
      </c>
      <c r="M223" s="33" t="inlineStr">
        <is>
          <t>МГ</t>
        </is>
      </c>
      <c r="N223" s="33" t="n"/>
      <c r="O223" s="32" t="n">
        <v>180</v>
      </c>
      <c r="P223" s="378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/>
      </c>
      <c r="Q223" s="313" t="n"/>
      <c r="R223" s="313" t="n"/>
      <c r="S223" s="313" t="n"/>
      <c r="T223" s="314" t="n"/>
      <c r="U223" s="34" t="n"/>
      <c r="V223" s="34" t="n"/>
      <c r="W223" s="35" t="inlineStr">
        <is>
          <t>кор</t>
        </is>
      </c>
      <c r="X223" s="310" t="n">
        <v>0</v>
      </c>
      <c r="Y223" s="307">
        <f>IFERROR(IF(X223="","",X223),"")</f>
        <v/>
      </c>
      <c r="Z223" s="36">
        <f>IFERROR(IF(X223="","",X223*0.01788),"")</f>
        <v/>
      </c>
      <c r="AA223" s="55" t="n"/>
      <c r="AB223" s="56" t="n"/>
      <c r="AC223" s="218" t="inlineStr">
        <is>
          <t>ЕАЭС N RU Д-RU.РА10.В.24095/24</t>
        </is>
      </c>
      <c r="AD223" s="7">
        <f>X223*G223</f>
        <v/>
      </c>
      <c r="AE223" s="7">
        <f>X223/J223</f>
        <v/>
      </c>
      <c r="AG223" s="66" t="n"/>
      <c r="AJ223" s="69" t="inlineStr">
        <is>
          <t>Короб</t>
        </is>
      </c>
      <c r="AK223" s="69" t="n">
        <v>1</v>
      </c>
      <c r="BB223" s="219" t="inlineStr">
        <is>
          <t>ПГП</t>
        </is>
      </c>
      <c r="BM223" s="66" t="n">
        <v>0</v>
      </c>
      <c r="BN223" s="66" t="n">
        <v>0</v>
      </c>
      <c r="BO223" s="66" t="n">
        <v>0</v>
      </c>
      <c r="BP223" s="66" t="n">
        <v>0</v>
      </c>
    </row>
    <row r="224">
      <c r="A224" s="318" t="n"/>
      <c r="B224" s="319" t="n"/>
      <c r="C224" s="319" t="n"/>
      <c r="D224" s="319" t="n"/>
      <c r="E224" s="319" t="n"/>
      <c r="F224" s="319" t="n"/>
      <c r="G224" s="319" t="n"/>
      <c r="H224" s="319" t="n"/>
      <c r="I224" s="319" t="n"/>
      <c r="J224" s="319" t="n"/>
      <c r="K224" s="319" t="n"/>
      <c r="L224" s="319" t="n"/>
      <c r="M224" s="319" t="n"/>
      <c r="N224" s="319" t="n"/>
      <c r="O224" s="320" t="n"/>
      <c r="P224" s="321" t="inlineStr">
        <is>
          <t>Итого</t>
        </is>
      </c>
      <c r="Q224" s="322" t="n"/>
      <c r="R224" s="322" t="n"/>
      <c r="S224" s="322" t="n"/>
      <c r="T224" s="322" t="n"/>
      <c r="U224" s="322" t="n"/>
      <c r="V224" s="323" t="n"/>
      <c r="W224" s="37" t="inlineStr">
        <is>
          <t>кор</t>
        </is>
      </c>
      <c r="X224" s="311">
        <f>IFERROR(SUM(X221:X223),"0")</f>
        <v/>
      </c>
      <c r="Y224" s="308">
        <f>IFERROR(SUM(Y221:Y223),"0")</f>
        <v/>
      </c>
      <c r="Z224" s="308">
        <f>IFERROR(IF(Z221="",0,Z221),"0")+IFERROR(IF(Z222="",0,Z222),"0")+IFERROR(IF(Z223="",0,Z223),"0")</f>
        <v/>
      </c>
      <c r="AA224" s="309" t="n"/>
      <c r="AB224" s="309" t="n"/>
      <c r="AC224" s="309" t="n"/>
    </row>
    <row r="225">
      <c r="A225" s="319" t="n"/>
      <c r="B225" s="319" t="n"/>
      <c r="C225" s="319" t="n"/>
      <c r="D225" s="319" t="n"/>
      <c r="E225" s="319" t="n"/>
      <c r="F225" s="319" t="n"/>
      <c r="G225" s="319" t="n"/>
      <c r="H225" s="319" t="n"/>
      <c r="I225" s="319" t="n"/>
      <c r="J225" s="319" t="n"/>
      <c r="K225" s="319" t="n"/>
      <c r="L225" s="319" t="n"/>
      <c r="M225" s="319" t="n"/>
      <c r="N225" s="319" t="n"/>
      <c r="O225" s="320" t="n"/>
      <c r="P225" s="321" t="inlineStr">
        <is>
          <t>Итого</t>
        </is>
      </c>
      <c r="Q225" s="322" t="n"/>
      <c r="R225" s="322" t="n"/>
      <c r="S225" s="322" t="n"/>
      <c r="T225" s="322" t="n"/>
      <c r="U225" s="322" t="n"/>
      <c r="V225" s="323" t="n"/>
      <c r="W225" s="37" t="inlineStr">
        <is>
          <t>кг</t>
        </is>
      </c>
      <c r="X225" s="311">
        <f>IFERROR(SUMPRODUCT(X221:X223*H221:H223),"0")</f>
        <v/>
      </c>
      <c r="Y225" s="308">
        <f>IFERROR(SUMPRODUCT(Y221:Y223*H221:H223),"0")</f>
        <v/>
      </c>
      <c r="Z225" s="37" t="n"/>
      <c r="AA225" s="309" t="n"/>
      <c r="AB225" s="309" t="n"/>
      <c r="AC225" s="309" t="n"/>
    </row>
    <row r="226" ht="16.5" customHeight="1">
      <c r="A226" s="324" t="inlineStr">
        <is>
          <t>Сочные</t>
        </is>
      </c>
      <c r="B226" s="319" t="n"/>
      <c r="C226" s="319" t="n"/>
      <c r="D226" s="319" t="n"/>
      <c r="E226" s="319" t="n"/>
      <c r="F226" s="319" t="n"/>
      <c r="G226" s="319" t="n"/>
      <c r="H226" s="319" t="n"/>
      <c r="I226" s="319" t="n"/>
      <c r="J226" s="319" t="n"/>
      <c r="K226" s="319" t="n"/>
      <c r="L226" s="319" t="n"/>
      <c r="M226" s="319" t="n"/>
      <c r="N226" s="319" t="n"/>
      <c r="O226" s="319" t="n"/>
      <c r="P226" s="319" t="n"/>
      <c r="Q226" s="319" t="n"/>
      <c r="R226" s="319" t="n"/>
      <c r="S226" s="319" t="n"/>
      <c r="T226" s="319" t="n"/>
      <c r="U226" s="319" t="n"/>
      <c r="V226" s="319" t="n"/>
      <c r="W226" s="319" t="n"/>
      <c r="X226" s="319" t="n"/>
      <c r="Y226" s="319" t="n"/>
      <c r="Z226" s="319" t="n"/>
      <c r="AA226" s="324" t="n"/>
      <c r="AB226" s="324" t="n"/>
      <c r="AC226" s="324" t="n"/>
    </row>
    <row r="227" ht="14.25" customHeight="1">
      <c r="A227" s="329" t="inlineStr">
        <is>
          <t>Пельмени</t>
        </is>
      </c>
      <c r="B227" s="319" t="n"/>
      <c r="C227" s="319" t="n"/>
      <c r="D227" s="319" t="n"/>
      <c r="E227" s="319" t="n"/>
      <c r="F227" s="319" t="n"/>
      <c r="G227" s="319" t="n"/>
      <c r="H227" s="319" t="n"/>
      <c r="I227" s="319" t="n"/>
      <c r="J227" s="319" t="n"/>
      <c r="K227" s="319" t="n"/>
      <c r="L227" s="319" t="n"/>
      <c r="M227" s="319" t="n"/>
      <c r="N227" s="319" t="n"/>
      <c r="O227" s="319" t="n"/>
      <c r="P227" s="319" t="n"/>
      <c r="Q227" s="319" t="n"/>
      <c r="R227" s="319" t="n"/>
      <c r="S227" s="319" t="n"/>
      <c r="T227" s="319" t="n"/>
      <c r="U227" s="319" t="n"/>
      <c r="V227" s="319" t="n"/>
      <c r="W227" s="319" t="n"/>
      <c r="X227" s="319" t="n"/>
      <c r="Y227" s="319" t="n"/>
      <c r="Z227" s="319" t="n"/>
      <c r="AA227" s="329" t="n"/>
      <c r="AB227" s="329" t="n"/>
      <c r="AC227" s="329" t="n"/>
    </row>
    <row r="228" ht="16.5" customHeight="1">
      <c r="A228" s="53" t="inlineStr">
        <is>
          <t>SU001859</t>
        </is>
      </c>
      <c r="B228" s="53" t="inlineStr">
        <is>
          <t>P004634</t>
        </is>
      </c>
      <c r="C228" s="31" t="n">
        <v>4301071063</v>
      </c>
      <c r="D228" s="316" t="n">
        <v>4607111039019</v>
      </c>
      <c r="E228" s="317" t="n"/>
      <c r="F228" s="305" t="n">
        <v>0.43</v>
      </c>
      <c r="G228" s="32" t="n">
        <v>16</v>
      </c>
      <c r="H228" s="305" t="n">
        <v>6.88</v>
      </c>
      <c r="I228" s="305" t="n">
        <v>7.206</v>
      </c>
      <c r="J228" s="32" t="n">
        <v>84</v>
      </c>
      <c r="K228" s="32" t="inlineStr">
        <is>
          <t>12</t>
        </is>
      </c>
      <c r="L228" s="32" t="inlineStr">
        <is>
          <t>Короб, мин. 1</t>
        </is>
      </c>
      <c r="M228" s="33" t="inlineStr">
        <is>
          <t>МГ</t>
        </is>
      </c>
      <c r="N228" s="33" t="n"/>
      <c r="O228" s="32" t="n">
        <v>180</v>
      </c>
      <c r="P228" s="500">
        <f>HYPERLINK("https://abi.ru/products/Замороженные/Стародворье/Сочные/Пельмени/P004634/","Пельмени «Сочные» 0,43 ТМ «Стародворье»")</f>
        <v/>
      </c>
      <c r="Q228" s="313" t="n"/>
      <c r="R228" s="313" t="n"/>
      <c r="S228" s="313" t="n"/>
      <c r="T228" s="314" t="n"/>
      <c r="U228" s="34" t="n"/>
      <c r="V228" s="34" t="n"/>
      <c r="W228" s="35" t="inlineStr">
        <is>
          <t>кор</t>
        </is>
      </c>
      <c r="X228" s="310" t="n">
        <v>0</v>
      </c>
      <c r="Y228" s="307">
        <f>IFERROR(IF(X228="","",X228),"")</f>
        <v/>
      </c>
      <c r="Z228" s="36">
        <f>IFERROR(IF(X228="","",X228*0.0155),"")</f>
        <v/>
      </c>
      <c r="AA228" s="55" t="n"/>
      <c r="AB228" s="56" t="n"/>
      <c r="AC228" s="220" t="inlineStr">
        <is>
          <t>ЕАЭС N RU Д-RU.РА01.В.86265/24</t>
        </is>
      </c>
      <c r="AD228" s="7">
        <f>X228*G228</f>
        <v/>
      </c>
      <c r="AE228" s="7">
        <f>X228/J228</f>
        <v/>
      </c>
      <c r="AG228" s="66" t="n"/>
      <c r="AJ228" s="69" t="inlineStr">
        <is>
          <t>Короб</t>
        </is>
      </c>
      <c r="AK228" s="69" t="n">
        <v>1</v>
      </c>
      <c r="BB228" s="221" t="inlineStr">
        <is>
          <t>ЗПФ</t>
        </is>
      </c>
      <c r="BM228" s="66" t="n">
        <v>0</v>
      </c>
      <c r="BN228" s="66" t="n">
        <v>0</v>
      </c>
      <c r="BO228" s="66" t="n">
        <v>0</v>
      </c>
      <c r="BP228" s="66" t="n">
        <v>0</v>
      </c>
    </row>
    <row r="229" ht="16.5" customHeight="1">
      <c r="A229" s="53" t="inlineStr">
        <is>
          <t>SU003291</t>
        </is>
      </c>
      <c r="B229" s="53" t="inlineStr">
        <is>
          <t>P004009</t>
        </is>
      </c>
      <c r="C229" s="31" t="n">
        <v>4301071000</v>
      </c>
      <c r="D229" s="316" t="n">
        <v>4607111038708</v>
      </c>
      <c r="E229" s="317" t="n"/>
      <c r="F229" s="305" t="n">
        <v>0.8</v>
      </c>
      <c r="G229" s="32" t="n">
        <v>8</v>
      </c>
      <c r="H229" s="305" t="n">
        <v>6.4</v>
      </c>
      <c r="I229" s="305" t="n">
        <v>6.67</v>
      </c>
      <c r="J229" s="32" t="n">
        <v>84</v>
      </c>
      <c r="K229" s="32" t="inlineStr">
        <is>
          <t>12</t>
        </is>
      </c>
      <c r="L229" s="32" t="inlineStr">
        <is>
          <t>Короб, мин. 1</t>
        </is>
      </c>
      <c r="M229" s="33" t="inlineStr">
        <is>
          <t>МГ</t>
        </is>
      </c>
      <c r="N229" s="33" t="n"/>
      <c r="O229" s="32" t="n">
        <v>180</v>
      </c>
      <c r="P229" s="424">
        <f>HYPERLINK("https://abi.ru/products/Замороженные/Стародворье/Сочные/Пельмени/P004009/","Пельмени Сочные Сочные 0,8 Сфера Стародворье")</f>
        <v/>
      </c>
      <c r="Q229" s="313" t="n"/>
      <c r="R229" s="313" t="n"/>
      <c r="S229" s="313" t="n"/>
      <c r="T229" s="314" t="n"/>
      <c r="U229" s="34" t="n"/>
      <c r="V229" s="34" t="n"/>
      <c r="W229" s="35" t="inlineStr">
        <is>
          <t>кор</t>
        </is>
      </c>
      <c r="X229" s="310" t="n">
        <v>0</v>
      </c>
      <c r="Y229" s="307">
        <f>IFERROR(IF(X229="","",X229),"")</f>
        <v/>
      </c>
      <c r="Z229" s="36">
        <f>IFERROR(IF(X229="","",X229*0.0155),"")</f>
        <v/>
      </c>
      <c r="AA229" s="55" t="n"/>
      <c r="AB229" s="56" t="n"/>
      <c r="AC229" s="222" t="inlineStr">
        <is>
          <t>ЕАЭС N RU Д-RU.РА01.В.86265/24</t>
        </is>
      </c>
      <c r="AD229" s="7">
        <f>X229*G229</f>
        <v/>
      </c>
      <c r="AE229" s="7">
        <f>X229/J229</f>
        <v/>
      </c>
      <c r="AG229" s="66" t="n"/>
      <c r="AJ229" s="69" t="inlineStr">
        <is>
          <t>Короб</t>
        </is>
      </c>
      <c r="AK229" s="69" t="n">
        <v>1</v>
      </c>
      <c r="BB229" s="223" t="inlineStr">
        <is>
          <t>ЗПФ</t>
        </is>
      </c>
      <c r="BM229" s="66" t="n">
        <v>0</v>
      </c>
      <c r="BN229" s="66" t="n">
        <v>0</v>
      </c>
      <c r="BO229" s="66" t="n">
        <v>0</v>
      </c>
      <c r="BP229" s="66" t="n">
        <v>0</v>
      </c>
    </row>
    <row r="230">
      <c r="A230" s="318" t="n"/>
      <c r="B230" s="319" t="n"/>
      <c r="C230" s="319" t="n"/>
      <c r="D230" s="319" t="n"/>
      <c r="E230" s="319" t="n"/>
      <c r="F230" s="319" t="n"/>
      <c r="G230" s="319" t="n"/>
      <c r="H230" s="319" t="n"/>
      <c r="I230" s="319" t="n"/>
      <c r="J230" s="319" t="n"/>
      <c r="K230" s="319" t="n"/>
      <c r="L230" s="319" t="n"/>
      <c r="M230" s="319" t="n"/>
      <c r="N230" s="319" t="n"/>
      <c r="O230" s="320" t="n"/>
      <c r="P230" s="321" t="inlineStr">
        <is>
          <t>Итого</t>
        </is>
      </c>
      <c r="Q230" s="322" t="n"/>
      <c r="R230" s="322" t="n"/>
      <c r="S230" s="322" t="n"/>
      <c r="T230" s="322" t="n"/>
      <c r="U230" s="322" t="n"/>
      <c r="V230" s="323" t="n"/>
      <c r="W230" s="37" t="inlineStr">
        <is>
          <t>кор</t>
        </is>
      </c>
      <c r="X230" s="311">
        <f>IFERROR(SUM(X228:X229),"0")</f>
        <v/>
      </c>
      <c r="Y230" s="308">
        <f>IFERROR(SUM(Y228:Y229),"0")</f>
        <v/>
      </c>
      <c r="Z230" s="308">
        <f>IFERROR(IF(Z228="",0,Z228),"0")+IFERROR(IF(Z229="",0,Z229),"0")</f>
        <v/>
      </c>
      <c r="AA230" s="309" t="n"/>
      <c r="AB230" s="309" t="n"/>
      <c r="AC230" s="309" t="n"/>
    </row>
    <row r="231">
      <c r="A231" s="319" t="n"/>
      <c r="B231" s="319" t="n"/>
      <c r="C231" s="319" t="n"/>
      <c r="D231" s="319" t="n"/>
      <c r="E231" s="319" t="n"/>
      <c r="F231" s="319" t="n"/>
      <c r="G231" s="319" t="n"/>
      <c r="H231" s="319" t="n"/>
      <c r="I231" s="319" t="n"/>
      <c r="J231" s="319" t="n"/>
      <c r="K231" s="319" t="n"/>
      <c r="L231" s="319" t="n"/>
      <c r="M231" s="319" t="n"/>
      <c r="N231" s="319" t="n"/>
      <c r="O231" s="320" t="n"/>
      <c r="P231" s="321" t="inlineStr">
        <is>
          <t>Итого</t>
        </is>
      </c>
      <c r="Q231" s="322" t="n"/>
      <c r="R231" s="322" t="n"/>
      <c r="S231" s="322" t="n"/>
      <c r="T231" s="322" t="n"/>
      <c r="U231" s="322" t="n"/>
      <c r="V231" s="323" t="n"/>
      <c r="W231" s="37" t="inlineStr">
        <is>
          <t>кг</t>
        </is>
      </c>
      <c r="X231" s="311">
        <f>IFERROR(SUMPRODUCT(X228:X229*H228:H229),"0")</f>
        <v/>
      </c>
      <c r="Y231" s="308">
        <f>IFERROR(SUMPRODUCT(Y228:Y229*H228:H229),"0")</f>
        <v/>
      </c>
      <c r="Z231" s="37" t="n"/>
      <c r="AA231" s="309" t="n"/>
      <c r="AB231" s="309" t="n"/>
      <c r="AC231" s="309" t="n"/>
    </row>
    <row r="232" ht="27.75" customHeight="1">
      <c r="A232" s="365" t="inlineStr">
        <is>
          <t>Колбасный стандарт</t>
        </is>
      </c>
      <c r="B232" s="366" t="n"/>
      <c r="C232" s="366" t="n"/>
      <c r="D232" s="366" t="n"/>
      <c r="E232" s="366" t="n"/>
      <c r="F232" s="366" t="n"/>
      <c r="G232" s="366" t="n"/>
      <c r="H232" s="366" t="n"/>
      <c r="I232" s="366" t="n"/>
      <c r="J232" s="366" t="n"/>
      <c r="K232" s="366" t="n"/>
      <c r="L232" s="366" t="n"/>
      <c r="M232" s="366" t="n"/>
      <c r="N232" s="366" t="n"/>
      <c r="O232" s="366" t="n"/>
      <c r="P232" s="366" t="n"/>
      <c r="Q232" s="366" t="n"/>
      <c r="R232" s="366" t="n"/>
      <c r="S232" s="366" t="n"/>
      <c r="T232" s="366" t="n"/>
      <c r="U232" s="366" t="n"/>
      <c r="V232" s="366" t="n"/>
      <c r="W232" s="366" t="n"/>
      <c r="X232" s="366" t="n"/>
      <c r="Y232" s="366" t="n"/>
      <c r="Z232" s="366" t="n"/>
      <c r="AA232" s="48" t="n"/>
      <c r="AB232" s="48" t="n"/>
      <c r="AC232" s="48" t="n"/>
    </row>
    <row r="233" ht="16.5" customHeight="1">
      <c r="A233" s="324" t="inlineStr">
        <is>
          <t>Владимирский Стандарт ЗПФ</t>
        </is>
      </c>
      <c r="B233" s="319" t="n"/>
      <c r="C233" s="319" t="n"/>
      <c r="D233" s="319" t="n"/>
      <c r="E233" s="319" t="n"/>
      <c r="F233" s="319" t="n"/>
      <c r="G233" s="319" t="n"/>
      <c r="H233" s="319" t="n"/>
      <c r="I233" s="319" t="n"/>
      <c r="J233" s="319" t="n"/>
      <c r="K233" s="319" t="n"/>
      <c r="L233" s="319" t="n"/>
      <c r="M233" s="319" t="n"/>
      <c r="N233" s="319" t="n"/>
      <c r="O233" s="319" t="n"/>
      <c r="P233" s="319" t="n"/>
      <c r="Q233" s="319" t="n"/>
      <c r="R233" s="319" t="n"/>
      <c r="S233" s="319" t="n"/>
      <c r="T233" s="319" t="n"/>
      <c r="U233" s="319" t="n"/>
      <c r="V233" s="319" t="n"/>
      <c r="W233" s="319" t="n"/>
      <c r="X233" s="319" t="n"/>
      <c r="Y233" s="319" t="n"/>
      <c r="Z233" s="319" t="n"/>
      <c r="AA233" s="324" t="n"/>
      <c r="AB233" s="324" t="n"/>
      <c r="AC233" s="324" t="n"/>
    </row>
    <row r="234" ht="14.25" customHeight="1">
      <c r="A234" s="329" t="inlineStr">
        <is>
          <t>Пельмени</t>
        </is>
      </c>
      <c r="B234" s="319" t="n"/>
      <c r="C234" s="319" t="n"/>
      <c r="D234" s="319" t="n"/>
      <c r="E234" s="319" t="n"/>
      <c r="F234" s="319" t="n"/>
      <c r="G234" s="319" t="n"/>
      <c r="H234" s="319" t="n"/>
      <c r="I234" s="319" t="n"/>
      <c r="J234" s="319" t="n"/>
      <c r="K234" s="319" t="n"/>
      <c r="L234" s="319" t="n"/>
      <c r="M234" s="319" t="n"/>
      <c r="N234" s="319" t="n"/>
      <c r="O234" s="319" t="n"/>
      <c r="P234" s="319" t="n"/>
      <c r="Q234" s="319" t="n"/>
      <c r="R234" s="319" t="n"/>
      <c r="S234" s="319" t="n"/>
      <c r="T234" s="319" t="n"/>
      <c r="U234" s="319" t="n"/>
      <c r="V234" s="319" t="n"/>
      <c r="W234" s="319" t="n"/>
      <c r="X234" s="319" t="n"/>
      <c r="Y234" s="319" t="n"/>
      <c r="Z234" s="319" t="n"/>
      <c r="AA234" s="329" t="n"/>
      <c r="AB234" s="329" t="n"/>
      <c r="AC234" s="329" t="n"/>
    </row>
    <row r="235" ht="27" customHeight="1">
      <c r="A235" s="53" t="inlineStr">
        <is>
          <t>SU002267</t>
        </is>
      </c>
      <c r="B235" s="53" t="inlineStr">
        <is>
          <t>P004241</t>
        </is>
      </c>
      <c r="C235" s="31" t="n">
        <v>4301071036</v>
      </c>
      <c r="D235" s="316" t="n">
        <v>4607111036162</v>
      </c>
      <c r="E235" s="317" t="n"/>
      <c r="F235" s="305" t="n">
        <v>0.8</v>
      </c>
      <c r="G235" s="32" t="n">
        <v>8</v>
      </c>
      <c r="H235" s="305" t="n">
        <v>6.4</v>
      </c>
      <c r="I235" s="305" t="n">
        <v>6.6812</v>
      </c>
      <c r="J235" s="32" t="n">
        <v>84</v>
      </c>
      <c r="K235" s="32" t="inlineStr">
        <is>
          <t>12</t>
        </is>
      </c>
      <c r="L235" s="32" t="inlineStr">
        <is>
          <t>Короб, мин. 1</t>
        </is>
      </c>
      <c r="M235" s="33" t="inlineStr">
        <is>
          <t>МГ</t>
        </is>
      </c>
      <c r="N235" s="33" t="n"/>
      <c r="O235" s="32" t="n">
        <v>90</v>
      </c>
      <c r="P235" s="427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/>
      </c>
      <c r="Q235" s="313" t="n"/>
      <c r="R235" s="313" t="n"/>
      <c r="S235" s="313" t="n"/>
      <c r="T235" s="314" t="n"/>
      <c r="U235" s="34" t="n"/>
      <c r="V235" s="34" t="n"/>
      <c r="W235" s="35" t="inlineStr">
        <is>
          <t>кор</t>
        </is>
      </c>
      <c r="X235" s="310" t="n">
        <v>0</v>
      </c>
      <c r="Y235" s="307">
        <f>IFERROR(IF(X235="","",X235),"")</f>
        <v/>
      </c>
      <c r="Z235" s="36">
        <f>IFERROR(IF(X235="","",X235*0.0155),"")</f>
        <v/>
      </c>
      <c r="AA235" s="55" t="n"/>
      <c r="AB235" s="56" t="n"/>
      <c r="AC235" s="224" t="inlineStr">
        <is>
          <t>ЕАЭС N RU Д-RU.РА01.В.86313/24</t>
        </is>
      </c>
      <c r="AD235" s="7">
        <f>X235*G235</f>
        <v/>
      </c>
      <c r="AE235" s="7">
        <f>X235/J235</f>
        <v/>
      </c>
      <c r="AG235" s="66" t="n"/>
      <c r="AJ235" s="69" t="inlineStr">
        <is>
          <t>Короб</t>
        </is>
      </c>
      <c r="AK235" s="69" t="n">
        <v>1</v>
      </c>
      <c r="BB235" s="225" t="inlineStr">
        <is>
          <t>ЗПФ</t>
        </is>
      </c>
      <c r="BM235" s="66" t="n">
        <v>0</v>
      </c>
      <c r="BN235" s="66" t="n">
        <v>0</v>
      </c>
      <c r="BO235" s="66" t="n">
        <v>0</v>
      </c>
      <c r="BP235" s="66" t="n">
        <v>0</v>
      </c>
    </row>
    <row r="236">
      <c r="A236" s="318" t="n"/>
      <c r="B236" s="319" t="n"/>
      <c r="C236" s="319" t="n"/>
      <c r="D236" s="319" t="n"/>
      <c r="E236" s="319" t="n"/>
      <c r="F236" s="319" t="n"/>
      <c r="G236" s="319" t="n"/>
      <c r="H236" s="319" t="n"/>
      <c r="I236" s="319" t="n"/>
      <c r="J236" s="319" t="n"/>
      <c r="K236" s="319" t="n"/>
      <c r="L236" s="319" t="n"/>
      <c r="M236" s="319" t="n"/>
      <c r="N236" s="319" t="n"/>
      <c r="O236" s="320" t="n"/>
      <c r="P236" s="321" t="inlineStr">
        <is>
          <t>Итого</t>
        </is>
      </c>
      <c r="Q236" s="322" t="n"/>
      <c r="R236" s="322" t="n"/>
      <c r="S236" s="322" t="n"/>
      <c r="T236" s="322" t="n"/>
      <c r="U236" s="322" t="n"/>
      <c r="V236" s="323" t="n"/>
      <c r="W236" s="37" t="inlineStr">
        <is>
          <t>кор</t>
        </is>
      </c>
      <c r="X236" s="311">
        <f>IFERROR(SUM(X235:X235),"0")</f>
        <v/>
      </c>
      <c r="Y236" s="308">
        <f>IFERROR(SUM(Y235:Y235),"0")</f>
        <v/>
      </c>
      <c r="Z236" s="308">
        <f>IFERROR(IF(Z235="",0,Z235),"0")</f>
        <v/>
      </c>
      <c r="AA236" s="309" t="n"/>
      <c r="AB236" s="309" t="n"/>
      <c r="AC236" s="309" t="n"/>
    </row>
    <row r="237">
      <c r="A237" s="319" t="n"/>
      <c r="B237" s="319" t="n"/>
      <c r="C237" s="319" t="n"/>
      <c r="D237" s="319" t="n"/>
      <c r="E237" s="319" t="n"/>
      <c r="F237" s="319" t="n"/>
      <c r="G237" s="319" t="n"/>
      <c r="H237" s="319" t="n"/>
      <c r="I237" s="319" t="n"/>
      <c r="J237" s="319" t="n"/>
      <c r="K237" s="319" t="n"/>
      <c r="L237" s="319" t="n"/>
      <c r="M237" s="319" t="n"/>
      <c r="N237" s="319" t="n"/>
      <c r="O237" s="320" t="n"/>
      <c r="P237" s="321" t="inlineStr">
        <is>
          <t>Итого</t>
        </is>
      </c>
      <c r="Q237" s="322" t="n"/>
      <c r="R237" s="322" t="n"/>
      <c r="S237" s="322" t="n"/>
      <c r="T237" s="322" t="n"/>
      <c r="U237" s="322" t="n"/>
      <c r="V237" s="323" t="n"/>
      <c r="W237" s="37" t="inlineStr">
        <is>
          <t>кг</t>
        </is>
      </c>
      <c r="X237" s="311">
        <f>IFERROR(SUMPRODUCT(X235:X235*H235:H235),"0")</f>
        <v/>
      </c>
      <c r="Y237" s="308">
        <f>IFERROR(SUMPRODUCT(Y235:Y235*H235:H235),"0")</f>
        <v/>
      </c>
      <c r="Z237" s="37" t="n"/>
      <c r="AA237" s="309" t="n"/>
      <c r="AB237" s="309" t="n"/>
      <c r="AC237" s="309" t="n"/>
    </row>
    <row r="238" ht="27.75" customHeight="1">
      <c r="A238" s="365" t="inlineStr">
        <is>
          <t>Особый рецепт</t>
        </is>
      </c>
      <c r="B238" s="366" t="n"/>
      <c r="C238" s="366" t="n"/>
      <c r="D238" s="366" t="n"/>
      <c r="E238" s="366" t="n"/>
      <c r="F238" s="366" t="n"/>
      <c r="G238" s="366" t="n"/>
      <c r="H238" s="366" t="n"/>
      <c r="I238" s="366" t="n"/>
      <c r="J238" s="366" t="n"/>
      <c r="K238" s="366" t="n"/>
      <c r="L238" s="366" t="n"/>
      <c r="M238" s="366" t="n"/>
      <c r="N238" s="366" t="n"/>
      <c r="O238" s="366" t="n"/>
      <c r="P238" s="366" t="n"/>
      <c r="Q238" s="366" t="n"/>
      <c r="R238" s="366" t="n"/>
      <c r="S238" s="366" t="n"/>
      <c r="T238" s="366" t="n"/>
      <c r="U238" s="366" t="n"/>
      <c r="V238" s="366" t="n"/>
      <c r="W238" s="366" t="n"/>
      <c r="X238" s="366" t="n"/>
      <c r="Y238" s="366" t="n"/>
      <c r="Z238" s="366" t="n"/>
      <c r="AA238" s="48" t="n"/>
      <c r="AB238" s="48" t="n"/>
      <c r="AC238" s="48" t="n"/>
    </row>
    <row r="239" ht="16.5" customHeight="1">
      <c r="A239" s="324" t="inlineStr">
        <is>
          <t>Любимая ложка</t>
        </is>
      </c>
      <c r="B239" s="319" t="n"/>
      <c r="C239" s="319" t="n"/>
      <c r="D239" s="319" t="n"/>
      <c r="E239" s="319" t="n"/>
      <c r="F239" s="319" t="n"/>
      <c r="G239" s="319" t="n"/>
      <c r="H239" s="319" t="n"/>
      <c r="I239" s="319" t="n"/>
      <c r="J239" s="319" t="n"/>
      <c r="K239" s="319" t="n"/>
      <c r="L239" s="319" t="n"/>
      <c r="M239" s="319" t="n"/>
      <c r="N239" s="319" t="n"/>
      <c r="O239" s="319" t="n"/>
      <c r="P239" s="319" t="n"/>
      <c r="Q239" s="319" t="n"/>
      <c r="R239" s="319" t="n"/>
      <c r="S239" s="319" t="n"/>
      <c r="T239" s="319" t="n"/>
      <c r="U239" s="319" t="n"/>
      <c r="V239" s="319" t="n"/>
      <c r="W239" s="319" t="n"/>
      <c r="X239" s="319" t="n"/>
      <c r="Y239" s="319" t="n"/>
      <c r="Z239" s="319" t="n"/>
      <c r="AA239" s="324" t="n"/>
      <c r="AB239" s="324" t="n"/>
      <c r="AC239" s="324" t="n"/>
    </row>
    <row r="240" ht="14.25" customHeight="1">
      <c r="A240" s="329" t="inlineStr">
        <is>
          <t>Пельмени</t>
        </is>
      </c>
      <c r="B240" s="319" t="n"/>
      <c r="C240" s="319" t="n"/>
      <c r="D240" s="319" t="n"/>
      <c r="E240" s="319" t="n"/>
      <c r="F240" s="319" t="n"/>
      <c r="G240" s="319" t="n"/>
      <c r="H240" s="319" t="n"/>
      <c r="I240" s="319" t="n"/>
      <c r="J240" s="319" t="n"/>
      <c r="K240" s="319" t="n"/>
      <c r="L240" s="319" t="n"/>
      <c r="M240" s="319" t="n"/>
      <c r="N240" s="319" t="n"/>
      <c r="O240" s="319" t="n"/>
      <c r="P240" s="319" t="n"/>
      <c r="Q240" s="319" t="n"/>
      <c r="R240" s="319" t="n"/>
      <c r="S240" s="319" t="n"/>
      <c r="T240" s="319" t="n"/>
      <c r="U240" s="319" t="n"/>
      <c r="V240" s="319" t="n"/>
      <c r="W240" s="319" t="n"/>
      <c r="X240" s="319" t="n"/>
      <c r="Y240" s="319" t="n"/>
      <c r="Z240" s="319" t="n"/>
      <c r="AA240" s="329" t="n"/>
      <c r="AB240" s="329" t="n"/>
      <c r="AC240" s="329" t="n"/>
    </row>
    <row r="241" ht="27" customHeight="1">
      <c r="A241" s="53" t="inlineStr">
        <is>
          <t>SU002268</t>
        </is>
      </c>
      <c r="B241" s="53" t="inlineStr">
        <is>
          <t>P004081</t>
        </is>
      </c>
      <c r="C241" s="31" t="n">
        <v>4301071029</v>
      </c>
      <c r="D241" s="316" t="n">
        <v>4607111035899</v>
      </c>
      <c r="E241" s="317" t="n"/>
      <c r="F241" s="305" t="n">
        <v>1</v>
      </c>
      <c r="G241" s="32" t="n">
        <v>5</v>
      </c>
      <c r="H241" s="305" t="n">
        <v>5</v>
      </c>
      <c r="I241" s="305" t="n">
        <v>5.262</v>
      </c>
      <c r="J241" s="32" t="n">
        <v>84</v>
      </c>
      <c r="K241" s="32" t="inlineStr">
        <is>
          <t>12</t>
        </is>
      </c>
      <c r="L241" s="32" t="inlineStr">
        <is>
          <t>Короб, мин. 1</t>
        </is>
      </c>
      <c r="M241" s="33" t="inlineStr">
        <is>
          <t>МГ</t>
        </is>
      </c>
      <c r="N241" s="33" t="n"/>
      <c r="O241" s="32" t="n">
        <v>180</v>
      </c>
      <c r="P241" s="470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/>
      </c>
      <c r="Q241" s="313" t="n"/>
      <c r="R241" s="313" t="n"/>
      <c r="S241" s="313" t="n"/>
      <c r="T241" s="314" t="n"/>
      <c r="U241" s="34" t="n"/>
      <c r="V241" s="34" t="n"/>
      <c r="W241" s="35" t="inlineStr">
        <is>
          <t>кор</t>
        </is>
      </c>
      <c r="X241" s="310" t="n">
        <v>0</v>
      </c>
      <c r="Y241" s="307">
        <f>IFERROR(IF(X241="","",X241),"")</f>
        <v/>
      </c>
      <c r="Z241" s="36">
        <f>IFERROR(IF(X241="","",X241*0.0155),"")</f>
        <v/>
      </c>
      <c r="AA241" s="55" t="n"/>
      <c r="AB241" s="56" t="n"/>
      <c r="AC241" s="226" t="inlineStr">
        <is>
          <t>ЕАЭС N RU Д-RU.РА08.В.65691/23</t>
        </is>
      </c>
      <c r="AD241" s="7">
        <f>X241*G241</f>
        <v/>
      </c>
      <c r="AE241" s="7">
        <f>X241/J241</f>
        <v/>
      </c>
      <c r="AG241" s="66" t="n"/>
      <c r="AJ241" s="69" t="inlineStr">
        <is>
          <t>Короб</t>
        </is>
      </c>
      <c r="AK241" s="69" t="n">
        <v>1</v>
      </c>
      <c r="BB241" s="227" t="inlineStr">
        <is>
          <t>ЗПФ</t>
        </is>
      </c>
      <c r="BM241" s="66" t="n">
        <v>0</v>
      </c>
      <c r="BN241" s="66" t="n">
        <v>0</v>
      </c>
      <c r="BO241" s="66" t="n">
        <v>0</v>
      </c>
      <c r="BP241" s="66" t="n">
        <v>0</v>
      </c>
    </row>
    <row r="242">
      <c r="A242" s="318" t="n"/>
      <c r="B242" s="319" t="n"/>
      <c r="C242" s="319" t="n"/>
      <c r="D242" s="319" t="n"/>
      <c r="E242" s="319" t="n"/>
      <c r="F242" s="319" t="n"/>
      <c r="G242" s="319" t="n"/>
      <c r="H242" s="319" t="n"/>
      <c r="I242" s="319" t="n"/>
      <c r="J242" s="319" t="n"/>
      <c r="K242" s="319" t="n"/>
      <c r="L242" s="319" t="n"/>
      <c r="M242" s="319" t="n"/>
      <c r="N242" s="319" t="n"/>
      <c r="O242" s="320" t="n"/>
      <c r="P242" s="321" t="inlineStr">
        <is>
          <t>Итого</t>
        </is>
      </c>
      <c r="Q242" s="322" t="n"/>
      <c r="R242" s="322" t="n"/>
      <c r="S242" s="322" t="n"/>
      <c r="T242" s="322" t="n"/>
      <c r="U242" s="322" t="n"/>
      <c r="V242" s="323" t="n"/>
      <c r="W242" s="37" t="inlineStr">
        <is>
          <t>кор</t>
        </is>
      </c>
      <c r="X242" s="311">
        <f>IFERROR(SUM(X241:X241),"0")</f>
        <v/>
      </c>
      <c r="Y242" s="308">
        <f>IFERROR(SUM(Y241:Y241),"0")</f>
        <v/>
      </c>
      <c r="Z242" s="308">
        <f>IFERROR(IF(Z241="",0,Z241),"0")</f>
        <v/>
      </c>
      <c r="AA242" s="309" t="n"/>
      <c r="AB242" s="309" t="n"/>
      <c r="AC242" s="309" t="n"/>
    </row>
    <row r="243">
      <c r="A243" s="319" t="n"/>
      <c r="B243" s="319" t="n"/>
      <c r="C243" s="319" t="n"/>
      <c r="D243" s="319" t="n"/>
      <c r="E243" s="319" t="n"/>
      <c r="F243" s="319" t="n"/>
      <c r="G243" s="319" t="n"/>
      <c r="H243" s="319" t="n"/>
      <c r="I243" s="319" t="n"/>
      <c r="J243" s="319" t="n"/>
      <c r="K243" s="319" t="n"/>
      <c r="L243" s="319" t="n"/>
      <c r="M243" s="319" t="n"/>
      <c r="N243" s="319" t="n"/>
      <c r="O243" s="320" t="n"/>
      <c r="P243" s="321" t="inlineStr">
        <is>
          <t>Итого</t>
        </is>
      </c>
      <c r="Q243" s="322" t="n"/>
      <c r="R243" s="322" t="n"/>
      <c r="S243" s="322" t="n"/>
      <c r="T243" s="322" t="n"/>
      <c r="U243" s="322" t="n"/>
      <c r="V243" s="323" t="n"/>
      <c r="W243" s="37" t="inlineStr">
        <is>
          <t>кг</t>
        </is>
      </c>
      <c r="X243" s="311">
        <f>IFERROR(SUMPRODUCT(X241:X241*H241:H241),"0")</f>
        <v/>
      </c>
      <c r="Y243" s="308">
        <f>IFERROR(SUMPRODUCT(Y241:Y241*H241:H241),"0")</f>
        <v/>
      </c>
      <c r="Z243" s="37" t="n"/>
      <c r="AA243" s="309" t="n"/>
      <c r="AB243" s="309" t="n"/>
      <c r="AC243" s="309" t="n"/>
    </row>
    <row r="244" ht="27.75" customHeight="1">
      <c r="A244" s="365" t="inlineStr">
        <is>
          <t>Владимирский стандарт</t>
        </is>
      </c>
      <c r="B244" s="366" t="n"/>
      <c r="C244" s="366" t="n"/>
      <c r="D244" s="366" t="n"/>
      <c r="E244" s="366" t="n"/>
      <c r="F244" s="366" t="n"/>
      <c r="G244" s="366" t="n"/>
      <c r="H244" s="366" t="n"/>
      <c r="I244" s="366" t="n"/>
      <c r="J244" s="366" t="n"/>
      <c r="K244" s="366" t="n"/>
      <c r="L244" s="366" t="n"/>
      <c r="M244" s="366" t="n"/>
      <c r="N244" s="366" t="n"/>
      <c r="O244" s="366" t="n"/>
      <c r="P244" s="366" t="n"/>
      <c r="Q244" s="366" t="n"/>
      <c r="R244" s="366" t="n"/>
      <c r="S244" s="366" t="n"/>
      <c r="T244" s="366" t="n"/>
      <c r="U244" s="366" t="n"/>
      <c r="V244" s="366" t="n"/>
      <c r="W244" s="366" t="n"/>
      <c r="X244" s="366" t="n"/>
      <c r="Y244" s="366" t="n"/>
      <c r="Z244" s="366" t="n"/>
      <c r="AA244" s="48" t="n"/>
      <c r="AB244" s="48" t="n"/>
      <c r="AC244" s="48" t="n"/>
    </row>
    <row r="245" ht="16.5" customHeight="1">
      <c r="A245" s="324" t="inlineStr">
        <is>
          <t>Владимирский Стандарт ПГП</t>
        </is>
      </c>
      <c r="B245" s="319" t="n"/>
      <c r="C245" s="319" t="n"/>
      <c r="D245" s="319" t="n"/>
      <c r="E245" s="319" t="n"/>
      <c r="F245" s="319" t="n"/>
      <c r="G245" s="319" t="n"/>
      <c r="H245" s="319" t="n"/>
      <c r="I245" s="319" t="n"/>
      <c r="J245" s="319" t="n"/>
      <c r="K245" s="319" t="n"/>
      <c r="L245" s="319" t="n"/>
      <c r="M245" s="319" t="n"/>
      <c r="N245" s="319" t="n"/>
      <c r="O245" s="319" t="n"/>
      <c r="P245" s="319" t="n"/>
      <c r="Q245" s="319" t="n"/>
      <c r="R245" s="319" t="n"/>
      <c r="S245" s="319" t="n"/>
      <c r="T245" s="319" t="n"/>
      <c r="U245" s="319" t="n"/>
      <c r="V245" s="319" t="n"/>
      <c r="W245" s="319" t="n"/>
      <c r="X245" s="319" t="n"/>
      <c r="Y245" s="319" t="n"/>
      <c r="Z245" s="319" t="n"/>
      <c r="AA245" s="324" t="n"/>
      <c r="AB245" s="324" t="n"/>
      <c r="AC245" s="324" t="n"/>
    </row>
    <row r="246" ht="14.25" customHeight="1">
      <c r="A246" s="329" t="inlineStr">
        <is>
          <t>Печеные пельмени</t>
        </is>
      </c>
      <c r="B246" s="319" t="n"/>
      <c r="C246" s="319" t="n"/>
      <c r="D246" s="319" t="n"/>
      <c r="E246" s="319" t="n"/>
      <c r="F246" s="319" t="n"/>
      <c r="G246" s="319" t="n"/>
      <c r="H246" s="319" t="n"/>
      <c r="I246" s="319" t="n"/>
      <c r="J246" s="319" t="n"/>
      <c r="K246" s="319" t="n"/>
      <c r="L246" s="319" t="n"/>
      <c r="M246" s="319" t="n"/>
      <c r="N246" s="319" t="n"/>
      <c r="O246" s="319" t="n"/>
      <c r="P246" s="319" t="n"/>
      <c r="Q246" s="319" t="n"/>
      <c r="R246" s="319" t="n"/>
      <c r="S246" s="319" t="n"/>
      <c r="T246" s="319" t="n"/>
      <c r="U246" s="319" t="n"/>
      <c r="V246" s="319" t="n"/>
      <c r="W246" s="319" t="n"/>
      <c r="X246" s="319" t="n"/>
      <c r="Y246" s="319" t="n"/>
      <c r="Z246" s="319" t="n"/>
      <c r="AA246" s="329" t="n"/>
      <c r="AB246" s="329" t="n"/>
      <c r="AC246" s="329" t="n"/>
    </row>
    <row r="247" ht="27" customHeight="1">
      <c r="A247" s="53" t="inlineStr">
        <is>
          <t>SU003457</t>
        </is>
      </c>
      <c r="B247" s="53" t="inlineStr">
        <is>
          <t>P004382</t>
        </is>
      </c>
      <c r="C247" s="31" t="n">
        <v>4301133004</v>
      </c>
      <c r="D247" s="316" t="n">
        <v>4607111039774</v>
      </c>
      <c r="E247" s="317" t="n"/>
      <c r="F247" s="305" t="n">
        <v>0.25</v>
      </c>
      <c r="G247" s="32" t="n">
        <v>12</v>
      </c>
      <c r="H247" s="305" t="n">
        <v>3</v>
      </c>
      <c r="I247" s="305" t="n">
        <v>3.22</v>
      </c>
      <c r="J247" s="32" t="n">
        <v>70</v>
      </c>
      <c r="K247" s="32" t="inlineStr">
        <is>
          <t>14</t>
        </is>
      </c>
      <c r="L247" s="32" t="inlineStr">
        <is>
          <t>Короб, мин. 1</t>
        </is>
      </c>
      <c r="M247" s="33" t="inlineStr">
        <is>
          <t>МГ</t>
        </is>
      </c>
      <c r="N247" s="33" t="n"/>
      <c r="O247" s="32" t="n">
        <v>180</v>
      </c>
      <c r="P247" s="469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/>
      </c>
      <c r="Q247" s="313" t="n"/>
      <c r="R247" s="313" t="n"/>
      <c r="S247" s="313" t="n"/>
      <c r="T247" s="314" t="n"/>
      <c r="U247" s="34" t="n"/>
      <c r="V247" s="34" t="n"/>
      <c r="W247" s="35" t="inlineStr">
        <is>
          <t>кор</t>
        </is>
      </c>
      <c r="X247" s="310" t="n">
        <v>0</v>
      </c>
      <c r="Y247" s="307">
        <f>IFERROR(IF(X247="","",X247),"")</f>
        <v/>
      </c>
      <c r="Z247" s="36">
        <f>IFERROR(IF(X247="","",X247*0.01788),"")</f>
        <v/>
      </c>
      <c r="AA247" s="55" t="n"/>
      <c r="AB247" s="56" t="n"/>
      <c r="AC247" s="228" t="inlineStr">
        <is>
          <t>ЕАЭС N RU Д-RU.РА04.В.81528/24</t>
        </is>
      </c>
      <c r="AD247" s="7">
        <f>X247*G247</f>
        <v/>
      </c>
      <c r="AE247" s="7">
        <f>X247/J247</f>
        <v/>
      </c>
      <c r="AG247" s="66" t="n"/>
      <c r="AJ247" s="69" t="inlineStr">
        <is>
          <t>Короб</t>
        </is>
      </c>
      <c r="AK247" s="69" t="n">
        <v>1</v>
      </c>
      <c r="BB247" s="229" t="inlineStr">
        <is>
          <t>ПГП</t>
        </is>
      </c>
      <c r="BM247" s="66" t="n">
        <v>0</v>
      </c>
      <c r="BN247" s="66" t="n">
        <v>0</v>
      </c>
      <c r="BO247" s="66" t="n">
        <v>0</v>
      </c>
      <c r="BP247" s="66" t="n">
        <v>0</v>
      </c>
    </row>
    <row r="248">
      <c r="A248" s="318" t="n"/>
      <c r="B248" s="319" t="n"/>
      <c r="C248" s="319" t="n"/>
      <c r="D248" s="319" t="n"/>
      <c r="E248" s="319" t="n"/>
      <c r="F248" s="319" t="n"/>
      <c r="G248" s="319" t="n"/>
      <c r="H248" s="319" t="n"/>
      <c r="I248" s="319" t="n"/>
      <c r="J248" s="319" t="n"/>
      <c r="K248" s="319" t="n"/>
      <c r="L248" s="319" t="n"/>
      <c r="M248" s="319" t="n"/>
      <c r="N248" s="319" t="n"/>
      <c r="O248" s="320" t="n"/>
      <c r="P248" s="321" t="inlineStr">
        <is>
          <t>Итого</t>
        </is>
      </c>
      <c r="Q248" s="322" t="n"/>
      <c r="R248" s="322" t="n"/>
      <c r="S248" s="322" t="n"/>
      <c r="T248" s="322" t="n"/>
      <c r="U248" s="322" t="n"/>
      <c r="V248" s="323" t="n"/>
      <c r="W248" s="37" t="inlineStr">
        <is>
          <t>кор</t>
        </is>
      </c>
      <c r="X248" s="311">
        <f>IFERROR(SUM(X247:X247),"0")</f>
        <v/>
      </c>
      <c r="Y248" s="308">
        <f>IFERROR(SUM(Y247:Y247),"0")</f>
        <v/>
      </c>
      <c r="Z248" s="308">
        <f>IFERROR(IF(Z247="",0,Z247),"0")</f>
        <v/>
      </c>
      <c r="AA248" s="309" t="n"/>
      <c r="AB248" s="309" t="n"/>
      <c r="AC248" s="309" t="n"/>
    </row>
    <row r="249">
      <c r="A249" s="319" t="n"/>
      <c r="B249" s="319" t="n"/>
      <c r="C249" s="319" t="n"/>
      <c r="D249" s="319" t="n"/>
      <c r="E249" s="319" t="n"/>
      <c r="F249" s="319" t="n"/>
      <c r="G249" s="319" t="n"/>
      <c r="H249" s="319" t="n"/>
      <c r="I249" s="319" t="n"/>
      <c r="J249" s="319" t="n"/>
      <c r="K249" s="319" t="n"/>
      <c r="L249" s="319" t="n"/>
      <c r="M249" s="319" t="n"/>
      <c r="N249" s="319" t="n"/>
      <c r="O249" s="320" t="n"/>
      <c r="P249" s="321" t="inlineStr">
        <is>
          <t>Итого</t>
        </is>
      </c>
      <c r="Q249" s="322" t="n"/>
      <c r="R249" s="322" t="n"/>
      <c r="S249" s="322" t="n"/>
      <c r="T249" s="322" t="n"/>
      <c r="U249" s="322" t="n"/>
      <c r="V249" s="323" t="n"/>
      <c r="W249" s="37" t="inlineStr">
        <is>
          <t>кг</t>
        </is>
      </c>
      <c r="X249" s="311">
        <f>IFERROR(SUMPRODUCT(X247:X247*H247:H247),"0")</f>
        <v/>
      </c>
      <c r="Y249" s="308">
        <f>IFERROR(SUMPRODUCT(Y247:Y247*H247:H247),"0")</f>
        <v/>
      </c>
      <c r="Z249" s="37" t="n"/>
      <c r="AA249" s="309" t="n"/>
      <c r="AB249" s="309" t="n"/>
      <c r="AC249" s="309" t="n"/>
    </row>
    <row r="250" ht="14.25" customHeight="1">
      <c r="A250" s="329" t="inlineStr">
        <is>
          <t>Снеки</t>
        </is>
      </c>
      <c r="B250" s="319" t="n"/>
      <c r="C250" s="319" t="n"/>
      <c r="D250" s="319" t="n"/>
      <c r="E250" s="319" t="n"/>
      <c r="F250" s="319" t="n"/>
      <c r="G250" s="319" t="n"/>
      <c r="H250" s="319" t="n"/>
      <c r="I250" s="319" t="n"/>
      <c r="J250" s="319" t="n"/>
      <c r="K250" s="319" t="n"/>
      <c r="L250" s="319" t="n"/>
      <c r="M250" s="319" t="n"/>
      <c r="N250" s="319" t="n"/>
      <c r="O250" s="319" t="n"/>
      <c r="P250" s="319" t="n"/>
      <c r="Q250" s="319" t="n"/>
      <c r="R250" s="319" t="n"/>
      <c r="S250" s="319" t="n"/>
      <c r="T250" s="319" t="n"/>
      <c r="U250" s="319" t="n"/>
      <c r="V250" s="319" t="n"/>
      <c r="W250" s="319" t="n"/>
      <c r="X250" s="319" t="n"/>
      <c r="Y250" s="319" t="n"/>
      <c r="Z250" s="319" t="n"/>
      <c r="AA250" s="329" t="n"/>
      <c r="AB250" s="329" t="n"/>
      <c r="AC250" s="329" t="n"/>
    </row>
    <row r="251" ht="37.5" customHeight="1">
      <c r="A251" s="53" t="inlineStr">
        <is>
          <t>SU003458</t>
        </is>
      </c>
      <c r="B251" s="53" t="inlineStr">
        <is>
          <t>P004385</t>
        </is>
      </c>
      <c r="C251" s="31" t="n">
        <v>4301135400</v>
      </c>
      <c r="D251" s="316" t="n">
        <v>4607111039361</v>
      </c>
      <c r="E251" s="317" t="n"/>
      <c r="F251" s="305" t="n">
        <v>0.25</v>
      </c>
      <c r="G251" s="32" t="n">
        <v>12</v>
      </c>
      <c r="H251" s="305" t="n">
        <v>3</v>
      </c>
      <c r="I251" s="305" t="n">
        <v>3.7036</v>
      </c>
      <c r="J251" s="32" t="n">
        <v>70</v>
      </c>
      <c r="K251" s="32" t="inlineStr">
        <is>
          <t>14</t>
        </is>
      </c>
      <c r="L251" s="32" t="inlineStr">
        <is>
          <t>Короб, мин. 1</t>
        </is>
      </c>
      <c r="M251" s="33" t="inlineStr">
        <is>
          <t>МГ</t>
        </is>
      </c>
      <c r="N251" s="33" t="n"/>
      <c r="O251" s="32" t="n">
        <v>180</v>
      </c>
      <c r="P251" s="440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/>
      </c>
      <c r="Q251" s="313" t="n"/>
      <c r="R251" s="313" t="n"/>
      <c r="S251" s="313" t="n"/>
      <c r="T251" s="314" t="n"/>
      <c r="U251" s="34" t="n"/>
      <c r="V251" s="34" t="n"/>
      <c r="W251" s="35" t="inlineStr">
        <is>
          <t>кор</t>
        </is>
      </c>
      <c r="X251" s="310" t="n">
        <v>0</v>
      </c>
      <c r="Y251" s="307">
        <f>IFERROR(IF(X251="","",X251),"")</f>
        <v/>
      </c>
      <c r="Z251" s="36">
        <f>IFERROR(IF(X251="","",X251*0.01788),"")</f>
        <v/>
      </c>
      <c r="AA251" s="55" t="n"/>
      <c r="AB251" s="56" t="n"/>
      <c r="AC251" s="230" t="inlineStr">
        <is>
          <t>ЕАЭС N RU Д-RU.РА04.В.81528/24</t>
        </is>
      </c>
      <c r="AD251" s="7">
        <f>X251*G251</f>
        <v/>
      </c>
      <c r="AE251" s="7">
        <f>X251/J251</f>
        <v/>
      </c>
      <c r="AG251" s="66" t="n"/>
      <c r="AJ251" s="69" t="inlineStr">
        <is>
          <t>Короб</t>
        </is>
      </c>
      <c r="AK251" s="69" t="n">
        <v>1</v>
      </c>
      <c r="BB251" s="231" t="inlineStr">
        <is>
          <t>ПГП</t>
        </is>
      </c>
      <c r="BM251" s="66" t="n">
        <v>0</v>
      </c>
      <c r="BN251" s="66" t="n">
        <v>0</v>
      </c>
      <c r="BO251" s="66" t="n">
        <v>0</v>
      </c>
      <c r="BP251" s="66" t="n">
        <v>0</v>
      </c>
    </row>
    <row r="252">
      <c r="A252" s="318" t="n"/>
      <c r="B252" s="319" t="n"/>
      <c r="C252" s="319" t="n"/>
      <c r="D252" s="319" t="n"/>
      <c r="E252" s="319" t="n"/>
      <c r="F252" s="319" t="n"/>
      <c r="G252" s="319" t="n"/>
      <c r="H252" s="319" t="n"/>
      <c r="I252" s="319" t="n"/>
      <c r="J252" s="319" t="n"/>
      <c r="K252" s="319" t="n"/>
      <c r="L252" s="319" t="n"/>
      <c r="M252" s="319" t="n"/>
      <c r="N252" s="319" t="n"/>
      <c r="O252" s="320" t="n"/>
      <c r="P252" s="321" t="inlineStr">
        <is>
          <t>Итого</t>
        </is>
      </c>
      <c r="Q252" s="322" t="n"/>
      <c r="R252" s="322" t="n"/>
      <c r="S252" s="322" t="n"/>
      <c r="T252" s="322" t="n"/>
      <c r="U252" s="322" t="n"/>
      <c r="V252" s="323" t="n"/>
      <c r="W252" s="37" t="inlineStr">
        <is>
          <t>кор</t>
        </is>
      </c>
      <c r="X252" s="311">
        <f>IFERROR(SUM(X251:X251),"0")</f>
        <v/>
      </c>
      <c r="Y252" s="308">
        <f>IFERROR(SUM(Y251:Y251),"0")</f>
        <v/>
      </c>
      <c r="Z252" s="308">
        <f>IFERROR(IF(Z251="",0,Z251),"0")</f>
        <v/>
      </c>
      <c r="AA252" s="309" t="n"/>
      <c r="AB252" s="309" t="n"/>
      <c r="AC252" s="309" t="n"/>
    </row>
    <row r="253">
      <c r="A253" s="319" t="n"/>
      <c r="B253" s="319" t="n"/>
      <c r="C253" s="319" t="n"/>
      <c r="D253" s="319" t="n"/>
      <c r="E253" s="319" t="n"/>
      <c r="F253" s="319" t="n"/>
      <c r="G253" s="319" t="n"/>
      <c r="H253" s="319" t="n"/>
      <c r="I253" s="319" t="n"/>
      <c r="J253" s="319" t="n"/>
      <c r="K253" s="319" t="n"/>
      <c r="L253" s="319" t="n"/>
      <c r="M253" s="319" t="n"/>
      <c r="N253" s="319" t="n"/>
      <c r="O253" s="320" t="n"/>
      <c r="P253" s="321" t="inlineStr">
        <is>
          <t>Итого</t>
        </is>
      </c>
      <c r="Q253" s="322" t="n"/>
      <c r="R253" s="322" t="n"/>
      <c r="S253" s="322" t="n"/>
      <c r="T253" s="322" t="n"/>
      <c r="U253" s="322" t="n"/>
      <c r="V253" s="323" t="n"/>
      <c r="W253" s="37" t="inlineStr">
        <is>
          <t>кг</t>
        </is>
      </c>
      <c r="X253" s="311">
        <f>IFERROR(SUMPRODUCT(X251:X251*H251:H251),"0")</f>
        <v/>
      </c>
      <c r="Y253" s="308">
        <f>IFERROR(SUMPRODUCT(Y251:Y251*H251:H251),"0")</f>
        <v/>
      </c>
      <c r="Z253" s="37" t="n"/>
      <c r="AA253" s="309" t="n"/>
      <c r="AB253" s="309" t="n"/>
      <c r="AC253" s="309" t="n"/>
    </row>
    <row r="254" ht="27.75" customHeight="1">
      <c r="A254" s="365" t="inlineStr">
        <is>
          <t>Зареченские продукты</t>
        </is>
      </c>
      <c r="B254" s="366" t="n"/>
      <c r="C254" s="366" t="n"/>
      <c r="D254" s="366" t="n"/>
      <c r="E254" s="366" t="n"/>
      <c r="F254" s="366" t="n"/>
      <c r="G254" s="366" t="n"/>
      <c r="H254" s="366" t="n"/>
      <c r="I254" s="366" t="n"/>
      <c r="J254" s="366" t="n"/>
      <c r="K254" s="366" t="n"/>
      <c r="L254" s="366" t="n"/>
      <c r="M254" s="366" t="n"/>
      <c r="N254" s="366" t="n"/>
      <c r="O254" s="366" t="n"/>
      <c r="P254" s="366" t="n"/>
      <c r="Q254" s="366" t="n"/>
      <c r="R254" s="366" t="n"/>
      <c r="S254" s="366" t="n"/>
      <c r="T254" s="366" t="n"/>
      <c r="U254" s="366" t="n"/>
      <c r="V254" s="366" t="n"/>
      <c r="W254" s="366" t="n"/>
      <c r="X254" s="366" t="n"/>
      <c r="Y254" s="366" t="n"/>
      <c r="Z254" s="366" t="n"/>
      <c r="AA254" s="48" t="n"/>
      <c r="AB254" s="48" t="n"/>
      <c r="AC254" s="48" t="n"/>
    </row>
    <row r="255" ht="16.5" customHeight="1">
      <c r="A255" s="324" t="inlineStr">
        <is>
          <t>Зареченские продукты</t>
        </is>
      </c>
      <c r="B255" s="319" t="n"/>
      <c r="C255" s="319" t="n"/>
      <c r="D255" s="319" t="n"/>
      <c r="E255" s="319" t="n"/>
      <c r="F255" s="319" t="n"/>
      <c r="G255" s="319" t="n"/>
      <c r="H255" s="319" t="n"/>
      <c r="I255" s="319" t="n"/>
      <c r="J255" s="319" t="n"/>
      <c r="K255" s="319" t="n"/>
      <c r="L255" s="319" t="n"/>
      <c r="M255" s="319" t="n"/>
      <c r="N255" s="319" t="n"/>
      <c r="O255" s="319" t="n"/>
      <c r="P255" s="319" t="n"/>
      <c r="Q255" s="319" t="n"/>
      <c r="R255" s="319" t="n"/>
      <c r="S255" s="319" t="n"/>
      <c r="T255" s="319" t="n"/>
      <c r="U255" s="319" t="n"/>
      <c r="V255" s="319" t="n"/>
      <c r="W255" s="319" t="n"/>
      <c r="X255" s="319" t="n"/>
      <c r="Y255" s="319" t="n"/>
      <c r="Z255" s="319" t="n"/>
      <c r="AA255" s="324" t="n"/>
      <c r="AB255" s="324" t="n"/>
      <c r="AC255" s="324" t="n"/>
    </row>
    <row r="256" ht="14.25" customHeight="1">
      <c r="A256" s="329" t="inlineStr">
        <is>
          <t>Пельмени</t>
        </is>
      </c>
      <c r="B256" s="319" t="n"/>
      <c r="C256" s="319" t="n"/>
      <c r="D256" s="319" t="n"/>
      <c r="E256" s="319" t="n"/>
      <c r="F256" s="319" t="n"/>
      <c r="G256" s="319" t="n"/>
      <c r="H256" s="319" t="n"/>
      <c r="I256" s="319" t="n"/>
      <c r="J256" s="319" t="n"/>
      <c r="K256" s="319" t="n"/>
      <c r="L256" s="319" t="n"/>
      <c r="M256" s="319" t="n"/>
      <c r="N256" s="319" t="n"/>
      <c r="O256" s="319" t="n"/>
      <c r="P256" s="319" t="n"/>
      <c r="Q256" s="319" t="n"/>
      <c r="R256" s="319" t="n"/>
      <c r="S256" s="319" t="n"/>
      <c r="T256" s="319" t="n"/>
      <c r="U256" s="319" t="n"/>
      <c r="V256" s="319" t="n"/>
      <c r="W256" s="319" t="n"/>
      <c r="X256" s="319" t="n"/>
      <c r="Y256" s="319" t="n"/>
      <c r="Z256" s="319" t="n"/>
      <c r="AA256" s="329" t="n"/>
      <c r="AB256" s="329" t="n"/>
      <c r="AC256" s="329" t="n"/>
    </row>
    <row r="257" ht="27" customHeight="1">
      <c r="A257" s="53" t="inlineStr">
        <is>
          <t>SU003319</t>
        </is>
      </c>
      <c r="B257" s="53" t="inlineStr">
        <is>
          <t>P004053</t>
        </is>
      </c>
      <c r="C257" s="31" t="n">
        <v>4301071014</v>
      </c>
      <c r="D257" s="316" t="n">
        <v>4640242181264</v>
      </c>
      <c r="E257" s="317" t="n"/>
      <c r="F257" s="305" t="n">
        <v>0.7</v>
      </c>
      <c r="G257" s="32" t="n">
        <v>10</v>
      </c>
      <c r="H257" s="305" t="n">
        <v>7</v>
      </c>
      <c r="I257" s="305" t="n">
        <v>7.28</v>
      </c>
      <c r="J257" s="32" t="n">
        <v>84</v>
      </c>
      <c r="K257" s="32" t="inlineStr">
        <is>
          <t>12</t>
        </is>
      </c>
      <c r="L257" s="32" t="inlineStr">
        <is>
          <t>Короб, мин. 1</t>
        </is>
      </c>
      <c r="M257" s="33" t="inlineStr">
        <is>
          <t>МГ</t>
        </is>
      </c>
      <c r="N257" s="33" t="n"/>
      <c r="O257" s="32" t="n">
        <v>180</v>
      </c>
      <c r="P257" s="450" t="inlineStr">
        <is>
          <t>Пельмени «Домашние» 0,7 сфера ТМ «Зареченские»</t>
        </is>
      </c>
      <c r="Q257" s="313" t="n"/>
      <c r="R257" s="313" t="n"/>
      <c r="S257" s="313" t="n"/>
      <c r="T257" s="314" t="n"/>
      <c r="U257" s="34" t="n"/>
      <c r="V257" s="34" t="n"/>
      <c r="W257" s="35" t="inlineStr">
        <is>
          <t>кор</t>
        </is>
      </c>
      <c r="X257" s="310" t="n">
        <v>0</v>
      </c>
      <c r="Y257" s="307">
        <f>IFERROR(IF(X257="","",X257),"")</f>
        <v/>
      </c>
      <c r="Z257" s="36">
        <f>IFERROR(IF(X257="","",X257*0.0155),"")</f>
        <v/>
      </c>
      <c r="AA257" s="55" t="n"/>
      <c r="AB257" s="56" t="n"/>
      <c r="AC257" s="232" t="inlineStr">
        <is>
          <t>ЕАЭС N RU Д-RU.РА01.В.15225/24</t>
        </is>
      </c>
      <c r="AD257" s="7">
        <f>X257*G257</f>
        <v/>
      </c>
      <c r="AE257" s="7">
        <f>X257/J257</f>
        <v/>
      </c>
      <c r="AG257" s="66" t="n"/>
      <c r="AJ257" s="69" t="inlineStr">
        <is>
          <t>Короб</t>
        </is>
      </c>
      <c r="AK257" s="69" t="n">
        <v>1</v>
      </c>
      <c r="BB257" s="233" t="inlineStr">
        <is>
          <t>ЗПФ</t>
        </is>
      </c>
      <c r="BM257" s="66" t="n">
        <v>0</v>
      </c>
      <c r="BN257" s="66" t="n">
        <v>0</v>
      </c>
      <c r="BO257" s="66" t="n">
        <v>0</v>
      </c>
      <c r="BP257" s="66" t="n">
        <v>0</v>
      </c>
    </row>
    <row r="258" ht="27" customHeight="1">
      <c r="A258" s="53" t="inlineStr">
        <is>
          <t>SU003320</t>
        </is>
      </c>
      <c r="B258" s="53" t="inlineStr">
        <is>
          <t>P004060</t>
        </is>
      </c>
      <c r="C258" s="31" t="n">
        <v>4301071021</v>
      </c>
      <c r="D258" s="316" t="n">
        <v>4640242181325</v>
      </c>
      <c r="E258" s="317" t="n"/>
      <c r="F258" s="305" t="n">
        <v>0.7</v>
      </c>
      <c r="G258" s="32" t="n">
        <v>10</v>
      </c>
      <c r="H258" s="305" t="n">
        <v>7</v>
      </c>
      <c r="I258" s="305" t="n">
        <v>7.28</v>
      </c>
      <c r="J258" s="32" t="n">
        <v>84</v>
      </c>
      <c r="K258" s="32" t="inlineStr">
        <is>
          <t>12</t>
        </is>
      </c>
      <c r="L258" s="32" t="inlineStr">
        <is>
          <t>Короб, мин. 1</t>
        </is>
      </c>
      <c r="M258" s="33" t="inlineStr">
        <is>
          <t>МГ</t>
        </is>
      </c>
      <c r="N258" s="33" t="n"/>
      <c r="O258" s="32" t="n">
        <v>180</v>
      </c>
      <c r="P258" s="377" t="inlineStr">
        <is>
          <t>Пельмени «Домашние со сливочным маслом» 0,7 сфера ТМ «Зареченские»</t>
        </is>
      </c>
      <c r="Q258" s="313" t="n"/>
      <c r="R258" s="313" t="n"/>
      <c r="S258" s="313" t="n"/>
      <c r="T258" s="314" t="n"/>
      <c r="U258" s="34" t="n"/>
      <c r="V258" s="34" t="n"/>
      <c r="W258" s="35" t="inlineStr">
        <is>
          <t>кор</t>
        </is>
      </c>
      <c r="X258" s="310" t="n">
        <v>0</v>
      </c>
      <c r="Y258" s="307">
        <f>IFERROR(IF(X258="","",X258),"")</f>
        <v/>
      </c>
      <c r="Z258" s="36">
        <f>IFERROR(IF(X258="","",X258*0.0155),"")</f>
        <v/>
      </c>
      <c r="AA258" s="55" t="n"/>
      <c r="AB258" s="56" t="n"/>
      <c r="AC258" s="234" t="inlineStr">
        <is>
          <t>ЕАЭС N RU Д-RU.РА01.В.15225/24</t>
        </is>
      </c>
      <c r="AD258" s="7">
        <f>X258*G258</f>
        <v/>
      </c>
      <c r="AE258" s="7">
        <f>X258/J258</f>
        <v/>
      </c>
      <c r="AG258" s="66" t="n"/>
      <c r="AJ258" s="69" t="inlineStr">
        <is>
          <t>Короб</t>
        </is>
      </c>
      <c r="AK258" s="69" t="n">
        <v>1</v>
      </c>
      <c r="BB258" s="235" t="inlineStr">
        <is>
          <t>ЗПФ</t>
        </is>
      </c>
      <c r="BM258" s="66" t="n">
        <v>0</v>
      </c>
      <c r="BN258" s="66" t="n">
        <v>0</v>
      </c>
      <c r="BO258" s="66" t="n">
        <v>0</v>
      </c>
      <c r="BP258" s="66" t="n">
        <v>0</v>
      </c>
    </row>
    <row r="259" ht="27" customHeight="1">
      <c r="A259" s="53" t="inlineStr">
        <is>
          <t>SU003086</t>
        </is>
      </c>
      <c r="B259" s="53" t="inlineStr">
        <is>
          <t>P003803</t>
        </is>
      </c>
      <c r="C259" s="31" t="n">
        <v>4301070993</v>
      </c>
      <c r="D259" s="316" t="n">
        <v>4640242180670</v>
      </c>
      <c r="E259" s="317" t="n"/>
      <c r="F259" s="305" t="n">
        <v>1</v>
      </c>
      <c r="G259" s="32" t="n">
        <v>6</v>
      </c>
      <c r="H259" s="305" t="n">
        <v>6</v>
      </c>
      <c r="I259" s="305" t="n">
        <v>6.23</v>
      </c>
      <c r="J259" s="32" t="n">
        <v>84</v>
      </c>
      <c r="K259" s="32" t="inlineStr">
        <is>
          <t>12</t>
        </is>
      </c>
      <c r="L259" s="32" t="inlineStr">
        <is>
          <t>Короб, мин. 1</t>
        </is>
      </c>
      <c r="M259" s="33" t="inlineStr">
        <is>
          <t>МГ</t>
        </is>
      </c>
      <c r="N259" s="33" t="n"/>
      <c r="O259" s="32" t="n">
        <v>180</v>
      </c>
      <c r="P259" s="363" t="inlineStr">
        <is>
          <t>Пельмени «Жемчужные» 1,0 сфера ТМ «Зареченские»</t>
        </is>
      </c>
      <c r="Q259" s="313" t="n"/>
      <c r="R259" s="313" t="n"/>
      <c r="S259" s="313" t="n"/>
      <c r="T259" s="314" t="n"/>
      <c r="U259" s="34" t="n"/>
      <c r="V259" s="34" t="n"/>
      <c r="W259" s="35" t="inlineStr">
        <is>
          <t>кор</t>
        </is>
      </c>
      <c r="X259" s="310" t="n">
        <v>0</v>
      </c>
      <c r="Y259" s="307">
        <f>IFERROR(IF(X259="","",X259),"")</f>
        <v/>
      </c>
      <c r="Z259" s="36">
        <f>IFERROR(IF(X259="","",X259*0.0155),"")</f>
        <v/>
      </c>
      <c r="AA259" s="55" t="n"/>
      <c r="AB259" s="56" t="n"/>
      <c r="AC259" s="236" t="inlineStr">
        <is>
          <t>ЕАЭС N RU Д-RU.РА05.В.31150/22</t>
        </is>
      </c>
      <c r="AD259" s="7">
        <f>X259*G259</f>
        <v/>
      </c>
      <c r="AE259" s="7">
        <f>X259/J259</f>
        <v/>
      </c>
      <c r="AG259" s="66" t="n"/>
      <c r="AJ259" s="69" t="inlineStr">
        <is>
          <t>Короб</t>
        </is>
      </c>
      <c r="AK259" s="69" t="n">
        <v>1</v>
      </c>
      <c r="BB259" s="237" t="inlineStr">
        <is>
          <t>ЗПФ</t>
        </is>
      </c>
      <c r="BM259" s="66" t="n">
        <v>0</v>
      </c>
      <c r="BN259" s="66" t="n">
        <v>0</v>
      </c>
      <c r="BO259" s="66" t="n">
        <v>0</v>
      </c>
      <c r="BP259" s="66" t="n">
        <v>0</v>
      </c>
    </row>
    <row r="260">
      <c r="A260" s="318" t="n"/>
      <c r="B260" s="319" t="n"/>
      <c r="C260" s="319" t="n"/>
      <c r="D260" s="319" t="n"/>
      <c r="E260" s="319" t="n"/>
      <c r="F260" s="319" t="n"/>
      <c r="G260" s="319" t="n"/>
      <c r="H260" s="319" t="n"/>
      <c r="I260" s="319" t="n"/>
      <c r="J260" s="319" t="n"/>
      <c r="K260" s="319" t="n"/>
      <c r="L260" s="319" t="n"/>
      <c r="M260" s="319" t="n"/>
      <c r="N260" s="319" t="n"/>
      <c r="O260" s="320" t="n"/>
      <c r="P260" s="321" t="inlineStr">
        <is>
          <t>Итого</t>
        </is>
      </c>
      <c r="Q260" s="322" t="n"/>
      <c r="R260" s="322" t="n"/>
      <c r="S260" s="322" t="n"/>
      <c r="T260" s="322" t="n"/>
      <c r="U260" s="322" t="n"/>
      <c r="V260" s="323" t="n"/>
      <c r="W260" s="37" t="inlineStr">
        <is>
          <t>кор</t>
        </is>
      </c>
      <c r="X260" s="311">
        <f>IFERROR(SUM(X257:X259),"0")</f>
        <v/>
      </c>
      <c r="Y260" s="308">
        <f>IFERROR(SUM(Y257:Y259),"0")</f>
        <v/>
      </c>
      <c r="Z260" s="308">
        <f>IFERROR(IF(Z257="",0,Z257),"0")+IFERROR(IF(Z258="",0,Z258),"0")+IFERROR(IF(Z259="",0,Z259),"0")</f>
        <v/>
      </c>
      <c r="AA260" s="309" t="n"/>
      <c r="AB260" s="309" t="n"/>
      <c r="AC260" s="309" t="n"/>
    </row>
    <row r="261">
      <c r="A261" s="319" t="n"/>
      <c r="B261" s="319" t="n"/>
      <c r="C261" s="319" t="n"/>
      <c r="D261" s="319" t="n"/>
      <c r="E261" s="319" t="n"/>
      <c r="F261" s="319" t="n"/>
      <c r="G261" s="319" t="n"/>
      <c r="H261" s="319" t="n"/>
      <c r="I261" s="319" t="n"/>
      <c r="J261" s="319" t="n"/>
      <c r="K261" s="319" t="n"/>
      <c r="L261" s="319" t="n"/>
      <c r="M261" s="319" t="n"/>
      <c r="N261" s="319" t="n"/>
      <c r="O261" s="320" t="n"/>
      <c r="P261" s="321" t="inlineStr">
        <is>
          <t>Итого</t>
        </is>
      </c>
      <c r="Q261" s="322" t="n"/>
      <c r="R261" s="322" t="n"/>
      <c r="S261" s="322" t="n"/>
      <c r="T261" s="322" t="n"/>
      <c r="U261" s="322" t="n"/>
      <c r="V261" s="323" t="n"/>
      <c r="W261" s="37" t="inlineStr">
        <is>
          <t>кг</t>
        </is>
      </c>
      <c r="X261" s="311">
        <f>IFERROR(SUMPRODUCT(X257:X259*H257:H259),"0")</f>
        <v/>
      </c>
      <c r="Y261" s="308">
        <f>IFERROR(SUMPRODUCT(Y257:Y259*H257:H259),"0")</f>
        <v/>
      </c>
      <c r="Z261" s="37" t="n"/>
      <c r="AA261" s="309" t="n"/>
      <c r="AB261" s="309" t="n"/>
      <c r="AC261" s="309" t="n"/>
    </row>
    <row r="262" ht="14.25" customHeight="1">
      <c r="A262" s="329" t="inlineStr">
        <is>
          <t>Наггетсы</t>
        </is>
      </c>
      <c r="B262" s="319" t="n"/>
      <c r="C262" s="319" t="n"/>
      <c r="D262" s="319" t="n"/>
      <c r="E262" s="319" t="n"/>
      <c r="F262" s="319" t="n"/>
      <c r="G262" s="319" t="n"/>
      <c r="H262" s="319" t="n"/>
      <c r="I262" s="319" t="n"/>
      <c r="J262" s="319" t="n"/>
      <c r="K262" s="319" t="n"/>
      <c r="L262" s="319" t="n"/>
      <c r="M262" s="319" t="n"/>
      <c r="N262" s="319" t="n"/>
      <c r="O262" s="319" t="n"/>
      <c r="P262" s="319" t="n"/>
      <c r="Q262" s="319" t="n"/>
      <c r="R262" s="319" t="n"/>
      <c r="S262" s="319" t="n"/>
      <c r="T262" s="319" t="n"/>
      <c r="U262" s="319" t="n"/>
      <c r="V262" s="319" t="n"/>
      <c r="W262" s="319" t="n"/>
      <c r="X262" s="319" t="n"/>
      <c r="Y262" s="319" t="n"/>
      <c r="Z262" s="319" t="n"/>
      <c r="AA262" s="329" t="n"/>
      <c r="AB262" s="329" t="n"/>
      <c r="AC262" s="329" t="n"/>
    </row>
    <row r="263" ht="27" customHeight="1">
      <c r="A263" s="53" t="inlineStr">
        <is>
          <t>SU003020</t>
        </is>
      </c>
      <c r="B263" s="53" t="inlineStr">
        <is>
          <t>P003486</t>
        </is>
      </c>
      <c r="C263" s="31" t="n">
        <v>4301132080</v>
      </c>
      <c r="D263" s="316" t="n">
        <v>4640242180397</v>
      </c>
      <c r="E263" s="317" t="n"/>
      <c r="F263" s="305" t="n">
        <v>1</v>
      </c>
      <c r="G263" s="32" t="n">
        <v>6</v>
      </c>
      <c r="H263" s="305" t="n">
        <v>6</v>
      </c>
      <c r="I263" s="305" t="n">
        <v>6.26</v>
      </c>
      <c r="J263" s="32" t="n">
        <v>84</v>
      </c>
      <c r="K263" s="32" t="inlineStr">
        <is>
          <t>12</t>
        </is>
      </c>
      <c r="L263" s="32" t="inlineStr">
        <is>
          <t>Короб, мин. 1</t>
        </is>
      </c>
      <c r="M263" s="33" t="inlineStr">
        <is>
          <t>МГ</t>
        </is>
      </c>
      <c r="N263" s="33" t="n"/>
      <c r="O263" s="32" t="n">
        <v>180</v>
      </c>
      <c r="P263" s="499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/>
      </c>
      <c r="Q263" s="313" t="n"/>
      <c r="R263" s="313" t="n"/>
      <c r="S263" s="313" t="n"/>
      <c r="T263" s="314" t="n"/>
      <c r="U263" s="34" t="n"/>
      <c r="V263" s="34" t="n"/>
      <c r="W263" s="35" t="inlineStr">
        <is>
          <t>кор</t>
        </is>
      </c>
      <c r="X263" s="310" t="n">
        <v>84</v>
      </c>
      <c r="Y263" s="307">
        <f>IFERROR(IF(X263="","",X263),"")</f>
        <v/>
      </c>
      <c r="Z263" s="36">
        <f>IFERROR(IF(X263="","",X263*0.0155),"")</f>
        <v/>
      </c>
      <c r="AA263" s="55" t="n"/>
      <c r="AB263" s="56" t="n"/>
      <c r="AC263" s="238" t="inlineStr">
        <is>
          <t>ЕАЭС N RU Д-RU. РА04.В.81113/23</t>
        </is>
      </c>
      <c r="AD263" s="7">
        <f>X263*G263</f>
        <v/>
      </c>
      <c r="AE263" s="7">
        <f>X263/J263</f>
        <v/>
      </c>
      <c r="AG263" s="66" t="n"/>
      <c r="AJ263" s="69" t="inlineStr">
        <is>
          <t>Короб</t>
        </is>
      </c>
      <c r="AK263" s="69" t="n">
        <v>1</v>
      </c>
      <c r="BB263" s="239" t="inlineStr">
        <is>
          <t>ПГП</t>
        </is>
      </c>
      <c r="BM263" s="66" t="n">
        <v>0</v>
      </c>
      <c r="BN263" s="66" t="n">
        <v>0</v>
      </c>
      <c r="BO263" s="66" t="n">
        <v>0</v>
      </c>
      <c r="BP263" s="66" t="n">
        <v>0</v>
      </c>
    </row>
    <row r="264" ht="27" customHeight="1">
      <c r="A264" s="53" t="inlineStr">
        <is>
          <t>SU003381</t>
        </is>
      </c>
      <c r="B264" s="53" t="inlineStr">
        <is>
          <t>P004190</t>
        </is>
      </c>
      <c r="C264" s="31" t="n">
        <v>4301132104</v>
      </c>
      <c r="D264" s="316" t="n">
        <v>4640242181219</v>
      </c>
      <c r="E264" s="317" t="n"/>
      <c r="F264" s="305" t="n">
        <v>0.3</v>
      </c>
      <c r="G264" s="32" t="n">
        <v>9</v>
      </c>
      <c r="H264" s="305" t="n">
        <v>2.7</v>
      </c>
      <c r="I264" s="305" t="n">
        <v>2.845</v>
      </c>
      <c r="J264" s="32" t="n">
        <v>234</v>
      </c>
      <c r="K264" s="32" t="inlineStr">
        <is>
          <t>18</t>
        </is>
      </c>
      <c r="L264" s="32" t="inlineStr">
        <is>
          <t>Короб, мин. 1</t>
        </is>
      </c>
      <c r="M264" s="33" t="inlineStr">
        <is>
          <t>МГ</t>
        </is>
      </c>
      <c r="N264" s="33" t="n"/>
      <c r="O264" s="32" t="n">
        <v>180</v>
      </c>
      <c r="P264" s="406" t="inlineStr">
        <is>
          <t>Наггетсы «Хрустящие» Фикс.вес 0,3 ф/п ТМ «Зареченские»</t>
        </is>
      </c>
      <c r="Q264" s="313" t="n"/>
      <c r="R264" s="313" t="n"/>
      <c r="S264" s="313" t="n"/>
      <c r="T264" s="314" t="n"/>
      <c r="U264" s="34" t="n"/>
      <c r="V264" s="34" t="n"/>
      <c r="W264" s="35" t="inlineStr">
        <is>
          <t>кор</t>
        </is>
      </c>
      <c r="X264" s="310" t="n">
        <v>0</v>
      </c>
      <c r="Y264" s="307">
        <f>IFERROR(IF(X264="","",X264),"")</f>
        <v/>
      </c>
      <c r="Z264" s="36">
        <f>IFERROR(IF(X264="","",X264*0.00502),"")</f>
        <v/>
      </c>
      <c r="AA264" s="55" t="n"/>
      <c r="AB264" s="56" t="n"/>
      <c r="AC264" s="240" t="inlineStr">
        <is>
          <t>ЕАЭС N RU Д-RU. РА04.В.81113/23</t>
        </is>
      </c>
      <c r="AD264" s="7">
        <f>X264*G264</f>
        <v/>
      </c>
      <c r="AE264" s="7">
        <f>X264/J264</f>
        <v/>
      </c>
      <c r="AG264" s="66" t="n"/>
      <c r="AJ264" s="69" t="inlineStr">
        <is>
          <t>Короб</t>
        </is>
      </c>
      <c r="AK264" s="69" t="n">
        <v>1</v>
      </c>
      <c r="BB264" s="241" t="inlineStr">
        <is>
          <t>ПГП</t>
        </is>
      </c>
      <c r="BM264" s="66" t="n">
        <v>0</v>
      </c>
      <c r="BN264" s="66" t="n">
        <v>0</v>
      </c>
      <c r="BO264" s="66" t="n">
        <v>0</v>
      </c>
      <c r="BP264" s="66" t="n">
        <v>0</v>
      </c>
    </row>
    <row r="265">
      <c r="A265" s="318" t="n"/>
      <c r="B265" s="319" t="n"/>
      <c r="C265" s="319" t="n"/>
      <c r="D265" s="319" t="n"/>
      <c r="E265" s="319" t="n"/>
      <c r="F265" s="319" t="n"/>
      <c r="G265" s="319" t="n"/>
      <c r="H265" s="319" t="n"/>
      <c r="I265" s="319" t="n"/>
      <c r="J265" s="319" t="n"/>
      <c r="K265" s="319" t="n"/>
      <c r="L265" s="319" t="n"/>
      <c r="M265" s="319" t="n"/>
      <c r="N265" s="319" t="n"/>
      <c r="O265" s="320" t="n"/>
      <c r="P265" s="321" t="inlineStr">
        <is>
          <t>Итого</t>
        </is>
      </c>
      <c r="Q265" s="322" t="n"/>
      <c r="R265" s="322" t="n"/>
      <c r="S265" s="322" t="n"/>
      <c r="T265" s="322" t="n"/>
      <c r="U265" s="322" t="n"/>
      <c r="V265" s="323" t="n"/>
      <c r="W265" s="37" t="inlineStr">
        <is>
          <t>кор</t>
        </is>
      </c>
      <c r="X265" s="311">
        <f>IFERROR(SUM(X263:X264),"0")</f>
        <v/>
      </c>
      <c r="Y265" s="308">
        <f>IFERROR(SUM(Y263:Y264),"0")</f>
        <v/>
      </c>
      <c r="Z265" s="308">
        <f>IFERROR(IF(Z263="",0,Z263),"0")+IFERROR(IF(Z264="",0,Z264),"0")</f>
        <v/>
      </c>
      <c r="AA265" s="309" t="n"/>
      <c r="AB265" s="309" t="n"/>
      <c r="AC265" s="309" t="n"/>
    </row>
    <row r="266">
      <c r="A266" s="319" t="n"/>
      <c r="B266" s="319" t="n"/>
      <c r="C266" s="319" t="n"/>
      <c r="D266" s="319" t="n"/>
      <c r="E266" s="319" t="n"/>
      <c r="F266" s="319" t="n"/>
      <c r="G266" s="319" t="n"/>
      <c r="H266" s="319" t="n"/>
      <c r="I266" s="319" t="n"/>
      <c r="J266" s="319" t="n"/>
      <c r="K266" s="319" t="n"/>
      <c r="L266" s="319" t="n"/>
      <c r="M266" s="319" t="n"/>
      <c r="N266" s="319" t="n"/>
      <c r="O266" s="320" t="n"/>
      <c r="P266" s="321" t="inlineStr">
        <is>
          <t>Итого</t>
        </is>
      </c>
      <c r="Q266" s="322" t="n"/>
      <c r="R266" s="322" t="n"/>
      <c r="S266" s="322" t="n"/>
      <c r="T266" s="322" t="n"/>
      <c r="U266" s="322" t="n"/>
      <c r="V266" s="323" t="n"/>
      <c r="W266" s="37" t="inlineStr">
        <is>
          <t>кг</t>
        </is>
      </c>
      <c r="X266" s="311">
        <f>IFERROR(SUMPRODUCT(X263:X264*H263:H264),"0")</f>
        <v/>
      </c>
      <c r="Y266" s="308">
        <f>IFERROR(SUMPRODUCT(Y263:Y264*H263:H264),"0")</f>
        <v/>
      </c>
      <c r="Z266" s="37" t="n"/>
      <c r="AA266" s="309" t="n"/>
      <c r="AB266" s="309" t="n"/>
      <c r="AC266" s="309" t="n"/>
    </row>
    <row r="267" ht="14.25" customHeight="1">
      <c r="A267" s="329" t="inlineStr">
        <is>
          <t>Чебуреки</t>
        </is>
      </c>
      <c r="B267" s="319" t="n"/>
      <c r="C267" s="319" t="n"/>
      <c r="D267" s="319" t="n"/>
      <c r="E267" s="319" t="n"/>
      <c r="F267" s="319" t="n"/>
      <c r="G267" s="319" t="n"/>
      <c r="H267" s="319" t="n"/>
      <c r="I267" s="319" t="n"/>
      <c r="J267" s="319" t="n"/>
      <c r="K267" s="319" t="n"/>
      <c r="L267" s="319" t="n"/>
      <c r="M267" s="319" t="n"/>
      <c r="N267" s="319" t="n"/>
      <c r="O267" s="319" t="n"/>
      <c r="P267" s="319" t="n"/>
      <c r="Q267" s="319" t="n"/>
      <c r="R267" s="319" t="n"/>
      <c r="S267" s="319" t="n"/>
      <c r="T267" s="319" t="n"/>
      <c r="U267" s="319" t="n"/>
      <c r="V267" s="319" t="n"/>
      <c r="W267" s="319" t="n"/>
      <c r="X267" s="319" t="n"/>
      <c r="Y267" s="319" t="n"/>
      <c r="Z267" s="319" t="n"/>
      <c r="AA267" s="329" t="n"/>
      <c r="AB267" s="329" t="n"/>
      <c r="AC267" s="329" t="n"/>
    </row>
    <row r="268" ht="27" customHeight="1">
      <c r="A268" s="53" t="inlineStr">
        <is>
          <t>SU003012</t>
        </is>
      </c>
      <c r="B268" s="53" t="inlineStr">
        <is>
          <t>P003478</t>
        </is>
      </c>
      <c r="C268" s="31" t="n">
        <v>4301136051</v>
      </c>
      <c r="D268" s="316" t="n">
        <v>4640242180304</v>
      </c>
      <c r="E268" s="317" t="n"/>
      <c r="F268" s="305" t="n">
        <v>2.7</v>
      </c>
      <c r="G268" s="32" t="n">
        <v>1</v>
      </c>
      <c r="H268" s="305" t="n">
        <v>2.7</v>
      </c>
      <c r="I268" s="305" t="n">
        <v>2.8906</v>
      </c>
      <c r="J268" s="32" t="n">
        <v>126</v>
      </c>
      <c r="K268" s="32" t="inlineStr">
        <is>
          <t>14</t>
        </is>
      </c>
      <c r="L268" s="32" t="inlineStr">
        <is>
          <t>Короб, мин. 1</t>
        </is>
      </c>
      <c r="M268" s="33" t="inlineStr">
        <is>
          <t>МГ</t>
        </is>
      </c>
      <c r="N268" s="33" t="n"/>
      <c r="O268" s="32" t="n">
        <v>180</v>
      </c>
      <c r="P268" s="364" t="inlineStr">
        <is>
          <t>Чебуреки «Мясные» Весовые ТМ «Зареченские» 2,7 кг</t>
        </is>
      </c>
      <c r="Q268" s="313" t="n"/>
      <c r="R268" s="313" t="n"/>
      <c r="S268" s="313" t="n"/>
      <c r="T268" s="314" t="n"/>
      <c r="U268" s="34" t="n"/>
      <c r="V268" s="34" t="n"/>
      <c r="W268" s="35" t="inlineStr">
        <is>
          <t>кор</t>
        </is>
      </c>
      <c r="X268" s="310" t="n">
        <v>0</v>
      </c>
      <c r="Y268" s="307">
        <f>IFERROR(IF(X268="","",X268),"")</f>
        <v/>
      </c>
      <c r="Z268" s="36">
        <f>IFERROR(IF(X268="","",X268*0.00936),"")</f>
        <v/>
      </c>
      <c r="AA268" s="55" t="n"/>
      <c r="AB268" s="56" t="n"/>
      <c r="AC268" s="242" t="inlineStr">
        <is>
          <t>ЕАЭС N RU Д-RU. РА04.В.83320/23</t>
        </is>
      </c>
      <c r="AD268" s="7">
        <f>X268*G268</f>
        <v/>
      </c>
      <c r="AE268" s="7">
        <f>X268/J268</f>
        <v/>
      </c>
      <c r="AG268" s="66" t="n"/>
      <c r="AJ268" s="69" t="inlineStr">
        <is>
          <t>Короб</t>
        </is>
      </c>
      <c r="AK268" s="69" t="n">
        <v>1</v>
      </c>
      <c r="BB268" s="243" t="inlineStr">
        <is>
          <t>ПГП</t>
        </is>
      </c>
      <c r="BM268" s="66" t="n">
        <v>0</v>
      </c>
      <c r="BN268" s="66" t="n">
        <v>0</v>
      </c>
      <c r="BO268" s="66" t="n">
        <v>0</v>
      </c>
      <c r="BP268" s="66" t="n">
        <v>0</v>
      </c>
    </row>
    <row r="269" ht="27" customHeight="1">
      <c r="A269" s="53" t="inlineStr">
        <is>
          <t>SU003010</t>
        </is>
      </c>
      <c r="B269" s="53" t="inlineStr">
        <is>
          <t>P003476</t>
        </is>
      </c>
      <c r="C269" s="31" t="n">
        <v>4301136053</v>
      </c>
      <c r="D269" s="316" t="n">
        <v>4640242180236</v>
      </c>
      <c r="E269" s="317" t="n"/>
      <c r="F269" s="305" t="n">
        <v>5</v>
      </c>
      <c r="G269" s="32" t="n">
        <v>1</v>
      </c>
      <c r="H269" s="305" t="n">
        <v>5</v>
      </c>
      <c r="I269" s="305" t="n">
        <v>5.235</v>
      </c>
      <c r="J269" s="32" t="n">
        <v>84</v>
      </c>
      <c r="K269" s="32" t="inlineStr">
        <is>
          <t>12</t>
        </is>
      </c>
      <c r="L269" s="32" t="inlineStr">
        <is>
          <t>Короб, мин. 1</t>
        </is>
      </c>
      <c r="M269" s="33" t="inlineStr">
        <is>
          <t>МГ</t>
        </is>
      </c>
      <c r="N269" s="33" t="n"/>
      <c r="O269" s="32" t="n">
        <v>180</v>
      </c>
      <c r="P269" s="459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/>
      </c>
      <c r="Q269" s="313" t="n"/>
      <c r="R269" s="313" t="n"/>
      <c r="S269" s="313" t="n"/>
      <c r="T269" s="314" t="n"/>
      <c r="U269" s="34" t="n"/>
      <c r="V269" s="34" t="n"/>
      <c r="W269" s="35" t="inlineStr">
        <is>
          <t>кор</t>
        </is>
      </c>
      <c r="X269" s="310" t="n">
        <v>0</v>
      </c>
      <c r="Y269" s="307">
        <f>IFERROR(IF(X269="","",X269),"")</f>
        <v/>
      </c>
      <c r="Z269" s="36">
        <f>IFERROR(IF(X269="","",X269*0.0155),"")</f>
        <v/>
      </c>
      <c r="AA269" s="55" t="n"/>
      <c r="AB269" s="56" t="n"/>
      <c r="AC269" s="244" t="inlineStr">
        <is>
          <t>ЕАЭС N RU Д-RU. РА04.В.83320/23</t>
        </is>
      </c>
      <c r="AD269" s="7">
        <f>X269*G269</f>
        <v/>
      </c>
      <c r="AE269" s="7">
        <f>X269/J269</f>
        <v/>
      </c>
      <c r="AG269" s="66" t="n"/>
      <c r="AJ269" s="69" t="inlineStr">
        <is>
          <t>Короб</t>
        </is>
      </c>
      <c r="AK269" s="69" t="n">
        <v>1</v>
      </c>
      <c r="BB269" s="245" t="inlineStr">
        <is>
          <t>ПГП</t>
        </is>
      </c>
      <c r="BM269" s="66" t="n">
        <v>0</v>
      </c>
      <c r="BN269" s="66" t="n">
        <v>0</v>
      </c>
      <c r="BO269" s="66" t="n">
        <v>0</v>
      </c>
      <c r="BP269" s="66" t="n">
        <v>0</v>
      </c>
    </row>
    <row r="270" ht="27" customHeight="1">
      <c r="A270" s="53" t="inlineStr">
        <is>
          <t>SU003025</t>
        </is>
      </c>
      <c r="B270" s="53" t="inlineStr">
        <is>
          <t>P003495</t>
        </is>
      </c>
      <c r="C270" s="31" t="n">
        <v>4301136052</v>
      </c>
      <c r="D270" s="316" t="n">
        <v>4640242180410</v>
      </c>
      <c r="E270" s="317" t="n"/>
      <c r="F270" s="305" t="n">
        <v>2.24</v>
      </c>
      <c r="G270" s="32" t="n">
        <v>1</v>
      </c>
      <c r="H270" s="305" t="n">
        <v>2.24</v>
      </c>
      <c r="I270" s="305" t="n">
        <v>2.432</v>
      </c>
      <c r="J270" s="32" t="n">
        <v>126</v>
      </c>
      <c r="K270" s="32" t="inlineStr">
        <is>
          <t>14</t>
        </is>
      </c>
      <c r="L270" s="32" t="inlineStr">
        <is>
          <t>Короб, мин. 1</t>
        </is>
      </c>
      <c r="M270" s="33" t="inlineStr">
        <is>
          <t>МГ</t>
        </is>
      </c>
      <c r="N270" s="33" t="n"/>
      <c r="O270" s="32" t="n">
        <v>180</v>
      </c>
      <c r="P270" s="474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/>
      </c>
      <c r="Q270" s="313" t="n"/>
      <c r="R270" s="313" t="n"/>
      <c r="S270" s="313" t="n"/>
      <c r="T270" s="314" t="n"/>
      <c r="U270" s="34" t="n"/>
      <c r="V270" s="34" t="n"/>
      <c r="W270" s="35" t="inlineStr">
        <is>
          <t>кор</t>
        </is>
      </c>
      <c r="X270" s="310" t="n">
        <v>0</v>
      </c>
      <c r="Y270" s="307">
        <f>IFERROR(IF(X270="","",X270),"")</f>
        <v/>
      </c>
      <c r="Z270" s="36">
        <f>IFERROR(IF(X270="","",X270*0.00936),"")</f>
        <v/>
      </c>
      <c r="AA270" s="55" t="n"/>
      <c r="AB270" s="56" t="n"/>
      <c r="AC270" s="246" t="inlineStr">
        <is>
          <t>ЕАЭС N RU Д-RU. РА04.В.83320/23</t>
        </is>
      </c>
      <c r="AD270" s="7">
        <f>X270*G270</f>
        <v/>
      </c>
      <c r="AE270" s="7">
        <f>X270/J270</f>
        <v/>
      </c>
      <c r="AG270" s="66" t="n"/>
      <c r="AJ270" s="69" t="inlineStr">
        <is>
          <t>Короб</t>
        </is>
      </c>
      <c r="AK270" s="69" t="n">
        <v>1</v>
      </c>
      <c r="BB270" s="247" t="inlineStr">
        <is>
          <t>ПГП</t>
        </is>
      </c>
      <c r="BM270" s="66" t="n">
        <v>0</v>
      </c>
      <c r="BN270" s="66" t="n">
        <v>0</v>
      </c>
      <c r="BO270" s="66" t="n">
        <v>0</v>
      </c>
      <c r="BP270" s="66" t="n">
        <v>0</v>
      </c>
    </row>
    <row r="271">
      <c r="A271" s="318" t="n"/>
      <c r="B271" s="319" t="n"/>
      <c r="C271" s="319" t="n"/>
      <c r="D271" s="319" t="n"/>
      <c r="E271" s="319" t="n"/>
      <c r="F271" s="319" t="n"/>
      <c r="G271" s="319" t="n"/>
      <c r="H271" s="319" t="n"/>
      <c r="I271" s="319" t="n"/>
      <c r="J271" s="319" t="n"/>
      <c r="K271" s="319" t="n"/>
      <c r="L271" s="319" t="n"/>
      <c r="M271" s="319" t="n"/>
      <c r="N271" s="319" t="n"/>
      <c r="O271" s="320" t="n"/>
      <c r="P271" s="321" t="inlineStr">
        <is>
          <t>Итого</t>
        </is>
      </c>
      <c r="Q271" s="322" t="n"/>
      <c r="R271" s="322" t="n"/>
      <c r="S271" s="322" t="n"/>
      <c r="T271" s="322" t="n"/>
      <c r="U271" s="322" t="n"/>
      <c r="V271" s="323" t="n"/>
      <c r="W271" s="37" t="inlineStr">
        <is>
          <t>кор</t>
        </is>
      </c>
      <c r="X271" s="311">
        <f>IFERROR(SUM(X268:X270),"0")</f>
        <v/>
      </c>
      <c r="Y271" s="308">
        <f>IFERROR(SUM(Y268:Y270),"0")</f>
        <v/>
      </c>
      <c r="Z271" s="308">
        <f>IFERROR(IF(Z268="",0,Z268),"0")+IFERROR(IF(Z269="",0,Z269),"0")+IFERROR(IF(Z270="",0,Z270),"0")</f>
        <v/>
      </c>
      <c r="AA271" s="309" t="n"/>
      <c r="AB271" s="309" t="n"/>
      <c r="AC271" s="309" t="n"/>
    </row>
    <row r="272">
      <c r="A272" s="319" t="n"/>
      <c r="B272" s="319" t="n"/>
      <c r="C272" s="319" t="n"/>
      <c r="D272" s="319" t="n"/>
      <c r="E272" s="319" t="n"/>
      <c r="F272" s="319" t="n"/>
      <c r="G272" s="319" t="n"/>
      <c r="H272" s="319" t="n"/>
      <c r="I272" s="319" t="n"/>
      <c r="J272" s="319" t="n"/>
      <c r="K272" s="319" t="n"/>
      <c r="L272" s="319" t="n"/>
      <c r="M272" s="319" t="n"/>
      <c r="N272" s="319" t="n"/>
      <c r="O272" s="320" t="n"/>
      <c r="P272" s="321" t="inlineStr">
        <is>
          <t>Итого</t>
        </is>
      </c>
      <c r="Q272" s="322" t="n"/>
      <c r="R272" s="322" t="n"/>
      <c r="S272" s="322" t="n"/>
      <c r="T272" s="322" t="n"/>
      <c r="U272" s="322" t="n"/>
      <c r="V272" s="323" t="n"/>
      <c r="W272" s="37" t="inlineStr">
        <is>
          <t>кг</t>
        </is>
      </c>
      <c r="X272" s="311">
        <f>IFERROR(SUMPRODUCT(X268:X270*H268:H270),"0")</f>
        <v/>
      </c>
      <c r="Y272" s="308">
        <f>IFERROR(SUMPRODUCT(Y268:Y270*H268:H270),"0")</f>
        <v/>
      </c>
      <c r="Z272" s="37" t="n"/>
      <c r="AA272" s="309" t="n"/>
      <c r="AB272" s="309" t="n"/>
      <c r="AC272" s="309" t="n"/>
    </row>
    <row r="273" ht="14.25" customHeight="1">
      <c r="A273" s="329" t="inlineStr">
        <is>
          <t>Снеки</t>
        </is>
      </c>
      <c r="B273" s="319" t="n"/>
      <c r="C273" s="319" t="n"/>
      <c r="D273" s="319" t="n"/>
      <c r="E273" s="319" t="n"/>
      <c r="F273" s="319" t="n"/>
      <c r="G273" s="319" t="n"/>
      <c r="H273" s="319" t="n"/>
      <c r="I273" s="319" t="n"/>
      <c r="J273" s="319" t="n"/>
      <c r="K273" s="319" t="n"/>
      <c r="L273" s="319" t="n"/>
      <c r="M273" s="319" t="n"/>
      <c r="N273" s="319" t="n"/>
      <c r="O273" s="319" t="n"/>
      <c r="P273" s="319" t="n"/>
      <c r="Q273" s="319" t="n"/>
      <c r="R273" s="319" t="n"/>
      <c r="S273" s="319" t="n"/>
      <c r="T273" s="319" t="n"/>
      <c r="U273" s="319" t="n"/>
      <c r="V273" s="319" t="n"/>
      <c r="W273" s="319" t="n"/>
      <c r="X273" s="319" t="n"/>
      <c r="Y273" s="319" t="n"/>
      <c r="Z273" s="319" t="n"/>
      <c r="AA273" s="329" t="n"/>
      <c r="AB273" s="329" t="n"/>
      <c r="AC273" s="329" t="n"/>
    </row>
    <row r="274" ht="37.5" customHeight="1">
      <c r="A274" s="53" t="inlineStr">
        <is>
          <t>SU003510</t>
        </is>
      </c>
      <c r="B274" s="53" t="inlineStr">
        <is>
          <t>P004457</t>
        </is>
      </c>
      <c r="C274" s="31" t="n">
        <v>4301135504</v>
      </c>
      <c r="D274" s="316" t="n">
        <v>4640242181554</v>
      </c>
      <c r="E274" s="317" t="n"/>
      <c r="F274" s="305" t="n">
        <v>3</v>
      </c>
      <c r="G274" s="32" t="n">
        <v>1</v>
      </c>
      <c r="H274" s="305" t="n">
        <v>3</v>
      </c>
      <c r="I274" s="305" t="n">
        <v>3.192</v>
      </c>
      <c r="J274" s="32" t="n">
        <v>126</v>
      </c>
      <c r="K274" s="32" t="inlineStr">
        <is>
          <t>14</t>
        </is>
      </c>
      <c r="L274" s="32" t="inlineStr">
        <is>
          <t>Короб, мин. 1</t>
        </is>
      </c>
      <c r="M274" s="33" t="inlineStr">
        <is>
          <t>МГ</t>
        </is>
      </c>
      <c r="N274" s="33" t="n"/>
      <c r="O274" s="32" t="n">
        <v>180</v>
      </c>
      <c r="P274" s="447" t="inlineStr">
        <is>
          <t>Снеки «Мини-пицца с ветчиной и сыром» Весовые ТМ «Зареченские продукты» 3 кг</t>
        </is>
      </c>
      <c r="Q274" s="313" t="n"/>
      <c r="R274" s="313" t="n"/>
      <c r="S274" s="313" t="n"/>
      <c r="T274" s="314" t="n"/>
      <c r="U274" s="34" t="n"/>
      <c r="V274" s="34" t="n"/>
      <c r="W274" s="35" t="inlineStr">
        <is>
          <t>кор</t>
        </is>
      </c>
      <c r="X274" s="310" t="n">
        <v>0</v>
      </c>
      <c r="Y274" s="307">
        <f>IFERROR(IF(X274="","",X274),"")</f>
        <v/>
      </c>
      <c r="Z274" s="36">
        <f>IFERROR(IF(X274="","",X274*0.00936),"")</f>
        <v/>
      </c>
      <c r="AA274" s="55" t="n"/>
      <c r="AB274" s="56" t="n"/>
      <c r="AC274" s="248" t="inlineStr">
        <is>
          <t>ЕАЭС N RU Д-RU.РА02.В.25079/24</t>
        </is>
      </c>
      <c r="AD274" s="7">
        <f>X274*G274</f>
        <v/>
      </c>
      <c r="AE274" s="7">
        <f>X274/J274</f>
        <v/>
      </c>
      <c r="AG274" s="66" t="n"/>
      <c r="AJ274" s="69" t="inlineStr">
        <is>
          <t>Короб</t>
        </is>
      </c>
      <c r="AK274" s="69" t="n">
        <v>1</v>
      </c>
      <c r="BB274" s="249" t="inlineStr">
        <is>
          <t>ПГП</t>
        </is>
      </c>
      <c r="BM274" s="66" t="n">
        <v>0</v>
      </c>
      <c r="BN274" s="66" t="n">
        <v>0</v>
      </c>
      <c r="BO274" s="66" t="n">
        <v>0</v>
      </c>
      <c r="BP274" s="66" t="n">
        <v>0</v>
      </c>
    </row>
    <row r="275" ht="27" customHeight="1">
      <c r="A275" s="53" t="inlineStr">
        <is>
          <t>SU003454</t>
        </is>
      </c>
      <c r="B275" s="53" t="inlineStr">
        <is>
          <t>P004364</t>
        </is>
      </c>
      <c r="C275" s="31" t="n">
        <v>4301135518</v>
      </c>
      <c r="D275" s="316" t="n">
        <v>4640242181561</v>
      </c>
      <c r="E275" s="317" t="n"/>
      <c r="F275" s="305" t="n">
        <v>3.7</v>
      </c>
      <c r="G275" s="32" t="n">
        <v>1</v>
      </c>
      <c r="H275" s="305" t="n">
        <v>3.7</v>
      </c>
      <c r="I275" s="305" t="n">
        <v>3.892</v>
      </c>
      <c r="J275" s="32" t="n">
        <v>126</v>
      </c>
      <c r="K275" s="32" t="inlineStr">
        <is>
          <t>14</t>
        </is>
      </c>
      <c r="L275" s="32" t="inlineStr">
        <is>
          <t>Короб, мин. 1</t>
        </is>
      </c>
      <c r="M275" s="33" t="inlineStr">
        <is>
          <t>МГ</t>
        </is>
      </c>
      <c r="N275" s="33" t="n"/>
      <c r="O275" s="32" t="n">
        <v>180</v>
      </c>
      <c r="P275" s="338" t="inlineStr">
        <is>
          <t>Снеки «Мини-сосиски в тесте» Весовые ТМ «Зареченские» 3,7 кг</t>
        </is>
      </c>
      <c r="Q275" s="313" t="n"/>
      <c r="R275" s="313" t="n"/>
      <c r="S275" s="313" t="n"/>
      <c r="T275" s="314" t="n"/>
      <c r="U275" s="34" t="n"/>
      <c r="V275" s="34" t="n"/>
      <c r="W275" s="35" t="inlineStr">
        <is>
          <t>кор</t>
        </is>
      </c>
      <c r="X275" s="310" t="n">
        <v>0</v>
      </c>
      <c r="Y275" s="307">
        <f>IFERROR(IF(X275="","",X275),"")</f>
        <v/>
      </c>
      <c r="Z275" s="36">
        <f>IFERROR(IF(X275="","",X275*0.00936),"")</f>
        <v/>
      </c>
      <c r="AA275" s="55" t="n"/>
      <c r="AB275" s="56" t="n"/>
      <c r="AC275" s="250" t="inlineStr">
        <is>
          <t>ЕАЭС N RU Д-RU.РА02.В.58883/24</t>
        </is>
      </c>
      <c r="AD275" s="7">
        <f>X275*G275</f>
        <v/>
      </c>
      <c r="AE275" s="7">
        <f>X275/J275</f>
        <v/>
      </c>
      <c r="AG275" s="66" t="n"/>
      <c r="AJ275" s="69" t="inlineStr">
        <is>
          <t>Короб</t>
        </is>
      </c>
      <c r="AK275" s="69" t="n">
        <v>1</v>
      </c>
      <c r="BB275" s="251" t="inlineStr">
        <is>
          <t>ПГП</t>
        </is>
      </c>
      <c r="BM275" s="66" t="n">
        <v>0</v>
      </c>
      <c r="BN275" s="66" t="n">
        <v>0</v>
      </c>
      <c r="BO275" s="66" t="n">
        <v>0</v>
      </c>
      <c r="BP275" s="66" t="n">
        <v>0</v>
      </c>
    </row>
    <row r="276" ht="27" customHeight="1">
      <c r="A276" s="53" t="inlineStr">
        <is>
          <t>SU003434</t>
        </is>
      </c>
      <c r="B276" s="53" t="inlineStr">
        <is>
          <t>P004358</t>
        </is>
      </c>
      <c r="C276" s="31" t="n">
        <v>4301135374</v>
      </c>
      <c r="D276" s="316" t="n">
        <v>4640242181424</v>
      </c>
      <c r="E276" s="317" t="n"/>
      <c r="F276" s="305" t="n">
        <v>5.5</v>
      </c>
      <c r="G276" s="32" t="n">
        <v>1</v>
      </c>
      <c r="H276" s="305" t="n">
        <v>5.5</v>
      </c>
      <c r="I276" s="305" t="n">
        <v>5.735</v>
      </c>
      <c r="J276" s="32" t="n">
        <v>84</v>
      </c>
      <c r="K276" s="32" t="inlineStr">
        <is>
          <t>12</t>
        </is>
      </c>
      <c r="L276" s="32" t="inlineStr">
        <is>
          <t>Короб, мин. 1</t>
        </is>
      </c>
      <c r="M276" s="33" t="inlineStr">
        <is>
          <t>МГ</t>
        </is>
      </c>
      <c r="N276" s="33" t="n"/>
      <c r="O276" s="32" t="n">
        <v>180</v>
      </c>
      <c r="P276" s="473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/>
      </c>
      <c r="Q276" s="313" t="n"/>
      <c r="R276" s="313" t="n"/>
      <c r="S276" s="313" t="n"/>
      <c r="T276" s="314" t="n"/>
      <c r="U276" s="34" t="n"/>
      <c r="V276" s="34" t="n"/>
      <c r="W276" s="35" t="inlineStr">
        <is>
          <t>кор</t>
        </is>
      </c>
      <c r="X276" s="310" t="n">
        <v>0</v>
      </c>
      <c r="Y276" s="307">
        <f>IFERROR(IF(X276="","",X276),"")</f>
        <v/>
      </c>
      <c r="Z276" s="36">
        <f>IFERROR(IF(X276="","",X276*0.0155),"")</f>
        <v/>
      </c>
      <c r="AA276" s="55" t="n"/>
      <c r="AB276" s="56" t="n"/>
      <c r="AC276" s="252" t="inlineStr">
        <is>
          <t>ЕАЭС N RU Д-RU.РА02.В.25079/24</t>
        </is>
      </c>
      <c r="AD276" s="7">
        <f>X276*G276</f>
        <v/>
      </c>
      <c r="AE276" s="7">
        <f>X276/J276</f>
        <v/>
      </c>
      <c r="AG276" s="66" t="n"/>
      <c r="AJ276" s="69" t="inlineStr">
        <is>
          <t>Короб</t>
        </is>
      </c>
      <c r="AK276" s="69" t="n">
        <v>1</v>
      </c>
      <c r="BB276" s="253" t="inlineStr">
        <is>
          <t>ПГП</t>
        </is>
      </c>
      <c r="BM276" s="66" t="n">
        <v>0</v>
      </c>
      <c r="BN276" s="66" t="n">
        <v>0</v>
      </c>
      <c r="BO276" s="66" t="n">
        <v>0</v>
      </c>
      <c r="BP276" s="66" t="n">
        <v>0</v>
      </c>
    </row>
    <row r="277" ht="37.5" customHeight="1">
      <c r="A277" s="53" t="inlineStr">
        <is>
          <t>SU003436</t>
        </is>
      </c>
      <c r="B277" s="53" t="inlineStr">
        <is>
          <t>P004439</t>
        </is>
      </c>
      <c r="C277" s="31" t="n">
        <v>4301135552</v>
      </c>
      <c r="D277" s="316" t="n">
        <v>4640242181431</v>
      </c>
      <c r="E277" s="317" t="n"/>
      <c r="F277" s="305" t="n">
        <v>3.5</v>
      </c>
      <c r="G277" s="32" t="n">
        <v>1</v>
      </c>
      <c r="H277" s="305" t="n">
        <v>3.5</v>
      </c>
      <c r="I277" s="305" t="n">
        <v>3.692</v>
      </c>
      <c r="J277" s="32" t="n">
        <v>126</v>
      </c>
      <c r="K277" s="32" t="inlineStr">
        <is>
          <t>14</t>
        </is>
      </c>
      <c r="L277" s="32" t="inlineStr">
        <is>
          <t>Короб, мин. 1</t>
        </is>
      </c>
      <c r="M277" s="33" t="inlineStr">
        <is>
          <t>МГ</t>
        </is>
      </c>
      <c r="N277" s="33" t="n"/>
      <c r="O277" s="32" t="n">
        <v>180</v>
      </c>
      <c r="P277" s="411" t="inlineStr">
        <is>
          <t>Снеки «Мини-чебуречки с картофелем и сочной грудинкой» Весовой ТМ «Зареченские продукты» 3,5 кг</t>
        </is>
      </c>
      <c r="Q277" s="313" t="n"/>
      <c r="R277" s="313" t="n"/>
      <c r="S277" s="313" t="n"/>
      <c r="T277" s="314" t="n"/>
      <c r="U277" s="34" t="n"/>
      <c r="V277" s="34" t="n"/>
      <c r="W277" s="35" t="inlineStr">
        <is>
          <t>кор</t>
        </is>
      </c>
      <c r="X277" s="310" t="n">
        <v>0</v>
      </c>
      <c r="Y277" s="307">
        <f>IFERROR(IF(X277="","",X277),"")</f>
        <v/>
      </c>
      <c r="Z277" s="36">
        <f>IFERROR(IF(X277="","",X277*0.00936),"")</f>
        <v/>
      </c>
      <c r="AA277" s="55" t="n"/>
      <c r="AB277" s="56" t="n"/>
      <c r="AC277" s="254" t="inlineStr">
        <is>
          <t>ЕАЭС N RU Д-RU.РА03.В.46679/24</t>
        </is>
      </c>
      <c r="AD277" s="7">
        <f>X277*G277</f>
        <v/>
      </c>
      <c r="AE277" s="7">
        <f>X277/J277</f>
        <v/>
      </c>
      <c r="AG277" s="66" t="n"/>
      <c r="AJ277" s="69" t="inlineStr">
        <is>
          <t>Короб</t>
        </is>
      </c>
      <c r="AK277" s="69" t="n">
        <v>1</v>
      </c>
      <c r="BB277" s="255" t="inlineStr">
        <is>
          <t>ПГП</t>
        </is>
      </c>
      <c r="BM277" s="66" t="n">
        <v>0</v>
      </c>
      <c r="BN277" s="66" t="n">
        <v>0</v>
      </c>
      <c r="BO277" s="66" t="n">
        <v>0</v>
      </c>
      <c r="BP277" s="66" t="n">
        <v>0</v>
      </c>
    </row>
    <row r="278" ht="27" customHeight="1">
      <c r="A278" s="53" t="inlineStr">
        <is>
          <t>SU003448</t>
        </is>
      </c>
      <c r="B278" s="53" t="inlineStr">
        <is>
          <t>P004394</t>
        </is>
      </c>
      <c r="C278" s="31" t="n">
        <v>4301135405</v>
      </c>
      <c r="D278" s="316" t="n">
        <v>4640242181523</v>
      </c>
      <c r="E278" s="317" t="n"/>
      <c r="F278" s="305" t="n">
        <v>3</v>
      </c>
      <c r="G278" s="32" t="n">
        <v>1</v>
      </c>
      <c r="H278" s="305" t="n">
        <v>3</v>
      </c>
      <c r="I278" s="305" t="n">
        <v>3.192</v>
      </c>
      <c r="J278" s="32" t="n">
        <v>126</v>
      </c>
      <c r="K278" s="32" t="inlineStr">
        <is>
          <t>14</t>
        </is>
      </c>
      <c r="L278" s="32" t="inlineStr">
        <is>
          <t>Короб, мин. 1</t>
        </is>
      </c>
      <c r="M278" s="33" t="inlineStr">
        <is>
          <t>МГ</t>
        </is>
      </c>
      <c r="N278" s="33" t="n"/>
      <c r="O278" s="32" t="n">
        <v>180</v>
      </c>
      <c r="P278" s="477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/>
      </c>
      <c r="Q278" s="313" t="n"/>
      <c r="R278" s="313" t="n"/>
      <c r="S278" s="313" t="n"/>
      <c r="T278" s="314" t="n"/>
      <c r="U278" s="34" t="n"/>
      <c r="V278" s="34" t="n"/>
      <c r="W278" s="35" t="inlineStr">
        <is>
          <t>кор</t>
        </is>
      </c>
      <c r="X278" s="310" t="n">
        <v>0</v>
      </c>
      <c r="Y278" s="307">
        <f>IFERROR(IF(X278="","",X278),"")</f>
        <v/>
      </c>
      <c r="Z278" s="36">
        <f>IFERROR(IF(X278="","",X278*0.00936),"")</f>
        <v/>
      </c>
      <c r="AA278" s="55" t="n"/>
      <c r="AB278" s="56" t="n"/>
      <c r="AC278" s="256" t="inlineStr">
        <is>
          <t>ЕАЭС N RU Д-RU.РА02.В.58883/24</t>
        </is>
      </c>
      <c r="AD278" s="7">
        <f>X278*G278</f>
        <v/>
      </c>
      <c r="AE278" s="7">
        <f>X278/J278</f>
        <v/>
      </c>
      <c r="AG278" s="66" t="n"/>
      <c r="AJ278" s="69" t="inlineStr">
        <is>
          <t>Короб</t>
        </is>
      </c>
      <c r="AK278" s="69" t="n">
        <v>1</v>
      </c>
      <c r="BB278" s="257" t="inlineStr">
        <is>
          <t>ПГП</t>
        </is>
      </c>
      <c r="BM278" s="66" t="n">
        <v>0</v>
      </c>
      <c r="BN278" s="66" t="n">
        <v>0</v>
      </c>
      <c r="BO278" s="66" t="n">
        <v>0</v>
      </c>
      <c r="BP278" s="66" t="n">
        <v>0</v>
      </c>
    </row>
    <row r="279" ht="27" customHeight="1">
      <c r="A279" s="53" t="inlineStr">
        <is>
          <t>SU003439</t>
        </is>
      </c>
      <c r="B279" s="53" t="inlineStr">
        <is>
          <t>P004359</t>
        </is>
      </c>
      <c r="C279" s="31" t="n">
        <v>4301135375</v>
      </c>
      <c r="D279" s="316" t="n">
        <v>4640242181486</v>
      </c>
      <c r="E279" s="317" t="n"/>
      <c r="F279" s="305" t="n">
        <v>3.7</v>
      </c>
      <c r="G279" s="32" t="n">
        <v>1</v>
      </c>
      <c r="H279" s="305" t="n">
        <v>3.7</v>
      </c>
      <c r="I279" s="305" t="n">
        <v>3.892</v>
      </c>
      <c r="J279" s="32" t="n">
        <v>126</v>
      </c>
      <c r="K279" s="32" t="inlineStr">
        <is>
          <t>14</t>
        </is>
      </c>
      <c r="L279" s="32" t="inlineStr">
        <is>
          <t>Короб, мин. 1</t>
        </is>
      </c>
      <c r="M279" s="33" t="inlineStr">
        <is>
          <t>МГ</t>
        </is>
      </c>
      <c r="N279" s="33" t="n"/>
      <c r="O279" s="32" t="n">
        <v>180</v>
      </c>
      <c r="P279" s="439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/>
      </c>
      <c r="Q279" s="313" t="n"/>
      <c r="R279" s="313" t="n"/>
      <c r="S279" s="313" t="n"/>
      <c r="T279" s="314" t="n"/>
      <c r="U279" s="34" t="n"/>
      <c r="V279" s="34" t="n"/>
      <c r="W279" s="35" t="inlineStr">
        <is>
          <t>кор</t>
        </is>
      </c>
      <c r="X279" s="310" t="n">
        <v>0</v>
      </c>
      <c r="Y279" s="307">
        <f>IFERROR(IF(X279="","",X279),"")</f>
        <v/>
      </c>
      <c r="Z279" s="36">
        <f>IFERROR(IF(X279="","",X279*0.00936),"")</f>
        <v/>
      </c>
      <c r="AA279" s="55" t="n"/>
      <c r="AB279" s="56" t="n"/>
      <c r="AC279" s="258" t="inlineStr">
        <is>
          <t>ЕАЭС N RU Д-RU.РА02.В.25079/24</t>
        </is>
      </c>
      <c r="AD279" s="7">
        <f>X279*G279</f>
        <v/>
      </c>
      <c r="AE279" s="7">
        <f>X279/J279</f>
        <v/>
      </c>
      <c r="AG279" s="66" t="n"/>
      <c r="AJ279" s="69" t="inlineStr">
        <is>
          <t>Короб</t>
        </is>
      </c>
      <c r="AK279" s="69" t="n">
        <v>1</v>
      </c>
      <c r="BB279" s="259" t="inlineStr">
        <is>
          <t>ПГП</t>
        </is>
      </c>
      <c r="BM279" s="66" t="n">
        <v>0</v>
      </c>
      <c r="BN279" s="66" t="n">
        <v>0</v>
      </c>
      <c r="BO279" s="66" t="n">
        <v>0</v>
      </c>
      <c r="BP279" s="66" t="n">
        <v>0</v>
      </c>
    </row>
    <row r="280" ht="37.5" customHeight="1">
      <c r="A280" s="53" t="inlineStr">
        <is>
          <t>SU003442</t>
        </is>
      </c>
      <c r="B280" s="53" t="inlineStr">
        <is>
          <t>P004391</t>
        </is>
      </c>
      <c r="C280" s="31" t="n">
        <v>4301135402</v>
      </c>
      <c r="D280" s="316" t="n">
        <v>4640242181493</v>
      </c>
      <c r="E280" s="317" t="n"/>
      <c r="F280" s="305" t="n">
        <v>3.7</v>
      </c>
      <c r="G280" s="32" t="n">
        <v>1</v>
      </c>
      <c r="H280" s="305" t="n">
        <v>3.7</v>
      </c>
      <c r="I280" s="305" t="n">
        <v>3.892</v>
      </c>
      <c r="J280" s="32" t="n">
        <v>126</v>
      </c>
      <c r="K280" s="32" t="inlineStr">
        <is>
          <t>14</t>
        </is>
      </c>
      <c r="L280" s="32" t="inlineStr">
        <is>
          <t>Короб, мин. 1</t>
        </is>
      </c>
      <c r="M280" s="33" t="inlineStr">
        <is>
          <t>МГ</t>
        </is>
      </c>
      <c r="N280" s="33" t="n"/>
      <c r="O280" s="32" t="n">
        <v>180</v>
      </c>
      <c r="P280" s="394" t="inlineStr">
        <is>
          <t>Снеки «Пирожки с мясом, картофелем и грибами» Весовые ТМ «Зареченские» 3,7 кг</t>
        </is>
      </c>
      <c r="Q280" s="313" t="n"/>
      <c r="R280" s="313" t="n"/>
      <c r="S280" s="313" t="n"/>
      <c r="T280" s="314" t="n"/>
      <c r="U280" s="34" t="n"/>
      <c r="V280" s="34" t="n"/>
      <c r="W280" s="35" t="inlineStr">
        <is>
          <t>кор</t>
        </is>
      </c>
      <c r="X280" s="310" t="n">
        <v>0</v>
      </c>
      <c r="Y280" s="307">
        <f>IFERROR(IF(X280="","",X280),"")</f>
        <v/>
      </c>
      <c r="Z280" s="36">
        <f>IFERROR(IF(X280="","",X280*0.00936),"")</f>
        <v/>
      </c>
      <c r="AA280" s="55" t="n"/>
      <c r="AB280" s="56" t="n"/>
      <c r="AC280" s="260" t="inlineStr">
        <is>
          <t>ЕАЭС N RU Д-RU.РА02.В.25079/24</t>
        </is>
      </c>
      <c r="AD280" s="7">
        <f>X280*G280</f>
        <v/>
      </c>
      <c r="AE280" s="7">
        <f>X280/J280</f>
        <v/>
      </c>
      <c r="AG280" s="66" t="n"/>
      <c r="AJ280" s="69" t="inlineStr">
        <is>
          <t>Короб</t>
        </is>
      </c>
      <c r="AK280" s="69" t="n">
        <v>1</v>
      </c>
      <c r="BB280" s="261" t="inlineStr">
        <is>
          <t>ПГП</t>
        </is>
      </c>
      <c r="BM280" s="66" t="n">
        <v>0</v>
      </c>
      <c r="BN280" s="66" t="n">
        <v>0</v>
      </c>
      <c r="BO280" s="66" t="n">
        <v>0</v>
      </c>
      <c r="BP280" s="66" t="n">
        <v>0</v>
      </c>
    </row>
    <row r="281" ht="37.5" customHeight="1">
      <c r="A281" s="53" t="inlineStr">
        <is>
          <t>SU003444</t>
        </is>
      </c>
      <c r="B281" s="53" t="inlineStr">
        <is>
          <t>P004392</t>
        </is>
      </c>
      <c r="C281" s="31" t="n">
        <v>4301135403</v>
      </c>
      <c r="D281" s="316" t="n">
        <v>4640242181509</v>
      </c>
      <c r="E281" s="317" t="n"/>
      <c r="F281" s="305" t="n">
        <v>3.7</v>
      </c>
      <c r="G281" s="32" t="n">
        <v>1</v>
      </c>
      <c r="H281" s="305" t="n">
        <v>3.7</v>
      </c>
      <c r="I281" s="305" t="n">
        <v>3.892</v>
      </c>
      <c r="J281" s="32" t="n">
        <v>126</v>
      </c>
      <c r="K281" s="32" t="inlineStr">
        <is>
          <t>14</t>
        </is>
      </c>
      <c r="L281" s="32" t="inlineStr">
        <is>
          <t>Короб, мин. 1</t>
        </is>
      </c>
      <c r="M281" s="33" t="inlineStr">
        <is>
          <t>МГ</t>
        </is>
      </c>
      <c r="N281" s="33" t="n"/>
      <c r="O281" s="32" t="n">
        <v>180</v>
      </c>
      <c r="P281" s="381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/>
      </c>
      <c r="Q281" s="313" t="n"/>
      <c r="R281" s="313" t="n"/>
      <c r="S281" s="313" t="n"/>
      <c r="T281" s="314" t="n"/>
      <c r="U281" s="34" t="n"/>
      <c r="V281" s="34" t="n"/>
      <c r="W281" s="35" t="inlineStr">
        <is>
          <t>кор</t>
        </is>
      </c>
      <c r="X281" s="310" t="n">
        <v>0</v>
      </c>
      <c r="Y281" s="307">
        <f>IFERROR(IF(X281="","",X281),"")</f>
        <v/>
      </c>
      <c r="Z281" s="36">
        <f>IFERROR(IF(X281="","",X281*0.00936),"")</f>
        <v/>
      </c>
      <c r="AA281" s="55" t="n"/>
      <c r="AB281" s="56" t="n"/>
      <c r="AC281" s="262" t="inlineStr">
        <is>
          <t>ЕАЭС N RU Д-RU.РА02.В.25079/24</t>
        </is>
      </c>
      <c r="AD281" s="7">
        <f>X281*G281</f>
        <v/>
      </c>
      <c r="AE281" s="7">
        <f>X281/J281</f>
        <v/>
      </c>
      <c r="AG281" s="66" t="n"/>
      <c r="AJ281" s="69" t="inlineStr">
        <is>
          <t>Короб</t>
        </is>
      </c>
      <c r="AK281" s="69" t="n">
        <v>1</v>
      </c>
      <c r="BB281" s="263" t="inlineStr">
        <is>
          <t>ПГП</t>
        </is>
      </c>
      <c r="BM281" s="66" t="n">
        <v>0</v>
      </c>
      <c r="BN281" s="66" t="n">
        <v>0</v>
      </c>
      <c r="BO281" s="66" t="n">
        <v>0</v>
      </c>
      <c r="BP281" s="66" t="n">
        <v>0</v>
      </c>
    </row>
    <row r="282" ht="27" customHeight="1">
      <c r="A282" s="53" t="inlineStr">
        <is>
          <t>SU003383</t>
        </is>
      </c>
      <c r="B282" s="53" t="inlineStr">
        <is>
          <t>P004191</t>
        </is>
      </c>
      <c r="C282" s="31" t="n">
        <v>4301135304</v>
      </c>
      <c r="D282" s="316" t="n">
        <v>4640242181240</v>
      </c>
      <c r="E282" s="317" t="n"/>
      <c r="F282" s="305" t="n">
        <v>0.3</v>
      </c>
      <c r="G282" s="32" t="n">
        <v>9</v>
      </c>
      <c r="H282" s="305" t="n">
        <v>2.7</v>
      </c>
      <c r="I282" s="305" t="n">
        <v>2.88</v>
      </c>
      <c r="J282" s="32" t="n">
        <v>126</v>
      </c>
      <c r="K282" s="32" t="inlineStr">
        <is>
          <t>14</t>
        </is>
      </c>
      <c r="L282" s="32" t="inlineStr">
        <is>
          <t>Короб, мин. 1</t>
        </is>
      </c>
      <c r="M282" s="33" t="inlineStr">
        <is>
          <t>МГ</t>
        </is>
      </c>
      <c r="N282" s="33" t="n"/>
      <c r="O282" s="32" t="n">
        <v>180</v>
      </c>
      <c r="P282" s="464" t="inlineStr">
        <is>
          <t>Снеки «Мини-пицца с ветчиной и сыром» Фикс.вес 0,3 ф/п ТМ «Зареченские»</t>
        </is>
      </c>
      <c r="Q282" s="313" t="n"/>
      <c r="R282" s="313" t="n"/>
      <c r="S282" s="313" t="n"/>
      <c r="T282" s="314" t="n"/>
      <c r="U282" s="34" t="n"/>
      <c r="V282" s="34" t="n"/>
      <c r="W282" s="35" t="inlineStr">
        <is>
          <t>кор</t>
        </is>
      </c>
      <c r="X282" s="310" t="n">
        <v>0</v>
      </c>
      <c r="Y282" s="307">
        <f>IFERROR(IF(X282="","",X282),"")</f>
        <v/>
      </c>
      <c r="Z282" s="36">
        <f>IFERROR(IF(X282="","",X282*0.00936),"")</f>
        <v/>
      </c>
      <c r="AA282" s="55" t="n"/>
      <c r="AB282" s="56" t="n"/>
      <c r="AC282" s="264" t="inlineStr">
        <is>
          <t>ЕАЭС N RU Д-RU.РА02.В.25079/24</t>
        </is>
      </c>
      <c r="AD282" s="7">
        <f>X282*G282</f>
        <v/>
      </c>
      <c r="AE282" s="7">
        <f>X282/J282</f>
        <v/>
      </c>
      <c r="AG282" s="66" t="n"/>
      <c r="AJ282" s="69" t="inlineStr">
        <is>
          <t>Короб</t>
        </is>
      </c>
      <c r="AK282" s="69" t="n">
        <v>1</v>
      </c>
      <c r="BB282" s="265" t="inlineStr">
        <is>
          <t>ПГП</t>
        </is>
      </c>
      <c r="BM282" s="66" t="n">
        <v>0</v>
      </c>
      <c r="BN282" s="66" t="n">
        <v>0</v>
      </c>
      <c r="BO282" s="66" t="n">
        <v>0</v>
      </c>
      <c r="BP282" s="66" t="n">
        <v>0</v>
      </c>
    </row>
    <row r="283" ht="27" customHeight="1">
      <c r="A283" s="53" t="inlineStr">
        <is>
          <t>SU003382</t>
        </is>
      </c>
      <c r="B283" s="53" t="inlineStr">
        <is>
          <t>P004195</t>
        </is>
      </c>
      <c r="C283" s="31" t="n">
        <v>4301135610</v>
      </c>
      <c r="D283" s="316" t="n">
        <v>4640242181318</v>
      </c>
      <c r="E283" s="317" t="n"/>
      <c r="F283" s="305" t="n">
        <v>0.3</v>
      </c>
      <c r="G283" s="32" t="n">
        <v>9</v>
      </c>
      <c r="H283" s="305" t="n">
        <v>2.7</v>
      </c>
      <c r="I283" s="305" t="n">
        <v>2.988</v>
      </c>
      <c r="J283" s="32" t="n">
        <v>126</v>
      </c>
      <c r="K283" s="32" t="inlineStr">
        <is>
          <t>14</t>
        </is>
      </c>
      <c r="L283" s="32" t="inlineStr">
        <is>
          <t>Короб, мин. 1</t>
        </is>
      </c>
      <c r="M283" s="33" t="inlineStr">
        <is>
          <t>МГ</t>
        </is>
      </c>
      <c r="N283" s="33" t="n"/>
      <c r="O283" s="32" t="n">
        <v>180</v>
      </c>
      <c r="P283" s="410" t="inlineStr">
        <is>
          <t>Снеки «Мини-сосиски в тесте» Фикс.вес 0,3 ф/п ТМ «Зареченские»</t>
        </is>
      </c>
      <c r="Q283" s="313" t="n"/>
      <c r="R283" s="313" t="n"/>
      <c r="S283" s="313" t="n"/>
      <c r="T283" s="314" t="n"/>
      <c r="U283" s="34" t="n"/>
      <c r="V283" s="34" t="n"/>
      <c r="W283" s="35" t="inlineStr">
        <is>
          <t>кор</t>
        </is>
      </c>
      <c r="X283" s="310" t="n">
        <v>0</v>
      </c>
      <c r="Y283" s="307">
        <f>IFERROR(IF(X283="","",X283),"")</f>
        <v/>
      </c>
      <c r="Z283" s="36">
        <f>IFERROR(IF(X283="","",X283*0.00936),"")</f>
        <v/>
      </c>
      <c r="AA283" s="55" t="n"/>
      <c r="AB283" s="56" t="n"/>
      <c r="AC283" s="266" t="inlineStr">
        <is>
          <t>ЕАЭС N RU Д-RU.РА02.В.58883/24</t>
        </is>
      </c>
      <c r="AD283" s="7">
        <f>X283*G283</f>
        <v/>
      </c>
      <c r="AE283" s="7">
        <f>X283/J283</f>
        <v/>
      </c>
      <c r="AG283" s="66" t="n"/>
      <c r="AJ283" s="69" t="inlineStr">
        <is>
          <t>Короб</t>
        </is>
      </c>
      <c r="AK283" s="69" t="n">
        <v>1</v>
      </c>
      <c r="BB283" s="267" t="inlineStr">
        <is>
          <t>ПГП</t>
        </is>
      </c>
      <c r="BM283" s="66" t="n">
        <v>0</v>
      </c>
      <c r="BN283" s="66" t="n">
        <v>0</v>
      </c>
      <c r="BO283" s="66" t="n">
        <v>0</v>
      </c>
      <c r="BP283" s="66" t="n">
        <v>0</v>
      </c>
    </row>
    <row r="284" ht="27" customHeight="1">
      <c r="A284" s="53" t="inlineStr">
        <is>
          <t>SU003377</t>
        </is>
      </c>
      <c r="B284" s="53" t="inlineStr">
        <is>
          <t>P004193</t>
        </is>
      </c>
      <c r="C284" s="31" t="n">
        <v>4301135306</v>
      </c>
      <c r="D284" s="316" t="n">
        <v>4640242181387</v>
      </c>
      <c r="E284" s="317" t="n"/>
      <c r="F284" s="305" t="n">
        <v>0.3</v>
      </c>
      <c r="G284" s="32" t="n">
        <v>9</v>
      </c>
      <c r="H284" s="305" t="n">
        <v>2.7</v>
      </c>
      <c r="I284" s="305" t="n">
        <v>2.845</v>
      </c>
      <c r="J284" s="32" t="n">
        <v>234</v>
      </c>
      <c r="K284" s="32" t="inlineStr">
        <is>
          <t>18</t>
        </is>
      </c>
      <c r="L284" s="32" t="inlineStr">
        <is>
          <t>Короб, мин. 1</t>
        </is>
      </c>
      <c r="M284" s="33" t="inlineStr">
        <is>
          <t>МГ</t>
        </is>
      </c>
      <c r="N284" s="33" t="n"/>
      <c r="O284" s="32" t="n">
        <v>180</v>
      </c>
      <c r="P284" s="367" t="inlineStr">
        <is>
          <t>Снеки «Мини-чебуречки с мясом» Фикс.вес 0,3 ф/п ТМ «Зареченские»</t>
        </is>
      </c>
      <c r="Q284" s="313" t="n"/>
      <c r="R284" s="313" t="n"/>
      <c r="S284" s="313" t="n"/>
      <c r="T284" s="314" t="n"/>
      <c r="U284" s="34" t="n"/>
      <c r="V284" s="34" t="n"/>
      <c r="W284" s="35" t="inlineStr">
        <is>
          <t>кор</t>
        </is>
      </c>
      <c r="X284" s="310" t="n">
        <v>0</v>
      </c>
      <c r="Y284" s="307">
        <f>IFERROR(IF(X284="","",X284),"")</f>
        <v/>
      </c>
      <c r="Z284" s="36">
        <f>IFERROR(IF(X284="","",X284*0.00502),"")</f>
        <v/>
      </c>
      <c r="AA284" s="55" t="n"/>
      <c r="AB284" s="56" t="n"/>
      <c r="AC284" s="268" t="inlineStr">
        <is>
          <t>ЕАЭС N RU Д-RU.РА02.В.25079/24</t>
        </is>
      </c>
      <c r="AD284" s="7">
        <f>X284*G284</f>
        <v/>
      </c>
      <c r="AE284" s="7">
        <f>X284/J284</f>
        <v/>
      </c>
      <c r="AG284" s="66" t="n"/>
      <c r="AJ284" s="69" t="inlineStr">
        <is>
          <t>Короб</t>
        </is>
      </c>
      <c r="AK284" s="69" t="n">
        <v>1</v>
      </c>
      <c r="BB284" s="269" t="inlineStr">
        <is>
          <t>ПГП</t>
        </is>
      </c>
      <c r="BM284" s="66" t="n">
        <v>0</v>
      </c>
      <c r="BN284" s="66" t="n">
        <v>0</v>
      </c>
      <c r="BO284" s="66" t="n">
        <v>0</v>
      </c>
      <c r="BP284" s="66" t="n">
        <v>0</v>
      </c>
    </row>
    <row r="285" ht="27" customHeight="1">
      <c r="A285" s="53" t="inlineStr">
        <is>
          <t>SU003376</t>
        </is>
      </c>
      <c r="B285" s="53" t="inlineStr">
        <is>
          <t>P004194</t>
        </is>
      </c>
      <c r="C285" s="31" t="n">
        <v>4301135305</v>
      </c>
      <c r="D285" s="316" t="n">
        <v>4640242181394</v>
      </c>
      <c r="E285" s="317" t="n"/>
      <c r="F285" s="305" t="n">
        <v>0.3</v>
      </c>
      <c r="G285" s="32" t="n">
        <v>9</v>
      </c>
      <c r="H285" s="305" t="n">
        <v>2.7</v>
      </c>
      <c r="I285" s="305" t="n">
        <v>2.845</v>
      </c>
      <c r="J285" s="32" t="n">
        <v>234</v>
      </c>
      <c r="K285" s="32" t="inlineStr">
        <is>
          <t>18</t>
        </is>
      </c>
      <c r="L285" s="32" t="inlineStr">
        <is>
          <t>Короб, мин. 1</t>
        </is>
      </c>
      <c r="M285" s="33" t="inlineStr">
        <is>
          <t>МГ</t>
        </is>
      </c>
      <c r="N285" s="33" t="n"/>
      <c r="O285" s="32" t="n">
        <v>180</v>
      </c>
      <c r="P285" s="413" t="inlineStr">
        <is>
          <t>Снеки «Мини-чебуречки с сыром и ветчиной» Фикс.вес 0,3 ф/п ТМ «Зареченские»</t>
        </is>
      </c>
      <c r="Q285" s="313" t="n"/>
      <c r="R285" s="313" t="n"/>
      <c r="S285" s="313" t="n"/>
      <c r="T285" s="314" t="n"/>
      <c r="U285" s="34" t="n"/>
      <c r="V285" s="34" t="n"/>
      <c r="W285" s="35" t="inlineStr">
        <is>
          <t>кор</t>
        </is>
      </c>
      <c r="X285" s="310" t="n">
        <v>0</v>
      </c>
      <c r="Y285" s="307">
        <f>IFERROR(IF(X285="","",X285),"")</f>
        <v/>
      </c>
      <c r="Z285" s="36">
        <f>IFERROR(IF(X285="","",X285*0.00502),"")</f>
        <v/>
      </c>
      <c r="AA285" s="55" t="n"/>
      <c r="AB285" s="56" t="n"/>
      <c r="AC285" s="270" t="inlineStr">
        <is>
          <t>ЕАЭС N RU Д-RU.РА02.В.25079/24</t>
        </is>
      </c>
      <c r="AD285" s="7">
        <f>X285*G285</f>
        <v/>
      </c>
      <c r="AE285" s="7">
        <f>X285/J285</f>
        <v/>
      </c>
      <c r="AG285" s="66" t="n"/>
      <c r="AJ285" s="69" t="inlineStr">
        <is>
          <t>Короб</t>
        </is>
      </c>
      <c r="AK285" s="69" t="n">
        <v>1</v>
      </c>
      <c r="BB285" s="271" t="inlineStr">
        <is>
          <t>ПГП</t>
        </is>
      </c>
      <c r="BM285" s="66" t="n">
        <v>0</v>
      </c>
      <c r="BN285" s="66" t="n">
        <v>0</v>
      </c>
      <c r="BO285" s="66" t="n">
        <v>0</v>
      </c>
      <c r="BP285" s="66" t="n">
        <v>0</v>
      </c>
    </row>
    <row r="286" ht="27" customHeight="1">
      <c r="A286" s="53" t="inlineStr">
        <is>
          <t>SU003378</t>
        </is>
      </c>
      <c r="B286" s="53" t="inlineStr">
        <is>
          <t>P004196</t>
        </is>
      </c>
      <c r="C286" s="31" t="n">
        <v>4301135309</v>
      </c>
      <c r="D286" s="316" t="n">
        <v>4640242181332</v>
      </c>
      <c r="E286" s="317" t="n"/>
      <c r="F286" s="305" t="n">
        <v>0.3</v>
      </c>
      <c r="G286" s="32" t="n">
        <v>9</v>
      </c>
      <c r="H286" s="305" t="n">
        <v>2.7</v>
      </c>
      <c r="I286" s="305" t="n">
        <v>2.908</v>
      </c>
      <c r="J286" s="32" t="n">
        <v>234</v>
      </c>
      <c r="K286" s="32" t="inlineStr">
        <is>
          <t>18</t>
        </is>
      </c>
      <c r="L286" s="32" t="inlineStr">
        <is>
          <t>Короб, мин. 1</t>
        </is>
      </c>
      <c r="M286" s="33" t="inlineStr">
        <is>
          <t>МГ</t>
        </is>
      </c>
      <c r="N286" s="33" t="n"/>
      <c r="O286" s="32" t="n">
        <v>180</v>
      </c>
      <c r="P286" s="374" t="inlineStr">
        <is>
          <t>Снеки «Пирожки с мясом» Фикс.вес 0,3 ф/п ТМ «Зареченские»</t>
        </is>
      </c>
      <c r="Q286" s="313" t="n"/>
      <c r="R286" s="313" t="n"/>
      <c r="S286" s="313" t="n"/>
      <c r="T286" s="314" t="n"/>
      <c r="U286" s="34" t="n"/>
      <c r="V286" s="34" t="n"/>
      <c r="W286" s="35" t="inlineStr">
        <is>
          <t>кор</t>
        </is>
      </c>
      <c r="X286" s="310" t="n">
        <v>0</v>
      </c>
      <c r="Y286" s="307">
        <f>IFERROR(IF(X286="","",X286),"")</f>
        <v/>
      </c>
      <c r="Z286" s="36">
        <f>IFERROR(IF(X286="","",X286*0.00502),"")</f>
        <v/>
      </c>
      <c r="AA286" s="55" t="n"/>
      <c r="AB286" s="56" t="n"/>
      <c r="AC286" s="272" t="inlineStr">
        <is>
          <t>ЕАЭС N RU Д-RU.РА02.В.25079/24</t>
        </is>
      </c>
      <c r="AD286" s="7">
        <f>X286*G286</f>
        <v/>
      </c>
      <c r="AE286" s="7">
        <f>X286/J286</f>
        <v/>
      </c>
      <c r="AG286" s="66" t="n"/>
      <c r="AJ286" s="69" t="inlineStr">
        <is>
          <t>Короб</t>
        </is>
      </c>
      <c r="AK286" s="69" t="n">
        <v>1</v>
      </c>
      <c r="BB286" s="273" t="inlineStr">
        <is>
          <t>ПГП</t>
        </is>
      </c>
      <c r="BM286" s="66" t="n">
        <v>0</v>
      </c>
      <c r="BN286" s="66" t="n">
        <v>0</v>
      </c>
      <c r="BO286" s="66" t="n">
        <v>0</v>
      </c>
      <c r="BP286" s="66" t="n">
        <v>0</v>
      </c>
    </row>
    <row r="287" ht="27" customHeight="1">
      <c r="A287" s="53" t="inlineStr">
        <is>
          <t>SU003379</t>
        </is>
      </c>
      <c r="B287" s="53" t="inlineStr">
        <is>
          <t>P004197</t>
        </is>
      </c>
      <c r="C287" s="31" t="n">
        <v>4301135308</v>
      </c>
      <c r="D287" s="316" t="n">
        <v>4640242181349</v>
      </c>
      <c r="E287" s="317" t="n"/>
      <c r="F287" s="305" t="n">
        <v>0.3</v>
      </c>
      <c r="G287" s="32" t="n">
        <v>9</v>
      </c>
      <c r="H287" s="305" t="n">
        <v>2.7</v>
      </c>
      <c r="I287" s="305" t="n">
        <v>2.908</v>
      </c>
      <c r="J287" s="32" t="n">
        <v>234</v>
      </c>
      <c r="K287" s="32" t="inlineStr">
        <is>
          <t>18</t>
        </is>
      </c>
      <c r="L287" s="32" t="inlineStr">
        <is>
          <t>Короб, мин. 1</t>
        </is>
      </c>
      <c r="M287" s="33" t="inlineStr">
        <is>
          <t>МГ</t>
        </is>
      </c>
      <c r="N287" s="33" t="n"/>
      <c r="O287" s="32" t="n">
        <v>180</v>
      </c>
      <c r="P287" s="380" t="inlineStr">
        <is>
          <t>Снеки «Пирожки с мясом, картофелем и грибами» Фикс.вес 0,3 ф/п ТМ «Зареченские»</t>
        </is>
      </c>
      <c r="Q287" s="313" t="n"/>
      <c r="R287" s="313" t="n"/>
      <c r="S287" s="313" t="n"/>
      <c r="T287" s="314" t="n"/>
      <c r="U287" s="34" t="n"/>
      <c r="V287" s="34" t="n"/>
      <c r="W287" s="35" t="inlineStr">
        <is>
          <t>кор</t>
        </is>
      </c>
      <c r="X287" s="310" t="n">
        <v>0</v>
      </c>
      <c r="Y287" s="307">
        <f>IFERROR(IF(X287="","",X287),"")</f>
        <v/>
      </c>
      <c r="Z287" s="36">
        <f>IFERROR(IF(X287="","",X287*0.00502),"")</f>
        <v/>
      </c>
      <c r="AA287" s="55" t="n"/>
      <c r="AB287" s="56" t="n"/>
      <c r="AC287" s="274" t="inlineStr">
        <is>
          <t>ЕАЭС N RU Д-RU.РА02.В.25079/24</t>
        </is>
      </c>
      <c r="AD287" s="7">
        <f>X287*G287</f>
        <v/>
      </c>
      <c r="AE287" s="7">
        <f>X287/J287</f>
        <v/>
      </c>
      <c r="AG287" s="66" t="n"/>
      <c r="AJ287" s="69" t="inlineStr">
        <is>
          <t>Короб</t>
        </is>
      </c>
      <c r="AK287" s="69" t="n">
        <v>1</v>
      </c>
      <c r="BB287" s="275" t="inlineStr">
        <is>
          <t>ПГП</t>
        </is>
      </c>
      <c r="BM287" s="66" t="n">
        <v>0</v>
      </c>
      <c r="BN287" s="66" t="n">
        <v>0</v>
      </c>
      <c r="BO287" s="66" t="n">
        <v>0</v>
      </c>
      <c r="BP287" s="66" t="n">
        <v>0</v>
      </c>
    </row>
    <row r="288" ht="27" customHeight="1">
      <c r="A288" s="53" t="inlineStr">
        <is>
          <t>SU003380</t>
        </is>
      </c>
      <c r="B288" s="53" t="inlineStr">
        <is>
          <t>P004192</t>
        </is>
      </c>
      <c r="C288" s="31" t="n">
        <v>4301135307</v>
      </c>
      <c r="D288" s="316" t="n">
        <v>4640242181370</v>
      </c>
      <c r="E288" s="317" t="n"/>
      <c r="F288" s="305" t="n">
        <v>0.3</v>
      </c>
      <c r="G288" s="32" t="n">
        <v>9</v>
      </c>
      <c r="H288" s="305" t="n">
        <v>2.7</v>
      </c>
      <c r="I288" s="305" t="n">
        <v>2.908</v>
      </c>
      <c r="J288" s="32" t="n">
        <v>234</v>
      </c>
      <c r="K288" s="32" t="inlineStr">
        <is>
          <t>18</t>
        </is>
      </c>
      <c r="L288" s="32" t="inlineStr">
        <is>
          <t>Короб, мин. 1</t>
        </is>
      </c>
      <c r="M288" s="33" t="inlineStr">
        <is>
          <t>МГ</t>
        </is>
      </c>
      <c r="N288" s="33" t="n"/>
      <c r="O288" s="32" t="n">
        <v>180</v>
      </c>
      <c r="P288" s="497" t="inlineStr">
        <is>
          <t>Снеки «Пирожки с яблоком и грушей» Фикс.вес 0,3 ф/п ТМ «Зареченские»</t>
        </is>
      </c>
      <c r="Q288" s="313" t="n"/>
      <c r="R288" s="313" t="n"/>
      <c r="S288" s="313" t="n"/>
      <c r="T288" s="314" t="n"/>
      <c r="U288" s="34" t="n"/>
      <c r="V288" s="34" t="n"/>
      <c r="W288" s="35" t="inlineStr">
        <is>
          <t>кор</t>
        </is>
      </c>
      <c r="X288" s="310" t="n">
        <v>0</v>
      </c>
      <c r="Y288" s="307">
        <f>IFERROR(IF(X288="","",X288),"")</f>
        <v/>
      </c>
      <c r="Z288" s="36">
        <f>IFERROR(IF(X288="","",X288*0.00502),"")</f>
        <v/>
      </c>
      <c r="AA288" s="55" t="n"/>
      <c r="AB288" s="56" t="n"/>
      <c r="AC288" s="276" t="inlineStr">
        <is>
          <t>ЕАЭС N RU Д-RU. РА04. В.83232/23, ЕАЭС N RU Д-RU.РА02.В.25079/24</t>
        </is>
      </c>
      <c r="AD288" s="7">
        <f>X288*G288</f>
        <v/>
      </c>
      <c r="AE288" s="7">
        <f>X288/J288</f>
        <v/>
      </c>
      <c r="AG288" s="66" t="n"/>
      <c r="AJ288" s="69" t="inlineStr">
        <is>
          <t>Короб</t>
        </is>
      </c>
      <c r="AK288" s="69" t="n">
        <v>1</v>
      </c>
      <c r="BB288" s="277" t="inlineStr">
        <is>
          <t>ПГП</t>
        </is>
      </c>
      <c r="BM288" s="66" t="n">
        <v>0</v>
      </c>
      <c r="BN288" s="66" t="n">
        <v>0</v>
      </c>
      <c r="BO288" s="66" t="n">
        <v>0</v>
      </c>
      <c r="BP288" s="66" t="n">
        <v>0</v>
      </c>
    </row>
    <row r="289">
      <c r="A289" s="318" t="n"/>
      <c r="B289" s="319" t="n"/>
      <c r="C289" s="319" t="n"/>
      <c r="D289" s="319" t="n"/>
      <c r="E289" s="319" t="n"/>
      <c r="F289" s="319" t="n"/>
      <c r="G289" s="319" t="n"/>
      <c r="H289" s="319" t="n"/>
      <c r="I289" s="319" t="n"/>
      <c r="J289" s="319" t="n"/>
      <c r="K289" s="319" t="n"/>
      <c r="L289" s="319" t="n"/>
      <c r="M289" s="319" t="n"/>
      <c r="N289" s="319" t="n"/>
      <c r="O289" s="320" t="n"/>
      <c r="P289" s="321" t="inlineStr">
        <is>
          <t>Итого</t>
        </is>
      </c>
      <c r="Q289" s="322" t="n"/>
      <c r="R289" s="322" t="n"/>
      <c r="S289" s="322" t="n"/>
      <c r="T289" s="322" t="n"/>
      <c r="U289" s="322" t="n"/>
      <c r="V289" s="323" t="n"/>
      <c r="W289" s="37" t="inlineStr">
        <is>
          <t>кор</t>
        </is>
      </c>
      <c r="X289" s="311">
        <f>IFERROR(SUM(X274:X288),"0")</f>
        <v/>
      </c>
      <c r="Y289" s="308">
        <f>IFERROR(SUM(Y274:Y288),"0")</f>
        <v/>
      </c>
      <c r="Z289" s="308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/>
      </c>
      <c r="AA289" s="309" t="n"/>
      <c r="AB289" s="309" t="n"/>
      <c r="AC289" s="309" t="n"/>
    </row>
    <row r="290">
      <c r="A290" s="319" t="n"/>
      <c r="B290" s="319" t="n"/>
      <c r="C290" s="319" t="n"/>
      <c r="D290" s="319" t="n"/>
      <c r="E290" s="319" t="n"/>
      <c r="F290" s="319" t="n"/>
      <c r="G290" s="319" t="n"/>
      <c r="H290" s="319" t="n"/>
      <c r="I290" s="319" t="n"/>
      <c r="J290" s="319" t="n"/>
      <c r="K290" s="319" t="n"/>
      <c r="L290" s="319" t="n"/>
      <c r="M290" s="319" t="n"/>
      <c r="N290" s="319" t="n"/>
      <c r="O290" s="320" t="n"/>
      <c r="P290" s="321" t="inlineStr">
        <is>
          <t>Итого</t>
        </is>
      </c>
      <c r="Q290" s="322" t="n"/>
      <c r="R290" s="322" t="n"/>
      <c r="S290" s="322" t="n"/>
      <c r="T290" s="322" t="n"/>
      <c r="U290" s="322" t="n"/>
      <c r="V290" s="323" t="n"/>
      <c r="W290" s="37" t="inlineStr">
        <is>
          <t>кг</t>
        </is>
      </c>
      <c r="X290" s="311">
        <f>IFERROR(SUMPRODUCT(X274:X288*H274:H288),"0")</f>
        <v/>
      </c>
      <c r="Y290" s="308">
        <f>IFERROR(SUMPRODUCT(Y274:Y288*H274:H288),"0")</f>
        <v/>
      </c>
      <c r="Z290" s="37" t="n"/>
      <c r="AA290" s="309" t="n"/>
      <c r="AB290" s="309" t="n"/>
      <c r="AC290" s="309" t="n"/>
    </row>
    <row r="291" ht="15" customHeight="1">
      <c r="A291" s="344" t="n"/>
      <c r="B291" s="319" t="n"/>
      <c r="C291" s="319" t="n"/>
      <c r="D291" s="319" t="n"/>
      <c r="E291" s="319" t="n"/>
      <c r="F291" s="319" t="n"/>
      <c r="G291" s="319" t="n"/>
      <c r="H291" s="319" t="n"/>
      <c r="I291" s="319" t="n"/>
      <c r="J291" s="319" t="n"/>
      <c r="K291" s="319" t="n"/>
      <c r="L291" s="319" t="n"/>
      <c r="M291" s="319" t="n"/>
      <c r="N291" s="319" t="n"/>
      <c r="O291" s="345" t="n"/>
      <c r="P291" s="382" t="inlineStr">
        <is>
          <t>ИТОГО НЕТТО</t>
        </is>
      </c>
      <c r="Q291" s="383" t="n"/>
      <c r="R291" s="383" t="n"/>
      <c r="S291" s="383" t="n"/>
      <c r="T291" s="383" t="n"/>
      <c r="U291" s="383" t="n"/>
      <c r="V291" s="384" t="n"/>
      <c r="W291" s="37" t="inlineStr">
        <is>
          <t>кг</t>
        </is>
      </c>
      <c r="X291" s="311">
        <f>IFERROR(X24+X31+X38+X46+X51+X55+X59+X64+X70+X76+X82+X88+X98+X104+X113+X117+X121+X127+X133+X139+X144+X149+X154+X159+X166+X174+X178+X184+X191+X201+X209+X214+X219+X225+X231+X237+X243+X249+X253+X261+X266+X272+X290,"0")</f>
        <v/>
      </c>
      <c r="Y291" s="308">
        <f>IFERROR(Y24+Y31+Y38+Y46+Y51+Y55+Y59+Y64+Y70+Y76+Y82+Y88+Y98+Y104+Y113+Y117+Y121+Y127+Y133+Y139+Y144+Y149+Y154+Y159+Y166+Y174+Y178+Y184+Y191+Y201+Y209+Y214+Y219+Y225+Y231+Y237+Y243+Y249+Y253+Y261+Y266+Y272+Y290,"0")</f>
        <v/>
      </c>
      <c r="Z291" s="37" t="n"/>
      <c r="AA291" s="309" t="n"/>
      <c r="AB291" s="309" t="n"/>
      <c r="AC291" s="309" t="n"/>
    </row>
    <row r="292">
      <c r="A292" s="319" t="n"/>
      <c r="B292" s="319" t="n"/>
      <c r="C292" s="319" t="n"/>
      <c r="D292" s="319" t="n"/>
      <c r="E292" s="319" t="n"/>
      <c r="F292" s="319" t="n"/>
      <c r="G292" s="319" t="n"/>
      <c r="H292" s="319" t="n"/>
      <c r="I292" s="319" t="n"/>
      <c r="J292" s="319" t="n"/>
      <c r="K292" s="319" t="n"/>
      <c r="L292" s="319" t="n"/>
      <c r="M292" s="319" t="n"/>
      <c r="N292" s="319" t="n"/>
      <c r="O292" s="345" t="n"/>
      <c r="P292" s="382" t="inlineStr">
        <is>
          <t>ИТОГО БРУТТО</t>
        </is>
      </c>
      <c r="Q292" s="383" t="n"/>
      <c r="R292" s="383" t="n"/>
      <c r="S292" s="383" t="n"/>
      <c r="T292" s="383" t="n"/>
      <c r="U292" s="383" t="n"/>
      <c r="V292" s="384" t="n"/>
      <c r="W292" s="37" t="inlineStr">
        <is>
          <t>кг</t>
        </is>
      </c>
      <c r="X292" s="311">
        <f>IFERROR(SUM(BM22:BM288),"0")</f>
        <v/>
      </c>
      <c r="Y292" s="308">
        <f>IFERROR(SUM(BN22:BN288),"0")</f>
        <v/>
      </c>
      <c r="Z292" s="37" t="n"/>
      <c r="AA292" s="309" t="n"/>
      <c r="AB292" s="309" t="n"/>
      <c r="AC292" s="309" t="n"/>
    </row>
    <row r="293">
      <c r="A293" s="319" t="n"/>
      <c r="B293" s="319" t="n"/>
      <c r="C293" s="319" t="n"/>
      <c r="D293" s="319" t="n"/>
      <c r="E293" s="319" t="n"/>
      <c r="F293" s="319" t="n"/>
      <c r="G293" s="319" t="n"/>
      <c r="H293" s="319" t="n"/>
      <c r="I293" s="319" t="n"/>
      <c r="J293" s="319" t="n"/>
      <c r="K293" s="319" t="n"/>
      <c r="L293" s="319" t="n"/>
      <c r="M293" s="319" t="n"/>
      <c r="N293" s="319" t="n"/>
      <c r="O293" s="345" t="n"/>
      <c r="P293" s="382" t="inlineStr">
        <is>
          <t>Кол-во паллет</t>
        </is>
      </c>
      <c r="Q293" s="383" t="n"/>
      <c r="R293" s="383" t="n"/>
      <c r="S293" s="383" t="n"/>
      <c r="T293" s="383" t="n"/>
      <c r="U293" s="383" t="n"/>
      <c r="V293" s="384" t="n"/>
      <c r="W293" s="37" t="inlineStr">
        <is>
          <t>шт</t>
        </is>
      </c>
      <c r="X293" s="289">
        <f>ROUNDUP(SUM(BO22:BO288),0)</f>
        <v/>
      </c>
      <c r="Y293" s="38">
        <f>ROUNDUP(SUM(BP22:BP288),0)</f>
        <v/>
      </c>
      <c r="Z293" s="37" t="n"/>
      <c r="AA293" s="309" t="n"/>
      <c r="AB293" s="309" t="n"/>
      <c r="AC293" s="309" t="n"/>
    </row>
    <row r="294">
      <c r="A294" s="319" t="n"/>
      <c r="B294" s="319" t="n"/>
      <c r="C294" s="319" t="n"/>
      <c r="D294" s="319" t="n"/>
      <c r="E294" s="319" t="n"/>
      <c r="F294" s="319" t="n"/>
      <c r="G294" s="319" t="n"/>
      <c r="H294" s="319" t="n"/>
      <c r="I294" s="319" t="n"/>
      <c r="J294" s="319" t="n"/>
      <c r="K294" s="319" t="n"/>
      <c r="L294" s="319" t="n"/>
      <c r="M294" s="319" t="n"/>
      <c r="N294" s="319" t="n"/>
      <c r="O294" s="345" t="n"/>
      <c r="P294" s="382" t="inlineStr">
        <is>
          <t>Вес брутто  с паллетами</t>
        </is>
      </c>
      <c r="Q294" s="383" t="n"/>
      <c r="R294" s="383" t="n"/>
      <c r="S294" s="383" t="n"/>
      <c r="T294" s="383" t="n"/>
      <c r="U294" s="383" t="n"/>
      <c r="V294" s="384" t="n"/>
      <c r="W294" s="37" t="inlineStr">
        <is>
          <t>кг</t>
        </is>
      </c>
      <c r="X294" s="311">
        <f>GrossWeightTotal+PalletQtyTotal*25</f>
        <v/>
      </c>
      <c r="Y294" s="308">
        <f>GrossWeightTotalR+PalletQtyTotalR*25</f>
        <v/>
      </c>
      <c r="Z294" s="37" t="n"/>
      <c r="AA294" s="309" t="n"/>
      <c r="AB294" s="309" t="n"/>
      <c r="AC294" s="309" t="n"/>
    </row>
    <row r="295">
      <c r="A295" s="319" t="n"/>
      <c r="B295" s="319" t="n"/>
      <c r="C295" s="319" t="n"/>
      <c r="D295" s="319" t="n"/>
      <c r="E295" s="319" t="n"/>
      <c r="F295" s="319" t="n"/>
      <c r="G295" s="319" t="n"/>
      <c r="H295" s="319" t="n"/>
      <c r="I295" s="319" t="n"/>
      <c r="J295" s="319" t="n"/>
      <c r="K295" s="319" t="n"/>
      <c r="L295" s="319" t="n"/>
      <c r="M295" s="319" t="n"/>
      <c r="N295" s="319" t="n"/>
      <c r="O295" s="345" t="n"/>
      <c r="P295" s="382" t="inlineStr">
        <is>
          <t>Кол-во коробок</t>
        </is>
      </c>
      <c r="Q295" s="383" t="n"/>
      <c r="R295" s="383" t="n"/>
      <c r="S295" s="383" t="n"/>
      <c r="T295" s="383" t="n"/>
      <c r="U295" s="383" t="n"/>
      <c r="V295" s="384" t="n"/>
      <c r="W295" s="37" t="inlineStr">
        <is>
          <t>шт</t>
        </is>
      </c>
      <c r="X295" s="311">
        <f>IFERROR(X23+X30+X37+X45+X50+X54+X58+X63+X69+X75+X81+X87+X97+X103+X112+X116+X120+X126+X132+X138+X143+X148+X153+X158+X165+X173+X177+X183+X190+X200+X208+X213+X218+X224+X230+X236+X242+X248+X252+X260+X265+X271+X289,"0")</f>
        <v/>
      </c>
      <c r="Y295" s="308">
        <f>IFERROR(Y23+Y30+Y37+Y45+Y50+Y54+Y58+Y63+Y69+Y75+Y81+Y87+Y97+Y103+Y112+Y116+Y120+Y126+Y132+Y138+Y143+Y148+Y153+Y158+Y165+Y173+Y177+Y183+Y190+Y200+Y208+Y213+Y218+Y224+Y230+Y236+Y242+Y248+Y252+Y260+Y265+Y271+Y289,"0")</f>
        <v/>
      </c>
      <c r="Z295" s="37" t="n"/>
      <c r="AA295" s="309" t="n"/>
      <c r="AB295" s="309" t="n"/>
      <c r="AC295" s="309" t="n"/>
    </row>
    <row r="296" ht="14.25" customHeight="1">
      <c r="A296" s="319" t="n"/>
      <c r="B296" s="319" t="n"/>
      <c r="C296" s="319" t="n"/>
      <c r="D296" s="319" t="n"/>
      <c r="E296" s="319" t="n"/>
      <c r="F296" s="319" t="n"/>
      <c r="G296" s="319" t="n"/>
      <c r="H296" s="319" t="n"/>
      <c r="I296" s="319" t="n"/>
      <c r="J296" s="319" t="n"/>
      <c r="K296" s="319" t="n"/>
      <c r="L296" s="319" t="n"/>
      <c r="M296" s="319" t="n"/>
      <c r="N296" s="319" t="n"/>
      <c r="O296" s="345" t="n"/>
      <c r="P296" s="382" t="inlineStr">
        <is>
          <t>Объем заказа</t>
        </is>
      </c>
      <c r="Q296" s="383" t="n"/>
      <c r="R296" s="383" t="n"/>
      <c r="S296" s="383" t="n"/>
      <c r="T296" s="383" t="n"/>
      <c r="U296" s="383" t="n"/>
      <c r="V296" s="384" t="n"/>
      <c r="W296" s="39" t="inlineStr">
        <is>
          <t>м3</t>
        </is>
      </c>
      <c r="X296" s="290" t="n"/>
      <c r="Y296" s="37" t="n"/>
      <c r="Z296" s="37" t="n">
        <v>0</v>
      </c>
      <c r="AA296" s="309" t="n"/>
      <c r="AB296" s="309" t="n"/>
      <c r="AC296" s="309" t="n"/>
    </row>
    <row r="297" ht="13.5" customHeight="1" thickBot="1"/>
    <row r="298" ht="27" customHeight="1" thickBot="1" thickTop="1">
      <c r="A298" s="40" t="inlineStr">
        <is>
          <t>ТОРГОВАЯ МАРКА</t>
        </is>
      </c>
      <c r="B298" s="325" t="inlineStr">
        <is>
          <t>Ядрена копоть</t>
        </is>
      </c>
      <c r="C298" s="325" t="inlineStr">
        <is>
          <t>Горячая штучка</t>
        </is>
      </c>
      <c r="D298" s="436" t="n"/>
      <c r="E298" s="436" t="n"/>
      <c r="F298" s="436" t="n"/>
      <c r="G298" s="436" t="n"/>
      <c r="H298" s="436" t="n"/>
      <c r="I298" s="436" t="n"/>
      <c r="J298" s="436" t="n"/>
      <c r="K298" s="436" t="n"/>
      <c r="L298" s="436" t="n"/>
      <c r="M298" s="436" t="n"/>
      <c r="N298" s="436" t="n"/>
      <c r="O298" s="436" t="n"/>
      <c r="P298" s="436" t="n"/>
      <c r="Q298" s="436" t="n"/>
      <c r="R298" s="436" t="n"/>
      <c r="S298" s="436" t="n"/>
      <c r="T298" s="437" t="n"/>
      <c r="U298" s="325" t="inlineStr">
        <is>
          <t>No Name</t>
        </is>
      </c>
      <c r="V298" s="325" t="inlineStr">
        <is>
          <t>Вязанка</t>
        </is>
      </c>
      <c r="W298" s="325" t="inlineStr">
        <is>
          <t>Стародворье</t>
        </is>
      </c>
      <c r="X298" s="436" t="n"/>
      <c r="Y298" s="436" t="n"/>
      <c r="Z298" s="436" t="n"/>
      <c r="AA298" s="436" t="n"/>
      <c r="AB298" s="437" t="n"/>
      <c r="AC298" s="325" t="inlineStr">
        <is>
          <t>Колбасный стандарт</t>
        </is>
      </c>
      <c r="AD298" s="325" t="inlineStr">
        <is>
          <t>Особый рецепт</t>
        </is>
      </c>
      <c r="AE298" s="325" t="inlineStr">
        <is>
          <t>Владимирский стандарт</t>
        </is>
      </c>
      <c r="AF298" s="325" t="inlineStr">
        <is>
          <t>Зареченские продукты</t>
        </is>
      </c>
    </row>
    <row r="299" ht="14.25" customHeight="1" thickBot="1" thickTop="1">
      <c r="A299" s="398" t="inlineStr">
        <is>
          <t>СЕРИЯ</t>
        </is>
      </c>
      <c r="B299" s="325" t="inlineStr">
        <is>
          <t>Ядрена копоть</t>
        </is>
      </c>
      <c r="C299" s="325" t="inlineStr">
        <is>
          <t>Наггетсы ГШ</t>
        </is>
      </c>
      <c r="D299" s="325" t="inlineStr">
        <is>
          <t>Grandmeni</t>
        </is>
      </c>
      <c r="E299" s="325" t="inlineStr">
        <is>
          <t>Бигбули ГШ</t>
        </is>
      </c>
      <c r="F299" s="325" t="inlineStr">
        <is>
          <t>Foodgital</t>
        </is>
      </c>
      <c r="G299" s="325" t="inlineStr">
        <is>
          <t>Бульмени вес ГШ</t>
        </is>
      </c>
      <c r="H299" s="325" t="inlineStr">
        <is>
          <t>Бельмеши</t>
        </is>
      </c>
      <c r="I299" s="325" t="inlineStr">
        <is>
          <t>Крылышки ГШ</t>
        </is>
      </c>
      <c r="J299" s="325" t="inlineStr">
        <is>
          <t>Чебупели</t>
        </is>
      </c>
      <c r="K299" s="325" t="inlineStr">
        <is>
          <t>Чебуреки ГШ</t>
        </is>
      </c>
      <c r="L299" s="325" t="inlineStr">
        <is>
          <t>Бульмени ГШ</t>
        </is>
      </c>
      <c r="M299" s="325" t="inlineStr">
        <is>
          <t>Чебупицца</t>
        </is>
      </c>
      <c r="N299" s="319" t="n"/>
      <c r="O299" s="325" t="inlineStr">
        <is>
          <t>Хотстеры</t>
        </is>
      </c>
      <c r="P299" s="325" t="inlineStr">
        <is>
          <t>Круггетсы</t>
        </is>
      </c>
      <c r="Q299" s="325" t="inlineStr">
        <is>
          <t>Пекерсы</t>
        </is>
      </c>
      <c r="R299" s="325" t="inlineStr">
        <is>
          <t>Хот-Догстер</t>
        </is>
      </c>
      <c r="S299" s="325" t="inlineStr">
        <is>
          <t>Супермени</t>
        </is>
      </c>
      <c r="T299" s="325" t="inlineStr">
        <is>
          <t>Чебуманы</t>
        </is>
      </c>
      <c r="U299" s="325" t="inlineStr">
        <is>
          <t>No Name ЗПФ</t>
        </is>
      </c>
      <c r="V299" s="325" t="inlineStr">
        <is>
          <t>Сливушка</t>
        </is>
      </c>
      <c r="W299" s="325" t="inlineStr">
        <is>
          <t>Стародворье ПГП</t>
        </is>
      </c>
      <c r="X299" s="508" t="inlineStr">
        <is>
          <t>Медвежьи ушки</t>
        </is>
      </c>
      <c r="Y299" s="325" t="inlineStr">
        <is>
          <t>Медвежье ушко</t>
        </is>
      </c>
      <c r="Z299" s="325" t="inlineStr">
        <is>
          <t>Стародворские</t>
        </is>
      </c>
      <c r="AA299" s="325" t="inlineStr">
        <is>
          <t>Добросельские ЭТМ</t>
        </is>
      </c>
      <c r="AB299" s="325" t="inlineStr">
        <is>
          <t>Сочные</t>
        </is>
      </c>
      <c r="AC299" s="325" t="inlineStr">
        <is>
          <t>Владимирский Стандарт ЗПФ</t>
        </is>
      </c>
      <c r="AD299" s="325" t="inlineStr">
        <is>
          <t>Любимая ложка</t>
        </is>
      </c>
      <c r="AE299" s="325" t="inlineStr">
        <is>
          <t>Владимирский Стандарт ПГП</t>
        </is>
      </c>
      <c r="AF299" s="325" t="inlineStr">
        <is>
          <t>Зареченские продукты</t>
        </is>
      </c>
    </row>
    <row r="300" ht="14.25" customHeight="1" thickBot="1" thickTop="1">
      <c r="A300" s="399" t="n"/>
      <c r="B300" s="326" t="n"/>
      <c r="C300" s="326" t="n"/>
      <c r="D300" s="326" t="n"/>
      <c r="E300" s="326" t="n"/>
      <c r="F300" s="326" t="n"/>
      <c r="G300" s="326" t="n"/>
      <c r="H300" s="326" t="n"/>
      <c r="I300" s="326" t="n"/>
      <c r="J300" s="326" t="n"/>
      <c r="K300" s="326" t="n"/>
      <c r="L300" s="326" t="n"/>
      <c r="M300" s="326" t="n"/>
      <c r="N300" s="319" t="n"/>
      <c r="O300" s="326" t="n"/>
      <c r="P300" s="326" t="n"/>
      <c r="Q300" s="326" t="n"/>
      <c r="R300" s="326" t="n"/>
      <c r="S300" s="326" t="n"/>
      <c r="T300" s="326" t="n"/>
      <c r="U300" s="326" t="n"/>
      <c r="V300" s="326" t="n"/>
      <c r="W300" s="326" t="n"/>
      <c r="X300" s="326" t="n"/>
      <c r="Y300" s="326" t="n"/>
      <c r="Z300" s="326" t="n"/>
      <c r="AA300" s="326" t="n"/>
      <c r="AB300" s="326" t="n"/>
      <c r="AC300" s="326" t="n"/>
      <c r="AD300" s="326" t="n"/>
      <c r="AE300" s="326" t="n"/>
      <c r="AF300" s="326" t="n"/>
    </row>
    <row r="301" ht="18" customHeight="1" thickBot="1" thickTop="1">
      <c r="A301" s="40" t="inlineStr">
        <is>
          <t>ИТОГО, кг</t>
        </is>
      </c>
      <c r="B301" s="46" t="n">
        <v>0</v>
      </c>
      <c r="C301" s="46" t="n">
        <v>0</v>
      </c>
      <c r="D301" s="46" t="n">
        <v>0</v>
      </c>
      <c r="E301" s="46" t="n">
        <v>0</v>
      </c>
      <c r="F301" s="46" t="n">
        <v>0</v>
      </c>
      <c r="G301" s="46" t="n">
        <v>0</v>
      </c>
      <c r="H301" s="46" t="n">
        <v>0</v>
      </c>
      <c r="I301" s="46" t="n">
        <v>0</v>
      </c>
      <c r="J301" s="46" t="n">
        <v>0</v>
      </c>
      <c r="K301" s="46" t="n">
        <v>0</v>
      </c>
      <c r="L301" s="46" t="n">
        <v>0</v>
      </c>
      <c r="M301" s="46" t="n">
        <v>0</v>
      </c>
      <c r="N301" s="319" t="n"/>
      <c r="O301" s="46" t="n">
        <v>0</v>
      </c>
      <c r="P301" s="46" t="n">
        <v>0</v>
      </c>
      <c r="Q301" s="46" t="n">
        <v>0</v>
      </c>
      <c r="R301" s="46" t="n">
        <v>0</v>
      </c>
      <c r="S301" s="46" t="n">
        <v>0</v>
      </c>
      <c r="T301" s="46" t="n">
        <v>0</v>
      </c>
      <c r="U301" s="46" t="n">
        <v>0</v>
      </c>
      <c r="V301" s="46" t="n">
        <v>0</v>
      </c>
      <c r="W301" s="46" t="n">
        <v>0</v>
      </c>
      <c r="X301" s="292" t="n">
        <v>0</v>
      </c>
      <c r="Y301" s="46" t="n">
        <v>0</v>
      </c>
      <c r="Z301" s="46" t="n">
        <v>0</v>
      </c>
      <c r="AA301" s="46" t="n">
        <v>0</v>
      </c>
      <c r="AB301" s="46" t="n">
        <v>0</v>
      </c>
      <c r="AC301" s="46" t="n">
        <v>0</v>
      </c>
      <c r="AD301" s="46" t="n">
        <v>0</v>
      </c>
      <c r="AE301" s="46" t="n">
        <v>0</v>
      </c>
      <c r="AF301" s="46" t="n">
        <v>0</v>
      </c>
    </row>
    <row r="302" ht="13.5" customHeight="1" thickTop="1">
      <c r="C302" s="319" t="n"/>
    </row>
    <row r="303" ht="19.5" customHeight="1">
      <c r="A303" s="57" t="inlineStr">
        <is>
          <t>ЗПФ, кг</t>
        </is>
      </c>
      <c r="B303" s="57" t="inlineStr">
        <is>
          <t xml:space="preserve">ПГП, кг </t>
        </is>
      </c>
      <c r="C303" s="57" t="inlineStr">
        <is>
          <t>КИЗ, кг</t>
        </is>
      </c>
    </row>
    <row r="304">
      <c r="A304" s="58" t="n">
        <v>0</v>
      </c>
      <c r="B304" s="59" t="n">
        <v>0</v>
      </c>
      <c r="C304" s="59" t="n">
        <v>0</v>
      </c>
    </row>
    <row r="305"/>
  </sheetData>
  <mergeCells count="525">
    <mergeCell ref="P79:T79"/>
    <mergeCell ref="P73:T73"/>
    <mergeCell ref="D187:E187"/>
    <mergeCell ref="A190:O191"/>
    <mergeCell ref="A165:O166"/>
    <mergeCell ref="P87:V87"/>
    <mergeCell ref="A83:Z83"/>
    <mergeCell ref="E299:E300"/>
    <mergeCell ref="G299:G300"/>
    <mergeCell ref="H9:I9"/>
    <mergeCell ref="P224:V224"/>
    <mergeCell ref="P24:V24"/>
    <mergeCell ref="D281:E281"/>
    <mergeCell ref="P260:V260"/>
    <mergeCell ref="P88:V88"/>
    <mergeCell ref="A78:Z78"/>
    <mergeCell ref="P153:V153"/>
    <mergeCell ref="D263:E263"/>
    <mergeCell ref="A65:Z65"/>
    <mergeCell ref="A45:O46"/>
    <mergeCell ref="P86:T86"/>
    <mergeCell ref="P157:T157"/>
    <mergeCell ref="D205:E205"/>
    <mergeCell ref="A87:O88"/>
    <mergeCell ref="R1:T1"/>
    <mergeCell ref="P172:T172"/>
    <mergeCell ref="A158:O159"/>
    <mergeCell ref="P28:T28"/>
    <mergeCell ref="A218:O219"/>
    <mergeCell ref="P221:T221"/>
    <mergeCell ref="Z299:Z300"/>
    <mergeCell ref="AB299:AB300"/>
    <mergeCell ref="P152:T152"/>
    <mergeCell ref="D73:E73"/>
    <mergeCell ref="P166:V166"/>
    <mergeCell ref="A202:Z202"/>
    <mergeCell ref="P37:V37"/>
    <mergeCell ref="P230:V230"/>
    <mergeCell ref="A63:O64"/>
    <mergeCell ref="P275:T275"/>
    <mergeCell ref="B17:B18"/>
    <mergeCell ref="P143:V143"/>
    <mergeCell ref="P248:V248"/>
    <mergeCell ref="D131:E131"/>
    <mergeCell ref="D258:E258"/>
    <mergeCell ref="A60:Z60"/>
    <mergeCell ref="Y299:Y300"/>
    <mergeCell ref="D124:E124"/>
    <mergeCell ref="D195:E195"/>
    <mergeCell ref="V10:W10"/>
    <mergeCell ref="D189:E189"/>
    <mergeCell ref="A173:O174"/>
    <mergeCell ref="D287:E287"/>
    <mergeCell ref="P170:T170"/>
    <mergeCell ref="A291:O296"/>
    <mergeCell ref="D66:E66"/>
    <mergeCell ref="P113:V113"/>
    <mergeCell ref="D197:E197"/>
    <mergeCell ref="D53:E53"/>
    <mergeCell ref="A84:Z84"/>
    <mergeCell ref="P159:V159"/>
    <mergeCell ref="P147:T147"/>
    <mergeCell ref="W17:W18"/>
    <mergeCell ref="P261:V261"/>
    <mergeCell ref="A151:Z151"/>
    <mergeCell ref="M299:M300"/>
    <mergeCell ref="O299:O300"/>
    <mergeCell ref="P154:V154"/>
    <mergeCell ref="A150:Z150"/>
    <mergeCell ref="D142:E142"/>
    <mergeCell ref="A215:Z215"/>
    <mergeCell ref="A120:O121"/>
    <mergeCell ref="D7:M7"/>
    <mergeCell ref="D299:D300"/>
    <mergeCell ref="F299:F300"/>
    <mergeCell ref="D79:E79"/>
    <mergeCell ref="P92:T92"/>
    <mergeCell ref="P29:T29"/>
    <mergeCell ref="A97:O98"/>
    <mergeCell ref="P94:T94"/>
    <mergeCell ref="D8:M8"/>
    <mergeCell ref="P44:T44"/>
    <mergeCell ref="A226:Z226"/>
    <mergeCell ref="A148:O149"/>
    <mergeCell ref="P45:V45"/>
    <mergeCell ref="P95:T95"/>
    <mergeCell ref="H1:Q1"/>
    <mergeCell ref="P38:V38"/>
    <mergeCell ref="A99:Z99"/>
    <mergeCell ref="D284:E284"/>
    <mergeCell ref="D259:E259"/>
    <mergeCell ref="D28:E28"/>
    <mergeCell ref="P171:T171"/>
    <mergeCell ref="D92:E92"/>
    <mergeCell ref="D67:E67"/>
    <mergeCell ref="A140:Z140"/>
    <mergeCell ref="D5:E5"/>
    <mergeCell ref="P42:T42"/>
    <mergeCell ref="D94:E94"/>
    <mergeCell ref="P98:V98"/>
    <mergeCell ref="P259:T259"/>
    <mergeCell ref="P177:V177"/>
    <mergeCell ref="A216:Z216"/>
    <mergeCell ref="L299:L300"/>
    <mergeCell ref="A89:Z89"/>
    <mergeCell ref="D147:E147"/>
    <mergeCell ref="D274:E274"/>
    <mergeCell ref="A105:Z105"/>
    <mergeCell ref="A26:Z26"/>
    <mergeCell ref="P268:T268"/>
    <mergeCell ref="P59:V59"/>
    <mergeCell ref="D1:F1"/>
    <mergeCell ref="P190:V190"/>
    <mergeCell ref="A71:Z71"/>
    <mergeCell ref="P46:V46"/>
    <mergeCell ref="A234:Z234"/>
    <mergeCell ref="J17:J18"/>
    <mergeCell ref="L17:L18"/>
    <mergeCell ref="A244:Z244"/>
    <mergeCell ref="A100:Z100"/>
    <mergeCell ref="P112:V112"/>
    <mergeCell ref="A116:O117"/>
    <mergeCell ref="P284:T284"/>
    <mergeCell ref="P17:T18"/>
    <mergeCell ref="A77:Z77"/>
    <mergeCell ref="P194:T194"/>
    <mergeCell ref="P286:T286"/>
    <mergeCell ref="D229:E229"/>
    <mergeCell ref="P131:T131"/>
    <mergeCell ref="P187:T187"/>
    <mergeCell ref="D108:E108"/>
    <mergeCell ref="P258:T258"/>
    <mergeCell ref="P223:T223"/>
    <mergeCell ref="A168:Z168"/>
    <mergeCell ref="P201:V201"/>
    <mergeCell ref="P139:V139"/>
    <mergeCell ref="I17:I18"/>
    <mergeCell ref="P189:T189"/>
    <mergeCell ref="P287:T287"/>
    <mergeCell ref="P281:T281"/>
    <mergeCell ref="P295:V295"/>
    <mergeCell ref="P178:V178"/>
    <mergeCell ref="A177:O178"/>
    <mergeCell ref="D235:E235"/>
    <mergeCell ref="A239:Z239"/>
    <mergeCell ref="P214:V214"/>
    <mergeCell ref="Q9:R9"/>
    <mergeCell ref="A32:Z32"/>
    <mergeCell ref="A37:O38"/>
    <mergeCell ref="Q11:R11"/>
    <mergeCell ref="P205:T205"/>
    <mergeCell ref="A6:C6"/>
    <mergeCell ref="P142:T142"/>
    <mergeCell ref="A161:Z161"/>
    <mergeCell ref="D115:E115"/>
    <mergeCell ref="P182:T182"/>
    <mergeCell ref="Q12:R12"/>
    <mergeCell ref="P280:T280"/>
    <mergeCell ref="P119:T119"/>
    <mergeCell ref="P183:V183"/>
    <mergeCell ref="P133:V133"/>
    <mergeCell ref="P127:V127"/>
    <mergeCell ref="A123:Z123"/>
    <mergeCell ref="A250:Z250"/>
    <mergeCell ref="A5:C5"/>
    <mergeCell ref="P64:V64"/>
    <mergeCell ref="P191:V191"/>
    <mergeCell ref="P51:V51"/>
    <mergeCell ref="P195:T195"/>
    <mergeCell ref="A118:Z118"/>
    <mergeCell ref="K17:K18"/>
    <mergeCell ref="A17:A18"/>
    <mergeCell ref="C17:C18"/>
    <mergeCell ref="A238:Z238"/>
    <mergeCell ref="A208:O209"/>
    <mergeCell ref="A299:A300"/>
    <mergeCell ref="P66:T66"/>
    <mergeCell ref="P137:T137"/>
    <mergeCell ref="D9:E9"/>
    <mergeCell ref="P197:T197"/>
    <mergeCell ref="A183:O184"/>
    <mergeCell ref="P53:T53"/>
    <mergeCell ref="F9:G9"/>
    <mergeCell ref="A47:Z47"/>
    <mergeCell ref="C299:C300"/>
    <mergeCell ref="A248:O249"/>
    <mergeCell ref="P264:T264"/>
    <mergeCell ref="P68:T68"/>
    <mergeCell ref="P82:V82"/>
    <mergeCell ref="P253:V253"/>
    <mergeCell ref="A134:Z134"/>
    <mergeCell ref="P75:V75"/>
    <mergeCell ref="V299:V300"/>
    <mergeCell ref="D96:E96"/>
    <mergeCell ref="X299:X300"/>
    <mergeCell ref="A162:Z162"/>
    <mergeCell ref="A138:O139"/>
    <mergeCell ref="P15:T16"/>
    <mergeCell ref="A132:O133"/>
    <mergeCell ref="D91:E91"/>
    <mergeCell ref="A69:O70"/>
    <mergeCell ref="P283:T283"/>
    <mergeCell ref="D93:E93"/>
    <mergeCell ref="D264:E264"/>
    <mergeCell ref="P277:T277"/>
    <mergeCell ref="P291:V291"/>
    <mergeCell ref="P43:T43"/>
    <mergeCell ref="U299:U300"/>
    <mergeCell ref="D157:E157"/>
    <mergeCell ref="P285:T285"/>
    <mergeCell ref="W299:W300"/>
    <mergeCell ref="D251:E251"/>
    <mergeCell ref="A12:M12"/>
    <mergeCell ref="A180:Z180"/>
    <mergeCell ref="P293:V293"/>
    <mergeCell ref="A240:Z240"/>
    <mergeCell ref="P200:V200"/>
    <mergeCell ref="P74:T74"/>
    <mergeCell ref="P243:V243"/>
    <mergeCell ref="A19:Z19"/>
    <mergeCell ref="P292:V292"/>
    <mergeCell ref="D182:E182"/>
    <mergeCell ref="A14:M14"/>
    <mergeCell ref="D109:E109"/>
    <mergeCell ref="P163:T163"/>
    <mergeCell ref="D280:E280"/>
    <mergeCell ref="T5:U5"/>
    <mergeCell ref="D119:E119"/>
    <mergeCell ref="V5:W5"/>
    <mergeCell ref="A48:Z48"/>
    <mergeCell ref="P294:V294"/>
    <mergeCell ref="A224:O225"/>
    <mergeCell ref="D282:E282"/>
    <mergeCell ref="D111:E111"/>
    <mergeCell ref="Q8:R8"/>
    <mergeCell ref="D275:E275"/>
    <mergeCell ref="T6:U9"/>
    <mergeCell ref="A30:O31"/>
    <mergeCell ref="Q10:R10"/>
    <mergeCell ref="D41:E41"/>
    <mergeCell ref="B299:B300"/>
    <mergeCell ref="D277:E277"/>
    <mergeCell ref="A252:O253"/>
    <mergeCell ref="D43:E43"/>
    <mergeCell ref="P149:V149"/>
    <mergeCell ref="A145:Z145"/>
    <mergeCell ref="D137:E137"/>
    <mergeCell ref="A210:Z210"/>
    <mergeCell ref="D74:E74"/>
    <mergeCell ref="D130:E130"/>
    <mergeCell ref="A203:Z203"/>
    <mergeCell ref="D68:E68"/>
    <mergeCell ref="D188:E188"/>
    <mergeCell ref="P126:V126"/>
    <mergeCell ref="P225:V225"/>
    <mergeCell ref="D172:E172"/>
    <mergeCell ref="A143:O144"/>
    <mergeCell ref="D36:E36"/>
    <mergeCell ref="P58:V58"/>
    <mergeCell ref="A13:M13"/>
    <mergeCell ref="A230:O231"/>
    <mergeCell ref="D61:E61"/>
    <mergeCell ref="P115:T115"/>
    <mergeCell ref="A256:Z256"/>
    <mergeCell ref="P231:V231"/>
    <mergeCell ref="A15:M15"/>
    <mergeCell ref="P229:T229"/>
    <mergeCell ref="A153:O154"/>
    <mergeCell ref="A193:Z193"/>
    <mergeCell ref="P204:T204"/>
    <mergeCell ref="D125:E125"/>
    <mergeCell ref="A54:O55"/>
    <mergeCell ref="J9:M9"/>
    <mergeCell ref="D283:E283"/>
    <mergeCell ref="D62:E62"/>
    <mergeCell ref="P206:T206"/>
    <mergeCell ref="D176:E176"/>
    <mergeCell ref="D285:E285"/>
    <mergeCell ref="P235:T235"/>
    <mergeCell ref="P213:V213"/>
    <mergeCell ref="P207:T207"/>
    <mergeCell ref="H299:H300"/>
    <mergeCell ref="P249:V249"/>
    <mergeCell ref="J299:J300"/>
    <mergeCell ref="A211:Z211"/>
    <mergeCell ref="A40:Z40"/>
    <mergeCell ref="P165:V165"/>
    <mergeCell ref="P30:V30"/>
    <mergeCell ref="P96:T96"/>
    <mergeCell ref="H17:H18"/>
    <mergeCell ref="A146:Z146"/>
    <mergeCell ref="D204:E204"/>
    <mergeCell ref="P217:T217"/>
    <mergeCell ref="D198:E198"/>
    <mergeCell ref="D269:E269"/>
    <mergeCell ref="P104:V104"/>
    <mergeCell ref="AC299:AC300"/>
    <mergeCell ref="AE299:AE300"/>
    <mergeCell ref="D206:E206"/>
    <mergeCell ref="A271:O272"/>
    <mergeCell ref="A50:O51"/>
    <mergeCell ref="P91:T91"/>
    <mergeCell ref="P252:V252"/>
    <mergeCell ref="A160:Z160"/>
    <mergeCell ref="A141:Z141"/>
    <mergeCell ref="AA17:AA18"/>
    <mergeCell ref="H10:M10"/>
    <mergeCell ref="P212:T212"/>
    <mergeCell ref="AC17:AC18"/>
    <mergeCell ref="A135:Z135"/>
    <mergeCell ref="W298:AB298"/>
    <mergeCell ref="A122:Z122"/>
    <mergeCell ref="P279:T279"/>
    <mergeCell ref="P108:T108"/>
    <mergeCell ref="P209:V209"/>
    <mergeCell ref="A72:Z72"/>
    <mergeCell ref="P251:T251"/>
    <mergeCell ref="AD299:AD300"/>
    <mergeCell ref="V6:W9"/>
    <mergeCell ref="A112:O113"/>
    <mergeCell ref="D199:E199"/>
    <mergeCell ref="P109:T109"/>
    <mergeCell ref="P274:T274"/>
    <mergeCell ref="D186:E186"/>
    <mergeCell ref="D217:E217"/>
    <mergeCell ref="P222:T222"/>
    <mergeCell ref="P22:T22"/>
    <mergeCell ref="P236:V236"/>
    <mergeCell ref="P257:T257"/>
    <mergeCell ref="P54:V54"/>
    <mergeCell ref="P80:T80"/>
    <mergeCell ref="D194:E194"/>
    <mergeCell ref="Z17:Z18"/>
    <mergeCell ref="P173:V173"/>
    <mergeCell ref="AB17:AB18"/>
    <mergeCell ref="P271:V271"/>
    <mergeCell ref="P265:V265"/>
    <mergeCell ref="A90:Z90"/>
    <mergeCell ref="P237:V237"/>
    <mergeCell ref="H5:M5"/>
    <mergeCell ref="A56:Z56"/>
    <mergeCell ref="P31:V31"/>
    <mergeCell ref="A27:Z27"/>
    <mergeCell ref="P158:V158"/>
    <mergeCell ref="D212:E212"/>
    <mergeCell ref="D6:M6"/>
    <mergeCell ref="A75:O76"/>
    <mergeCell ref="I299:I300"/>
    <mergeCell ref="P266:V266"/>
    <mergeCell ref="K299:K300"/>
    <mergeCell ref="P93:T93"/>
    <mergeCell ref="D207:E207"/>
    <mergeCell ref="P269:T269"/>
    <mergeCell ref="P164:T164"/>
    <mergeCell ref="P120:V120"/>
    <mergeCell ref="D85:E85"/>
    <mergeCell ref="D222:E222"/>
    <mergeCell ref="P35:T35"/>
    <mergeCell ref="G17:G18"/>
    <mergeCell ref="A81:O82"/>
    <mergeCell ref="P184:V184"/>
    <mergeCell ref="A167:Z167"/>
    <mergeCell ref="P242:V242"/>
    <mergeCell ref="A232:Z232"/>
    <mergeCell ref="A289:O290"/>
    <mergeCell ref="P121:V121"/>
    <mergeCell ref="D80:E80"/>
    <mergeCell ref="P188:T188"/>
    <mergeCell ref="AF299:AF300"/>
    <mergeCell ref="A169:Z169"/>
    <mergeCell ref="D288:E288"/>
    <mergeCell ref="P148:V148"/>
    <mergeCell ref="P130:T130"/>
    <mergeCell ref="D136:E136"/>
    <mergeCell ref="P282:T282"/>
    <mergeCell ref="P111:T111"/>
    <mergeCell ref="A227:Z227"/>
    <mergeCell ref="P61:T61"/>
    <mergeCell ref="A273:Z273"/>
    <mergeCell ref="A9:C9"/>
    <mergeCell ref="P125:T125"/>
    <mergeCell ref="A242:O243"/>
    <mergeCell ref="A179:Z179"/>
    <mergeCell ref="T299:T300"/>
    <mergeCell ref="A236:O237"/>
    <mergeCell ref="P70:V70"/>
    <mergeCell ref="A156:Z156"/>
    <mergeCell ref="P116:V116"/>
    <mergeCell ref="P103:V103"/>
    <mergeCell ref="A155:Z155"/>
    <mergeCell ref="P97:V97"/>
    <mergeCell ref="Q13:R13"/>
    <mergeCell ref="A220:Z220"/>
    <mergeCell ref="P176:T176"/>
    <mergeCell ref="P247:T247"/>
    <mergeCell ref="P241:T241"/>
    <mergeCell ref="P41:T41"/>
    <mergeCell ref="D22:E22"/>
    <mergeCell ref="Q299:Q300"/>
    <mergeCell ref="P34:T34"/>
    <mergeCell ref="S299:S300"/>
    <mergeCell ref="P276:T276"/>
    <mergeCell ref="D257:E257"/>
    <mergeCell ref="P270:T270"/>
    <mergeCell ref="D86:E86"/>
    <mergeCell ref="P49:T49"/>
    <mergeCell ref="P36:T36"/>
    <mergeCell ref="P278:T278"/>
    <mergeCell ref="P107:T107"/>
    <mergeCell ref="P101:T101"/>
    <mergeCell ref="P63:V63"/>
    <mergeCell ref="A246:Z246"/>
    <mergeCell ref="P50:V50"/>
    <mergeCell ref="A103:O104"/>
    <mergeCell ref="A233:Z233"/>
    <mergeCell ref="M17:M18"/>
    <mergeCell ref="O17:O18"/>
    <mergeCell ref="P174:V174"/>
    <mergeCell ref="A175:Z175"/>
    <mergeCell ref="P102:T102"/>
    <mergeCell ref="A185:Z185"/>
    <mergeCell ref="P196:T196"/>
    <mergeCell ref="A106:Z106"/>
    <mergeCell ref="D164:E164"/>
    <mergeCell ref="P62:T62"/>
    <mergeCell ref="P2:W3"/>
    <mergeCell ref="D241:E241"/>
    <mergeCell ref="P218:V218"/>
    <mergeCell ref="P198:T198"/>
    <mergeCell ref="D35:E35"/>
    <mergeCell ref="D228:E228"/>
    <mergeCell ref="A23:O24"/>
    <mergeCell ref="D10:E10"/>
    <mergeCell ref="F10:G10"/>
    <mergeCell ref="D34:E34"/>
    <mergeCell ref="D270:E270"/>
    <mergeCell ref="AD17:AF18"/>
    <mergeCell ref="D101:E101"/>
    <mergeCell ref="P117:V117"/>
    <mergeCell ref="F5:G5"/>
    <mergeCell ref="P55:V55"/>
    <mergeCell ref="P144:V144"/>
    <mergeCell ref="A25:Z25"/>
    <mergeCell ref="P67:T67"/>
    <mergeCell ref="P186:T186"/>
    <mergeCell ref="D221:E221"/>
    <mergeCell ref="V11:W11"/>
    <mergeCell ref="P57:T57"/>
    <mergeCell ref="D152:E152"/>
    <mergeCell ref="D223:E223"/>
    <mergeCell ref="D279:E279"/>
    <mergeCell ref="A254:Z254"/>
    <mergeCell ref="D29:E29"/>
    <mergeCell ref="A20:Z20"/>
    <mergeCell ref="P299:P300"/>
    <mergeCell ref="P110:T110"/>
    <mergeCell ref="R299:R300"/>
    <mergeCell ref="D247:E247"/>
    <mergeCell ref="P289:V289"/>
    <mergeCell ref="A114:Z114"/>
    <mergeCell ref="D276:E276"/>
    <mergeCell ref="D170:E170"/>
    <mergeCell ref="P132:V132"/>
    <mergeCell ref="N17:N18"/>
    <mergeCell ref="A58:O59"/>
    <mergeCell ref="Q5:R5"/>
    <mergeCell ref="P199:T199"/>
    <mergeCell ref="D49:E49"/>
    <mergeCell ref="F17:F18"/>
    <mergeCell ref="P290:V290"/>
    <mergeCell ref="D107:E107"/>
    <mergeCell ref="D163:E163"/>
    <mergeCell ref="D278:E278"/>
    <mergeCell ref="P288:T288"/>
    <mergeCell ref="P136:T136"/>
    <mergeCell ref="P263:T263"/>
    <mergeCell ref="P228:T228"/>
    <mergeCell ref="D171:E171"/>
    <mergeCell ref="Q6:R6"/>
    <mergeCell ref="A267:Z267"/>
    <mergeCell ref="D102:E102"/>
    <mergeCell ref="C298:T298"/>
    <mergeCell ref="P81:V81"/>
    <mergeCell ref="P208:V208"/>
    <mergeCell ref="A33:Z33"/>
    <mergeCell ref="D196:E196"/>
    <mergeCell ref="A126:O127"/>
    <mergeCell ref="P219:V219"/>
    <mergeCell ref="P23:V23"/>
    <mergeCell ref="P272:V272"/>
    <mergeCell ref="A262:Z262"/>
    <mergeCell ref="AA299:AA300"/>
    <mergeCell ref="V12:W12"/>
    <mergeCell ref="A200:O201"/>
    <mergeCell ref="A265:O266"/>
    <mergeCell ref="A245:Z245"/>
    <mergeCell ref="A39:Z39"/>
    <mergeCell ref="P85:T85"/>
    <mergeCell ref="D95:E95"/>
    <mergeCell ref="U17:V17"/>
    <mergeCell ref="Y17:Y18"/>
    <mergeCell ref="D57:E57"/>
    <mergeCell ref="A8:C8"/>
    <mergeCell ref="A260:O261"/>
    <mergeCell ref="P124:T124"/>
    <mergeCell ref="D268:E268"/>
    <mergeCell ref="P138:V138"/>
    <mergeCell ref="P76:V76"/>
    <mergeCell ref="A128:Z128"/>
    <mergeCell ref="A255:Z255"/>
    <mergeCell ref="A10:C10"/>
    <mergeCell ref="P69:V69"/>
    <mergeCell ref="A192:Z192"/>
    <mergeCell ref="A21:Z21"/>
    <mergeCell ref="A129:Z129"/>
    <mergeCell ref="P296:V296"/>
    <mergeCell ref="D42:E42"/>
    <mergeCell ref="A181:Z181"/>
    <mergeCell ref="D17:E18"/>
    <mergeCell ref="A213:O214"/>
    <mergeCell ref="X17:X18"/>
    <mergeCell ref="A52:Z52"/>
    <mergeCell ref="D110:E110"/>
    <mergeCell ref="D44:E44"/>
    <mergeCell ref="D286:E286"/>
  </mergeCells>
  <conditionalFormatting sqref="A8:N10">
    <cfRule type="expression" priority="2" dxfId="0" stopIfTrue="1">
      <formula>IF($V$5="самовывоз",1,0)</formula>
    </cfRule>
  </conditionalFormatting>
  <conditionalFormatting sqref="P5:R6 P8:R8">
    <cfRule type="expression" priority="1" dxfId="1" stopIfTrue="1">
      <formula>IF($V$5="доставка",1,0)</formula>
    </cfRule>
  </conditionalFormatting>
  <conditionalFormatting sqref="P9:R13">
    <cfRule type="expression" priority="7" dxfId="0" stopIfTrue="1">
      <formula>IF($V$5="самовывоз",1,0)</formula>
    </cfRule>
  </conditionalFormatting>
  <dataValidations count="18">
    <dataValidation sqref="X22 X28:X29 X34:X36 X41:X44 X49 X53 X57 X61:X62 X66:X68 X73:X74 X79:X80 X85:X86 X91:X96 X101:X102 X107:X111 X115 X119 X124:X125 X130:X131 X136:X137 X142 X147 X152 X157 X163:X164 X170:X172 X176 X182 X186:X189 X194:X199 X204:X207 X212 X217 X221:X223 X228:X229 X235 X241 X247 X251 X257:X259 X263:X264 X268:X270 X274:X288" showDropDown="0" showInputMessage="1" showErrorMessage="1" allowBlank="0" errorTitle="Нарушение кванта заказа!" error="Для этой позиции задан квант заказ равный Короб, введите значение не меньше минимального количества" type="custom">
      <formula1>IF(AK22&gt;0,OR(X22=0,AND(IF(X22-AK22&gt;=0,TRUE,FALSE),X22&gt;0)),FALSE)</formula1>
    </dataValidation>
    <dataValidation sqref="D8:L8" showDropDown="0" showInputMessage="1" showErrorMessage="1" allowBlank="0" type="list">
      <formula1>CHOOSE($D$7,UnloadAdressList0001,UnloadAdressList0002,UnloadAdressList0003,UnloadAdressList0004,UnloadAdressList0005,UnloadAdressList0006)</formula1>
    </dataValidation>
    <dataValidation sqref="M8:N8" showDropDown="0" showInputMessage="1" showErrorMessage="1" allowBlank="0" type="list">
      <formula1>CHOOSE($D$7,UnloadAdressList)</formula1>
    </dataValidation>
    <dataValidation sqref="D6:N6" showDropDown="0" showInputMessage="1" showErrorMessage="1" allowBlank="0" type="list">
      <formula1>DeliveryAdressList</formula1>
    </dataValidation>
    <dataValidation sqref="V12" showDropDown="0" showInputMessage="1" showErrorMessage="1" allowBlank="0" type="list">
      <formula1>DeliveryConditionsList</formula1>
    </dataValidation>
    <dataValidation sqref="Z22:AC22" showDropDown="0" showInputMessage="1" showErrorMessage="1" allowBlank="0" error="укажите вес, кратный весу коробки" operator="equal"/>
    <dataValidation sqref="D10:E10" showDropDown="0" showInputMessage="1" showErrorMessage="1" allowBlank="0" type="list">
      <formula1>IF(TypeProxy="Уполномоченное лицо",NumProxySet,null)</formula1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10" showDropDown="0" showInputMessage="1" showErrorMessage="1" allowBlank="0" prompt="Введите код клиента в системе Axapta"/>
    <dataValidation sqref="V6:V7" showDropDown="0" showInputMessage="1" showErrorMessage="1" allowBlank="0" prompt="Введите название вашей фирмы."/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X16:AC16" showDropDown="0" showInputMessage="1" showErrorMessage="1" allowBlank="0" type="list">
      <formula1>"80-60,60-40,40-10,70-10"</formula1>
    </dataValidation>
    <dataValidation sqref="Q6:Q7" showDropDown="0" showInputMessage="1" showErrorMessage="1" allowBlank="0" prompt="День недели загрузки. Считается сам.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35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MSDAX_ЗПФ</t>
        </is>
      </c>
      <c r="H1" s="7" t="n"/>
    </row>
    <row r="3">
      <c r="B3" s="47" t="inlineStr">
        <is>
          <t>Доставка</t>
        </is>
      </c>
      <c r="C3" s="47" t="n"/>
      <c r="D3" s="47" t="n"/>
      <c r="E3" s="47" t="n"/>
    </row>
    <row r="4">
      <c r="B4" s="47" t="inlineStr">
        <is>
          <t>Самовывоз</t>
        </is>
      </c>
      <c r="C4" s="47" t="n"/>
      <c r="D4" s="47" t="n"/>
      <c r="E4" s="47" t="n"/>
    </row>
    <row r="6">
      <c r="B6" s="47" t="inlineStr">
        <is>
          <t>НВ, ООО 9001015535, Запорожская обл, Трояны с.,</t>
        </is>
      </c>
      <c r="C6" s="47" t="inlineStr">
        <is>
          <t>596383_4</t>
        </is>
      </c>
      <c r="D6" s="47" t="inlineStr">
        <is>
          <t>1</t>
        </is>
      </c>
      <c r="E6" s="47" t="n"/>
    </row>
    <row r="7">
      <c r="B7" s="47" t="inlineStr">
        <is>
          <t>НВ, ООО 9001015535, Луганская Народная Респ, Комиссара Санюка (Каменнобродский р-н) ул, д. 50,</t>
        </is>
      </c>
      <c r="C7" s="47" t="inlineStr">
        <is>
          <t>596383_5</t>
        </is>
      </c>
      <c r="D7" s="47" t="inlineStr">
        <is>
          <t>2</t>
        </is>
      </c>
      <c r="E7" s="47" t="n"/>
    </row>
    <row r="8">
      <c r="B8" s="47" t="inlineStr">
        <is>
          <t>НВ, ООО 9001015535, Донецкая Народная Респ, Охотская ул, д. 79А,</t>
        </is>
      </c>
      <c r="C8" s="47" t="inlineStr">
        <is>
          <t>596383_6</t>
        </is>
      </c>
      <c r="D8" s="47" t="inlineStr">
        <is>
          <t>3</t>
        </is>
      </c>
      <c r="E8" s="47" t="n"/>
    </row>
    <row r="9">
      <c r="B9" s="47" t="inlineStr">
        <is>
          <t>НВ, ООО 9001015535, Запорожская обл, Мелитополь г, Полевая ул, д. 3, стр А,</t>
        </is>
      </c>
      <c r="C9" s="47" t="inlineStr">
        <is>
          <t>596383_7</t>
        </is>
      </c>
      <c r="D9" s="47" t="inlineStr">
        <is>
          <t>4</t>
        </is>
      </c>
      <c r="E9" s="47" t="n"/>
    </row>
    <row r="10">
      <c r="B10" s="47" t="inlineStr">
        <is>
          <t>НВ, ООО 9001015535, Донецкая Народная Респ, Чаадаева ул, д. 1,</t>
        </is>
      </c>
      <c r="C10" s="47" t="inlineStr">
        <is>
          <t>596383_8</t>
        </is>
      </c>
      <c r="D10" s="47" t="inlineStr">
        <is>
          <t>5</t>
        </is>
      </c>
      <c r="E10" s="47" t="n"/>
    </row>
    <row r="11">
      <c r="B11" s="47" t="inlineStr">
        <is>
          <t>НВ, ООО 9001015535, Луганская Народная Респ, Рабочая ул, д. 10А,</t>
        </is>
      </c>
      <c r="C11" s="47" t="inlineStr">
        <is>
          <t>596383_9</t>
        </is>
      </c>
      <c r="D11" s="47" t="inlineStr">
        <is>
          <t>6</t>
        </is>
      </c>
      <c r="E11" s="47" t="n"/>
    </row>
    <row r="13">
      <c r="B13" s="47" t="inlineStr">
        <is>
          <t>272151Российская Федерация, Запорожская обл, Бердянский р-н, Трояны с.,</t>
        </is>
      </c>
      <c r="C13" s="47" t="inlineStr">
        <is>
          <t>596383_4</t>
        </is>
      </c>
      <c r="D13" s="47" t="n"/>
      <c r="E13" s="47" t="n"/>
    </row>
    <row r="15">
      <c r="B15" s="47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5" s="47" t="inlineStr">
        <is>
          <t>596383_5</t>
        </is>
      </c>
      <c r="D15" s="47" t="n"/>
      <c r="E15" s="47" t="n"/>
    </row>
    <row r="17">
      <c r="B17" s="47" t="inlineStr">
        <is>
          <t>283092Российская Федерация, Донецкая Народная Респ, Донецк г, Охотская ул, д. 79А,</t>
        </is>
      </c>
      <c r="C17" s="47" t="inlineStr">
        <is>
          <t>596383_6</t>
        </is>
      </c>
      <c r="D17" s="47" t="n"/>
      <c r="E17" s="47" t="n"/>
    </row>
    <row r="19">
      <c r="B19" s="47" t="inlineStr">
        <is>
          <t>272302Российская Федерация, Запорожская обл, Мелитополь г, Полевая ул, д. 3, стр А,</t>
        </is>
      </c>
      <c r="C19" s="47" t="inlineStr">
        <is>
          <t>596383_7</t>
        </is>
      </c>
      <c r="D19" s="47" t="n"/>
      <c r="E19" s="47" t="n"/>
    </row>
    <row r="21">
      <c r="B21" s="47" t="inlineStr">
        <is>
          <t>283032Российская Федерация, Донецкая Народная Респ, Донецк г, Чаадаева ул, д. 1,</t>
        </is>
      </c>
      <c r="C21" s="47" t="inlineStr">
        <is>
          <t>596383_8</t>
        </is>
      </c>
      <c r="D21" s="47" t="n"/>
      <c r="E21" s="47" t="n"/>
    </row>
    <row r="23">
      <c r="B23" s="47" t="inlineStr">
        <is>
          <t>291002Российская Федерация, Луганская Народная Респ, Луганск г, Рабочая ул, д. 10А,</t>
        </is>
      </c>
      <c r="C23" s="47" t="inlineStr">
        <is>
          <t>596383_9</t>
        </is>
      </c>
      <c r="D23" s="47" t="n"/>
      <c r="E23" s="47" t="n"/>
    </row>
    <row r="25">
      <c r="B25" s="47" t="inlineStr">
        <is>
          <t>CFR</t>
        </is>
      </c>
      <c r="C25" s="47" t="n"/>
      <c r="D25" s="47" t="n"/>
      <c r="E25" s="47" t="n"/>
    </row>
    <row r="26">
      <c r="B26" s="47" t="inlineStr">
        <is>
          <t>CIF</t>
        </is>
      </c>
      <c r="C26" s="47" t="n"/>
      <c r="D26" s="47" t="n"/>
      <c r="E26" s="47" t="n"/>
    </row>
    <row r="27">
      <c r="B27" s="47" t="inlineStr">
        <is>
          <t>CIP</t>
        </is>
      </c>
      <c r="C27" s="47" t="n"/>
      <c r="D27" s="47" t="n"/>
      <c r="E27" s="47" t="n"/>
    </row>
    <row r="28">
      <c r="B28" s="47" t="inlineStr">
        <is>
          <t>CPT</t>
        </is>
      </c>
      <c r="C28" s="47" t="n"/>
      <c r="D28" s="47" t="n"/>
      <c r="E28" s="47" t="n"/>
    </row>
    <row r="29">
      <c r="B29" s="47" t="inlineStr">
        <is>
          <t>DAP</t>
        </is>
      </c>
      <c r="C29" s="47" t="n"/>
      <c r="D29" s="47" t="n"/>
      <c r="E29" s="47" t="n"/>
    </row>
    <row r="30">
      <c r="B30" s="47" t="inlineStr">
        <is>
          <t>DAT</t>
        </is>
      </c>
      <c r="C30" s="47" t="n"/>
      <c r="D30" s="47" t="n"/>
      <c r="E30" s="47" t="n"/>
    </row>
    <row r="31">
      <c r="B31" s="47" t="inlineStr">
        <is>
          <t>DDP</t>
        </is>
      </c>
      <c r="C31" s="47" t="n"/>
      <c r="D31" s="47" t="n"/>
      <c r="E31" s="47" t="n"/>
    </row>
    <row r="32">
      <c r="B32" s="47" t="inlineStr">
        <is>
          <t>EXW</t>
        </is>
      </c>
      <c r="C32" s="47" t="n"/>
      <c r="D32" s="47" t="n"/>
      <c r="E32" s="47" t="n"/>
    </row>
    <row r="33">
      <c r="B33" s="47" t="inlineStr">
        <is>
          <t>FAS</t>
        </is>
      </c>
      <c r="C33" s="47" t="n"/>
      <c r="D33" s="47" t="n"/>
      <c r="E33" s="47" t="n"/>
    </row>
    <row r="34">
      <c r="B34" s="47" t="inlineStr">
        <is>
          <t>FCA</t>
        </is>
      </c>
      <c r="C34" s="47" t="n"/>
      <c r="D34" s="47" t="n"/>
      <c r="E34" s="47" t="n"/>
    </row>
    <row r="35">
      <c r="B35" s="47" t="inlineStr">
        <is>
          <t>FOB</t>
        </is>
      </c>
      <c r="C35" s="47" t="n"/>
      <c r="D35" s="47" t="n"/>
      <c r="E35" s="47" t="n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W7RzhiMZIZDd/KesjlSBDg==" formatRows="1" sort="0" spinCount="100000" hashValue="FKcHIvPEXKeHKm+1qj65VrUOFfOgRh1OqxPlYO8TJilHccAc+DjMsfQhlbj2yjHU+CL+pCFCeDvnToXwP7Z2f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2025-12-03T07:45:04Z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