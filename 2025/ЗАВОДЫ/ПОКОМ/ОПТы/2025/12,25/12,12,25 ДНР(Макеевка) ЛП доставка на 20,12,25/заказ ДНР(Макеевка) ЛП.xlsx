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99B56AA-A852-4C00-AC9C-87A9360CEB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5" i="1"/>
  <c r="Y444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Y386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69" i="1"/>
  <c r="Y368" i="1"/>
  <c r="X368" i="1"/>
  <c r="BP367" i="1"/>
  <c r="BO367" i="1"/>
  <c r="BN367" i="1"/>
  <c r="BM367" i="1"/>
  <c r="Z367" i="1"/>
  <c r="Z368" i="1" s="1"/>
  <c r="Y367" i="1"/>
  <c r="Y369" i="1" s="1"/>
  <c r="P367" i="1"/>
  <c r="X365" i="1"/>
  <c r="Y364" i="1"/>
  <c r="X364" i="1"/>
  <c r="BP363" i="1"/>
  <c r="BO363" i="1"/>
  <c r="BN363" i="1"/>
  <c r="BM363" i="1"/>
  <c r="Z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L502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Y183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37" i="1"/>
  <c r="Y45" i="1"/>
  <c r="Y49" i="1"/>
  <c r="Y58" i="1"/>
  <c r="Y64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Z97" i="1" s="1"/>
  <c r="BP102" i="1"/>
  <c r="BN102" i="1"/>
  <c r="Z102" i="1"/>
  <c r="Y106" i="1"/>
  <c r="BP111" i="1"/>
  <c r="BN111" i="1"/>
  <c r="Z111" i="1"/>
  <c r="Z113" i="1" s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Z130" i="1" s="1"/>
  <c r="BP145" i="1"/>
  <c r="BN145" i="1"/>
  <c r="Z145" i="1"/>
  <c r="Z146" i="1" s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Z290" i="1" s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Z24" i="1" s="1"/>
  <c r="BN23" i="1"/>
  <c r="Y493" i="1" s="1"/>
  <c r="Y24" i="1"/>
  <c r="X492" i="1"/>
  <c r="Z27" i="1"/>
  <c r="BN27" i="1"/>
  <c r="BP27" i="1"/>
  <c r="Y494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Y71" i="1"/>
  <c r="Z68" i="1"/>
  <c r="Z70" i="1" s="1"/>
  <c r="BN68" i="1"/>
  <c r="Y70" i="1"/>
  <c r="BP74" i="1"/>
  <c r="BN74" i="1"/>
  <c r="Z74" i="1"/>
  <c r="Z77" i="1" s="1"/>
  <c r="Y82" i="1"/>
  <c r="Z90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Z120" i="1" s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Z177" i="1" s="1"/>
  <c r="BP170" i="1"/>
  <c r="BN170" i="1"/>
  <c r="Z170" i="1"/>
  <c r="BP173" i="1"/>
  <c r="BN173" i="1"/>
  <c r="Z173" i="1"/>
  <c r="Y177" i="1"/>
  <c r="BP181" i="1"/>
  <c r="BN181" i="1"/>
  <c r="Z181" i="1"/>
  <c r="Z183" i="1" s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Z316" i="1" s="1"/>
  <c r="Y316" i="1"/>
  <c r="BP320" i="1"/>
  <c r="BN320" i="1"/>
  <c r="Z320" i="1"/>
  <c r="Z322" i="1" s="1"/>
  <c r="Y329" i="1"/>
  <c r="BP328" i="1"/>
  <c r="BN328" i="1"/>
  <c r="Z328" i="1"/>
  <c r="Z329" i="1" s="1"/>
  <c r="Y335" i="1"/>
  <c r="BP332" i="1"/>
  <c r="BN332" i="1"/>
  <c r="Z332" i="1"/>
  <c r="Z335" i="1" s="1"/>
  <c r="BP341" i="1"/>
  <c r="BN341" i="1"/>
  <c r="Z341" i="1"/>
  <c r="BP348" i="1"/>
  <c r="BN348" i="1"/>
  <c r="Z348" i="1"/>
  <c r="Y354" i="1"/>
  <c r="BP352" i="1"/>
  <c r="BN352" i="1"/>
  <c r="Z352" i="1"/>
  <c r="BP391" i="1"/>
  <c r="BN391" i="1"/>
  <c r="Z391" i="1"/>
  <c r="Z399" i="1" s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Z438" i="1" s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Z354" i="1" s="1"/>
  <c r="BP358" i="1"/>
  <c r="BN358" i="1"/>
  <c r="Z358" i="1"/>
  <c r="Z359" i="1" s="1"/>
  <c r="Y360" i="1"/>
  <c r="Y365" i="1"/>
  <c r="BP362" i="1"/>
  <c r="BN362" i="1"/>
  <c r="Z362" i="1"/>
  <c r="Z364" i="1" s="1"/>
  <c r="BP383" i="1"/>
  <c r="BN383" i="1"/>
  <c r="Z383" i="1"/>
  <c r="Z385" i="1" s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Y495" i="1" l="1"/>
  <c r="Z416" i="1"/>
  <c r="Z209" i="1"/>
  <c r="Z106" i="1"/>
  <c r="Z44" i="1"/>
  <c r="Z32" i="1"/>
  <c r="Z497" i="1" s="1"/>
  <c r="Y496" i="1"/>
  <c r="X495" i="1"/>
  <c r="Z342" i="1"/>
  <c r="Z279" i="1"/>
  <c r="Z221" i="1"/>
  <c r="Z152" i="1"/>
  <c r="Y492" i="1"/>
  <c r="Z466" i="1"/>
  <c r="Z300" i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<sst xmlns="http://schemas.openxmlformats.org/spreadsheetml/2006/main" count="2362" uniqueCount="778">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</sst>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9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1" t="s">
        <v>0</v>
      </c>
      <c r="E1" s="579"/>
      <c r="F1" s="579"/>
      <c r="G1" s="12" t="s">
        <v>1</v>
      </c>
      <c r="H1" s="621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6"/>
      <c r="J5" s="776"/>
      <c r="K5" s="776"/>
      <c r="L5" s="776"/>
      <c r="M5" s="626"/>
      <c r="N5" s="58"/>
      <c r="P5" s="24" t="s">
        <v>10</v>
      </c>
      <c r="Q5" s="848">
        <v>46009</v>
      </c>
      <c r="R5" s="666"/>
      <c r="T5" s="715" t="s">
        <v>11</v>
      </c>
      <c r="U5" s="716"/>
      <c r="V5" s="718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69"/>
      <c r="C6" s="670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1" t="s">
        <v>16</v>
      </c>
      <c r="U6" s="716"/>
      <c r="V6" s="764" t="s">
        <v>17</v>
      </c>
      <c r="W6" s="59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6"/>
      <c r="V7" s="765"/>
      <c r="W7" s="766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0.41666666666666669</v>
      </c>
      <c r="R8" s="607"/>
      <c r="T8" s="561"/>
      <c r="U8" s="716"/>
      <c r="V8" s="765"/>
      <c r="W8" s="766"/>
      <c r="AB8" s="51"/>
      <c r="AC8" s="51"/>
      <c r="AD8" s="51"/>
      <c r="AE8" s="51"/>
    </row>
    <row r="9" spans="1:32" s="541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62"/>
      <c r="R9" s="663"/>
      <c r="T9" s="561"/>
      <c r="U9" s="716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2"/>
      <c r="R10" s="723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0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9"/>
      <c r="W12" s="561"/>
      <c r="AB12" s="51"/>
      <c r="AC12" s="51"/>
      <c r="AD12" s="51"/>
      <c r="AE12" s="51"/>
    </row>
    <row r="13" spans="1:32" s="541" customFormat="1" ht="23.25" customHeight="1" x14ac:dyDescent="0.2">
      <c r="A13" s="710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0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6" t="s">
        <v>51</v>
      </c>
      <c r="V17" s="670"/>
      <c r="W17" s="590" t="s">
        <v>52</v>
      </c>
      <c r="X17" s="590" t="s">
        <v>53</v>
      </c>
      <c r="Y17" s="864" t="s">
        <v>54</v>
      </c>
      <c r="Z17" s="77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5"/>
      <c r="AA18" s="760"/>
      <c r="AB18" s="760"/>
      <c r="AC18" s="760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200</v>
      </c>
      <c r="Y41" s="548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18.518518518518519</v>
      </c>
      <c r="Y44" s="549">
        <f>IFERROR(Y41/H41,"0")+IFERROR(Y42/H42,"0")+IFERROR(Y43/H43,"0")</f>
        <v>19</v>
      </c>
      <c r="Z44" s="549">
        <f>IFERROR(IF(Z41="",0,Z41),"0")+IFERROR(IF(Z42="",0,Z42),"0")+IFERROR(IF(Z43="",0,Z43),"0")</f>
        <v>0.36062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200</v>
      </c>
      <c r="Y45" s="549">
        <f>IFERROR(SUM(Y41:Y43),"0")</f>
        <v>205.20000000000002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9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500</v>
      </c>
      <c r="Y61" s="548">
        <f>IFERROR(IF(X61="",0,CEILING((X61/$H61),1)*$H61),"")</f>
        <v>507.6</v>
      </c>
      <c r="Z61" s="36">
        <f>IFERROR(IF(Y61=0,"",ROUNDUP(Y61/H61,0)*0.01898),"")</f>
        <v>0.89205999999999996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518.98148148148141</v>
      </c>
      <c r="BN61" s="64">
        <f>IFERROR(Y61*I61/H61,"0")</f>
        <v>526.87</v>
      </c>
      <c r="BO61" s="64">
        <f>IFERROR(1/J61*(X61/H61),"0")</f>
        <v>0.72337962962962954</v>
      </c>
      <c r="BP61" s="64">
        <f>IFERROR(1/J61*(Y61/H61),"0")</f>
        <v>0.734375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46.296296296296291</v>
      </c>
      <c r="Y64" s="549">
        <f>IFERROR(Y61/H61,"0")+IFERROR(Y62/H62,"0")+IFERROR(Y63/H63,"0")</f>
        <v>47</v>
      </c>
      <c r="Z64" s="549">
        <f>IFERROR(IF(Z61="",0,Z61),"0")+IFERROR(IF(Z62="",0,Z62),"0")+IFERROR(IF(Z63="",0,Z63),"0")</f>
        <v>0.89205999999999996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500</v>
      </c>
      <c r="Y65" s="549">
        <f>IFERROR(SUM(Y61:Y63),"0")</f>
        <v>507.6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500</v>
      </c>
      <c r="Y86" s="548">
        <f>IFERROR(IF(X86="",0,CEILING((X86/$H86),1)*$H86),"")</f>
        <v>507.6</v>
      </c>
      <c r="Z86" s="36">
        <f>IFERROR(IF(Y86=0,"",ROUNDUP(Y86/H86,0)*0.01898),"")</f>
        <v>0.89205999999999996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518.98148148148141</v>
      </c>
      <c r="BN86" s="64">
        <f>IFERROR(Y86*I86/H86,"0")</f>
        <v>526.87</v>
      </c>
      <c r="BO86" s="64">
        <f>IFERROR(1/J86*(X86/H86),"0")</f>
        <v>0.72337962962962954</v>
      </c>
      <c r="BP86" s="64">
        <f>IFERROR(1/J86*(Y86/H86),"0")</f>
        <v>0.734375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7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46.296296296296291</v>
      </c>
      <c r="Y90" s="549">
        <f>IFERROR(Y86/H86,"0")+IFERROR(Y87/H87,"0")+IFERROR(Y88/H88,"0")+IFERROR(Y89/H89,"0")</f>
        <v>47</v>
      </c>
      <c r="Z90" s="549">
        <f>IFERROR(IF(Z86="",0,Z86),"0")+IFERROR(IF(Z87="",0,Z87),"0")+IFERROR(IF(Z88="",0,Z88),"0")+IFERROR(IF(Z89="",0,Z89),"0")</f>
        <v>0.89205999999999996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500</v>
      </c>
      <c r="Y91" s="549">
        <f>IFERROR(SUM(Y86:Y89),"0")</f>
        <v>507.6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200</v>
      </c>
      <c r="Y93" s="548">
        <f>IFERROR(IF(X93="",0,CEILING((X93/$H93),1)*$H93),"")</f>
        <v>202.5</v>
      </c>
      <c r="Z93" s="36">
        <f>IFERROR(IF(Y93=0,"",ROUNDUP(Y93/H93,0)*0.01898),"")</f>
        <v>0.47450000000000003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212.19753086419755</v>
      </c>
      <c r="BN93" s="64">
        <f>IFERROR(Y93*I93/H93,"0")</f>
        <v>214.85</v>
      </c>
      <c r="BO93" s="64">
        <f>IFERROR(1/J93*(X93/H93),"0")</f>
        <v>0.38580246913580246</v>
      </c>
      <c r="BP93" s="64">
        <f>IFERROR(1/J93*(Y93/H93),"0")</f>
        <v>0.390625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360</v>
      </c>
      <c r="Y95" s="548">
        <f>IFERROR(IF(X95="",0,CEILING((X95/$H95),1)*$H95),"")</f>
        <v>361.8</v>
      </c>
      <c r="Z95" s="36">
        <f>IFERROR(IF(Y95=0,"",ROUNDUP(Y95/H95,0)*0.00651),"")</f>
        <v>0.87234</v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393.59999999999997</v>
      </c>
      <c r="BN95" s="64">
        <f>IFERROR(Y95*I95/H95,"0")</f>
        <v>395.56799999999998</v>
      </c>
      <c r="BO95" s="64">
        <f>IFERROR(1/J95*(X95/H95),"0")</f>
        <v>0.73260073260073255</v>
      </c>
      <c r="BP95" s="64">
        <f>IFERROR(1/J95*(Y95/H95),"0")</f>
        <v>0.73626373626373631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158.02469135802468</v>
      </c>
      <c r="Y97" s="549">
        <f>IFERROR(Y93/H93,"0")+IFERROR(Y94/H94,"0")+IFERROR(Y95/H95,"0")+IFERROR(Y96/H96,"0")</f>
        <v>159</v>
      </c>
      <c r="Z97" s="549">
        <f>IFERROR(IF(Z93="",0,Z93),"0")+IFERROR(IF(Z94="",0,Z94),"0")+IFERROR(IF(Z95="",0,Z95),"0")+IFERROR(IF(Z96="",0,Z96),"0")</f>
        <v>1.34684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560</v>
      </c>
      <c r="Y98" s="549">
        <f>IFERROR(SUM(Y93:Y96),"0")</f>
        <v>564.29999999999995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500</v>
      </c>
      <c r="Y101" s="548">
        <f>IFERROR(IF(X101="",0,CEILING((X101/$H101),1)*$H101),"")</f>
        <v>507.6</v>
      </c>
      <c r="Z101" s="36">
        <f>IFERROR(IF(Y101=0,"",ROUNDUP(Y101/H101,0)*0.01898),"")</f>
        <v>0.89205999999999996</v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518.98148148148141</v>
      </c>
      <c r="BN101" s="64">
        <f>IFERROR(Y101*I101/H101,"0")</f>
        <v>526.87</v>
      </c>
      <c r="BO101" s="64">
        <f>IFERROR(1/J101*(X101/H101),"0")</f>
        <v>0.72337962962962954</v>
      </c>
      <c r="BP101" s="64">
        <f>IFERROR(1/J101*(Y101/H101),"0")</f>
        <v>0.734375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46.296296296296291</v>
      </c>
      <c r="Y106" s="549">
        <f>IFERROR(Y101/H101,"0")+IFERROR(Y102/H102,"0")+IFERROR(Y103/H103,"0")+IFERROR(Y104/H104,"0")+IFERROR(Y105/H105,"0")</f>
        <v>47</v>
      </c>
      <c r="Z106" s="549">
        <f>IFERROR(IF(Z101="",0,Z101),"0")+IFERROR(IF(Z102="",0,Z102),"0")+IFERROR(IF(Z103="",0,Z103),"0")+IFERROR(IF(Z104="",0,Z104),"0")+IFERROR(IF(Z105="",0,Z105),"0")</f>
        <v>0.89205999999999996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500</v>
      </c>
      <c r="Y107" s="549">
        <f>IFERROR(SUM(Y101:Y105),"0")</f>
        <v>507.6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500</v>
      </c>
      <c r="Y116" s="548">
        <f>IFERROR(IF(X116="",0,CEILING((X116/$H116),1)*$H116),"")</f>
        <v>502.2</v>
      </c>
      <c r="Z116" s="36">
        <f>IFERROR(IF(Y116=0,"",ROUNDUP(Y116/H116,0)*0.01898),"")</f>
        <v>1.17676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530.12345679012344</v>
      </c>
      <c r="BN116" s="64">
        <f>IFERROR(Y116*I116/H116,"0")</f>
        <v>532.4559999999999</v>
      </c>
      <c r="BO116" s="64">
        <f>IFERROR(1/J116*(X116/H116),"0")</f>
        <v>0.96450617283950624</v>
      </c>
      <c r="BP116" s="64">
        <f>IFERROR(1/J116*(Y116/H116),"0")</f>
        <v>0.96875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450</v>
      </c>
      <c r="Y118" s="548">
        <f>IFERROR(IF(X118="",0,CEILING((X118/$H118),1)*$H118),"")</f>
        <v>450.90000000000003</v>
      </c>
      <c r="Z118" s="36">
        <f>IFERROR(IF(Y118=0,"",ROUNDUP(Y118/H118,0)*0.00651),"")</f>
        <v>1.08717</v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492</v>
      </c>
      <c r="BN118" s="64">
        <f>IFERROR(Y118*I118/H118,"0")</f>
        <v>492.98399999999998</v>
      </c>
      <c r="BO118" s="64">
        <f>IFERROR(1/J118*(X118/H118),"0")</f>
        <v>0.91575091575091572</v>
      </c>
      <c r="BP118" s="64">
        <f>IFERROR(1/J118*(Y118/H118),"0")</f>
        <v>0.91758241758241765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228.39506172839506</v>
      </c>
      <c r="Y120" s="549">
        <f>IFERROR(Y116/H116,"0")+IFERROR(Y117/H117,"0")+IFERROR(Y118/H118,"0")+IFERROR(Y119/H119,"0")</f>
        <v>229</v>
      </c>
      <c r="Z120" s="549">
        <f>IFERROR(IF(Z116="",0,Z116),"0")+IFERROR(IF(Z117="",0,Z117),"0")+IFERROR(IF(Z118="",0,Z118),"0")+IFERROR(IF(Z119="",0,Z119),"0")</f>
        <v>2.2639300000000002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950</v>
      </c>
      <c r="Y121" s="549">
        <f>IFERROR(SUM(Y116:Y119),"0")</f>
        <v>953.1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200</v>
      </c>
      <c r="Y217" s="548">
        <f t="shared" si="15"/>
        <v>201.6</v>
      </c>
      <c r="Z217" s="36">
        <f t="shared" si="20"/>
        <v>0.54683999999999999</v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221</v>
      </c>
      <c r="BN217" s="64">
        <f t="shared" si="17"/>
        <v>222.768</v>
      </c>
      <c r="BO217" s="64">
        <f t="shared" si="18"/>
        <v>0.45787545787545797</v>
      </c>
      <c r="BP217" s="64">
        <f t="shared" si="19"/>
        <v>0.46153846153846156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200</v>
      </c>
      <c r="Y218" s="548">
        <f t="shared" si="15"/>
        <v>201.6</v>
      </c>
      <c r="Z218" s="36">
        <f t="shared" si="20"/>
        <v>0.54683999999999999</v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221</v>
      </c>
      <c r="BN218" s="64">
        <f t="shared" si="17"/>
        <v>222.768</v>
      </c>
      <c r="BO218" s="64">
        <f t="shared" si="18"/>
        <v>0.45787545787545797</v>
      </c>
      <c r="BP218" s="64">
        <f t="shared" si="19"/>
        <v>0.46153846153846156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166.66666666666669</v>
      </c>
      <c r="Y221" s="549">
        <f>IFERROR(Y212/H212,"0")+IFERROR(Y213/H213,"0")+IFERROR(Y214/H214,"0")+IFERROR(Y215/H215,"0")+IFERROR(Y216/H216,"0")+IFERROR(Y217/H217,"0")+IFERROR(Y218/H218,"0")+IFERROR(Y219/H219,"0")+IFERROR(Y220/H220,"0")</f>
        <v>168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1.09368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400</v>
      </c>
      <c r="Y222" s="549">
        <f>IFERROR(SUM(Y212:Y220),"0")</f>
        <v>403.2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9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2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0</v>
      </c>
      <c r="Y300" s="549">
        <f>IFERROR(Y294/H294,"0")+IFERROR(Y295/H295,"0")+IFERROR(Y296/H296,"0")+IFERROR(Y297/H297,"0")+IFERROR(Y298/H298,"0")+IFERROR(Y299/H299,"0")</f>
        <v>0</v>
      </c>
      <c r="Z300" s="549">
        <f>IFERROR(IF(Z294="",0,Z294),"0")+IFERROR(IF(Z295="",0,Z295),"0")+IFERROR(IF(Z296="",0,Z296),"0")+IFERROR(IF(Z297="",0,Z297),"0")+IFERROR(IF(Z298="",0,Z298),"0")+IFERROR(IF(Z299="",0,Z299),"0")</f>
        <v>0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0</v>
      </c>
      <c r="Y301" s="549">
        <f>IFERROR(SUM(Y294:Y299),"0")</f>
        <v>0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0</v>
      </c>
      <c r="Y303" s="548">
        <f t="shared" ref="Y303:Y308" si="31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0</v>
      </c>
      <c r="BN303" s="64">
        <f t="shared" ref="BN303:BN308" si="33">IFERROR(Y303*I303/H303,"0")</f>
        <v>0</v>
      </c>
      <c r="BO303" s="64">
        <f t="shared" ref="BO303:BO308" si="34">IFERROR(1/J303*(X303/H303),"0")</f>
        <v>0</v>
      </c>
      <c r="BP303" s="64">
        <f t="shared" ref="BP303:BP308" si="35">IFERROR(1/J303*(Y303/H303),"0")</f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0</v>
      </c>
      <c r="Y309" s="549">
        <f>IFERROR(Y303/H303,"0")+IFERROR(Y304/H304,"0")+IFERROR(Y305/H305,"0")+IFERROR(Y306/H306,"0")+IFERROR(Y307/H307,"0")+IFERROR(Y308/H308,"0")</f>
        <v>0</v>
      </c>
      <c r="Z309" s="549">
        <f>IFERROR(IF(Z303="",0,Z303),"0")+IFERROR(IF(Z304="",0,Z304),"0")+IFERROR(IF(Z305="",0,Z305),"0")+IFERROR(IF(Z306="",0,Z306),"0")+IFERROR(IF(Z307="",0,Z307),"0")+IFERROR(IF(Z308="",0,Z308),"0")</f>
        <v>0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0</v>
      </c>
      <c r="Y310" s="549">
        <f>IFERROR(SUM(Y303:Y308),"0")</f>
        <v>0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200</v>
      </c>
      <c r="Y312" s="548">
        <f>IFERROR(IF(X312="",0,CEILING((X312/$H312),1)*$H312),"")</f>
        <v>202.79999999999998</v>
      </c>
      <c r="Z312" s="36">
        <f>IFERROR(IF(Y312=0,"",ROUNDUP(Y312/H312,0)*0.01898),"")</f>
        <v>0.49348000000000003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212.51282051282053</v>
      </c>
      <c r="BN312" s="64">
        <f>IFERROR(Y312*I312/H312,"0")</f>
        <v>215.488</v>
      </c>
      <c r="BO312" s="64">
        <f>IFERROR(1/J312*(X312/H312),"0")</f>
        <v>0.40064102564102566</v>
      </c>
      <c r="BP312" s="64">
        <f>IFERROR(1/J312*(Y312/H312),"0")</f>
        <v>0.40625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25.641025641025642</v>
      </c>
      <c r="Y316" s="549">
        <f>IFERROR(Y312/H312,"0")+IFERROR(Y313/H313,"0")+IFERROR(Y314/H314,"0")+IFERROR(Y315/H315,"0")</f>
        <v>26</v>
      </c>
      <c r="Z316" s="549">
        <f>IFERROR(IF(Z312="",0,Z312),"0")+IFERROR(IF(Z313="",0,Z313),"0")+IFERROR(IF(Z314="",0,Z314),"0")+IFERROR(IF(Z315="",0,Z315),"0")</f>
        <v>0.49348000000000003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200</v>
      </c>
      <c r="Y317" s="549">
        <f>IFERROR(SUM(Y312:Y315),"0")</f>
        <v>202.79999999999998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126</v>
      </c>
      <c r="Y340" s="548">
        <f>IFERROR(IF(X340="",0,CEILING((X340/$H340),1)*$H340),"")</f>
        <v>126</v>
      </c>
      <c r="Z340" s="36">
        <f>IFERROR(IF(Y340=0,"",ROUNDUP(Y340/H340,0)*0.00651),"")</f>
        <v>0.3906</v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141.11999999999998</v>
      </c>
      <c r="BN340" s="64">
        <f>IFERROR(Y340*I340/H340,"0")</f>
        <v>141.11999999999998</v>
      </c>
      <c r="BO340" s="64">
        <f>IFERROR(1/J340*(X340/H340),"0")</f>
        <v>0.32967032967032972</v>
      </c>
      <c r="BP340" s="64">
        <f>IFERROR(1/J340*(Y340/H340),"0")</f>
        <v>0.32967032967032972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84</v>
      </c>
      <c r="Y341" s="548">
        <f>IFERROR(IF(X341="",0,CEILING((X341/$H341),1)*$H341),"")</f>
        <v>84</v>
      </c>
      <c r="Z341" s="36">
        <f>IFERROR(IF(Y341=0,"",ROUNDUP(Y341/H341,0)*0.00651),"")</f>
        <v>0.26040000000000002</v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93.6</v>
      </c>
      <c r="BN341" s="64">
        <f>IFERROR(Y341*I341/H341,"0")</f>
        <v>93.6</v>
      </c>
      <c r="BO341" s="64">
        <f>IFERROR(1/J341*(X341/H341),"0")</f>
        <v>0.2197802197802198</v>
      </c>
      <c r="BP341" s="64">
        <f>IFERROR(1/J341*(Y341/H341),"0")</f>
        <v>0.2197802197802198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100</v>
      </c>
      <c r="Y342" s="549">
        <f>IFERROR(Y339/H339,"0")+IFERROR(Y340/H340,"0")+IFERROR(Y341/H341,"0")</f>
        <v>100</v>
      </c>
      <c r="Z342" s="549">
        <f>IFERROR(IF(Z339="",0,Z339),"0")+IFERROR(IF(Z340="",0,Z340),"0")+IFERROR(IF(Z341="",0,Z341),"0")</f>
        <v>0.65100000000000002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210</v>
      </c>
      <c r="Y343" s="549">
        <f>IFERROR(SUM(Y339:Y341),"0")</f>
        <v>210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1500</v>
      </c>
      <c r="Y348" s="548">
        <f t="shared" si="36"/>
        <v>1500</v>
      </c>
      <c r="Z348" s="36">
        <f>IFERROR(IF(Y348=0,"",ROUNDUP(Y348/H348,0)*0.02175),"")</f>
        <v>2.1749999999999998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1547</v>
      </c>
      <c r="BN348" s="64">
        <f t="shared" si="38"/>
        <v>1547</v>
      </c>
      <c r="BO348" s="64">
        <f t="shared" si="39"/>
        <v>2.083333333333333</v>
      </c>
      <c r="BP348" s="64">
        <f t="shared" si="40"/>
        <v>2.083333333333333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100</v>
      </c>
      <c r="Y354" s="549">
        <f>IFERROR(Y347/H347,"0")+IFERROR(Y348/H348,"0")+IFERROR(Y349/H349,"0")+IFERROR(Y350/H350,"0")+IFERROR(Y351/H351,"0")+IFERROR(Y352/H352,"0")+IFERROR(Y353/H353,"0")</f>
        <v>100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2.1749999999999998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1500</v>
      </c>
      <c r="Y355" s="549">
        <f>IFERROR(SUM(Y347:Y353),"0")</f>
        <v>1500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0</v>
      </c>
      <c r="Y359" s="549">
        <f>IFERROR(Y357/H357,"0")+IFERROR(Y358/H358,"0")</f>
        <v>0</v>
      </c>
      <c r="Z359" s="549">
        <f>IFERROR(IF(Z357="",0,Z357),"0")+IFERROR(IF(Z358="",0,Z358),"0")</f>
        <v>0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0</v>
      </c>
      <c r="Y360" s="549">
        <f>IFERROR(SUM(Y357:Y358),"0")</f>
        <v>0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3000</v>
      </c>
      <c r="Y382" s="548">
        <f>IFERROR(IF(X382="",0,CEILING((X382/$H382),1)*$H382),"")</f>
        <v>3006</v>
      </c>
      <c r="Z382" s="36">
        <f>IFERROR(IF(Y382=0,"",ROUNDUP(Y382/H382,0)*0.01898),"")</f>
        <v>6.3393199999999998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3164.6666666666665</v>
      </c>
      <c r="BN382" s="64">
        <f>IFERROR(Y382*I382/H382,"0")</f>
        <v>3170.9960000000001</v>
      </c>
      <c r="BO382" s="64">
        <f>IFERROR(1/J382*(X382/H382),"0")</f>
        <v>5.208333333333333</v>
      </c>
      <c r="BP382" s="64">
        <f>IFERROR(1/J382*(Y382/H382),"0")</f>
        <v>5.21875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40</v>
      </c>
      <c r="Y383" s="548">
        <f>IFERROR(IF(X383="",0,CEILING((X383/$H383),1)*$H383),"")</f>
        <v>40.799999999999997</v>
      </c>
      <c r="Z383" s="36">
        <f>IFERROR(IF(Y383=0,"",ROUNDUP(Y383/H383,0)*0.00651),"")</f>
        <v>0.11067</v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44.400000000000006</v>
      </c>
      <c r="BN383" s="64">
        <f>IFERROR(Y383*I383/H383,"0")</f>
        <v>45.287999999999997</v>
      </c>
      <c r="BO383" s="64">
        <f>IFERROR(1/J383*(X383/H383),"0")</f>
        <v>9.1575091575091583E-2</v>
      </c>
      <c r="BP383" s="64">
        <f>IFERROR(1/J383*(Y383/H383),"0")</f>
        <v>9.3406593406593408E-2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350</v>
      </c>
      <c r="Y385" s="549">
        <f>IFERROR(Y382/H382,"0")+IFERROR(Y383/H383,"0")+IFERROR(Y384/H384,"0")</f>
        <v>351</v>
      </c>
      <c r="Z385" s="549">
        <f>IFERROR(IF(Z382="",0,Z382),"0")+IFERROR(IF(Z383="",0,Z383),"0")+IFERROR(IF(Z384="",0,Z384),"0")</f>
        <v>6.4499899999999997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3040</v>
      </c>
      <c r="Y386" s="549">
        <f>IFERROR(SUM(Y382:Y384),"0")</f>
        <v>3046.8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100</v>
      </c>
      <c r="Y426" s="548">
        <f t="shared" ref="Y426:Y437" si="47">IFERROR(IF(X426="",0,CEILING((X426/$H426),1)*$H426),"")</f>
        <v>100.32000000000001</v>
      </c>
      <c r="Z426" s="36">
        <f t="shared" ref="Z426:Z432" si="48">IFERROR(IF(Y426=0,"",ROUNDUP(Y426/H426,0)*0.01196),"")</f>
        <v>0.22724</v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106.62878787878788</v>
      </c>
      <c r="BN426" s="64">
        <f t="shared" ref="BN426:BN437" si="50">IFERROR(Y426*I426/H426,"0")</f>
        <v>106.97</v>
      </c>
      <c r="BO426" s="64">
        <f t="shared" ref="BO426:BO437" si="51">IFERROR(1/J426*(X426/H426),"0")</f>
        <v>0.18210955710955709</v>
      </c>
      <c r="BP426" s="64">
        <f t="shared" ref="BP426:BP437" si="52">IFERROR(1/J426*(Y426/H426),"0")</f>
        <v>0.18269230769230771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5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400</v>
      </c>
      <c r="Y429" s="548">
        <f t="shared" si="47"/>
        <v>401.28000000000003</v>
      </c>
      <c r="Z429" s="36">
        <f t="shared" si="48"/>
        <v>0.90895999999999999</v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426.5151515151515</v>
      </c>
      <c r="BN429" s="64">
        <f t="shared" si="50"/>
        <v>427.88</v>
      </c>
      <c r="BO429" s="64">
        <f t="shared" si="51"/>
        <v>0.72843822843822836</v>
      </c>
      <c r="BP429" s="64">
        <f t="shared" si="52"/>
        <v>0.73076923076923084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1500</v>
      </c>
      <c r="Y430" s="548">
        <f t="shared" si="47"/>
        <v>1504.8000000000002</v>
      </c>
      <c r="Z430" s="36">
        <f t="shared" si="48"/>
        <v>3.4085999999999999</v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1599.431818181818</v>
      </c>
      <c r="BN430" s="64">
        <f t="shared" si="50"/>
        <v>1604.5500000000002</v>
      </c>
      <c r="BO430" s="64">
        <f t="shared" si="51"/>
        <v>2.7316433566433567</v>
      </c>
      <c r="BP430" s="64">
        <f t="shared" si="52"/>
        <v>2.7403846153846154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1500</v>
      </c>
      <c r="Y432" s="548">
        <f t="shared" si="47"/>
        <v>1504.8000000000002</v>
      </c>
      <c r="Z432" s="36">
        <f t="shared" si="48"/>
        <v>3.4085999999999999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1599.431818181818</v>
      </c>
      <c r="BN432" s="64">
        <f t="shared" si="50"/>
        <v>1604.5500000000002</v>
      </c>
      <c r="BO432" s="64">
        <f t="shared" si="51"/>
        <v>2.7316433566433567</v>
      </c>
      <c r="BP432" s="64">
        <f t="shared" si="52"/>
        <v>2.7403846153846154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662.87878787878776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665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7.9534000000000002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3500</v>
      </c>
      <c r="Y439" s="549">
        <f>IFERROR(SUM(Y426:Y437),"0")</f>
        <v>3511.2000000000003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1000</v>
      </c>
      <c r="Y441" s="548">
        <f>IFERROR(IF(X441="",0,CEILING((X441/$H441),1)*$H441),"")</f>
        <v>1003.2</v>
      </c>
      <c r="Z441" s="36">
        <f>IFERROR(IF(Y441=0,"",ROUNDUP(Y441/H441,0)*0.01196),"")</f>
        <v>2.2724000000000002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1066.2878787878788</v>
      </c>
      <c r="BN441" s="64">
        <f>IFERROR(Y441*I441/H441,"0")</f>
        <v>1069.7</v>
      </c>
      <c r="BO441" s="64">
        <f>IFERROR(1/J441*(X441/H441),"0")</f>
        <v>1.821095571095571</v>
      </c>
      <c r="BP441" s="64">
        <f>IFERROR(1/J441*(Y441/H441),"0")</f>
        <v>1.8269230769230771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189.39393939393938</v>
      </c>
      <c r="Y444" s="549">
        <f>IFERROR(Y441/H441,"0")+IFERROR(Y442/H442,"0")+IFERROR(Y443/H443,"0")</f>
        <v>190</v>
      </c>
      <c r="Z444" s="549">
        <f>IFERROR(IF(Z441="",0,Z441),"0")+IFERROR(IF(Z442="",0,Z442),"0")+IFERROR(IF(Z443="",0,Z443),"0")</f>
        <v>2.2724000000000002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1000</v>
      </c>
      <c r="Y445" s="549">
        <f>IFERROR(SUM(Y441:Y443),"0")</f>
        <v>1003.2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700</v>
      </c>
      <c r="Y447" s="548">
        <f t="shared" ref="Y447:Y452" si="53">IFERROR(IF(X447="",0,CEILING((X447/$H447),1)*$H447),"")</f>
        <v>702.24</v>
      </c>
      <c r="Z447" s="36">
        <f>IFERROR(IF(Y447=0,"",ROUNDUP(Y447/H447,0)*0.01196),"")</f>
        <v>1.5906800000000001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746.40151515151513</v>
      </c>
      <c r="BN447" s="64">
        <f t="shared" ref="BN447:BN452" si="55">IFERROR(Y447*I447/H447,"0")</f>
        <v>748.79</v>
      </c>
      <c r="BO447" s="64">
        <f t="shared" ref="BO447:BO452" si="56">IFERROR(1/J447*(X447/H447),"0")</f>
        <v>1.2747668997668997</v>
      </c>
      <c r="BP447" s="64">
        <f t="shared" ref="BP447:BP452" si="57">IFERROR(1/J447*(Y447/H447),"0")</f>
        <v>1.278846153846154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700</v>
      </c>
      <c r="Y448" s="548">
        <f t="shared" si="53"/>
        <v>702.24</v>
      </c>
      <c r="Z448" s="36">
        <f>IFERROR(IF(Y448=0,"",ROUNDUP(Y448/H448,0)*0.01196),"")</f>
        <v>1.5906800000000001</v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746.40151515151513</v>
      </c>
      <c r="BN448" s="64">
        <f t="shared" si="55"/>
        <v>748.79</v>
      </c>
      <c r="BO448" s="64">
        <f t="shared" si="56"/>
        <v>1.2747668997668997</v>
      </c>
      <c r="BP448" s="64">
        <f t="shared" si="57"/>
        <v>1.278846153846154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1000</v>
      </c>
      <c r="Y449" s="548">
        <f t="shared" si="53"/>
        <v>1003.2</v>
      </c>
      <c r="Z449" s="36">
        <f>IFERROR(IF(Y449=0,"",ROUNDUP(Y449/H449,0)*0.01196),"")</f>
        <v>2.2724000000000002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1066.2878787878788</v>
      </c>
      <c r="BN449" s="64">
        <f t="shared" si="55"/>
        <v>1069.7</v>
      </c>
      <c r="BO449" s="64">
        <f t="shared" si="56"/>
        <v>1.821095571095571</v>
      </c>
      <c r="BP449" s="64">
        <f t="shared" si="57"/>
        <v>1.8269230769230771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454.5454545454545</v>
      </c>
      <c r="Y453" s="549">
        <f>IFERROR(Y447/H447,"0")+IFERROR(Y448/H448,"0")+IFERROR(Y449/H449,"0")+IFERROR(Y450/H450,"0")+IFERROR(Y451/H451,"0")+IFERROR(Y452/H452,"0")</f>
        <v>456</v>
      </c>
      <c r="Z453" s="549">
        <f>IFERROR(IF(Z447="",0,Z447),"0")+IFERROR(IF(Z448="",0,Z448),"0")+IFERROR(IF(Z449="",0,Z449),"0")+IFERROR(IF(Z450="",0,Z450),"0")+IFERROR(IF(Z451="",0,Z451),"0")+IFERROR(IF(Z452="",0,Z452),"0")</f>
        <v>5.4537600000000008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2400</v>
      </c>
      <c r="Y454" s="549">
        <f>IFERROR(SUM(Y447:Y452),"0")</f>
        <v>2407.6800000000003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200</v>
      </c>
      <c r="Y464" s="548">
        <f>IFERROR(IF(X464="",0,CEILING((X464/$H464),1)*$H464),"")</f>
        <v>204</v>
      </c>
      <c r="Z464" s="36">
        <f>IFERROR(IF(Y464=0,"",ROUNDUP(Y464/H464,0)*0.01898),"")</f>
        <v>0.32266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206.83333333333334</v>
      </c>
      <c r="BN464" s="64">
        <f>IFERROR(Y464*I464/H464,"0")</f>
        <v>210.97</v>
      </c>
      <c r="BO464" s="64">
        <f>IFERROR(1/J464*(X464/H464),"0")</f>
        <v>0.26041666666666669</v>
      </c>
      <c r="BP464" s="64">
        <f>IFERROR(1/J464*(Y464/H464),"0")</f>
        <v>0.265625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16.666666666666668</v>
      </c>
      <c r="Y466" s="549">
        <f>IFERROR(Y462/H462,"0")+IFERROR(Y463/H463,"0")+IFERROR(Y464/H464,"0")+IFERROR(Y465/H465,"0")</f>
        <v>17</v>
      </c>
      <c r="Z466" s="549">
        <f>IFERROR(IF(Z462="",0,Z462),"0")+IFERROR(IF(Z463="",0,Z463),"0")+IFERROR(IF(Z464="",0,Z464),"0")+IFERROR(IF(Z465="",0,Z465),"0")</f>
        <v>0.32266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200</v>
      </c>
      <c r="Y467" s="549">
        <f>IFERROR(SUM(Y462:Y465),"0")</f>
        <v>204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300</v>
      </c>
      <c r="Y479" s="548">
        <f>IFERROR(IF(X479="",0,CEILING((X479/$H479),1)*$H479),"")</f>
        <v>306</v>
      </c>
      <c r="Z479" s="36">
        <f>IFERROR(IF(Y479=0,"",ROUNDUP(Y479/H479,0)*0.01898),"")</f>
        <v>0.64532</v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316.46666666666664</v>
      </c>
      <c r="BN479" s="64">
        <f>IFERROR(Y479*I479/H479,"0")</f>
        <v>322.79599999999999</v>
      </c>
      <c r="BO479" s="64">
        <f>IFERROR(1/J479*(X479/H479),"0")</f>
        <v>0.52083333333333337</v>
      </c>
      <c r="BP479" s="64">
        <f>IFERROR(1/J479*(Y479/H479),"0")</f>
        <v>0.53125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33.333333333333336</v>
      </c>
      <c r="Y480" s="549">
        <f>IFERROR(Y479/H479,"0")</f>
        <v>34</v>
      </c>
      <c r="Z480" s="549">
        <f>IFERROR(IF(Z479="",0,Z479),"0")</f>
        <v>0.64532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300</v>
      </c>
      <c r="Y481" s="549">
        <f>IFERROR(SUM(Y479:Y479),"0")</f>
        <v>306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6"/>
      <c r="P492" s="708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15960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16040.280000000002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6"/>
      <c r="P493" s="708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16918.443875507208</v>
      </c>
      <c r="Y493" s="549">
        <f>IFERROR(SUM(BN22:BN489),"0")</f>
        <v>17003.182000000001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6"/>
      <c r="P494" s="708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29</v>
      </c>
      <c r="Y494" s="38">
        <f>ROUNDUP(SUM(BP22:BP489),0)</f>
        <v>29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6"/>
      <c r="P495" s="708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17643.443875507208</v>
      </c>
      <c r="Y495" s="549">
        <f>GrossWeightTotalR+PalletQtyTotalR*25</f>
        <v>17728.182000000001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6"/>
      <c r="P496" s="708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2642.9530346197012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2655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6"/>
      <c r="P497" s="708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34.158259999999999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4" t="s">
        <v>659</v>
      </c>
      <c r="Y499" s="597" t="s">
        <v>715</v>
      </c>
      <c r="Z499" s="603"/>
      <c r="AB499" s="52"/>
      <c r="AC499" s="52"/>
      <c r="AF499" s="545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5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205.20000000000002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507.6</v>
      </c>
      <c r="E502" s="46">
        <f>IFERROR(Y86*1,"0")+IFERROR(Y87*1,"0")+IFERROR(Y88*1,"0")+IFERROR(Y89*1,"0")+IFERROR(Y93*1,"0")+IFERROR(Y94*1,"0")+IFERROR(Y95*1,"0")+IFERROR(Y96*1,"0")</f>
        <v>1071.9000000000001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1460.7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403.2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202.79999999999998</v>
      </c>
      <c r="R502" s="46">
        <f>IFERROR(Y339*1,"0")+IFERROR(Y340*1,"0")+IFERROR(Y341*1,"0")</f>
        <v>210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1500</v>
      </c>
      <c r="T502" s="46">
        <f>IFERROR(Y372*1,"0")+IFERROR(Y373*1,"0")+IFERROR(Y377*1,"0")+IFERROR(Y378*1,"0")+IFERROR(Y382*1,"0")+IFERROR(Y383*1,"0")+IFERROR(Y384*1,"0")</f>
        <v>3046.8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6922.08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510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D203:E203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D420:E420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D109:E109"/>
    <mergeCell ref="P138:T138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D398:E398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61:E261"/>
    <mergeCell ref="P169:T169"/>
    <mergeCell ref="A130:O131"/>
    <mergeCell ref="P442:T442"/>
    <mergeCell ref="D118:E118"/>
    <mergeCell ref="P53:T53"/>
    <mergeCell ref="D63:E63"/>
    <mergeCell ref="D52:E52"/>
    <mergeCell ref="A438:O439"/>
    <mergeCell ref="P308:T308"/>
    <mergeCell ref="P427:T427"/>
    <mergeCell ref="A146:O147"/>
    <mergeCell ref="P283:T283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52:T452"/>
    <mergeCell ref="A258:Z258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277:T277"/>
    <mergeCell ref="D391:E391"/>
    <mergeCell ref="D220:E220"/>
    <mergeCell ref="P199:V199"/>
    <mergeCell ref="A195:Z195"/>
    <mergeCell ref="A198:O199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2025-12-15T07:56:09Z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