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65252BC-FADF-4DD5-9288-A34ABF827C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Y178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Y127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BP113" i="1"/>
  <c r="BO113" i="1"/>
  <c r="BN113" i="1"/>
  <c r="BM113" i="1"/>
  <c r="Z113" i="1"/>
  <c r="Y113" i="1"/>
  <c r="P113" i="1"/>
  <c r="X111" i="1"/>
  <c r="Y110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Y89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H10" i="1"/>
  <c r="A9" i="1"/>
  <c r="A10" i="1" s="1"/>
  <c r="D7" i="1"/>
  <c r="Q6" i="1"/>
  <c r="P2" i="1"/>
  <c r="F9" i="1" l="1"/>
  <c r="J9" i="1"/>
  <c r="F10" i="1"/>
  <c r="B501" i="1"/>
  <c r="X492" i="1"/>
  <c r="X494" i="1" s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Y71" i="1"/>
  <c r="Y70" i="1"/>
  <c r="BP74" i="1"/>
  <c r="BN74" i="1"/>
  <c r="Z74" i="1"/>
  <c r="BP87" i="1"/>
  <c r="BN87" i="1"/>
  <c r="Z87" i="1"/>
  <c r="Z89" i="1" s="1"/>
  <c r="Y96" i="1"/>
  <c r="BP95" i="1"/>
  <c r="BN95" i="1"/>
  <c r="Z95" i="1"/>
  <c r="F501" i="1"/>
  <c r="Y105" i="1"/>
  <c r="BP100" i="1"/>
  <c r="BN100" i="1"/>
  <c r="Z100" i="1"/>
  <c r="Y104" i="1"/>
  <c r="BP108" i="1"/>
  <c r="BN108" i="1"/>
  <c r="Z108" i="1"/>
  <c r="Z110" i="1" s="1"/>
  <c r="Y117" i="1"/>
  <c r="BP116" i="1"/>
  <c r="BN116" i="1"/>
  <c r="Z116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Y132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Z178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Y45" i="1"/>
  <c r="Y491" i="1" s="1"/>
  <c r="BP68" i="1"/>
  <c r="Y493" i="1" s="1"/>
  <c r="BN68" i="1"/>
  <c r="Z68" i="1"/>
  <c r="Z70" i="1" s="1"/>
  <c r="BP76" i="1"/>
  <c r="BN76" i="1"/>
  <c r="Y492" i="1" s="1"/>
  <c r="Y494" i="1" s="1"/>
  <c r="Z76" i="1"/>
  <c r="Y78" i="1"/>
  <c r="Y83" i="1"/>
  <c r="BP80" i="1"/>
  <c r="BN80" i="1"/>
  <c r="Z80" i="1"/>
  <c r="Z82" i="1" s="1"/>
  <c r="BP93" i="1"/>
  <c r="BN93" i="1"/>
  <c r="Z93" i="1"/>
  <c r="Z96" i="1" s="1"/>
  <c r="BP102" i="1"/>
  <c r="BN102" i="1"/>
  <c r="Z102" i="1"/>
  <c r="BP114" i="1"/>
  <c r="BN114" i="1"/>
  <c r="Z114" i="1"/>
  <c r="Z117" i="1" s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296" i="1" l="1"/>
  <c r="Z312" i="1"/>
  <c r="Z149" i="1"/>
  <c r="Z104" i="1"/>
  <c r="Z58" i="1"/>
  <c r="Z44" i="1"/>
  <c r="Z32" i="1"/>
  <c r="Z496" i="1" s="1"/>
  <c r="Y495" i="1"/>
  <c r="Z449" i="1"/>
  <c r="Z395" i="1"/>
  <c r="Z235" i="1"/>
  <c r="Z434" i="1"/>
  <c r="Z350" i="1"/>
  <c r="Z331" i="1"/>
  <c r="Z216" i="1"/>
  <c r="Z172" i="1"/>
  <c r="Z204" i="1"/>
  <c r="Z77" i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<sst xmlns="http://schemas.openxmlformats.org/spreadsheetml/2006/main" count="2352" uniqueCount="768">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</sst>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69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720</v>
      </c>
      <c r="Y343" s="546">
        <f t="shared" ref="Y343:Y349" si="36">IFERROR(IF(X343="",0,CEILING((X343/$H343),1)*$H343),"")</f>
        <v>720</v>
      </c>
      <c r="Z343" s="36">
        <f>IFERROR(IF(Y343=0,"",ROUNDUP(Y343/H343,0)*0.02175),"")</f>
        <v>1.044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742.56</v>
      </c>
      <c r="BN343" s="64">
        <f t="shared" ref="BN343:BN349" si="38">IFERROR(Y343*I343/H343,"0")</f>
        <v>742.56</v>
      </c>
      <c r="BO343" s="64">
        <f t="shared" ref="BO343:BO349" si="39">IFERROR(1/J343*(X343/H343),"0")</f>
        <v>1</v>
      </c>
      <c r="BP343" s="64">
        <f t="shared" ref="BP343:BP349" si="40">IFERROR(1/J343*(Y343/H343),"0")</f>
        <v>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720</v>
      </c>
      <c r="Y344" s="546">
        <f t="shared" si="36"/>
        <v>720</v>
      </c>
      <c r="Z344" s="36">
        <f>IFERROR(IF(Y344=0,"",ROUNDUP(Y344/H344,0)*0.02175),"")</f>
        <v>1.044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742.56</v>
      </c>
      <c r="BN344" s="64">
        <f t="shared" si="38"/>
        <v>742.56</v>
      </c>
      <c r="BO344" s="64">
        <f t="shared" si="39"/>
        <v>1</v>
      </c>
      <c r="BP344" s="64">
        <f t="shared" si="40"/>
        <v>1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720</v>
      </c>
      <c r="Y346" s="546">
        <f t="shared" si="36"/>
        <v>720</v>
      </c>
      <c r="Z346" s="36">
        <f>IFERROR(IF(Y346=0,"",ROUNDUP(Y346/H346,0)*0.02175),"")</f>
        <v>1.044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742.56</v>
      </c>
      <c r="BN346" s="64">
        <f t="shared" si="38"/>
        <v>742.56</v>
      </c>
      <c r="BO346" s="64">
        <f t="shared" si="39"/>
        <v>1</v>
      </c>
      <c r="BP346" s="64">
        <f t="shared" si="40"/>
        <v>1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144</v>
      </c>
      <c r="Y350" s="547">
        <f>IFERROR(Y343/H343,"0")+IFERROR(Y344/H344,"0")+IFERROR(Y345/H345,"0")+IFERROR(Y346/H346,"0")+IFERROR(Y347/H347,"0")+IFERROR(Y348/H348,"0")+IFERROR(Y349/H349,"0")</f>
        <v>144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3.1320000000000001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2160</v>
      </c>
      <c r="Y351" s="547">
        <f>IFERROR(SUM(Y343:Y349),"0")</f>
        <v>2160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720</v>
      </c>
      <c r="Y353" s="546">
        <f>IFERROR(IF(X353="",0,CEILING((X353/$H353),1)*$H353),"")</f>
        <v>720</v>
      </c>
      <c r="Z353" s="36">
        <f>IFERROR(IF(Y353=0,"",ROUNDUP(Y353/H353,0)*0.02175),"")</f>
        <v>1.044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742.56</v>
      </c>
      <c r="BN353" s="64">
        <f>IFERROR(Y353*I353/H353,"0")</f>
        <v>742.56</v>
      </c>
      <c r="BO353" s="64">
        <f>IFERROR(1/J353*(X353/H353),"0")</f>
        <v>1</v>
      </c>
      <c r="BP353" s="64">
        <f>IFERROR(1/J353*(Y353/H353),"0")</f>
        <v>1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48</v>
      </c>
      <c r="Y355" s="547">
        <f>IFERROR(Y353/H353,"0")+IFERROR(Y354/H354,"0")</f>
        <v>48</v>
      </c>
      <c r="Z355" s="547">
        <f>IFERROR(IF(Z353="",0,Z353),"0")+IFERROR(IF(Z354="",0,Z354),"0")</f>
        <v>1.044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720</v>
      </c>
      <c r="Y356" s="547">
        <f>IFERROR(SUM(Y353:Y354),"0")</f>
        <v>720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2880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2880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2970.24</v>
      </c>
      <c r="Y492" s="547">
        <f>IFERROR(SUM(BN22:BN488),"0")</f>
        <v>2970.24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4</v>
      </c>
      <c r="Y493" s="38">
        <f>ROUNDUP(SUM(BP22:BP488),0)</f>
        <v>4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3070.24</v>
      </c>
      <c r="Y494" s="547">
        <f>GrossWeightTotalR+PalletQtyTotalR*25</f>
        <v>3070.24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192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192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4.1760000000000002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2880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