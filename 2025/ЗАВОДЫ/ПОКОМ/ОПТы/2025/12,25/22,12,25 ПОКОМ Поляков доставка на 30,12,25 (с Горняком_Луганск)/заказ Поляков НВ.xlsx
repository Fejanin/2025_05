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тправить на завод 24,12 (ПОКОМ_отгрузка на 26,12)\22,12,25 ПОКОМ Поляков доставка на 30,12,25 (с Горняком_Луганск)\"/>
    </mc:Choice>
  </mc:AlternateContent>
  <xr:revisionPtr revIDLastSave="0" documentId="13_ncr:1_{5BBD67D9-7BED-4D6D-A331-110F79763D1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2" i="1" l="1"/>
  <c r="X491" i="1"/>
  <c r="X490" i="1"/>
  <c r="BO489" i="1"/>
  <c r="BM489" i="1"/>
  <c r="Y489" i="1"/>
  <c r="P489" i="1"/>
  <c r="X486" i="1"/>
  <c r="X485" i="1"/>
  <c r="BO484" i="1"/>
  <c r="BM484" i="1"/>
  <c r="Y484" i="1"/>
  <c r="P484" i="1"/>
  <c r="BP483" i="1"/>
  <c r="BO483" i="1"/>
  <c r="BN483" i="1"/>
  <c r="BM483" i="1"/>
  <c r="Z483" i="1"/>
  <c r="Y483" i="1"/>
  <c r="Y485" i="1" s="1"/>
  <c r="P483" i="1"/>
  <c r="X481" i="1"/>
  <c r="Y480" i="1"/>
  <c r="X480" i="1"/>
  <c r="BP479" i="1"/>
  <c r="BO479" i="1"/>
  <c r="BN479" i="1"/>
  <c r="BM479" i="1"/>
  <c r="Z479" i="1"/>
  <c r="Z480" i="1" s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P463" i="1"/>
  <c r="BO463" i="1"/>
  <c r="BN463" i="1"/>
  <c r="BM463" i="1"/>
  <c r="Z463" i="1"/>
  <c r="Y463" i="1"/>
  <c r="Y467" i="1" s="1"/>
  <c r="P463" i="1"/>
  <c r="X459" i="1"/>
  <c r="Y458" i="1"/>
  <c r="X458" i="1"/>
  <c r="BP457" i="1"/>
  <c r="BO457" i="1"/>
  <c r="BN457" i="1"/>
  <c r="BM457" i="1"/>
  <c r="Z457" i="1"/>
  <c r="Z458" i="1" s="1"/>
  <c r="Y457" i="1"/>
  <c r="Y459" i="1" s="1"/>
  <c r="P457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X423" i="1"/>
  <c r="Y422" i="1"/>
  <c r="X422" i="1"/>
  <c r="BP421" i="1"/>
  <c r="BO421" i="1"/>
  <c r="BN421" i="1"/>
  <c r="BM421" i="1"/>
  <c r="Z421" i="1"/>
  <c r="Z422" i="1" s="1"/>
  <c r="Y421" i="1"/>
  <c r="Y423" i="1" s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P414" i="1"/>
  <c r="BO414" i="1"/>
  <c r="BN414" i="1"/>
  <c r="BM414" i="1"/>
  <c r="Z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P403" i="1"/>
  <c r="BO403" i="1"/>
  <c r="BN403" i="1"/>
  <c r="BM403" i="1"/>
  <c r="Z403" i="1"/>
  <c r="Y403" i="1"/>
  <c r="P403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BP391" i="1"/>
  <c r="BO391" i="1"/>
  <c r="BN391" i="1"/>
  <c r="BM391" i="1"/>
  <c r="Z391" i="1"/>
  <c r="Y391" i="1"/>
  <c r="P391" i="1"/>
  <c r="X387" i="1"/>
  <c r="Y386" i="1"/>
  <c r="X386" i="1"/>
  <c r="BP385" i="1"/>
  <c r="BO385" i="1"/>
  <c r="BN385" i="1"/>
  <c r="BM385" i="1"/>
  <c r="Z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Y387" i="1" s="1"/>
  <c r="P383" i="1"/>
  <c r="X381" i="1"/>
  <c r="X380" i="1"/>
  <c r="BP379" i="1"/>
  <c r="BO379" i="1"/>
  <c r="BN379" i="1"/>
  <c r="BM379" i="1"/>
  <c r="Z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P373" i="1"/>
  <c r="BO373" i="1"/>
  <c r="BN373" i="1"/>
  <c r="BM373" i="1"/>
  <c r="Z373" i="1"/>
  <c r="Y373" i="1"/>
  <c r="P373" i="1"/>
  <c r="X370" i="1"/>
  <c r="Y369" i="1"/>
  <c r="X369" i="1"/>
  <c r="BP368" i="1"/>
  <c r="BO368" i="1"/>
  <c r="BN368" i="1"/>
  <c r="BM368" i="1"/>
  <c r="Z368" i="1"/>
  <c r="Z369" i="1" s="1"/>
  <c r="Y368" i="1"/>
  <c r="Y370" i="1" s="1"/>
  <c r="P368" i="1"/>
  <c r="X366" i="1"/>
  <c r="Y365" i="1"/>
  <c r="X365" i="1"/>
  <c r="BP364" i="1"/>
  <c r="BO364" i="1"/>
  <c r="BN364" i="1"/>
  <c r="BM364" i="1"/>
  <c r="Z364" i="1"/>
  <c r="Y364" i="1"/>
  <c r="P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Y360" i="1" s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BO349" i="1"/>
  <c r="BM349" i="1"/>
  <c r="Y349" i="1"/>
  <c r="P349" i="1"/>
  <c r="BP348" i="1"/>
  <c r="BO348" i="1"/>
  <c r="BN348" i="1"/>
  <c r="BM348" i="1"/>
  <c r="Z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0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X302" i="1"/>
  <c r="X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29" i="1"/>
  <c r="X228" i="1"/>
  <c r="BO227" i="1"/>
  <c r="BM227" i="1"/>
  <c r="Y227" i="1"/>
  <c r="P227" i="1"/>
  <c r="BP226" i="1"/>
  <c r="BO226" i="1"/>
  <c r="BN226" i="1"/>
  <c r="BM226" i="1"/>
  <c r="Z226" i="1"/>
  <c r="Y226" i="1"/>
  <c r="P226" i="1"/>
  <c r="X224" i="1"/>
  <c r="X223" i="1"/>
  <c r="BP222" i="1"/>
  <c r="BO222" i="1"/>
  <c r="BN222" i="1"/>
  <c r="BM222" i="1"/>
  <c r="Z222" i="1"/>
  <c r="Y222" i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Y185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P172" i="1"/>
  <c r="BO172" i="1"/>
  <c r="BN172" i="1"/>
  <c r="BM172" i="1"/>
  <c r="Z172" i="1"/>
  <c r="Y172" i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P150" i="1"/>
  <c r="BO150" i="1"/>
  <c r="BN150" i="1"/>
  <c r="BM150" i="1"/>
  <c r="Z150" i="1"/>
  <c r="Y150" i="1"/>
  <c r="BP149" i="1"/>
  <c r="BO149" i="1"/>
  <c r="BN149" i="1"/>
  <c r="BM149" i="1"/>
  <c r="Z149" i="1"/>
  <c r="Y149" i="1"/>
  <c r="BP148" i="1"/>
  <c r="BO148" i="1"/>
  <c r="BN148" i="1"/>
  <c r="BM148" i="1"/>
  <c r="Z148" i="1"/>
  <c r="Y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Y134" i="1" s="1"/>
  <c r="P132" i="1"/>
  <c r="X130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P67" i="1"/>
  <c r="BO67" i="1"/>
  <c r="BN67" i="1"/>
  <c r="BM67" i="1"/>
  <c r="Z67" i="1"/>
  <c r="Y67" i="1"/>
  <c r="P67" i="1"/>
  <c r="X65" i="1"/>
  <c r="Y64" i="1"/>
  <c r="X64" i="1"/>
  <c r="BP63" i="1"/>
  <c r="BO63" i="1"/>
  <c r="BN63" i="1"/>
  <c r="BM63" i="1"/>
  <c r="Z63" i="1"/>
  <c r="Y63" i="1"/>
  <c r="P63" i="1"/>
  <c r="BO62" i="1"/>
  <c r="BM62" i="1"/>
  <c r="Y62" i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Y49" i="1"/>
  <c r="X49" i="1"/>
  <c r="X48" i="1"/>
  <c r="BO47" i="1"/>
  <c r="BM47" i="1"/>
  <c r="Z47" i="1"/>
  <c r="Z48" i="1" s="1"/>
  <c r="Y47" i="1"/>
  <c r="P47" i="1"/>
  <c r="X45" i="1"/>
  <c r="X44" i="1"/>
  <c r="BP43" i="1"/>
  <c r="BO43" i="1"/>
  <c r="BN43" i="1"/>
  <c r="BM43" i="1"/>
  <c r="Z43" i="1"/>
  <c r="Y43" i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Y44" i="1" s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3" i="1" s="1"/>
  <c r="P27" i="1"/>
  <c r="X25" i="1"/>
  <c r="X492" i="1" s="1"/>
  <c r="X24" i="1"/>
  <c r="X496" i="1" s="1"/>
  <c r="BO23" i="1"/>
  <c r="BN23" i="1"/>
  <c r="BM23" i="1"/>
  <c r="Z23" i="1"/>
  <c r="Y23" i="1"/>
  <c r="BP23" i="1" s="1"/>
  <c r="P23" i="1"/>
  <c r="BO22" i="1"/>
  <c r="X494" i="1" s="1"/>
  <c r="BM22" i="1"/>
  <c r="X493" i="1" s="1"/>
  <c r="X495" i="1" s="1"/>
  <c r="Y22" i="1"/>
  <c r="B502" i="1" s="1"/>
  <c r="P22" i="1"/>
  <c r="H10" i="1"/>
  <c r="A9" i="1"/>
  <c r="F10" i="1" s="1"/>
  <c r="D7" i="1"/>
  <c r="Q6" i="1"/>
  <c r="P2" i="1"/>
  <c r="H9" i="1" l="1"/>
  <c r="A10" i="1"/>
  <c r="Y24" i="1"/>
  <c r="Y32" i="1"/>
  <c r="D502" i="1"/>
  <c r="Y59" i="1"/>
  <c r="BP52" i="1"/>
  <c r="BN52" i="1"/>
  <c r="Z52" i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Z81" i="1" s="1"/>
  <c r="Y82" i="1"/>
  <c r="E502" i="1"/>
  <c r="Y90" i="1"/>
  <c r="BP85" i="1"/>
  <c r="BN85" i="1"/>
  <c r="Z85" i="1"/>
  <c r="Y89" i="1"/>
  <c r="BP93" i="1"/>
  <c r="BN93" i="1"/>
  <c r="Z93" i="1"/>
  <c r="Z96" i="1" s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Z154" i="1" s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Z301" i="1" s="1"/>
  <c r="Q502" i="1"/>
  <c r="Y301" i="1"/>
  <c r="BP305" i="1"/>
  <c r="BN305" i="1"/>
  <c r="Z305" i="1"/>
  <c r="Z310" i="1" s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Z323" i="1" s="1"/>
  <c r="Y323" i="1"/>
  <c r="H502" i="1"/>
  <c r="F9" i="1"/>
  <c r="J9" i="1"/>
  <c r="Z22" i="1"/>
  <c r="Z24" i="1" s="1"/>
  <c r="BN22" i="1"/>
  <c r="BP22" i="1"/>
  <c r="Y25" i="1"/>
  <c r="Z28" i="1"/>
  <c r="Z32" i="1" s="1"/>
  <c r="BN28" i="1"/>
  <c r="Z30" i="1"/>
  <c r="BN30" i="1"/>
  <c r="C502" i="1"/>
  <c r="Z42" i="1"/>
  <c r="Z44" i="1" s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Y97" i="1"/>
  <c r="F502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Y129" i="1"/>
  <c r="BP133" i="1"/>
  <c r="BN133" i="1"/>
  <c r="Z133" i="1"/>
  <c r="Z134" i="1" s="1"/>
  <c r="Y135" i="1"/>
  <c r="Y140" i="1"/>
  <c r="BP137" i="1"/>
  <c r="BN137" i="1"/>
  <c r="Z137" i="1"/>
  <c r="Z139" i="1" s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0" i="1"/>
  <c r="BP207" i="1"/>
  <c r="BN207" i="1"/>
  <c r="Z207" i="1"/>
  <c r="Y211" i="1"/>
  <c r="BP215" i="1"/>
  <c r="BN215" i="1"/>
  <c r="Z215" i="1"/>
  <c r="Z223" i="1" s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Z355" i="1" s="1"/>
  <c r="Y355" i="1"/>
  <c r="BP353" i="1"/>
  <c r="BN353" i="1"/>
  <c r="Z353" i="1"/>
  <c r="BP392" i="1"/>
  <c r="BN392" i="1"/>
  <c r="Z392" i="1"/>
  <c r="Z400" i="1" s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Z439" i="1" s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Z330" i="1" s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Z485" i="1" s="1"/>
  <c r="Y486" i="1"/>
  <c r="Z502" i="1"/>
  <c r="Y490" i="1"/>
  <c r="BP489" i="1"/>
  <c r="BN489" i="1"/>
  <c r="Z489" i="1"/>
  <c r="Z490" i="1" s="1"/>
  <c r="Y491" i="1"/>
  <c r="Y439" i="1"/>
  <c r="Z454" i="1" l="1"/>
  <c r="Z417" i="1"/>
  <c r="Z336" i="1"/>
  <c r="Z266" i="1"/>
  <c r="Z241" i="1"/>
  <c r="Z179" i="1"/>
  <c r="Y494" i="1"/>
  <c r="Z89" i="1"/>
  <c r="Z76" i="1"/>
  <c r="Z274" i="1"/>
  <c r="Z257" i="1"/>
  <c r="Y492" i="1"/>
  <c r="Y493" i="1"/>
  <c r="Y495" i="1" s="1"/>
  <c r="Z317" i="1"/>
  <c r="Z58" i="1"/>
  <c r="Z497" i="1" s="1"/>
  <c r="Y496" i="1"/>
</calcChain>
</file>

<file path=xl/sharedStrings.xml><?xml version="1.0" encoding="utf-8"?>
<sst xmlns="http://schemas.openxmlformats.org/spreadsheetml/2006/main" count="2339" uniqueCount="774">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</sst>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5" fillId="0" borderId="0" xfId="0" applyFont="1" applyProtection="1">
      <protection hidden="1"/>
    </xf>
    <xf numFmtId="0" fontId="590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2"/>
  <sheetViews>
    <sheetView showGridLines="0" tabSelected="1" topLeftCell="A469" zoomScaleNormal="100" zoomScaleSheetLayoutView="100" workbookViewId="0">
      <selection activeCell="AA498" sqref="AA498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791" t="s">
        <v>0</v>
      </c>
      <c r="E1" s="586"/>
      <c r="F1" s="586"/>
      <c r="G1" s="12" t="s">
        <v>1</v>
      </c>
      <c r="H1" s="791" t="s">
        <v>2</v>
      </c>
      <c r="I1" s="586"/>
      <c r="J1" s="586"/>
      <c r="K1" s="586"/>
      <c r="L1" s="586"/>
      <c r="M1" s="586"/>
      <c r="N1" s="586"/>
      <c r="O1" s="586"/>
      <c r="P1" s="586"/>
      <c r="Q1" s="586"/>
      <c r="R1" s="719" t="s">
        <v>3</v>
      </c>
      <c r="S1" s="586"/>
      <c r="T1" s="58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767" t="s">
        <v>8</v>
      </c>
      <c r="B5" s="575"/>
      <c r="C5" s="576"/>
      <c r="D5" s="664"/>
      <c r="E5" s="666"/>
      <c r="F5" s="619" t="s">
        <v>9</v>
      </c>
      <c r="G5" s="576"/>
      <c r="H5" s="664"/>
      <c r="I5" s="665"/>
      <c r="J5" s="665"/>
      <c r="K5" s="665"/>
      <c r="L5" s="665"/>
      <c r="M5" s="666"/>
      <c r="N5" s="58"/>
      <c r="P5" s="24" t="s">
        <v>10</v>
      </c>
      <c r="Q5" s="598">
        <v>46013</v>
      </c>
      <c r="R5" s="599"/>
      <c r="T5" s="727" t="s">
        <v>11</v>
      </c>
      <c r="U5" s="671"/>
      <c r="V5" s="728" t="s">
        <v>12</v>
      </c>
      <c r="W5" s="599"/>
      <c r="AB5" s="51"/>
      <c r="AC5" s="51"/>
      <c r="AD5" s="51"/>
      <c r="AE5" s="51"/>
    </row>
    <row r="6" spans="1:32" s="541" customFormat="1" ht="24" customHeight="1" x14ac:dyDescent="0.2">
      <c r="A6" s="767" t="s">
        <v>13</v>
      </c>
      <c r="B6" s="575"/>
      <c r="C6" s="576"/>
      <c r="D6" s="668" t="s">
        <v>14</v>
      </c>
      <c r="E6" s="669"/>
      <c r="F6" s="669"/>
      <c r="G6" s="669"/>
      <c r="H6" s="669"/>
      <c r="I6" s="669"/>
      <c r="J6" s="669"/>
      <c r="K6" s="669"/>
      <c r="L6" s="669"/>
      <c r="M6" s="599"/>
      <c r="N6" s="59"/>
      <c r="P6" s="24" t="s">
        <v>15</v>
      </c>
      <c r="Q6" s="605" t="str">
        <f>IF(Q5=0," ",CHOOSE(WEEKDAY(Q5,2),"Понедельник","Вторник","Среда","Четверг","Пятница","Суббота","Воскресенье"))</f>
        <v>Понедельник</v>
      </c>
      <c r="R6" s="559"/>
      <c r="T6" s="733" t="s">
        <v>16</v>
      </c>
      <c r="U6" s="671"/>
      <c r="V6" s="678" t="s">
        <v>17</v>
      </c>
      <c r="W6" s="679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825" t="str">
        <f>IFERROR(VLOOKUP(DeliveryAddress,Table,3,0),1)</f>
        <v>1</v>
      </c>
      <c r="E7" s="826"/>
      <c r="F7" s="826"/>
      <c r="G7" s="826"/>
      <c r="H7" s="826"/>
      <c r="I7" s="826"/>
      <c r="J7" s="826"/>
      <c r="K7" s="826"/>
      <c r="L7" s="826"/>
      <c r="M7" s="732"/>
      <c r="N7" s="60"/>
      <c r="P7" s="24"/>
      <c r="Q7" s="42"/>
      <c r="R7" s="42"/>
      <c r="T7" s="557"/>
      <c r="U7" s="671"/>
      <c r="V7" s="680"/>
      <c r="W7" s="681"/>
      <c r="AB7" s="51"/>
      <c r="AC7" s="51"/>
      <c r="AD7" s="51"/>
      <c r="AE7" s="51"/>
    </row>
    <row r="8" spans="1:32" s="541" customFormat="1" ht="25.5" customHeight="1" x14ac:dyDescent="0.2">
      <c r="A8" s="571" t="s">
        <v>18</v>
      </c>
      <c r="B8" s="554"/>
      <c r="C8" s="555"/>
      <c r="D8" s="815" t="s">
        <v>19</v>
      </c>
      <c r="E8" s="816"/>
      <c r="F8" s="816"/>
      <c r="G8" s="816"/>
      <c r="H8" s="816"/>
      <c r="I8" s="816"/>
      <c r="J8" s="816"/>
      <c r="K8" s="816"/>
      <c r="L8" s="816"/>
      <c r="M8" s="817"/>
      <c r="N8" s="61"/>
      <c r="P8" s="24" t="s">
        <v>20</v>
      </c>
      <c r="Q8" s="731">
        <v>0.41666666666666669</v>
      </c>
      <c r="R8" s="732"/>
      <c r="T8" s="557"/>
      <c r="U8" s="671"/>
      <c r="V8" s="680"/>
      <c r="W8" s="681"/>
      <c r="AB8" s="51"/>
      <c r="AC8" s="51"/>
      <c r="AD8" s="51"/>
      <c r="AE8" s="51"/>
    </row>
    <row r="9" spans="1:32" s="541" customFormat="1" ht="39.950000000000003" customHeight="1" x14ac:dyDescent="0.2">
      <c r="A9" s="5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33"/>
      <c r="E9" s="634"/>
      <c r="F9" s="5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710" t="str">
        <f>IF(AND($A$9="Тип доверенности/получателя при получении в адресе перегруза:",$D$9="Разовая доверенность"),"Введите ФИО","")</f>
        <v/>
      </c>
      <c r="I9" s="634"/>
      <c r="J9" s="71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4"/>
      <c r="L9" s="634"/>
      <c r="M9" s="634"/>
      <c r="N9" s="539"/>
      <c r="P9" s="26" t="s">
        <v>21</v>
      </c>
      <c r="Q9" s="774"/>
      <c r="R9" s="623"/>
      <c r="T9" s="557"/>
      <c r="U9" s="671"/>
      <c r="V9" s="682"/>
      <c r="W9" s="683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5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33"/>
      <c r="E10" s="634"/>
      <c r="F10" s="5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693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34"/>
      <c r="R10" s="735"/>
      <c r="U10" s="24" t="s">
        <v>23</v>
      </c>
      <c r="V10" s="837" t="s">
        <v>24</v>
      </c>
      <c r="W10" s="679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5"/>
      <c r="R11" s="599"/>
      <c r="U11" s="24" t="s">
        <v>27</v>
      </c>
      <c r="V11" s="622" t="s">
        <v>28</v>
      </c>
      <c r="W11" s="623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8" t="s">
        <v>29</v>
      </c>
      <c r="B12" s="575"/>
      <c r="C12" s="575"/>
      <c r="D12" s="575"/>
      <c r="E12" s="575"/>
      <c r="F12" s="575"/>
      <c r="G12" s="575"/>
      <c r="H12" s="575"/>
      <c r="I12" s="575"/>
      <c r="J12" s="575"/>
      <c r="K12" s="575"/>
      <c r="L12" s="575"/>
      <c r="M12" s="576"/>
      <c r="N12" s="62"/>
      <c r="P12" s="24" t="s">
        <v>30</v>
      </c>
      <c r="Q12" s="731"/>
      <c r="R12" s="732"/>
      <c r="S12" s="23"/>
      <c r="U12" s="24"/>
      <c r="V12" s="586"/>
      <c r="W12" s="557"/>
      <c r="AB12" s="51"/>
      <c r="AC12" s="51"/>
      <c r="AD12" s="51"/>
      <c r="AE12" s="51"/>
    </row>
    <row r="13" spans="1:32" s="541" customFormat="1" ht="23.25" customHeight="1" x14ac:dyDescent="0.2">
      <c r="A13" s="718" t="s">
        <v>31</v>
      </c>
      <c r="B13" s="575"/>
      <c r="C13" s="575"/>
      <c r="D13" s="575"/>
      <c r="E13" s="575"/>
      <c r="F13" s="575"/>
      <c r="G13" s="575"/>
      <c r="H13" s="575"/>
      <c r="I13" s="575"/>
      <c r="J13" s="575"/>
      <c r="K13" s="575"/>
      <c r="L13" s="575"/>
      <c r="M13" s="576"/>
      <c r="N13" s="62"/>
      <c r="O13" s="26"/>
      <c r="P13" s="26" t="s">
        <v>32</v>
      </c>
      <c r="Q13" s="622"/>
      <c r="R13" s="62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8" t="s">
        <v>33</v>
      </c>
      <c r="B14" s="575"/>
      <c r="C14" s="575"/>
      <c r="D14" s="575"/>
      <c r="E14" s="575"/>
      <c r="F14" s="575"/>
      <c r="G14" s="575"/>
      <c r="H14" s="575"/>
      <c r="I14" s="575"/>
      <c r="J14" s="575"/>
      <c r="K14" s="575"/>
      <c r="L14" s="575"/>
      <c r="M14" s="57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22" t="s">
        <v>34</v>
      </c>
      <c r="B15" s="575"/>
      <c r="C15" s="575"/>
      <c r="D15" s="575"/>
      <c r="E15" s="575"/>
      <c r="F15" s="575"/>
      <c r="G15" s="575"/>
      <c r="H15" s="575"/>
      <c r="I15" s="575"/>
      <c r="J15" s="575"/>
      <c r="K15" s="575"/>
      <c r="L15" s="575"/>
      <c r="M15" s="576"/>
      <c r="N15" s="63"/>
      <c r="P15" s="750" t="s">
        <v>35</v>
      </c>
      <c r="Q15" s="586"/>
      <c r="R15" s="586"/>
      <c r="S15" s="586"/>
      <c r="T15" s="58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51"/>
      <c r="Q16" s="751"/>
      <c r="R16" s="751"/>
      <c r="S16" s="751"/>
      <c r="T16" s="75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9" t="s">
        <v>36</v>
      </c>
      <c r="B17" s="579" t="s">
        <v>37</v>
      </c>
      <c r="C17" s="770" t="s">
        <v>38</v>
      </c>
      <c r="D17" s="579" t="s">
        <v>39</v>
      </c>
      <c r="E17" s="580"/>
      <c r="F17" s="579" t="s">
        <v>40</v>
      </c>
      <c r="G17" s="579" t="s">
        <v>41</v>
      </c>
      <c r="H17" s="579" t="s">
        <v>42</v>
      </c>
      <c r="I17" s="579" t="s">
        <v>43</v>
      </c>
      <c r="J17" s="579" t="s">
        <v>44</v>
      </c>
      <c r="K17" s="579" t="s">
        <v>45</v>
      </c>
      <c r="L17" s="579" t="s">
        <v>46</v>
      </c>
      <c r="M17" s="579" t="s">
        <v>47</v>
      </c>
      <c r="N17" s="579" t="s">
        <v>48</v>
      </c>
      <c r="O17" s="579" t="s">
        <v>49</v>
      </c>
      <c r="P17" s="579" t="s">
        <v>50</v>
      </c>
      <c r="Q17" s="782"/>
      <c r="R17" s="782"/>
      <c r="S17" s="782"/>
      <c r="T17" s="580"/>
      <c r="U17" s="593" t="s">
        <v>51</v>
      </c>
      <c r="V17" s="576"/>
      <c r="W17" s="579" t="s">
        <v>52</v>
      </c>
      <c r="X17" s="579" t="s">
        <v>53</v>
      </c>
      <c r="Y17" s="594" t="s">
        <v>54</v>
      </c>
      <c r="Z17" s="690" t="s">
        <v>55</v>
      </c>
      <c r="AA17" s="613" t="s">
        <v>56</v>
      </c>
      <c r="AB17" s="613" t="s">
        <v>57</v>
      </c>
      <c r="AC17" s="613" t="s">
        <v>58</v>
      </c>
      <c r="AD17" s="613" t="s">
        <v>59</v>
      </c>
      <c r="AE17" s="614"/>
      <c r="AF17" s="615"/>
      <c r="AG17" s="66"/>
      <c r="BD17" s="65" t="s">
        <v>60</v>
      </c>
    </row>
    <row r="18" spans="1:68" ht="14.25" customHeight="1" x14ac:dyDescent="0.2">
      <c r="A18" s="583"/>
      <c r="B18" s="583"/>
      <c r="C18" s="583"/>
      <c r="D18" s="581"/>
      <c r="E18" s="582"/>
      <c r="F18" s="583"/>
      <c r="G18" s="583"/>
      <c r="H18" s="583"/>
      <c r="I18" s="583"/>
      <c r="J18" s="583"/>
      <c r="K18" s="583"/>
      <c r="L18" s="583"/>
      <c r="M18" s="583"/>
      <c r="N18" s="583"/>
      <c r="O18" s="583"/>
      <c r="P18" s="581"/>
      <c r="Q18" s="783"/>
      <c r="R18" s="783"/>
      <c r="S18" s="783"/>
      <c r="T18" s="582"/>
      <c r="U18" s="67" t="s">
        <v>61</v>
      </c>
      <c r="V18" s="67" t="s">
        <v>62</v>
      </c>
      <c r="W18" s="583"/>
      <c r="X18" s="583"/>
      <c r="Y18" s="595"/>
      <c r="Z18" s="691"/>
      <c r="AA18" s="692"/>
      <c r="AB18" s="692"/>
      <c r="AC18" s="692"/>
      <c r="AD18" s="616"/>
      <c r="AE18" s="617"/>
      <c r="AF18" s="618"/>
      <c r="AG18" s="66"/>
      <c r="BD18" s="65"/>
    </row>
    <row r="19" spans="1:68" ht="27.75" customHeight="1" x14ac:dyDescent="0.2">
      <c r="A19" s="648" t="s">
        <v>63</v>
      </c>
      <c r="B19" s="649"/>
      <c r="C19" s="649"/>
      <c r="D19" s="649"/>
      <c r="E19" s="649"/>
      <c r="F19" s="649"/>
      <c r="G19" s="649"/>
      <c r="H19" s="649"/>
      <c r="I19" s="649"/>
      <c r="J19" s="649"/>
      <c r="K19" s="649"/>
      <c r="L19" s="649"/>
      <c r="M19" s="649"/>
      <c r="N19" s="649"/>
      <c r="O19" s="649"/>
      <c r="P19" s="649"/>
      <c r="Q19" s="649"/>
      <c r="R19" s="649"/>
      <c r="S19" s="649"/>
      <c r="T19" s="649"/>
      <c r="U19" s="649"/>
      <c r="V19" s="649"/>
      <c r="W19" s="649"/>
      <c r="X19" s="649"/>
      <c r="Y19" s="649"/>
      <c r="Z19" s="649"/>
      <c r="AA19" s="48"/>
      <c r="AB19" s="48"/>
      <c r="AC19" s="48"/>
    </row>
    <row r="20" spans="1:68" ht="16.5" customHeight="1" x14ac:dyDescent="0.25">
      <c r="A20" s="588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customHeight="1" x14ac:dyDescent="0.25">
      <c r="A21" s="556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8">
        <v>4680115887510</v>
      </c>
      <c r="E22" s="559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5"/>
      <c r="R22" s="565"/>
      <c r="S22" s="565"/>
      <c r="T22" s="566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8">
        <v>4680115886643</v>
      </c>
      <c r="E23" s="559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5"/>
      <c r="R23" s="565"/>
      <c r="S23" s="565"/>
      <c r="T23" s="566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1"/>
      <c r="P24" s="553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1"/>
      <c r="P25" s="553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56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8">
        <v>4680115885912</v>
      </c>
      <c r="E27" s="559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5"/>
      <c r="R27" s="565"/>
      <c r="S27" s="565"/>
      <c r="T27" s="566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8">
        <v>4607091388237</v>
      </c>
      <c r="E28" s="559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5"/>
      <c r="R28" s="565"/>
      <c r="S28" s="565"/>
      <c r="T28" s="566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8">
        <v>4680115887350</v>
      </c>
      <c r="E29" s="559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5"/>
      <c r="R29" s="565"/>
      <c r="S29" s="565"/>
      <c r="T29" s="566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8">
        <v>4680115885905</v>
      </c>
      <c r="E30" s="559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5"/>
      <c r="R30" s="565"/>
      <c r="S30" s="565"/>
      <c r="T30" s="566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58">
        <v>4607091388244</v>
      </c>
      <c r="E31" s="559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1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5"/>
      <c r="R31" s="565"/>
      <c r="S31" s="565"/>
      <c r="T31" s="566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60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1"/>
      <c r="P32" s="553" t="s">
        <v>75</v>
      </c>
      <c r="Q32" s="554"/>
      <c r="R32" s="554"/>
      <c r="S32" s="554"/>
      <c r="T32" s="554"/>
      <c r="U32" s="554"/>
      <c r="V32" s="555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1"/>
      <c r="P33" s="553" t="s">
        <v>75</v>
      </c>
      <c r="Q33" s="554"/>
      <c r="R33" s="554"/>
      <c r="S33" s="554"/>
      <c r="T33" s="554"/>
      <c r="U33" s="554"/>
      <c r="V33" s="555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customHeight="1" x14ac:dyDescent="0.25">
      <c r="A34" s="556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58">
        <v>4607091388503</v>
      </c>
      <c r="E35" s="559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0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5"/>
      <c r="R35" s="565"/>
      <c r="S35" s="565"/>
      <c r="T35" s="566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60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1"/>
      <c r="P36" s="553" t="s">
        <v>75</v>
      </c>
      <c r="Q36" s="554"/>
      <c r="R36" s="554"/>
      <c r="S36" s="554"/>
      <c r="T36" s="554"/>
      <c r="U36" s="554"/>
      <c r="V36" s="555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1"/>
      <c r="P37" s="553" t="s">
        <v>75</v>
      </c>
      <c r="Q37" s="554"/>
      <c r="R37" s="554"/>
      <c r="S37" s="554"/>
      <c r="T37" s="554"/>
      <c r="U37" s="554"/>
      <c r="V37" s="555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customHeight="1" x14ac:dyDescent="0.2">
      <c r="A38" s="648" t="s">
        <v>99</v>
      </c>
      <c r="B38" s="649"/>
      <c r="C38" s="649"/>
      <c r="D38" s="649"/>
      <c r="E38" s="649"/>
      <c r="F38" s="649"/>
      <c r="G38" s="649"/>
      <c r="H38" s="649"/>
      <c r="I38" s="649"/>
      <c r="J38" s="649"/>
      <c r="K38" s="649"/>
      <c r="L38" s="649"/>
      <c r="M38" s="649"/>
      <c r="N38" s="649"/>
      <c r="O38" s="649"/>
      <c r="P38" s="649"/>
      <c r="Q38" s="649"/>
      <c r="R38" s="649"/>
      <c r="S38" s="649"/>
      <c r="T38" s="649"/>
      <c r="U38" s="649"/>
      <c r="V38" s="649"/>
      <c r="W38" s="649"/>
      <c r="X38" s="649"/>
      <c r="Y38" s="649"/>
      <c r="Z38" s="649"/>
      <c r="AA38" s="48"/>
      <c r="AB38" s="48"/>
      <c r="AC38" s="48"/>
    </row>
    <row r="39" spans="1:68" ht="16.5" customHeight="1" x14ac:dyDescent="0.25">
      <c r="A39" s="588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customHeight="1" x14ac:dyDescent="0.25">
      <c r="A40" s="556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8">
        <v>4607091385670</v>
      </c>
      <c r="E41" s="559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5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5"/>
      <c r="R41" s="565"/>
      <c r="S41" s="565"/>
      <c r="T41" s="566"/>
      <c r="U41" s="34"/>
      <c r="V41" s="34"/>
      <c r="W41" s="35" t="s">
        <v>69</v>
      </c>
      <c r="X41" s="547">
        <v>250</v>
      </c>
      <c r="Y41" s="548">
        <f>IFERROR(IF(X41="",0,CEILING((X41/$H41),1)*$H41),"")</f>
        <v>259.20000000000005</v>
      </c>
      <c r="Z41" s="36">
        <f>IFERROR(IF(Y41=0,"",ROUNDUP(Y41/H41,0)*0.01898),"")</f>
        <v>0.45552000000000004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259.4907407407407</v>
      </c>
      <c r="BN41" s="64">
        <f>IFERROR(Y41*I41/H41,"0")</f>
        <v>269.04000000000002</v>
      </c>
      <c r="BO41" s="64">
        <f>IFERROR(1/J41*(X41/H41),"0")</f>
        <v>0.36168981481481477</v>
      </c>
      <c r="BP41" s="64">
        <f>IFERROR(1/J41*(Y41/H41),"0")</f>
        <v>0.37500000000000006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58">
        <v>4680115882539</v>
      </c>
      <c r="E42" s="559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8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5"/>
      <c r="R42" s="565"/>
      <c r="S42" s="565"/>
      <c r="T42" s="566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58">
        <v>4607091385687</v>
      </c>
      <c r="E43" s="559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112</v>
      </c>
      <c r="M43" s="33" t="s">
        <v>80</v>
      </c>
      <c r="N43" s="33"/>
      <c r="O43" s="32">
        <v>50</v>
      </c>
      <c r="P43" s="7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5"/>
      <c r="R43" s="565"/>
      <c r="S43" s="565"/>
      <c r="T43" s="566"/>
      <c r="U43" s="34"/>
      <c r="V43" s="34"/>
      <c r="W43" s="35" t="s">
        <v>69</v>
      </c>
      <c r="X43" s="547">
        <v>0</v>
      </c>
      <c r="Y43" s="548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0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1"/>
      <c r="P44" s="553" t="s">
        <v>75</v>
      </c>
      <c r="Q44" s="554"/>
      <c r="R44" s="554"/>
      <c r="S44" s="554"/>
      <c r="T44" s="554"/>
      <c r="U44" s="554"/>
      <c r="V44" s="555"/>
      <c r="W44" s="37" t="s">
        <v>76</v>
      </c>
      <c r="X44" s="549">
        <f>IFERROR(X41/H41,"0")+IFERROR(X42/H42,"0")+IFERROR(X43/H43,"0")</f>
        <v>23.148148148148145</v>
      </c>
      <c r="Y44" s="549">
        <f>IFERROR(Y41/H41,"0")+IFERROR(Y42/H42,"0")+IFERROR(Y43/H43,"0")</f>
        <v>24.000000000000004</v>
      </c>
      <c r="Z44" s="549">
        <f>IFERROR(IF(Z41="",0,Z41),"0")+IFERROR(IF(Z42="",0,Z42),"0")+IFERROR(IF(Z43="",0,Z43),"0")</f>
        <v>0.45552000000000004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1"/>
      <c r="P45" s="553" t="s">
        <v>75</v>
      </c>
      <c r="Q45" s="554"/>
      <c r="R45" s="554"/>
      <c r="S45" s="554"/>
      <c r="T45" s="554"/>
      <c r="U45" s="554"/>
      <c r="V45" s="555"/>
      <c r="W45" s="37" t="s">
        <v>69</v>
      </c>
      <c r="X45" s="549">
        <f>IFERROR(SUM(X41:X43),"0")</f>
        <v>250</v>
      </c>
      <c r="Y45" s="549">
        <f>IFERROR(SUM(Y41:Y43),"0")</f>
        <v>259.20000000000005</v>
      </c>
      <c r="Z45" s="37"/>
      <c r="AA45" s="550"/>
      <c r="AB45" s="550"/>
      <c r="AC45" s="550"/>
    </row>
    <row r="46" spans="1:68" ht="14.25" customHeight="1" x14ac:dyDescent="0.25">
      <c r="A46" s="556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58">
        <v>4680115884915</v>
      </c>
      <c r="E47" s="559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2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5"/>
      <c r="R47" s="565"/>
      <c r="S47" s="565"/>
      <c r="T47" s="566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60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1"/>
      <c r="P48" s="553" t="s">
        <v>75</v>
      </c>
      <c r="Q48" s="554"/>
      <c r="R48" s="554"/>
      <c r="S48" s="554"/>
      <c r="T48" s="554"/>
      <c r="U48" s="554"/>
      <c r="V48" s="555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1"/>
      <c r="P49" s="553" t="s">
        <v>75</v>
      </c>
      <c r="Q49" s="554"/>
      <c r="R49" s="554"/>
      <c r="S49" s="554"/>
      <c r="T49" s="554"/>
      <c r="U49" s="554"/>
      <c r="V49" s="555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customHeight="1" x14ac:dyDescent="0.25">
      <c r="A50" s="588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customHeight="1" x14ac:dyDescent="0.25">
      <c r="A51" s="556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58">
        <v>4680115885882</v>
      </c>
      <c r="E52" s="559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5"/>
      <c r="R52" s="565"/>
      <c r="S52" s="565"/>
      <c r="T52" s="566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8">
        <v>4680115881426</v>
      </c>
      <c r="E53" s="559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8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5"/>
      <c r="R53" s="565"/>
      <c r="S53" s="565"/>
      <c r="T53" s="566"/>
      <c r="U53" s="34"/>
      <c r="V53" s="34"/>
      <c r="W53" s="35" t="s">
        <v>69</v>
      </c>
      <c r="X53" s="547">
        <v>100</v>
      </c>
      <c r="Y53" s="548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58">
        <v>4680115880283</v>
      </c>
      <c r="E54" s="559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3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5"/>
      <c r="R54" s="565"/>
      <c r="S54" s="565"/>
      <c r="T54" s="566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58">
        <v>4680115881525</v>
      </c>
      <c r="E55" s="559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80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5"/>
      <c r="R55" s="565"/>
      <c r="S55" s="565"/>
      <c r="T55" s="566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58">
        <v>4680115885899</v>
      </c>
      <c r="E56" s="559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5"/>
      <c r="R56" s="565"/>
      <c r="S56" s="565"/>
      <c r="T56" s="566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8">
        <v>4680115881419</v>
      </c>
      <c r="E57" s="559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 t="s">
        <v>112</v>
      </c>
      <c r="M57" s="33" t="s">
        <v>106</v>
      </c>
      <c r="N57" s="33"/>
      <c r="O57" s="32">
        <v>50</v>
      </c>
      <c r="P57" s="6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5"/>
      <c r="R57" s="565"/>
      <c r="S57" s="565"/>
      <c r="T57" s="566"/>
      <c r="U57" s="34"/>
      <c r="V57" s="34"/>
      <c r="W57" s="35" t="s">
        <v>69</v>
      </c>
      <c r="X57" s="547">
        <v>22.5</v>
      </c>
      <c r="Y57" s="548">
        <f t="shared" si="0"/>
        <v>22.5</v>
      </c>
      <c r="Z57" s="36">
        <f>IFERROR(IF(Y57=0,"",ROUNDUP(Y57/H57,0)*0.00902),"")</f>
        <v>4.5100000000000001E-2</v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23.450000000000003</v>
      </c>
      <c r="BN57" s="64">
        <f t="shared" si="2"/>
        <v>23.450000000000003</v>
      </c>
      <c r="BO57" s="64">
        <f t="shared" si="3"/>
        <v>3.787878787878788E-2</v>
      </c>
      <c r="BP57" s="64">
        <f t="shared" si="4"/>
        <v>3.787878787878788E-2</v>
      </c>
    </row>
    <row r="58" spans="1:68" x14ac:dyDescent="0.2">
      <c r="A58" s="560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1"/>
      <c r="P58" s="553" t="s">
        <v>75</v>
      </c>
      <c r="Q58" s="554"/>
      <c r="R58" s="554"/>
      <c r="S58" s="554"/>
      <c r="T58" s="554"/>
      <c r="U58" s="554"/>
      <c r="V58" s="555"/>
      <c r="W58" s="37" t="s">
        <v>76</v>
      </c>
      <c r="X58" s="549">
        <f>IFERROR(X52/H52,"0")+IFERROR(X53/H53,"0")+IFERROR(X54/H54,"0")+IFERROR(X55/H55,"0")+IFERROR(X56/H56,"0")+IFERROR(X57/H57,"0")</f>
        <v>14.25925925925926</v>
      </c>
      <c r="Y58" s="549">
        <f>IFERROR(Y52/H52,"0")+IFERROR(Y53/H53,"0")+IFERROR(Y54/H54,"0")+IFERROR(Y55/H55,"0")+IFERROR(Y56/H56,"0")+IFERROR(Y57/H57,"0")</f>
        <v>15</v>
      </c>
      <c r="Z58" s="549">
        <f>IFERROR(IF(Z52="",0,Z52),"0")+IFERROR(IF(Z53="",0,Z53),"0")+IFERROR(IF(Z54="",0,Z54),"0")+IFERROR(IF(Z55="",0,Z55),"0")+IFERROR(IF(Z56="",0,Z56),"0")+IFERROR(IF(Z57="",0,Z57),"0")</f>
        <v>0.2349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1"/>
      <c r="P59" s="553" t="s">
        <v>75</v>
      </c>
      <c r="Q59" s="554"/>
      <c r="R59" s="554"/>
      <c r="S59" s="554"/>
      <c r="T59" s="554"/>
      <c r="U59" s="554"/>
      <c r="V59" s="555"/>
      <c r="W59" s="37" t="s">
        <v>69</v>
      </c>
      <c r="X59" s="549">
        <f>IFERROR(SUM(X52:X57),"0")</f>
        <v>122.5</v>
      </c>
      <c r="Y59" s="549">
        <f>IFERROR(SUM(Y52:Y57),"0")</f>
        <v>130.5</v>
      </c>
      <c r="Z59" s="37"/>
      <c r="AA59" s="550"/>
      <c r="AB59" s="550"/>
      <c r="AC59" s="550"/>
    </row>
    <row r="60" spans="1:68" ht="14.25" customHeight="1" x14ac:dyDescent="0.25">
      <c r="A60" s="556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8">
        <v>4680115881440</v>
      </c>
      <c r="E61" s="559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6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5"/>
      <c r="R61" s="565"/>
      <c r="S61" s="565"/>
      <c r="T61" s="566"/>
      <c r="U61" s="34"/>
      <c r="V61" s="34"/>
      <c r="W61" s="35" t="s">
        <v>69</v>
      </c>
      <c r="X61" s="547">
        <v>50</v>
      </c>
      <c r="Y61" s="548">
        <f>IFERROR(IF(X61="",0,CEILING((X61/$H61),1)*$H61),"")</f>
        <v>54</v>
      </c>
      <c r="Z61" s="36">
        <f>IFERROR(IF(Y61=0,"",ROUNDUP(Y61/H61,0)*0.01898),"")</f>
        <v>9.4899999999999998E-2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51.898148148148145</v>
      </c>
      <c r="BN61" s="64">
        <f>IFERROR(Y61*I61/H61,"0")</f>
        <v>56.05</v>
      </c>
      <c r="BO61" s="64">
        <f>IFERROR(1/J61*(X61/H61),"0")</f>
        <v>7.2337962962962965E-2</v>
      </c>
      <c r="BP61" s="64">
        <f>IFERROR(1/J61*(Y61/H61),"0")</f>
        <v>7.8125E-2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58">
        <v>4680115885950</v>
      </c>
      <c r="E62" s="559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6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5"/>
      <c r="R62" s="565"/>
      <c r="S62" s="565"/>
      <c r="T62" s="566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8">
        <v>4680115881433</v>
      </c>
      <c r="E63" s="559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8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5"/>
      <c r="R63" s="565"/>
      <c r="S63" s="565"/>
      <c r="T63" s="566"/>
      <c r="U63" s="34"/>
      <c r="V63" s="34"/>
      <c r="W63" s="35" t="s">
        <v>69</v>
      </c>
      <c r="X63" s="547">
        <v>0</v>
      </c>
      <c r="Y63" s="548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0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1"/>
      <c r="P64" s="553" t="s">
        <v>75</v>
      </c>
      <c r="Q64" s="554"/>
      <c r="R64" s="554"/>
      <c r="S64" s="554"/>
      <c r="T64" s="554"/>
      <c r="U64" s="554"/>
      <c r="V64" s="555"/>
      <c r="W64" s="37" t="s">
        <v>76</v>
      </c>
      <c r="X64" s="549">
        <f>IFERROR(X61/H61,"0")+IFERROR(X62/H62,"0")+IFERROR(X63/H63,"0")</f>
        <v>4.6296296296296298</v>
      </c>
      <c r="Y64" s="549">
        <f>IFERROR(Y61/H61,"0")+IFERROR(Y62/H62,"0")+IFERROR(Y63/H63,"0")</f>
        <v>5</v>
      </c>
      <c r="Z64" s="549">
        <f>IFERROR(IF(Z61="",0,Z61),"0")+IFERROR(IF(Z62="",0,Z62),"0")+IFERROR(IF(Z63="",0,Z63),"0")</f>
        <v>9.4899999999999998E-2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1"/>
      <c r="P65" s="553" t="s">
        <v>75</v>
      </c>
      <c r="Q65" s="554"/>
      <c r="R65" s="554"/>
      <c r="S65" s="554"/>
      <c r="T65" s="554"/>
      <c r="U65" s="554"/>
      <c r="V65" s="555"/>
      <c r="W65" s="37" t="s">
        <v>69</v>
      </c>
      <c r="X65" s="549">
        <f>IFERROR(SUM(X61:X63),"0")</f>
        <v>50</v>
      </c>
      <c r="Y65" s="549">
        <f>IFERROR(SUM(Y61:Y63),"0")</f>
        <v>54</v>
      </c>
      <c r="Z65" s="37"/>
      <c r="AA65" s="550"/>
      <c r="AB65" s="550"/>
      <c r="AC65" s="550"/>
    </row>
    <row r="66" spans="1:68" ht="14.25" customHeight="1" x14ac:dyDescent="0.25">
      <c r="A66" s="556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58">
        <v>4680115885073</v>
      </c>
      <c r="E67" s="559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5"/>
      <c r="R67" s="565"/>
      <c r="S67" s="565"/>
      <c r="T67" s="566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58">
        <v>4680115885097</v>
      </c>
      <c r="E68" s="559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6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5"/>
      <c r="R68" s="565"/>
      <c r="S68" s="565"/>
      <c r="T68" s="566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0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1"/>
      <c r="P69" s="553" t="s">
        <v>75</v>
      </c>
      <c r="Q69" s="554"/>
      <c r="R69" s="554"/>
      <c r="S69" s="554"/>
      <c r="T69" s="554"/>
      <c r="U69" s="554"/>
      <c r="V69" s="555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1"/>
      <c r="P70" s="553" t="s">
        <v>75</v>
      </c>
      <c r="Q70" s="554"/>
      <c r="R70" s="554"/>
      <c r="S70" s="554"/>
      <c r="T70" s="554"/>
      <c r="U70" s="554"/>
      <c r="V70" s="555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customHeight="1" x14ac:dyDescent="0.25">
      <c r="A71" s="556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58">
        <v>4680115885769</v>
      </c>
      <c r="E72" s="559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61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5"/>
      <c r="R72" s="565"/>
      <c r="S72" s="565"/>
      <c r="T72" s="566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58">
        <v>4680115884311</v>
      </c>
      <c r="E73" s="559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5"/>
      <c r="R73" s="565"/>
      <c r="S73" s="565"/>
      <c r="T73" s="566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58">
        <v>4680115885929</v>
      </c>
      <c r="E74" s="559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5"/>
      <c r="R74" s="565"/>
      <c r="S74" s="565"/>
      <c r="T74" s="566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58">
        <v>4680115884403</v>
      </c>
      <c r="E75" s="559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2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5"/>
      <c r="R75" s="565"/>
      <c r="S75" s="565"/>
      <c r="T75" s="566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0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1"/>
      <c r="P76" s="553" t="s">
        <v>75</v>
      </c>
      <c r="Q76" s="554"/>
      <c r="R76" s="554"/>
      <c r="S76" s="554"/>
      <c r="T76" s="554"/>
      <c r="U76" s="554"/>
      <c r="V76" s="555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1"/>
      <c r="P77" s="553" t="s">
        <v>75</v>
      </c>
      <c r="Q77" s="554"/>
      <c r="R77" s="554"/>
      <c r="S77" s="554"/>
      <c r="T77" s="554"/>
      <c r="U77" s="554"/>
      <c r="V77" s="555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customHeight="1" x14ac:dyDescent="0.25">
      <c r="A78" s="556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58">
        <v>4680115881532</v>
      </c>
      <c r="E79" s="559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8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5"/>
      <c r="R79" s="565"/>
      <c r="S79" s="565"/>
      <c r="T79" s="566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58">
        <v>4680115881464</v>
      </c>
      <c r="E80" s="559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8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5"/>
      <c r="R80" s="565"/>
      <c r="S80" s="565"/>
      <c r="T80" s="566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0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1"/>
      <c r="P81" s="553" t="s">
        <v>75</v>
      </c>
      <c r="Q81" s="554"/>
      <c r="R81" s="554"/>
      <c r="S81" s="554"/>
      <c r="T81" s="554"/>
      <c r="U81" s="554"/>
      <c r="V81" s="555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1"/>
      <c r="P82" s="553" t="s">
        <v>75</v>
      </c>
      <c r="Q82" s="554"/>
      <c r="R82" s="554"/>
      <c r="S82" s="554"/>
      <c r="T82" s="554"/>
      <c r="U82" s="554"/>
      <c r="V82" s="555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customHeight="1" x14ac:dyDescent="0.25">
      <c r="A83" s="588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customHeight="1" x14ac:dyDescent="0.25">
      <c r="A84" s="556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8">
        <v>4680115881327</v>
      </c>
      <c r="E85" s="559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8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5"/>
      <c r="R85" s="565"/>
      <c r="S85" s="565"/>
      <c r="T85" s="566"/>
      <c r="U85" s="34"/>
      <c r="V85" s="34"/>
      <c r="W85" s="35" t="s">
        <v>69</v>
      </c>
      <c r="X85" s="547">
        <v>150</v>
      </c>
      <c r="Y85" s="548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58">
        <v>4680115887732</v>
      </c>
      <c r="E86" s="559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6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5"/>
      <c r="R86" s="565"/>
      <c r="S86" s="565"/>
      <c r="T86" s="566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58">
        <v>4680115881518</v>
      </c>
      <c r="E87" s="559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5"/>
      <c r="R87" s="565"/>
      <c r="S87" s="565"/>
      <c r="T87" s="566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8">
        <v>4680115881303</v>
      </c>
      <c r="E88" s="559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5"/>
      <c r="R88" s="565"/>
      <c r="S88" s="565"/>
      <c r="T88" s="566"/>
      <c r="U88" s="34"/>
      <c r="V88" s="34"/>
      <c r="W88" s="35" t="s">
        <v>69</v>
      </c>
      <c r="X88" s="547">
        <v>0</v>
      </c>
      <c r="Y88" s="548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0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1"/>
      <c r="P89" s="553" t="s">
        <v>75</v>
      </c>
      <c r="Q89" s="554"/>
      <c r="R89" s="554"/>
      <c r="S89" s="554"/>
      <c r="T89" s="554"/>
      <c r="U89" s="554"/>
      <c r="V89" s="555"/>
      <c r="W89" s="37" t="s">
        <v>76</v>
      </c>
      <c r="X89" s="549">
        <f>IFERROR(X85/H85,"0")+IFERROR(X86/H86,"0")+IFERROR(X87/H87,"0")+IFERROR(X88/H88,"0")</f>
        <v>13.888888888888888</v>
      </c>
      <c r="Y89" s="549">
        <f>IFERROR(Y85/H85,"0")+IFERROR(Y86/H86,"0")+IFERROR(Y87/H87,"0")+IFERROR(Y88/H88,"0")</f>
        <v>14</v>
      </c>
      <c r="Z89" s="549">
        <f>IFERROR(IF(Z85="",0,Z85),"0")+IFERROR(IF(Z86="",0,Z86),"0")+IFERROR(IF(Z87="",0,Z87),"0")+IFERROR(IF(Z88="",0,Z88),"0")</f>
        <v>0.26572000000000001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1"/>
      <c r="P90" s="553" t="s">
        <v>75</v>
      </c>
      <c r="Q90" s="554"/>
      <c r="R90" s="554"/>
      <c r="S90" s="554"/>
      <c r="T90" s="554"/>
      <c r="U90" s="554"/>
      <c r="V90" s="555"/>
      <c r="W90" s="37" t="s">
        <v>69</v>
      </c>
      <c r="X90" s="549">
        <f>IFERROR(SUM(X85:X88),"0")</f>
        <v>150</v>
      </c>
      <c r="Y90" s="549">
        <f>IFERROR(SUM(Y85:Y88),"0")</f>
        <v>151.20000000000002</v>
      </c>
      <c r="Z90" s="37"/>
      <c r="AA90" s="550"/>
      <c r="AB90" s="550"/>
      <c r="AC90" s="550"/>
    </row>
    <row r="91" spans="1:68" ht="14.25" customHeight="1" x14ac:dyDescent="0.25">
      <c r="A91" s="556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8">
        <v>4607091386967</v>
      </c>
      <c r="E92" s="559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2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5"/>
      <c r="R92" s="565"/>
      <c r="S92" s="565"/>
      <c r="T92" s="566"/>
      <c r="U92" s="34"/>
      <c r="V92" s="34"/>
      <c r="W92" s="35" t="s">
        <v>69</v>
      </c>
      <c r="X92" s="547">
        <v>250</v>
      </c>
      <c r="Y92" s="548">
        <f>IFERROR(IF(X92="",0,CEILING((X92/$H92),1)*$H92),"")</f>
        <v>251.1</v>
      </c>
      <c r="Z92" s="36">
        <f>IFERROR(IF(Y92=0,"",ROUNDUP(Y92/H92,0)*0.01898),"")</f>
        <v>0.58838000000000001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265.24691358024694</v>
      </c>
      <c r="BN92" s="64">
        <f>IFERROR(Y92*I92/H92,"0")</f>
        <v>266.41399999999999</v>
      </c>
      <c r="BO92" s="64">
        <f>IFERROR(1/J92*(X92/H92),"0")</f>
        <v>0.48225308641975312</v>
      </c>
      <c r="BP92" s="64">
        <f>IFERROR(1/J92*(Y92/H92),"0")</f>
        <v>0.484375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58">
        <v>4680115884953</v>
      </c>
      <c r="E93" s="559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5"/>
      <c r="R93" s="565"/>
      <c r="S93" s="565"/>
      <c r="T93" s="566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8">
        <v>4607091385731</v>
      </c>
      <c r="E94" s="559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 t="s">
        <v>189</v>
      </c>
      <c r="M94" s="33" t="s">
        <v>86</v>
      </c>
      <c r="N94" s="33"/>
      <c r="O94" s="32">
        <v>45</v>
      </c>
      <c r="P94" s="83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5"/>
      <c r="R94" s="565"/>
      <c r="S94" s="565"/>
      <c r="T94" s="566"/>
      <c r="U94" s="34"/>
      <c r="V94" s="34"/>
      <c r="W94" s="35" t="s">
        <v>69</v>
      </c>
      <c r="X94" s="547">
        <v>45</v>
      </c>
      <c r="Y94" s="548">
        <f>IFERROR(IF(X94="",0,CEILING((X94/$H94),1)*$H94),"")</f>
        <v>45.900000000000006</v>
      </c>
      <c r="Z94" s="36">
        <f>IFERROR(IF(Y94=0,"",ROUNDUP(Y94/H94,0)*0.00651),"")</f>
        <v>0.11067</v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49.199999999999996</v>
      </c>
      <c r="BN94" s="64">
        <f>IFERROR(Y94*I94/H94,"0")</f>
        <v>50.183999999999997</v>
      </c>
      <c r="BO94" s="64">
        <f>IFERROR(1/J94*(X94/H94),"0")</f>
        <v>9.1575091575091569E-2</v>
      </c>
      <c r="BP94" s="64">
        <f>IFERROR(1/J94*(Y94/H94),"0")</f>
        <v>9.3406593406593408E-2</v>
      </c>
    </row>
    <row r="95" spans="1:68" ht="16.5" customHeight="1" x14ac:dyDescent="0.25">
      <c r="A95" s="54" t="s">
        <v>190</v>
      </c>
      <c r="B95" s="54" t="s">
        <v>191</v>
      </c>
      <c r="C95" s="31">
        <v>4301051438</v>
      </c>
      <c r="D95" s="558">
        <v>4680115880894</v>
      </c>
      <c r="E95" s="559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 t="s">
        <v>189</v>
      </c>
      <c r="M95" s="33" t="s">
        <v>80</v>
      </c>
      <c r="N95" s="33"/>
      <c r="O95" s="32">
        <v>45</v>
      </c>
      <c r="P95" s="8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5"/>
      <c r="R95" s="565"/>
      <c r="S95" s="565"/>
      <c r="T95" s="566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0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1"/>
      <c r="P96" s="553" t="s">
        <v>75</v>
      </c>
      <c r="Q96" s="554"/>
      <c r="R96" s="554"/>
      <c r="S96" s="554"/>
      <c r="T96" s="554"/>
      <c r="U96" s="554"/>
      <c r="V96" s="555"/>
      <c r="W96" s="37" t="s">
        <v>76</v>
      </c>
      <c r="X96" s="549">
        <f>IFERROR(X92/H92,"0")+IFERROR(X93/H93,"0")+IFERROR(X94/H94,"0")+IFERROR(X95/H95,"0")</f>
        <v>47.53086419753086</v>
      </c>
      <c r="Y96" s="549">
        <f>IFERROR(Y92/H92,"0")+IFERROR(Y93/H93,"0")+IFERROR(Y94/H94,"0")+IFERROR(Y95/H95,"0")</f>
        <v>48</v>
      </c>
      <c r="Z96" s="549">
        <f>IFERROR(IF(Z92="",0,Z92),"0")+IFERROR(IF(Z93="",0,Z93),"0")+IFERROR(IF(Z94="",0,Z94),"0")+IFERROR(IF(Z95="",0,Z95),"0")</f>
        <v>0.69905000000000006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1"/>
      <c r="P97" s="553" t="s">
        <v>75</v>
      </c>
      <c r="Q97" s="554"/>
      <c r="R97" s="554"/>
      <c r="S97" s="554"/>
      <c r="T97" s="554"/>
      <c r="U97" s="554"/>
      <c r="V97" s="555"/>
      <c r="W97" s="37" t="s">
        <v>69</v>
      </c>
      <c r="X97" s="549">
        <f>IFERROR(SUM(X92:X95),"0")</f>
        <v>295</v>
      </c>
      <c r="Y97" s="549">
        <f>IFERROR(SUM(Y92:Y95),"0")</f>
        <v>297</v>
      </c>
      <c r="Z97" s="37"/>
      <c r="AA97" s="550"/>
      <c r="AB97" s="550"/>
      <c r="AC97" s="550"/>
    </row>
    <row r="98" spans="1:68" ht="16.5" customHeight="1" x14ac:dyDescent="0.25">
      <c r="A98" s="588" t="s">
        <v>193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customHeight="1" x14ac:dyDescent="0.25">
      <c r="A99" s="556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194</v>
      </c>
      <c r="B100" s="54" t="s">
        <v>195</v>
      </c>
      <c r="C100" s="31">
        <v>4301011514</v>
      </c>
      <c r="D100" s="558">
        <v>4680115882133</v>
      </c>
      <c r="E100" s="559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3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5"/>
      <c r="R100" s="565"/>
      <c r="S100" s="565"/>
      <c r="T100" s="566"/>
      <c r="U100" s="34"/>
      <c r="V100" s="34"/>
      <c r="W100" s="35" t="s">
        <v>69</v>
      </c>
      <c r="X100" s="547">
        <v>250</v>
      </c>
      <c r="Y100" s="548">
        <f>IFERROR(IF(X100="",0,CEILING((X100/$H100),1)*$H100),"")</f>
        <v>259.20000000000005</v>
      </c>
      <c r="Z100" s="36">
        <f>IFERROR(IF(Y100=0,"",ROUNDUP(Y100/H100,0)*0.01898),"")</f>
        <v>0.45552000000000004</v>
      </c>
      <c r="AA100" s="56"/>
      <c r="AB100" s="57"/>
      <c r="AC100" s="143" t="s">
        <v>196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259.4907407407407</v>
      </c>
      <c r="BN100" s="64">
        <f>IFERROR(Y100*I100/H100,"0")</f>
        <v>269.04000000000002</v>
      </c>
      <c r="BO100" s="64">
        <f>IFERROR(1/J100*(X100/H100),"0")</f>
        <v>0.36168981481481477</v>
      </c>
      <c r="BP100" s="64">
        <f>IFERROR(1/J100*(Y100/H100),"0")</f>
        <v>0.37500000000000006</v>
      </c>
    </row>
    <row r="101" spans="1:68" ht="27" customHeight="1" x14ac:dyDescent="0.25">
      <c r="A101" s="54" t="s">
        <v>197</v>
      </c>
      <c r="B101" s="54" t="s">
        <v>198</v>
      </c>
      <c r="C101" s="31">
        <v>4301012051</v>
      </c>
      <c r="D101" s="558">
        <v>4680115887718</v>
      </c>
      <c r="E101" s="559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4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5"/>
      <c r="R101" s="565"/>
      <c r="S101" s="565"/>
      <c r="T101" s="566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200</v>
      </c>
      <c r="B102" s="54" t="s">
        <v>201</v>
      </c>
      <c r="C102" s="31">
        <v>4301011417</v>
      </c>
      <c r="D102" s="558">
        <v>4680115880269</v>
      </c>
      <c r="E102" s="559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 t="s">
        <v>112</v>
      </c>
      <c r="M102" s="33" t="s">
        <v>80</v>
      </c>
      <c r="N102" s="33"/>
      <c r="O102" s="32">
        <v>50</v>
      </c>
      <c r="P102" s="64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5"/>
      <c r="R102" s="565"/>
      <c r="S102" s="565"/>
      <c r="T102" s="566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202</v>
      </c>
      <c r="B103" s="54" t="s">
        <v>203</v>
      </c>
      <c r="C103" s="31">
        <v>4301011415</v>
      </c>
      <c r="D103" s="558">
        <v>4680115880429</v>
      </c>
      <c r="E103" s="559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5"/>
      <c r="R103" s="565"/>
      <c r="S103" s="565"/>
      <c r="T103" s="566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204</v>
      </c>
      <c r="B104" s="54" t="s">
        <v>205</v>
      </c>
      <c r="C104" s="31">
        <v>4301011462</v>
      </c>
      <c r="D104" s="558">
        <v>4680115881457</v>
      </c>
      <c r="E104" s="559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7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5"/>
      <c r="R104" s="565"/>
      <c r="S104" s="565"/>
      <c r="T104" s="566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0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1"/>
      <c r="P105" s="553" t="s">
        <v>75</v>
      </c>
      <c r="Q105" s="554"/>
      <c r="R105" s="554"/>
      <c r="S105" s="554"/>
      <c r="T105" s="554"/>
      <c r="U105" s="554"/>
      <c r="V105" s="555"/>
      <c r="W105" s="37" t="s">
        <v>76</v>
      </c>
      <c r="X105" s="549">
        <f>IFERROR(X100/H100,"0")+IFERROR(X101/H101,"0")+IFERROR(X102/H102,"0")+IFERROR(X103/H103,"0")+IFERROR(X104/H104,"0")</f>
        <v>23.148148148148145</v>
      </c>
      <c r="Y105" s="549">
        <f>IFERROR(Y100/H100,"0")+IFERROR(Y101/H101,"0")+IFERROR(Y102/H102,"0")+IFERROR(Y103/H103,"0")+IFERROR(Y104/H104,"0")</f>
        <v>24.000000000000004</v>
      </c>
      <c r="Z105" s="549">
        <f>IFERROR(IF(Z100="",0,Z100),"0")+IFERROR(IF(Z101="",0,Z101),"0")+IFERROR(IF(Z102="",0,Z102),"0")+IFERROR(IF(Z103="",0,Z103),"0")+IFERROR(IF(Z104="",0,Z104),"0")</f>
        <v>0.45552000000000004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1"/>
      <c r="P106" s="553" t="s">
        <v>75</v>
      </c>
      <c r="Q106" s="554"/>
      <c r="R106" s="554"/>
      <c r="S106" s="554"/>
      <c r="T106" s="554"/>
      <c r="U106" s="554"/>
      <c r="V106" s="555"/>
      <c r="W106" s="37" t="s">
        <v>69</v>
      </c>
      <c r="X106" s="549">
        <f>IFERROR(SUM(X100:X104),"0")</f>
        <v>250</v>
      </c>
      <c r="Y106" s="549">
        <f>IFERROR(SUM(Y100:Y104),"0")</f>
        <v>259.20000000000005</v>
      </c>
      <c r="Z106" s="37"/>
      <c r="AA106" s="550"/>
      <c r="AB106" s="550"/>
      <c r="AC106" s="550"/>
    </row>
    <row r="107" spans="1:68" ht="14.25" customHeight="1" x14ac:dyDescent="0.25">
      <c r="A107" s="556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customHeight="1" x14ac:dyDescent="0.25">
      <c r="A108" s="54" t="s">
        <v>206</v>
      </c>
      <c r="B108" s="54" t="s">
        <v>207</v>
      </c>
      <c r="C108" s="31">
        <v>4301020345</v>
      </c>
      <c r="D108" s="558">
        <v>4680115881488</v>
      </c>
      <c r="E108" s="559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5"/>
      <c r="R108" s="565"/>
      <c r="S108" s="565"/>
      <c r="T108" s="566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209</v>
      </c>
      <c r="B109" s="54" t="s">
        <v>210</v>
      </c>
      <c r="C109" s="31">
        <v>4301020186</v>
      </c>
      <c r="D109" s="558">
        <v>4680115887664</v>
      </c>
      <c r="E109" s="559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67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5"/>
      <c r="R109" s="565"/>
      <c r="S109" s="565"/>
      <c r="T109" s="566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58">
        <v>4680115882775</v>
      </c>
      <c r="E110" s="559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0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5"/>
      <c r="R110" s="565"/>
      <c r="S110" s="565"/>
      <c r="T110" s="566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215</v>
      </c>
      <c r="B111" s="54" t="s">
        <v>216</v>
      </c>
      <c r="C111" s="31">
        <v>4301020344</v>
      </c>
      <c r="D111" s="558">
        <v>4680115880658</v>
      </c>
      <c r="E111" s="559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 t="s">
        <v>189</v>
      </c>
      <c r="M111" s="33" t="s">
        <v>106</v>
      </c>
      <c r="N111" s="33"/>
      <c r="O111" s="32">
        <v>55</v>
      </c>
      <c r="P111" s="65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5"/>
      <c r="R111" s="565"/>
      <c r="S111" s="565"/>
      <c r="T111" s="566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0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1"/>
      <c r="P112" s="553" t="s">
        <v>75</v>
      </c>
      <c r="Q112" s="554"/>
      <c r="R112" s="554"/>
      <c r="S112" s="554"/>
      <c r="T112" s="554"/>
      <c r="U112" s="554"/>
      <c r="V112" s="555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1"/>
      <c r="P113" s="553" t="s">
        <v>75</v>
      </c>
      <c r="Q113" s="554"/>
      <c r="R113" s="554"/>
      <c r="S113" s="554"/>
      <c r="T113" s="554"/>
      <c r="U113" s="554"/>
      <c r="V113" s="555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customHeight="1" x14ac:dyDescent="0.25">
      <c r="A114" s="556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customHeight="1" x14ac:dyDescent="0.25">
      <c r="A115" s="54" t="s">
        <v>217</v>
      </c>
      <c r="B115" s="54" t="s">
        <v>218</v>
      </c>
      <c r="C115" s="31">
        <v>4301051724</v>
      </c>
      <c r="D115" s="558">
        <v>4607091385168</v>
      </c>
      <c r="E115" s="559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2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5"/>
      <c r="R115" s="565"/>
      <c r="S115" s="565"/>
      <c r="T115" s="566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220</v>
      </c>
      <c r="B116" s="54" t="s">
        <v>221</v>
      </c>
      <c r="C116" s="31">
        <v>4301051730</v>
      </c>
      <c r="D116" s="558">
        <v>4607091383256</v>
      </c>
      <c r="E116" s="559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5"/>
      <c r="R116" s="565"/>
      <c r="S116" s="565"/>
      <c r="T116" s="566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222</v>
      </c>
      <c r="B117" s="54" t="s">
        <v>223</v>
      </c>
      <c r="C117" s="31">
        <v>4301051721</v>
      </c>
      <c r="D117" s="558">
        <v>4607091385748</v>
      </c>
      <c r="E117" s="559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189</v>
      </c>
      <c r="M117" s="33" t="s">
        <v>86</v>
      </c>
      <c r="N117" s="33"/>
      <c r="O117" s="32">
        <v>45</v>
      </c>
      <c r="P117" s="80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5"/>
      <c r="R117" s="565"/>
      <c r="S117" s="565"/>
      <c r="T117" s="566"/>
      <c r="U117" s="34"/>
      <c r="V117" s="34"/>
      <c r="W117" s="35" t="s">
        <v>69</v>
      </c>
      <c r="X117" s="547">
        <v>45</v>
      </c>
      <c r="Y117" s="548">
        <f>IFERROR(IF(X117="",0,CEILING((X117/$H117),1)*$H117),"")</f>
        <v>45.900000000000006</v>
      </c>
      <c r="Z117" s="36">
        <f>IFERROR(IF(Y117=0,"",ROUNDUP(Y117/H117,0)*0.00651),"")</f>
        <v>0.11067</v>
      </c>
      <c r="AA117" s="56"/>
      <c r="AB117" s="57"/>
      <c r="AC117" s="165" t="s">
        <v>219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49.199999999999996</v>
      </c>
      <c r="BN117" s="64">
        <f>IFERROR(Y117*I117/H117,"0")</f>
        <v>50.183999999999997</v>
      </c>
      <c r="BO117" s="64">
        <f>IFERROR(1/J117*(X117/H117),"0")</f>
        <v>9.1575091575091569E-2</v>
      </c>
      <c r="BP117" s="64">
        <f>IFERROR(1/J117*(Y117/H117),"0")</f>
        <v>9.3406593406593408E-2</v>
      </c>
    </row>
    <row r="118" spans="1:68" ht="16.5" customHeight="1" x14ac:dyDescent="0.25">
      <c r="A118" s="54" t="s">
        <v>224</v>
      </c>
      <c r="B118" s="54" t="s">
        <v>225</v>
      </c>
      <c r="C118" s="31">
        <v>4301051740</v>
      </c>
      <c r="D118" s="558">
        <v>4680115884533</v>
      </c>
      <c r="E118" s="559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7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5"/>
      <c r="R118" s="565"/>
      <c r="S118" s="565"/>
      <c r="T118" s="566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0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1"/>
      <c r="P119" s="553" t="s">
        <v>75</v>
      </c>
      <c r="Q119" s="554"/>
      <c r="R119" s="554"/>
      <c r="S119" s="554"/>
      <c r="T119" s="554"/>
      <c r="U119" s="554"/>
      <c r="V119" s="555"/>
      <c r="W119" s="37" t="s">
        <v>76</v>
      </c>
      <c r="X119" s="549">
        <f>IFERROR(X115/H115,"0")+IFERROR(X116/H116,"0")+IFERROR(X117/H117,"0")+IFERROR(X118/H118,"0")</f>
        <v>16.666666666666664</v>
      </c>
      <c r="Y119" s="549">
        <f>IFERROR(Y115/H115,"0")+IFERROR(Y116/H116,"0")+IFERROR(Y117/H117,"0")+IFERROR(Y118/H118,"0")</f>
        <v>17</v>
      </c>
      <c r="Z119" s="549">
        <f>IFERROR(IF(Z115="",0,Z115),"0")+IFERROR(IF(Z116="",0,Z116),"0")+IFERROR(IF(Z117="",0,Z117),"0")+IFERROR(IF(Z118="",0,Z118),"0")</f>
        <v>0.11067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1"/>
      <c r="P120" s="553" t="s">
        <v>75</v>
      </c>
      <c r="Q120" s="554"/>
      <c r="R120" s="554"/>
      <c r="S120" s="554"/>
      <c r="T120" s="554"/>
      <c r="U120" s="554"/>
      <c r="V120" s="555"/>
      <c r="W120" s="37" t="s">
        <v>69</v>
      </c>
      <c r="X120" s="549">
        <f>IFERROR(SUM(X115:X118),"0")</f>
        <v>45</v>
      </c>
      <c r="Y120" s="549">
        <f>IFERROR(SUM(Y115:Y118),"0")</f>
        <v>45.900000000000006</v>
      </c>
      <c r="Z120" s="37"/>
      <c r="AA120" s="550"/>
      <c r="AB120" s="550"/>
      <c r="AC120" s="550"/>
    </row>
    <row r="121" spans="1:68" ht="14.25" customHeight="1" x14ac:dyDescent="0.25">
      <c r="A121" s="556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customHeight="1" x14ac:dyDescent="0.25">
      <c r="A122" s="54" t="s">
        <v>227</v>
      </c>
      <c r="B122" s="54" t="s">
        <v>228</v>
      </c>
      <c r="C122" s="31">
        <v>4301060317</v>
      </c>
      <c r="D122" s="558">
        <v>4680115880238</v>
      </c>
      <c r="E122" s="559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5"/>
      <c r="R122" s="565"/>
      <c r="S122" s="565"/>
      <c r="T122" s="566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60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1"/>
      <c r="P123" s="553" t="s">
        <v>75</v>
      </c>
      <c r="Q123" s="554"/>
      <c r="R123" s="554"/>
      <c r="S123" s="554"/>
      <c r="T123" s="554"/>
      <c r="U123" s="554"/>
      <c r="V123" s="555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1"/>
      <c r="P124" s="553" t="s">
        <v>75</v>
      </c>
      <c r="Q124" s="554"/>
      <c r="R124" s="554"/>
      <c r="S124" s="554"/>
      <c r="T124" s="554"/>
      <c r="U124" s="554"/>
      <c r="V124" s="555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customHeight="1" x14ac:dyDescent="0.25">
      <c r="A125" s="588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customHeight="1" x14ac:dyDescent="0.25">
      <c r="A126" s="556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8">
        <v>4680115882577</v>
      </c>
      <c r="E127" s="559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189</v>
      </c>
      <c r="M127" s="33" t="s">
        <v>96</v>
      </c>
      <c r="N127" s="33"/>
      <c r="O127" s="32">
        <v>90</v>
      </c>
      <c r="P127" s="63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5"/>
      <c r="R127" s="565"/>
      <c r="S127" s="565"/>
      <c r="T127" s="566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231</v>
      </c>
      <c r="B128" s="54" t="s">
        <v>234</v>
      </c>
      <c r="C128" s="31">
        <v>4301011564</v>
      </c>
      <c r="D128" s="558">
        <v>4680115882577</v>
      </c>
      <c r="E128" s="559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 t="s">
        <v>189</v>
      </c>
      <c r="M128" s="33" t="s">
        <v>96</v>
      </c>
      <c r="N128" s="33"/>
      <c r="O128" s="32">
        <v>90</v>
      </c>
      <c r="P128" s="6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5"/>
      <c r="R128" s="565"/>
      <c r="S128" s="565"/>
      <c r="T128" s="566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0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1"/>
      <c r="P129" s="553" t="s">
        <v>75</v>
      </c>
      <c r="Q129" s="554"/>
      <c r="R129" s="554"/>
      <c r="S129" s="554"/>
      <c r="T129" s="554"/>
      <c r="U129" s="554"/>
      <c r="V129" s="555"/>
      <c r="W129" s="37" t="s">
        <v>76</v>
      </c>
      <c r="X129" s="549">
        <f>IFERROR(X127/H127,"0")+IFERROR(X128/H128,"0")</f>
        <v>0</v>
      </c>
      <c r="Y129" s="549">
        <f>IFERROR(Y127/H127,"0")+IFERROR(Y128/H128,"0")</f>
        <v>0</v>
      </c>
      <c r="Z129" s="549">
        <f>IFERROR(IF(Z127="",0,Z127),"0")+IFERROR(IF(Z128="",0,Z128),"0")</f>
        <v>0</v>
      </c>
      <c r="AA129" s="550"/>
      <c r="AB129" s="550"/>
      <c r="AC129" s="550"/>
    </row>
    <row r="130" spans="1:68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1"/>
      <c r="P130" s="553" t="s">
        <v>75</v>
      </c>
      <c r="Q130" s="554"/>
      <c r="R130" s="554"/>
      <c r="S130" s="554"/>
      <c r="T130" s="554"/>
      <c r="U130" s="554"/>
      <c r="V130" s="555"/>
      <c r="W130" s="37" t="s">
        <v>69</v>
      </c>
      <c r="X130" s="549">
        <f>IFERROR(SUM(X127:X128),"0")</f>
        <v>0</v>
      </c>
      <c r="Y130" s="549">
        <f>IFERROR(SUM(Y127:Y128),"0")</f>
        <v>0</v>
      </c>
      <c r="Z130" s="37"/>
      <c r="AA130" s="550"/>
      <c r="AB130" s="550"/>
      <c r="AC130" s="550"/>
    </row>
    <row r="131" spans="1:68" ht="14.25" customHeight="1" x14ac:dyDescent="0.25">
      <c r="A131" s="556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58">
        <v>4680115883444</v>
      </c>
      <c r="E132" s="559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5"/>
      <c r="R132" s="565"/>
      <c r="S132" s="565"/>
      <c r="T132" s="566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8">
        <v>4680115883444</v>
      </c>
      <c r="E133" s="559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189</v>
      </c>
      <c r="M133" s="33" t="s">
        <v>96</v>
      </c>
      <c r="N133" s="33"/>
      <c r="O133" s="32">
        <v>90</v>
      </c>
      <c r="P133" s="62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5"/>
      <c r="R133" s="565"/>
      <c r="S133" s="565"/>
      <c r="T133" s="566"/>
      <c r="U133" s="34"/>
      <c r="V133" s="34"/>
      <c r="W133" s="35" t="s">
        <v>69</v>
      </c>
      <c r="X133" s="547">
        <v>0</v>
      </c>
      <c r="Y133" s="548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0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1"/>
      <c r="P134" s="553" t="s">
        <v>75</v>
      </c>
      <c r="Q134" s="554"/>
      <c r="R134" s="554"/>
      <c r="S134" s="554"/>
      <c r="T134" s="554"/>
      <c r="U134" s="554"/>
      <c r="V134" s="555"/>
      <c r="W134" s="37" t="s">
        <v>76</v>
      </c>
      <c r="X134" s="549">
        <f>IFERROR(X132/H132,"0")+IFERROR(X133/H133,"0")</f>
        <v>0</v>
      </c>
      <c r="Y134" s="549">
        <f>IFERROR(Y132/H132,"0")+IFERROR(Y133/H133,"0")</f>
        <v>0</v>
      </c>
      <c r="Z134" s="549">
        <f>IFERROR(IF(Z132="",0,Z132),"0")+IFERROR(IF(Z133="",0,Z133),"0")</f>
        <v>0</v>
      </c>
      <c r="AA134" s="550"/>
      <c r="AB134" s="550"/>
      <c r="AC134" s="550"/>
    </row>
    <row r="135" spans="1:68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1"/>
      <c r="P135" s="553" t="s">
        <v>75</v>
      </c>
      <c r="Q135" s="554"/>
      <c r="R135" s="554"/>
      <c r="S135" s="554"/>
      <c r="T135" s="554"/>
      <c r="U135" s="554"/>
      <c r="V135" s="555"/>
      <c r="W135" s="37" t="s">
        <v>69</v>
      </c>
      <c r="X135" s="549">
        <f>IFERROR(SUM(X132:X133),"0")</f>
        <v>0</v>
      </c>
      <c r="Y135" s="549">
        <f>IFERROR(SUM(Y132:Y133),"0")</f>
        <v>0</v>
      </c>
      <c r="Z135" s="37"/>
      <c r="AA135" s="550"/>
      <c r="AB135" s="550"/>
      <c r="AC135" s="550"/>
    </row>
    <row r="136" spans="1:68" ht="14.25" customHeight="1" x14ac:dyDescent="0.25">
      <c r="A136" s="556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58">
        <v>4680115882584</v>
      </c>
      <c r="E137" s="559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5"/>
      <c r="R137" s="565"/>
      <c r="S137" s="565"/>
      <c r="T137" s="566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8">
        <v>4680115882584</v>
      </c>
      <c r="E138" s="559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5"/>
      <c r="R138" s="565"/>
      <c r="S138" s="565"/>
      <c r="T138" s="566"/>
      <c r="U138" s="34"/>
      <c r="V138" s="34"/>
      <c r="W138" s="35" t="s">
        <v>69</v>
      </c>
      <c r="X138" s="547">
        <v>0</v>
      </c>
      <c r="Y138" s="548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0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1"/>
      <c r="P139" s="553" t="s">
        <v>75</v>
      </c>
      <c r="Q139" s="554"/>
      <c r="R139" s="554"/>
      <c r="S139" s="554"/>
      <c r="T139" s="554"/>
      <c r="U139" s="554"/>
      <c r="V139" s="555"/>
      <c r="W139" s="37" t="s">
        <v>76</v>
      </c>
      <c r="X139" s="549">
        <f>IFERROR(X137/H137,"0")+IFERROR(X138/H138,"0")</f>
        <v>0</v>
      </c>
      <c r="Y139" s="549">
        <f>IFERROR(Y137/H137,"0")+IFERROR(Y138/H138,"0")</f>
        <v>0</v>
      </c>
      <c r="Z139" s="549">
        <f>IFERROR(IF(Z137="",0,Z137),"0")+IFERROR(IF(Z138="",0,Z138),"0")</f>
        <v>0</v>
      </c>
      <c r="AA139" s="550"/>
      <c r="AB139" s="550"/>
      <c r="AC139" s="550"/>
    </row>
    <row r="140" spans="1:68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1"/>
      <c r="P140" s="553" t="s">
        <v>75</v>
      </c>
      <c r="Q140" s="554"/>
      <c r="R140" s="554"/>
      <c r="S140" s="554"/>
      <c r="T140" s="554"/>
      <c r="U140" s="554"/>
      <c r="V140" s="555"/>
      <c r="W140" s="37" t="s">
        <v>69</v>
      </c>
      <c r="X140" s="549">
        <f>IFERROR(SUM(X137:X138),"0")</f>
        <v>0</v>
      </c>
      <c r="Y140" s="549">
        <f>IFERROR(SUM(Y137:Y138),"0")</f>
        <v>0</v>
      </c>
      <c r="Z140" s="37"/>
      <c r="AA140" s="550"/>
      <c r="AB140" s="550"/>
      <c r="AC140" s="550"/>
    </row>
    <row r="141" spans="1:68" ht="16.5" customHeight="1" x14ac:dyDescent="0.25">
      <c r="A141" s="588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customHeight="1" x14ac:dyDescent="0.25">
      <c r="A142" s="556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customHeight="1" x14ac:dyDescent="0.25">
      <c r="A143" s="54" t="s">
        <v>242</v>
      </c>
      <c r="B143" s="54" t="s">
        <v>243</v>
      </c>
      <c r="C143" s="31">
        <v>4301012244</v>
      </c>
      <c r="D143" s="558">
        <v>4680115887374</v>
      </c>
      <c r="E143" s="559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1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5"/>
      <c r="R143" s="565"/>
      <c r="S143" s="565"/>
      <c r="T143" s="566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245</v>
      </c>
      <c r="B144" s="54" t="s">
        <v>246</v>
      </c>
      <c r="C144" s="31">
        <v>4301011705</v>
      </c>
      <c r="D144" s="558">
        <v>4607091384604</v>
      </c>
      <c r="E144" s="559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87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5"/>
      <c r="R144" s="565"/>
      <c r="S144" s="565"/>
      <c r="T144" s="566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60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1"/>
      <c r="P145" s="553" t="s">
        <v>75</v>
      </c>
      <c r="Q145" s="554"/>
      <c r="R145" s="554"/>
      <c r="S145" s="554"/>
      <c r="T145" s="554"/>
      <c r="U145" s="554"/>
      <c r="V145" s="555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1"/>
      <c r="P146" s="553" t="s">
        <v>75</v>
      </c>
      <c r="Q146" s="554"/>
      <c r="R146" s="554"/>
      <c r="S146" s="554"/>
      <c r="T146" s="554"/>
      <c r="U146" s="554"/>
      <c r="V146" s="555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customHeight="1" x14ac:dyDescent="0.25">
      <c r="A147" s="556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customHeight="1" x14ac:dyDescent="0.25">
      <c r="A148" s="54" t="s">
        <v>248</v>
      </c>
      <c r="B148" s="54" t="s">
        <v>249</v>
      </c>
      <c r="C148" s="31">
        <v>4301031450</v>
      </c>
      <c r="D148" s="558">
        <v>4680115887428</v>
      </c>
      <c r="E148" s="559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805" t="s">
        <v>250</v>
      </c>
      <c r="Q148" s="565"/>
      <c r="R148" s="565"/>
      <c r="S148" s="565"/>
      <c r="T148" s="566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customHeight="1" x14ac:dyDescent="0.25">
      <c r="A149" s="54" t="s">
        <v>253</v>
      </c>
      <c r="B149" s="54" t="s">
        <v>254</v>
      </c>
      <c r="C149" s="31">
        <v>4301031453</v>
      </c>
      <c r="D149" s="558">
        <v>4680115887336</v>
      </c>
      <c r="E149" s="559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92" t="s">
        <v>255</v>
      </c>
      <c r="Q149" s="565"/>
      <c r="R149" s="565"/>
      <c r="S149" s="565"/>
      <c r="T149" s="566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customHeight="1" x14ac:dyDescent="0.25">
      <c r="A150" s="54" t="s">
        <v>257</v>
      </c>
      <c r="B150" s="54" t="s">
        <v>258</v>
      </c>
      <c r="C150" s="31">
        <v>4301031456</v>
      </c>
      <c r="D150" s="558">
        <v>4680115887398</v>
      </c>
      <c r="E150" s="559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874" t="s">
        <v>259</v>
      </c>
      <c r="Q150" s="565"/>
      <c r="R150" s="565"/>
      <c r="S150" s="565"/>
      <c r="T150" s="566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58">
        <v>4607091387667</v>
      </c>
      <c r="E151" s="559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57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5"/>
      <c r="R151" s="565"/>
      <c r="S151" s="565"/>
      <c r="T151" s="566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customHeight="1" x14ac:dyDescent="0.25">
      <c r="A152" s="54" t="s">
        <v>264</v>
      </c>
      <c r="B152" s="54" t="s">
        <v>265</v>
      </c>
      <c r="C152" s="31">
        <v>4301030961</v>
      </c>
      <c r="D152" s="558">
        <v>4607091387636</v>
      </c>
      <c r="E152" s="559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85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5"/>
      <c r="R152" s="565"/>
      <c r="S152" s="565"/>
      <c r="T152" s="566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267</v>
      </c>
      <c r="B153" s="54" t="s">
        <v>268</v>
      </c>
      <c r="C153" s="31">
        <v>4301030963</v>
      </c>
      <c r="D153" s="558">
        <v>4607091382426</v>
      </c>
      <c r="E153" s="559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5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5"/>
      <c r="R153" s="565"/>
      <c r="S153" s="565"/>
      <c r="T153" s="566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0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1"/>
      <c r="P154" s="553" t="s">
        <v>75</v>
      </c>
      <c r="Q154" s="554"/>
      <c r="R154" s="554"/>
      <c r="S154" s="554"/>
      <c r="T154" s="554"/>
      <c r="U154" s="554"/>
      <c r="V154" s="555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1"/>
      <c r="P155" s="553" t="s">
        <v>75</v>
      </c>
      <c r="Q155" s="554"/>
      <c r="R155" s="554"/>
      <c r="S155" s="554"/>
      <c r="T155" s="554"/>
      <c r="U155" s="554"/>
      <c r="V155" s="555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customHeight="1" x14ac:dyDescent="0.25">
      <c r="A156" s="556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customHeight="1" x14ac:dyDescent="0.25">
      <c r="A157" s="54" t="s">
        <v>270</v>
      </c>
      <c r="B157" s="54" t="s">
        <v>271</v>
      </c>
      <c r="C157" s="31">
        <v>4301052064</v>
      </c>
      <c r="D157" s="558">
        <v>4680115887459</v>
      </c>
      <c r="E157" s="559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5"/>
      <c r="R157" s="565"/>
      <c r="S157" s="565"/>
      <c r="T157" s="566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0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1"/>
      <c r="P158" s="553" t="s">
        <v>75</v>
      </c>
      <c r="Q158" s="554"/>
      <c r="R158" s="554"/>
      <c r="S158" s="554"/>
      <c r="T158" s="554"/>
      <c r="U158" s="554"/>
      <c r="V158" s="555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1"/>
      <c r="P159" s="553" t="s">
        <v>75</v>
      </c>
      <c r="Q159" s="554"/>
      <c r="R159" s="554"/>
      <c r="S159" s="554"/>
      <c r="T159" s="554"/>
      <c r="U159" s="554"/>
      <c r="V159" s="555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customHeight="1" x14ac:dyDescent="0.2">
      <c r="A160" s="648" t="s">
        <v>273</v>
      </c>
      <c r="B160" s="649"/>
      <c r="C160" s="649"/>
      <c r="D160" s="649"/>
      <c r="E160" s="649"/>
      <c r="F160" s="649"/>
      <c r="G160" s="649"/>
      <c r="H160" s="649"/>
      <c r="I160" s="649"/>
      <c r="J160" s="649"/>
      <c r="K160" s="649"/>
      <c r="L160" s="649"/>
      <c r="M160" s="649"/>
      <c r="N160" s="649"/>
      <c r="O160" s="649"/>
      <c r="P160" s="649"/>
      <c r="Q160" s="649"/>
      <c r="R160" s="649"/>
      <c r="S160" s="649"/>
      <c r="T160" s="649"/>
      <c r="U160" s="649"/>
      <c r="V160" s="649"/>
      <c r="W160" s="649"/>
      <c r="X160" s="649"/>
      <c r="Y160" s="649"/>
      <c r="Z160" s="649"/>
      <c r="AA160" s="48"/>
      <c r="AB160" s="48"/>
      <c r="AC160" s="48"/>
    </row>
    <row r="161" spans="1:68" ht="16.5" customHeight="1" x14ac:dyDescent="0.25">
      <c r="A161" s="588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customHeight="1" x14ac:dyDescent="0.25">
      <c r="A162" s="556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customHeight="1" x14ac:dyDescent="0.25">
      <c r="A163" s="54" t="s">
        <v>275</v>
      </c>
      <c r="B163" s="54" t="s">
        <v>276</v>
      </c>
      <c r="C163" s="31">
        <v>4301020323</v>
      </c>
      <c r="D163" s="558">
        <v>4680115886223</v>
      </c>
      <c r="E163" s="559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5"/>
      <c r="R163" s="565"/>
      <c r="S163" s="565"/>
      <c r="T163" s="566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60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1"/>
      <c r="P164" s="553" t="s">
        <v>75</v>
      </c>
      <c r="Q164" s="554"/>
      <c r="R164" s="554"/>
      <c r="S164" s="554"/>
      <c r="T164" s="554"/>
      <c r="U164" s="554"/>
      <c r="V164" s="555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1"/>
      <c r="P165" s="553" t="s">
        <v>75</v>
      </c>
      <c r="Q165" s="554"/>
      <c r="R165" s="554"/>
      <c r="S165" s="554"/>
      <c r="T165" s="554"/>
      <c r="U165" s="554"/>
      <c r="V165" s="555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customHeight="1" x14ac:dyDescent="0.25">
      <c r="A166" s="556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8">
        <v>4680115880993</v>
      </c>
      <c r="E167" s="559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112</v>
      </c>
      <c r="M167" s="33" t="s">
        <v>68</v>
      </c>
      <c r="N167" s="33"/>
      <c r="O167" s="32">
        <v>40</v>
      </c>
      <c r="P167" s="7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5"/>
      <c r="R167" s="565"/>
      <c r="S167" s="565"/>
      <c r="T167" s="566"/>
      <c r="U167" s="34"/>
      <c r="V167" s="34"/>
      <c r="W167" s="35" t="s">
        <v>69</v>
      </c>
      <c r="X167" s="547">
        <v>150</v>
      </c>
      <c r="Y167" s="548">
        <f t="shared" ref="Y167:Y178" si="10">IFERROR(IF(X167="",0,CEILING((X167/$H167),1)*$H167),"")</f>
        <v>151.20000000000002</v>
      </c>
      <c r="Z167" s="36">
        <f>IFERROR(IF(Y167=0,"",ROUNDUP(Y167/H167,0)*0.00902),"")</f>
        <v>0.32472000000000001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158.92857142857142</v>
      </c>
      <c r="BN167" s="64">
        <f t="shared" ref="BN167:BN178" si="12">IFERROR(Y167*I167/H167,"0")</f>
        <v>160.20000000000002</v>
      </c>
      <c r="BO167" s="64">
        <f t="shared" ref="BO167:BO178" si="13">IFERROR(1/J167*(X167/H167),"0")</f>
        <v>0.27056277056277056</v>
      </c>
      <c r="BP167" s="64">
        <f t="shared" ref="BP167:BP178" si="14">IFERROR(1/J167*(Y167/H167),"0")</f>
        <v>0.27272727272727271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8">
        <v>4680115881761</v>
      </c>
      <c r="E168" s="559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/>
      <c r="M168" s="33" t="s">
        <v>68</v>
      </c>
      <c r="N168" s="33"/>
      <c r="O168" s="32">
        <v>40</v>
      </c>
      <c r="P168" s="80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5"/>
      <c r="R168" s="565"/>
      <c r="S168" s="565"/>
      <c r="T168" s="566"/>
      <c r="U168" s="34"/>
      <c r="V168" s="34"/>
      <c r="W168" s="35" t="s">
        <v>69</v>
      </c>
      <c r="X168" s="547">
        <v>0</v>
      </c>
      <c r="Y168" s="548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8">
        <v>4680115881563</v>
      </c>
      <c r="E169" s="559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82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5"/>
      <c r="R169" s="565"/>
      <c r="S169" s="565"/>
      <c r="T169" s="566"/>
      <c r="U169" s="34"/>
      <c r="V169" s="34"/>
      <c r="W169" s="35" t="s">
        <v>69</v>
      </c>
      <c r="X169" s="547">
        <v>0</v>
      </c>
      <c r="Y169" s="548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customHeight="1" x14ac:dyDescent="0.25">
      <c r="A170" s="54" t="s">
        <v>287</v>
      </c>
      <c r="B170" s="54" t="s">
        <v>288</v>
      </c>
      <c r="C170" s="31">
        <v>4301031447</v>
      </c>
      <c r="D170" s="558">
        <v>4680115887565</v>
      </c>
      <c r="E170" s="559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5"/>
      <c r="R170" s="565"/>
      <c r="S170" s="565"/>
      <c r="T170" s="566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8">
        <v>4680115880986</v>
      </c>
      <c r="E171" s="559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8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5"/>
      <c r="R171" s="565"/>
      <c r="S171" s="565"/>
      <c r="T171" s="566"/>
      <c r="U171" s="34"/>
      <c r="V171" s="34"/>
      <c r="W171" s="35" t="s">
        <v>69</v>
      </c>
      <c r="X171" s="547">
        <v>0</v>
      </c>
      <c r="Y171" s="548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customHeight="1" x14ac:dyDescent="0.25">
      <c r="A172" s="54" t="s">
        <v>293</v>
      </c>
      <c r="B172" s="54" t="s">
        <v>294</v>
      </c>
      <c r="C172" s="31">
        <v>4301031443</v>
      </c>
      <c r="D172" s="558">
        <v>4680115887213</v>
      </c>
      <c r="E172" s="559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8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5"/>
      <c r="R172" s="565"/>
      <c r="S172" s="565"/>
      <c r="T172" s="566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8">
        <v>4680115881785</v>
      </c>
      <c r="E173" s="559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8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5"/>
      <c r="R173" s="565"/>
      <c r="S173" s="565"/>
      <c r="T173" s="566"/>
      <c r="U173" s="34"/>
      <c r="V173" s="34"/>
      <c r="W173" s="35" t="s">
        <v>69</v>
      </c>
      <c r="X173" s="547">
        <v>0</v>
      </c>
      <c r="Y173" s="548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298</v>
      </c>
      <c r="B174" s="54" t="s">
        <v>299</v>
      </c>
      <c r="C174" s="31">
        <v>4301031399</v>
      </c>
      <c r="D174" s="558">
        <v>4680115886537</v>
      </c>
      <c r="E174" s="559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 t="s">
        <v>292</v>
      </c>
      <c r="M174" s="33" t="s">
        <v>68</v>
      </c>
      <c r="N174" s="33"/>
      <c r="O174" s="32">
        <v>40</v>
      </c>
      <c r="P174" s="59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5"/>
      <c r="R174" s="565"/>
      <c r="S174" s="565"/>
      <c r="T174" s="566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 t="s">
        <v>108</v>
      </c>
      <c r="AK174" s="68">
        <v>32.4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301</v>
      </c>
      <c r="B175" s="54" t="s">
        <v>302</v>
      </c>
      <c r="C175" s="31">
        <v>4301031279</v>
      </c>
      <c r="D175" s="558">
        <v>4680115887596</v>
      </c>
      <c r="E175" s="559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67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5"/>
      <c r="R175" s="565"/>
      <c r="S175" s="565"/>
      <c r="T175" s="566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8">
        <v>4680115881679</v>
      </c>
      <c r="E176" s="559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6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5"/>
      <c r="R176" s="565"/>
      <c r="S176" s="565"/>
      <c r="T176" s="566"/>
      <c r="U176" s="34"/>
      <c r="V176" s="34"/>
      <c r="W176" s="35" t="s">
        <v>69</v>
      </c>
      <c r="X176" s="547">
        <v>0</v>
      </c>
      <c r="Y176" s="548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306</v>
      </c>
      <c r="B177" s="54" t="s">
        <v>307</v>
      </c>
      <c r="C177" s="31">
        <v>4301031158</v>
      </c>
      <c r="D177" s="558">
        <v>4680115880191</v>
      </c>
      <c r="E177" s="559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67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5"/>
      <c r="R177" s="565"/>
      <c r="S177" s="565"/>
      <c r="T177" s="566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customHeight="1" x14ac:dyDescent="0.25">
      <c r="A178" s="54" t="s">
        <v>308</v>
      </c>
      <c r="B178" s="54" t="s">
        <v>309</v>
      </c>
      <c r="C178" s="31">
        <v>4301031245</v>
      </c>
      <c r="D178" s="558">
        <v>4680115883963</v>
      </c>
      <c r="E178" s="559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65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5"/>
      <c r="R178" s="565"/>
      <c r="S178" s="565"/>
      <c r="T178" s="566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0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1"/>
      <c r="P179" s="553" t="s">
        <v>75</v>
      </c>
      <c r="Q179" s="554"/>
      <c r="R179" s="554"/>
      <c r="S179" s="554"/>
      <c r="T179" s="554"/>
      <c r="U179" s="554"/>
      <c r="V179" s="555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35.714285714285715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36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0.32472000000000001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1"/>
      <c r="P180" s="553" t="s">
        <v>75</v>
      </c>
      <c r="Q180" s="554"/>
      <c r="R180" s="554"/>
      <c r="S180" s="554"/>
      <c r="T180" s="554"/>
      <c r="U180" s="554"/>
      <c r="V180" s="555"/>
      <c r="W180" s="37" t="s">
        <v>69</v>
      </c>
      <c r="X180" s="549">
        <f>IFERROR(SUM(X167:X178),"0")</f>
        <v>150</v>
      </c>
      <c r="Y180" s="549">
        <f>IFERROR(SUM(Y167:Y178),"0")</f>
        <v>151.20000000000002</v>
      </c>
      <c r="Z180" s="37"/>
      <c r="AA180" s="550"/>
      <c r="AB180" s="550"/>
      <c r="AC180" s="550"/>
    </row>
    <row r="181" spans="1:68" ht="14.25" customHeight="1" x14ac:dyDescent="0.25">
      <c r="A181" s="556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58">
        <v>4680115886780</v>
      </c>
      <c r="E182" s="559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81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5"/>
      <c r="R182" s="565"/>
      <c r="S182" s="565"/>
      <c r="T182" s="566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8">
        <v>4680115886742</v>
      </c>
      <c r="E183" s="559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6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5"/>
      <c r="R183" s="565"/>
      <c r="S183" s="565"/>
      <c r="T183" s="566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319</v>
      </c>
      <c r="B184" s="54" t="s">
        <v>320</v>
      </c>
      <c r="C184" s="31">
        <v>4301032052</v>
      </c>
      <c r="D184" s="558">
        <v>4680115886766</v>
      </c>
      <c r="E184" s="559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81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5"/>
      <c r="R184" s="565"/>
      <c r="S184" s="565"/>
      <c r="T184" s="566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1"/>
      <c r="P185" s="553" t="s">
        <v>75</v>
      </c>
      <c r="Q185" s="554"/>
      <c r="R185" s="554"/>
      <c r="S185" s="554"/>
      <c r="T185" s="554"/>
      <c r="U185" s="554"/>
      <c r="V185" s="555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1"/>
      <c r="P186" s="553" t="s">
        <v>75</v>
      </c>
      <c r="Q186" s="554"/>
      <c r="R186" s="554"/>
      <c r="S186" s="554"/>
      <c r="T186" s="554"/>
      <c r="U186" s="554"/>
      <c r="V186" s="555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56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8">
        <v>4680115886797</v>
      </c>
      <c r="E188" s="559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0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5"/>
      <c r="R188" s="565"/>
      <c r="S188" s="565"/>
      <c r="T188" s="566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1"/>
      <c r="P189" s="553" t="s">
        <v>75</v>
      </c>
      <c r="Q189" s="554"/>
      <c r="R189" s="554"/>
      <c r="S189" s="554"/>
      <c r="T189" s="554"/>
      <c r="U189" s="554"/>
      <c r="V189" s="555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1"/>
      <c r="P190" s="553" t="s">
        <v>75</v>
      </c>
      <c r="Q190" s="554"/>
      <c r="R190" s="554"/>
      <c r="S190" s="554"/>
      <c r="T190" s="554"/>
      <c r="U190" s="554"/>
      <c r="V190" s="555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88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customHeight="1" x14ac:dyDescent="0.25">
      <c r="A192" s="556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customHeight="1" x14ac:dyDescent="0.25">
      <c r="A193" s="54" t="s">
        <v>325</v>
      </c>
      <c r="B193" s="54" t="s">
        <v>326</v>
      </c>
      <c r="C193" s="31">
        <v>4301011450</v>
      </c>
      <c r="D193" s="558">
        <v>4680115881402</v>
      </c>
      <c r="E193" s="559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68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5"/>
      <c r="R193" s="565"/>
      <c r="S193" s="565"/>
      <c r="T193" s="566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328</v>
      </c>
      <c r="B194" s="54" t="s">
        <v>329</v>
      </c>
      <c r="C194" s="31">
        <v>4301011768</v>
      </c>
      <c r="D194" s="558">
        <v>4680115881396</v>
      </c>
      <c r="E194" s="559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78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5"/>
      <c r="R194" s="565"/>
      <c r="S194" s="565"/>
      <c r="T194" s="566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1"/>
      <c r="P195" s="553" t="s">
        <v>75</v>
      </c>
      <c r="Q195" s="554"/>
      <c r="R195" s="554"/>
      <c r="S195" s="554"/>
      <c r="T195" s="554"/>
      <c r="U195" s="554"/>
      <c r="V195" s="555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1"/>
      <c r="P196" s="553" t="s">
        <v>75</v>
      </c>
      <c r="Q196" s="554"/>
      <c r="R196" s="554"/>
      <c r="S196" s="554"/>
      <c r="T196" s="554"/>
      <c r="U196" s="554"/>
      <c r="V196" s="555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56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customHeight="1" x14ac:dyDescent="0.25">
      <c r="A198" s="54" t="s">
        <v>330</v>
      </c>
      <c r="B198" s="54" t="s">
        <v>331</v>
      </c>
      <c r="C198" s="31">
        <v>4301020261</v>
      </c>
      <c r="D198" s="558">
        <v>4680115882935</v>
      </c>
      <c r="E198" s="559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6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5"/>
      <c r="R198" s="565"/>
      <c r="S198" s="565"/>
      <c r="T198" s="566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333</v>
      </c>
      <c r="B199" s="54" t="s">
        <v>334</v>
      </c>
      <c r="C199" s="31">
        <v>4301020220</v>
      </c>
      <c r="D199" s="558">
        <v>4680115880764</v>
      </c>
      <c r="E199" s="559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 t="s">
        <v>189</v>
      </c>
      <c r="M199" s="33" t="s">
        <v>106</v>
      </c>
      <c r="N199" s="33"/>
      <c r="O199" s="32">
        <v>50</v>
      </c>
      <c r="P199" s="59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5"/>
      <c r="R199" s="565"/>
      <c r="S199" s="565"/>
      <c r="T199" s="566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 t="s">
        <v>108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1"/>
      <c r="P200" s="553" t="s">
        <v>75</v>
      </c>
      <c r="Q200" s="554"/>
      <c r="R200" s="554"/>
      <c r="S200" s="554"/>
      <c r="T200" s="554"/>
      <c r="U200" s="554"/>
      <c r="V200" s="555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1"/>
      <c r="P201" s="553" t="s">
        <v>75</v>
      </c>
      <c r="Q201" s="554"/>
      <c r="R201" s="554"/>
      <c r="S201" s="554"/>
      <c r="T201" s="554"/>
      <c r="U201" s="554"/>
      <c r="V201" s="555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56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8">
        <v>4680115882683</v>
      </c>
      <c r="E203" s="559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112</v>
      </c>
      <c r="M203" s="33" t="s">
        <v>68</v>
      </c>
      <c r="N203" s="33"/>
      <c r="O203" s="32">
        <v>40</v>
      </c>
      <c r="P203" s="73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5"/>
      <c r="R203" s="565"/>
      <c r="S203" s="565"/>
      <c r="T203" s="566"/>
      <c r="U203" s="34"/>
      <c r="V203" s="34"/>
      <c r="W203" s="35" t="s">
        <v>69</v>
      </c>
      <c r="X203" s="547">
        <v>0</v>
      </c>
      <c r="Y203" s="548">
        <f t="shared" ref="Y203:Y210" si="15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0</v>
      </c>
      <c r="BN203" s="64">
        <f t="shared" ref="BN203:BN210" si="17">IFERROR(Y203*I203/H203,"0")</f>
        <v>0</v>
      </c>
      <c r="BO203" s="64">
        <f t="shared" ref="BO203:BO210" si="18">IFERROR(1/J203*(X203/H203),"0")</f>
        <v>0</v>
      </c>
      <c r="BP203" s="64">
        <f t="shared" ref="BP203:BP210" si="19">IFERROR(1/J203*(Y203/H203),"0")</f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8">
        <v>4680115882690</v>
      </c>
      <c r="E204" s="559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112</v>
      </c>
      <c r="M204" s="33" t="s">
        <v>68</v>
      </c>
      <c r="N204" s="33"/>
      <c r="O204" s="32">
        <v>40</v>
      </c>
      <c r="P204" s="72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5"/>
      <c r="R204" s="565"/>
      <c r="S204" s="565"/>
      <c r="T204" s="566"/>
      <c r="U204" s="34"/>
      <c r="V204" s="34"/>
      <c r="W204" s="35" t="s">
        <v>69</v>
      </c>
      <c r="X204" s="547">
        <v>0</v>
      </c>
      <c r="Y204" s="548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8">
        <v>4680115882669</v>
      </c>
      <c r="E205" s="559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7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5"/>
      <c r="R205" s="565"/>
      <c r="S205" s="565"/>
      <c r="T205" s="566"/>
      <c r="U205" s="34"/>
      <c r="V205" s="34"/>
      <c r="W205" s="35" t="s">
        <v>69</v>
      </c>
      <c r="X205" s="547">
        <v>0</v>
      </c>
      <c r="Y205" s="548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8">
        <v>4680115882676</v>
      </c>
      <c r="E206" s="559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5"/>
      <c r="R206" s="565"/>
      <c r="S206" s="565"/>
      <c r="T206" s="566"/>
      <c r="U206" s="34"/>
      <c r="V206" s="34"/>
      <c r="W206" s="35" t="s">
        <v>69</v>
      </c>
      <c r="X206" s="547">
        <v>0</v>
      </c>
      <c r="Y206" s="548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8">
        <v>4680115884014</v>
      </c>
      <c r="E207" s="559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2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5"/>
      <c r="R207" s="565"/>
      <c r="S207" s="565"/>
      <c r="T207" s="566"/>
      <c r="U207" s="34"/>
      <c r="V207" s="34"/>
      <c r="W207" s="35" t="s">
        <v>69</v>
      </c>
      <c r="X207" s="547">
        <v>0</v>
      </c>
      <c r="Y207" s="548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8">
        <v>4680115884007</v>
      </c>
      <c r="E208" s="559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5"/>
      <c r="R208" s="565"/>
      <c r="S208" s="565"/>
      <c r="T208" s="566"/>
      <c r="U208" s="34"/>
      <c r="V208" s="34"/>
      <c r="W208" s="35" t="s">
        <v>69</v>
      </c>
      <c r="X208" s="547">
        <v>0</v>
      </c>
      <c r="Y208" s="548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8">
        <v>4680115884038</v>
      </c>
      <c r="E209" s="559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4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5"/>
      <c r="R209" s="565"/>
      <c r="S209" s="565"/>
      <c r="T209" s="566"/>
      <c r="U209" s="34"/>
      <c r="V209" s="34"/>
      <c r="W209" s="35" t="s">
        <v>69</v>
      </c>
      <c r="X209" s="547">
        <v>0</v>
      </c>
      <c r="Y209" s="548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8">
        <v>4680115884021</v>
      </c>
      <c r="E210" s="559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5"/>
      <c r="R210" s="565"/>
      <c r="S210" s="565"/>
      <c r="T210" s="566"/>
      <c r="U210" s="34"/>
      <c r="V210" s="34"/>
      <c r="W210" s="35" t="s">
        <v>69</v>
      </c>
      <c r="X210" s="547">
        <v>0</v>
      </c>
      <c r="Y210" s="548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x14ac:dyDescent="0.2">
      <c r="A211" s="560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1"/>
      <c r="P211" s="553" t="s">
        <v>75</v>
      </c>
      <c r="Q211" s="554"/>
      <c r="R211" s="554"/>
      <c r="S211" s="554"/>
      <c r="T211" s="554"/>
      <c r="U211" s="554"/>
      <c r="V211" s="555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1"/>
      <c r="P212" s="553" t="s">
        <v>75</v>
      </c>
      <c r="Q212" s="554"/>
      <c r="R212" s="554"/>
      <c r="S212" s="554"/>
      <c r="T212" s="554"/>
      <c r="U212" s="554"/>
      <c r="V212" s="555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56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customHeight="1" x14ac:dyDescent="0.25">
      <c r="A214" s="54" t="s">
        <v>355</v>
      </c>
      <c r="B214" s="54" t="s">
        <v>356</v>
      </c>
      <c r="C214" s="31">
        <v>4301051408</v>
      </c>
      <c r="D214" s="558">
        <v>4680115881594</v>
      </c>
      <c r="E214" s="559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 t="s">
        <v>105</v>
      </c>
      <c r="M214" s="33" t="s">
        <v>80</v>
      </c>
      <c r="N214" s="33"/>
      <c r="O214" s="32">
        <v>40</v>
      </c>
      <c r="P214" s="66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5"/>
      <c r="R214" s="565"/>
      <c r="S214" s="565"/>
      <c r="T214" s="566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 t="s">
        <v>108</v>
      </c>
      <c r="AK214" s="68">
        <v>64.8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4301051411</v>
      </c>
      <c r="D215" s="558">
        <v>4680115881617</v>
      </c>
      <c r="E215" s="559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 t="s">
        <v>105</v>
      </c>
      <c r="M215" s="33" t="s">
        <v>80</v>
      </c>
      <c r="N215" s="33"/>
      <c r="O215" s="32">
        <v>40</v>
      </c>
      <c r="P215" s="85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5"/>
      <c r="R215" s="565"/>
      <c r="S215" s="565"/>
      <c r="T215" s="566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 t="s">
        <v>108</v>
      </c>
      <c r="AK215" s="68">
        <v>64.8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8">
        <v>4680115880573</v>
      </c>
      <c r="E216" s="559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5"/>
      <c r="R216" s="565"/>
      <c r="S216" s="565"/>
      <c r="T216" s="566"/>
      <c r="U216" s="34"/>
      <c r="V216" s="34"/>
      <c r="W216" s="35" t="s">
        <v>69</v>
      </c>
      <c r="X216" s="547">
        <v>0</v>
      </c>
      <c r="Y216" s="548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8">
        <v>4680115882195</v>
      </c>
      <c r="E217" s="559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189</v>
      </c>
      <c r="M217" s="33" t="s">
        <v>80</v>
      </c>
      <c r="N217" s="33"/>
      <c r="O217" s="32">
        <v>40</v>
      </c>
      <c r="P217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5"/>
      <c r="R217" s="565"/>
      <c r="S217" s="565"/>
      <c r="T217" s="566"/>
      <c r="U217" s="34"/>
      <c r="V217" s="34"/>
      <c r="W217" s="35" t="s">
        <v>69</v>
      </c>
      <c r="X217" s="547">
        <v>0</v>
      </c>
      <c r="Y217" s="548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4301051752</v>
      </c>
      <c r="D218" s="558">
        <v>4680115882607</v>
      </c>
      <c r="E218" s="559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5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5"/>
      <c r="R218" s="565"/>
      <c r="S218" s="565"/>
      <c r="T218" s="566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8">
        <v>4680115880092</v>
      </c>
      <c r="E219" s="559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189</v>
      </c>
      <c r="M219" s="33" t="s">
        <v>80</v>
      </c>
      <c r="N219" s="33"/>
      <c r="O219" s="32">
        <v>45</v>
      </c>
      <c r="P219" s="75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5"/>
      <c r="R219" s="565"/>
      <c r="S219" s="565"/>
      <c r="T219" s="566"/>
      <c r="U219" s="34"/>
      <c r="V219" s="34"/>
      <c r="W219" s="35" t="s">
        <v>69</v>
      </c>
      <c r="X219" s="547">
        <v>80</v>
      </c>
      <c r="Y219" s="548">
        <f t="shared" si="20"/>
        <v>81.599999999999994</v>
      </c>
      <c r="Z219" s="36">
        <f t="shared" si="25"/>
        <v>0.22134000000000001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88.40000000000002</v>
      </c>
      <c r="BN219" s="64">
        <f t="shared" si="22"/>
        <v>90.168000000000006</v>
      </c>
      <c r="BO219" s="64">
        <f t="shared" si="23"/>
        <v>0.18315018315018317</v>
      </c>
      <c r="BP219" s="64">
        <f t="shared" si="24"/>
        <v>0.18681318681318682</v>
      </c>
    </row>
    <row r="220" spans="1:68" ht="27" customHeight="1" x14ac:dyDescent="0.25">
      <c r="A220" s="54" t="s">
        <v>370</v>
      </c>
      <c r="B220" s="54" t="s">
        <v>371</v>
      </c>
      <c r="C220" s="31">
        <v>4301051668</v>
      </c>
      <c r="D220" s="558">
        <v>4680115880221</v>
      </c>
      <c r="E220" s="559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189</v>
      </c>
      <c r="M220" s="33" t="s">
        <v>80</v>
      </c>
      <c r="N220" s="33"/>
      <c r="O220" s="32">
        <v>45</v>
      </c>
      <c r="P220" s="8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5"/>
      <c r="R220" s="565"/>
      <c r="S220" s="565"/>
      <c r="T220" s="566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108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8">
        <v>4680115880504</v>
      </c>
      <c r="E221" s="559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189</v>
      </c>
      <c r="M221" s="33" t="s">
        <v>86</v>
      </c>
      <c r="N221" s="33"/>
      <c r="O221" s="32">
        <v>40</v>
      </c>
      <c r="P221" s="85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5"/>
      <c r="R221" s="565"/>
      <c r="S221" s="565"/>
      <c r="T221" s="566"/>
      <c r="U221" s="34"/>
      <c r="V221" s="34"/>
      <c r="W221" s="35" t="s">
        <v>69</v>
      </c>
      <c r="X221" s="547">
        <v>0</v>
      </c>
      <c r="Y221" s="548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8">
        <v>4680115882164</v>
      </c>
      <c r="E222" s="559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189</v>
      </c>
      <c r="M222" s="33" t="s">
        <v>80</v>
      </c>
      <c r="N222" s="33"/>
      <c r="O222" s="32">
        <v>40</v>
      </c>
      <c r="P222" s="6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5"/>
      <c r="R222" s="565"/>
      <c r="S222" s="565"/>
      <c r="T222" s="566"/>
      <c r="U222" s="34"/>
      <c r="V222" s="34"/>
      <c r="W222" s="35" t="s">
        <v>69</v>
      </c>
      <c r="X222" s="547">
        <v>0</v>
      </c>
      <c r="Y222" s="548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x14ac:dyDescent="0.2">
      <c r="A223" s="560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1"/>
      <c r="P223" s="553" t="s">
        <v>75</v>
      </c>
      <c r="Q223" s="554"/>
      <c r="R223" s="554"/>
      <c r="S223" s="554"/>
      <c r="T223" s="554"/>
      <c r="U223" s="554"/>
      <c r="V223" s="555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33.333333333333336</v>
      </c>
      <c r="Y223" s="549">
        <f>IFERROR(Y214/H214,"0")+IFERROR(Y215/H215,"0")+IFERROR(Y216/H216,"0")+IFERROR(Y217/H217,"0")+IFERROR(Y218/H218,"0")+IFERROR(Y219/H219,"0")+IFERROR(Y220/H220,"0")+IFERROR(Y221/H221,"0")+IFERROR(Y222/H222,"0")</f>
        <v>34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0.22134000000000001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1"/>
      <c r="P224" s="553" t="s">
        <v>75</v>
      </c>
      <c r="Q224" s="554"/>
      <c r="R224" s="554"/>
      <c r="S224" s="554"/>
      <c r="T224" s="554"/>
      <c r="U224" s="554"/>
      <c r="V224" s="555"/>
      <c r="W224" s="37" t="s">
        <v>69</v>
      </c>
      <c r="X224" s="549">
        <f>IFERROR(SUM(X214:X222),"0")</f>
        <v>80</v>
      </c>
      <c r="Y224" s="549">
        <f>IFERROR(SUM(Y214:Y222),"0")</f>
        <v>81.599999999999994</v>
      </c>
      <c r="Z224" s="37"/>
      <c r="AA224" s="550"/>
      <c r="AB224" s="550"/>
      <c r="AC224" s="550"/>
    </row>
    <row r="225" spans="1:68" ht="14.25" customHeight="1" x14ac:dyDescent="0.25">
      <c r="A225" s="556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8">
        <v>4680115880818</v>
      </c>
      <c r="E226" s="559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189</v>
      </c>
      <c r="M226" s="33" t="s">
        <v>86</v>
      </c>
      <c r="N226" s="33"/>
      <c r="O226" s="32">
        <v>40</v>
      </c>
      <c r="P226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5"/>
      <c r="R226" s="565"/>
      <c r="S226" s="565"/>
      <c r="T226" s="566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8">
        <v>4680115880801</v>
      </c>
      <c r="E227" s="559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189</v>
      </c>
      <c r="M227" s="33" t="s">
        <v>80</v>
      </c>
      <c r="N227" s="33"/>
      <c r="O227" s="32">
        <v>40</v>
      </c>
      <c r="P227" s="67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5"/>
      <c r="R227" s="565"/>
      <c r="S227" s="565"/>
      <c r="T227" s="566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1"/>
      <c r="P228" s="553" t="s">
        <v>75</v>
      </c>
      <c r="Q228" s="554"/>
      <c r="R228" s="554"/>
      <c r="S228" s="554"/>
      <c r="T228" s="554"/>
      <c r="U228" s="554"/>
      <c r="V228" s="555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1"/>
      <c r="P229" s="553" t="s">
        <v>75</v>
      </c>
      <c r="Q229" s="554"/>
      <c r="R229" s="554"/>
      <c r="S229" s="554"/>
      <c r="T229" s="554"/>
      <c r="U229" s="554"/>
      <c r="V229" s="555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88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customHeight="1" x14ac:dyDescent="0.25">
      <c r="A231" s="556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customHeight="1" x14ac:dyDescent="0.25">
      <c r="A232" s="54" t="s">
        <v>384</v>
      </c>
      <c r="B232" s="54" t="s">
        <v>385</v>
      </c>
      <c r="C232" s="31">
        <v>4301011826</v>
      </c>
      <c r="D232" s="558">
        <v>4680115884137</v>
      </c>
      <c r="E232" s="559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8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5"/>
      <c r="R232" s="565"/>
      <c r="S232" s="565"/>
      <c r="T232" s="566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customHeight="1" x14ac:dyDescent="0.25">
      <c r="A233" s="54" t="s">
        <v>387</v>
      </c>
      <c r="B233" s="54" t="s">
        <v>388</v>
      </c>
      <c r="C233" s="31">
        <v>4301011724</v>
      </c>
      <c r="D233" s="558">
        <v>4680115884236</v>
      </c>
      <c r="E233" s="559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1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5"/>
      <c r="R233" s="565"/>
      <c r="S233" s="565"/>
      <c r="T233" s="566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8">
        <v>4680115884175</v>
      </c>
      <c r="E234" s="559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82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5"/>
      <c r="R234" s="565"/>
      <c r="S234" s="565"/>
      <c r="T234" s="566"/>
      <c r="U234" s="34"/>
      <c r="V234" s="34"/>
      <c r="W234" s="35" t="s">
        <v>69</v>
      </c>
      <c r="X234" s="547">
        <v>0</v>
      </c>
      <c r="Y234" s="548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8">
        <v>4680115884144</v>
      </c>
      <c r="E235" s="559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/>
      <c r="M235" s="33" t="s">
        <v>106</v>
      </c>
      <c r="N235" s="33"/>
      <c r="O235" s="32">
        <v>55</v>
      </c>
      <c r="P235" s="71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5"/>
      <c r="R235" s="565"/>
      <c r="S235" s="565"/>
      <c r="T235" s="566"/>
      <c r="U235" s="34"/>
      <c r="V235" s="34"/>
      <c r="W235" s="35" t="s">
        <v>69</v>
      </c>
      <c r="X235" s="547">
        <v>0</v>
      </c>
      <c r="Y235" s="548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395</v>
      </c>
      <c r="C236" s="31">
        <v>4301012196</v>
      </c>
      <c r="D236" s="558">
        <v>4680115884144</v>
      </c>
      <c r="E236" s="559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82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5"/>
      <c r="R236" s="565"/>
      <c r="S236" s="565"/>
      <c r="T236" s="566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4301012149</v>
      </c>
      <c r="D237" s="558">
        <v>4680115886551</v>
      </c>
      <c r="E237" s="559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81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5"/>
      <c r="R237" s="565"/>
      <c r="S237" s="565"/>
      <c r="T237" s="566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399</v>
      </c>
      <c r="B238" s="54" t="s">
        <v>400</v>
      </c>
      <c r="C238" s="31">
        <v>4301012228</v>
      </c>
      <c r="D238" s="558">
        <v>4680115887282</v>
      </c>
      <c r="E238" s="559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2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5"/>
      <c r="R238" s="565"/>
      <c r="S238" s="565"/>
      <c r="T238" s="566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8">
        <v>4680115884205</v>
      </c>
      <c r="E239" s="559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5"/>
      <c r="R239" s="565"/>
      <c r="S239" s="565"/>
      <c r="T239" s="566"/>
      <c r="U239" s="34"/>
      <c r="V239" s="34"/>
      <c r="W239" s="35" t="s">
        <v>69</v>
      </c>
      <c r="X239" s="547">
        <v>0</v>
      </c>
      <c r="Y239" s="548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401</v>
      </c>
      <c r="B240" s="54" t="s">
        <v>403</v>
      </c>
      <c r="C240" s="31">
        <v>4301012195</v>
      </c>
      <c r="D240" s="558">
        <v>4680115884205</v>
      </c>
      <c r="E240" s="559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80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5"/>
      <c r="R240" s="565"/>
      <c r="S240" s="565"/>
      <c r="T240" s="566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0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1"/>
      <c r="P241" s="553" t="s">
        <v>75</v>
      </c>
      <c r="Q241" s="554"/>
      <c r="R241" s="554"/>
      <c r="S241" s="554"/>
      <c r="T241" s="554"/>
      <c r="U241" s="554"/>
      <c r="V241" s="555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1"/>
      <c r="P242" s="553" t="s">
        <v>75</v>
      </c>
      <c r="Q242" s="554"/>
      <c r="R242" s="554"/>
      <c r="S242" s="554"/>
      <c r="T242" s="554"/>
      <c r="U242" s="554"/>
      <c r="V242" s="555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56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customHeight="1" x14ac:dyDescent="0.25">
      <c r="A244" s="54" t="s">
        <v>404</v>
      </c>
      <c r="B244" s="54" t="s">
        <v>405</v>
      </c>
      <c r="C244" s="31">
        <v>4301020377</v>
      </c>
      <c r="D244" s="558">
        <v>4680115885981</v>
      </c>
      <c r="E244" s="559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86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5"/>
      <c r="R244" s="565"/>
      <c r="S244" s="565"/>
      <c r="T244" s="566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1"/>
      <c r="P245" s="553" t="s">
        <v>75</v>
      </c>
      <c r="Q245" s="554"/>
      <c r="R245" s="554"/>
      <c r="S245" s="554"/>
      <c r="T245" s="554"/>
      <c r="U245" s="554"/>
      <c r="V245" s="555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1"/>
      <c r="P246" s="553" t="s">
        <v>75</v>
      </c>
      <c r="Q246" s="554"/>
      <c r="R246" s="554"/>
      <c r="S246" s="554"/>
      <c r="T246" s="554"/>
      <c r="U246" s="554"/>
      <c r="V246" s="555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56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8">
        <v>4680115886803</v>
      </c>
      <c r="E248" s="559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1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5"/>
      <c r="R248" s="565"/>
      <c r="S248" s="565"/>
      <c r="T248" s="566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1"/>
      <c r="P249" s="553" t="s">
        <v>75</v>
      </c>
      <c r="Q249" s="554"/>
      <c r="R249" s="554"/>
      <c r="S249" s="554"/>
      <c r="T249" s="554"/>
      <c r="U249" s="554"/>
      <c r="V249" s="555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1"/>
      <c r="P250" s="553" t="s">
        <v>75</v>
      </c>
      <c r="Q250" s="554"/>
      <c r="R250" s="554"/>
      <c r="S250" s="554"/>
      <c r="T250" s="554"/>
      <c r="U250" s="554"/>
      <c r="V250" s="555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56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58">
        <v>4680115886704</v>
      </c>
      <c r="E252" s="559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84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5"/>
      <c r="R252" s="565"/>
      <c r="S252" s="565"/>
      <c r="T252" s="566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8">
        <v>4680115886681</v>
      </c>
      <c r="E253" s="559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62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5"/>
      <c r="R253" s="565"/>
      <c r="S253" s="565"/>
      <c r="T253" s="566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8">
        <v>4680115886735</v>
      </c>
      <c r="E254" s="559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6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5"/>
      <c r="R254" s="565"/>
      <c r="S254" s="565"/>
      <c r="T254" s="566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58">
        <v>4680115886728</v>
      </c>
      <c r="E255" s="559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793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5"/>
      <c r="R255" s="565"/>
      <c r="S255" s="565"/>
      <c r="T255" s="566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58">
        <v>4680115886711</v>
      </c>
      <c r="E256" s="559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69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5"/>
      <c r="R256" s="565"/>
      <c r="S256" s="565"/>
      <c r="T256" s="566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1"/>
      <c r="P257" s="553" t="s">
        <v>75</v>
      </c>
      <c r="Q257" s="554"/>
      <c r="R257" s="554"/>
      <c r="S257" s="554"/>
      <c r="T257" s="554"/>
      <c r="U257" s="554"/>
      <c r="V257" s="555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1"/>
      <c r="P258" s="553" t="s">
        <v>75</v>
      </c>
      <c r="Q258" s="554"/>
      <c r="R258" s="554"/>
      <c r="S258" s="554"/>
      <c r="T258" s="554"/>
      <c r="U258" s="554"/>
      <c r="V258" s="555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88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customHeight="1" x14ac:dyDescent="0.25">
      <c r="A260" s="556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customHeight="1" x14ac:dyDescent="0.25">
      <c r="A261" s="54" t="s">
        <v>424</v>
      </c>
      <c r="B261" s="54" t="s">
        <v>425</v>
      </c>
      <c r="C261" s="31">
        <v>4301011855</v>
      </c>
      <c r="D261" s="558">
        <v>4680115885837</v>
      </c>
      <c r="E261" s="559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0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5"/>
      <c r="R261" s="565"/>
      <c r="S261" s="565"/>
      <c r="T261" s="566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108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427</v>
      </c>
      <c r="B262" s="54" t="s">
        <v>428</v>
      </c>
      <c r="C262" s="31">
        <v>4301011853</v>
      </c>
      <c r="D262" s="558">
        <v>4680115885851</v>
      </c>
      <c r="E262" s="559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60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5"/>
      <c r="R262" s="565"/>
      <c r="S262" s="565"/>
      <c r="T262" s="566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430</v>
      </c>
      <c r="B263" s="54" t="s">
        <v>431</v>
      </c>
      <c r="C263" s="31">
        <v>4301011850</v>
      </c>
      <c r="D263" s="558">
        <v>4680115885806</v>
      </c>
      <c r="E263" s="559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5"/>
      <c r="R263" s="565"/>
      <c r="S263" s="565"/>
      <c r="T263" s="566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433</v>
      </c>
      <c r="B264" s="54" t="s">
        <v>434</v>
      </c>
      <c r="C264" s="31">
        <v>4301011852</v>
      </c>
      <c r="D264" s="558">
        <v>4680115885844</v>
      </c>
      <c r="E264" s="559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5"/>
      <c r="R264" s="565"/>
      <c r="S264" s="565"/>
      <c r="T264" s="566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436</v>
      </c>
      <c r="B265" s="54" t="s">
        <v>437</v>
      </c>
      <c r="C265" s="31">
        <v>4301011851</v>
      </c>
      <c r="D265" s="558">
        <v>4680115885820</v>
      </c>
      <c r="E265" s="559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83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5"/>
      <c r="R265" s="565"/>
      <c r="S265" s="565"/>
      <c r="T265" s="566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1"/>
      <c r="P266" s="553" t="s">
        <v>75</v>
      </c>
      <c r="Q266" s="554"/>
      <c r="R266" s="554"/>
      <c r="S266" s="554"/>
      <c r="T266" s="554"/>
      <c r="U266" s="554"/>
      <c r="V266" s="555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1"/>
      <c r="P267" s="553" t="s">
        <v>75</v>
      </c>
      <c r="Q267" s="554"/>
      <c r="R267" s="554"/>
      <c r="S267" s="554"/>
      <c r="T267" s="554"/>
      <c r="U267" s="554"/>
      <c r="V267" s="555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88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customHeight="1" x14ac:dyDescent="0.25">
      <c r="A269" s="556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customHeight="1" x14ac:dyDescent="0.25">
      <c r="A270" s="54" t="s">
        <v>440</v>
      </c>
      <c r="B270" s="54" t="s">
        <v>441</v>
      </c>
      <c r="C270" s="31">
        <v>4301011223</v>
      </c>
      <c r="D270" s="558">
        <v>4607091383423</v>
      </c>
      <c r="E270" s="559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66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5"/>
      <c r="R270" s="565"/>
      <c r="S270" s="565"/>
      <c r="T270" s="566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442</v>
      </c>
      <c r="B271" s="54" t="s">
        <v>443</v>
      </c>
      <c r="C271" s="31">
        <v>4301012199</v>
      </c>
      <c r="D271" s="558">
        <v>4680115886957</v>
      </c>
      <c r="E271" s="559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83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5"/>
      <c r="R271" s="565"/>
      <c r="S271" s="565"/>
      <c r="T271" s="566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445</v>
      </c>
      <c r="B272" s="54" t="s">
        <v>446</v>
      </c>
      <c r="C272" s="31">
        <v>4301012098</v>
      </c>
      <c r="D272" s="558">
        <v>4680115885660</v>
      </c>
      <c r="E272" s="559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5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5"/>
      <c r="R272" s="565"/>
      <c r="S272" s="565"/>
      <c r="T272" s="566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4301012176</v>
      </c>
      <c r="D273" s="558">
        <v>4680115886773</v>
      </c>
      <c r="E273" s="559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797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5"/>
      <c r="R273" s="565"/>
      <c r="S273" s="565"/>
      <c r="T273" s="566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1"/>
      <c r="P274" s="553" t="s">
        <v>75</v>
      </c>
      <c r="Q274" s="554"/>
      <c r="R274" s="554"/>
      <c r="S274" s="554"/>
      <c r="T274" s="554"/>
      <c r="U274" s="554"/>
      <c r="V274" s="555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1"/>
      <c r="P275" s="553" t="s">
        <v>75</v>
      </c>
      <c r="Q275" s="554"/>
      <c r="R275" s="554"/>
      <c r="S275" s="554"/>
      <c r="T275" s="554"/>
      <c r="U275" s="554"/>
      <c r="V275" s="555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88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customHeight="1" x14ac:dyDescent="0.25">
      <c r="A277" s="556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customHeight="1" x14ac:dyDescent="0.25">
      <c r="A278" s="54" t="s">
        <v>451</v>
      </c>
      <c r="B278" s="54" t="s">
        <v>452</v>
      </c>
      <c r="C278" s="31">
        <v>4301051893</v>
      </c>
      <c r="D278" s="558">
        <v>4680115886186</v>
      </c>
      <c r="E278" s="559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6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5"/>
      <c r="R278" s="565"/>
      <c r="S278" s="565"/>
      <c r="T278" s="566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8">
        <v>4680115881228</v>
      </c>
      <c r="E279" s="559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189</v>
      </c>
      <c r="M279" s="33" t="s">
        <v>86</v>
      </c>
      <c r="N279" s="33"/>
      <c r="O279" s="32">
        <v>40</v>
      </c>
      <c r="P279" s="69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5"/>
      <c r="R279" s="565"/>
      <c r="S279" s="565"/>
      <c r="T279" s="566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8">
        <v>4680115881211</v>
      </c>
      <c r="E280" s="559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189</v>
      </c>
      <c r="M280" s="33" t="s">
        <v>80</v>
      </c>
      <c r="N280" s="33"/>
      <c r="O280" s="32">
        <v>45</v>
      </c>
      <c r="P280" s="8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5"/>
      <c r="R280" s="565"/>
      <c r="S280" s="565"/>
      <c r="T280" s="566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108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1"/>
      <c r="P281" s="553" t="s">
        <v>75</v>
      </c>
      <c r="Q281" s="554"/>
      <c r="R281" s="554"/>
      <c r="S281" s="554"/>
      <c r="T281" s="554"/>
      <c r="U281" s="554"/>
      <c r="V281" s="555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1"/>
      <c r="P282" s="553" t="s">
        <v>75</v>
      </c>
      <c r="Q282" s="554"/>
      <c r="R282" s="554"/>
      <c r="S282" s="554"/>
      <c r="T282" s="554"/>
      <c r="U282" s="554"/>
      <c r="V282" s="555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88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customHeight="1" x14ac:dyDescent="0.25">
      <c r="A284" s="556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customHeight="1" x14ac:dyDescent="0.25">
      <c r="A285" s="54" t="s">
        <v>460</v>
      </c>
      <c r="B285" s="54" t="s">
        <v>461</v>
      </c>
      <c r="C285" s="31">
        <v>4301031307</v>
      </c>
      <c r="D285" s="558">
        <v>4680115880344</v>
      </c>
      <c r="E285" s="559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4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5"/>
      <c r="R285" s="565"/>
      <c r="S285" s="565"/>
      <c r="T285" s="566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463</v>
      </c>
      <c r="B286" s="54" t="s">
        <v>464</v>
      </c>
      <c r="C286" s="31">
        <v>4301031429</v>
      </c>
      <c r="D286" s="558">
        <v>4680115886919</v>
      </c>
      <c r="E286" s="559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8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5"/>
      <c r="R286" s="565"/>
      <c r="S286" s="565"/>
      <c r="T286" s="566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1"/>
      <c r="P287" s="553" t="s">
        <v>75</v>
      </c>
      <c r="Q287" s="554"/>
      <c r="R287" s="554"/>
      <c r="S287" s="554"/>
      <c r="T287" s="554"/>
      <c r="U287" s="554"/>
      <c r="V287" s="555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1"/>
      <c r="P288" s="553" t="s">
        <v>75</v>
      </c>
      <c r="Q288" s="554"/>
      <c r="R288" s="554"/>
      <c r="S288" s="554"/>
      <c r="T288" s="554"/>
      <c r="U288" s="554"/>
      <c r="V288" s="555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56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customHeight="1" x14ac:dyDescent="0.25">
      <c r="A290" s="54" t="s">
        <v>466</v>
      </c>
      <c r="B290" s="54" t="s">
        <v>467</v>
      </c>
      <c r="C290" s="31">
        <v>4301051782</v>
      </c>
      <c r="D290" s="558">
        <v>4680115884618</v>
      </c>
      <c r="E290" s="559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8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5"/>
      <c r="R290" s="565"/>
      <c r="S290" s="565"/>
      <c r="T290" s="566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469</v>
      </c>
      <c r="B291" s="54" t="s">
        <v>470</v>
      </c>
      <c r="C291" s="31">
        <v>4301052057</v>
      </c>
      <c r="D291" s="558">
        <v>4680115887114</v>
      </c>
      <c r="E291" s="559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6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5"/>
      <c r="R291" s="565"/>
      <c r="S291" s="565"/>
      <c r="T291" s="566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1"/>
      <c r="P292" s="553" t="s">
        <v>75</v>
      </c>
      <c r="Q292" s="554"/>
      <c r="R292" s="554"/>
      <c r="S292" s="554"/>
      <c r="T292" s="554"/>
      <c r="U292" s="554"/>
      <c r="V292" s="555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1"/>
      <c r="P293" s="553" t="s">
        <v>75</v>
      </c>
      <c r="Q293" s="554"/>
      <c r="R293" s="554"/>
      <c r="S293" s="554"/>
      <c r="T293" s="554"/>
      <c r="U293" s="554"/>
      <c r="V293" s="555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88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customHeight="1" x14ac:dyDescent="0.25">
      <c r="A295" s="556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customHeight="1" x14ac:dyDescent="0.25">
      <c r="A296" s="54" t="s">
        <v>473</v>
      </c>
      <c r="B296" s="54" t="s">
        <v>474</v>
      </c>
      <c r="C296" s="31">
        <v>4301012024</v>
      </c>
      <c r="D296" s="558">
        <v>4680115885615</v>
      </c>
      <c r="E296" s="559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65"/>
      <c r="R296" s="565"/>
      <c r="S296" s="565"/>
      <c r="T296" s="566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customHeight="1" x14ac:dyDescent="0.25">
      <c r="A297" s="54" t="s">
        <v>476</v>
      </c>
      <c r="B297" s="54" t="s">
        <v>477</v>
      </c>
      <c r="C297" s="31">
        <v>4301011858</v>
      </c>
      <c r="D297" s="558">
        <v>4680115885646</v>
      </c>
      <c r="E297" s="559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60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65"/>
      <c r="R297" s="565"/>
      <c r="S297" s="565"/>
      <c r="T297" s="566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customHeight="1" x14ac:dyDescent="0.25">
      <c r="A298" s="54" t="s">
        <v>479</v>
      </c>
      <c r="B298" s="54" t="s">
        <v>480</v>
      </c>
      <c r="C298" s="31">
        <v>4301012016</v>
      </c>
      <c r="D298" s="558">
        <v>4680115885554</v>
      </c>
      <c r="E298" s="559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2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65"/>
      <c r="R298" s="565"/>
      <c r="S298" s="565"/>
      <c r="T298" s="566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customHeight="1" x14ac:dyDescent="0.25">
      <c r="A299" s="54" t="s">
        <v>482</v>
      </c>
      <c r="B299" s="54" t="s">
        <v>483</v>
      </c>
      <c r="C299" s="31">
        <v>4301011857</v>
      </c>
      <c r="D299" s="558">
        <v>4680115885622</v>
      </c>
      <c r="E299" s="559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2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65"/>
      <c r="R299" s="565"/>
      <c r="S299" s="565"/>
      <c r="T299" s="566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4301011859</v>
      </c>
      <c r="D300" s="558">
        <v>4680115885608</v>
      </c>
      <c r="E300" s="559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76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65"/>
      <c r="R300" s="565"/>
      <c r="S300" s="565"/>
      <c r="T300" s="566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x14ac:dyDescent="0.2">
      <c r="A301" s="560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1"/>
      <c r="P301" s="553" t="s">
        <v>75</v>
      </c>
      <c r="Q301" s="554"/>
      <c r="R301" s="554"/>
      <c r="S301" s="554"/>
      <c r="T301" s="554"/>
      <c r="U301" s="554"/>
      <c r="V301" s="555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1"/>
      <c r="P302" s="553" t="s">
        <v>75</v>
      </c>
      <c r="Q302" s="554"/>
      <c r="R302" s="554"/>
      <c r="S302" s="554"/>
      <c r="T302" s="554"/>
      <c r="U302" s="554"/>
      <c r="V302" s="555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customHeight="1" x14ac:dyDescent="0.25">
      <c r="A303" s="556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customHeight="1" x14ac:dyDescent="0.25">
      <c r="A304" s="54" t="s">
        <v>487</v>
      </c>
      <c r="B304" s="54" t="s">
        <v>488</v>
      </c>
      <c r="C304" s="31">
        <v>4301030878</v>
      </c>
      <c r="D304" s="558">
        <v>4607091387193</v>
      </c>
      <c r="E304" s="559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1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65"/>
      <c r="R304" s="565"/>
      <c r="S304" s="565"/>
      <c r="T304" s="566"/>
      <c r="U304" s="34"/>
      <c r="V304" s="34"/>
      <c r="W304" s="35" t="s">
        <v>69</v>
      </c>
      <c r="X304" s="547">
        <v>150</v>
      </c>
      <c r="Y304" s="548">
        <f t="shared" ref="Y304:Y309" si="31">IFERROR(IF(X304="",0,CEILING((X304/$H304),1)*$H304),"")</f>
        <v>151.20000000000002</v>
      </c>
      <c r="Z304" s="36">
        <f>IFERROR(IF(Y304=0,"",ROUNDUP(Y304/H304,0)*0.00902),"")</f>
        <v>0.32472000000000001</v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158.92857142857142</v>
      </c>
      <c r="BN304" s="64">
        <f t="shared" ref="BN304:BN309" si="33">IFERROR(Y304*I304/H304,"0")</f>
        <v>160.20000000000002</v>
      </c>
      <c r="BO304" s="64">
        <f t="shared" ref="BO304:BO309" si="34">IFERROR(1/J304*(X304/H304),"0")</f>
        <v>0.27056277056277056</v>
      </c>
      <c r="BP304" s="64">
        <f t="shared" ref="BP304:BP309" si="35">IFERROR(1/J304*(Y304/H304),"0")</f>
        <v>0.27272727272727271</v>
      </c>
    </row>
    <row r="305" spans="1:68" ht="27" customHeight="1" x14ac:dyDescent="0.25">
      <c r="A305" s="54" t="s">
        <v>490</v>
      </c>
      <c r="B305" s="54" t="s">
        <v>491</v>
      </c>
      <c r="C305" s="31">
        <v>4301031153</v>
      </c>
      <c r="D305" s="558">
        <v>4607091387230</v>
      </c>
      <c r="E305" s="559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 t="s">
        <v>112</v>
      </c>
      <c r="M305" s="33" t="s">
        <v>68</v>
      </c>
      <c r="N305" s="33"/>
      <c r="O305" s="32">
        <v>40</v>
      </c>
      <c r="P305" s="76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65"/>
      <c r="R305" s="565"/>
      <c r="S305" s="565"/>
      <c r="T305" s="566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 t="s">
        <v>108</v>
      </c>
      <c r="AK305" s="68">
        <v>50.4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customHeight="1" x14ac:dyDescent="0.25">
      <c r="A306" s="54" t="s">
        <v>493</v>
      </c>
      <c r="B306" s="54" t="s">
        <v>494</v>
      </c>
      <c r="C306" s="31">
        <v>4301031154</v>
      </c>
      <c r="D306" s="558">
        <v>4607091387292</v>
      </c>
      <c r="E306" s="559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2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65"/>
      <c r="R306" s="565"/>
      <c r="S306" s="565"/>
      <c r="T306" s="566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496</v>
      </c>
      <c r="B307" s="54" t="s">
        <v>497</v>
      </c>
      <c r="C307" s="31">
        <v>4301031152</v>
      </c>
      <c r="D307" s="558">
        <v>4607091387285</v>
      </c>
      <c r="E307" s="559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56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65"/>
      <c r="R307" s="565"/>
      <c r="S307" s="565"/>
      <c r="T307" s="566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8">
        <v>4607091389845</v>
      </c>
      <c r="E308" s="559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5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65"/>
      <c r="R308" s="565"/>
      <c r="S308" s="565"/>
      <c r="T308" s="566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8">
        <v>4607091383836</v>
      </c>
      <c r="E309" s="559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5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65"/>
      <c r="R309" s="565"/>
      <c r="S309" s="565"/>
      <c r="T309" s="566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IFERROR(IF(Y309=0,"",ROUNDUP(Y309/H309,0)*0.00651),"")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x14ac:dyDescent="0.2">
      <c r="A310" s="560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1"/>
      <c r="P310" s="553" t="s">
        <v>75</v>
      </c>
      <c r="Q310" s="554"/>
      <c r="R310" s="554"/>
      <c r="S310" s="554"/>
      <c r="T310" s="554"/>
      <c r="U310" s="554"/>
      <c r="V310" s="555"/>
      <c r="W310" s="37" t="s">
        <v>76</v>
      </c>
      <c r="X310" s="549">
        <f>IFERROR(X304/H304,"0")+IFERROR(X305/H305,"0")+IFERROR(X306/H306,"0")+IFERROR(X307/H307,"0")+IFERROR(X308/H308,"0")+IFERROR(X309/H309,"0")</f>
        <v>35.714285714285715</v>
      </c>
      <c r="Y310" s="549">
        <f>IFERROR(Y304/H304,"0")+IFERROR(Y305/H305,"0")+IFERROR(Y306/H306,"0")+IFERROR(Y307/H307,"0")+IFERROR(Y308/H308,"0")+IFERROR(Y309/H309,"0")</f>
        <v>36</v>
      </c>
      <c r="Z310" s="549">
        <f>IFERROR(IF(Z304="",0,Z304),"0")+IFERROR(IF(Z305="",0,Z305),"0")+IFERROR(IF(Z306="",0,Z306),"0")+IFERROR(IF(Z307="",0,Z307),"0")+IFERROR(IF(Z308="",0,Z308),"0")+IFERROR(IF(Z309="",0,Z309),"0")</f>
        <v>0.32472000000000001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1"/>
      <c r="P311" s="553" t="s">
        <v>75</v>
      </c>
      <c r="Q311" s="554"/>
      <c r="R311" s="554"/>
      <c r="S311" s="554"/>
      <c r="T311" s="554"/>
      <c r="U311" s="554"/>
      <c r="V311" s="555"/>
      <c r="W311" s="37" t="s">
        <v>69</v>
      </c>
      <c r="X311" s="549">
        <f>IFERROR(SUM(X304:X309),"0")</f>
        <v>150</v>
      </c>
      <c r="Y311" s="549">
        <f>IFERROR(SUM(Y304:Y309),"0")</f>
        <v>151.20000000000002</v>
      </c>
      <c r="Z311" s="37"/>
      <c r="AA311" s="550"/>
      <c r="AB311" s="550"/>
      <c r="AC311" s="550"/>
    </row>
    <row r="312" spans="1:68" ht="14.25" customHeight="1" x14ac:dyDescent="0.25">
      <c r="A312" s="556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customHeight="1" x14ac:dyDescent="0.25">
      <c r="A313" s="54" t="s">
        <v>504</v>
      </c>
      <c r="B313" s="54" t="s">
        <v>505</v>
      </c>
      <c r="C313" s="31">
        <v>4301051100</v>
      </c>
      <c r="D313" s="558">
        <v>4607091387766</v>
      </c>
      <c r="E313" s="559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 t="s">
        <v>105</v>
      </c>
      <c r="M313" s="33" t="s">
        <v>80</v>
      </c>
      <c r="N313" s="33"/>
      <c r="O313" s="32">
        <v>40</v>
      </c>
      <c r="P313" s="56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65"/>
      <c r="R313" s="565"/>
      <c r="S313" s="565"/>
      <c r="T313" s="566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 t="s">
        <v>108</v>
      </c>
      <c r="AK313" s="68">
        <v>62.4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customHeight="1" x14ac:dyDescent="0.25">
      <c r="A314" s="54" t="s">
        <v>507</v>
      </c>
      <c r="B314" s="54" t="s">
        <v>508</v>
      </c>
      <c r="C314" s="31">
        <v>4301051818</v>
      </c>
      <c r="D314" s="558">
        <v>4607091387957</v>
      </c>
      <c r="E314" s="559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68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65"/>
      <c r="R314" s="565"/>
      <c r="S314" s="565"/>
      <c r="T314" s="566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510</v>
      </c>
      <c r="B315" s="54" t="s">
        <v>511</v>
      </c>
      <c r="C315" s="31">
        <v>4301051819</v>
      </c>
      <c r="D315" s="558">
        <v>4607091387964</v>
      </c>
      <c r="E315" s="559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65"/>
      <c r="R315" s="565"/>
      <c r="S315" s="565"/>
      <c r="T315" s="566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513</v>
      </c>
      <c r="B316" s="54" t="s">
        <v>514</v>
      </c>
      <c r="C316" s="31">
        <v>4301051734</v>
      </c>
      <c r="D316" s="558">
        <v>4680115884588</v>
      </c>
      <c r="E316" s="559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65"/>
      <c r="R316" s="565"/>
      <c r="S316" s="565"/>
      <c r="T316" s="566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0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1"/>
      <c r="P317" s="553" t="s">
        <v>75</v>
      </c>
      <c r="Q317" s="554"/>
      <c r="R317" s="554"/>
      <c r="S317" s="554"/>
      <c r="T317" s="554"/>
      <c r="U317" s="554"/>
      <c r="V317" s="555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1"/>
      <c r="P318" s="553" t="s">
        <v>75</v>
      </c>
      <c r="Q318" s="554"/>
      <c r="R318" s="554"/>
      <c r="S318" s="554"/>
      <c r="T318" s="554"/>
      <c r="U318" s="554"/>
      <c r="V318" s="555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customHeight="1" x14ac:dyDescent="0.25">
      <c r="A319" s="556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customHeight="1" x14ac:dyDescent="0.25">
      <c r="A320" s="54" t="s">
        <v>516</v>
      </c>
      <c r="B320" s="54" t="s">
        <v>517</v>
      </c>
      <c r="C320" s="31">
        <v>4301060387</v>
      </c>
      <c r="D320" s="558">
        <v>4607091380880</v>
      </c>
      <c r="E320" s="559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68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65"/>
      <c r="R320" s="565"/>
      <c r="S320" s="565"/>
      <c r="T320" s="566"/>
      <c r="U320" s="34"/>
      <c r="V320" s="34"/>
      <c r="W320" s="35" t="s">
        <v>69</v>
      </c>
      <c r="X320" s="547">
        <v>150</v>
      </c>
      <c r="Y320" s="548">
        <f>IFERROR(IF(X320="",0,CEILING((X320/$H320),1)*$H320),"")</f>
        <v>151.20000000000002</v>
      </c>
      <c r="Z320" s="36">
        <f>IFERROR(IF(Y320=0,"",ROUNDUP(Y320/H320,0)*0.01898),"")</f>
        <v>0.34164</v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158.82142857142856</v>
      </c>
      <c r="BN320" s="64">
        <f>IFERROR(Y320*I320/H320,"0")</f>
        <v>160.09200000000001</v>
      </c>
      <c r="BO320" s="64">
        <f>IFERROR(1/J320*(X320/H320),"0")</f>
        <v>0.27901785714285715</v>
      </c>
      <c r="BP320" s="64">
        <f>IFERROR(1/J320*(Y320/H320),"0")</f>
        <v>0.28125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8">
        <v>4607091384482</v>
      </c>
      <c r="E321" s="559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65"/>
      <c r="R321" s="565"/>
      <c r="S321" s="565"/>
      <c r="T321" s="566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8">
        <v>4607091380897</v>
      </c>
      <c r="E322" s="559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4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65"/>
      <c r="R322" s="565"/>
      <c r="S322" s="565"/>
      <c r="T322" s="566"/>
      <c r="U322" s="34"/>
      <c r="V322" s="34"/>
      <c r="W322" s="35" t="s">
        <v>69</v>
      </c>
      <c r="X322" s="547">
        <v>0</v>
      </c>
      <c r="Y322" s="548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0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1"/>
      <c r="P323" s="553" t="s">
        <v>75</v>
      </c>
      <c r="Q323" s="554"/>
      <c r="R323" s="554"/>
      <c r="S323" s="554"/>
      <c r="T323" s="554"/>
      <c r="U323" s="554"/>
      <c r="V323" s="555"/>
      <c r="W323" s="37" t="s">
        <v>76</v>
      </c>
      <c r="X323" s="549">
        <f>IFERROR(X320/H320,"0")+IFERROR(X321/H321,"0")+IFERROR(X322/H322,"0")</f>
        <v>17.857142857142858</v>
      </c>
      <c r="Y323" s="549">
        <f>IFERROR(Y320/H320,"0")+IFERROR(Y321/H321,"0")+IFERROR(Y322/H322,"0")</f>
        <v>18</v>
      </c>
      <c r="Z323" s="549">
        <f>IFERROR(IF(Z320="",0,Z320),"0")+IFERROR(IF(Z321="",0,Z321),"0")+IFERROR(IF(Z322="",0,Z322),"0")</f>
        <v>0.34164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1"/>
      <c r="P324" s="553" t="s">
        <v>75</v>
      </c>
      <c r="Q324" s="554"/>
      <c r="R324" s="554"/>
      <c r="S324" s="554"/>
      <c r="T324" s="554"/>
      <c r="U324" s="554"/>
      <c r="V324" s="555"/>
      <c r="W324" s="37" t="s">
        <v>69</v>
      </c>
      <c r="X324" s="549">
        <f>IFERROR(SUM(X320:X322),"0")</f>
        <v>150</v>
      </c>
      <c r="Y324" s="549">
        <f>IFERROR(SUM(Y320:Y322),"0")</f>
        <v>151.20000000000002</v>
      </c>
      <c r="Z324" s="37"/>
      <c r="AA324" s="550"/>
      <c r="AB324" s="550"/>
      <c r="AC324" s="550"/>
    </row>
    <row r="325" spans="1:68" ht="14.25" customHeight="1" x14ac:dyDescent="0.25">
      <c r="A325" s="556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customHeight="1" x14ac:dyDescent="0.25">
      <c r="A326" s="54" t="s">
        <v>525</v>
      </c>
      <c r="B326" s="54" t="s">
        <v>526</v>
      </c>
      <c r="C326" s="31">
        <v>4301030235</v>
      </c>
      <c r="D326" s="558">
        <v>4607091388381</v>
      </c>
      <c r="E326" s="559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8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65"/>
      <c r="R326" s="565"/>
      <c r="S326" s="565"/>
      <c r="T326" s="566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customHeight="1" x14ac:dyDescent="0.25">
      <c r="A327" s="54" t="s">
        <v>528</v>
      </c>
      <c r="B327" s="54" t="s">
        <v>529</v>
      </c>
      <c r="C327" s="31">
        <v>4301030232</v>
      </c>
      <c r="D327" s="558">
        <v>4607091388374</v>
      </c>
      <c r="E327" s="559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65"/>
      <c r="R327" s="565"/>
      <c r="S327" s="565"/>
      <c r="T327" s="566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530</v>
      </c>
      <c r="B328" s="54" t="s">
        <v>531</v>
      </c>
      <c r="C328" s="31">
        <v>4301032015</v>
      </c>
      <c r="D328" s="558">
        <v>4607091383102</v>
      </c>
      <c r="E328" s="559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189</v>
      </c>
      <c r="M328" s="33" t="s">
        <v>96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65"/>
      <c r="R328" s="565"/>
      <c r="S328" s="565"/>
      <c r="T328" s="566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4301030233</v>
      </c>
      <c r="D329" s="558">
        <v>4607091388404</v>
      </c>
      <c r="E329" s="559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189</v>
      </c>
      <c r="M329" s="33" t="s">
        <v>96</v>
      </c>
      <c r="N329" s="33"/>
      <c r="O329" s="32">
        <v>180</v>
      </c>
      <c r="P329" s="82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65"/>
      <c r="R329" s="565"/>
      <c r="S329" s="565"/>
      <c r="T329" s="566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0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1"/>
      <c r="P330" s="553" t="s">
        <v>75</v>
      </c>
      <c r="Q330" s="554"/>
      <c r="R330" s="554"/>
      <c r="S330" s="554"/>
      <c r="T330" s="554"/>
      <c r="U330" s="554"/>
      <c r="V330" s="555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1"/>
      <c r="P331" s="553" t="s">
        <v>75</v>
      </c>
      <c r="Q331" s="554"/>
      <c r="R331" s="554"/>
      <c r="S331" s="554"/>
      <c r="T331" s="554"/>
      <c r="U331" s="554"/>
      <c r="V331" s="555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customHeight="1" x14ac:dyDescent="0.25">
      <c r="A332" s="556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customHeight="1" x14ac:dyDescent="0.25">
      <c r="A333" s="54" t="s">
        <v>536</v>
      </c>
      <c r="B333" s="54" t="s">
        <v>537</v>
      </c>
      <c r="C333" s="31">
        <v>4301180007</v>
      </c>
      <c r="D333" s="558">
        <v>4680115881808</v>
      </c>
      <c r="E333" s="559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189</v>
      </c>
      <c r="M333" s="33" t="s">
        <v>538</v>
      </c>
      <c r="N333" s="33"/>
      <c r="O333" s="32">
        <v>730</v>
      </c>
      <c r="P333" s="7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65"/>
      <c r="R333" s="565"/>
      <c r="S333" s="565"/>
      <c r="T333" s="566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customHeight="1" x14ac:dyDescent="0.25">
      <c r="A334" s="54" t="s">
        <v>540</v>
      </c>
      <c r="B334" s="54" t="s">
        <v>541</v>
      </c>
      <c r="C334" s="31">
        <v>4301180006</v>
      </c>
      <c r="D334" s="558">
        <v>4680115881822</v>
      </c>
      <c r="E334" s="559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 t="s">
        <v>189</v>
      </c>
      <c r="M334" s="33" t="s">
        <v>538</v>
      </c>
      <c r="N334" s="33"/>
      <c r="O334" s="32">
        <v>730</v>
      </c>
      <c r="P334" s="8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65"/>
      <c r="R334" s="565"/>
      <c r="S334" s="565"/>
      <c r="T334" s="566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 t="s">
        <v>108</v>
      </c>
      <c r="AK334" s="68">
        <v>28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542</v>
      </c>
      <c r="B335" s="54" t="s">
        <v>543</v>
      </c>
      <c r="C335" s="31">
        <v>4301180001</v>
      </c>
      <c r="D335" s="558">
        <v>4680115880016</v>
      </c>
      <c r="E335" s="559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189</v>
      </c>
      <c r="M335" s="33" t="s">
        <v>538</v>
      </c>
      <c r="N335" s="33"/>
      <c r="O335" s="32">
        <v>730</v>
      </c>
      <c r="P335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65"/>
      <c r="R335" s="565"/>
      <c r="S335" s="565"/>
      <c r="T335" s="566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x14ac:dyDescent="0.2">
      <c r="A336" s="560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1"/>
      <c r="P336" s="553" t="s">
        <v>75</v>
      </c>
      <c r="Q336" s="554"/>
      <c r="R336" s="554"/>
      <c r="S336" s="554"/>
      <c r="T336" s="554"/>
      <c r="U336" s="554"/>
      <c r="V336" s="555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1"/>
      <c r="P337" s="553" t="s">
        <v>75</v>
      </c>
      <c r="Q337" s="554"/>
      <c r="R337" s="554"/>
      <c r="S337" s="554"/>
      <c r="T337" s="554"/>
      <c r="U337" s="554"/>
      <c r="V337" s="555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customHeight="1" x14ac:dyDescent="0.25">
      <c r="A338" s="588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customHeight="1" x14ac:dyDescent="0.25">
      <c r="A339" s="556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customHeight="1" x14ac:dyDescent="0.25">
      <c r="A340" s="54" t="s">
        <v>545</v>
      </c>
      <c r="B340" s="54" t="s">
        <v>546</v>
      </c>
      <c r="C340" s="31">
        <v>4301051489</v>
      </c>
      <c r="D340" s="558">
        <v>4607091387919</v>
      </c>
      <c r="E340" s="559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 t="s">
        <v>105</v>
      </c>
      <c r="M340" s="33" t="s">
        <v>86</v>
      </c>
      <c r="N340" s="33"/>
      <c r="O340" s="32">
        <v>45</v>
      </c>
      <c r="P340" s="76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65"/>
      <c r="R340" s="565"/>
      <c r="S340" s="565"/>
      <c r="T340" s="566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 t="s">
        <v>108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8">
        <v>4680115883604</v>
      </c>
      <c r="E341" s="559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189</v>
      </c>
      <c r="M341" s="33" t="s">
        <v>80</v>
      </c>
      <c r="N341" s="33"/>
      <c r="O341" s="32">
        <v>45</v>
      </c>
      <c r="P341" s="66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65"/>
      <c r="R341" s="565"/>
      <c r="S341" s="565"/>
      <c r="T341" s="566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8">
        <v>4680115883567</v>
      </c>
      <c r="E342" s="559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189</v>
      </c>
      <c r="M342" s="33" t="s">
        <v>86</v>
      </c>
      <c r="N342" s="33"/>
      <c r="O342" s="32">
        <v>40</v>
      </c>
      <c r="P342" s="62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65"/>
      <c r="R342" s="565"/>
      <c r="S342" s="565"/>
      <c r="T342" s="566"/>
      <c r="U342" s="34"/>
      <c r="V342" s="34"/>
      <c r="W342" s="35" t="s">
        <v>69</v>
      </c>
      <c r="X342" s="547">
        <v>0</v>
      </c>
      <c r="Y342" s="548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x14ac:dyDescent="0.2">
      <c r="A343" s="560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1"/>
      <c r="P343" s="553" t="s">
        <v>75</v>
      </c>
      <c r="Q343" s="554"/>
      <c r="R343" s="554"/>
      <c r="S343" s="554"/>
      <c r="T343" s="554"/>
      <c r="U343" s="554"/>
      <c r="V343" s="555"/>
      <c r="W343" s="37" t="s">
        <v>76</v>
      </c>
      <c r="X343" s="549">
        <f>IFERROR(X340/H340,"0")+IFERROR(X341/H341,"0")+IFERROR(X342/H342,"0")</f>
        <v>0</v>
      </c>
      <c r="Y343" s="549">
        <f>IFERROR(Y340/H340,"0")+IFERROR(Y341/H341,"0")+IFERROR(Y342/H342,"0")</f>
        <v>0</v>
      </c>
      <c r="Z343" s="549">
        <f>IFERROR(IF(Z340="",0,Z340),"0")+IFERROR(IF(Z341="",0,Z341),"0")+IFERROR(IF(Z342="",0,Z342),"0")</f>
        <v>0</v>
      </c>
      <c r="AA343" s="550"/>
      <c r="AB343" s="550"/>
      <c r="AC343" s="550"/>
    </row>
    <row r="344" spans="1:68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1"/>
      <c r="P344" s="553" t="s">
        <v>75</v>
      </c>
      <c r="Q344" s="554"/>
      <c r="R344" s="554"/>
      <c r="S344" s="554"/>
      <c r="T344" s="554"/>
      <c r="U344" s="554"/>
      <c r="V344" s="555"/>
      <c r="W344" s="37" t="s">
        <v>69</v>
      </c>
      <c r="X344" s="549">
        <f>IFERROR(SUM(X340:X342),"0")</f>
        <v>0</v>
      </c>
      <c r="Y344" s="549">
        <f>IFERROR(SUM(Y340:Y342),"0")</f>
        <v>0</v>
      </c>
      <c r="Z344" s="37"/>
      <c r="AA344" s="550"/>
      <c r="AB344" s="550"/>
      <c r="AC344" s="550"/>
    </row>
    <row r="345" spans="1:68" ht="27.75" customHeight="1" x14ac:dyDescent="0.2">
      <c r="A345" s="648" t="s">
        <v>554</v>
      </c>
      <c r="B345" s="649"/>
      <c r="C345" s="649"/>
      <c r="D345" s="649"/>
      <c r="E345" s="649"/>
      <c r="F345" s="649"/>
      <c r="G345" s="649"/>
      <c r="H345" s="649"/>
      <c r="I345" s="649"/>
      <c r="J345" s="649"/>
      <c r="K345" s="649"/>
      <c r="L345" s="649"/>
      <c r="M345" s="649"/>
      <c r="N345" s="649"/>
      <c r="O345" s="649"/>
      <c r="P345" s="649"/>
      <c r="Q345" s="649"/>
      <c r="R345" s="649"/>
      <c r="S345" s="649"/>
      <c r="T345" s="649"/>
      <c r="U345" s="649"/>
      <c r="V345" s="649"/>
      <c r="W345" s="649"/>
      <c r="X345" s="649"/>
      <c r="Y345" s="649"/>
      <c r="Z345" s="649"/>
      <c r="AA345" s="48"/>
      <c r="AB345" s="48"/>
      <c r="AC345" s="48"/>
    </row>
    <row r="346" spans="1:68" ht="16.5" customHeight="1" x14ac:dyDescent="0.25">
      <c r="A346" s="588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customHeight="1" x14ac:dyDescent="0.25">
      <c r="A347" s="556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8">
        <v>4680115884847</v>
      </c>
      <c r="E348" s="559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 t="s">
        <v>105</v>
      </c>
      <c r="M348" s="33" t="s">
        <v>68</v>
      </c>
      <c r="N348" s="33"/>
      <c r="O348" s="32">
        <v>60</v>
      </c>
      <c r="P348" s="64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65"/>
      <c r="R348" s="565"/>
      <c r="S348" s="565"/>
      <c r="T348" s="566"/>
      <c r="U348" s="34"/>
      <c r="V348" s="34"/>
      <c r="W348" s="35" t="s">
        <v>69</v>
      </c>
      <c r="X348" s="547">
        <v>1700</v>
      </c>
      <c r="Y348" s="548">
        <f t="shared" ref="Y348:Y354" si="36">IFERROR(IF(X348="",0,CEILING((X348/$H348),1)*$H348),"")</f>
        <v>1710</v>
      </c>
      <c r="Z348" s="36">
        <f>IFERROR(IF(Y348=0,"",ROUNDUP(Y348/H348,0)*0.02175),"")</f>
        <v>2.4794999999999998</v>
      </c>
      <c r="AA348" s="56"/>
      <c r="AB348" s="57"/>
      <c r="AC348" s="401" t="s">
        <v>558</v>
      </c>
      <c r="AG348" s="64"/>
      <c r="AJ348" s="68" t="s">
        <v>108</v>
      </c>
      <c r="AK348" s="68">
        <v>120</v>
      </c>
      <c r="BB348" s="402" t="s">
        <v>1</v>
      </c>
      <c r="BM348" s="64">
        <f t="shared" ref="BM348:BM354" si="37">IFERROR(X348*I348/H348,"0")</f>
        <v>1753.2666666666667</v>
      </c>
      <c r="BN348" s="64">
        <f t="shared" ref="BN348:BN354" si="38">IFERROR(Y348*I348/H348,"0")</f>
        <v>1763.5800000000002</v>
      </c>
      <c r="BO348" s="64">
        <f t="shared" ref="BO348:BO354" si="39">IFERROR(1/J348*(X348/H348),"0")</f>
        <v>2.3611111111111107</v>
      </c>
      <c r="BP348" s="64">
        <f t="shared" ref="BP348:BP354" si="40">IFERROR(1/J348*(Y348/H348),"0")</f>
        <v>2.375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8">
        <v>4680115884854</v>
      </c>
      <c r="E349" s="559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 t="s">
        <v>105</v>
      </c>
      <c r="M349" s="33" t="s">
        <v>68</v>
      </c>
      <c r="N349" s="33"/>
      <c r="O349" s="32">
        <v>60</v>
      </c>
      <c r="P349" s="6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65"/>
      <c r="R349" s="565"/>
      <c r="S349" s="565"/>
      <c r="T349" s="566"/>
      <c r="U349" s="34"/>
      <c r="V349" s="34"/>
      <c r="W349" s="35" t="s">
        <v>69</v>
      </c>
      <c r="X349" s="547">
        <v>450</v>
      </c>
      <c r="Y349" s="548">
        <f t="shared" si="36"/>
        <v>450</v>
      </c>
      <c r="Z349" s="36">
        <f>IFERROR(IF(Y349=0,"",ROUNDUP(Y349/H349,0)*0.02175),"")</f>
        <v>0.65249999999999997</v>
      </c>
      <c r="AA349" s="56"/>
      <c r="AB349" s="57"/>
      <c r="AC349" s="403" t="s">
        <v>561</v>
      </c>
      <c r="AG349" s="64"/>
      <c r="AJ349" s="68" t="s">
        <v>108</v>
      </c>
      <c r="AK349" s="68">
        <v>120</v>
      </c>
      <c r="BB349" s="404" t="s">
        <v>1</v>
      </c>
      <c r="BM349" s="64">
        <f t="shared" si="37"/>
        <v>464.1</v>
      </c>
      <c r="BN349" s="64">
        <f t="shared" si="38"/>
        <v>464.1</v>
      </c>
      <c r="BO349" s="64">
        <f t="shared" si="39"/>
        <v>0.625</v>
      </c>
      <c r="BP349" s="64">
        <f t="shared" si="40"/>
        <v>0.625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8">
        <v>4680115884830</v>
      </c>
      <c r="E350" s="559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7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65"/>
      <c r="R350" s="565"/>
      <c r="S350" s="565"/>
      <c r="T350" s="566"/>
      <c r="U350" s="34"/>
      <c r="V350" s="34"/>
      <c r="W350" s="35" t="s">
        <v>69</v>
      </c>
      <c r="X350" s="547">
        <v>1300</v>
      </c>
      <c r="Y350" s="548">
        <f t="shared" si="36"/>
        <v>1305</v>
      </c>
      <c r="Z350" s="36">
        <f>IFERROR(IF(Y350=0,"",ROUNDUP(Y350/H350,0)*0.02175),"")</f>
        <v>1.8922499999999998</v>
      </c>
      <c r="AA350" s="56"/>
      <c r="AB350" s="57"/>
      <c r="AC350" s="405" t="s">
        <v>564</v>
      </c>
      <c r="AG350" s="64"/>
      <c r="AJ350" s="68" t="s">
        <v>108</v>
      </c>
      <c r="AK350" s="68">
        <v>120</v>
      </c>
      <c r="BB350" s="406" t="s">
        <v>1</v>
      </c>
      <c r="BM350" s="64">
        <f t="shared" si="37"/>
        <v>1340.7333333333333</v>
      </c>
      <c r="BN350" s="64">
        <f t="shared" si="38"/>
        <v>1345.89</v>
      </c>
      <c r="BO350" s="64">
        <f t="shared" si="39"/>
        <v>1.8055555555555556</v>
      </c>
      <c r="BP350" s="64">
        <f t="shared" si="40"/>
        <v>1.8125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8">
        <v>4680115887046</v>
      </c>
      <c r="E351" s="559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84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5"/>
      <c r="R351" s="565"/>
      <c r="S351" s="565"/>
      <c r="T351" s="566"/>
      <c r="U351" s="34"/>
      <c r="V351" s="34"/>
      <c r="W351" s="35" t="s">
        <v>69</v>
      </c>
      <c r="X351" s="547">
        <v>0</v>
      </c>
      <c r="Y351" s="548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568</v>
      </c>
      <c r="B352" s="54" t="s">
        <v>569</v>
      </c>
      <c r="C352" s="31">
        <v>4301011433</v>
      </c>
      <c r="D352" s="558">
        <v>4680115882638</v>
      </c>
      <c r="E352" s="559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7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65"/>
      <c r="R352" s="565"/>
      <c r="S352" s="565"/>
      <c r="T352" s="566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571</v>
      </c>
      <c r="B353" s="54" t="s">
        <v>572</v>
      </c>
      <c r="C353" s="31">
        <v>4301011952</v>
      </c>
      <c r="D353" s="558">
        <v>4680115884922</v>
      </c>
      <c r="E353" s="559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76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65"/>
      <c r="R353" s="565"/>
      <c r="S353" s="565"/>
      <c r="T353" s="566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8">
        <v>4680115884861</v>
      </c>
      <c r="E354" s="559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64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65"/>
      <c r="R354" s="565"/>
      <c r="S354" s="565"/>
      <c r="T354" s="566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x14ac:dyDescent="0.2">
      <c r="A355" s="560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1"/>
      <c r="P355" s="553" t="s">
        <v>75</v>
      </c>
      <c r="Q355" s="554"/>
      <c r="R355" s="554"/>
      <c r="S355" s="554"/>
      <c r="T355" s="554"/>
      <c r="U355" s="554"/>
      <c r="V355" s="555"/>
      <c r="W355" s="37" t="s">
        <v>76</v>
      </c>
      <c r="X355" s="549">
        <f>IFERROR(X348/H348,"0")+IFERROR(X349/H349,"0")+IFERROR(X350/H350,"0")+IFERROR(X351/H351,"0")+IFERROR(X352/H352,"0")+IFERROR(X353/H353,"0")+IFERROR(X354/H354,"0")</f>
        <v>230</v>
      </c>
      <c r="Y355" s="549">
        <f>IFERROR(Y348/H348,"0")+IFERROR(Y349/H349,"0")+IFERROR(Y350/H350,"0")+IFERROR(Y351/H351,"0")+IFERROR(Y352/H352,"0")+IFERROR(Y353/H353,"0")+IFERROR(Y354/H354,"0")</f>
        <v>231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5.0242499999999994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1"/>
      <c r="P356" s="553" t="s">
        <v>75</v>
      </c>
      <c r="Q356" s="554"/>
      <c r="R356" s="554"/>
      <c r="S356" s="554"/>
      <c r="T356" s="554"/>
      <c r="U356" s="554"/>
      <c r="V356" s="555"/>
      <c r="W356" s="37" t="s">
        <v>69</v>
      </c>
      <c r="X356" s="549">
        <f>IFERROR(SUM(X348:X354),"0")</f>
        <v>3450</v>
      </c>
      <c r="Y356" s="549">
        <f>IFERROR(SUM(Y348:Y354),"0")</f>
        <v>3465</v>
      </c>
      <c r="Z356" s="37"/>
      <c r="AA356" s="550"/>
      <c r="AB356" s="550"/>
      <c r="AC356" s="550"/>
    </row>
    <row r="357" spans="1:68" ht="14.25" customHeight="1" x14ac:dyDescent="0.25">
      <c r="A357" s="556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8">
        <v>4607091383980</v>
      </c>
      <c r="E358" s="559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 t="s">
        <v>105</v>
      </c>
      <c r="M358" s="33" t="s">
        <v>106</v>
      </c>
      <c r="N358" s="33"/>
      <c r="O358" s="32">
        <v>50</v>
      </c>
      <c r="P358" s="77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65"/>
      <c r="R358" s="565"/>
      <c r="S358" s="565"/>
      <c r="T358" s="566"/>
      <c r="U358" s="34"/>
      <c r="V358" s="34"/>
      <c r="W358" s="35" t="s">
        <v>69</v>
      </c>
      <c r="X358" s="547">
        <v>2900</v>
      </c>
      <c r="Y358" s="548">
        <f>IFERROR(IF(X358="",0,CEILING((X358/$H358),1)*$H358),"")</f>
        <v>2910</v>
      </c>
      <c r="Z358" s="36">
        <f>IFERROR(IF(Y358=0,"",ROUNDUP(Y358/H358,0)*0.02175),"")</f>
        <v>4.2195</v>
      </c>
      <c r="AA358" s="56"/>
      <c r="AB358" s="57"/>
      <c r="AC358" s="415" t="s">
        <v>577</v>
      </c>
      <c r="AG358" s="64"/>
      <c r="AJ358" s="68" t="s">
        <v>108</v>
      </c>
      <c r="AK358" s="68">
        <v>120</v>
      </c>
      <c r="BB358" s="416" t="s">
        <v>1</v>
      </c>
      <c r="BM358" s="64">
        <f>IFERROR(X358*I358/H358,"0")</f>
        <v>2990.8666666666668</v>
      </c>
      <c r="BN358" s="64">
        <f>IFERROR(Y358*I358/H358,"0")</f>
        <v>3001.1800000000003</v>
      </c>
      <c r="BO358" s="64">
        <f>IFERROR(1/J358*(X358/H358),"0")</f>
        <v>4.0277777777777777</v>
      </c>
      <c r="BP358" s="64">
        <f>IFERROR(1/J358*(Y358/H358),"0")</f>
        <v>4.0416666666666661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8">
        <v>4607091384178</v>
      </c>
      <c r="E359" s="559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65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65"/>
      <c r="R359" s="565"/>
      <c r="S359" s="565"/>
      <c r="T359" s="566"/>
      <c r="U359" s="34"/>
      <c r="V359" s="34"/>
      <c r="W359" s="35" t="s">
        <v>69</v>
      </c>
      <c r="X359" s="547">
        <v>0</v>
      </c>
      <c r="Y359" s="548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0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1"/>
      <c r="P360" s="553" t="s">
        <v>75</v>
      </c>
      <c r="Q360" s="554"/>
      <c r="R360" s="554"/>
      <c r="S360" s="554"/>
      <c r="T360" s="554"/>
      <c r="U360" s="554"/>
      <c r="V360" s="555"/>
      <c r="W360" s="37" t="s">
        <v>76</v>
      </c>
      <c r="X360" s="549">
        <f>IFERROR(X358/H358,"0")+IFERROR(X359/H359,"0")</f>
        <v>193.33333333333334</v>
      </c>
      <c r="Y360" s="549">
        <f>IFERROR(Y358/H358,"0")+IFERROR(Y359/H359,"0")</f>
        <v>194</v>
      </c>
      <c r="Z360" s="549">
        <f>IFERROR(IF(Z358="",0,Z358),"0")+IFERROR(IF(Z359="",0,Z359),"0")</f>
        <v>4.2195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1"/>
      <c r="P361" s="553" t="s">
        <v>75</v>
      </c>
      <c r="Q361" s="554"/>
      <c r="R361" s="554"/>
      <c r="S361" s="554"/>
      <c r="T361" s="554"/>
      <c r="U361" s="554"/>
      <c r="V361" s="555"/>
      <c r="W361" s="37" t="s">
        <v>69</v>
      </c>
      <c r="X361" s="549">
        <f>IFERROR(SUM(X358:X359),"0")</f>
        <v>2900</v>
      </c>
      <c r="Y361" s="549">
        <f>IFERROR(SUM(Y358:Y359),"0")</f>
        <v>2910</v>
      </c>
      <c r="Z361" s="37"/>
      <c r="AA361" s="550"/>
      <c r="AB361" s="550"/>
      <c r="AC361" s="550"/>
    </row>
    <row r="362" spans="1:68" ht="14.25" customHeight="1" x14ac:dyDescent="0.25">
      <c r="A362" s="556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customHeight="1" x14ac:dyDescent="0.25">
      <c r="A363" s="54" t="s">
        <v>581</v>
      </c>
      <c r="B363" s="54" t="s">
        <v>582</v>
      </c>
      <c r="C363" s="31">
        <v>4301051903</v>
      </c>
      <c r="D363" s="558">
        <v>4607091383928</v>
      </c>
      <c r="E363" s="559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56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65"/>
      <c r="R363" s="565"/>
      <c r="S363" s="565"/>
      <c r="T363" s="566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8">
        <v>4607091384260</v>
      </c>
      <c r="E364" s="559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63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65"/>
      <c r="R364" s="565"/>
      <c r="S364" s="565"/>
      <c r="T364" s="566"/>
      <c r="U364" s="34"/>
      <c r="V364" s="34"/>
      <c r="W364" s="35" t="s">
        <v>69</v>
      </c>
      <c r="X364" s="547">
        <v>100</v>
      </c>
      <c r="Y364" s="548">
        <f>IFERROR(IF(X364="",0,CEILING((X364/$H364),1)*$H364),"")</f>
        <v>108</v>
      </c>
      <c r="Z364" s="36">
        <f>IFERROR(IF(Y364=0,"",ROUNDUP(Y364/H364,0)*0.01898),"")</f>
        <v>0.22776000000000002</v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105.48888888888888</v>
      </c>
      <c r="BN364" s="64">
        <f>IFERROR(Y364*I364/H364,"0")</f>
        <v>113.92799999999998</v>
      </c>
      <c r="BO364" s="64">
        <f>IFERROR(1/J364*(X364/H364),"0")</f>
        <v>0.1736111111111111</v>
      </c>
      <c r="BP364" s="64">
        <f>IFERROR(1/J364*(Y364/H364),"0")</f>
        <v>0.1875</v>
      </c>
    </row>
    <row r="365" spans="1:68" x14ac:dyDescent="0.2">
      <c r="A365" s="560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1"/>
      <c r="P365" s="553" t="s">
        <v>75</v>
      </c>
      <c r="Q365" s="554"/>
      <c r="R365" s="554"/>
      <c r="S365" s="554"/>
      <c r="T365" s="554"/>
      <c r="U365" s="554"/>
      <c r="V365" s="555"/>
      <c r="W365" s="37" t="s">
        <v>76</v>
      </c>
      <c r="X365" s="549">
        <f>IFERROR(X363/H363,"0")+IFERROR(X364/H364,"0")</f>
        <v>11.111111111111111</v>
      </c>
      <c r="Y365" s="549">
        <f>IFERROR(Y363/H363,"0")+IFERROR(Y364/H364,"0")</f>
        <v>12</v>
      </c>
      <c r="Z365" s="549">
        <f>IFERROR(IF(Z363="",0,Z363),"0")+IFERROR(IF(Z364="",0,Z364),"0")</f>
        <v>0.22776000000000002</v>
      </c>
      <c r="AA365" s="550"/>
      <c r="AB365" s="550"/>
      <c r="AC365" s="550"/>
    </row>
    <row r="366" spans="1:68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1"/>
      <c r="P366" s="553" t="s">
        <v>75</v>
      </c>
      <c r="Q366" s="554"/>
      <c r="R366" s="554"/>
      <c r="S366" s="554"/>
      <c r="T366" s="554"/>
      <c r="U366" s="554"/>
      <c r="V366" s="555"/>
      <c r="W366" s="37" t="s">
        <v>69</v>
      </c>
      <c r="X366" s="549">
        <f>IFERROR(SUM(X363:X364),"0")</f>
        <v>100</v>
      </c>
      <c r="Y366" s="549">
        <f>IFERROR(SUM(Y363:Y364),"0")</f>
        <v>108</v>
      </c>
      <c r="Z366" s="37"/>
      <c r="AA366" s="550"/>
      <c r="AB366" s="550"/>
      <c r="AC366" s="550"/>
    </row>
    <row r="367" spans="1:68" ht="14.25" customHeight="1" x14ac:dyDescent="0.25">
      <c r="A367" s="556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customHeight="1" x14ac:dyDescent="0.25">
      <c r="A368" s="54" t="s">
        <v>587</v>
      </c>
      <c r="B368" s="54" t="s">
        <v>588</v>
      </c>
      <c r="C368" s="31">
        <v>4301060524</v>
      </c>
      <c r="D368" s="558">
        <v>4607091384673</v>
      </c>
      <c r="E368" s="559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58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65"/>
      <c r="R368" s="565"/>
      <c r="S368" s="565"/>
      <c r="T368" s="566"/>
      <c r="U368" s="34"/>
      <c r="V368" s="34"/>
      <c r="W368" s="35" t="s">
        <v>69</v>
      </c>
      <c r="X368" s="547">
        <v>150</v>
      </c>
      <c r="Y368" s="548">
        <f>IFERROR(IF(X368="",0,CEILING((X368/$H368),1)*$H368),"")</f>
        <v>153</v>
      </c>
      <c r="Z368" s="36">
        <f>IFERROR(IF(Y368=0,"",ROUNDUP(Y368/H368,0)*0.01898),"")</f>
        <v>0.32266</v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158.23333333333332</v>
      </c>
      <c r="BN368" s="64">
        <f>IFERROR(Y368*I368/H368,"0")</f>
        <v>161.398</v>
      </c>
      <c r="BO368" s="64">
        <f>IFERROR(1/J368*(X368/H368),"0")</f>
        <v>0.26041666666666669</v>
      </c>
      <c r="BP368" s="64">
        <f>IFERROR(1/J368*(Y368/H368),"0")</f>
        <v>0.265625</v>
      </c>
    </row>
    <row r="369" spans="1:68" x14ac:dyDescent="0.2">
      <c r="A369" s="560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1"/>
      <c r="P369" s="553" t="s">
        <v>75</v>
      </c>
      <c r="Q369" s="554"/>
      <c r="R369" s="554"/>
      <c r="S369" s="554"/>
      <c r="T369" s="554"/>
      <c r="U369" s="554"/>
      <c r="V369" s="555"/>
      <c r="W369" s="37" t="s">
        <v>76</v>
      </c>
      <c r="X369" s="549">
        <f>IFERROR(X368/H368,"0")</f>
        <v>16.666666666666668</v>
      </c>
      <c r="Y369" s="549">
        <f>IFERROR(Y368/H368,"0")</f>
        <v>17</v>
      </c>
      <c r="Z369" s="549">
        <f>IFERROR(IF(Z368="",0,Z368),"0")</f>
        <v>0.32266</v>
      </c>
      <c r="AA369" s="550"/>
      <c r="AB369" s="550"/>
      <c r="AC369" s="550"/>
    </row>
    <row r="370" spans="1:68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1"/>
      <c r="P370" s="553" t="s">
        <v>75</v>
      </c>
      <c r="Q370" s="554"/>
      <c r="R370" s="554"/>
      <c r="S370" s="554"/>
      <c r="T370" s="554"/>
      <c r="U370" s="554"/>
      <c r="V370" s="555"/>
      <c r="W370" s="37" t="s">
        <v>69</v>
      </c>
      <c r="X370" s="549">
        <f>IFERROR(SUM(X368:X368),"0")</f>
        <v>150</v>
      </c>
      <c r="Y370" s="549">
        <f>IFERROR(SUM(Y368:Y368),"0")</f>
        <v>153</v>
      </c>
      <c r="Z370" s="37"/>
      <c r="AA370" s="550"/>
      <c r="AB370" s="550"/>
      <c r="AC370" s="550"/>
    </row>
    <row r="371" spans="1:68" ht="16.5" customHeight="1" x14ac:dyDescent="0.25">
      <c r="A371" s="588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customHeight="1" x14ac:dyDescent="0.25">
      <c r="A372" s="556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8">
        <v>4680115884885</v>
      </c>
      <c r="E373" s="559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56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65"/>
      <c r="R373" s="565"/>
      <c r="S373" s="565"/>
      <c r="T373" s="566"/>
      <c r="U373" s="34"/>
      <c r="V373" s="34"/>
      <c r="W373" s="35" t="s">
        <v>69</v>
      </c>
      <c r="X373" s="547">
        <v>0</v>
      </c>
      <c r="Y373" s="548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customHeight="1" x14ac:dyDescent="0.25">
      <c r="A374" s="54" t="s">
        <v>594</v>
      </c>
      <c r="B374" s="54" t="s">
        <v>595</v>
      </c>
      <c r="C374" s="31">
        <v>4301011871</v>
      </c>
      <c r="D374" s="558">
        <v>4680115884908</v>
      </c>
      <c r="E374" s="559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2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65"/>
      <c r="R374" s="565"/>
      <c r="S374" s="565"/>
      <c r="T374" s="566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0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1"/>
      <c r="P375" s="553" t="s">
        <v>75</v>
      </c>
      <c r="Q375" s="554"/>
      <c r="R375" s="554"/>
      <c r="S375" s="554"/>
      <c r="T375" s="554"/>
      <c r="U375" s="554"/>
      <c r="V375" s="555"/>
      <c r="W375" s="37" t="s">
        <v>76</v>
      </c>
      <c r="X375" s="549">
        <f>IFERROR(X373/H373,"0")+IFERROR(X374/H374,"0")</f>
        <v>0</v>
      </c>
      <c r="Y375" s="549">
        <f>IFERROR(Y373/H373,"0")+IFERROR(Y374/H374,"0")</f>
        <v>0</v>
      </c>
      <c r="Z375" s="549">
        <f>IFERROR(IF(Z373="",0,Z373),"0")+IFERROR(IF(Z374="",0,Z374),"0")</f>
        <v>0</v>
      </c>
      <c r="AA375" s="550"/>
      <c r="AB375" s="550"/>
      <c r="AC375" s="550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1"/>
      <c r="P376" s="553" t="s">
        <v>75</v>
      </c>
      <c r="Q376" s="554"/>
      <c r="R376" s="554"/>
      <c r="S376" s="554"/>
      <c r="T376" s="554"/>
      <c r="U376" s="554"/>
      <c r="V376" s="555"/>
      <c r="W376" s="37" t="s">
        <v>69</v>
      </c>
      <c r="X376" s="549">
        <f>IFERROR(SUM(X373:X374),"0")</f>
        <v>0</v>
      </c>
      <c r="Y376" s="549">
        <f>IFERROR(SUM(Y373:Y374),"0")</f>
        <v>0</v>
      </c>
      <c r="Z376" s="37"/>
      <c r="AA376" s="550"/>
      <c r="AB376" s="550"/>
      <c r="AC376" s="550"/>
    </row>
    <row r="377" spans="1:68" ht="14.25" customHeight="1" x14ac:dyDescent="0.25">
      <c r="A377" s="556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customHeight="1" x14ac:dyDescent="0.25">
      <c r="A378" s="54" t="s">
        <v>596</v>
      </c>
      <c r="B378" s="54" t="s">
        <v>597</v>
      </c>
      <c r="C378" s="31">
        <v>4301031303</v>
      </c>
      <c r="D378" s="558">
        <v>4607091384802</v>
      </c>
      <c r="E378" s="559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 t="s">
        <v>112</v>
      </c>
      <c r="M378" s="33" t="s">
        <v>68</v>
      </c>
      <c r="N378" s="33"/>
      <c r="O378" s="32">
        <v>35</v>
      </c>
      <c r="P378" s="79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65"/>
      <c r="R378" s="565"/>
      <c r="S378" s="565"/>
      <c r="T378" s="566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 t="s">
        <v>108</v>
      </c>
      <c r="AK378" s="68">
        <v>52.56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596</v>
      </c>
      <c r="B379" s="54" t="s">
        <v>599</v>
      </c>
      <c r="C379" s="31">
        <v>4301031457</v>
      </c>
      <c r="D379" s="558">
        <v>4607091384802</v>
      </c>
      <c r="E379" s="559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84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5"/>
      <c r="R379" s="565"/>
      <c r="S379" s="565"/>
      <c r="T379" s="566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60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1"/>
      <c r="P380" s="553" t="s">
        <v>75</v>
      </c>
      <c r="Q380" s="554"/>
      <c r="R380" s="554"/>
      <c r="S380" s="554"/>
      <c r="T380" s="554"/>
      <c r="U380" s="554"/>
      <c r="V380" s="555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1"/>
      <c r="P381" s="553" t="s">
        <v>75</v>
      </c>
      <c r="Q381" s="554"/>
      <c r="R381" s="554"/>
      <c r="S381" s="554"/>
      <c r="T381" s="554"/>
      <c r="U381" s="554"/>
      <c r="V381" s="555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customHeight="1" x14ac:dyDescent="0.25">
      <c r="A382" s="556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customHeight="1" x14ac:dyDescent="0.25">
      <c r="A383" s="54" t="s">
        <v>601</v>
      </c>
      <c r="B383" s="54" t="s">
        <v>602</v>
      </c>
      <c r="C383" s="31">
        <v>4301051899</v>
      </c>
      <c r="D383" s="558">
        <v>4607091384246</v>
      </c>
      <c r="E383" s="559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59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65"/>
      <c r="R383" s="565"/>
      <c r="S383" s="565"/>
      <c r="T383" s="566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604</v>
      </c>
      <c r="B384" s="54" t="s">
        <v>605</v>
      </c>
      <c r="C384" s="31">
        <v>4301051660</v>
      </c>
      <c r="D384" s="558">
        <v>4607091384253</v>
      </c>
      <c r="E384" s="559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 t="s">
        <v>189</v>
      </c>
      <c r="M384" s="33" t="s">
        <v>80</v>
      </c>
      <c r="N384" s="33"/>
      <c r="O384" s="32">
        <v>40</v>
      </c>
      <c r="P384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65"/>
      <c r="R384" s="565"/>
      <c r="S384" s="565"/>
      <c r="T384" s="566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 t="s">
        <v>108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customHeight="1" x14ac:dyDescent="0.25">
      <c r="A385" s="54" t="s">
        <v>604</v>
      </c>
      <c r="B385" s="54" t="s">
        <v>606</v>
      </c>
      <c r="C385" s="31">
        <v>4301052069</v>
      </c>
      <c r="D385" s="558">
        <v>4607091384253</v>
      </c>
      <c r="E385" s="559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9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5"/>
      <c r="R385" s="565"/>
      <c r="S385" s="565"/>
      <c r="T385" s="566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0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1"/>
      <c r="P386" s="553" t="s">
        <v>75</v>
      </c>
      <c r="Q386" s="554"/>
      <c r="R386" s="554"/>
      <c r="S386" s="554"/>
      <c r="T386" s="554"/>
      <c r="U386" s="554"/>
      <c r="V386" s="555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1"/>
      <c r="P387" s="553" t="s">
        <v>75</v>
      </c>
      <c r="Q387" s="554"/>
      <c r="R387" s="554"/>
      <c r="S387" s="554"/>
      <c r="T387" s="554"/>
      <c r="U387" s="554"/>
      <c r="V387" s="555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customHeight="1" x14ac:dyDescent="0.2">
      <c r="A388" s="648" t="s">
        <v>608</v>
      </c>
      <c r="B388" s="649"/>
      <c r="C388" s="649"/>
      <c r="D388" s="649"/>
      <c r="E388" s="649"/>
      <c r="F388" s="649"/>
      <c r="G388" s="649"/>
      <c r="H388" s="649"/>
      <c r="I388" s="649"/>
      <c r="J388" s="649"/>
      <c r="K388" s="649"/>
      <c r="L388" s="649"/>
      <c r="M388" s="649"/>
      <c r="N388" s="649"/>
      <c r="O388" s="649"/>
      <c r="P388" s="649"/>
      <c r="Q388" s="649"/>
      <c r="R388" s="649"/>
      <c r="S388" s="649"/>
      <c r="T388" s="649"/>
      <c r="U388" s="649"/>
      <c r="V388" s="649"/>
      <c r="W388" s="649"/>
      <c r="X388" s="649"/>
      <c r="Y388" s="649"/>
      <c r="Z388" s="649"/>
      <c r="AA388" s="48"/>
      <c r="AB388" s="48"/>
      <c r="AC388" s="48"/>
    </row>
    <row r="389" spans="1:68" ht="16.5" customHeight="1" x14ac:dyDescent="0.25">
      <c r="A389" s="588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customHeight="1" x14ac:dyDescent="0.25">
      <c r="A390" s="556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customHeight="1" x14ac:dyDescent="0.25">
      <c r="A391" s="54" t="s">
        <v>610</v>
      </c>
      <c r="B391" s="54" t="s">
        <v>611</v>
      </c>
      <c r="C391" s="31">
        <v>4301031405</v>
      </c>
      <c r="D391" s="558">
        <v>4680115886100</v>
      </c>
      <c r="E391" s="559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 t="s">
        <v>112</v>
      </c>
      <c r="M391" s="33" t="s">
        <v>68</v>
      </c>
      <c r="N391" s="33"/>
      <c r="O391" s="32">
        <v>50</v>
      </c>
      <c r="P391" s="86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65"/>
      <c r="R391" s="565"/>
      <c r="S391" s="565"/>
      <c r="T391" s="566"/>
      <c r="U391" s="34"/>
      <c r="V391" s="34"/>
      <c r="W391" s="35" t="s">
        <v>69</v>
      </c>
      <c r="X391" s="547">
        <v>150</v>
      </c>
      <c r="Y391" s="548">
        <f t="shared" ref="Y391:Y399" si="41">IFERROR(IF(X391="",0,CEILING((X391/$H391),1)*$H391),"")</f>
        <v>151.20000000000002</v>
      </c>
      <c r="Z391" s="36">
        <f>IFERROR(IF(Y391=0,"",ROUNDUP(Y391/H391,0)*0.00902),"")</f>
        <v>0.25256000000000001</v>
      </c>
      <c r="AA391" s="56"/>
      <c r="AB391" s="57"/>
      <c r="AC391" s="439" t="s">
        <v>612</v>
      </c>
      <c r="AG391" s="64"/>
      <c r="AJ391" s="68" t="s">
        <v>108</v>
      </c>
      <c r="AK391" s="68">
        <v>64.8</v>
      </c>
      <c r="BB391" s="440" t="s">
        <v>1</v>
      </c>
      <c r="BM391" s="64">
        <f t="shared" ref="BM391:BM399" si="42">IFERROR(X391*I391/H391,"0")</f>
        <v>155.27777777777777</v>
      </c>
      <c r="BN391" s="64">
        <f t="shared" ref="BN391:BN399" si="43">IFERROR(Y391*I391/H391,"0")</f>
        <v>156.52000000000001</v>
      </c>
      <c r="BO391" s="64">
        <f t="shared" ref="BO391:BO399" si="44">IFERROR(1/J391*(X391/H391),"0")</f>
        <v>0.21043771043771042</v>
      </c>
      <c r="BP391" s="64">
        <f t="shared" ref="BP391:BP399" si="45">IFERROR(1/J391*(Y391/H391),"0")</f>
        <v>0.21212121212121213</v>
      </c>
    </row>
    <row r="392" spans="1:68" ht="27" customHeight="1" x14ac:dyDescent="0.25">
      <c r="A392" s="54" t="s">
        <v>613</v>
      </c>
      <c r="B392" s="54" t="s">
        <v>614</v>
      </c>
      <c r="C392" s="31">
        <v>4301031406</v>
      </c>
      <c r="D392" s="558">
        <v>4680115886117</v>
      </c>
      <c r="E392" s="559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851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65"/>
      <c r="R392" s="565"/>
      <c r="S392" s="565"/>
      <c r="T392" s="566"/>
      <c r="U392" s="34"/>
      <c r="V392" s="34"/>
      <c r="W392" s="35" t="s">
        <v>69</v>
      </c>
      <c r="X392" s="547">
        <v>50</v>
      </c>
      <c r="Y392" s="548">
        <f t="shared" si="41"/>
        <v>54</v>
      </c>
      <c r="Z392" s="36">
        <f>IFERROR(IF(Y392=0,"",ROUNDUP(Y392/H392,0)*0.00902),"")</f>
        <v>9.0200000000000002E-2</v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51.759259259259252</v>
      </c>
      <c r="BN392" s="64">
        <f t="shared" si="43"/>
        <v>55.9</v>
      </c>
      <c r="BO392" s="64">
        <f t="shared" si="44"/>
        <v>7.0145903479236812E-2</v>
      </c>
      <c r="BP392" s="64">
        <f t="shared" si="45"/>
        <v>7.575757575757576E-2</v>
      </c>
    </row>
    <row r="393" spans="1:68" ht="27" customHeight="1" x14ac:dyDescent="0.25">
      <c r="A393" s="54" t="s">
        <v>616</v>
      </c>
      <c r="B393" s="54" t="s">
        <v>617</v>
      </c>
      <c r="C393" s="31">
        <v>4301031402</v>
      </c>
      <c r="D393" s="558">
        <v>4680115886124</v>
      </c>
      <c r="E393" s="559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 t="s">
        <v>112</v>
      </c>
      <c r="M393" s="33" t="s">
        <v>68</v>
      </c>
      <c r="N393" s="33"/>
      <c r="O393" s="32">
        <v>50</v>
      </c>
      <c r="P393" s="87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65"/>
      <c r="R393" s="565"/>
      <c r="S393" s="565"/>
      <c r="T393" s="566"/>
      <c r="U393" s="34"/>
      <c r="V393" s="34"/>
      <c r="W393" s="35" t="s">
        <v>69</v>
      </c>
      <c r="X393" s="547">
        <v>200</v>
      </c>
      <c r="Y393" s="548">
        <f t="shared" si="41"/>
        <v>205.20000000000002</v>
      </c>
      <c r="Z393" s="36">
        <f>IFERROR(IF(Y393=0,"",ROUNDUP(Y393/H393,0)*0.00902),"")</f>
        <v>0.34276000000000001</v>
      </c>
      <c r="AA393" s="56"/>
      <c r="AB393" s="57"/>
      <c r="AC393" s="443" t="s">
        <v>618</v>
      </c>
      <c r="AG393" s="64"/>
      <c r="AJ393" s="68" t="s">
        <v>108</v>
      </c>
      <c r="AK393" s="68">
        <v>64.8</v>
      </c>
      <c r="BB393" s="444" t="s">
        <v>1</v>
      </c>
      <c r="BM393" s="64">
        <f t="shared" si="42"/>
        <v>207.03703703703701</v>
      </c>
      <c r="BN393" s="64">
        <f t="shared" si="43"/>
        <v>212.42</v>
      </c>
      <c r="BO393" s="64">
        <f t="shared" si="44"/>
        <v>0.28058361391694725</v>
      </c>
      <c r="BP393" s="64">
        <f t="shared" si="45"/>
        <v>0.2878787878787879</v>
      </c>
    </row>
    <row r="394" spans="1:68" ht="27" customHeight="1" x14ac:dyDescent="0.25">
      <c r="A394" s="54" t="s">
        <v>619</v>
      </c>
      <c r="B394" s="54" t="s">
        <v>620</v>
      </c>
      <c r="C394" s="31">
        <v>4301031366</v>
      </c>
      <c r="D394" s="558">
        <v>4680115883147</v>
      </c>
      <c r="E394" s="559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830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65"/>
      <c r="R394" s="565"/>
      <c r="S394" s="565"/>
      <c r="T394" s="566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8">
        <v>4607091384338</v>
      </c>
      <c r="E395" s="559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0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65"/>
      <c r="R395" s="565"/>
      <c r="S395" s="565"/>
      <c r="T395" s="566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si="46"/>
        <v/>
      </c>
      <c r="AA395" s="56"/>
      <c r="AB395" s="57"/>
      <c r="AC395" s="447" t="s">
        <v>612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8">
        <v>4607091389524</v>
      </c>
      <c r="E396" s="559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65"/>
      <c r="R396" s="565"/>
      <c r="S396" s="565"/>
      <c r="T396" s="566"/>
      <c r="U396" s="34"/>
      <c r="V396" s="34"/>
      <c r="W396" s="35" t="s">
        <v>69</v>
      </c>
      <c r="X396" s="547">
        <v>8.3999999999999986</v>
      </c>
      <c r="Y396" s="548">
        <f t="shared" si="41"/>
        <v>8.4</v>
      </c>
      <c r="Z396" s="36">
        <f t="shared" si="46"/>
        <v>2.0080000000000001E-2</v>
      </c>
      <c r="AA396" s="56"/>
      <c r="AB396" s="57"/>
      <c r="AC396" s="449" t="s">
        <v>625</v>
      </c>
      <c r="AG396" s="64"/>
      <c r="AJ396" s="68"/>
      <c r="AK396" s="68">
        <v>0</v>
      </c>
      <c r="BB396" s="450" t="s">
        <v>1</v>
      </c>
      <c r="BM396" s="64">
        <f t="shared" si="42"/>
        <v>8.9199999999999982</v>
      </c>
      <c r="BN396" s="64">
        <f t="shared" si="43"/>
        <v>8.92</v>
      </c>
      <c r="BO396" s="64">
        <f t="shared" si="44"/>
        <v>1.7094017094017092E-2</v>
      </c>
      <c r="BP396" s="64">
        <f t="shared" si="45"/>
        <v>1.7094017094017096E-2</v>
      </c>
    </row>
    <row r="397" spans="1:68" ht="27" customHeight="1" x14ac:dyDescent="0.25">
      <c r="A397" s="54" t="s">
        <v>626</v>
      </c>
      <c r="B397" s="54" t="s">
        <v>627</v>
      </c>
      <c r="C397" s="31">
        <v>4301031364</v>
      </c>
      <c r="D397" s="558">
        <v>4680115883161</v>
      </c>
      <c r="E397" s="559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65"/>
      <c r="R397" s="565"/>
      <c r="S397" s="565"/>
      <c r="T397" s="566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8">
        <v>4607091389531</v>
      </c>
      <c r="E398" s="559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67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65"/>
      <c r="R398" s="565"/>
      <c r="S398" s="565"/>
      <c r="T398" s="566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37.5" customHeight="1" x14ac:dyDescent="0.25">
      <c r="A399" s="54" t="s">
        <v>632</v>
      </c>
      <c r="B399" s="54" t="s">
        <v>633</v>
      </c>
      <c r="C399" s="31">
        <v>4301031360</v>
      </c>
      <c r="D399" s="558">
        <v>4607091384345</v>
      </c>
      <c r="E399" s="559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65"/>
      <c r="R399" s="565"/>
      <c r="S399" s="565"/>
      <c r="T399" s="566"/>
      <c r="U399" s="34"/>
      <c r="V399" s="34"/>
      <c r="W399" s="35" t="s">
        <v>69</v>
      </c>
      <c r="X399" s="547">
        <v>28</v>
      </c>
      <c r="Y399" s="548">
        <f t="shared" si="41"/>
        <v>29.400000000000002</v>
      </c>
      <c r="Z399" s="36">
        <f t="shared" si="46"/>
        <v>7.0280000000000009E-2</v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29.733333333333331</v>
      </c>
      <c r="BN399" s="64">
        <f t="shared" si="43"/>
        <v>31.22</v>
      </c>
      <c r="BO399" s="64">
        <f t="shared" si="44"/>
        <v>5.6980056980056981E-2</v>
      </c>
      <c r="BP399" s="64">
        <f t="shared" si="45"/>
        <v>5.9829059829059839E-2</v>
      </c>
    </row>
    <row r="400" spans="1:68" x14ac:dyDescent="0.2">
      <c r="A400" s="560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1"/>
      <c r="P400" s="553" t="s">
        <v>75</v>
      </c>
      <c r="Q400" s="554"/>
      <c r="R400" s="554"/>
      <c r="S400" s="554"/>
      <c r="T400" s="554"/>
      <c r="U400" s="554"/>
      <c r="V400" s="555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91.407407407407405</v>
      </c>
      <c r="Y400" s="549">
        <f>IFERROR(Y391/H391,"0")+IFERROR(Y392/H392,"0")+IFERROR(Y393/H393,"0")+IFERROR(Y394/H394,"0")+IFERROR(Y395/H395,"0")+IFERROR(Y396/H396,"0")+IFERROR(Y397/H397,"0")+IFERROR(Y398/H398,"0")+IFERROR(Y399/H399,"0")</f>
        <v>94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0.77588000000000001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1"/>
      <c r="P401" s="553" t="s">
        <v>75</v>
      </c>
      <c r="Q401" s="554"/>
      <c r="R401" s="554"/>
      <c r="S401" s="554"/>
      <c r="T401" s="554"/>
      <c r="U401" s="554"/>
      <c r="V401" s="555"/>
      <c r="W401" s="37" t="s">
        <v>69</v>
      </c>
      <c r="X401" s="549">
        <f>IFERROR(SUM(X391:X399),"0")</f>
        <v>436.4</v>
      </c>
      <c r="Y401" s="549">
        <f>IFERROR(SUM(Y391:Y399),"0")</f>
        <v>448.2</v>
      </c>
      <c r="Z401" s="37"/>
      <c r="AA401" s="550"/>
      <c r="AB401" s="550"/>
      <c r="AC401" s="550"/>
    </row>
    <row r="402" spans="1:68" ht="14.25" customHeight="1" x14ac:dyDescent="0.25">
      <c r="A402" s="556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customHeight="1" x14ac:dyDescent="0.25">
      <c r="A403" s="54" t="s">
        <v>634</v>
      </c>
      <c r="B403" s="54" t="s">
        <v>635</v>
      </c>
      <c r="C403" s="31">
        <v>4301051284</v>
      </c>
      <c r="D403" s="558">
        <v>4607091384352</v>
      </c>
      <c r="E403" s="559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78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65"/>
      <c r="R403" s="565"/>
      <c r="S403" s="565"/>
      <c r="T403" s="566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customHeight="1" x14ac:dyDescent="0.25">
      <c r="A404" s="54" t="s">
        <v>637</v>
      </c>
      <c r="B404" s="54" t="s">
        <v>638</v>
      </c>
      <c r="C404" s="31">
        <v>4301051431</v>
      </c>
      <c r="D404" s="558">
        <v>4607091389654</v>
      </c>
      <c r="E404" s="559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8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65"/>
      <c r="R404" s="565"/>
      <c r="S404" s="565"/>
      <c r="T404" s="566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60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1"/>
      <c r="P405" s="553" t="s">
        <v>75</v>
      </c>
      <c r="Q405" s="554"/>
      <c r="R405" s="554"/>
      <c r="S405" s="554"/>
      <c r="T405" s="554"/>
      <c r="U405" s="554"/>
      <c r="V405" s="555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1"/>
      <c r="P406" s="553" t="s">
        <v>75</v>
      </c>
      <c r="Q406" s="554"/>
      <c r="R406" s="554"/>
      <c r="S406" s="554"/>
      <c r="T406" s="554"/>
      <c r="U406" s="554"/>
      <c r="V406" s="555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customHeight="1" x14ac:dyDescent="0.25">
      <c r="A407" s="588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customHeight="1" x14ac:dyDescent="0.25">
      <c r="A408" s="556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customHeight="1" x14ac:dyDescent="0.25">
      <c r="A409" s="54" t="s">
        <v>641</v>
      </c>
      <c r="B409" s="54" t="s">
        <v>642</v>
      </c>
      <c r="C409" s="31">
        <v>4301020319</v>
      </c>
      <c r="D409" s="558">
        <v>4680115885240</v>
      </c>
      <c r="E409" s="559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65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65"/>
      <c r="R409" s="565"/>
      <c r="S409" s="565"/>
      <c r="T409" s="566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0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1"/>
      <c r="P410" s="553" t="s">
        <v>75</v>
      </c>
      <c r="Q410" s="554"/>
      <c r="R410" s="554"/>
      <c r="S410" s="554"/>
      <c r="T410" s="554"/>
      <c r="U410" s="554"/>
      <c r="V410" s="555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1"/>
      <c r="P411" s="553" t="s">
        <v>75</v>
      </c>
      <c r="Q411" s="554"/>
      <c r="R411" s="554"/>
      <c r="S411" s="554"/>
      <c r="T411" s="554"/>
      <c r="U411" s="554"/>
      <c r="V411" s="555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customHeight="1" x14ac:dyDescent="0.25">
      <c r="A412" s="556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customHeight="1" x14ac:dyDescent="0.25">
      <c r="A413" s="54" t="s">
        <v>644</v>
      </c>
      <c r="B413" s="54" t="s">
        <v>645</v>
      </c>
      <c r="C413" s="31">
        <v>4301031403</v>
      </c>
      <c r="D413" s="558">
        <v>4680115886094</v>
      </c>
      <c r="E413" s="559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 t="s">
        <v>112</v>
      </c>
      <c r="M413" s="33" t="s">
        <v>106</v>
      </c>
      <c r="N413" s="33"/>
      <c r="O413" s="32">
        <v>50</v>
      </c>
      <c r="P413" s="81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65"/>
      <c r="R413" s="565"/>
      <c r="S413" s="565"/>
      <c r="T413" s="566"/>
      <c r="U413" s="34"/>
      <c r="V413" s="34"/>
      <c r="W413" s="35" t="s">
        <v>69</v>
      </c>
      <c r="X413" s="547">
        <v>400</v>
      </c>
      <c r="Y413" s="548">
        <f>IFERROR(IF(X413="",0,CEILING((X413/$H413),1)*$H413),"")</f>
        <v>405</v>
      </c>
      <c r="Z413" s="36">
        <f>IFERROR(IF(Y413=0,"",ROUNDUP(Y413/H413,0)*0.00902),"")</f>
        <v>0.67649999999999999</v>
      </c>
      <c r="AA413" s="56"/>
      <c r="AB413" s="57"/>
      <c r="AC413" s="463" t="s">
        <v>646</v>
      </c>
      <c r="AG413" s="64"/>
      <c r="AJ413" s="68" t="s">
        <v>108</v>
      </c>
      <c r="AK413" s="68">
        <v>64.8</v>
      </c>
      <c r="BB413" s="464" t="s">
        <v>1</v>
      </c>
      <c r="BM413" s="64">
        <f>IFERROR(X413*I413/H413,"0")</f>
        <v>414.07407407407402</v>
      </c>
      <c r="BN413" s="64">
        <f>IFERROR(Y413*I413/H413,"0")</f>
        <v>419.24999999999994</v>
      </c>
      <c r="BO413" s="64">
        <f>IFERROR(1/J413*(X413/H413),"0")</f>
        <v>0.5611672278338945</v>
      </c>
      <c r="BP413" s="64">
        <f>IFERROR(1/J413*(Y413/H413),"0")</f>
        <v>0.56818181818181823</v>
      </c>
    </row>
    <row r="414" spans="1:68" ht="27" customHeight="1" x14ac:dyDescent="0.25">
      <c r="A414" s="54" t="s">
        <v>647</v>
      </c>
      <c r="B414" s="54" t="s">
        <v>648</v>
      </c>
      <c r="C414" s="31">
        <v>4301031363</v>
      </c>
      <c r="D414" s="558">
        <v>4607091389425</v>
      </c>
      <c r="E414" s="559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79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65"/>
      <c r="R414" s="565"/>
      <c r="S414" s="565"/>
      <c r="T414" s="566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650</v>
      </c>
      <c r="B415" s="54" t="s">
        <v>651</v>
      </c>
      <c r="C415" s="31">
        <v>4301031373</v>
      </c>
      <c r="D415" s="558">
        <v>4680115880771</v>
      </c>
      <c r="E415" s="559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65"/>
      <c r="R415" s="565"/>
      <c r="S415" s="565"/>
      <c r="T415" s="566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8">
        <v>4607091389500</v>
      </c>
      <c r="E416" s="559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65"/>
      <c r="R416" s="565"/>
      <c r="S416" s="565"/>
      <c r="T416" s="566"/>
      <c r="U416" s="34"/>
      <c r="V416" s="34"/>
      <c r="W416" s="35" t="s">
        <v>69</v>
      </c>
      <c r="X416" s="547">
        <v>17.5</v>
      </c>
      <c r="Y416" s="548">
        <f>IFERROR(IF(X416="",0,CEILING((X416/$H416),1)*$H416),"")</f>
        <v>18.900000000000002</v>
      </c>
      <c r="Z416" s="36">
        <f>IFERROR(IF(Y416=0,"",ROUNDUP(Y416/H416,0)*0.00502),"")</f>
        <v>4.5179999999999998E-2</v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18.583333333333332</v>
      </c>
      <c r="BN416" s="64">
        <f>IFERROR(Y416*I416/H416,"0")</f>
        <v>20.07</v>
      </c>
      <c r="BO416" s="64">
        <f>IFERROR(1/J416*(X416/H416),"0")</f>
        <v>3.5612535612535613E-2</v>
      </c>
      <c r="BP416" s="64">
        <f>IFERROR(1/J416*(Y416/H416),"0")</f>
        <v>3.8461538461538464E-2</v>
      </c>
    </row>
    <row r="417" spans="1:68" x14ac:dyDescent="0.2">
      <c r="A417" s="560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1"/>
      <c r="P417" s="553" t="s">
        <v>75</v>
      </c>
      <c r="Q417" s="554"/>
      <c r="R417" s="554"/>
      <c r="S417" s="554"/>
      <c r="T417" s="554"/>
      <c r="U417" s="554"/>
      <c r="V417" s="555"/>
      <c r="W417" s="37" t="s">
        <v>76</v>
      </c>
      <c r="X417" s="549">
        <f>IFERROR(X413/H413,"0")+IFERROR(X414/H414,"0")+IFERROR(X415/H415,"0")+IFERROR(X416/H416,"0")</f>
        <v>82.407407407407405</v>
      </c>
      <c r="Y417" s="549">
        <f>IFERROR(Y413/H413,"0")+IFERROR(Y414/H414,"0")+IFERROR(Y415/H415,"0")+IFERROR(Y416/H416,"0")</f>
        <v>84</v>
      </c>
      <c r="Z417" s="549">
        <f>IFERROR(IF(Z413="",0,Z413),"0")+IFERROR(IF(Z414="",0,Z414),"0")+IFERROR(IF(Z415="",0,Z415),"0")+IFERROR(IF(Z416="",0,Z416),"0")</f>
        <v>0.72167999999999999</v>
      </c>
      <c r="AA417" s="550"/>
      <c r="AB417" s="550"/>
      <c r="AC417" s="550"/>
    </row>
    <row r="418" spans="1:68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1"/>
      <c r="P418" s="553" t="s">
        <v>75</v>
      </c>
      <c r="Q418" s="554"/>
      <c r="R418" s="554"/>
      <c r="S418" s="554"/>
      <c r="T418" s="554"/>
      <c r="U418" s="554"/>
      <c r="V418" s="555"/>
      <c r="W418" s="37" t="s">
        <v>69</v>
      </c>
      <c r="X418" s="549">
        <f>IFERROR(SUM(X413:X416),"0")</f>
        <v>417.5</v>
      </c>
      <c r="Y418" s="549">
        <f>IFERROR(SUM(Y413:Y416),"0")</f>
        <v>423.9</v>
      </c>
      <c r="Z418" s="37"/>
      <c r="AA418" s="550"/>
      <c r="AB418" s="550"/>
      <c r="AC418" s="550"/>
    </row>
    <row r="419" spans="1:68" ht="16.5" customHeight="1" x14ac:dyDescent="0.25">
      <c r="A419" s="588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customHeight="1" x14ac:dyDescent="0.25">
      <c r="A420" s="556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8">
        <v>4680115885110</v>
      </c>
      <c r="E421" s="559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60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65"/>
      <c r="R421" s="565"/>
      <c r="S421" s="565"/>
      <c r="T421" s="566"/>
      <c r="U421" s="34"/>
      <c r="V421" s="34"/>
      <c r="W421" s="35" t="s">
        <v>69</v>
      </c>
      <c r="X421" s="547">
        <v>0</v>
      </c>
      <c r="Y421" s="548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658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560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1"/>
      <c r="P422" s="553" t="s">
        <v>75</v>
      </c>
      <c r="Q422" s="554"/>
      <c r="R422" s="554"/>
      <c r="S422" s="554"/>
      <c r="T422" s="554"/>
      <c r="U422" s="554"/>
      <c r="V422" s="555"/>
      <c r="W422" s="37" t="s">
        <v>76</v>
      </c>
      <c r="X422" s="549">
        <f>IFERROR(X421/H421,"0")</f>
        <v>0</v>
      </c>
      <c r="Y422" s="549">
        <f>IFERROR(Y421/H421,"0")</f>
        <v>0</v>
      </c>
      <c r="Z422" s="549">
        <f>IFERROR(IF(Z421="",0,Z421),"0")</f>
        <v>0</v>
      </c>
      <c r="AA422" s="550"/>
      <c r="AB422" s="550"/>
      <c r="AC422" s="550"/>
    </row>
    <row r="423" spans="1:68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1"/>
      <c r="P423" s="553" t="s">
        <v>75</v>
      </c>
      <c r="Q423" s="554"/>
      <c r="R423" s="554"/>
      <c r="S423" s="554"/>
      <c r="T423" s="554"/>
      <c r="U423" s="554"/>
      <c r="V423" s="555"/>
      <c r="W423" s="37" t="s">
        <v>69</v>
      </c>
      <c r="X423" s="549">
        <f>IFERROR(SUM(X421:X421),"0")</f>
        <v>0</v>
      </c>
      <c r="Y423" s="549">
        <f>IFERROR(SUM(Y421:Y421),"0")</f>
        <v>0</v>
      </c>
      <c r="Z423" s="37"/>
      <c r="AA423" s="550"/>
      <c r="AB423" s="550"/>
      <c r="AC423" s="550"/>
    </row>
    <row r="424" spans="1:68" ht="27.75" customHeight="1" x14ac:dyDescent="0.2">
      <c r="A424" s="648" t="s">
        <v>659</v>
      </c>
      <c r="B424" s="649"/>
      <c r="C424" s="649"/>
      <c r="D424" s="649"/>
      <c r="E424" s="649"/>
      <c r="F424" s="649"/>
      <c r="G424" s="649"/>
      <c r="H424" s="649"/>
      <c r="I424" s="649"/>
      <c r="J424" s="649"/>
      <c r="K424" s="649"/>
      <c r="L424" s="649"/>
      <c r="M424" s="649"/>
      <c r="N424" s="649"/>
      <c r="O424" s="649"/>
      <c r="P424" s="649"/>
      <c r="Q424" s="649"/>
      <c r="R424" s="649"/>
      <c r="S424" s="649"/>
      <c r="T424" s="649"/>
      <c r="U424" s="649"/>
      <c r="V424" s="649"/>
      <c r="W424" s="649"/>
      <c r="X424" s="649"/>
      <c r="Y424" s="649"/>
      <c r="Z424" s="649"/>
      <c r="AA424" s="48"/>
      <c r="AB424" s="48"/>
      <c r="AC424" s="48"/>
    </row>
    <row r="425" spans="1:68" ht="16.5" customHeight="1" x14ac:dyDescent="0.25">
      <c r="A425" s="588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customHeight="1" x14ac:dyDescent="0.25">
      <c r="A426" s="556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customHeight="1" x14ac:dyDescent="0.25">
      <c r="A427" s="54" t="s">
        <v>660</v>
      </c>
      <c r="B427" s="54" t="s">
        <v>661</v>
      </c>
      <c r="C427" s="31">
        <v>4301011795</v>
      </c>
      <c r="D427" s="558">
        <v>4607091389067</v>
      </c>
      <c r="E427" s="559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8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65"/>
      <c r="R427" s="565"/>
      <c r="S427" s="565"/>
      <c r="T427" s="566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customHeight="1" x14ac:dyDescent="0.25">
      <c r="A428" s="54" t="s">
        <v>662</v>
      </c>
      <c r="B428" s="54" t="s">
        <v>663</v>
      </c>
      <c r="C428" s="31">
        <v>4301012210</v>
      </c>
      <c r="D428" s="558">
        <v>4607091383522</v>
      </c>
      <c r="E428" s="559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78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65"/>
      <c r="R428" s="565"/>
      <c r="S428" s="565"/>
      <c r="T428" s="566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662</v>
      </c>
      <c r="B429" s="54" t="s">
        <v>665</v>
      </c>
      <c r="C429" s="31">
        <v>4301012145</v>
      </c>
      <c r="D429" s="558">
        <v>4607091383522</v>
      </c>
      <c r="E429" s="559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78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5"/>
      <c r="R429" s="565"/>
      <c r="S429" s="565"/>
      <c r="T429" s="566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4301011961</v>
      </c>
      <c r="D430" s="558">
        <v>4680115885271</v>
      </c>
      <c r="E430" s="559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 t="s">
        <v>105</v>
      </c>
      <c r="M430" s="33" t="s">
        <v>106</v>
      </c>
      <c r="N430" s="33"/>
      <c r="O430" s="32">
        <v>60</v>
      </c>
      <c r="P430" s="63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65"/>
      <c r="R430" s="565"/>
      <c r="S430" s="565"/>
      <c r="T430" s="566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 t="s">
        <v>108</v>
      </c>
      <c r="AK430" s="68">
        <v>42.24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8">
        <v>4680115885226</v>
      </c>
      <c r="E431" s="559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77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65"/>
      <c r="R431" s="565"/>
      <c r="S431" s="565"/>
      <c r="T431" s="566"/>
      <c r="U431" s="34"/>
      <c r="V431" s="34"/>
      <c r="W431" s="35" t="s">
        <v>69</v>
      </c>
      <c r="X431" s="547">
        <v>0</v>
      </c>
      <c r="Y431" s="548">
        <f t="shared" si="47"/>
        <v>0</v>
      </c>
      <c r="Z431" s="36" t="str">
        <f t="shared" si="48"/>
        <v/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16.5" customHeight="1" x14ac:dyDescent="0.25">
      <c r="A432" s="54" t="s">
        <v>672</v>
      </c>
      <c r="B432" s="54" t="s">
        <v>673</v>
      </c>
      <c r="C432" s="31">
        <v>4301011774</v>
      </c>
      <c r="D432" s="558">
        <v>4680115884502</v>
      </c>
      <c r="E432" s="559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5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65"/>
      <c r="R432" s="565"/>
      <c r="S432" s="565"/>
      <c r="T432" s="566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8">
        <v>4607091389104</v>
      </c>
      <c r="E433" s="559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60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65"/>
      <c r="R433" s="565"/>
      <c r="S433" s="565"/>
      <c r="T433" s="566"/>
      <c r="U433" s="34"/>
      <c r="V433" s="34"/>
      <c r="W433" s="35" t="s">
        <v>69</v>
      </c>
      <c r="X433" s="547">
        <v>300</v>
      </c>
      <c r="Y433" s="548">
        <f t="shared" si="47"/>
        <v>300.96000000000004</v>
      </c>
      <c r="Z433" s="36">
        <f t="shared" si="48"/>
        <v>0.68171999999999999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319.88636363636363</v>
      </c>
      <c r="BN433" s="64">
        <f t="shared" si="50"/>
        <v>320.91000000000003</v>
      </c>
      <c r="BO433" s="64">
        <f t="shared" si="51"/>
        <v>0.54632867132867136</v>
      </c>
      <c r="BP433" s="64">
        <f t="shared" si="52"/>
        <v>0.54807692307692313</v>
      </c>
    </row>
    <row r="434" spans="1:68" ht="27" customHeight="1" x14ac:dyDescent="0.25">
      <c r="A434" s="54" t="s">
        <v>678</v>
      </c>
      <c r="B434" s="54" t="s">
        <v>679</v>
      </c>
      <c r="C434" s="31">
        <v>4301012125</v>
      </c>
      <c r="D434" s="558">
        <v>4680115886391</v>
      </c>
      <c r="E434" s="559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65"/>
      <c r="R434" s="565"/>
      <c r="S434" s="565"/>
      <c r="T434" s="566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8">
        <v>4680115880603</v>
      </c>
      <c r="E435" s="559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6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65"/>
      <c r="R435" s="565"/>
      <c r="S435" s="565"/>
      <c r="T435" s="566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IFERROR(IF(Y435=0,"",ROUNDUP(Y435/H435,0)*0.00902),"")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4301012036</v>
      </c>
      <c r="D436" s="558">
        <v>4680115882782</v>
      </c>
      <c r="E436" s="559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61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65"/>
      <c r="R436" s="565"/>
      <c r="S436" s="565"/>
      <c r="T436" s="566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4301012050</v>
      </c>
      <c r="D437" s="558">
        <v>4680115885479</v>
      </c>
      <c r="E437" s="559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870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65"/>
      <c r="R437" s="565"/>
      <c r="S437" s="565"/>
      <c r="T437" s="566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8">
        <v>4607091389982</v>
      </c>
      <c r="E438" s="559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 t="s">
        <v>112</v>
      </c>
      <c r="M438" s="33" t="s">
        <v>106</v>
      </c>
      <c r="N438" s="33"/>
      <c r="O438" s="32">
        <v>60</v>
      </c>
      <c r="P438" s="74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65"/>
      <c r="R438" s="565"/>
      <c r="S438" s="565"/>
      <c r="T438" s="566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IFERROR(IF(Y438=0,"",ROUNDUP(Y438/H438,0)*0.00902),"")</f>
        <v/>
      </c>
      <c r="AA438" s="56"/>
      <c r="AB438" s="57"/>
      <c r="AC438" s="495" t="s">
        <v>677</v>
      </c>
      <c r="AG438" s="64"/>
      <c r="AJ438" s="68" t="s">
        <v>108</v>
      </c>
      <c r="AK438" s="68">
        <v>57.6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x14ac:dyDescent="0.2">
      <c r="A439" s="560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1"/>
      <c r="P439" s="553" t="s">
        <v>75</v>
      </c>
      <c r="Q439" s="554"/>
      <c r="R439" s="554"/>
      <c r="S439" s="554"/>
      <c r="T439" s="554"/>
      <c r="U439" s="554"/>
      <c r="V439" s="555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56.818181818181813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57.000000000000007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0.68171999999999999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1"/>
      <c r="P440" s="553" t="s">
        <v>75</v>
      </c>
      <c r="Q440" s="554"/>
      <c r="R440" s="554"/>
      <c r="S440" s="554"/>
      <c r="T440" s="554"/>
      <c r="U440" s="554"/>
      <c r="V440" s="555"/>
      <c r="W440" s="37" t="s">
        <v>69</v>
      </c>
      <c r="X440" s="549">
        <f>IFERROR(SUM(X427:X438),"0")</f>
        <v>300</v>
      </c>
      <c r="Y440" s="549">
        <f>IFERROR(SUM(Y427:Y438),"0")</f>
        <v>300.96000000000004</v>
      </c>
      <c r="Z440" s="37"/>
      <c r="AA440" s="550"/>
      <c r="AB440" s="550"/>
      <c r="AC440" s="550"/>
    </row>
    <row r="441" spans="1:68" ht="14.25" customHeight="1" x14ac:dyDescent="0.25">
      <c r="A441" s="556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8">
        <v>4607091388930</v>
      </c>
      <c r="E442" s="559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82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65"/>
      <c r="R442" s="565"/>
      <c r="S442" s="565"/>
      <c r="T442" s="566"/>
      <c r="U442" s="34"/>
      <c r="V442" s="34"/>
      <c r="W442" s="35" t="s">
        <v>69</v>
      </c>
      <c r="X442" s="547">
        <v>400</v>
      </c>
      <c r="Y442" s="548">
        <f>IFERROR(IF(X442="",0,CEILING((X442/$H442),1)*$H442),"")</f>
        <v>401.28000000000003</v>
      </c>
      <c r="Z442" s="36">
        <f>IFERROR(IF(Y442=0,"",ROUNDUP(Y442/H442,0)*0.01196),"")</f>
        <v>0.90895999999999999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426.5151515151515</v>
      </c>
      <c r="BN442" s="64">
        <f>IFERROR(Y442*I442/H442,"0")</f>
        <v>427.88</v>
      </c>
      <c r="BO442" s="64">
        <f>IFERROR(1/J442*(X442/H442),"0")</f>
        <v>0.72843822843822836</v>
      </c>
      <c r="BP442" s="64">
        <f>IFERROR(1/J442*(Y442/H442),"0")</f>
        <v>0.73076923076923084</v>
      </c>
    </row>
    <row r="443" spans="1:68" ht="16.5" customHeight="1" x14ac:dyDescent="0.25">
      <c r="A443" s="54" t="s">
        <v>692</v>
      </c>
      <c r="B443" s="54" t="s">
        <v>693</v>
      </c>
      <c r="C443" s="31">
        <v>4301020384</v>
      </c>
      <c r="D443" s="558">
        <v>4680115886407</v>
      </c>
      <c r="E443" s="559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84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65"/>
      <c r="R443" s="565"/>
      <c r="S443" s="565"/>
      <c r="T443" s="566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customHeight="1" x14ac:dyDescent="0.25">
      <c r="A444" s="54" t="s">
        <v>694</v>
      </c>
      <c r="B444" s="54" t="s">
        <v>695</v>
      </c>
      <c r="C444" s="31">
        <v>4301020385</v>
      </c>
      <c r="D444" s="558">
        <v>4680115880054</v>
      </c>
      <c r="E444" s="559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 t="s">
        <v>112</v>
      </c>
      <c r="M444" s="33" t="s">
        <v>106</v>
      </c>
      <c r="N444" s="33"/>
      <c r="O444" s="32">
        <v>70</v>
      </c>
      <c r="P444" s="57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65"/>
      <c r="R444" s="565"/>
      <c r="S444" s="565"/>
      <c r="T444" s="566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 t="s">
        <v>108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0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1"/>
      <c r="P445" s="553" t="s">
        <v>75</v>
      </c>
      <c r="Q445" s="554"/>
      <c r="R445" s="554"/>
      <c r="S445" s="554"/>
      <c r="T445" s="554"/>
      <c r="U445" s="554"/>
      <c r="V445" s="555"/>
      <c r="W445" s="37" t="s">
        <v>76</v>
      </c>
      <c r="X445" s="549">
        <f>IFERROR(X442/H442,"0")+IFERROR(X443/H443,"0")+IFERROR(X444/H444,"0")</f>
        <v>75.757575757575751</v>
      </c>
      <c r="Y445" s="549">
        <f>IFERROR(Y442/H442,"0")+IFERROR(Y443/H443,"0")+IFERROR(Y444/H444,"0")</f>
        <v>76</v>
      </c>
      <c r="Z445" s="549">
        <f>IFERROR(IF(Z442="",0,Z442),"0")+IFERROR(IF(Z443="",0,Z443),"0")+IFERROR(IF(Z444="",0,Z444),"0")</f>
        <v>0.90895999999999999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1"/>
      <c r="P446" s="553" t="s">
        <v>75</v>
      </c>
      <c r="Q446" s="554"/>
      <c r="R446" s="554"/>
      <c r="S446" s="554"/>
      <c r="T446" s="554"/>
      <c r="U446" s="554"/>
      <c r="V446" s="555"/>
      <c r="W446" s="37" t="s">
        <v>69</v>
      </c>
      <c r="X446" s="549">
        <f>IFERROR(SUM(X442:X444),"0")</f>
        <v>400</v>
      </c>
      <c r="Y446" s="549">
        <f>IFERROR(SUM(Y442:Y444),"0")</f>
        <v>401.28000000000003</v>
      </c>
      <c r="Z446" s="37"/>
      <c r="AA446" s="550"/>
      <c r="AB446" s="550"/>
      <c r="AC446" s="550"/>
    </row>
    <row r="447" spans="1:68" ht="14.25" customHeight="1" x14ac:dyDescent="0.25">
      <c r="A447" s="556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8">
        <v>4680115883116</v>
      </c>
      <c r="E448" s="559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65"/>
      <c r="R448" s="565"/>
      <c r="S448" s="565"/>
      <c r="T448" s="566"/>
      <c r="U448" s="34"/>
      <c r="V448" s="34"/>
      <c r="W448" s="35" t="s">
        <v>69</v>
      </c>
      <c r="X448" s="547">
        <v>50</v>
      </c>
      <c r="Y448" s="548">
        <f t="shared" ref="Y448:Y453" si="53">IFERROR(IF(X448="",0,CEILING((X448/$H448),1)*$H448),"")</f>
        <v>52.800000000000004</v>
      </c>
      <c r="Z448" s="36">
        <f>IFERROR(IF(Y448=0,"",ROUNDUP(Y448/H448,0)*0.01196),"")</f>
        <v>0.1196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53.314393939393938</v>
      </c>
      <c r="BN448" s="64">
        <f t="shared" ref="BN448:BN453" si="55">IFERROR(Y448*I448/H448,"0")</f>
        <v>56.3</v>
      </c>
      <c r="BO448" s="64">
        <f t="shared" ref="BO448:BO453" si="56">IFERROR(1/J448*(X448/H448),"0")</f>
        <v>9.1054778554778545E-2</v>
      </c>
      <c r="BP448" s="64">
        <f t="shared" ref="BP448:BP453" si="57">IFERROR(1/J448*(Y448/H448),"0")</f>
        <v>9.6153846153846159E-2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8">
        <v>4680115883093</v>
      </c>
      <c r="E449" s="559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57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65"/>
      <c r="R449" s="565"/>
      <c r="S449" s="565"/>
      <c r="T449" s="566"/>
      <c r="U449" s="34"/>
      <c r="V449" s="34"/>
      <c r="W449" s="35" t="s">
        <v>69</v>
      </c>
      <c r="X449" s="547">
        <v>150</v>
      </c>
      <c r="Y449" s="548">
        <f t="shared" si="53"/>
        <v>153.12</v>
      </c>
      <c r="Z449" s="36">
        <f>IFERROR(IF(Y449=0,"",ROUNDUP(Y449/H449,0)*0.01196),"")</f>
        <v>0.34683999999999998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159.94318181818181</v>
      </c>
      <c r="BN449" s="64">
        <f t="shared" si="55"/>
        <v>163.26999999999998</v>
      </c>
      <c r="BO449" s="64">
        <f t="shared" si="56"/>
        <v>0.27316433566433568</v>
      </c>
      <c r="BP449" s="64">
        <f t="shared" si="57"/>
        <v>0.27884615384615385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8">
        <v>4680115883109</v>
      </c>
      <c r="E450" s="559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84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65"/>
      <c r="R450" s="565"/>
      <c r="S450" s="565"/>
      <c r="T450" s="566"/>
      <c r="U450" s="34"/>
      <c r="V450" s="34"/>
      <c r="W450" s="35" t="s">
        <v>69</v>
      </c>
      <c r="X450" s="547">
        <v>300</v>
      </c>
      <c r="Y450" s="548">
        <f t="shared" si="53"/>
        <v>300.96000000000004</v>
      </c>
      <c r="Z450" s="36">
        <f>IFERROR(IF(Y450=0,"",ROUNDUP(Y450/H450,0)*0.01196),"")</f>
        <v>0.68171999999999999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319.88636363636363</v>
      </c>
      <c r="BN450" s="64">
        <f t="shared" si="55"/>
        <v>320.91000000000003</v>
      </c>
      <c r="BO450" s="64">
        <f t="shared" si="56"/>
        <v>0.54632867132867136</v>
      </c>
      <c r="BP450" s="64">
        <f t="shared" si="57"/>
        <v>0.54807692307692313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8">
        <v>4680115882072</v>
      </c>
      <c r="E451" s="559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/>
      <c r="M451" s="33" t="s">
        <v>106</v>
      </c>
      <c r="N451" s="33"/>
      <c r="O451" s="32">
        <v>70</v>
      </c>
      <c r="P451" s="74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65"/>
      <c r="R451" s="565"/>
      <c r="S451" s="565"/>
      <c r="T451" s="566"/>
      <c r="U451" s="34"/>
      <c r="V451" s="34"/>
      <c r="W451" s="35" t="s">
        <v>69</v>
      </c>
      <c r="X451" s="547">
        <v>0</v>
      </c>
      <c r="Y451" s="548">
        <f t="shared" si="53"/>
        <v>0</v>
      </c>
      <c r="Z451" s="36" t="str">
        <f>IFERROR(IF(Y451=0,"",ROUNDUP(Y451/H451,0)*0.00902),"")</f>
        <v/>
      </c>
      <c r="AA451" s="56"/>
      <c r="AB451" s="57"/>
      <c r="AC451" s="509" t="s">
        <v>698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8">
        <v>4680115882102</v>
      </c>
      <c r="E452" s="559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/>
      <c r="M452" s="33" t="s">
        <v>68</v>
      </c>
      <c r="N452" s="33"/>
      <c r="O452" s="32">
        <v>70</v>
      </c>
      <c r="P452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65"/>
      <c r="R452" s="565"/>
      <c r="S452" s="565"/>
      <c r="T452" s="566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8">
        <v>4680115882096</v>
      </c>
      <c r="E453" s="559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/>
      <c r="M453" s="33" t="s">
        <v>68</v>
      </c>
      <c r="N453" s="33"/>
      <c r="O453" s="32">
        <v>70</v>
      </c>
      <c r="P453" s="80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65"/>
      <c r="R453" s="565"/>
      <c r="S453" s="565"/>
      <c r="T453" s="566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x14ac:dyDescent="0.2">
      <c r="A454" s="560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1"/>
      <c r="P454" s="553" t="s">
        <v>75</v>
      </c>
      <c r="Q454" s="554"/>
      <c r="R454" s="554"/>
      <c r="S454" s="554"/>
      <c r="T454" s="554"/>
      <c r="U454" s="554"/>
      <c r="V454" s="555"/>
      <c r="W454" s="37" t="s">
        <v>76</v>
      </c>
      <c r="X454" s="549">
        <f>IFERROR(X448/H448,"0")+IFERROR(X449/H449,"0")+IFERROR(X450/H450,"0")+IFERROR(X451/H451,"0")+IFERROR(X452/H452,"0")+IFERROR(X453/H453,"0")</f>
        <v>94.696969696969688</v>
      </c>
      <c r="Y454" s="549">
        <f>IFERROR(Y448/H448,"0")+IFERROR(Y449/H449,"0")+IFERROR(Y450/H450,"0")+IFERROR(Y451/H451,"0")+IFERROR(Y452/H452,"0")+IFERROR(Y453/H453,"0")</f>
        <v>96</v>
      </c>
      <c r="Z454" s="549">
        <f>IFERROR(IF(Z448="",0,Z448),"0")+IFERROR(IF(Z449="",0,Z449),"0")+IFERROR(IF(Z450="",0,Z450),"0")+IFERROR(IF(Z451="",0,Z451),"0")+IFERROR(IF(Z452="",0,Z452),"0")+IFERROR(IF(Z453="",0,Z453),"0")</f>
        <v>1.1481599999999998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1"/>
      <c r="P455" s="553" t="s">
        <v>75</v>
      </c>
      <c r="Q455" s="554"/>
      <c r="R455" s="554"/>
      <c r="S455" s="554"/>
      <c r="T455" s="554"/>
      <c r="U455" s="554"/>
      <c r="V455" s="555"/>
      <c r="W455" s="37" t="s">
        <v>69</v>
      </c>
      <c r="X455" s="549">
        <f>IFERROR(SUM(X448:X453),"0")</f>
        <v>500</v>
      </c>
      <c r="Y455" s="549">
        <f>IFERROR(SUM(Y448:Y453),"0")</f>
        <v>506.88000000000005</v>
      </c>
      <c r="Z455" s="37"/>
      <c r="AA455" s="550"/>
      <c r="AB455" s="550"/>
      <c r="AC455" s="550"/>
    </row>
    <row r="456" spans="1:68" ht="14.25" customHeight="1" x14ac:dyDescent="0.25">
      <c r="A456" s="556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customHeight="1" x14ac:dyDescent="0.25">
      <c r="A457" s="54" t="s">
        <v>711</v>
      </c>
      <c r="B457" s="54" t="s">
        <v>712</v>
      </c>
      <c r="C457" s="31">
        <v>4301051064</v>
      </c>
      <c r="D457" s="558">
        <v>4680115883536</v>
      </c>
      <c r="E457" s="559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85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65"/>
      <c r="R457" s="565"/>
      <c r="S457" s="565"/>
      <c r="T457" s="566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x14ac:dyDescent="0.2">
      <c r="A458" s="560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1"/>
      <c r="P458" s="553" t="s">
        <v>75</v>
      </c>
      <c r="Q458" s="554"/>
      <c r="R458" s="554"/>
      <c r="S458" s="554"/>
      <c r="T458" s="554"/>
      <c r="U458" s="554"/>
      <c r="V458" s="555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1"/>
      <c r="P459" s="553" t="s">
        <v>75</v>
      </c>
      <c r="Q459" s="554"/>
      <c r="R459" s="554"/>
      <c r="S459" s="554"/>
      <c r="T459" s="554"/>
      <c r="U459" s="554"/>
      <c r="V459" s="555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customHeight="1" x14ac:dyDescent="0.2">
      <c r="A460" s="648" t="s">
        <v>714</v>
      </c>
      <c r="B460" s="649"/>
      <c r="C460" s="649"/>
      <c r="D460" s="649"/>
      <c r="E460" s="649"/>
      <c r="F460" s="649"/>
      <c r="G460" s="649"/>
      <c r="H460" s="649"/>
      <c r="I460" s="649"/>
      <c r="J460" s="649"/>
      <c r="K460" s="649"/>
      <c r="L460" s="649"/>
      <c r="M460" s="649"/>
      <c r="N460" s="649"/>
      <c r="O460" s="649"/>
      <c r="P460" s="649"/>
      <c r="Q460" s="649"/>
      <c r="R460" s="649"/>
      <c r="S460" s="649"/>
      <c r="T460" s="649"/>
      <c r="U460" s="649"/>
      <c r="V460" s="649"/>
      <c r="W460" s="649"/>
      <c r="X460" s="649"/>
      <c r="Y460" s="649"/>
      <c r="Z460" s="649"/>
      <c r="AA460" s="48"/>
      <c r="AB460" s="48"/>
      <c r="AC460" s="48"/>
    </row>
    <row r="461" spans="1:68" ht="16.5" customHeight="1" x14ac:dyDescent="0.25">
      <c r="A461" s="588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customHeight="1" x14ac:dyDescent="0.25">
      <c r="A462" s="556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customHeight="1" x14ac:dyDescent="0.25">
      <c r="A463" s="54" t="s">
        <v>715</v>
      </c>
      <c r="B463" s="54" t="s">
        <v>716</v>
      </c>
      <c r="C463" s="31">
        <v>4301011763</v>
      </c>
      <c r="D463" s="558">
        <v>4640242181011</v>
      </c>
      <c r="E463" s="559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66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65"/>
      <c r="R463" s="565"/>
      <c r="S463" s="565"/>
      <c r="T463" s="566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customHeight="1" x14ac:dyDescent="0.25">
      <c r="A464" s="54" t="s">
        <v>718</v>
      </c>
      <c r="B464" s="54" t="s">
        <v>719</v>
      </c>
      <c r="C464" s="31">
        <v>4301011585</v>
      </c>
      <c r="D464" s="558">
        <v>4640242180441</v>
      </c>
      <c r="E464" s="559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79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65"/>
      <c r="R464" s="565"/>
      <c r="S464" s="565"/>
      <c r="T464" s="566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721</v>
      </c>
      <c r="B465" s="54" t="s">
        <v>722</v>
      </c>
      <c r="C465" s="31">
        <v>4301011584</v>
      </c>
      <c r="D465" s="558">
        <v>4640242180564</v>
      </c>
      <c r="E465" s="559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 t="s">
        <v>105</v>
      </c>
      <c r="M465" s="33" t="s">
        <v>106</v>
      </c>
      <c r="N465" s="33"/>
      <c r="O465" s="32">
        <v>50</v>
      </c>
      <c r="P465" s="6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65"/>
      <c r="R465" s="565"/>
      <c r="S465" s="565"/>
      <c r="T465" s="566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 t="s">
        <v>108</v>
      </c>
      <c r="AK465" s="68">
        <v>96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4301011764</v>
      </c>
      <c r="D466" s="558">
        <v>4640242181189</v>
      </c>
      <c r="E466" s="559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65"/>
      <c r="R466" s="565"/>
      <c r="S466" s="565"/>
      <c r="T466" s="566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0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1"/>
      <c r="P467" s="553" t="s">
        <v>75</v>
      </c>
      <c r="Q467" s="554"/>
      <c r="R467" s="554"/>
      <c r="S467" s="554"/>
      <c r="T467" s="554"/>
      <c r="U467" s="554"/>
      <c r="V467" s="555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1"/>
      <c r="P468" s="553" t="s">
        <v>75</v>
      </c>
      <c r="Q468" s="554"/>
      <c r="R468" s="554"/>
      <c r="S468" s="554"/>
      <c r="T468" s="554"/>
      <c r="U468" s="554"/>
      <c r="V468" s="555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customHeight="1" x14ac:dyDescent="0.25">
      <c r="A469" s="556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customHeight="1" x14ac:dyDescent="0.25">
      <c r="A470" s="54" t="s">
        <v>726</v>
      </c>
      <c r="B470" s="54" t="s">
        <v>727</v>
      </c>
      <c r="C470" s="31">
        <v>4301020400</v>
      </c>
      <c r="D470" s="558">
        <v>4640242180519</v>
      </c>
      <c r="E470" s="559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65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65"/>
      <c r="R470" s="565"/>
      <c r="S470" s="565"/>
      <c r="T470" s="566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729</v>
      </c>
      <c r="B471" s="54" t="s">
        <v>730</v>
      </c>
      <c r="C471" s="31">
        <v>4301020260</v>
      </c>
      <c r="D471" s="558">
        <v>4640242180526</v>
      </c>
      <c r="E471" s="559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80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65"/>
      <c r="R471" s="565"/>
      <c r="S471" s="565"/>
      <c r="T471" s="566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0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1"/>
      <c r="P472" s="553" t="s">
        <v>75</v>
      </c>
      <c r="Q472" s="554"/>
      <c r="R472" s="554"/>
      <c r="S472" s="554"/>
      <c r="T472" s="554"/>
      <c r="U472" s="554"/>
      <c r="V472" s="555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1"/>
      <c r="P473" s="553" t="s">
        <v>75</v>
      </c>
      <c r="Q473" s="554"/>
      <c r="R473" s="554"/>
      <c r="S473" s="554"/>
      <c r="T473" s="554"/>
      <c r="U473" s="554"/>
      <c r="V473" s="555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customHeight="1" x14ac:dyDescent="0.25">
      <c r="A474" s="556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customHeight="1" x14ac:dyDescent="0.25">
      <c r="A475" s="54" t="s">
        <v>732</v>
      </c>
      <c r="B475" s="54" t="s">
        <v>733</v>
      </c>
      <c r="C475" s="31">
        <v>4301031244</v>
      </c>
      <c r="D475" s="558">
        <v>4640242180595</v>
      </c>
      <c r="E475" s="559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 t="s">
        <v>112</v>
      </c>
      <c r="M475" s="33" t="s">
        <v>68</v>
      </c>
      <c r="N475" s="33"/>
      <c r="O475" s="32">
        <v>40</v>
      </c>
      <c r="P475" s="67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65"/>
      <c r="R475" s="565"/>
      <c r="S475" s="565"/>
      <c r="T475" s="566"/>
      <c r="U475" s="34"/>
      <c r="V475" s="34"/>
      <c r="W475" s="35" t="s">
        <v>69</v>
      </c>
      <c r="X475" s="547">
        <v>100</v>
      </c>
      <c r="Y475" s="548">
        <f>IFERROR(IF(X475="",0,CEILING((X475/$H475),1)*$H475),"")</f>
        <v>100.80000000000001</v>
      </c>
      <c r="Z475" s="36">
        <f>IFERROR(IF(Y475=0,"",ROUNDUP(Y475/H475,0)*0.00902),"")</f>
        <v>0.21648000000000001</v>
      </c>
      <c r="AA475" s="56"/>
      <c r="AB475" s="57"/>
      <c r="AC475" s="529" t="s">
        <v>734</v>
      </c>
      <c r="AG475" s="64"/>
      <c r="AJ475" s="68" t="s">
        <v>108</v>
      </c>
      <c r="AK475" s="68">
        <v>50.4</v>
      </c>
      <c r="BB475" s="530" t="s">
        <v>1</v>
      </c>
      <c r="BM475" s="64">
        <f>IFERROR(X475*I475/H475,"0")</f>
        <v>105.95238095238095</v>
      </c>
      <c r="BN475" s="64">
        <f>IFERROR(Y475*I475/H475,"0")</f>
        <v>106.80000000000001</v>
      </c>
      <c r="BO475" s="64">
        <f>IFERROR(1/J475*(X475/H475),"0")</f>
        <v>0.18037518037518038</v>
      </c>
      <c r="BP475" s="64">
        <f>IFERROR(1/J475*(Y475/H475),"0")</f>
        <v>0.18181818181818182</v>
      </c>
    </row>
    <row r="476" spans="1:68" x14ac:dyDescent="0.2">
      <c r="A476" s="560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1"/>
      <c r="P476" s="553" t="s">
        <v>75</v>
      </c>
      <c r="Q476" s="554"/>
      <c r="R476" s="554"/>
      <c r="S476" s="554"/>
      <c r="T476" s="554"/>
      <c r="U476" s="554"/>
      <c r="V476" s="555"/>
      <c r="W476" s="37" t="s">
        <v>76</v>
      </c>
      <c r="X476" s="549">
        <f>IFERROR(X475/H475,"0")</f>
        <v>23.80952380952381</v>
      </c>
      <c r="Y476" s="549">
        <f>IFERROR(Y475/H475,"0")</f>
        <v>24</v>
      </c>
      <c r="Z476" s="549">
        <f>IFERROR(IF(Z475="",0,Z475),"0")</f>
        <v>0.21648000000000001</v>
      </c>
      <c r="AA476" s="550"/>
      <c r="AB476" s="550"/>
      <c r="AC476" s="550"/>
    </row>
    <row r="477" spans="1:68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1"/>
      <c r="P477" s="553" t="s">
        <v>75</v>
      </c>
      <c r="Q477" s="554"/>
      <c r="R477" s="554"/>
      <c r="S477" s="554"/>
      <c r="T477" s="554"/>
      <c r="U477" s="554"/>
      <c r="V477" s="555"/>
      <c r="W477" s="37" t="s">
        <v>69</v>
      </c>
      <c r="X477" s="549">
        <f>IFERROR(SUM(X475:X475),"0")</f>
        <v>100</v>
      </c>
      <c r="Y477" s="549">
        <f>IFERROR(SUM(Y475:Y475),"0")</f>
        <v>100.80000000000001</v>
      </c>
      <c r="Z477" s="37"/>
      <c r="AA477" s="550"/>
      <c r="AB477" s="550"/>
      <c r="AC477" s="550"/>
    </row>
    <row r="478" spans="1:68" ht="14.25" customHeight="1" x14ac:dyDescent="0.25">
      <c r="A478" s="556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8">
        <v>4640242180533</v>
      </c>
      <c r="E479" s="559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78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65"/>
      <c r="R479" s="565"/>
      <c r="S479" s="565"/>
      <c r="T479" s="566"/>
      <c r="U479" s="34"/>
      <c r="V479" s="34"/>
      <c r="W479" s="35" t="s">
        <v>69</v>
      </c>
      <c r="X479" s="547">
        <v>0</v>
      </c>
      <c r="Y479" s="548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560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1"/>
      <c r="P480" s="553" t="s">
        <v>75</v>
      </c>
      <c r="Q480" s="554"/>
      <c r="R480" s="554"/>
      <c r="S480" s="554"/>
      <c r="T480" s="554"/>
      <c r="U480" s="554"/>
      <c r="V480" s="555"/>
      <c r="W480" s="37" t="s">
        <v>76</v>
      </c>
      <c r="X480" s="549">
        <f>IFERROR(X479/H479,"0")</f>
        <v>0</v>
      </c>
      <c r="Y480" s="549">
        <f>IFERROR(Y479/H479,"0")</f>
        <v>0</v>
      </c>
      <c r="Z480" s="549">
        <f>IFERROR(IF(Z479="",0,Z479),"0")</f>
        <v>0</v>
      </c>
      <c r="AA480" s="550"/>
      <c r="AB480" s="550"/>
      <c r="AC480" s="550"/>
    </row>
    <row r="481" spans="1:68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1"/>
      <c r="P481" s="553" t="s">
        <v>75</v>
      </c>
      <c r="Q481" s="554"/>
      <c r="R481" s="554"/>
      <c r="S481" s="554"/>
      <c r="T481" s="554"/>
      <c r="U481" s="554"/>
      <c r="V481" s="555"/>
      <c r="W481" s="37" t="s">
        <v>69</v>
      </c>
      <c r="X481" s="549">
        <f>IFERROR(SUM(X479:X479),"0")</f>
        <v>0</v>
      </c>
      <c r="Y481" s="549">
        <f>IFERROR(SUM(Y479:Y479),"0")</f>
        <v>0</v>
      </c>
      <c r="Z481" s="37"/>
      <c r="AA481" s="550"/>
      <c r="AB481" s="550"/>
      <c r="AC481" s="550"/>
    </row>
    <row r="482" spans="1:68" ht="14.25" customHeight="1" x14ac:dyDescent="0.25">
      <c r="A482" s="556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customHeight="1" x14ac:dyDescent="0.25">
      <c r="A483" s="54" t="s">
        <v>738</v>
      </c>
      <c r="B483" s="54" t="s">
        <v>739</v>
      </c>
      <c r="C483" s="31">
        <v>4301060491</v>
      </c>
      <c r="D483" s="558">
        <v>4640242180120</v>
      </c>
      <c r="E483" s="559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6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65"/>
      <c r="R483" s="565"/>
      <c r="S483" s="565"/>
      <c r="T483" s="566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customHeight="1" x14ac:dyDescent="0.25">
      <c r="A484" s="54" t="s">
        <v>741</v>
      </c>
      <c r="B484" s="54" t="s">
        <v>742</v>
      </c>
      <c r="C484" s="31">
        <v>4301060493</v>
      </c>
      <c r="D484" s="558">
        <v>4640242180137</v>
      </c>
      <c r="E484" s="559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6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65"/>
      <c r="R484" s="565"/>
      <c r="S484" s="565"/>
      <c r="T484" s="566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x14ac:dyDescent="0.2">
      <c r="A485" s="560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1"/>
      <c r="P485" s="553" t="s">
        <v>75</v>
      </c>
      <c r="Q485" s="554"/>
      <c r="R485" s="554"/>
      <c r="S485" s="554"/>
      <c r="T485" s="554"/>
      <c r="U485" s="554"/>
      <c r="V485" s="555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1"/>
      <c r="P486" s="553" t="s">
        <v>75</v>
      </c>
      <c r="Q486" s="554"/>
      <c r="R486" s="554"/>
      <c r="S486" s="554"/>
      <c r="T486" s="554"/>
      <c r="U486" s="554"/>
      <c r="V486" s="555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customHeight="1" x14ac:dyDescent="0.25">
      <c r="A487" s="588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customHeight="1" x14ac:dyDescent="0.25">
      <c r="A488" s="556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customHeight="1" x14ac:dyDescent="0.25">
      <c r="A489" s="54" t="s">
        <v>745</v>
      </c>
      <c r="B489" s="54" t="s">
        <v>746</v>
      </c>
      <c r="C489" s="31">
        <v>4301020314</v>
      </c>
      <c r="D489" s="558">
        <v>4640242180090</v>
      </c>
      <c r="E489" s="559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4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65"/>
      <c r="R489" s="565"/>
      <c r="S489" s="565"/>
      <c r="T489" s="566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560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1"/>
      <c r="P490" s="553" t="s">
        <v>75</v>
      </c>
      <c r="Q490" s="554"/>
      <c r="R490" s="554"/>
      <c r="S490" s="554"/>
      <c r="T490" s="554"/>
      <c r="U490" s="554"/>
      <c r="V490" s="555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1"/>
      <c r="P491" s="553" t="s">
        <v>75</v>
      </c>
      <c r="Q491" s="554"/>
      <c r="R491" s="554"/>
      <c r="S491" s="554"/>
      <c r="T491" s="554"/>
      <c r="U491" s="554"/>
      <c r="V491" s="555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67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671"/>
      <c r="P492" s="574" t="s">
        <v>748</v>
      </c>
      <c r="Q492" s="575"/>
      <c r="R492" s="575"/>
      <c r="S492" s="575"/>
      <c r="T492" s="575"/>
      <c r="U492" s="575"/>
      <c r="V492" s="576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10446.4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10550.220000000001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671"/>
      <c r="P493" s="574" t="s">
        <v>749</v>
      </c>
      <c r="Q493" s="575"/>
      <c r="R493" s="575"/>
      <c r="S493" s="575"/>
      <c r="T493" s="575"/>
      <c r="U493" s="575"/>
      <c r="V493" s="576"/>
      <c r="W493" s="37" t="s">
        <v>69</v>
      </c>
      <c r="X493" s="549">
        <f>IFERROR(SUM(BM22:BM489),"0")</f>
        <v>10866.11739458073</v>
      </c>
      <c r="Y493" s="549">
        <f>IFERROR(SUM(BN22:BN489),"0")</f>
        <v>10974.507999999998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671"/>
      <c r="P494" s="574" t="s">
        <v>750</v>
      </c>
      <c r="Q494" s="575"/>
      <c r="R494" s="575"/>
      <c r="S494" s="575"/>
      <c r="T494" s="575"/>
      <c r="U494" s="575"/>
      <c r="V494" s="576"/>
      <c r="W494" s="37" t="s">
        <v>751</v>
      </c>
      <c r="X494" s="38">
        <f>ROUNDUP(SUM(BO22:BO489),0)</f>
        <v>16</v>
      </c>
      <c r="Y494" s="38">
        <f>ROUNDUP(SUM(BP22:BP489),0)</f>
        <v>16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671"/>
      <c r="P495" s="574" t="s">
        <v>752</v>
      </c>
      <c r="Q495" s="575"/>
      <c r="R495" s="575"/>
      <c r="S495" s="575"/>
      <c r="T495" s="575"/>
      <c r="U495" s="575"/>
      <c r="V495" s="576"/>
      <c r="W495" s="37" t="s">
        <v>69</v>
      </c>
      <c r="X495" s="549">
        <f>GrossWeightTotal+PalletQtyTotal*25</f>
        <v>11266.11739458073</v>
      </c>
      <c r="Y495" s="549">
        <f>GrossWeightTotalR+PalletQtyTotalR*25</f>
        <v>11374.507999999998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671"/>
      <c r="P496" s="574" t="s">
        <v>753</v>
      </c>
      <c r="Q496" s="575"/>
      <c r="R496" s="575"/>
      <c r="S496" s="575"/>
      <c r="T496" s="575"/>
      <c r="U496" s="575"/>
      <c r="V496" s="576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1141.8988295654963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1156</v>
      </c>
      <c r="Z496" s="37"/>
      <c r="AA496" s="550"/>
      <c r="AB496" s="550"/>
      <c r="AC496" s="550"/>
    </row>
    <row r="497" spans="1:32" ht="14.25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671"/>
      <c r="P497" s="574" t="s">
        <v>754</v>
      </c>
      <c r="Q497" s="575"/>
      <c r="R497" s="575"/>
      <c r="S497" s="575"/>
      <c r="T497" s="575"/>
      <c r="U497" s="575"/>
      <c r="V497" s="576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17.775750000000002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51" t="s">
        <v>99</v>
      </c>
      <c r="D499" s="584"/>
      <c r="E499" s="584"/>
      <c r="F499" s="584"/>
      <c r="G499" s="584"/>
      <c r="H499" s="585"/>
      <c r="I499" s="551" t="s">
        <v>273</v>
      </c>
      <c r="J499" s="584"/>
      <c r="K499" s="584"/>
      <c r="L499" s="584"/>
      <c r="M499" s="584"/>
      <c r="N499" s="584"/>
      <c r="O499" s="584"/>
      <c r="P499" s="584"/>
      <c r="Q499" s="584"/>
      <c r="R499" s="585"/>
      <c r="S499" s="551" t="s">
        <v>554</v>
      </c>
      <c r="T499" s="585"/>
      <c r="U499" s="551" t="s">
        <v>608</v>
      </c>
      <c r="V499" s="584"/>
      <c r="W499" s="585"/>
      <c r="X499" s="544" t="s">
        <v>659</v>
      </c>
      <c r="Y499" s="551" t="s">
        <v>714</v>
      </c>
      <c r="Z499" s="585"/>
      <c r="AB499" s="52"/>
      <c r="AC499" s="52"/>
      <c r="AF499" s="545"/>
    </row>
    <row r="500" spans="1:32" ht="14.25" customHeight="1" thickTop="1" x14ac:dyDescent="0.2">
      <c r="A500" s="562" t="s">
        <v>757</v>
      </c>
      <c r="B500" s="551" t="s">
        <v>63</v>
      </c>
      <c r="C500" s="551" t="s">
        <v>100</v>
      </c>
      <c r="D500" s="551" t="s">
        <v>118</v>
      </c>
      <c r="E500" s="551" t="s">
        <v>169</v>
      </c>
      <c r="F500" s="551" t="s">
        <v>193</v>
      </c>
      <c r="G500" s="551" t="s">
        <v>230</v>
      </c>
      <c r="H500" s="551" t="s">
        <v>99</v>
      </c>
      <c r="I500" s="551" t="s">
        <v>274</v>
      </c>
      <c r="J500" s="551" t="s">
        <v>324</v>
      </c>
      <c r="K500" s="551" t="s">
        <v>383</v>
      </c>
      <c r="L500" s="551" t="s">
        <v>423</v>
      </c>
      <c r="M500" s="551" t="s">
        <v>439</v>
      </c>
      <c r="N500" s="545"/>
      <c r="O500" s="551" t="s">
        <v>450</v>
      </c>
      <c r="P500" s="551" t="s">
        <v>459</v>
      </c>
      <c r="Q500" s="551" t="s">
        <v>472</v>
      </c>
      <c r="R500" s="551" t="s">
        <v>544</v>
      </c>
      <c r="S500" s="551" t="s">
        <v>555</v>
      </c>
      <c r="T500" s="551" t="s">
        <v>590</v>
      </c>
      <c r="U500" s="551" t="s">
        <v>609</v>
      </c>
      <c r="V500" s="551" t="s">
        <v>640</v>
      </c>
      <c r="W500" s="551" t="s">
        <v>655</v>
      </c>
      <c r="X500" s="551" t="s">
        <v>659</v>
      </c>
      <c r="Y500" s="551" t="s">
        <v>714</v>
      </c>
      <c r="Z500" s="551" t="s">
        <v>744</v>
      </c>
      <c r="AB500" s="52"/>
      <c r="AC500" s="52"/>
      <c r="AF500" s="545"/>
    </row>
    <row r="501" spans="1:32" ht="13.5" customHeight="1" thickBot="1" x14ac:dyDescent="0.25">
      <c r="A501" s="563"/>
      <c r="B501" s="552"/>
      <c r="C501" s="552"/>
      <c r="D501" s="552"/>
      <c r="E501" s="552"/>
      <c r="F501" s="552"/>
      <c r="G501" s="552"/>
      <c r="H501" s="552"/>
      <c r="I501" s="552"/>
      <c r="J501" s="552"/>
      <c r="K501" s="552"/>
      <c r="L501" s="552"/>
      <c r="M501" s="552"/>
      <c r="N501" s="545"/>
      <c r="O501" s="552"/>
      <c r="P501" s="552"/>
      <c r="Q501" s="552"/>
      <c r="R501" s="552"/>
      <c r="S501" s="552"/>
      <c r="T501" s="552"/>
      <c r="U501" s="552"/>
      <c r="V501" s="552"/>
      <c r="W501" s="552"/>
      <c r="X501" s="552"/>
      <c r="Y501" s="552"/>
      <c r="Z501" s="552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259.20000000000005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184.5</v>
      </c>
      <c r="E502" s="46">
        <f>IFERROR(Y85*1,"0")+IFERROR(Y86*1,"0")+IFERROR(Y87*1,"0")+IFERROR(Y88*1,"0")+IFERROR(Y92*1,"0")+IFERROR(Y93*1,"0")+IFERROR(Y94*1,"0")+IFERROR(Y95*1,"0")</f>
        <v>448.20000000000005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305.10000000000002</v>
      </c>
      <c r="G502" s="46">
        <f>IFERROR(Y127*1,"0")+IFERROR(Y128*1,"0")+IFERROR(Y132*1,"0")+IFERROR(Y133*1,"0")+IFERROR(Y137*1,"0")+IFERROR(Y138*1,"0")</f>
        <v>0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151.20000000000002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81.599999999999994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0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302.40000000000003</v>
      </c>
      <c r="R502" s="46">
        <f>IFERROR(Y340*1,"0")+IFERROR(Y341*1,"0")+IFERROR(Y342*1,"0")</f>
        <v>0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6636</v>
      </c>
      <c r="T502" s="46">
        <f>IFERROR(Y373*1,"0")+IFERROR(Y374*1,"0")+IFERROR(Y378*1,"0")+IFERROR(Y379*1,"0")+IFERROR(Y383*1,"0")+IFERROR(Y384*1,"0")+IFERROR(Y385*1,"0")</f>
        <v>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448.2</v>
      </c>
      <c r="V502" s="46">
        <f>IFERROR(Y409*1,"0")+IFERROR(Y413*1,"0")+IFERROR(Y414*1,"0")+IFERROR(Y415*1,"0")+IFERROR(Y416*1,"0")</f>
        <v>423.9</v>
      </c>
      <c r="W502" s="46">
        <f>IFERROR(Y421*1,"0")</f>
        <v>0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1209.1199999999999</v>
      </c>
      <c r="Y502" s="46">
        <f>IFERROR(Y463*1,"0")+IFERROR(Y464*1,"0")+IFERROR(Y465*1,"0")+IFERROR(Y466*1,"0")+IFERROR(Y470*1,"0")+IFERROR(Y471*1,"0")+IFERROR(Y475*1,"0")+IFERROR(Y479*1,"0")+IFERROR(Y483*1,"0")+IFERROR(Y484*1,"0")</f>
        <v>100.80000000000001</v>
      </c>
      <c r="Z502" s="46">
        <f>IFERROR(Y489*1,"0")</f>
        <v>0</v>
      </c>
      <c r="AB502" s="52"/>
      <c r="AC502" s="52"/>
      <c r="AF502" s="545"/>
    </row>
  </sheetData>
  <sheetProtection algorithmName="SHA-512" hashValue="JW8STkwS70fC635ba0Z64dk2svauMfbpWtj38nNXK9Ko+ty/Y14Acd6DnEjKYeL1vkA8q8N7RXM1AC8JyYf57Q==" saltValue="Tsnl4Qo7xs0O1zai4XYe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0"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D133:E133"/>
    <mergeCell ref="P381:V381"/>
    <mergeCell ref="A231:Z231"/>
    <mergeCell ref="D54:E54"/>
    <mergeCell ref="P185:V185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3 X52:X53 X55 X57 X61 X72 X79 X85 X88 X92 X94:X95 X100 X102:X103 X108 X111 X115 X117 X127:X128 X133 X167 X169 X171 X174 X176 X199 X203:X208 X210 X214:X217 X219:X222 X226:X227 X232 X261 X279:X280 X305 X308 X313 X320:X322 X328:X329 X333:X335 X340:X342 X348:X350 X358 X364 X373 X378 X383:X384 X391 X393 X398 X413 X427 X430:X431 X433 X438 X442 X444 X448:X450 X465 X475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47o+ypGOq6fr5KyNhOop4NH8Gf5/i0mwjR8PmV8hVtTnpQT7mo21ybMAvbZdbxtCt/Ckji7tlyVA8og5eKa4/w==" saltValue="PAQK4J8+cLrmZRa1TsaZ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2025-12-24T08:28:59Z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