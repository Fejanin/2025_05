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026A150-8355-4D24-BACC-2268200F25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97" i="1" l="1"/>
  <c r="Z193" i="1"/>
  <c r="Z24" i="1"/>
  <c r="Z290" i="1"/>
  <c r="Y25" i="1"/>
  <c r="Y33" i="1"/>
  <c r="Y37" i="1"/>
  <c r="Y45" i="1"/>
  <c r="Y49" i="1"/>
  <c r="Y58" i="1"/>
  <c r="Y64" i="1"/>
  <c r="Z70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Z113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BN23" i="1"/>
  <c r="Y493" i="1" s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Y494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Z177" i="1" s="1"/>
  <c r="BP170" i="1"/>
  <c r="BN170" i="1"/>
  <c r="Z170" i="1"/>
  <c r="BP173" i="1"/>
  <c r="BN173" i="1"/>
  <c r="Z173" i="1"/>
  <c r="Y177" i="1"/>
  <c r="Z183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Z309" i="1" s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Z354" i="1"/>
  <c r="BP348" i="1"/>
  <c r="BN348" i="1"/>
  <c r="Z348" i="1"/>
  <c r="Y354" i="1"/>
  <c r="BP352" i="1"/>
  <c r="BN352" i="1"/>
  <c r="Z352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64" i="1" s="1"/>
  <c r="Z385" i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300" i="1"/>
  <c r="Z416" i="1"/>
  <c r="Z316" i="1"/>
  <c r="Z209" i="1"/>
  <c r="Z120" i="1"/>
  <c r="Z106" i="1"/>
  <c r="Z44" i="1"/>
  <c r="Z497" i="1" s="1"/>
  <c r="Z32" i="1"/>
  <c r="Y496" i="1"/>
  <c r="X495" i="1"/>
  <c r="Z342" i="1"/>
  <c r="Z279" i="1"/>
  <c r="Z221" i="1"/>
  <c r="Z152" i="1"/>
  <c r="Y492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<sst xmlns="http://schemas.openxmlformats.org/spreadsheetml/2006/main" count="2362" uniqueCount="778">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</sst>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6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300</v>
      </c>
      <c r="Y41" s="548">
        <f>IFERROR(IF(X41="",0,CEILING((X41/$H41),1)*$H41),"")</f>
        <v>302.40000000000003</v>
      </c>
      <c r="Z41" s="36">
        <f>IFERROR(IF(Y41=0,"",ROUNDUP(Y41/H41,0)*0.01898),"")</f>
        <v>0.53144000000000002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311.38888888888891</v>
      </c>
      <c r="BN41" s="64">
        <f>IFERROR(Y41*I41/H41,"0")</f>
        <v>313.88</v>
      </c>
      <c r="BO41" s="64">
        <f>IFERROR(1/J41*(X41/H41),"0")</f>
        <v>0.43402777777777773</v>
      </c>
      <c r="BP41" s="64">
        <f>IFERROR(1/J41*(Y41/H41),"0")</f>
        <v>0.4375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27.777777777777775</v>
      </c>
      <c r="Y44" s="549">
        <f>IFERROR(Y41/H41,"0")+IFERROR(Y42/H42,"0")+IFERROR(Y43/H43,"0")</f>
        <v>28</v>
      </c>
      <c r="Z44" s="549">
        <f>IFERROR(IF(Z41="",0,Z41),"0")+IFERROR(IF(Z42="",0,Z42),"0")+IFERROR(IF(Z43="",0,Z43),"0")</f>
        <v>0.53144000000000002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300</v>
      </c>
      <c r="Y45" s="549">
        <f>IFERROR(SUM(Y41:Y43),"0")</f>
        <v>302.40000000000003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150</v>
      </c>
      <c r="Y53" s="548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13.888888888888888</v>
      </c>
      <c r="Y58" s="549">
        <f>IFERROR(Y52/H52,"0")+IFERROR(Y53/H53,"0")+IFERROR(Y54/H54,"0")+IFERROR(Y55/H55,"0")+IFERROR(Y56/H56,"0")+IFERROR(Y57/H57,"0")</f>
        <v>14</v>
      </c>
      <c r="Z58" s="549">
        <f>IFERROR(IF(Z52="",0,Z52),"0")+IFERROR(IF(Z53="",0,Z53),"0")+IFERROR(IF(Z54="",0,Z54),"0")+IFERROR(IF(Z55="",0,Z55),"0")+IFERROR(IF(Z56="",0,Z56),"0")+IFERROR(IF(Z57="",0,Z57),"0")</f>
        <v>0.26572000000000001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150</v>
      </c>
      <c r="Y59" s="549">
        <f>IFERROR(SUM(Y52:Y57),"0")</f>
        <v>151.20000000000002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200</v>
      </c>
      <c r="Y61" s="548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18.518518518518519</v>
      </c>
      <c r="Y64" s="549">
        <f>IFERROR(Y61/H61,"0")+IFERROR(Y62/H62,"0")+IFERROR(Y63/H63,"0")</f>
        <v>19</v>
      </c>
      <c r="Z64" s="549">
        <f>IFERROR(IF(Z61="",0,Z61),"0")+IFERROR(IF(Z62="",0,Z62),"0")+IFERROR(IF(Z63="",0,Z63),"0")</f>
        <v>0.36062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200</v>
      </c>
      <c r="Y65" s="549">
        <f>IFERROR(SUM(Y61:Y63),"0")</f>
        <v>205.20000000000002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130</v>
      </c>
      <c r="Y80" s="548">
        <f>IFERROR(IF(X80="",0,CEILING((X80/$H80),1)*$H80),"")</f>
        <v>132.6</v>
      </c>
      <c r="Z80" s="36">
        <f>IFERROR(IF(Y80=0,"",ROUNDUP(Y80/H80,0)*0.01898),"")</f>
        <v>0.32266</v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136.83333333333337</v>
      </c>
      <c r="BN80" s="64">
        <f>IFERROR(Y80*I80/H80,"0")</f>
        <v>139.57</v>
      </c>
      <c r="BO80" s="64">
        <f>IFERROR(1/J80*(X80/H80),"0")</f>
        <v>0.26041666666666669</v>
      </c>
      <c r="BP80" s="64">
        <f>IFERROR(1/J80*(Y80/H80),"0")</f>
        <v>0.265625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16.666666666666668</v>
      </c>
      <c r="Y82" s="549">
        <f>IFERROR(Y80/H80,"0")+IFERROR(Y81/H81,"0")</f>
        <v>17</v>
      </c>
      <c r="Z82" s="549">
        <f>IFERROR(IF(Z80="",0,Z80),"0")+IFERROR(IF(Z81="",0,Z81),"0")</f>
        <v>0.32266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130</v>
      </c>
      <c r="Y83" s="549">
        <f>IFERROR(SUM(Y80:Y81),"0")</f>
        <v>132.6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300</v>
      </c>
      <c r="Y86" s="548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27.777777777777775</v>
      </c>
      <c r="Y90" s="549">
        <f>IFERROR(Y86/H86,"0")+IFERROR(Y87/H87,"0")+IFERROR(Y88/H88,"0")+IFERROR(Y89/H89,"0")</f>
        <v>28</v>
      </c>
      <c r="Z90" s="549">
        <f>IFERROR(IF(Z86="",0,Z86),"0")+IFERROR(IF(Z87="",0,Z87),"0")+IFERROR(IF(Z88="",0,Z88),"0")+IFERROR(IF(Z89="",0,Z89),"0")</f>
        <v>0.53144000000000002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300</v>
      </c>
      <c r="Y91" s="549">
        <f>IFERROR(SUM(Y86:Y89),"0")</f>
        <v>302.40000000000003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400</v>
      </c>
      <c r="Y93" s="548">
        <f>IFERROR(IF(X93="",0,CEILING((X93/$H93),1)*$H93),"")</f>
        <v>405</v>
      </c>
      <c r="Z93" s="36">
        <f>IFERROR(IF(Y93=0,"",ROUNDUP(Y93/H93,0)*0.01898),"")</f>
        <v>0.94900000000000007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424.39506172839509</v>
      </c>
      <c r="BN93" s="64">
        <f>IFERROR(Y93*I93/H93,"0")</f>
        <v>429.7</v>
      </c>
      <c r="BO93" s="64">
        <f>IFERROR(1/J93*(X93/H93),"0")</f>
        <v>0.77160493827160492</v>
      </c>
      <c r="BP93" s="64">
        <f>IFERROR(1/J93*(Y93/H93),"0")</f>
        <v>0.78125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49.382716049382715</v>
      </c>
      <c r="Y97" s="549">
        <f>IFERROR(Y93/H93,"0")+IFERROR(Y94/H94,"0")+IFERROR(Y95/H95,"0")+IFERROR(Y96/H96,"0")</f>
        <v>50</v>
      </c>
      <c r="Z97" s="549">
        <f>IFERROR(IF(Z93="",0,Z93),"0")+IFERROR(IF(Z94="",0,Z94),"0")+IFERROR(IF(Z95="",0,Z95),"0")+IFERROR(IF(Z96="",0,Z96),"0")</f>
        <v>0.94900000000000007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400</v>
      </c>
      <c r="Y98" s="549">
        <f>IFERROR(SUM(Y93:Y96),"0")</f>
        <v>405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80</v>
      </c>
      <c r="Y101" s="548">
        <f>IFERROR(IF(X101="",0,CEILING((X101/$H101),1)*$H101),"")</f>
        <v>86.4</v>
      </c>
      <c r="Z101" s="36">
        <f>IFERROR(IF(Y101=0,"",ROUNDUP(Y101/H101,0)*0.01898),"")</f>
        <v>0.15184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83.037037037037038</v>
      </c>
      <c r="BN101" s="64">
        <f>IFERROR(Y101*I101/H101,"0")</f>
        <v>89.68</v>
      </c>
      <c r="BO101" s="64">
        <f>IFERROR(1/J101*(X101/H101),"0")</f>
        <v>0.11574074074074073</v>
      </c>
      <c r="BP101" s="64">
        <f>IFERROR(1/J101*(Y101/H101),"0")</f>
        <v>0.125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7.4074074074074066</v>
      </c>
      <c r="Y106" s="549">
        <f>IFERROR(Y101/H101,"0")+IFERROR(Y102/H102,"0")+IFERROR(Y103/H103,"0")+IFERROR(Y104/H104,"0")+IFERROR(Y105/H105,"0")</f>
        <v>8</v>
      </c>
      <c r="Z106" s="549">
        <f>IFERROR(IF(Z101="",0,Z101),"0")+IFERROR(IF(Z102="",0,Z102),"0")+IFERROR(IF(Z103="",0,Z103),"0")+IFERROR(IF(Z104="",0,Z104),"0")+IFERROR(IF(Z105="",0,Z105),"0")</f>
        <v>0.15184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80</v>
      </c>
      <c r="Y107" s="549">
        <f>IFERROR(SUM(Y101:Y105),"0")</f>
        <v>86.4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950</v>
      </c>
      <c r="Y116" s="548">
        <f>IFERROR(IF(X116="",0,CEILING((X116/$H116),1)*$H116),"")</f>
        <v>955.8</v>
      </c>
      <c r="Z116" s="36">
        <f>IFERROR(IF(Y116=0,"",ROUNDUP(Y116/H116,0)*0.01898),"")</f>
        <v>2.2396400000000001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1007.2345679012345</v>
      </c>
      <c r="BN116" s="64">
        <f>IFERROR(Y116*I116/H116,"0")</f>
        <v>1013.3839999999999</v>
      </c>
      <c r="BO116" s="64">
        <f>IFERROR(1/J116*(X116/H116),"0")</f>
        <v>1.8325617283950617</v>
      </c>
      <c r="BP116" s="64">
        <f>IFERROR(1/J116*(Y116/H116),"0")</f>
        <v>1.84375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117.28395061728395</v>
      </c>
      <c r="Y120" s="549">
        <f>IFERROR(Y116/H116,"0")+IFERROR(Y117/H117,"0")+IFERROR(Y118/H118,"0")+IFERROR(Y119/H119,"0")</f>
        <v>118</v>
      </c>
      <c r="Z120" s="549">
        <f>IFERROR(IF(Z116="",0,Z116),"0")+IFERROR(IF(Z117="",0,Z117),"0")+IFERROR(IF(Z118="",0,Z118),"0")+IFERROR(IF(Z119="",0,Z119),"0")</f>
        <v>2.2396400000000001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950</v>
      </c>
      <c r="Y121" s="549">
        <f>IFERROR(SUM(Y116:Y119),"0")</f>
        <v>955.8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20</v>
      </c>
      <c r="Y151" s="548">
        <f>IFERROR(IF(X151="",0,CEILING((X151/$H151),1)*$H151),"")</f>
        <v>27</v>
      </c>
      <c r="Z151" s="36">
        <f>IFERROR(IF(Y151=0,"",ROUNDUP(Y151/H151,0)*0.01898),"")</f>
        <v>5.6940000000000004E-2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21.244444444444447</v>
      </c>
      <c r="BN151" s="64">
        <f>IFERROR(Y151*I151/H151,"0")</f>
        <v>28.68</v>
      </c>
      <c r="BO151" s="64">
        <f>IFERROR(1/J151*(X151/H151),"0")</f>
        <v>3.4722222222222224E-2</v>
      </c>
      <c r="BP151" s="64">
        <f>IFERROR(1/J151*(Y151/H151),"0")</f>
        <v>4.6875E-2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2.2222222222222223</v>
      </c>
      <c r="Y152" s="549">
        <f>IFERROR(Y149/H149,"0")+IFERROR(Y150/H150,"0")+IFERROR(Y151/H151,"0")</f>
        <v>3</v>
      </c>
      <c r="Z152" s="549">
        <f>IFERROR(IF(Z149="",0,Z149),"0")+IFERROR(IF(Z150="",0,Z150),"0")+IFERROR(IF(Z151="",0,Z151),"0")</f>
        <v>5.6940000000000004E-2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20</v>
      </c>
      <c r="Y153" s="549">
        <f>IFERROR(SUM(Y149:Y151),"0")</f>
        <v>27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150</v>
      </c>
      <c r="Y166" s="548">
        <f t="shared" si="5"/>
        <v>151.20000000000002</v>
      </c>
      <c r="Z166" s="36">
        <f>IFERROR(IF(Y166=0,"",ROUNDUP(Y166/H166,0)*0.00902),"")</f>
        <v>0.32472000000000001</v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158.92857142857142</v>
      </c>
      <c r="BN166" s="64">
        <f t="shared" si="7"/>
        <v>160.20000000000002</v>
      </c>
      <c r="BO166" s="64">
        <f t="shared" si="8"/>
        <v>0.27056277056277056</v>
      </c>
      <c r="BP166" s="64">
        <f t="shared" si="9"/>
        <v>0.27272727272727271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60</v>
      </c>
      <c r="Y168" s="548">
        <f t="shared" si="5"/>
        <v>63</v>
      </c>
      <c r="Z168" s="36">
        <f>IFERROR(IF(Y168=0,"",ROUNDUP(Y168/H168,0)*0.00902),"")</f>
        <v>0.1353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62.714285714285708</v>
      </c>
      <c r="BN168" s="64">
        <f t="shared" si="7"/>
        <v>65.849999999999994</v>
      </c>
      <c r="BO168" s="64">
        <f t="shared" si="8"/>
        <v>0.10822510822510822</v>
      </c>
      <c r="BP168" s="64">
        <f t="shared" si="9"/>
        <v>0.11363636363636365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50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51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0.46001999999999998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210</v>
      </c>
      <c r="Y178" s="549">
        <f>IFERROR(SUM(Y165:Y176),"0")</f>
        <v>214.20000000000002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300</v>
      </c>
      <c r="Y201" s="548">
        <f t="shared" ref="Y201:Y208" si="10">IFERROR(IF(X201="",0,CEILING((X201/$H201),1)*$H201),"")</f>
        <v>302.40000000000003</v>
      </c>
      <c r="Z201" s="36">
        <f>IFERROR(IF(Y201=0,"",ROUNDUP(Y201/H201,0)*0.00902),"")</f>
        <v>0.50512000000000001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310.55555555555554</v>
      </c>
      <c r="BN201" s="64">
        <f t="shared" ref="BN201:BN208" si="12">IFERROR(Y201*I201/H201,"0")</f>
        <v>313.04000000000002</v>
      </c>
      <c r="BO201" s="64">
        <f t="shared" ref="BO201:BO208" si="13">IFERROR(1/J201*(X201/H201),"0")</f>
        <v>0.42087542087542085</v>
      </c>
      <c r="BP201" s="64">
        <f t="shared" ref="BP201:BP208" si="14">IFERROR(1/J201*(Y201/H201),"0")</f>
        <v>0.42424242424242425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300</v>
      </c>
      <c r="Y202" s="548">
        <f t="shared" si="10"/>
        <v>302.40000000000003</v>
      </c>
      <c r="Z202" s="36">
        <f>IFERROR(IF(Y202=0,"",ROUNDUP(Y202/H202,0)*0.00902),"")</f>
        <v>0.50512000000000001</v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310.55555555555554</v>
      </c>
      <c r="BN202" s="64">
        <f t="shared" si="12"/>
        <v>313.04000000000002</v>
      </c>
      <c r="BO202" s="64">
        <f t="shared" si="13"/>
        <v>0.42087542087542085</v>
      </c>
      <c r="BP202" s="64">
        <f t="shared" si="14"/>
        <v>0.42424242424242425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300</v>
      </c>
      <c r="Y203" s="548">
        <f t="shared" si="10"/>
        <v>302.40000000000003</v>
      </c>
      <c r="Z203" s="36">
        <f>IFERROR(IF(Y203=0,"",ROUNDUP(Y203/H203,0)*0.00902),"")</f>
        <v>0.50512000000000001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310.55555555555554</v>
      </c>
      <c r="BN203" s="64">
        <f t="shared" si="12"/>
        <v>313.04000000000002</v>
      </c>
      <c r="BO203" s="64">
        <f t="shared" si="13"/>
        <v>0.42087542087542085</v>
      </c>
      <c r="BP203" s="64">
        <f t="shared" si="14"/>
        <v>0.42424242424242425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166.66666666666666</v>
      </c>
      <c r="Y209" s="549">
        <f>IFERROR(Y201/H201,"0")+IFERROR(Y202/H202,"0")+IFERROR(Y203/H203,"0")+IFERROR(Y204/H204,"0")+IFERROR(Y205/H205,"0")+IFERROR(Y206/H206,"0")+IFERROR(Y207/H207,"0")+IFERROR(Y208/H208,"0")</f>
        <v>168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1.51536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900</v>
      </c>
      <c r="Y210" s="549">
        <f>IFERROR(SUM(Y201:Y208),"0")</f>
        <v>907.2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100</v>
      </c>
      <c r="Y214" s="548">
        <f t="shared" si="15"/>
        <v>104.39999999999999</v>
      </c>
      <c r="Z214" s="36">
        <f>IFERROR(IF(Y214=0,"",ROUNDUP(Y214/H214,0)*0.01898),"")</f>
        <v>0.22776000000000002</v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105.67816091954025</v>
      </c>
      <c r="BN214" s="64">
        <f t="shared" si="17"/>
        <v>110.32800000000002</v>
      </c>
      <c r="BO214" s="64">
        <f t="shared" si="18"/>
        <v>0.1795977011494253</v>
      </c>
      <c r="BP214" s="64">
        <f t="shared" si="19"/>
        <v>0.1875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11.494252873563219</v>
      </c>
      <c r="Y221" s="549">
        <f>IFERROR(Y212/H212,"0")+IFERROR(Y213/H213,"0")+IFERROR(Y214/H214,"0")+IFERROR(Y215/H215,"0")+IFERROR(Y216/H216,"0")+IFERROR(Y217/H217,"0")+IFERROR(Y218/H218,"0")+IFERROR(Y219/H219,"0")+IFERROR(Y220/H220,"0")</f>
        <v>12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0.22776000000000002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100</v>
      </c>
      <c r="Y222" s="549">
        <f>IFERROR(SUM(Y212:Y220),"0")</f>
        <v>104.39999999999999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50</v>
      </c>
      <c r="Y297" s="548">
        <f t="shared" si="26"/>
        <v>54</v>
      </c>
      <c r="Z297" s="36">
        <f>IFERROR(IF(Y297=0,"",ROUNDUP(Y297/H297,0)*0.01898),"")</f>
        <v>9.4899999999999998E-2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51.898148148148145</v>
      </c>
      <c r="BN297" s="64">
        <f t="shared" si="28"/>
        <v>56.05</v>
      </c>
      <c r="BO297" s="64">
        <f t="shared" si="29"/>
        <v>7.2337962962962965E-2</v>
      </c>
      <c r="BP297" s="64">
        <f t="shared" si="30"/>
        <v>7.8125E-2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4.6296296296296298</v>
      </c>
      <c r="Y300" s="549">
        <f>IFERROR(Y294/H294,"0")+IFERROR(Y295/H295,"0")+IFERROR(Y296/H296,"0")+IFERROR(Y297/H297,"0")+IFERROR(Y298/H298,"0")+IFERROR(Y299/H299,"0")</f>
        <v>5</v>
      </c>
      <c r="Z300" s="549">
        <f>IFERROR(IF(Z294="",0,Z294),"0")+IFERROR(IF(Z295="",0,Z295),"0")+IFERROR(IF(Z296="",0,Z296),"0")+IFERROR(IF(Z297="",0,Z297),"0")+IFERROR(IF(Z298="",0,Z298),"0")+IFERROR(IF(Z299="",0,Z299),"0")</f>
        <v>9.4899999999999998E-2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50</v>
      </c>
      <c r="Y301" s="549">
        <f>IFERROR(SUM(Y294:Y299),"0")</f>
        <v>54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100</v>
      </c>
      <c r="Y303" s="548">
        <f t="shared" ref="Y303:Y308" si="31">IFERROR(IF(X303="",0,CEILING((X303/$H303),1)*$H303),"")</f>
        <v>100.80000000000001</v>
      </c>
      <c r="Z303" s="36">
        <f>IFERROR(IF(Y303=0,"",ROUNDUP(Y303/H303,0)*0.00902),"")</f>
        <v>0.21648000000000001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105.95238095238095</v>
      </c>
      <c r="BN303" s="64">
        <f t="shared" ref="BN303:BN308" si="33">IFERROR(Y303*I303/H303,"0")</f>
        <v>106.80000000000001</v>
      </c>
      <c r="BO303" s="64">
        <f t="shared" ref="BO303:BO308" si="34">IFERROR(1/J303*(X303/H303),"0")</f>
        <v>0.18037518037518038</v>
      </c>
      <c r="BP303" s="64">
        <f t="shared" ref="BP303:BP308" si="35">IFERROR(1/J303*(Y303/H303),"0")</f>
        <v>0.18181818181818182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150</v>
      </c>
      <c r="Y304" s="548">
        <f t="shared" si="31"/>
        <v>151.20000000000002</v>
      </c>
      <c r="Z304" s="36">
        <f>IFERROR(IF(Y304=0,"",ROUNDUP(Y304/H304,0)*0.00902),"")</f>
        <v>0.32472000000000001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158.92857142857142</v>
      </c>
      <c r="BN304" s="64">
        <f t="shared" si="33"/>
        <v>160.20000000000002</v>
      </c>
      <c r="BO304" s="64">
        <f t="shared" si="34"/>
        <v>0.27056277056277056</v>
      </c>
      <c r="BP304" s="64">
        <f t="shared" si="35"/>
        <v>0.27272727272727271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59.523809523809526</v>
      </c>
      <c r="Y309" s="549">
        <f>IFERROR(Y303/H303,"0")+IFERROR(Y304/H304,"0")+IFERROR(Y305/H305,"0")+IFERROR(Y306/H306,"0")+IFERROR(Y307/H307,"0")+IFERROR(Y308/H308,"0")</f>
        <v>60</v>
      </c>
      <c r="Z309" s="549">
        <f>IFERROR(IF(Z303="",0,Z303),"0")+IFERROR(IF(Z304="",0,Z304),"0")+IFERROR(IF(Z305="",0,Z305),"0")+IFERROR(IF(Z306="",0,Z306),"0")+IFERROR(IF(Z307="",0,Z307),"0")+IFERROR(IF(Z308="",0,Z308),"0")</f>
        <v>0.54120000000000001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250</v>
      </c>
      <c r="Y310" s="549">
        <f>IFERROR(SUM(Y303:Y308),"0")</f>
        <v>252.00000000000003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250</v>
      </c>
      <c r="Y319" s="548">
        <f>IFERROR(IF(X319="",0,CEILING((X319/$H319),1)*$H319),"")</f>
        <v>252</v>
      </c>
      <c r="Z319" s="36">
        <f>IFERROR(IF(Y319=0,"",ROUNDUP(Y319/H319,0)*0.01898),"")</f>
        <v>0.56940000000000002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264.70238095238096</v>
      </c>
      <c r="BN319" s="64">
        <f>IFERROR(Y319*I319/H319,"0")</f>
        <v>266.82</v>
      </c>
      <c r="BO319" s="64">
        <f>IFERROR(1/J319*(X319/H319),"0")</f>
        <v>0.46502976190476186</v>
      </c>
      <c r="BP319" s="64">
        <f>IFERROR(1/J319*(Y319/H319),"0")</f>
        <v>0.46875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400</v>
      </c>
      <c r="Y320" s="548">
        <f>IFERROR(IF(X320="",0,CEILING((X320/$H320),1)*$H320),"")</f>
        <v>405.59999999999997</v>
      </c>
      <c r="Z320" s="36">
        <f>IFERROR(IF(Y320=0,"",ROUNDUP(Y320/H320,0)*0.01898),"")</f>
        <v>0.98696000000000006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425.33333333333337</v>
      </c>
      <c r="BN320" s="64">
        <f>IFERROR(Y320*I320/H320,"0")</f>
        <v>431.28799999999995</v>
      </c>
      <c r="BO320" s="64">
        <f>IFERROR(1/J320*(X320/H320),"0")</f>
        <v>0.80128205128205132</v>
      </c>
      <c r="BP320" s="64">
        <f>IFERROR(1/J320*(Y320/H320),"0")</f>
        <v>0.8125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150</v>
      </c>
      <c r="Y321" s="548">
        <f>IFERROR(IF(X321="",0,CEILING((X321/$H321),1)*$H321),"")</f>
        <v>151.20000000000002</v>
      </c>
      <c r="Z321" s="36">
        <f>IFERROR(IF(Y321=0,"",ROUNDUP(Y321/H321,0)*0.01898),"")</f>
        <v>0.34164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158.82142857142856</v>
      </c>
      <c r="BN321" s="64">
        <f>IFERROR(Y321*I321/H321,"0")</f>
        <v>160.09200000000001</v>
      </c>
      <c r="BO321" s="64">
        <f>IFERROR(1/J321*(X321/H321),"0")</f>
        <v>0.27901785714285715</v>
      </c>
      <c r="BP321" s="64">
        <f>IFERROR(1/J321*(Y321/H321),"0")</f>
        <v>0.28125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98.901098901098905</v>
      </c>
      <c r="Y322" s="549">
        <f>IFERROR(Y319/H319,"0")+IFERROR(Y320/H320,"0")+IFERROR(Y321/H321,"0")</f>
        <v>100</v>
      </c>
      <c r="Z322" s="549">
        <f>IFERROR(IF(Z319="",0,Z319),"0")+IFERROR(IF(Z320="",0,Z320),"0")+IFERROR(IF(Z321="",0,Z321),"0")</f>
        <v>1.8980000000000001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800</v>
      </c>
      <c r="Y323" s="549">
        <f>IFERROR(SUM(Y319:Y321),"0")</f>
        <v>808.8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4150</v>
      </c>
      <c r="Y347" s="548">
        <f t="shared" ref="Y347:Y353" si="36">IFERROR(IF(X347="",0,CEILING((X347/$H347),1)*$H347),"")</f>
        <v>4155</v>
      </c>
      <c r="Z347" s="36">
        <f>IFERROR(IF(Y347=0,"",ROUNDUP(Y347/H347,0)*0.02175),"")</f>
        <v>6.0247499999999992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4280.0333333333338</v>
      </c>
      <c r="BN347" s="64">
        <f t="shared" ref="BN347:BN353" si="38">IFERROR(Y347*I347/H347,"0")</f>
        <v>4285.1900000000005</v>
      </c>
      <c r="BO347" s="64">
        <f t="shared" ref="BO347:BO353" si="39">IFERROR(1/J347*(X347/H347),"0")</f>
        <v>5.7638888888888893</v>
      </c>
      <c r="BP347" s="64">
        <f t="shared" ref="BP347:BP353" si="40">IFERROR(1/J347*(Y347/H347),"0")</f>
        <v>5.770833333333333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2250</v>
      </c>
      <c r="Y348" s="548">
        <f t="shared" si="36"/>
        <v>2250</v>
      </c>
      <c r="Z348" s="36">
        <f>IFERROR(IF(Y348=0,"",ROUNDUP(Y348/H348,0)*0.02175),"")</f>
        <v>3.2624999999999997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2320.5</v>
      </c>
      <c r="BN348" s="64">
        <f t="shared" si="38"/>
        <v>2320.5</v>
      </c>
      <c r="BO348" s="64">
        <f t="shared" si="39"/>
        <v>3.125</v>
      </c>
      <c r="BP348" s="64">
        <f t="shared" si="40"/>
        <v>3.125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2650</v>
      </c>
      <c r="Y349" s="548">
        <f t="shared" si="36"/>
        <v>2655</v>
      </c>
      <c r="Z349" s="36">
        <f>IFERROR(IF(Y349=0,"",ROUNDUP(Y349/H349,0)*0.02175),"")</f>
        <v>3.8497499999999998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2733.0333333333333</v>
      </c>
      <c r="BN349" s="64">
        <f t="shared" si="38"/>
        <v>2738.19</v>
      </c>
      <c r="BO349" s="64">
        <f t="shared" si="39"/>
        <v>3.6805555555555554</v>
      </c>
      <c r="BP349" s="64">
        <f t="shared" si="40"/>
        <v>3.6875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603.33333333333337</v>
      </c>
      <c r="Y354" s="549">
        <f>IFERROR(Y347/H347,"0")+IFERROR(Y348/H348,"0")+IFERROR(Y349/H349,"0")+IFERROR(Y350/H350,"0")+IFERROR(Y351/H351,"0")+IFERROR(Y352/H352,"0")+IFERROR(Y353/H353,"0")</f>
        <v>604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13.136999999999999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9050</v>
      </c>
      <c r="Y355" s="549">
        <f>IFERROR(SUM(Y347:Y353),"0")</f>
        <v>9060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75</v>
      </c>
      <c r="Y357" s="548">
        <f>IFERROR(IF(X357="",0,CEILING((X357/$H357),1)*$H357),"")</f>
        <v>75</v>
      </c>
      <c r="Z357" s="36">
        <f>IFERROR(IF(Y357=0,"",ROUNDUP(Y357/H357,0)*0.02175),"")</f>
        <v>0.10874999999999999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77.349999999999994</v>
      </c>
      <c r="BN357" s="64">
        <f>IFERROR(Y357*I357/H357,"0")</f>
        <v>77.349999999999994</v>
      </c>
      <c r="BO357" s="64">
        <f>IFERROR(1/J357*(X357/H357),"0")</f>
        <v>0.10416666666666666</v>
      </c>
      <c r="BP357" s="64">
        <f>IFERROR(1/J357*(Y357/H357),"0")</f>
        <v>0.10416666666666666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5</v>
      </c>
      <c r="Y359" s="549">
        <f>IFERROR(Y357/H357,"0")+IFERROR(Y358/H358,"0")</f>
        <v>5</v>
      </c>
      <c r="Z359" s="549">
        <f>IFERROR(IF(Z357="",0,Z357),"0")+IFERROR(IF(Z358="",0,Z358),"0")</f>
        <v>0.10874999999999999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75</v>
      </c>
      <c r="Y360" s="549">
        <f>IFERROR(SUM(Y357:Y358),"0")</f>
        <v>75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600</v>
      </c>
      <c r="Y362" s="548">
        <f>IFERROR(IF(X362="",0,CEILING((X362/$H362),1)*$H362),"")</f>
        <v>603</v>
      </c>
      <c r="Z362" s="36">
        <f>IFERROR(IF(Y362=0,"",ROUNDUP(Y362/H362,0)*0.01898),"")</f>
        <v>1.27166</v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633.33333333333337</v>
      </c>
      <c r="BN362" s="64">
        <f>IFERROR(Y362*I362/H362,"0")</f>
        <v>636.5</v>
      </c>
      <c r="BO362" s="64">
        <f>IFERROR(1/J362*(X362/H362),"0")</f>
        <v>1.0416666666666667</v>
      </c>
      <c r="BP362" s="64">
        <f>IFERROR(1/J362*(Y362/H362),"0")</f>
        <v>1.046875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300</v>
      </c>
      <c r="Y363" s="548">
        <f>IFERROR(IF(X363="",0,CEILING((X363/$H363),1)*$H363),"")</f>
        <v>306</v>
      </c>
      <c r="Z363" s="36">
        <f>IFERROR(IF(Y363=0,"",ROUNDUP(Y363/H363,0)*0.01898),"")</f>
        <v>0.64532</v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316.46666666666664</v>
      </c>
      <c r="BN363" s="64">
        <f>IFERROR(Y363*I363/H363,"0")</f>
        <v>322.79599999999999</v>
      </c>
      <c r="BO363" s="64">
        <f>IFERROR(1/J363*(X363/H363),"0")</f>
        <v>0.52083333333333337</v>
      </c>
      <c r="BP363" s="64">
        <f>IFERROR(1/J363*(Y363/H363),"0")</f>
        <v>0.53125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100</v>
      </c>
      <c r="Y364" s="549">
        <f>IFERROR(Y362/H362,"0")+IFERROR(Y363/H363,"0")</f>
        <v>101</v>
      </c>
      <c r="Z364" s="549">
        <f>IFERROR(IF(Z362="",0,Z362),"0")+IFERROR(IF(Z363="",0,Z363),"0")</f>
        <v>1.9169800000000001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900</v>
      </c>
      <c r="Y365" s="549">
        <f>IFERROR(SUM(Y362:Y363),"0")</f>
        <v>909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400</v>
      </c>
      <c r="Y367" s="548">
        <f>IFERROR(IF(X367="",0,CEILING((X367/$H367),1)*$H367),"")</f>
        <v>405</v>
      </c>
      <c r="Z367" s="36">
        <f>IFERROR(IF(Y367=0,"",ROUNDUP(Y367/H367,0)*0.01898),"")</f>
        <v>0.85409999999999997</v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421.95555555555552</v>
      </c>
      <c r="BN367" s="64">
        <f>IFERROR(Y367*I367/H367,"0")</f>
        <v>427.22999999999996</v>
      </c>
      <c r="BO367" s="64">
        <f>IFERROR(1/J367*(X367/H367),"0")</f>
        <v>0.69444444444444442</v>
      </c>
      <c r="BP367" s="64">
        <f>IFERROR(1/J367*(Y367/H367),"0")</f>
        <v>0.703125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44.444444444444443</v>
      </c>
      <c r="Y368" s="549">
        <f>IFERROR(Y367/H367,"0")</f>
        <v>45</v>
      </c>
      <c r="Z368" s="549">
        <f>IFERROR(IF(Z367="",0,Z367),"0")</f>
        <v>0.85409999999999997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400</v>
      </c>
      <c r="Y369" s="549">
        <f>IFERROR(SUM(Y367:Y367),"0")</f>
        <v>405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150</v>
      </c>
      <c r="Y377" s="548">
        <f>IFERROR(IF(X377="",0,CEILING((X377/$H377),1)*$H377),"")</f>
        <v>153.29999999999998</v>
      </c>
      <c r="Z377" s="36">
        <f>IFERROR(IF(Y377=0,"",ROUNDUP(Y377/H377,0)*0.00902),"")</f>
        <v>0.31569999999999998</v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158.56164383561645</v>
      </c>
      <c r="BN377" s="64">
        <f>IFERROR(Y377*I377/H377,"0")</f>
        <v>162.04999999999998</v>
      </c>
      <c r="BO377" s="64">
        <f>IFERROR(1/J377*(X377/H377),"0")</f>
        <v>0.25944375259443753</v>
      </c>
      <c r="BP377" s="64">
        <f>IFERROR(1/J377*(Y377/H377),"0")</f>
        <v>0.26515151515151514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34.246575342465754</v>
      </c>
      <c r="Y379" s="549">
        <f>IFERROR(Y377/H377,"0")+IFERROR(Y378/H378,"0")</f>
        <v>35</v>
      </c>
      <c r="Z379" s="549">
        <f>IFERROR(IF(Z377="",0,Z377),"0")+IFERROR(IF(Z378="",0,Z378),"0")</f>
        <v>0.31569999999999998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150</v>
      </c>
      <c r="Y380" s="549">
        <f>IFERROR(SUM(Y377:Y378),"0")</f>
        <v>153.29999999999998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600</v>
      </c>
      <c r="Y382" s="548">
        <f>IFERROR(IF(X382="",0,CEILING((X382/$H382),1)*$H382),"")</f>
        <v>603</v>
      </c>
      <c r="Z382" s="36">
        <f>IFERROR(IF(Y382=0,"",ROUNDUP(Y382/H382,0)*0.01898),"")</f>
        <v>1.27166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632.93333333333328</v>
      </c>
      <c r="BN382" s="64">
        <f>IFERROR(Y382*I382/H382,"0")</f>
        <v>636.09799999999996</v>
      </c>
      <c r="BO382" s="64">
        <f>IFERROR(1/J382*(X382/H382),"0")</f>
        <v>1.0416666666666667</v>
      </c>
      <c r="BP382" s="64">
        <f>IFERROR(1/J382*(Y382/H382),"0")</f>
        <v>1.046875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66.666666666666671</v>
      </c>
      <c r="Y385" s="549">
        <f>IFERROR(Y382/H382,"0")+IFERROR(Y383/H383,"0")+IFERROR(Y384/H384,"0")</f>
        <v>67</v>
      </c>
      <c r="Z385" s="549">
        <f>IFERROR(IF(Z382="",0,Z382),"0")+IFERROR(IF(Z383="",0,Z383),"0")+IFERROR(IF(Z384="",0,Z384),"0")</f>
        <v>1.27166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600</v>
      </c>
      <c r="Y386" s="549">
        <f>IFERROR(SUM(Y382:Y384),"0")</f>
        <v>603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100</v>
      </c>
      <c r="Y390" s="548">
        <f t="shared" ref="Y390:Y398" si="41">IFERROR(IF(X390="",0,CEILING((X390/$H390),1)*$H390),"")</f>
        <v>102.60000000000001</v>
      </c>
      <c r="Z390" s="36">
        <f>IFERROR(IF(Y390=0,"",ROUNDUP(Y390/H390,0)*0.00902),"")</f>
        <v>0.17138</v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103.5185185185185</v>
      </c>
      <c r="BN390" s="64">
        <f t="shared" ref="BN390:BN398" si="43">IFERROR(Y390*I390/H390,"0")</f>
        <v>106.21</v>
      </c>
      <c r="BO390" s="64">
        <f t="shared" ref="BO390:BO398" si="44">IFERROR(1/J390*(X390/H390),"0")</f>
        <v>0.14029180695847362</v>
      </c>
      <c r="BP390" s="64">
        <f t="shared" ref="BP390:BP398" si="45">IFERROR(1/J390*(Y390/H390),"0")</f>
        <v>0.14393939393939395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18.518518518518519</v>
      </c>
      <c r="Y399" s="549">
        <f>IFERROR(Y390/H390,"0")+IFERROR(Y391/H391,"0")+IFERROR(Y392/H392,"0")+IFERROR(Y393/H393,"0")+IFERROR(Y394/H394,"0")+IFERROR(Y395/H395,"0")+IFERROR(Y396/H396,"0")+IFERROR(Y397/H397,"0")+IFERROR(Y398/H398,"0")</f>
        <v>19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0.17138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100</v>
      </c>
      <c r="Y400" s="549">
        <f>IFERROR(SUM(Y390:Y398),"0")</f>
        <v>102.60000000000001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150</v>
      </c>
      <c r="Y412" s="548">
        <f>IFERROR(IF(X412="",0,CEILING((X412/$H412),1)*$H412),"")</f>
        <v>151.20000000000002</v>
      </c>
      <c r="Z412" s="36">
        <f>IFERROR(IF(Y412=0,"",ROUNDUP(Y412/H412,0)*0.00902),"")</f>
        <v>0.25256000000000001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155.27777777777777</v>
      </c>
      <c r="BN412" s="64">
        <f>IFERROR(Y412*I412/H412,"0")</f>
        <v>156.52000000000001</v>
      </c>
      <c r="BO412" s="64">
        <f>IFERROR(1/J412*(X412/H412),"0")</f>
        <v>0.21043771043771042</v>
      </c>
      <c r="BP412" s="64">
        <f>IFERROR(1/J412*(Y412/H412),"0")</f>
        <v>0.21212121212121213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27.777777777777775</v>
      </c>
      <c r="Y416" s="549">
        <f>IFERROR(Y412/H412,"0")+IFERROR(Y413/H413,"0")+IFERROR(Y414/H414,"0")+IFERROR(Y415/H415,"0")</f>
        <v>28</v>
      </c>
      <c r="Z416" s="549">
        <f>IFERROR(IF(Z412="",0,Z412),"0")+IFERROR(IF(Z413="",0,Z413),"0")+IFERROR(IF(Z414="",0,Z414),"0")+IFERROR(IF(Z415="",0,Z415),"0")</f>
        <v>0.25256000000000001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150</v>
      </c>
      <c r="Y417" s="549">
        <f>IFERROR(SUM(Y412:Y415),"0")</f>
        <v>151.20000000000002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550</v>
      </c>
      <c r="Y430" s="548">
        <f t="shared" si="47"/>
        <v>554.4</v>
      </c>
      <c r="Z430" s="36">
        <f t="shared" si="48"/>
        <v>1.2558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586.45833333333326</v>
      </c>
      <c r="BN430" s="64">
        <f t="shared" si="50"/>
        <v>591.15</v>
      </c>
      <c r="BO430" s="64">
        <f t="shared" si="51"/>
        <v>1.0016025641025641</v>
      </c>
      <c r="BP430" s="64">
        <f t="shared" si="52"/>
        <v>1.0096153846153846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305</v>
      </c>
      <c r="Y432" s="548">
        <f t="shared" si="47"/>
        <v>306.24</v>
      </c>
      <c r="Z432" s="36">
        <f t="shared" si="48"/>
        <v>0.69367999999999996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325.217803030303</v>
      </c>
      <c r="BN432" s="64">
        <f t="shared" si="50"/>
        <v>326.53999999999996</v>
      </c>
      <c r="BO432" s="64">
        <f t="shared" si="51"/>
        <v>0.55543414918414924</v>
      </c>
      <c r="BP432" s="64">
        <f t="shared" si="52"/>
        <v>0.55769230769230771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161.93181818181819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163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1.9494799999999999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855</v>
      </c>
      <c r="Y439" s="549">
        <f>IFERROR(SUM(Y426:Y437),"0")</f>
        <v>860.64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250</v>
      </c>
      <c r="Y441" s="548">
        <f>IFERROR(IF(X441="",0,CEILING((X441/$H441),1)*$H441),"")</f>
        <v>253.44</v>
      </c>
      <c r="Z441" s="36">
        <f>IFERROR(IF(Y441=0,"",ROUNDUP(Y441/H441,0)*0.01196),"")</f>
        <v>0.57408000000000003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266.57196969696969</v>
      </c>
      <c r="BN441" s="64">
        <f>IFERROR(Y441*I441/H441,"0")</f>
        <v>270.23999999999995</v>
      </c>
      <c r="BO441" s="64">
        <f>IFERROR(1/J441*(X441/H441),"0")</f>
        <v>0.45527389277389274</v>
      </c>
      <c r="BP441" s="64">
        <f>IFERROR(1/J441*(Y441/H441),"0")</f>
        <v>0.46153846153846156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47.348484848484844</v>
      </c>
      <c r="Y444" s="549">
        <f>IFERROR(Y441/H441,"0")+IFERROR(Y442/H442,"0")+IFERROR(Y443/H443,"0")</f>
        <v>48</v>
      </c>
      <c r="Z444" s="549">
        <f>IFERROR(IF(Z441="",0,Z441),"0")+IFERROR(IF(Z442="",0,Z442),"0")+IFERROR(IF(Z443="",0,Z443),"0")</f>
        <v>0.57408000000000003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250</v>
      </c>
      <c r="Y445" s="549">
        <f>IFERROR(SUM(Y441:Y443),"0")</f>
        <v>253.44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275</v>
      </c>
      <c r="Y448" s="548">
        <f t="shared" si="53"/>
        <v>279.84000000000003</v>
      </c>
      <c r="Z448" s="36">
        <f>IFERROR(IF(Y448=0,"",ROUNDUP(Y448/H448,0)*0.01196),"")</f>
        <v>0.63388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293.22916666666663</v>
      </c>
      <c r="BN448" s="64">
        <f t="shared" si="55"/>
        <v>298.39000000000004</v>
      </c>
      <c r="BO448" s="64">
        <f t="shared" si="56"/>
        <v>0.50080128205128205</v>
      </c>
      <c r="BP448" s="64">
        <f t="shared" si="57"/>
        <v>0.50961538461538469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225</v>
      </c>
      <c r="Y449" s="548">
        <f t="shared" si="53"/>
        <v>227.04000000000002</v>
      </c>
      <c r="Z449" s="36">
        <f>IFERROR(IF(Y449=0,"",ROUNDUP(Y449/H449,0)*0.01196),"")</f>
        <v>0.51427999999999996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239.91477272727272</v>
      </c>
      <c r="BN449" s="64">
        <f t="shared" si="55"/>
        <v>242.09</v>
      </c>
      <c r="BO449" s="64">
        <f t="shared" si="56"/>
        <v>0.40974650349650349</v>
      </c>
      <c r="BP449" s="64">
        <f t="shared" si="57"/>
        <v>0.41346153846153849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94.696969696969688</v>
      </c>
      <c r="Y453" s="549">
        <f>IFERROR(Y447/H447,"0")+IFERROR(Y448/H448,"0")+IFERROR(Y449/H449,"0")+IFERROR(Y450/H450,"0")+IFERROR(Y451/H451,"0")+IFERROR(Y452/H452,"0")</f>
        <v>96</v>
      </c>
      <c r="Z453" s="549">
        <f>IFERROR(IF(Z447="",0,Z447),"0")+IFERROR(IF(Z448="",0,Z448),"0")+IFERROR(IF(Z449="",0,Z449),"0")+IFERROR(IF(Z450="",0,Z450),"0")+IFERROR(IF(Z451="",0,Z451),"0")+IFERROR(IF(Z452="",0,Z452),"0")</f>
        <v>1.1481599999999998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500</v>
      </c>
      <c r="Y454" s="549">
        <f>IFERROR(SUM(Y447:Y452),"0")</f>
        <v>506.88000000000005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100</v>
      </c>
      <c r="Y464" s="548">
        <f>IFERROR(IF(X464="",0,CEILING((X464/$H464),1)*$H464),"")</f>
        <v>108</v>
      </c>
      <c r="Z464" s="36">
        <f>IFERROR(IF(Y464=0,"",ROUNDUP(Y464/H464,0)*0.01898),"")</f>
        <v>0.17082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103.41666666666667</v>
      </c>
      <c r="BN464" s="64">
        <f>IFERROR(Y464*I464/H464,"0")</f>
        <v>111.69</v>
      </c>
      <c r="BO464" s="64">
        <f>IFERROR(1/J464*(X464/H464),"0")</f>
        <v>0.13020833333333334</v>
      </c>
      <c r="BP464" s="64">
        <f>IFERROR(1/J464*(Y464/H464),"0")</f>
        <v>0.140625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8.3333333333333339</v>
      </c>
      <c r="Y466" s="549">
        <f>IFERROR(Y462/H462,"0")+IFERROR(Y463/H463,"0")+IFERROR(Y464/H464,"0")+IFERROR(Y465/H465,"0")</f>
        <v>9</v>
      </c>
      <c r="Z466" s="549">
        <f>IFERROR(IF(Z462="",0,Z462),"0")+IFERROR(IF(Z463="",0,Z463),"0")+IFERROR(IF(Z464="",0,Z464),"0")+IFERROR(IF(Z465="",0,Z465),"0")</f>
        <v>0.17082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100</v>
      </c>
      <c r="Y467" s="549">
        <f>IFERROR(SUM(Y462:Y465),"0")</f>
        <v>108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17970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18096.66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18731.205395183249</v>
      </c>
      <c r="Y493" s="549">
        <f>IFERROR(SUM(BN22:BN489),"0")</f>
        <v>18864.186000000002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28</v>
      </c>
      <c r="Y494" s="38">
        <f>ROUNDUP(SUM(BP22:BP489),0)</f>
        <v>29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19431.205395183249</v>
      </c>
      <c r="Y495" s="549">
        <f>GrossWeightTotalR+PalletQtyTotalR*25</f>
        <v>19589.186000000002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1884.4393056645063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1901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32.017209999999999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302.40000000000003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489</v>
      </c>
      <c r="E502" s="46">
        <f>IFERROR(Y86*1,"0")+IFERROR(Y87*1,"0")+IFERROR(Y88*1,"0")+IFERROR(Y89*1,"0")+IFERROR(Y93*1,"0")+IFERROR(Y94*1,"0")+IFERROR(Y95*1,"0")+IFERROR(Y96*1,"0")</f>
        <v>707.40000000000009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1042.2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27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214.20000000000002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1011.6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1114.8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10449</v>
      </c>
      <c r="T502" s="46">
        <f>IFERROR(Y372*1,"0")+IFERROR(Y373*1,"0")+IFERROR(Y377*1,"0")+IFERROR(Y378*1,"0")+IFERROR(Y382*1,"0")+IFERROR(Y383*1,"0")+IFERROR(Y384*1,"0")</f>
        <v>756.3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102.60000000000001</v>
      </c>
      <c r="V502" s="46">
        <f>IFERROR(Y408*1,"0")+IFERROR(Y412*1,"0")+IFERROR(Y413*1,"0")+IFERROR(Y414*1,"0")+IFERROR(Y415*1,"0")</f>
        <v>151.20000000000002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1620.96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108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2025-12-16T08:46:53Z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