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BF3D65B5-C692-4FCB-8D62-A74F28D9E1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4" i="102" l="1"/>
  <c r="F46" i="102"/>
  <c r="G57" i="102"/>
  <c r="G56" i="102"/>
  <c r="G53" i="102"/>
  <c r="G52" i="102"/>
  <c r="G18" i="102" l="1"/>
  <c r="G19" i="102"/>
  <c r="G20" i="102"/>
  <c r="F3" i="102" l="1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25" i="102"/>
  <c r="G24" i="102"/>
  <c r="G23" i="102"/>
  <c r="G22" i="102"/>
  <c r="G21" i="102"/>
  <c r="G45" i="102" l="1"/>
  <c r="G44" i="102" s="1"/>
  <c r="G48" i="102" l="1"/>
  <c r="G55" i="102" l="1"/>
  <c r="G54" i="102"/>
  <c r="G51" i="102"/>
  <c r="G50" i="102"/>
  <c r="G47" i="102"/>
  <c r="G46" i="102" l="1"/>
  <c r="G4" i="102"/>
  <c r="G5" i="102" l="1"/>
  <c r="F42" i="102" l="1"/>
  <c r="F58" i="102" s="1"/>
  <c r="G6" i="102"/>
  <c r="G7" i="102"/>
  <c r="G8" i="102" l="1"/>
  <c r="G9" i="102"/>
  <c r="G10" i="102"/>
  <c r="G11" i="102"/>
  <c r="G12" i="102"/>
  <c r="G13" i="102"/>
  <c r="G14" i="102"/>
  <c r="G15" i="102"/>
  <c r="G16" i="102"/>
  <c r="G17" i="102"/>
  <c r="G43" i="102"/>
  <c r="G3" i="102" l="1"/>
  <c r="G42" i="102"/>
  <c r="AC8" i="102"/>
  <c r="AC9" i="102"/>
  <c r="AC10" i="102"/>
  <c r="AC11" i="102"/>
  <c r="AC12" i="102"/>
  <c r="AC13" i="102"/>
  <c r="AC14" i="102"/>
  <c r="AC15" i="102"/>
  <c r="AC16" i="102"/>
  <c r="AC17" i="102"/>
  <c r="AC19" i="102"/>
  <c r="AC20" i="102"/>
  <c r="AE20" i="102"/>
  <c r="AE19" i="102"/>
  <c r="AE17" i="102"/>
  <c r="AE16" i="102"/>
  <c r="AE15" i="102"/>
  <c r="AE14" i="102"/>
  <c r="AE13" i="102"/>
  <c r="AE12" i="102"/>
  <c r="AE11" i="102"/>
  <c r="AE10" i="102"/>
  <c r="AE9" i="102"/>
  <c r="AE8" i="102"/>
  <c r="AE43" i="102"/>
  <c r="G58" i="102" l="1"/>
  <c r="AE42" i="102"/>
  <c r="AC3" i="102"/>
  <c r="AE3" i="102"/>
  <c r="AC43" i="102" l="1"/>
  <c r="AC42" i="102" l="1"/>
</calcChain>
</file>

<file path=xl/sharedStrings.xml><?xml version="1.0" encoding="utf-8"?>
<sst xmlns="http://schemas.openxmlformats.org/spreadsheetml/2006/main" count="101" uniqueCount="101">
  <si>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</si>
  <si>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</si>
  <si>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</si>
  <si>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</si>
  <si>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</si>
  <si>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</si>
  <si>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</si>
  <si>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</si>
  <si>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</si>
  <si>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</si>
  <si>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</si>
  <si>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</si>
  <si>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</si>
  <si>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</si>
  <si>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</si>
  <si>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</si>
  <si>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</si>
  <si>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</si>
  <si>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</si>
  <si>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</si>
  <si>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</si>
  <si>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</si>
  <si>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</si>
  <si>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</si>
  <si>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</si>
  <si>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</si>
  <si>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</si>
  <si>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</si>
  <si>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</si>
  <si>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</si>
  <si>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</si>
  <si>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</si>
  <si>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</si>
  <si>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</si>
  <si>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</si>
  <si>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</si>
  <si>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</si>
  <si>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</si>
  <si>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</si>
  <si>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</si>
  <si>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</si>
  <si>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</si>
  <si>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</si>
  <si>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</si>
  <si>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</si>
  <si>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</si>
  <si>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</si>
  <si>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КРУГГЕТСЫ ГОРЯЧАЯ ШТУЧКА СОЧНЫЕ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</si>
  <si>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</si>
  <si>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</si>
  <si>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</si>
  <si>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</si>
  <si>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</si>
  <si>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</si>
  <si>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</si>
  <si>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</si>
  <si>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</si>
  <si>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</si>
  <si>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</si>
  <si>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</si>
  <si>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</si>
  <si>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</si>
  <si>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</si>
  <si>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</si>
  <si>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</si>
  <si>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</si>
  <si>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</si>
  <si>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</si>
  <si>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</si>
  <si>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</si>
  <si>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</si>
  <si>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</si>
  <si>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</si>
  <si>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</si>
  <si>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</si>
  <si>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</si>
  <si>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</si>
  <si>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</si>
  <si>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</si>
  <si>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</si>
  <si>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</si>
  <si>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</si>
  <si>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</si>
  <si>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</si>
  <si>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</si>
  <si>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</si>
  <si>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</si>
  <si>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</si>
  <si>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</si>
  <si>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</si>
  <si>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</si>
  <si>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</si>
  <si>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</si>
  <si>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</si>
  <si>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</si>
  <si>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КРЫЛЫШКИ ГОРЯЧАЯ ШТУЧКА ОСТРЫЕ К ПИВУ 300г 1\12, кг</t>
  </si>
  <si>
    <t>ЧЕБУПЕЛИ ГОРЯЧАЯ ШТУЧКА ВЕТЧ\СЫР 300г 1\12, кг</t>
  </si>
  <si>
    <t>ЧЕБУПЕЛИ ГОРЯЧАЯ ШТУЧКА СОЧНОЕ МЯСО 240г 1\12, кг</t>
  </si>
  <si>
    <t>ЧЕБУПИЦЦА ГОРЯЧАЯ ШТУЧКА ПЕППЕРОНИ  250г 1\12, кг</t>
  </si>
  <si>
    <t>ЧЕБУРЕКИ ГОРЯЧАЯ ШТУЧКА СВ\ГОВ 360Г 1/10, шт</t>
  </si>
  <si>
    <t>Заказ Полякова 09.12.25.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</si>
</sst>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3" xfId="0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16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8" fillId="9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0" fontId="9" fillId="0" borderId="0" xfId="0" applyFont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8" borderId="4" xfId="0" applyFont="1" applyFill="1" applyBorder="1" applyAlignment="1">
      <alignment vertical="top"/>
    </xf>
    <xf numFmtId="0" fontId="4" fillId="0" borderId="19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4" fillId="8" borderId="18" xfId="0" applyFont="1" applyFill="1" applyBorder="1" applyAlignment="1">
      <alignment vertical="top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" fontId="2" fillId="5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0" fillId="0" borderId="22" xfId="0" applyNumberFormat="1" applyFill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" fontId="0" fillId="0" borderId="23" xfId="0" applyNumberForma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1" fontId="0" fillId="0" borderId="24" xfId="0" applyNumberForma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8"/>
  <sheetViews>
    <sheetView tabSelected="1" zoomScale="80" zoomScaleNormal="80" workbookViewId="0">
      <selection activeCell="M11" sqref="M11"/>
    </sheetView>
  </sheetViews>
  <sheetFormatPr defaultRowHeight="15" outlineLevelRow="1" x14ac:dyDescent="0.25"/>
  <cols>
    <col min="1" max="1" width="12" customWidth="1"/>
    <col min="2" max="2" width="12" style="35" customWidth="1"/>
    <col min="3" max="3" width="96.855468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55" t="s">
        <v>100</v>
      </c>
    </row>
    <row r="2" spans="1:31" ht="32.25" thickBot="1" x14ac:dyDescent="0.3">
      <c r="C2" s="23"/>
      <c r="D2" s="34" t="s">
        <v>38</v>
      </c>
      <c r="E2" s="25"/>
      <c r="F2" s="25" t="s">
        <v>0</v>
      </c>
      <c r="G2" s="26" t="s">
        <v>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9" t="s">
        <v>1</v>
      </c>
      <c r="AB2" s="14"/>
      <c r="AC2" s="19" t="s">
        <v>14</v>
      </c>
      <c r="AD2" s="14"/>
      <c r="AE2" s="20" t="s">
        <v>15</v>
      </c>
    </row>
    <row r="3" spans="1:31" s="3" customFormat="1" ht="19.5" thickBot="1" x14ac:dyDescent="0.3">
      <c r="B3" s="36"/>
      <c r="C3" s="22" t="s">
        <v>2</v>
      </c>
      <c r="D3" s="17"/>
      <c r="E3" s="17"/>
      <c r="F3" s="27">
        <f>SUM(F4:F41)</f>
        <v>11814</v>
      </c>
      <c r="G3" s="68">
        <f>SUM(G4:G41)</f>
        <v>11610.9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SUM(AC4:AC20)</f>
        <v>11.202500000000001</v>
      </c>
      <c r="AD3" s="15"/>
      <c r="AE3" s="13" t="e">
        <f>SUM(AE4:AE20)</f>
        <v>#REF!</v>
      </c>
    </row>
    <row r="4" spans="1:31" ht="16.5" hidden="1" customHeight="1" outlineLevel="1" x14ac:dyDescent="0.25">
      <c r="A4">
        <v>18</v>
      </c>
      <c r="B4" s="35" t="s">
        <v>40</v>
      </c>
      <c r="C4" s="38" t="s">
        <v>39</v>
      </c>
      <c r="D4" s="53">
        <v>3287</v>
      </c>
      <c r="E4" s="46">
        <v>1</v>
      </c>
      <c r="F4" s="69"/>
      <c r="G4" s="49">
        <f t="shared" ref="G4" si="0">F4*E4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/>
      <c r="AB4" s="8"/>
      <c r="AC4" s="11"/>
      <c r="AD4" s="8"/>
      <c r="AE4" s="11"/>
    </row>
    <row r="5" spans="1:31" ht="16.5" customHeight="1" outlineLevel="1" x14ac:dyDescent="0.25">
      <c r="A5">
        <v>235</v>
      </c>
      <c r="B5" s="35" t="s">
        <v>23</v>
      </c>
      <c r="C5" s="37" t="s">
        <v>20</v>
      </c>
      <c r="D5" s="53">
        <v>3423</v>
      </c>
      <c r="E5" s="46">
        <v>1</v>
      </c>
      <c r="F5" s="10">
        <v>500</v>
      </c>
      <c r="G5" s="16">
        <f t="shared" ref="G5" si="1">F5*E5</f>
        <v>500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>
        <v>230</v>
      </c>
      <c r="B6" s="35" t="s">
        <v>24</v>
      </c>
      <c r="C6" s="32" t="s">
        <v>21</v>
      </c>
      <c r="D6" s="53">
        <v>3422</v>
      </c>
      <c r="E6" s="46">
        <v>1</v>
      </c>
      <c r="F6" s="10">
        <v>1500</v>
      </c>
      <c r="G6" s="16">
        <f t="shared" ref="G6:G7" si="2">F6*E6</f>
        <v>1500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A7">
        <v>219</v>
      </c>
      <c r="B7" s="35" t="s">
        <v>25</v>
      </c>
      <c r="C7" s="32" t="s">
        <v>22</v>
      </c>
      <c r="D7" s="59">
        <v>3420</v>
      </c>
      <c r="E7" s="46">
        <v>1</v>
      </c>
      <c r="F7" s="10">
        <v>1000</v>
      </c>
      <c r="G7" s="16">
        <f t="shared" si="2"/>
        <v>1000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1"/>
      <c r="AB7" s="8"/>
      <c r="AC7" s="11"/>
      <c r="AD7" s="8"/>
      <c r="AE7" s="11"/>
    </row>
    <row r="8" spans="1:31" ht="16.5" customHeight="1" outlineLevel="1" x14ac:dyDescent="0.25">
      <c r="B8" s="35" t="s">
        <v>26</v>
      </c>
      <c r="C8" s="33" t="s">
        <v>3</v>
      </c>
      <c r="D8" s="59">
        <v>2035</v>
      </c>
      <c r="E8" s="67">
        <v>1</v>
      </c>
      <c r="F8" s="28">
        <v>800</v>
      </c>
      <c r="G8" s="16">
        <f t="shared" ref="G8:G9" si="3">F8*E8</f>
        <v>800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ref="AC8:AC9" si="4">AA8*E8</f>
        <v>1</v>
      </c>
      <c r="AD8" s="8"/>
      <c r="AE8" s="11" t="e">
        <f>AA8*#REF!</f>
        <v>#REF!</v>
      </c>
    </row>
    <row r="9" spans="1:31" ht="16.5" customHeight="1" outlineLevel="1" x14ac:dyDescent="0.25">
      <c r="B9" s="35" t="s">
        <v>36</v>
      </c>
      <c r="C9" s="24" t="s">
        <v>4</v>
      </c>
      <c r="D9" s="59">
        <v>126</v>
      </c>
      <c r="E9" s="67">
        <v>1</v>
      </c>
      <c r="F9" s="28">
        <v>4000</v>
      </c>
      <c r="G9" s="16">
        <f t="shared" si="3"/>
        <v>4000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1">
        <v>1</v>
      </c>
      <c r="AB9" s="8"/>
      <c r="AC9" s="11">
        <f t="shared" si="4"/>
        <v>1</v>
      </c>
      <c r="AD9" s="8"/>
      <c r="AE9" s="11" t="e">
        <f>AA9*#REF!</f>
        <v>#REF!</v>
      </c>
    </row>
    <row r="10" spans="1:31" ht="16.5" customHeight="1" outlineLevel="1" x14ac:dyDescent="0.25">
      <c r="B10" s="35" t="s">
        <v>27</v>
      </c>
      <c r="C10" s="33" t="s">
        <v>5</v>
      </c>
      <c r="D10" s="59">
        <v>2010</v>
      </c>
      <c r="E10" s="67">
        <v>1</v>
      </c>
      <c r="F10" s="28">
        <v>300</v>
      </c>
      <c r="G10" s="16">
        <f t="shared" ref="G10:G20" si="5">F10*E10</f>
        <v>300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1</v>
      </c>
      <c r="AB10" s="8"/>
      <c r="AC10" s="11">
        <f t="shared" ref="AC10:AC15" si="6">AA10*E10</f>
        <v>1</v>
      </c>
      <c r="AD10" s="8"/>
      <c r="AE10" s="11" t="e">
        <f>AA10*#REF!</f>
        <v>#REF!</v>
      </c>
    </row>
    <row r="11" spans="1:31" ht="16.5" customHeight="1" outlineLevel="1" x14ac:dyDescent="0.25">
      <c r="B11" s="35" t="s">
        <v>28</v>
      </c>
      <c r="C11" s="33" t="s">
        <v>6</v>
      </c>
      <c r="D11" s="53">
        <v>2150</v>
      </c>
      <c r="E11" s="67">
        <v>1</v>
      </c>
      <c r="F11" s="28">
        <v>250</v>
      </c>
      <c r="G11" s="16">
        <f t="shared" si="5"/>
        <v>250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1</v>
      </c>
      <c r="AB11" s="8"/>
      <c r="AC11" s="11">
        <f t="shared" si="6"/>
        <v>1</v>
      </c>
      <c r="AD11" s="8"/>
      <c r="AE11" s="11" t="e">
        <f>AA11*#REF!</f>
        <v>#REF!</v>
      </c>
    </row>
    <row r="12" spans="1:31" ht="16.5" customHeight="1" outlineLevel="1" x14ac:dyDescent="0.25">
      <c r="B12" s="35" t="s">
        <v>29</v>
      </c>
      <c r="C12" s="33" t="s">
        <v>7</v>
      </c>
      <c r="D12" s="53">
        <v>2158</v>
      </c>
      <c r="E12" s="67">
        <v>1</v>
      </c>
      <c r="F12" s="28">
        <v>250</v>
      </c>
      <c r="G12" s="16">
        <f t="shared" si="5"/>
        <v>250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1</v>
      </c>
      <c r="AB12" s="8"/>
      <c r="AC12" s="11">
        <f t="shared" si="6"/>
        <v>1</v>
      </c>
      <c r="AD12" s="8"/>
      <c r="AE12" s="11" t="e">
        <f>AA12*#REF!</f>
        <v>#REF!</v>
      </c>
    </row>
    <row r="13" spans="1:31" ht="16.5" customHeight="1" outlineLevel="1" x14ac:dyDescent="0.25">
      <c r="B13" s="35" t="s">
        <v>30</v>
      </c>
      <c r="C13" s="33" t="s">
        <v>8</v>
      </c>
      <c r="D13" s="53">
        <v>2151</v>
      </c>
      <c r="E13" s="67">
        <v>1</v>
      </c>
      <c r="F13" s="28">
        <v>300</v>
      </c>
      <c r="G13" s="16">
        <f t="shared" si="5"/>
        <v>300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6"/>
        <v>1</v>
      </c>
      <c r="AD13" s="8"/>
      <c r="AE13" s="11" t="e">
        <f>AA13*#REF!</f>
        <v>#REF!</v>
      </c>
    </row>
    <row r="14" spans="1:31" ht="16.5" customHeight="1" outlineLevel="1" x14ac:dyDescent="0.25">
      <c r="B14" s="35" t="s">
        <v>31</v>
      </c>
      <c r="C14" s="24" t="s">
        <v>9</v>
      </c>
      <c r="D14" s="53">
        <v>1051</v>
      </c>
      <c r="E14" s="67">
        <v>1</v>
      </c>
      <c r="F14" s="28">
        <v>150</v>
      </c>
      <c r="G14" s="16">
        <f t="shared" si="5"/>
        <v>150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si="6"/>
        <v>1</v>
      </c>
      <c r="AD14" s="8"/>
      <c r="AE14" s="11" t="e">
        <f>AA14*#REF!</f>
        <v>#REF!</v>
      </c>
    </row>
    <row r="15" spans="1:31" ht="16.5" customHeight="1" outlineLevel="1" x14ac:dyDescent="0.25">
      <c r="B15" s="35" t="s">
        <v>32</v>
      </c>
      <c r="C15" s="24" t="s">
        <v>10</v>
      </c>
      <c r="D15" s="53">
        <v>2287</v>
      </c>
      <c r="E15" s="67">
        <v>1</v>
      </c>
      <c r="F15" s="28">
        <v>250</v>
      </c>
      <c r="G15" s="16">
        <f t="shared" si="5"/>
        <v>250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si="6"/>
        <v>1</v>
      </c>
      <c r="AD15" s="8"/>
      <c r="AE15" s="11" t="e">
        <f>AA15*#REF!</f>
        <v>#REF!</v>
      </c>
    </row>
    <row r="16" spans="1:31" ht="16.5" hidden="1" customHeight="1" outlineLevel="1" x14ac:dyDescent="0.25">
      <c r="B16" s="35" t="s">
        <v>33</v>
      </c>
      <c r="C16" s="24" t="s">
        <v>11</v>
      </c>
      <c r="D16" s="53">
        <v>2360</v>
      </c>
      <c r="E16" s="67">
        <v>1</v>
      </c>
      <c r="F16" s="28"/>
      <c r="G16" s="16">
        <f t="shared" si="5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>
        <v>1</v>
      </c>
      <c r="AB16" s="8"/>
      <c r="AC16" s="11">
        <f t="shared" ref="AC16:AC19" si="7">AA16*E16</f>
        <v>1</v>
      </c>
      <c r="AD16" s="8"/>
      <c r="AE16" s="11" t="e">
        <f>AA16*#REF!</f>
        <v>#REF!</v>
      </c>
    </row>
    <row r="17" spans="2:31" ht="16.5" customHeight="1" outlineLevel="1" x14ac:dyDescent="0.25">
      <c r="B17" s="35" t="s">
        <v>34</v>
      </c>
      <c r="C17" s="33" t="s">
        <v>16</v>
      </c>
      <c r="D17" s="59">
        <v>2828</v>
      </c>
      <c r="E17" s="67">
        <v>1</v>
      </c>
      <c r="F17" s="28">
        <v>200</v>
      </c>
      <c r="G17" s="16">
        <f t="shared" si="5"/>
        <v>200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1</v>
      </c>
      <c r="AB17" s="8"/>
      <c r="AC17" s="11">
        <f t="shared" si="7"/>
        <v>1</v>
      </c>
      <c r="AD17" s="8"/>
      <c r="AE17" s="11" t="e">
        <f>AA17*#REF!</f>
        <v>#REF!</v>
      </c>
    </row>
    <row r="18" spans="2:31" ht="16.5" hidden="1" customHeight="1" outlineLevel="1" x14ac:dyDescent="0.25">
      <c r="B18" s="35" t="s">
        <v>94</v>
      </c>
      <c r="C18" s="24" t="s">
        <v>93</v>
      </c>
      <c r="D18" s="61">
        <v>2612</v>
      </c>
      <c r="E18" s="28">
        <v>1</v>
      </c>
      <c r="F18" s="28"/>
      <c r="G18" s="16">
        <f t="shared" si="5"/>
        <v>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/>
      <c r="AB18" s="8"/>
      <c r="AC18" s="11"/>
      <c r="AD18" s="8"/>
      <c r="AE18" s="11"/>
    </row>
    <row r="19" spans="2:31" ht="16.5" hidden="1" customHeight="1" outlineLevel="1" x14ac:dyDescent="0.25">
      <c r="B19" s="35" t="s">
        <v>37</v>
      </c>
      <c r="C19" s="33" t="s">
        <v>18</v>
      </c>
      <c r="D19" s="59">
        <v>2815</v>
      </c>
      <c r="E19" s="67">
        <v>0.45</v>
      </c>
      <c r="F19" s="28"/>
      <c r="G19" s="16">
        <f t="shared" si="5"/>
        <v>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1">
        <v>0.45</v>
      </c>
      <c r="AB19" s="8"/>
      <c r="AC19" s="11">
        <f t="shared" si="7"/>
        <v>0.20250000000000001</v>
      </c>
      <c r="AD19" s="8"/>
      <c r="AE19" s="11" t="e">
        <f>AA19*#REF!</f>
        <v>#REF!</v>
      </c>
    </row>
    <row r="20" spans="2:31" ht="16.5" customHeight="1" outlineLevel="1" x14ac:dyDescent="0.25">
      <c r="B20" s="35" t="s">
        <v>35</v>
      </c>
      <c r="C20" s="33" t="s">
        <v>17</v>
      </c>
      <c r="D20" s="53">
        <v>2829</v>
      </c>
      <c r="E20" s="67">
        <v>1</v>
      </c>
      <c r="F20" s="28">
        <v>150</v>
      </c>
      <c r="G20" s="16">
        <f t="shared" si="5"/>
        <v>150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1">
        <v>1</v>
      </c>
      <c r="AB20" s="8"/>
      <c r="AC20" s="11">
        <f t="shared" ref="AC20" si="8">AA20*E20</f>
        <v>1</v>
      </c>
      <c r="AD20" s="8"/>
      <c r="AE20" s="11" t="e">
        <f>AA20*#REF!</f>
        <v>#REF!</v>
      </c>
    </row>
    <row r="21" spans="2:31" ht="16.5" customHeight="1" outlineLevel="1" x14ac:dyDescent="0.25">
      <c r="B21" s="35" t="s">
        <v>50</v>
      </c>
      <c r="C21" s="24" t="s">
        <v>51</v>
      </c>
      <c r="D21" s="63">
        <v>2182</v>
      </c>
      <c r="E21" s="65">
        <v>1</v>
      </c>
      <c r="F21" s="28">
        <v>30</v>
      </c>
      <c r="G21" s="16">
        <f t="shared" ref="G21:G41" si="9">F21*E21</f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60"/>
      <c r="AB21" s="8"/>
      <c r="AC21" s="11"/>
      <c r="AD21" s="8"/>
      <c r="AE21" s="11"/>
    </row>
    <row r="22" spans="2:31" ht="16.5" customHeight="1" outlineLevel="1" x14ac:dyDescent="0.25">
      <c r="B22" s="35" t="s">
        <v>52</v>
      </c>
      <c r="C22" s="62" t="s">
        <v>53</v>
      </c>
      <c r="D22" s="64">
        <v>2830</v>
      </c>
      <c r="E22" s="65">
        <v>1</v>
      </c>
      <c r="F22" s="28">
        <v>250</v>
      </c>
      <c r="G22" s="16">
        <f t="shared" si="9"/>
        <v>250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60"/>
      <c r="AB22" s="8"/>
      <c r="AC22" s="11"/>
      <c r="AD22" s="8"/>
      <c r="AE22" s="11"/>
    </row>
    <row r="23" spans="2:31" ht="16.5" hidden="1" customHeight="1" outlineLevel="1" x14ac:dyDescent="0.25">
      <c r="B23" s="35" t="s">
        <v>54</v>
      </c>
      <c r="C23" s="24" t="s">
        <v>55</v>
      </c>
      <c r="D23" s="63">
        <v>2756</v>
      </c>
      <c r="E23" s="65">
        <v>1</v>
      </c>
      <c r="F23" s="28"/>
      <c r="G23" s="16">
        <f t="shared" si="9"/>
        <v>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60"/>
      <c r="AB23" s="8"/>
      <c r="AC23" s="11"/>
      <c r="AD23" s="8"/>
      <c r="AE23" s="11"/>
    </row>
    <row r="24" spans="2:31" ht="16.5" customHeight="1" outlineLevel="1" x14ac:dyDescent="0.25">
      <c r="B24" s="35" t="s">
        <v>56</v>
      </c>
      <c r="C24" s="24" t="s">
        <v>57</v>
      </c>
      <c r="D24" s="63">
        <v>2614</v>
      </c>
      <c r="E24" s="65">
        <v>1</v>
      </c>
      <c r="F24" s="28">
        <v>100</v>
      </c>
      <c r="G24" s="16">
        <f t="shared" si="9"/>
        <v>100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60"/>
      <c r="AB24" s="8"/>
      <c r="AC24" s="11"/>
      <c r="AD24" s="8"/>
      <c r="AE24" s="11"/>
    </row>
    <row r="25" spans="2:31" ht="16.5" customHeight="1" outlineLevel="1" x14ac:dyDescent="0.25">
      <c r="B25" s="35" t="s">
        <v>58</v>
      </c>
      <c r="C25" s="24" t="s">
        <v>59</v>
      </c>
      <c r="D25" s="63">
        <v>2613</v>
      </c>
      <c r="E25" s="65">
        <v>1</v>
      </c>
      <c r="F25" s="28">
        <v>250</v>
      </c>
      <c r="G25" s="16">
        <f t="shared" si="9"/>
        <v>250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60"/>
      <c r="AB25" s="8"/>
      <c r="AC25" s="11"/>
      <c r="AD25" s="8"/>
      <c r="AE25" s="11"/>
    </row>
    <row r="26" spans="2:31" ht="16.5" hidden="1" customHeight="1" outlineLevel="1" x14ac:dyDescent="0.25">
      <c r="B26" s="35" t="s">
        <v>60</v>
      </c>
      <c r="C26" s="32" t="s">
        <v>61</v>
      </c>
      <c r="D26" s="63">
        <v>2615</v>
      </c>
      <c r="E26" s="66">
        <v>1</v>
      </c>
      <c r="F26" s="28"/>
      <c r="G26" s="16">
        <f t="shared" si="9"/>
        <v>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60"/>
      <c r="AB26" s="8"/>
      <c r="AC26" s="11"/>
      <c r="AD26" s="8"/>
      <c r="AE26" s="11"/>
    </row>
    <row r="27" spans="2:31" ht="16.5" customHeight="1" outlineLevel="1" x14ac:dyDescent="0.25">
      <c r="B27" s="35" t="s">
        <v>62</v>
      </c>
      <c r="C27" s="62" t="s">
        <v>63</v>
      </c>
      <c r="D27" s="63">
        <v>1820</v>
      </c>
      <c r="E27" s="65">
        <v>1</v>
      </c>
      <c r="F27" s="28">
        <v>150</v>
      </c>
      <c r="G27" s="16">
        <f t="shared" si="9"/>
        <v>150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60"/>
      <c r="AB27" s="8"/>
      <c r="AC27" s="11"/>
      <c r="AD27" s="8"/>
      <c r="AE27" s="11"/>
    </row>
    <row r="28" spans="2:31" ht="16.5" customHeight="1" outlineLevel="1" x14ac:dyDescent="0.25">
      <c r="B28" s="35" t="s">
        <v>64</v>
      </c>
      <c r="C28" s="62" t="s">
        <v>65</v>
      </c>
      <c r="D28" s="61">
        <v>2805</v>
      </c>
      <c r="E28" s="67">
        <v>1</v>
      </c>
      <c r="F28" s="28">
        <v>50</v>
      </c>
      <c r="G28" s="16">
        <f t="shared" si="9"/>
        <v>50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60"/>
      <c r="AB28" s="8"/>
      <c r="AC28" s="11"/>
      <c r="AD28" s="8"/>
      <c r="AE28" s="11"/>
    </row>
    <row r="29" spans="2:31" ht="16.5" customHeight="1" outlineLevel="1" x14ac:dyDescent="0.25">
      <c r="B29" s="35" t="s">
        <v>66</v>
      </c>
      <c r="C29" s="24" t="s">
        <v>67</v>
      </c>
      <c r="D29" s="61" t="s">
        <v>68</v>
      </c>
      <c r="E29" s="67">
        <v>1</v>
      </c>
      <c r="F29" s="28">
        <v>80</v>
      </c>
      <c r="G29" s="16">
        <f t="shared" si="9"/>
        <v>80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60"/>
      <c r="AB29" s="8"/>
      <c r="AC29" s="11"/>
      <c r="AD29" s="8"/>
      <c r="AE29" s="11"/>
    </row>
    <row r="30" spans="2:31" ht="16.5" customHeight="1" outlineLevel="1" x14ac:dyDescent="0.25">
      <c r="B30" s="35" t="s">
        <v>69</v>
      </c>
      <c r="C30" s="24" t="s">
        <v>70</v>
      </c>
      <c r="D30" s="61">
        <v>2604</v>
      </c>
      <c r="E30" s="67">
        <v>0.35</v>
      </c>
      <c r="F30" s="28">
        <v>60</v>
      </c>
      <c r="G30" s="16">
        <f t="shared" si="9"/>
        <v>21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60"/>
      <c r="AB30" s="8"/>
      <c r="AC30" s="11"/>
      <c r="AD30" s="8"/>
      <c r="AE30" s="11"/>
    </row>
    <row r="31" spans="2:31" ht="16.5" hidden="1" customHeight="1" outlineLevel="1" x14ac:dyDescent="0.25">
      <c r="B31" s="35" t="s">
        <v>71</v>
      </c>
      <c r="C31" s="24" t="s">
        <v>72</v>
      </c>
      <c r="D31" s="61">
        <v>2603</v>
      </c>
      <c r="E31" s="67">
        <v>0.35</v>
      </c>
      <c r="F31" s="28"/>
      <c r="G31" s="16">
        <f t="shared" si="9"/>
        <v>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60"/>
      <c r="AB31" s="8"/>
      <c r="AC31" s="11"/>
      <c r="AD31" s="8"/>
      <c r="AE31" s="11"/>
    </row>
    <row r="32" spans="2:31" ht="16.5" customHeight="1" outlineLevel="1" x14ac:dyDescent="0.25">
      <c r="B32" s="35" t="s">
        <v>73</v>
      </c>
      <c r="C32" s="24" t="s">
        <v>74</v>
      </c>
      <c r="D32" s="61">
        <v>2602</v>
      </c>
      <c r="E32" s="67">
        <v>0.35</v>
      </c>
      <c r="F32" s="28">
        <v>24</v>
      </c>
      <c r="G32" s="16">
        <f t="shared" si="9"/>
        <v>8.3999999999999986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60"/>
      <c r="AB32" s="8"/>
      <c r="AC32" s="11"/>
      <c r="AD32" s="8"/>
      <c r="AE32" s="11"/>
    </row>
    <row r="33" spans="2:31" ht="16.5" customHeight="1" outlineLevel="1" x14ac:dyDescent="0.25">
      <c r="B33" s="35" t="s">
        <v>75</v>
      </c>
      <c r="C33" s="24" t="s">
        <v>76</v>
      </c>
      <c r="D33" s="61">
        <v>1523</v>
      </c>
      <c r="E33" s="67">
        <v>1</v>
      </c>
      <c r="F33" s="28">
        <v>150</v>
      </c>
      <c r="G33" s="16">
        <f t="shared" si="9"/>
        <v>150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60"/>
      <c r="AB33" s="8"/>
      <c r="AC33" s="11"/>
      <c r="AD33" s="8"/>
      <c r="AE33" s="11"/>
    </row>
    <row r="34" spans="2:31" ht="16.5" customHeight="1" outlineLevel="1" x14ac:dyDescent="0.25">
      <c r="B34" s="35" t="s">
        <v>77</v>
      </c>
      <c r="C34" s="24" t="s">
        <v>78</v>
      </c>
      <c r="D34" s="61">
        <v>1718</v>
      </c>
      <c r="E34" s="67">
        <v>0.45</v>
      </c>
      <c r="F34" s="28">
        <v>120</v>
      </c>
      <c r="G34" s="16">
        <f t="shared" si="9"/>
        <v>54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60"/>
      <c r="AB34" s="8"/>
      <c r="AC34" s="11"/>
      <c r="AD34" s="8"/>
      <c r="AE34" s="11"/>
    </row>
    <row r="35" spans="2:31" ht="16.5" customHeight="1" outlineLevel="1" x14ac:dyDescent="0.25">
      <c r="B35" s="35" t="s">
        <v>79</v>
      </c>
      <c r="C35" s="62" t="s">
        <v>80</v>
      </c>
      <c r="D35" s="61">
        <v>246</v>
      </c>
      <c r="E35" s="67">
        <v>1</v>
      </c>
      <c r="F35" s="28">
        <v>250</v>
      </c>
      <c r="G35" s="16">
        <f t="shared" si="9"/>
        <v>250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60"/>
      <c r="AB35" s="8"/>
      <c r="AC35" s="11"/>
      <c r="AD35" s="8"/>
      <c r="AE35" s="11"/>
    </row>
    <row r="36" spans="2:31" ht="16.5" customHeight="1" outlineLevel="1" x14ac:dyDescent="0.25">
      <c r="B36" s="35" t="s">
        <v>81</v>
      </c>
      <c r="C36" s="24" t="s">
        <v>82</v>
      </c>
      <c r="D36" s="61">
        <v>1720</v>
      </c>
      <c r="E36" s="67">
        <v>0.45</v>
      </c>
      <c r="F36" s="28">
        <v>150</v>
      </c>
      <c r="G36" s="16">
        <f t="shared" si="9"/>
        <v>67.5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60"/>
      <c r="AB36" s="8"/>
      <c r="AC36" s="11"/>
      <c r="AD36" s="8"/>
      <c r="AE36" s="11"/>
    </row>
    <row r="37" spans="2:31" ht="16.5" hidden="1" customHeight="1" outlineLevel="1" x14ac:dyDescent="0.25">
      <c r="B37" s="35" t="s">
        <v>83</v>
      </c>
      <c r="C37" s="24" t="s">
        <v>84</v>
      </c>
      <c r="D37" s="61">
        <v>2618</v>
      </c>
      <c r="E37" s="67">
        <v>0.4</v>
      </c>
      <c r="F37" s="28"/>
      <c r="G37" s="16">
        <f t="shared" si="9"/>
        <v>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60"/>
      <c r="AB37" s="8"/>
      <c r="AC37" s="11"/>
      <c r="AD37" s="8"/>
      <c r="AE37" s="11"/>
    </row>
    <row r="38" spans="2:31" ht="16.5" hidden="1" customHeight="1" outlineLevel="1" x14ac:dyDescent="0.25">
      <c r="B38" s="35" t="s">
        <v>85</v>
      </c>
      <c r="C38" s="24" t="s">
        <v>86</v>
      </c>
      <c r="D38" s="61">
        <v>2074</v>
      </c>
      <c r="E38" s="67">
        <v>1</v>
      </c>
      <c r="F38" s="28"/>
      <c r="G38" s="16">
        <f t="shared" si="9"/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60"/>
      <c r="AB38" s="8"/>
      <c r="AC38" s="11"/>
      <c r="AD38" s="8"/>
      <c r="AE38" s="11"/>
    </row>
    <row r="39" spans="2:31" ht="16.5" customHeight="1" outlineLevel="1" x14ac:dyDescent="0.25">
      <c r="B39" s="35" t="s">
        <v>88</v>
      </c>
      <c r="C39" s="61" t="s">
        <v>87</v>
      </c>
      <c r="D39" s="61">
        <v>2928</v>
      </c>
      <c r="E39" s="46">
        <v>1</v>
      </c>
      <c r="F39" s="28">
        <v>250</v>
      </c>
      <c r="G39" s="16">
        <f t="shared" si="9"/>
        <v>250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60"/>
      <c r="AB39" s="8"/>
      <c r="AC39" s="11"/>
      <c r="AD39" s="8"/>
      <c r="AE39" s="11"/>
    </row>
    <row r="40" spans="2:31" ht="16.5" customHeight="1" outlineLevel="1" x14ac:dyDescent="0.25">
      <c r="B40" s="35" t="s">
        <v>89</v>
      </c>
      <c r="C40" s="24" t="s">
        <v>90</v>
      </c>
      <c r="D40" s="61">
        <v>722</v>
      </c>
      <c r="E40" s="67">
        <v>1</v>
      </c>
      <c r="F40" s="28">
        <v>250</v>
      </c>
      <c r="G40" s="16">
        <f t="shared" si="9"/>
        <v>250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60"/>
      <c r="AB40" s="8"/>
      <c r="AC40" s="11"/>
      <c r="AD40" s="8"/>
      <c r="AE40" s="11"/>
    </row>
    <row r="41" spans="2:31" ht="16.5" hidden="1" customHeight="1" outlineLevel="1" thickBot="1" x14ac:dyDescent="0.3">
      <c r="B41" s="35" t="s">
        <v>91</v>
      </c>
      <c r="C41" s="62" t="s">
        <v>92</v>
      </c>
      <c r="D41" s="61">
        <v>227</v>
      </c>
      <c r="E41" s="67">
        <v>1</v>
      </c>
      <c r="F41" s="70"/>
      <c r="G41" s="71">
        <f t="shared" si="9"/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60"/>
      <c r="AB41" s="8"/>
      <c r="AC41" s="11"/>
      <c r="AD41" s="8"/>
      <c r="AE41" s="11"/>
    </row>
    <row r="42" spans="2:31" s="3" customFormat="1" ht="19.5" hidden="1" collapsed="1" thickBot="1" x14ac:dyDescent="0.3">
      <c r="B42" s="35"/>
      <c r="C42" s="22" t="s">
        <v>13</v>
      </c>
      <c r="D42" s="17"/>
      <c r="E42" s="27"/>
      <c r="F42" s="17">
        <f>SUM(F43:F43)</f>
        <v>100</v>
      </c>
      <c r="G42" s="30">
        <f>SUM(G43:G43)</f>
        <v>100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6"/>
      <c r="AA42" s="12"/>
      <c r="AB42" s="15"/>
      <c r="AC42" s="13">
        <f>SUM(AC43:AC43)</f>
        <v>1</v>
      </c>
      <c r="AD42" s="15"/>
      <c r="AE42" s="13" t="e">
        <f>SUM(AE43:AE43)</f>
        <v>#REF!</v>
      </c>
    </row>
    <row r="43" spans="2:31" ht="16.5" hidden="1" customHeight="1" outlineLevel="1" thickBot="1" x14ac:dyDescent="0.3">
      <c r="C43" s="24" t="s">
        <v>12</v>
      </c>
      <c r="D43" s="54"/>
      <c r="E43" s="29">
        <v>1</v>
      </c>
      <c r="F43" s="31">
        <v>100</v>
      </c>
      <c r="G43" s="16">
        <f t="shared" ref="G43" si="10">F43*E43</f>
        <v>100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1">
        <v>1</v>
      </c>
      <c r="AB43" s="8"/>
      <c r="AC43" s="11">
        <f t="shared" ref="AC43" si="11">AA43*E43</f>
        <v>1</v>
      </c>
      <c r="AD43" s="8"/>
      <c r="AE43" s="11" t="e">
        <f>AA43*#REF!</f>
        <v>#REF!</v>
      </c>
    </row>
    <row r="44" spans="2:31" s="3" customFormat="1" ht="19.5" hidden="1" collapsed="1" thickBot="1" x14ac:dyDescent="0.3">
      <c r="B44" s="36"/>
      <c r="C44" s="56" t="s">
        <v>48</v>
      </c>
      <c r="D44" s="17"/>
      <c r="E44" s="17"/>
      <c r="F44" s="17">
        <f>F45</f>
        <v>50</v>
      </c>
      <c r="G44" s="21">
        <f>G45</f>
        <v>50</v>
      </c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2"/>
      <c r="Y44" s="52"/>
      <c r="Z44" s="51"/>
      <c r="AA44" s="51"/>
      <c r="AB44" s="51"/>
      <c r="AC44" s="51"/>
      <c r="AD44" s="51"/>
      <c r="AE44" s="51"/>
    </row>
    <row r="45" spans="2:31" ht="16.5" hidden="1" customHeight="1" outlineLevel="1" thickBot="1" x14ac:dyDescent="0.3">
      <c r="C45" s="57" t="s">
        <v>49</v>
      </c>
      <c r="D45" s="58">
        <v>8487</v>
      </c>
      <c r="E45" s="48">
        <v>1</v>
      </c>
      <c r="F45" s="45">
        <v>50</v>
      </c>
      <c r="G45" s="49">
        <f>F45*E45</f>
        <v>50</v>
      </c>
    </row>
    <row r="46" spans="2:31" s="3" customFormat="1" ht="19.5" hidden="1" collapsed="1" thickBot="1" x14ac:dyDescent="0.3">
      <c r="B46" s="36"/>
      <c r="C46" s="27" t="s">
        <v>41</v>
      </c>
      <c r="D46" s="27"/>
      <c r="E46" s="27"/>
      <c r="F46" s="27">
        <f>SUM(F47:F57)</f>
        <v>812</v>
      </c>
      <c r="G46" s="68">
        <f>SUM(G47:G57)</f>
        <v>195.2</v>
      </c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2"/>
      <c r="Y46" s="52"/>
      <c r="Z46" s="51"/>
      <c r="AA46" s="51"/>
      <c r="AB46" s="51"/>
      <c r="AC46" s="51"/>
      <c r="AD46" s="51"/>
      <c r="AE46" s="51"/>
    </row>
    <row r="47" spans="2:31" ht="16.5" hidden="1" customHeight="1" outlineLevel="1" x14ac:dyDescent="0.25">
      <c r="C47" s="40" t="s">
        <v>42</v>
      </c>
      <c r="D47" s="77"/>
      <c r="E47" s="73">
        <v>0.25</v>
      </c>
      <c r="F47" s="78">
        <v>96</v>
      </c>
      <c r="G47" s="49">
        <f>F47*E47</f>
        <v>24</v>
      </c>
    </row>
    <row r="48" spans="2:31" ht="16.5" hidden="1" customHeight="1" outlineLevel="1" x14ac:dyDescent="0.25">
      <c r="C48" s="41" t="s">
        <v>47</v>
      </c>
      <c r="D48" s="72"/>
      <c r="E48" s="74">
        <v>0.25</v>
      </c>
      <c r="F48" s="76"/>
      <c r="G48" s="16">
        <f>F48*E48</f>
        <v>0</v>
      </c>
    </row>
    <row r="49" spans="3:31" ht="16.5" hidden="1" customHeight="1" outlineLevel="1" x14ac:dyDescent="0.25">
      <c r="C49" s="41" t="s">
        <v>95</v>
      </c>
      <c r="D49" s="72"/>
      <c r="E49" s="74">
        <v>0.3</v>
      </c>
      <c r="F49" s="76">
        <v>60</v>
      </c>
      <c r="G49" s="16"/>
    </row>
    <row r="50" spans="3:31" ht="16.5" hidden="1" customHeight="1" outlineLevel="1" x14ac:dyDescent="0.25">
      <c r="C50" s="41" t="s">
        <v>43</v>
      </c>
      <c r="D50" s="72"/>
      <c r="E50" s="74">
        <v>0.3</v>
      </c>
      <c r="F50" s="76">
        <v>120</v>
      </c>
      <c r="G50" s="16">
        <f t="shared" ref="G50:G57" si="12">F50*E50</f>
        <v>36</v>
      </c>
    </row>
    <row r="51" spans="3:31" ht="18.75" hidden="1" customHeight="1" outlineLevel="1" x14ac:dyDescent="0.25">
      <c r="C51" s="41" t="s">
        <v>44</v>
      </c>
      <c r="D51" s="72"/>
      <c r="E51" s="74">
        <v>0.25</v>
      </c>
      <c r="F51" s="76">
        <v>192</v>
      </c>
      <c r="G51" s="16">
        <f t="shared" si="12"/>
        <v>48</v>
      </c>
    </row>
    <row r="52" spans="3:31" ht="18.75" hidden="1" customHeight="1" outlineLevel="1" x14ac:dyDescent="0.25">
      <c r="C52" s="41" t="s">
        <v>96</v>
      </c>
      <c r="D52" s="72"/>
      <c r="E52" s="74">
        <v>0.3</v>
      </c>
      <c r="F52" s="76">
        <v>24</v>
      </c>
      <c r="G52" s="16">
        <f t="shared" si="12"/>
        <v>7.1999999999999993</v>
      </c>
    </row>
    <row r="53" spans="3:31" ht="18.75" hidden="1" customHeight="1" outlineLevel="1" x14ac:dyDescent="0.25">
      <c r="C53" s="41" t="s">
        <v>97</v>
      </c>
      <c r="D53" s="72"/>
      <c r="E53" s="74">
        <v>0.24</v>
      </c>
      <c r="F53" s="76"/>
      <c r="G53" s="16">
        <f t="shared" si="12"/>
        <v>0</v>
      </c>
    </row>
    <row r="54" spans="3:31" ht="16.5" hidden="1" customHeight="1" outlineLevel="1" x14ac:dyDescent="0.25">
      <c r="C54" s="41" t="s">
        <v>45</v>
      </c>
      <c r="D54" s="72"/>
      <c r="E54" s="74">
        <v>0.25</v>
      </c>
      <c r="F54" s="76">
        <v>160</v>
      </c>
      <c r="G54" s="16">
        <f t="shared" si="12"/>
        <v>40</v>
      </c>
    </row>
    <row r="55" spans="3:31" ht="16.5" hidden="1" customHeight="1" outlineLevel="1" thickBot="1" x14ac:dyDescent="0.3">
      <c r="C55" s="41" t="s">
        <v>46</v>
      </c>
      <c r="D55" s="72"/>
      <c r="E55" s="74">
        <v>0.25</v>
      </c>
      <c r="F55" s="76">
        <v>160</v>
      </c>
      <c r="G55" s="16">
        <f t="shared" si="12"/>
        <v>40</v>
      </c>
    </row>
    <row r="56" spans="3:31" ht="16.5" hidden="1" customHeight="1" outlineLevel="1" x14ac:dyDescent="0.3">
      <c r="C56" s="41" t="s">
        <v>98</v>
      </c>
      <c r="D56" s="72"/>
      <c r="E56" s="74">
        <v>0.25</v>
      </c>
      <c r="F56" s="76"/>
      <c r="G56" s="16">
        <f t="shared" si="12"/>
        <v>0</v>
      </c>
    </row>
    <row r="57" spans="3:31" ht="16.5" hidden="1" customHeight="1" outlineLevel="1" thickBot="1" x14ac:dyDescent="0.3">
      <c r="C57" s="42" t="s">
        <v>99</v>
      </c>
      <c r="D57" s="79"/>
      <c r="E57" s="75">
        <v>0.36</v>
      </c>
      <c r="F57" s="80"/>
      <c r="G57" s="50">
        <f t="shared" si="12"/>
        <v>0</v>
      </c>
    </row>
    <row r="58" spans="3:31" ht="19.5" hidden="1" thickBot="1" x14ac:dyDescent="0.3">
      <c r="C58" s="47"/>
      <c r="D58" s="39"/>
      <c r="E58" s="43"/>
      <c r="F58" s="44">
        <f>F46+F44+F42+F3</f>
        <v>12776</v>
      </c>
      <c r="G58" s="43">
        <f>G46+G44+G42+G3</f>
        <v>11956.1</v>
      </c>
      <c r="AA58" s="18"/>
      <c r="AB58" s="18"/>
      <c r="AC58" s="18"/>
      <c r="AD58" s="18"/>
      <c r="AE58" s="18"/>
    </row>
  </sheetData>
  <autoFilter ref="F1:F58" xr:uid="{05A72B2F-AC1E-43F7-99D7-21DBC4F4519D}">
    <filterColumn colId="0">
      <customFilters>
        <customFilter operator="notEqual" val=" "/>
      </customFilters>
    </filterColumn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2025-12-09T08:51:40Z</dcterms:modified>
</cp:coreProperties>
</file>