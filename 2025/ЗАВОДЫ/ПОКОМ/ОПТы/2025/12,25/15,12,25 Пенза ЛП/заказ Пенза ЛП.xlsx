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B1E6D19-4DB3-4796-985A-EE91261922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Y330" i="1" s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Q502" i="1" s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Y280" i="1" s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Y183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7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H502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2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Y113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2" i="1" s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N68" i="1"/>
  <c r="BM68" i="1"/>
  <c r="Z68" i="1"/>
  <c r="Y68" i="1"/>
  <c r="BP68" i="1" s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X496" i="1" s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Z77" i="1" l="1"/>
  <c r="Z58" i="1"/>
  <c r="H9" i="1"/>
  <c r="A10" i="1"/>
  <c r="Y24" i="1"/>
  <c r="Y32" i="1"/>
  <c r="Y44" i="1"/>
  <c r="Y59" i="1"/>
  <c r="Y65" i="1"/>
  <c r="Y70" i="1"/>
  <c r="BP74" i="1"/>
  <c r="BN74" i="1"/>
  <c r="Z74" i="1"/>
  <c r="Z90" i="1"/>
  <c r="BP88" i="1"/>
  <c r="BN88" i="1"/>
  <c r="Z88" i="1"/>
  <c r="BP96" i="1"/>
  <c r="BN96" i="1"/>
  <c r="Z96" i="1"/>
  <c r="Y98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2" i="1"/>
  <c r="Z42" i="1"/>
  <c r="Z44" i="1" s="1"/>
  <c r="BN42" i="1"/>
  <c r="Y45" i="1"/>
  <c r="D502" i="1"/>
  <c r="Z53" i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70" i="1" s="1"/>
  <c r="BN67" i="1"/>
  <c r="BP67" i="1"/>
  <c r="Y77" i="1"/>
  <c r="BP76" i="1"/>
  <c r="BN76" i="1"/>
  <c r="Z76" i="1"/>
  <c r="Y78" i="1"/>
  <c r="Y83" i="1"/>
  <c r="BP80" i="1"/>
  <c r="BN80" i="1"/>
  <c r="Z80" i="1"/>
  <c r="Z82" i="1" s="1"/>
  <c r="Y90" i="1"/>
  <c r="BP94" i="1"/>
  <c r="BN94" i="1"/>
  <c r="Z94" i="1"/>
  <c r="Z97" i="1" s="1"/>
  <c r="Z146" i="1"/>
  <c r="E502" i="1"/>
  <c r="Y91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Z145" i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BP166" i="1"/>
  <c r="Z168" i="1"/>
  <c r="Z177" i="1" s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BP181" i="1"/>
  <c r="J502" i="1"/>
  <c r="Z192" i="1"/>
  <c r="Z193" i="1" s="1"/>
  <c r="BN192" i="1"/>
  <c r="BP192" i="1"/>
  <c r="Y193" i="1"/>
  <c r="Z196" i="1"/>
  <c r="Z198" i="1" s="1"/>
  <c r="BN196" i="1"/>
  <c r="BP196" i="1"/>
  <c r="Y199" i="1"/>
  <c r="Y209" i="1"/>
  <c r="Z202" i="1"/>
  <c r="Z209" i="1" s="1"/>
  <c r="BN202" i="1"/>
  <c r="BP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Y300" i="1"/>
  <c r="BP304" i="1"/>
  <c r="BN304" i="1"/>
  <c r="Z304" i="1"/>
  <c r="BP308" i="1"/>
  <c r="BN308" i="1"/>
  <c r="Z308" i="1"/>
  <c r="Z309" i="1" s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Y354" i="1"/>
  <c r="BP352" i="1"/>
  <c r="BN352" i="1"/>
  <c r="Z352" i="1"/>
  <c r="Z359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Z471" i="1"/>
  <c r="Y106" i="1"/>
  <c r="Y130" i="1"/>
  <c r="Y163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Z264" i="1" s="1"/>
  <c r="BP271" i="1"/>
  <c r="BN271" i="1"/>
  <c r="Z271" i="1"/>
  <c r="Y273" i="1"/>
  <c r="O502" i="1"/>
  <c r="Y279" i="1"/>
  <c r="BP276" i="1"/>
  <c r="BN276" i="1"/>
  <c r="Z276" i="1"/>
  <c r="BP289" i="1"/>
  <c r="BN289" i="1"/>
  <c r="Z289" i="1"/>
  <c r="Z290" i="1" s="1"/>
  <c r="Y291" i="1"/>
  <c r="Y301" i="1"/>
  <c r="BP294" i="1"/>
  <c r="BN294" i="1"/>
  <c r="Z294" i="1"/>
  <c r="BP298" i="1"/>
  <c r="BN298" i="1"/>
  <c r="Z298" i="1"/>
  <c r="BP306" i="1"/>
  <c r="BN306" i="1"/>
  <c r="Z306" i="1"/>
  <c r="BP314" i="1"/>
  <c r="BN314" i="1"/>
  <c r="Z314" i="1"/>
  <c r="BP326" i="1"/>
  <c r="BN326" i="1"/>
  <c r="Z326" i="1"/>
  <c r="Z329" i="1" s="1"/>
  <c r="BP334" i="1"/>
  <c r="BN334" i="1"/>
  <c r="Z334" i="1"/>
  <c r="Y336" i="1"/>
  <c r="R502" i="1"/>
  <c r="Y343" i="1"/>
  <c r="Y342" i="1"/>
  <c r="BP339" i="1"/>
  <c r="BN339" i="1"/>
  <c r="Z339" i="1"/>
  <c r="Z342" i="1" s="1"/>
  <c r="BP373" i="1"/>
  <c r="BN373" i="1"/>
  <c r="Z373" i="1"/>
  <c r="Z374" i="1" s="1"/>
  <c r="Y375" i="1"/>
  <c r="Y380" i="1"/>
  <c r="BP377" i="1"/>
  <c r="BN377" i="1"/>
  <c r="Z377" i="1"/>
  <c r="Z379" i="1" s="1"/>
  <c r="Y379" i="1"/>
  <c r="K502" i="1"/>
  <c r="Y240" i="1"/>
  <c r="Y265" i="1"/>
  <c r="M502" i="1"/>
  <c r="Y272" i="1"/>
  <c r="S502" i="1"/>
  <c r="BP350" i="1"/>
  <c r="BN350" i="1"/>
  <c r="Z350" i="1"/>
  <c r="Z354" i="1" s="1"/>
  <c r="BP358" i="1"/>
  <c r="BN358" i="1"/>
  <c r="Z358" i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Z44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335" i="1" l="1"/>
  <c r="Y494" i="1"/>
  <c r="Z466" i="1"/>
  <c r="Z300" i="1"/>
  <c r="Z279" i="1"/>
  <c r="Z221" i="1"/>
  <c r="Z416" i="1"/>
  <c r="Z316" i="1"/>
  <c r="Z272" i="1"/>
  <c r="Z152" i="1"/>
  <c r="Z497" i="1" s="1"/>
  <c r="Y492" i="1"/>
  <c r="Y493" i="1"/>
  <c r="Y496" i="1"/>
  <c r="Y495" i="1" l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<sst xmlns="http://schemas.openxmlformats.org/spreadsheetml/2006/main" count="2362" uniqueCount="778">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</sst>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1850</v>
      </c>
      <c r="Y41" s="548">
        <f>IFERROR(IF(X41="",0,CEILING((X41/$H41),1)*$H41),"")</f>
        <v>1857.6000000000001</v>
      </c>
      <c r="Z41" s="36">
        <f>IFERROR(IF(Y41=0,"",ROUNDUP(Y41/H41,0)*0.01898),"")</f>
        <v>3.2645599999999999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1920.2314814814813</v>
      </c>
      <c r="BN41" s="64">
        <f>IFERROR(Y41*I41/H41,"0")</f>
        <v>1928.1200000000001</v>
      </c>
      <c r="BO41" s="64">
        <f>IFERROR(1/J41*(X41/H41),"0")</f>
        <v>2.6765046296296293</v>
      </c>
      <c r="BP41" s="64">
        <f>IFERROR(1/J41*(Y41/H41),"0")</f>
        <v>2.6875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171.29629629629628</v>
      </c>
      <c r="Y44" s="549">
        <f>IFERROR(Y41/H41,"0")+IFERROR(Y42/H42,"0")+IFERROR(Y43/H43,"0")</f>
        <v>172</v>
      </c>
      <c r="Z44" s="549">
        <f>IFERROR(IF(Z41="",0,Z41),"0")+IFERROR(IF(Z42="",0,Z42),"0")+IFERROR(IF(Z43="",0,Z43),"0")</f>
        <v>3.2645599999999999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1850</v>
      </c>
      <c r="Y45" s="549">
        <f>IFERROR(SUM(Y41:Y43),"0")</f>
        <v>1857.6000000000001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250</v>
      </c>
      <c r="Y52" s="548">
        <f t="shared" ref="Y52:Y57" si="0">IFERROR(IF(X52="",0,CEILING((X52/$H52),1)*$H52),"")</f>
        <v>257.59999999999997</v>
      </c>
      <c r="Z52" s="36">
        <f>IFERROR(IF(Y52=0,"",ROUNDUP(Y52/H52,0)*0.01898),"")</f>
        <v>0.43653999999999998</v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259.15178571428572</v>
      </c>
      <c r="BN52" s="64">
        <f t="shared" ref="BN52:BN57" si="2">IFERROR(Y52*I52/H52,"0")</f>
        <v>267.02999999999997</v>
      </c>
      <c r="BO52" s="64">
        <f t="shared" ref="BO52:BO57" si="3">IFERROR(1/J52*(X52/H52),"0")</f>
        <v>0.34877232142857145</v>
      </c>
      <c r="BP52" s="64">
        <f t="shared" ref="BP52:BP57" si="4">IFERROR(1/J52*(Y52/H52),"0")</f>
        <v>0.359375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900</v>
      </c>
      <c r="Y53" s="548">
        <f t="shared" si="0"/>
        <v>907.2</v>
      </c>
      <c r="Z53" s="36">
        <f>IFERROR(IF(Y53=0,"",ROUNDUP(Y53/H53,0)*0.01898),"")</f>
        <v>1.59432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934.16666666666663</v>
      </c>
      <c r="BN53" s="64">
        <f t="shared" si="2"/>
        <v>941.6400000000001</v>
      </c>
      <c r="BO53" s="64">
        <f t="shared" si="3"/>
        <v>1.3020833333333333</v>
      </c>
      <c r="BP53" s="64">
        <f t="shared" si="4"/>
        <v>1.3125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105.6547619047619</v>
      </c>
      <c r="Y58" s="549">
        <f>IFERROR(Y52/H52,"0")+IFERROR(Y53/H53,"0")+IFERROR(Y54/H54,"0")+IFERROR(Y55/H55,"0")+IFERROR(Y56/H56,"0")+IFERROR(Y57/H57,"0")</f>
        <v>107</v>
      </c>
      <c r="Z58" s="549">
        <f>IFERROR(IF(Z52="",0,Z52),"0")+IFERROR(IF(Z53="",0,Z53),"0")+IFERROR(IF(Z54="",0,Z54),"0")+IFERROR(IF(Z55="",0,Z55),"0")+IFERROR(IF(Z56="",0,Z56),"0")+IFERROR(IF(Z57="",0,Z57),"0")</f>
        <v>2.0308600000000001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1150</v>
      </c>
      <c r="Y59" s="549">
        <f>IFERROR(SUM(Y52:Y57),"0")</f>
        <v>1164.8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380</v>
      </c>
      <c r="Y61" s="548">
        <f>IFERROR(IF(X61="",0,CEILING((X61/$H61),1)*$H61),"")</f>
        <v>388.8</v>
      </c>
      <c r="Z61" s="36">
        <f>IFERROR(IF(Y61=0,"",ROUNDUP(Y61/H61,0)*0.01898),"")</f>
        <v>0.68328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394.42592592592592</v>
      </c>
      <c r="BN61" s="64">
        <f>IFERROR(Y61*I61/H61,"0")</f>
        <v>403.56</v>
      </c>
      <c r="BO61" s="64">
        <f>IFERROR(1/J61*(X61/H61),"0")</f>
        <v>0.54976851851851849</v>
      </c>
      <c r="BP61" s="64">
        <f>IFERROR(1/J61*(Y61/H61),"0")</f>
        <v>0.5625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35.185185185185183</v>
      </c>
      <c r="Y64" s="549">
        <f>IFERROR(Y61/H61,"0")+IFERROR(Y62/H62,"0")+IFERROR(Y63/H63,"0")</f>
        <v>36</v>
      </c>
      <c r="Z64" s="549">
        <f>IFERROR(IF(Z61="",0,Z61),"0")+IFERROR(IF(Z62="",0,Z62),"0")+IFERROR(IF(Z63="",0,Z63),"0")</f>
        <v>0.68328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380</v>
      </c>
      <c r="Y65" s="549">
        <f>IFERROR(SUM(Y61:Y63),"0")</f>
        <v>388.8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30</v>
      </c>
      <c r="Y80" s="548">
        <f>IFERROR(IF(X80="",0,CEILING((X80/$H80),1)*$H80),"")</f>
        <v>31.2</v>
      </c>
      <c r="Z80" s="36">
        <f>IFERROR(IF(Y80=0,"",ROUNDUP(Y80/H80,0)*0.01898),"")</f>
        <v>7.5920000000000001E-2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31.57692307692308</v>
      </c>
      <c r="BN80" s="64">
        <f>IFERROR(Y80*I80/H80,"0")</f>
        <v>32.840000000000003</v>
      </c>
      <c r="BO80" s="64">
        <f>IFERROR(1/J80*(X80/H80),"0")</f>
        <v>6.0096153846153848E-2</v>
      </c>
      <c r="BP80" s="64">
        <f>IFERROR(1/J80*(Y80/H80),"0")</f>
        <v>6.25E-2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3.8461538461538463</v>
      </c>
      <c r="Y82" s="549">
        <f>IFERROR(Y80/H80,"0")+IFERROR(Y81/H81,"0")</f>
        <v>4</v>
      </c>
      <c r="Z82" s="549">
        <f>IFERROR(IF(Z80="",0,Z80),"0")+IFERROR(IF(Z81="",0,Z81),"0")</f>
        <v>7.5920000000000001E-2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30</v>
      </c>
      <c r="Y83" s="549">
        <f>IFERROR(SUM(Y80:Y81),"0")</f>
        <v>31.2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580</v>
      </c>
      <c r="Y86" s="548">
        <f>IFERROR(IF(X86="",0,CEILING((X86/$H86),1)*$H86),"")</f>
        <v>583.20000000000005</v>
      </c>
      <c r="Z86" s="36">
        <f>IFERROR(IF(Y86=0,"",ROUNDUP(Y86/H86,0)*0.01898),"")</f>
        <v>1.0249200000000001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602.01851851851848</v>
      </c>
      <c r="BN86" s="64">
        <f>IFERROR(Y86*I86/H86,"0")</f>
        <v>605.34000000000015</v>
      </c>
      <c r="BO86" s="64">
        <f>IFERROR(1/J86*(X86/H86),"0")</f>
        <v>0.83912037037037035</v>
      </c>
      <c r="BP86" s="64">
        <f>IFERROR(1/J86*(Y86/H86),"0")</f>
        <v>0.84375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53.703703703703702</v>
      </c>
      <c r="Y90" s="549">
        <f>IFERROR(Y86/H86,"0")+IFERROR(Y87/H87,"0")+IFERROR(Y88/H88,"0")+IFERROR(Y89/H89,"0")</f>
        <v>54</v>
      </c>
      <c r="Z90" s="549">
        <f>IFERROR(IF(Z86="",0,Z86),"0")+IFERROR(IF(Z87="",0,Z87),"0")+IFERROR(IF(Z88="",0,Z88),"0")+IFERROR(IF(Z89="",0,Z89),"0")</f>
        <v>1.0249200000000001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580</v>
      </c>
      <c r="Y91" s="549">
        <f>IFERROR(SUM(Y86:Y89),"0")</f>
        <v>583.20000000000005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48</v>
      </c>
      <c r="Y93" s="548">
        <f>IFERROR(IF(X93="",0,CEILING((X93/$H93),1)*$H93),"")</f>
        <v>48.599999999999994</v>
      </c>
      <c r="Z93" s="36">
        <f>IFERROR(IF(Y93=0,"",ROUNDUP(Y93/H93,0)*0.01898),"")</f>
        <v>0.11388000000000001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50.927407407407401</v>
      </c>
      <c r="BN93" s="64">
        <f>IFERROR(Y93*I93/H93,"0")</f>
        <v>51.563999999999993</v>
      </c>
      <c r="BO93" s="64">
        <f>IFERROR(1/J93*(X93/H93),"0")</f>
        <v>9.2592592592592601E-2</v>
      </c>
      <c r="BP93" s="64">
        <f>IFERROR(1/J93*(Y93/H93),"0")</f>
        <v>9.375E-2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67.5</v>
      </c>
      <c r="Y95" s="548">
        <f>IFERROR(IF(X95="",0,CEILING((X95/$H95),1)*$H95),"")</f>
        <v>67.5</v>
      </c>
      <c r="Z95" s="36">
        <f>IFERROR(IF(Y95=0,"",ROUNDUP(Y95/H95,0)*0.00651),"")</f>
        <v>0.16275000000000001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73.8</v>
      </c>
      <c r="BN95" s="64">
        <f>IFERROR(Y95*I95/H95,"0")</f>
        <v>73.8</v>
      </c>
      <c r="BO95" s="64">
        <f>IFERROR(1/J95*(X95/H95),"0")</f>
        <v>0.13736263736263737</v>
      </c>
      <c r="BP95" s="64">
        <f>IFERROR(1/J95*(Y95/H95),"0")</f>
        <v>0.13736263736263737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30.925925925925927</v>
      </c>
      <c r="Y97" s="549">
        <f>IFERROR(Y93/H93,"0")+IFERROR(Y94/H94,"0")+IFERROR(Y95/H95,"0")+IFERROR(Y96/H96,"0")</f>
        <v>31</v>
      </c>
      <c r="Z97" s="549">
        <f>IFERROR(IF(Z93="",0,Z93),"0")+IFERROR(IF(Z94="",0,Z94),"0")+IFERROR(IF(Z95="",0,Z95),"0")+IFERROR(IF(Z96="",0,Z96),"0")</f>
        <v>0.27663000000000004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115.5</v>
      </c>
      <c r="Y98" s="549">
        <f>IFERROR(SUM(Y93:Y96),"0")</f>
        <v>116.1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350</v>
      </c>
      <c r="Y101" s="548">
        <f>IFERROR(IF(X101="",0,CEILING((X101/$H101),1)*$H101),"")</f>
        <v>356.40000000000003</v>
      </c>
      <c r="Z101" s="36">
        <f>IFERROR(IF(Y101=0,"",ROUNDUP(Y101/H101,0)*0.01898),"")</f>
        <v>0.62634000000000001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363.28703703703707</v>
      </c>
      <c r="BN101" s="64">
        <f>IFERROR(Y101*I101/H101,"0")</f>
        <v>369.93</v>
      </c>
      <c r="BO101" s="64">
        <f>IFERROR(1/J101*(X101/H101),"0")</f>
        <v>0.5063657407407407</v>
      </c>
      <c r="BP101" s="64">
        <f>IFERROR(1/J101*(Y101/H101),"0")</f>
        <v>0.515625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32.407407407407405</v>
      </c>
      <c r="Y106" s="549">
        <f>IFERROR(Y101/H101,"0")+IFERROR(Y102/H102,"0")+IFERROR(Y103/H103,"0")+IFERROR(Y104/H104,"0")+IFERROR(Y105/H105,"0")</f>
        <v>33</v>
      </c>
      <c r="Z106" s="549">
        <f>IFERROR(IF(Z101="",0,Z101),"0")+IFERROR(IF(Z102="",0,Z102),"0")+IFERROR(IF(Z103="",0,Z103),"0")+IFERROR(IF(Z104="",0,Z104),"0")+IFERROR(IF(Z105="",0,Z105),"0")</f>
        <v>0.62634000000000001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350</v>
      </c>
      <c r="Y107" s="549">
        <f>IFERROR(SUM(Y101:Y105),"0")</f>
        <v>356.40000000000003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446</v>
      </c>
      <c r="Y116" s="548">
        <f>IFERROR(IF(X116="",0,CEILING((X116/$H116),1)*$H116),"")</f>
        <v>453.59999999999997</v>
      </c>
      <c r="Z116" s="36">
        <f>IFERROR(IF(Y116=0,"",ROUNDUP(Y116/H116,0)*0.01898),"")</f>
        <v>1.06288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472.87012345679011</v>
      </c>
      <c r="BN116" s="64">
        <f>IFERROR(Y116*I116/H116,"0")</f>
        <v>480.92799999999994</v>
      </c>
      <c r="BO116" s="64">
        <f>IFERROR(1/J116*(X116/H116),"0")</f>
        <v>0.8603395061728395</v>
      </c>
      <c r="BP116" s="64">
        <f>IFERROR(1/J116*(Y116/H116),"0")</f>
        <v>0.875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112.5</v>
      </c>
      <c r="Y118" s="548">
        <f>IFERROR(IF(X118="",0,CEILING((X118/$H118),1)*$H118),"")</f>
        <v>113.4</v>
      </c>
      <c r="Z118" s="36">
        <f>IFERROR(IF(Y118=0,"",ROUNDUP(Y118/H118,0)*0.00651),"")</f>
        <v>0.27342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123</v>
      </c>
      <c r="BN118" s="64">
        <f>IFERROR(Y118*I118/H118,"0")</f>
        <v>123.98399999999999</v>
      </c>
      <c r="BO118" s="64">
        <f>IFERROR(1/J118*(X118/H118),"0")</f>
        <v>0.22893772893772893</v>
      </c>
      <c r="BP118" s="64">
        <f>IFERROR(1/J118*(Y118/H118),"0")</f>
        <v>0.23076923076923078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96.728395061728392</v>
      </c>
      <c r="Y120" s="549">
        <f>IFERROR(Y116/H116,"0")+IFERROR(Y117/H117,"0")+IFERROR(Y118/H118,"0")+IFERROR(Y119/H119,"0")</f>
        <v>98</v>
      </c>
      <c r="Z120" s="549">
        <f>IFERROR(IF(Z116="",0,Z116),"0")+IFERROR(IF(Z117="",0,Z117),"0")+IFERROR(IF(Z118="",0,Z118),"0")+IFERROR(IF(Z119="",0,Z119),"0")</f>
        <v>1.3363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558.5</v>
      </c>
      <c r="Y121" s="549">
        <f>IFERROR(SUM(Y116:Y119),"0")</f>
        <v>567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30</v>
      </c>
      <c r="Y151" s="548">
        <f>IFERROR(IF(X151="",0,CEILING((X151/$H151),1)*$H151),"")</f>
        <v>36</v>
      </c>
      <c r="Z151" s="36">
        <f>IFERROR(IF(Y151=0,"",ROUNDUP(Y151/H151,0)*0.01898),"")</f>
        <v>7.5920000000000001E-2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31.866666666666667</v>
      </c>
      <c r="BN151" s="64">
        <f>IFERROR(Y151*I151/H151,"0")</f>
        <v>38.24</v>
      </c>
      <c r="BO151" s="64">
        <f>IFERROR(1/J151*(X151/H151),"0")</f>
        <v>5.2083333333333336E-2</v>
      </c>
      <c r="BP151" s="64">
        <f>IFERROR(1/J151*(Y151/H151),"0")</f>
        <v>6.25E-2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3.3333333333333335</v>
      </c>
      <c r="Y152" s="549">
        <f>IFERROR(Y149/H149,"0")+IFERROR(Y150/H150,"0")+IFERROR(Y151/H151,"0")</f>
        <v>4</v>
      </c>
      <c r="Z152" s="549">
        <f>IFERROR(IF(Z149="",0,Z149),"0")+IFERROR(IF(Z150="",0,Z150),"0")+IFERROR(IF(Z151="",0,Z151),"0")</f>
        <v>7.5920000000000001E-2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30</v>
      </c>
      <c r="Y153" s="549">
        <f>IFERROR(SUM(Y149:Y151),"0")</f>
        <v>36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50</v>
      </c>
      <c r="Y166" s="548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20</v>
      </c>
      <c r="Y168" s="548">
        <f t="shared" si="5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20.904761904761902</v>
      </c>
      <c r="BN168" s="64">
        <f t="shared" si="7"/>
        <v>21.95</v>
      </c>
      <c r="BO168" s="64">
        <f t="shared" si="8"/>
        <v>3.6075036075036072E-2</v>
      </c>
      <c r="BP168" s="64">
        <f t="shared" si="9"/>
        <v>3.787878787878788E-2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16.666666666666668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17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0.15334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70</v>
      </c>
      <c r="Y178" s="549">
        <f>IFERROR(SUM(Y165:Y176),"0")</f>
        <v>71.400000000000006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200</v>
      </c>
      <c r="Y201" s="548">
        <f t="shared" ref="Y201:Y208" si="10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207.03703703703701</v>
      </c>
      <c r="BN201" s="64">
        <f t="shared" ref="BN201:BN208" si="12">IFERROR(Y201*I201/H201,"0")</f>
        <v>212.42</v>
      </c>
      <c r="BO201" s="64">
        <f t="shared" ref="BO201:BO208" si="13">IFERROR(1/J201*(X201/H201),"0")</f>
        <v>0.28058361391694725</v>
      </c>
      <c r="BP201" s="64">
        <f t="shared" ref="BP201:BP208" si="14">IFERROR(1/J201*(Y201/H201),"0")</f>
        <v>0.2878787878787879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120</v>
      </c>
      <c r="Y202" s="548">
        <f t="shared" si="10"/>
        <v>124.2</v>
      </c>
      <c r="Z202" s="36">
        <f>IFERROR(IF(Y202=0,"",ROUNDUP(Y202/H202,0)*0.00902),"")</f>
        <v>0.20746000000000001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124.2222222222222</v>
      </c>
      <c r="BN202" s="64">
        <f t="shared" si="12"/>
        <v>128.57</v>
      </c>
      <c r="BO202" s="64">
        <f t="shared" si="13"/>
        <v>0.16835016835016836</v>
      </c>
      <c r="BP202" s="64">
        <f t="shared" si="14"/>
        <v>0.17424242424242425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100</v>
      </c>
      <c r="Y203" s="548">
        <f t="shared" si="10"/>
        <v>102.60000000000001</v>
      </c>
      <c r="Z203" s="36">
        <f>IFERROR(IF(Y203=0,"",ROUNDUP(Y203/H203,0)*0.00902),"")</f>
        <v>0.17138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103.5185185185185</v>
      </c>
      <c r="BN203" s="64">
        <f t="shared" si="12"/>
        <v>106.21</v>
      </c>
      <c r="BO203" s="64">
        <f t="shared" si="13"/>
        <v>0.14029180695847362</v>
      </c>
      <c r="BP203" s="64">
        <f t="shared" si="14"/>
        <v>0.14393939393939395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320</v>
      </c>
      <c r="Y204" s="548">
        <f t="shared" si="10"/>
        <v>324</v>
      </c>
      <c r="Z204" s="36">
        <f>IFERROR(IF(Y204=0,"",ROUNDUP(Y204/H204,0)*0.00902),"")</f>
        <v>0.54120000000000001</v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331.25925925925924</v>
      </c>
      <c r="BN204" s="64">
        <f t="shared" si="12"/>
        <v>335.4</v>
      </c>
      <c r="BO204" s="64">
        <f t="shared" si="13"/>
        <v>0.44893378226711556</v>
      </c>
      <c r="BP204" s="64">
        <f t="shared" si="14"/>
        <v>0.45454545454545453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137.03703703703701</v>
      </c>
      <c r="Y209" s="549">
        <f>IFERROR(Y201/H201,"0")+IFERROR(Y202/H202,"0")+IFERROR(Y203/H203,"0")+IFERROR(Y204/H204,"0")+IFERROR(Y205/H205,"0")+IFERROR(Y206/H206,"0")+IFERROR(Y207/H207,"0")+IFERROR(Y208/H208,"0")</f>
        <v>140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1.2627999999999999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740</v>
      </c>
      <c r="Y210" s="549">
        <f>IFERROR(SUM(Y201:Y208),"0")</f>
        <v>756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50</v>
      </c>
      <c r="Y212" s="548">
        <f t="shared" ref="Y212:Y220" si="15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53.049382716049386</v>
      </c>
      <c r="BN212" s="64">
        <f t="shared" ref="BN212:BN220" si="17">IFERROR(Y212*I212/H212,"0")</f>
        <v>60.157999999999994</v>
      </c>
      <c r="BO212" s="64">
        <f t="shared" ref="BO212:BO220" si="18">IFERROR(1/J212*(X212/H212),"0")</f>
        <v>9.6450617283950615E-2</v>
      </c>
      <c r="BP212" s="64">
        <f t="shared" ref="BP212:BP220" si="19">IFERROR(1/J212*(Y212/H212),"0")</f>
        <v>0.109375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50</v>
      </c>
      <c r="Y213" s="548">
        <f t="shared" si="15"/>
        <v>56.699999999999996</v>
      </c>
      <c r="Z213" s="36">
        <f>IFERROR(IF(Y213=0,"",ROUNDUP(Y213/H213,0)*0.01898),"")</f>
        <v>0.13286000000000001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52.938271604938272</v>
      </c>
      <c r="BN213" s="64">
        <f t="shared" si="17"/>
        <v>60.031999999999996</v>
      </c>
      <c r="BO213" s="64">
        <f t="shared" si="18"/>
        <v>9.6450617283950615E-2</v>
      </c>
      <c r="BP213" s="64">
        <f t="shared" si="19"/>
        <v>0.109375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30</v>
      </c>
      <c r="Y214" s="548">
        <f t="shared" si="15"/>
        <v>34.799999999999997</v>
      </c>
      <c r="Z214" s="36">
        <f>IFERROR(IF(Y214=0,"",ROUNDUP(Y214/H214,0)*0.01898),"")</f>
        <v>7.5920000000000001E-2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31.703448275862076</v>
      </c>
      <c r="BN214" s="64">
        <f t="shared" si="17"/>
        <v>36.776000000000003</v>
      </c>
      <c r="BO214" s="64">
        <f t="shared" si="18"/>
        <v>5.387931034482759E-2</v>
      </c>
      <c r="BP214" s="64">
        <f t="shared" si="19"/>
        <v>6.25E-2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48</v>
      </c>
      <c r="Y217" s="548">
        <f t="shared" si="15"/>
        <v>48</v>
      </c>
      <c r="Z217" s="36">
        <f t="shared" si="20"/>
        <v>0.13020000000000001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53.040000000000006</v>
      </c>
      <c r="BN217" s="64">
        <f t="shared" si="17"/>
        <v>53.040000000000006</v>
      </c>
      <c r="BO217" s="64">
        <f t="shared" si="18"/>
        <v>0.1098901098901099</v>
      </c>
      <c r="BP217" s="64">
        <f t="shared" si="19"/>
        <v>0.1098901098901099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35.793954874414645</v>
      </c>
      <c r="Y221" s="549">
        <f>IFERROR(Y212/H212,"0")+IFERROR(Y213/H213,"0")+IFERROR(Y214/H214,"0")+IFERROR(Y215/H215,"0")+IFERROR(Y216/H216,"0")+IFERROR(Y217/H217,"0")+IFERROR(Y218/H218,"0")+IFERROR(Y219/H219,"0")+IFERROR(Y220/H220,"0")</f>
        <v>38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0.47184000000000004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178</v>
      </c>
      <c r="Y222" s="549">
        <f>IFERROR(SUM(Y212:Y220),"0")</f>
        <v>196.2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18</v>
      </c>
      <c r="Y246" s="548">
        <f>IFERROR(IF(X246="",0,CEILING((X246/$H246),1)*$H246),"")</f>
        <v>18</v>
      </c>
      <c r="Z246" s="36">
        <f>IFERROR(IF(Y246=0,"",ROUNDUP(Y246/H246,0)*0.0059),"")</f>
        <v>5.8999999999999997E-2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19.750000000000004</v>
      </c>
      <c r="BN246" s="64">
        <f>IFERROR(Y246*I246/H246,"0")</f>
        <v>19.750000000000004</v>
      </c>
      <c r="BO246" s="64">
        <f>IFERROR(1/J246*(X246/H246),"0")</f>
        <v>4.6296296296296294E-2</v>
      </c>
      <c r="BP246" s="64">
        <f>IFERROR(1/J246*(Y246/H246),"0")</f>
        <v>4.6296296296296294E-2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10</v>
      </c>
      <c r="Y247" s="549">
        <f>IFERROR(Y246/H246,"0")</f>
        <v>10</v>
      </c>
      <c r="Z247" s="549">
        <f>IFERROR(IF(Z246="",0,Z246),"0")</f>
        <v>5.8999999999999997E-2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18</v>
      </c>
      <c r="Y248" s="549">
        <f>IFERROR(SUM(Y246:Y246),"0")</f>
        <v>18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19.25</v>
      </c>
      <c r="Y254" s="548">
        <f>IFERROR(IF(X254="",0,CEILING((X254/$H254),1)*$H254),"")</f>
        <v>19.8</v>
      </c>
      <c r="Z254" s="36">
        <f>IFERROR(IF(Y254=0,"",ROUNDUP(Y254/H254,0)*0.0059),"")</f>
        <v>0.11799999999999999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22.944444444444443</v>
      </c>
      <c r="BN254" s="64">
        <f>IFERROR(Y254*I254/H254,"0")</f>
        <v>23.6</v>
      </c>
      <c r="BO254" s="64">
        <f>IFERROR(1/J254*(X254/H254),"0")</f>
        <v>9.0020576131687235E-2</v>
      </c>
      <c r="BP254" s="64">
        <f>IFERROR(1/J254*(Y254/H254),"0")</f>
        <v>9.2592592592592587E-2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19.444444444444443</v>
      </c>
      <c r="Y255" s="549">
        <f>IFERROR(Y250/H250,"0")+IFERROR(Y251/H251,"0")+IFERROR(Y252/H252,"0")+IFERROR(Y253/H253,"0")+IFERROR(Y254/H254,"0")</f>
        <v>20</v>
      </c>
      <c r="Z255" s="549">
        <f>IFERROR(IF(Z250="",0,Z250),"0")+IFERROR(IF(Z251="",0,Z251),"0")+IFERROR(IF(Z252="",0,Z252),"0")+IFERROR(IF(Z253="",0,Z253),"0")+IFERROR(IF(Z254="",0,Z254),"0")</f>
        <v>0.11799999999999999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19.25</v>
      </c>
      <c r="Y256" s="549">
        <f>IFERROR(SUM(Y250:Y254),"0")</f>
        <v>19.8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110</v>
      </c>
      <c r="Y261" s="548">
        <f>IFERROR(IF(X261="",0,CEILING((X261/$H261),1)*$H261),"")</f>
        <v>118.80000000000001</v>
      </c>
      <c r="Z261" s="36">
        <f>IFERROR(IF(Y261=0,"",ROUNDUP(Y261/H261,0)*0.01898),"")</f>
        <v>0.20877999999999999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114.17592592592594</v>
      </c>
      <c r="BN261" s="64">
        <f>IFERROR(Y261*I261/H261,"0")</f>
        <v>123.31000000000002</v>
      </c>
      <c r="BO261" s="64">
        <f>IFERROR(1/J261*(X261/H261),"0")</f>
        <v>0.15914351851851852</v>
      </c>
      <c r="BP261" s="64">
        <f>IFERROR(1/J261*(Y261/H261),"0")</f>
        <v>0.171875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10.185185185185185</v>
      </c>
      <c r="Y264" s="549">
        <f>IFERROR(Y259/H259,"0")+IFERROR(Y260/H260,"0")+IFERROR(Y261/H261,"0")+IFERROR(Y262/H262,"0")+IFERROR(Y263/H263,"0")</f>
        <v>11</v>
      </c>
      <c r="Z264" s="549">
        <f>IFERROR(IF(Z259="",0,Z259),"0")+IFERROR(IF(Z260="",0,Z260),"0")+IFERROR(IF(Z261="",0,Z261),"0")+IFERROR(IF(Z262="",0,Z262),"0")+IFERROR(IF(Z263="",0,Z263),"0")</f>
        <v>0.20877999999999999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110</v>
      </c>
      <c r="Y265" s="549">
        <f>IFERROR(SUM(Y259:Y263),"0")</f>
        <v>118.80000000000001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4</v>
      </c>
      <c r="Y278" s="548">
        <f>IFERROR(IF(X278="",0,CEILING((X278/$H278),1)*$H278),"")</f>
        <v>4.8</v>
      </c>
      <c r="Z278" s="36">
        <f>IFERROR(IF(Y278=0,"",ROUNDUP(Y278/H278,0)*0.00651),"")</f>
        <v>1.302E-2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4.3000000000000007</v>
      </c>
      <c r="BN278" s="64">
        <f>IFERROR(Y278*I278/H278,"0")</f>
        <v>5.16</v>
      </c>
      <c r="BO278" s="64">
        <f>IFERROR(1/J278*(X278/H278),"0")</f>
        <v>9.1575091575091579E-3</v>
      </c>
      <c r="BP278" s="64">
        <f>IFERROR(1/J278*(Y278/H278),"0")</f>
        <v>1.098901098901099E-2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1.6666666666666667</v>
      </c>
      <c r="Y279" s="549">
        <f>IFERROR(Y276/H276,"0")+IFERROR(Y277/H277,"0")+IFERROR(Y278/H278,"0")</f>
        <v>2</v>
      </c>
      <c r="Z279" s="549">
        <f>IFERROR(IF(Z276="",0,Z276),"0")+IFERROR(IF(Z277="",0,Z277),"0")+IFERROR(IF(Z278="",0,Z278),"0")</f>
        <v>1.302E-2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4</v>
      </c>
      <c r="Y280" s="549">
        <f>IFERROR(SUM(Y276:Y278),"0")</f>
        <v>4.8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50</v>
      </c>
      <c r="Y295" s="548">
        <f t="shared" si="26"/>
        <v>54</v>
      </c>
      <c r="Z295" s="36">
        <f>IFERROR(IF(Y295=0,"",ROUNDUP(Y295/H295,0)*0.01898),"")</f>
        <v>9.4899999999999998E-2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51.898148148148145</v>
      </c>
      <c r="BN295" s="64">
        <f t="shared" si="28"/>
        <v>56.05</v>
      </c>
      <c r="BO295" s="64">
        <f t="shared" si="29"/>
        <v>7.2337962962962965E-2</v>
      </c>
      <c r="BP295" s="64">
        <f t="shared" si="30"/>
        <v>7.8125E-2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70</v>
      </c>
      <c r="Y296" s="548">
        <f t="shared" si="26"/>
        <v>75.600000000000009</v>
      </c>
      <c r="Z296" s="36">
        <f>IFERROR(IF(Y296=0,"",ROUNDUP(Y296/H296,0)*0.01898),"")</f>
        <v>0.13286000000000001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72.657407407407405</v>
      </c>
      <c r="BN296" s="64">
        <f t="shared" si="28"/>
        <v>78.47</v>
      </c>
      <c r="BO296" s="64">
        <f t="shared" si="29"/>
        <v>0.10127314814814814</v>
      </c>
      <c r="BP296" s="64">
        <f t="shared" si="30"/>
        <v>0.109375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70</v>
      </c>
      <c r="Y297" s="548">
        <f t="shared" si="26"/>
        <v>75.600000000000009</v>
      </c>
      <c r="Z297" s="36">
        <f>IFERROR(IF(Y297=0,"",ROUNDUP(Y297/H297,0)*0.01898),"")</f>
        <v>0.13286000000000001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72.657407407407405</v>
      </c>
      <c r="BN297" s="64">
        <f t="shared" si="28"/>
        <v>78.47</v>
      </c>
      <c r="BO297" s="64">
        <f t="shared" si="29"/>
        <v>0.10127314814814814</v>
      </c>
      <c r="BP297" s="64">
        <f t="shared" si="30"/>
        <v>0.109375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17.592592592592592</v>
      </c>
      <c r="Y300" s="549">
        <f>IFERROR(Y294/H294,"0")+IFERROR(Y295/H295,"0")+IFERROR(Y296/H296,"0")+IFERROR(Y297/H297,"0")+IFERROR(Y298/H298,"0")+IFERROR(Y299/H299,"0")</f>
        <v>19</v>
      </c>
      <c r="Z300" s="549">
        <f>IFERROR(IF(Z294="",0,Z294),"0")+IFERROR(IF(Z295="",0,Z295),"0")+IFERROR(IF(Z296="",0,Z296),"0")+IFERROR(IF(Z297="",0,Z297),"0")+IFERROR(IF(Z298="",0,Z298),"0")+IFERROR(IF(Z299="",0,Z299),"0")</f>
        <v>0.36062000000000005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190</v>
      </c>
      <c r="Y301" s="549">
        <f>IFERROR(SUM(Y294:Y299),"0")</f>
        <v>205.20000000000005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40</v>
      </c>
      <c r="Y304" s="548">
        <f t="shared" si="31"/>
        <v>42</v>
      </c>
      <c r="Z304" s="36">
        <f>IFERROR(IF(Y304=0,"",ROUNDUP(Y304/H304,0)*0.00902),"")</f>
        <v>9.0200000000000002E-2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42.38095238095238</v>
      </c>
      <c r="BN304" s="64">
        <f t="shared" si="33"/>
        <v>44.5</v>
      </c>
      <c r="BO304" s="64">
        <f t="shared" si="34"/>
        <v>7.2150072150072145E-2</v>
      </c>
      <c r="BP304" s="64">
        <f t="shared" si="35"/>
        <v>7.575757575757576E-2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19.047619047619047</v>
      </c>
      <c r="Y309" s="549">
        <f>IFERROR(Y303/H303,"0")+IFERROR(Y304/H304,"0")+IFERROR(Y305/H305,"0")+IFERROR(Y306/H306,"0")+IFERROR(Y307/H307,"0")+IFERROR(Y308/H308,"0")</f>
        <v>20</v>
      </c>
      <c r="Z309" s="549">
        <f>IFERROR(IF(Z303="",0,Z303),"0")+IFERROR(IF(Z304="",0,Z304),"0")+IFERROR(IF(Z305="",0,Z305),"0")+IFERROR(IF(Z306="",0,Z306),"0")+IFERROR(IF(Z307="",0,Z307),"0")+IFERROR(IF(Z308="",0,Z308),"0")</f>
        <v>0.1804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80</v>
      </c>
      <c r="Y310" s="549">
        <f>IFERROR(SUM(Y303:Y308),"0")</f>
        <v>84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30</v>
      </c>
      <c r="Y319" s="548">
        <f>IFERROR(IF(X319="",0,CEILING((X319/$H319),1)*$H319),"")</f>
        <v>33.6</v>
      </c>
      <c r="Z319" s="36">
        <f>IFERROR(IF(Y319=0,"",ROUNDUP(Y319/H319,0)*0.01898),"")</f>
        <v>7.5920000000000001E-2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31.764285714285712</v>
      </c>
      <c r="BN319" s="64">
        <f>IFERROR(Y319*I319/H319,"0")</f>
        <v>35.576000000000001</v>
      </c>
      <c r="BO319" s="64">
        <f>IFERROR(1/J319*(X319/H319),"0")</f>
        <v>5.5803571428571425E-2</v>
      </c>
      <c r="BP319" s="64">
        <f>IFERROR(1/J319*(Y319/H319),"0")</f>
        <v>6.25E-2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134</v>
      </c>
      <c r="Y320" s="548">
        <f>IFERROR(IF(X320="",0,CEILING((X320/$H320),1)*$H320),"")</f>
        <v>140.4</v>
      </c>
      <c r="Z320" s="36">
        <f>IFERROR(IF(Y320=0,"",ROUNDUP(Y320/H320,0)*0.01898),"")</f>
        <v>0.34164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142.48666666666665</v>
      </c>
      <c r="BN320" s="64">
        <f>IFERROR(Y320*I320/H320,"0")</f>
        <v>149.29200000000003</v>
      </c>
      <c r="BO320" s="64">
        <f>IFERROR(1/J320*(X320/H320),"0")</f>
        <v>0.26842948717948717</v>
      </c>
      <c r="BP320" s="64">
        <f>IFERROR(1/J320*(Y320/H320),"0")</f>
        <v>0.28125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40</v>
      </c>
      <c r="Y321" s="548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25.512820512820515</v>
      </c>
      <c r="Y322" s="549">
        <f>IFERROR(Y319/H319,"0")+IFERROR(Y320/H320,"0")+IFERROR(Y321/H321,"0")</f>
        <v>27</v>
      </c>
      <c r="Z322" s="549">
        <f>IFERROR(IF(Z319="",0,Z319),"0")+IFERROR(IF(Z320="",0,Z320),"0")+IFERROR(IF(Z321="",0,Z321),"0")</f>
        <v>0.51246000000000003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204</v>
      </c>
      <c r="Y323" s="549">
        <f>IFERROR(SUM(Y319:Y321),"0")</f>
        <v>216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106</v>
      </c>
      <c r="Y339" s="548">
        <f>IFERROR(IF(X339="",0,CEILING((X339/$H339),1)*$H339),"")</f>
        <v>113.39999999999999</v>
      </c>
      <c r="Z339" s="36">
        <f>IFERROR(IF(Y339=0,"",ROUNDUP(Y339/H339,0)*0.01898),"")</f>
        <v>0.26572000000000001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112.46469135802469</v>
      </c>
      <c r="BN339" s="64">
        <f>IFERROR(Y339*I339/H339,"0")</f>
        <v>120.31599999999999</v>
      </c>
      <c r="BO339" s="64">
        <f>IFERROR(1/J339*(X339/H339),"0")</f>
        <v>0.20447530864197533</v>
      </c>
      <c r="BP339" s="64">
        <f>IFERROR(1/J339*(Y339/H339),"0")</f>
        <v>0.21875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13.086419753086421</v>
      </c>
      <c r="Y342" s="549">
        <f>IFERROR(Y339/H339,"0")+IFERROR(Y340/H340,"0")+IFERROR(Y341/H341,"0")</f>
        <v>14</v>
      </c>
      <c r="Z342" s="549">
        <f>IFERROR(IF(Z339="",0,Z339),"0")+IFERROR(IF(Z340="",0,Z340),"0")+IFERROR(IF(Z341="",0,Z341),"0")</f>
        <v>0.26572000000000001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106</v>
      </c>
      <c r="Y343" s="549">
        <f>IFERROR(SUM(Y339:Y341),"0")</f>
        <v>113.39999999999999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1620</v>
      </c>
      <c r="Y347" s="548">
        <f t="shared" ref="Y347:Y353" si="36">IFERROR(IF(X347="",0,CEILING((X347/$H347),1)*$H347),"")</f>
        <v>1620</v>
      </c>
      <c r="Z347" s="36">
        <f>IFERROR(IF(Y347=0,"",ROUNDUP(Y347/H347,0)*0.02175),"")</f>
        <v>2.3489999999999998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1670.76</v>
      </c>
      <c r="BN347" s="64">
        <f t="shared" ref="BN347:BN353" si="38">IFERROR(Y347*I347/H347,"0")</f>
        <v>1670.76</v>
      </c>
      <c r="BO347" s="64">
        <f t="shared" ref="BO347:BO353" si="39">IFERROR(1/J347*(X347/H347),"0")</f>
        <v>2.25</v>
      </c>
      <c r="BP347" s="64">
        <f t="shared" ref="BP347:BP353" si="40">IFERROR(1/J347*(Y347/H347),"0")</f>
        <v>2.25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395</v>
      </c>
      <c r="Y348" s="548">
        <f t="shared" si="36"/>
        <v>405</v>
      </c>
      <c r="Z348" s="36">
        <f>IFERROR(IF(Y348=0,"",ROUNDUP(Y348/H348,0)*0.02175),"")</f>
        <v>0.58724999999999994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407.37666666666672</v>
      </c>
      <c r="BN348" s="64">
        <f t="shared" si="38"/>
        <v>417.69</v>
      </c>
      <c r="BO348" s="64">
        <f t="shared" si="39"/>
        <v>0.54861111111111105</v>
      </c>
      <c r="BP348" s="64">
        <f t="shared" si="40"/>
        <v>0.5625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2345</v>
      </c>
      <c r="Y349" s="548">
        <f t="shared" si="36"/>
        <v>2355</v>
      </c>
      <c r="Z349" s="36">
        <f>IFERROR(IF(Y349=0,"",ROUNDUP(Y349/H349,0)*0.02175),"")</f>
        <v>3.4147499999999997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2418.4766666666669</v>
      </c>
      <c r="BN349" s="64">
        <f t="shared" si="38"/>
        <v>2428.79</v>
      </c>
      <c r="BO349" s="64">
        <f t="shared" si="39"/>
        <v>3.2569444444444446</v>
      </c>
      <c r="BP349" s="64">
        <f t="shared" si="40"/>
        <v>3.270833333333333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290.66666666666669</v>
      </c>
      <c r="Y354" s="549">
        <f>IFERROR(Y347/H347,"0")+IFERROR(Y348/H348,"0")+IFERROR(Y349/H349,"0")+IFERROR(Y350/H350,"0")+IFERROR(Y351/H351,"0")+IFERROR(Y352/H352,"0")+IFERROR(Y353/H353,"0")</f>
        <v>292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6.3509999999999991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4360</v>
      </c>
      <c r="Y355" s="549">
        <f>IFERROR(SUM(Y347:Y353),"0")</f>
        <v>4380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1170</v>
      </c>
      <c r="Y357" s="548">
        <f>IFERROR(IF(X357="",0,CEILING((X357/$H357),1)*$H357),"")</f>
        <v>1170</v>
      </c>
      <c r="Z357" s="36">
        <f>IFERROR(IF(Y357=0,"",ROUNDUP(Y357/H357,0)*0.02175),"")</f>
        <v>1.6964999999999999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1206.6600000000001</v>
      </c>
      <c r="BN357" s="64">
        <f>IFERROR(Y357*I357/H357,"0")</f>
        <v>1206.6600000000001</v>
      </c>
      <c r="BO357" s="64">
        <f>IFERROR(1/J357*(X357/H357),"0")</f>
        <v>1.625</v>
      </c>
      <c r="BP357" s="64">
        <f>IFERROR(1/J357*(Y357/H357),"0")</f>
        <v>1.625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78</v>
      </c>
      <c r="Y359" s="549">
        <f>IFERROR(Y357/H357,"0")+IFERROR(Y358/H358,"0")</f>
        <v>78</v>
      </c>
      <c r="Z359" s="549">
        <f>IFERROR(IF(Z357="",0,Z357),"0")+IFERROR(IF(Z358="",0,Z358),"0")</f>
        <v>1.6964999999999999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1170</v>
      </c>
      <c r="Y360" s="549">
        <f>IFERROR(SUM(Y357:Y358),"0")</f>
        <v>1170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30</v>
      </c>
      <c r="Y362" s="548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31.666666666666668</v>
      </c>
      <c r="BN362" s="64">
        <f>IFERROR(Y362*I362/H362,"0")</f>
        <v>38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3.3333333333333335</v>
      </c>
      <c r="Y364" s="549">
        <f>IFERROR(Y362/H362,"0")+IFERROR(Y363/H363,"0")</f>
        <v>4</v>
      </c>
      <c r="Z364" s="549">
        <f>IFERROR(IF(Z362="",0,Z362),"0")+IFERROR(IF(Z363="",0,Z363),"0")</f>
        <v>7.5920000000000001E-2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30</v>
      </c>
      <c r="Y365" s="549">
        <f>IFERROR(SUM(Y362:Y363),"0")</f>
        <v>36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50</v>
      </c>
      <c r="Y372" s="548">
        <f>IFERROR(IF(X372="",0,CEILING((X372/$H372),1)*$H372),"")</f>
        <v>60</v>
      </c>
      <c r="Z372" s="36">
        <f>IFERROR(IF(Y372=0,"",ROUNDUP(Y372/H372,0)*0.01898),"")</f>
        <v>9.4899999999999998E-2</v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51.708333333333336</v>
      </c>
      <c r="BN372" s="64">
        <f>IFERROR(Y372*I372/H372,"0")</f>
        <v>62.050000000000004</v>
      </c>
      <c r="BO372" s="64">
        <f>IFERROR(1/J372*(X372/H372),"0")</f>
        <v>6.5104166666666671E-2</v>
      </c>
      <c r="BP372" s="64">
        <f>IFERROR(1/J372*(Y372/H372),"0")</f>
        <v>7.8125E-2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4.166666666666667</v>
      </c>
      <c r="Y374" s="549">
        <f>IFERROR(Y372/H372,"0")+IFERROR(Y373/H373,"0")</f>
        <v>5</v>
      </c>
      <c r="Z374" s="549">
        <f>IFERROR(IF(Z372="",0,Z372),"0")+IFERROR(IF(Z373="",0,Z373),"0")</f>
        <v>9.4899999999999998E-2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50</v>
      </c>
      <c r="Y375" s="549">
        <f>IFERROR(SUM(Y372:Y373),"0")</f>
        <v>60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2020</v>
      </c>
      <c r="Y382" s="548">
        <f>IFERROR(IF(X382="",0,CEILING((X382/$H382),1)*$H382),"")</f>
        <v>2025</v>
      </c>
      <c r="Z382" s="36">
        <f>IFERROR(IF(Y382=0,"",ROUNDUP(Y382/H382,0)*0.01898),"")</f>
        <v>4.2705000000000002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2130.8755555555558</v>
      </c>
      <c r="BN382" s="64">
        <f>IFERROR(Y382*I382/H382,"0")</f>
        <v>2136.1499999999996</v>
      </c>
      <c r="BO382" s="64">
        <f>IFERROR(1/J382*(X382/H382),"0")</f>
        <v>3.5069444444444446</v>
      </c>
      <c r="BP382" s="64">
        <f>IFERROR(1/J382*(Y382/H382),"0")</f>
        <v>3.515625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224.44444444444446</v>
      </c>
      <c r="Y385" s="549">
        <f>IFERROR(Y382/H382,"0")+IFERROR(Y383/H383,"0")+IFERROR(Y384/H384,"0")</f>
        <v>225</v>
      </c>
      <c r="Z385" s="549">
        <f>IFERROR(IF(Z382="",0,Z382),"0")+IFERROR(IF(Z383="",0,Z383),"0")+IFERROR(IF(Z384="",0,Z384),"0")</f>
        <v>4.2705000000000002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2020</v>
      </c>
      <c r="Y386" s="549">
        <f>IFERROR(SUM(Y382:Y384),"0")</f>
        <v>2025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60</v>
      </c>
      <c r="Y390" s="548">
        <f t="shared" ref="Y390:Y398" si="41">IFERROR(IF(X390="",0,CEILING((X390/$H390),1)*$H390),"")</f>
        <v>64.800000000000011</v>
      </c>
      <c r="Z390" s="36">
        <f>IFERROR(IF(Y390=0,"",ROUNDUP(Y390/H390,0)*0.00902),"")</f>
        <v>0.10824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62.1111111111111</v>
      </c>
      <c r="BN390" s="64">
        <f t="shared" ref="BN390:BN398" si="43">IFERROR(Y390*I390/H390,"0")</f>
        <v>67.08</v>
      </c>
      <c r="BO390" s="64">
        <f t="shared" ref="BO390:BO398" si="44">IFERROR(1/J390*(X390/H390),"0")</f>
        <v>8.4175084175084181E-2</v>
      </c>
      <c r="BP390" s="64">
        <f t="shared" ref="BP390:BP398" si="45">IFERROR(1/J390*(Y390/H390),"0")</f>
        <v>9.0909090909090925E-2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90</v>
      </c>
      <c r="Y392" s="548">
        <f t="shared" si="41"/>
        <v>91.800000000000011</v>
      </c>
      <c r="Z392" s="36">
        <f>IFERROR(IF(Y392=0,"",ROUNDUP(Y392/H392,0)*0.00902),"")</f>
        <v>0.15334</v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93.166666666666657</v>
      </c>
      <c r="BN392" s="64">
        <f t="shared" si="43"/>
        <v>95.03</v>
      </c>
      <c r="BO392" s="64">
        <f t="shared" si="44"/>
        <v>0.12626262626262624</v>
      </c>
      <c r="BP392" s="64">
        <f t="shared" si="45"/>
        <v>0.12878787878787878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27.777777777777775</v>
      </c>
      <c r="Y399" s="549">
        <f>IFERROR(Y390/H390,"0")+IFERROR(Y391/H391,"0")+IFERROR(Y392/H392,"0")+IFERROR(Y393/H393,"0")+IFERROR(Y394/H394,"0")+IFERROR(Y395/H395,"0")+IFERROR(Y396/H396,"0")+IFERROR(Y397/H397,"0")+IFERROR(Y398/H398,"0")</f>
        <v>29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0.26158000000000003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150</v>
      </c>
      <c r="Y400" s="549">
        <f>IFERROR(SUM(Y390:Y398),"0")</f>
        <v>156.60000000000002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190</v>
      </c>
      <c r="Y412" s="548">
        <f>IFERROR(IF(X412="",0,CEILING((X412/$H412),1)*$H412),"")</f>
        <v>194.4</v>
      </c>
      <c r="Z412" s="36">
        <f>IFERROR(IF(Y412=0,"",ROUNDUP(Y412/H412,0)*0.00902),"")</f>
        <v>0.32472000000000001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196.68518518518516</v>
      </c>
      <c r="BN412" s="64">
        <f>IFERROR(Y412*I412/H412,"0")</f>
        <v>201.23999999999998</v>
      </c>
      <c r="BO412" s="64">
        <f>IFERROR(1/J412*(X412/H412),"0")</f>
        <v>0.2665544332210999</v>
      </c>
      <c r="BP412" s="64">
        <f>IFERROR(1/J412*(Y412/H412),"0")</f>
        <v>0.27272727272727271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35.185185185185183</v>
      </c>
      <c r="Y416" s="549">
        <f>IFERROR(Y412/H412,"0")+IFERROR(Y413/H413,"0")+IFERROR(Y414/H414,"0")+IFERROR(Y415/H415,"0")</f>
        <v>36</v>
      </c>
      <c r="Z416" s="549">
        <f>IFERROR(IF(Z412="",0,Z412),"0")+IFERROR(IF(Z413="",0,Z413),"0")+IFERROR(IF(Z414="",0,Z414),"0")+IFERROR(IF(Z415="",0,Z415),"0")</f>
        <v>0.32472000000000001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190</v>
      </c>
      <c r="Y417" s="549">
        <f>IFERROR(SUM(Y412:Y415),"0")</f>
        <v>194.4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100</v>
      </c>
      <c r="Y426" s="548">
        <f t="shared" ref="Y426:Y437" si="47">IFERROR(IF(X426="",0,CEILING((X426/$H426),1)*$H426),"")</f>
        <v>100.32000000000001</v>
      </c>
      <c r="Z426" s="36">
        <f t="shared" ref="Z426:Z432" si="48">IFERROR(IF(Y426=0,"",ROUNDUP(Y426/H426,0)*0.01196),"")</f>
        <v>0.22724</v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106.62878787878788</v>
      </c>
      <c r="BN426" s="64">
        <f t="shared" ref="BN426:BN437" si="50">IFERROR(Y426*I426/H426,"0")</f>
        <v>106.97</v>
      </c>
      <c r="BO426" s="64">
        <f t="shared" ref="BO426:BO437" si="51">IFERROR(1/J426*(X426/H426),"0")</f>
        <v>0.18210955710955709</v>
      </c>
      <c r="BP426" s="64">
        <f t="shared" ref="BP426:BP437" si="52">IFERROR(1/J426*(Y426/H426),"0")</f>
        <v>0.18269230769230771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75</v>
      </c>
      <c r="Y429" s="548">
        <f t="shared" si="47"/>
        <v>79.2</v>
      </c>
      <c r="Z429" s="36">
        <f t="shared" si="48"/>
        <v>0.1794</v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79.971590909090907</v>
      </c>
      <c r="BN429" s="64">
        <f t="shared" si="50"/>
        <v>84.45</v>
      </c>
      <c r="BO429" s="64">
        <f t="shared" si="51"/>
        <v>0.13658216783216784</v>
      </c>
      <c r="BP429" s="64">
        <f t="shared" si="52"/>
        <v>0.14423076923076925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330</v>
      </c>
      <c r="Y430" s="548">
        <f t="shared" si="47"/>
        <v>332.64000000000004</v>
      </c>
      <c r="Z430" s="36">
        <f t="shared" si="48"/>
        <v>0.75348000000000004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351.87499999999994</v>
      </c>
      <c r="BN430" s="64">
        <f t="shared" si="50"/>
        <v>354.69</v>
      </c>
      <c r="BO430" s="64">
        <f t="shared" si="51"/>
        <v>0.60096153846153855</v>
      </c>
      <c r="BP430" s="64">
        <f t="shared" si="52"/>
        <v>0.60576923076923084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855</v>
      </c>
      <c r="Y432" s="548">
        <f t="shared" si="47"/>
        <v>855.36</v>
      </c>
      <c r="Z432" s="36">
        <f t="shared" si="48"/>
        <v>1.9375200000000001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911.67613636363626</v>
      </c>
      <c r="BN432" s="64">
        <f t="shared" si="50"/>
        <v>912.06</v>
      </c>
      <c r="BO432" s="64">
        <f t="shared" si="51"/>
        <v>1.5570367132867133</v>
      </c>
      <c r="BP432" s="64">
        <f t="shared" si="52"/>
        <v>1.5576923076923077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257.57575757575756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259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3.0976400000000002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1360</v>
      </c>
      <c r="Y439" s="549">
        <f>IFERROR(SUM(Y426:Y437),"0")</f>
        <v>1367.52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745</v>
      </c>
      <c r="Y441" s="548">
        <f>IFERROR(IF(X441="",0,CEILING((X441/$H441),1)*$H441),"")</f>
        <v>749.76</v>
      </c>
      <c r="Z441" s="36">
        <f>IFERROR(IF(Y441=0,"",ROUNDUP(Y441/H441,0)*0.01196),"")</f>
        <v>1.6983200000000001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794.38446969696975</v>
      </c>
      <c r="BN441" s="64">
        <f>IFERROR(Y441*I441/H441,"0")</f>
        <v>799.45999999999992</v>
      </c>
      <c r="BO441" s="64">
        <f>IFERROR(1/J441*(X441/H441),"0")</f>
        <v>1.3567162004662006</v>
      </c>
      <c r="BP441" s="64">
        <f>IFERROR(1/J441*(Y441/H441),"0")</f>
        <v>1.3653846153846154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141.09848484848484</v>
      </c>
      <c r="Y444" s="549">
        <f>IFERROR(Y441/H441,"0")+IFERROR(Y442/H442,"0")+IFERROR(Y443/H443,"0")</f>
        <v>142</v>
      </c>
      <c r="Z444" s="549">
        <f>IFERROR(IF(Z441="",0,Z441),"0")+IFERROR(IF(Z442="",0,Z442),"0")+IFERROR(IF(Z443="",0,Z443),"0")</f>
        <v>1.6983200000000001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745</v>
      </c>
      <c r="Y445" s="549">
        <f>IFERROR(SUM(Y441:Y443),"0")</f>
        <v>749.76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75</v>
      </c>
      <c r="Y447" s="548">
        <f t="shared" ref="Y447:Y452" si="53">IFERROR(IF(X447="",0,CEILING((X447/$H447),1)*$H447),"")</f>
        <v>79.2</v>
      </c>
      <c r="Z447" s="36">
        <f>IFERROR(IF(Y447=0,"",ROUNDUP(Y447/H447,0)*0.01196),"")</f>
        <v>0.1794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79.971590909090907</v>
      </c>
      <c r="BN447" s="64">
        <f t="shared" ref="BN447:BN452" si="55">IFERROR(Y447*I447/H447,"0")</f>
        <v>84.45</v>
      </c>
      <c r="BO447" s="64">
        <f t="shared" ref="BO447:BO452" si="56">IFERROR(1/J447*(X447/H447),"0")</f>
        <v>0.13658216783216784</v>
      </c>
      <c r="BP447" s="64">
        <f t="shared" ref="BP447:BP452" si="57">IFERROR(1/J447*(Y447/H447),"0")</f>
        <v>0.14423076923076925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400</v>
      </c>
      <c r="Y448" s="548">
        <f t="shared" si="53"/>
        <v>401.28000000000003</v>
      </c>
      <c r="Z448" s="36">
        <f>IFERROR(IF(Y448=0,"",ROUNDUP(Y448/H448,0)*0.01196),"")</f>
        <v>0.90895999999999999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426.5151515151515</v>
      </c>
      <c r="BN448" s="64">
        <f t="shared" si="55"/>
        <v>427.88</v>
      </c>
      <c r="BO448" s="64">
        <f t="shared" si="56"/>
        <v>0.72843822843822836</v>
      </c>
      <c r="BP448" s="64">
        <f t="shared" si="57"/>
        <v>0.73076923076923084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520</v>
      </c>
      <c r="Y449" s="548">
        <f t="shared" si="53"/>
        <v>522.72</v>
      </c>
      <c r="Z449" s="36">
        <f>IFERROR(IF(Y449=0,"",ROUNDUP(Y449/H449,0)*0.01196),"")</f>
        <v>1.18404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554.46969696969688</v>
      </c>
      <c r="BN449" s="64">
        <f t="shared" si="55"/>
        <v>557.37</v>
      </c>
      <c r="BO449" s="64">
        <f t="shared" si="56"/>
        <v>0.94696969696969702</v>
      </c>
      <c r="BP449" s="64">
        <f t="shared" si="57"/>
        <v>0.95192307692307698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188.44696969696969</v>
      </c>
      <c r="Y453" s="549">
        <f>IFERROR(Y447/H447,"0")+IFERROR(Y448/H448,"0")+IFERROR(Y449/H449,"0")+IFERROR(Y450/H450,"0")+IFERROR(Y451/H451,"0")+IFERROR(Y452/H452,"0")</f>
        <v>190</v>
      </c>
      <c r="Z453" s="549">
        <f>IFERROR(IF(Z447="",0,Z447),"0")+IFERROR(IF(Z448="",0,Z448),"0")+IFERROR(IF(Z449="",0,Z449),"0")+IFERROR(IF(Z450="",0,Z450),"0")+IFERROR(IF(Z451="",0,Z451),"0")+IFERROR(IF(Z452="",0,Z452),"0")</f>
        <v>2.2724000000000002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995</v>
      </c>
      <c r="Y454" s="549">
        <f>IFERROR(SUM(Y447:Y452),"0")</f>
        <v>1003.2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120</v>
      </c>
      <c r="Y464" s="548">
        <f>IFERROR(IF(X464="",0,CEILING((X464/$H464),1)*$H464),"")</f>
        <v>120</v>
      </c>
      <c r="Z464" s="36">
        <f>IFERROR(IF(Y464=0,"",ROUNDUP(Y464/H464,0)*0.01898),"")</f>
        <v>0.1898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124.10000000000001</v>
      </c>
      <c r="BN464" s="64">
        <f>IFERROR(Y464*I464/H464,"0")</f>
        <v>124.10000000000001</v>
      </c>
      <c r="BO464" s="64">
        <f>IFERROR(1/J464*(X464/H464),"0")</f>
        <v>0.15625</v>
      </c>
      <c r="BP464" s="64">
        <f>IFERROR(1/J464*(Y464/H464),"0")</f>
        <v>0.15625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10</v>
      </c>
      <c r="Y466" s="549">
        <f>IFERROR(Y462/H462,"0")+IFERROR(Y463/H463,"0")+IFERROR(Y464/H464,"0")+IFERROR(Y465/H465,"0")</f>
        <v>10</v>
      </c>
      <c r="Z466" s="549">
        <f>IFERROR(IF(Z462="",0,Z462),"0")+IFERROR(IF(Z463="",0,Z463),"0")+IFERROR(IF(Z464="",0,Z464),"0")+IFERROR(IF(Z465="",0,Z465),"0")</f>
        <v>0.1898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120</v>
      </c>
      <c r="Y467" s="549">
        <f>IFERROR(SUM(Y462:Y465),"0")</f>
        <v>120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17953.25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18167.18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18759.264166847413</v>
      </c>
      <c r="Y493" s="549">
        <f>IFERROR(SUM(BN22:BN489),"0")</f>
        <v>18983.276000000002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29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19484.264166847413</v>
      </c>
      <c r="Y495" s="549">
        <f>GrossWeightTotalR+PalletQtyTotalR*25</f>
        <v>19708.276000000002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2099.8098556403152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2127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33.33399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1857.6000000000001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1584.8</v>
      </c>
      <c r="E502" s="46">
        <f>IFERROR(Y86*1,"0")+IFERROR(Y87*1,"0")+IFERROR(Y88*1,"0")+IFERROR(Y89*1,"0")+IFERROR(Y93*1,"0")+IFERROR(Y94*1,"0")+IFERROR(Y95*1,"0")+IFERROR(Y96*1,"0")</f>
        <v>699.30000000000007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923.4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36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71.400000000000006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952.2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37.799999999999997</v>
      </c>
      <c r="L502" s="46">
        <f>IFERROR(Y259*1,"0")+IFERROR(Y260*1,"0")+IFERROR(Y261*1,"0")+IFERROR(Y262*1,"0")+IFERROR(Y263*1,"0")</f>
        <v>118.80000000000001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4.8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505.20000000000005</v>
      </c>
      <c r="R502" s="46">
        <f>IFERROR(Y339*1,"0")+IFERROR(Y340*1,"0")+IFERROR(Y341*1,"0")</f>
        <v>113.39999999999999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5586</v>
      </c>
      <c r="T502" s="46">
        <f>IFERROR(Y372*1,"0")+IFERROR(Y373*1,"0")+IFERROR(Y377*1,"0")+IFERROR(Y378*1,"0")+IFERROR(Y382*1,"0")+IFERROR(Y383*1,"0")+IFERROR(Y384*1,"0")</f>
        <v>2085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156.60000000000002</v>
      </c>
      <c r="V502" s="46">
        <f>IFERROR(Y408*1,"0")+IFERROR(Y412*1,"0")+IFERROR(Y413*1,"0")+IFERROR(Y414*1,"0")+IFERROR(Y415*1,"0")</f>
        <v>194.4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3120.4799999999996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120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