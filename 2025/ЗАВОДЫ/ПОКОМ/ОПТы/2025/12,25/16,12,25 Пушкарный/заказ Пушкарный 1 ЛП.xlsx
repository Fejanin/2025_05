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AA78579-F57B-4142-AD19-51318F1001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Z502" i="1" s="1"/>
  <c r="P489" i="1"/>
  <c r="X486" i="1"/>
  <c r="X485" i="1"/>
  <c r="BP484" i="1"/>
  <c r="BO484" i="1"/>
  <c r="BN484" i="1"/>
  <c r="BM484" i="1"/>
  <c r="Z484" i="1"/>
  <c r="Y484" i="1"/>
  <c r="P484" i="1"/>
  <c r="BO483" i="1"/>
  <c r="BM483" i="1"/>
  <c r="Y483" i="1"/>
  <c r="Y485" i="1" s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BO463" i="1"/>
  <c r="BM463" i="1"/>
  <c r="Y463" i="1"/>
  <c r="Y467" i="1" s="1"/>
  <c r="P463" i="1"/>
  <c r="BP462" i="1"/>
  <c r="BO462" i="1"/>
  <c r="BN462" i="1"/>
  <c r="BM462" i="1"/>
  <c r="Z462" i="1"/>
  <c r="Y462" i="1"/>
  <c r="P462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Y445" i="1" s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W50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Y416" i="1" s="1"/>
  <c r="P412" i="1"/>
  <c r="X410" i="1"/>
  <c r="X409" i="1"/>
  <c r="BO408" i="1"/>
  <c r="BM408" i="1"/>
  <c r="Y408" i="1"/>
  <c r="V502" i="1" s="1"/>
  <c r="P408" i="1"/>
  <c r="X405" i="1"/>
  <c r="X404" i="1"/>
  <c r="BO403" i="1"/>
  <c r="BM403" i="1"/>
  <c r="Y403" i="1"/>
  <c r="Y405" i="1" s="1"/>
  <c r="P403" i="1"/>
  <c r="BP402" i="1"/>
  <c r="BO402" i="1"/>
  <c r="BN402" i="1"/>
  <c r="BM402" i="1"/>
  <c r="Z402" i="1"/>
  <c r="Y402" i="1"/>
  <c r="Y404" i="1" s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Y385" i="1" s="1"/>
  <c r="P383" i="1"/>
  <c r="BP382" i="1"/>
  <c r="BO382" i="1"/>
  <c r="BN382" i="1"/>
  <c r="BM382" i="1"/>
  <c r="Z382" i="1"/>
  <c r="Y382" i="1"/>
  <c r="P382" i="1"/>
  <c r="X380" i="1"/>
  <c r="Y379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X364" i="1"/>
  <c r="BP363" i="1"/>
  <c r="BO363" i="1"/>
  <c r="BN363" i="1"/>
  <c r="BM363" i="1"/>
  <c r="Z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Y342" i="1" s="1"/>
  <c r="P340" i="1"/>
  <c r="BP339" i="1"/>
  <c r="BO339" i="1"/>
  <c r="BN339" i="1"/>
  <c r="BM339" i="1"/>
  <c r="Z339" i="1"/>
  <c r="Y339" i="1"/>
  <c r="P339" i="1"/>
  <c r="X336" i="1"/>
  <c r="Y335" i="1"/>
  <c r="X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Y336" i="1" s="1"/>
  <c r="P332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Y316" i="1" s="1"/>
  <c r="P312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Y309" i="1" s="1"/>
  <c r="P303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Y290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P278" i="1"/>
  <c r="BO278" i="1"/>
  <c r="BN278" i="1"/>
  <c r="BM278" i="1"/>
  <c r="Z278" i="1"/>
  <c r="Y278" i="1"/>
  <c r="P278" i="1"/>
  <c r="BO277" i="1"/>
  <c r="BM277" i="1"/>
  <c r="Y277" i="1"/>
  <c r="Y279" i="1" s="1"/>
  <c r="P277" i="1"/>
  <c r="BP276" i="1"/>
  <c r="BO276" i="1"/>
  <c r="BN276" i="1"/>
  <c r="BM276" i="1"/>
  <c r="Z276" i="1"/>
  <c r="Y276" i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Y256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5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502" i="1" s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8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H502" i="1" s="1"/>
  <c r="P144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Y107" i="1" s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E502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H9" i="1" l="1"/>
  <c r="A10" i="1"/>
  <c r="Y32" i="1"/>
  <c r="F9" i="1"/>
  <c r="J9" i="1"/>
  <c r="Z22" i="1"/>
  <c r="Z24" i="1" s="1"/>
  <c r="BN22" i="1"/>
  <c r="BP22" i="1"/>
  <c r="X496" i="1"/>
  <c r="Y25" i="1"/>
  <c r="Z28" i="1"/>
  <c r="Z32" i="1" s="1"/>
  <c r="BN28" i="1"/>
  <c r="Z30" i="1"/>
  <c r="BN30" i="1"/>
  <c r="C502" i="1"/>
  <c r="Z42" i="1"/>
  <c r="Z44" i="1" s="1"/>
  <c r="BN42" i="1"/>
  <c r="BP42" i="1"/>
  <c r="Y45" i="1"/>
  <c r="D502" i="1"/>
  <c r="Z53" i="1"/>
  <c r="Z58" i="1" s="1"/>
  <c r="BN53" i="1"/>
  <c r="BP53" i="1"/>
  <c r="Z55" i="1"/>
  <c r="BN55" i="1"/>
  <c r="Z57" i="1"/>
  <c r="BN57" i="1"/>
  <c r="Y58" i="1"/>
  <c r="Z61" i="1"/>
  <c r="Z64" i="1" s="1"/>
  <c r="BN61" i="1"/>
  <c r="BP61" i="1"/>
  <c r="Z63" i="1"/>
  <c r="BN63" i="1"/>
  <c r="Y64" i="1"/>
  <c r="Z67" i="1"/>
  <c r="Z70" i="1" s="1"/>
  <c r="BN67" i="1"/>
  <c r="BP67" i="1"/>
  <c r="Z69" i="1"/>
  <c r="BN69" i="1"/>
  <c r="Y70" i="1"/>
  <c r="Z73" i="1"/>
  <c r="Z77" i="1" s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7" i="1"/>
  <c r="BN87" i="1"/>
  <c r="Z89" i="1"/>
  <c r="BN89" i="1"/>
  <c r="Y90" i="1"/>
  <c r="Z93" i="1"/>
  <c r="BN93" i="1"/>
  <c r="BP93" i="1"/>
  <c r="Z95" i="1"/>
  <c r="BN95" i="1"/>
  <c r="Y98" i="1"/>
  <c r="F502" i="1"/>
  <c r="Z103" i="1"/>
  <c r="Z106" i="1" s="1"/>
  <c r="BN103" i="1"/>
  <c r="BP103" i="1"/>
  <c r="Z105" i="1"/>
  <c r="BN105" i="1"/>
  <c r="Y106" i="1"/>
  <c r="Z109" i="1"/>
  <c r="Z113" i="1" s="1"/>
  <c r="BN109" i="1"/>
  <c r="BP109" i="1"/>
  <c r="Z110" i="1"/>
  <c r="BN110" i="1"/>
  <c r="Z112" i="1"/>
  <c r="BN112" i="1"/>
  <c r="Y113" i="1"/>
  <c r="Z116" i="1"/>
  <c r="Z120" i="1" s="1"/>
  <c r="BN116" i="1"/>
  <c r="BP116" i="1"/>
  <c r="Z118" i="1"/>
  <c r="BN118" i="1"/>
  <c r="Y121" i="1"/>
  <c r="G502" i="1"/>
  <c r="Z129" i="1"/>
  <c r="Z130" i="1" s="1"/>
  <c r="BN129" i="1"/>
  <c r="BP129" i="1"/>
  <c r="Y130" i="1"/>
  <c r="Z133" i="1"/>
  <c r="Z135" i="1" s="1"/>
  <c r="BN133" i="1"/>
  <c r="BP133" i="1"/>
  <c r="Y136" i="1"/>
  <c r="Z139" i="1"/>
  <c r="Z140" i="1" s="1"/>
  <c r="BN139" i="1"/>
  <c r="BP139" i="1"/>
  <c r="Z144" i="1"/>
  <c r="Z146" i="1" s="1"/>
  <c r="BN144" i="1"/>
  <c r="BP144" i="1"/>
  <c r="Y147" i="1"/>
  <c r="Z150" i="1"/>
  <c r="Z152" i="1" s="1"/>
  <c r="BN150" i="1"/>
  <c r="BP150" i="1"/>
  <c r="I502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Z239" i="1" s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Y243" i="1"/>
  <c r="Z246" i="1"/>
  <c r="Z247" i="1" s="1"/>
  <c r="BN246" i="1"/>
  <c r="BP246" i="1"/>
  <c r="Y247" i="1"/>
  <c r="Z250" i="1"/>
  <c r="Z255" i="1" s="1"/>
  <c r="BN250" i="1"/>
  <c r="BP250" i="1"/>
  <c r="Z252" i="1"/>
  <c r="BN252" i="1"/>
  <c r="Z254" i="1"/>
  <c r="BN254" i="1"/>
  <c r="Y255" i="1"/>
  <c r="BP261" i="1"/>
  <c r="BN261" i="1"/>
  <c r="Z261" i="1"/>
  <c r="BP270" i="1"/>
  <c r="BN270" i="1"/>
  <c r="Z270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1" i="1"/>
  <c r="BN321" i="1"/>
  <c r="Z321" i="1"/>
  <c r="Y330" i="1"/>
  <c r="BP325" i="1"/>
  <c r="BN325" i="1"/>
  <c r="Z325" i="1"/>
  <c r="Y329" i="1"/>
  <c r="BP333" i="1"/>
  <c r="BN333" i="1"/>
  <c r="Z333" i="1"/>
  <c r="Z335" i="1" s="1"/>
  <c r="BP348" i="1"/>
  <c r="BN348" i="1"/>
  <c r="Z348" i="1"/>
  <c r="Z354" i="1" s="1"/>
  <c r="BP352" i="1"/>
  <c r="BN352" i="1"/>
  <c r="Z352" i="1"/>
  <c r="Y359" i="1"/>
  <c r="BP373" i="1"/>
  <c r="BN373" i="1"/>
  <c r="Z373" i="1"/>
  <c r="Z374" i="1" s="1"/>
  <c r="Y375" i="1"/>
  <c r="Y380" i="1"/>
  <c r="BP377" i="1"/>
  <c r="BN377" i="1"/>
  <c r="Z377" i="1"/>
  <c r="Z379" i="1" s="1"/>
  <c r="Y386" i="1"/>
  <c r="BP391" i="1"/>
  <c r="BN391" i="1"/>
  <c r="Z391" i="1"/>
  <c r="BP395" i="1"/>
  <c r="BN395" i="1"/>
  <c r="Z395" i="1"/>
  <c r="Y399" i="1"/>
  <c r="Y24" i="1"/>
  <c r="Y91" i="1"/>
  <c r="Y146" i="1"/>
  <c r="Y193" i="1"/>
  <c r="Y240" i="1"/>
  <c r="L502" i="1"/>
  <c r="Y264" i="1"/>
  <c r="BP259" i="1"/>
  <c r="BN259" i="1"/>
  <c r="Z259" i="1"/>
  <c r="Z264" i="1" s="1"/>
  <c r="BP263" i="1"/>
  <c r="BN263" i="1"/>
  <c r="Z263" i="1"/>
  <c r="Y265" i="1"/>
  <c r="M502" i="1"/>
  <c r="Y273" i="1"/>
  <c r="BP268" i="1"/>
  <c r="BN268" i="1"/>
  <c r="Z268" i="1"/>
  <c r="Z272" i="1" s="1"/>
  <c r="Y272" i="1"/>
  <c r="BP277" i="1"/>
  <c r="BN277" i="1"/>
  <c r="Z277" i="1"/>
  <c r="Z279" i="1" s="1"/>
  <c r="BP295" i="1"/>
  <c r="BN295" i="1"/>
  <c r="Z295" i="1"/>
  <c r="Z300" i="1" s="1"/>
  <c r="BP299" i="1"/>
  <c r="BN299" i="1"/>
  <c r="Z299" i="1"/>
  <c r="Y301" i="1"/>
  <c r="Y310" i="1"/>
  <c r="BP303" i="1"/>
  <c r="BN303" i="1"/>
  <c r="Z303" i="1"/>
  <c r="BP307" i="1"/>
  <c r="BN307" i="1"/>
  <c r="Z307" i="1"/>
  <c r="BP315" i="1"/>
  <c r="BN315" i="1"/>
  <c r="Z315" i="1"/>
  <c r="Y317" i="1"/>
  <c r="Y322" i="1"/>
  <c r="BP319" i="1"/>
  <c r="BN319" i="1"/>
  <c r="Z319" i="1"/>
  <c r="Z322" i="1" s="1"/>
  <c r="BP327" i="1"/>
  <c r="BN327" i="1"/>
  <c r="Z327" i="1"/>
  <c r="Z342" i="1"/>
  <c r="BP340" i="1"/>
  <c r="BN340" i="1"/>
  <c r="Z340" i="1"/>
  <c r="BP350" i="1"/>
  <c r="BN350" i="1"/>
  <c r="Z350" i="1"/>
  <c r="Y354" i="1"/>
  <c r="BP358" i="1"/>
  <c r="BN358" i="1"/>
  <c r="Z358" i="1"/>
  <c r="Z359" i="1" s="1"/>
  <c r="Y360" i="1"/>
  <c r="Y365" i="1"/>
  <c r="BP362" i="1"/>
  <c r="BN362" i="1"/>
  <c r="Z362" i="1"/>
  <c r="Z364" i="1" s="1"/>
  <c r="Z385" i="1"/>
  <c r="BP383" i="1"/>
  <c r="BN383" i="1"/>
  <c r="Z383" i="1"/>
  <c r="BP393" i="1"/>
  <c r="BN393" i="1"/>
  <c r="Z393" i="1"/>
  <c r="Z399" i="1" s="1"/>
  <c r="BP397" i="1"/>
  <c r="BN397" i="1"/>
  <c r="Z397" i="1"/>
  <c r="O502" i="1"/>
  <c r="Y280" i="1"/>
  <c r="P502" i="1"/>
  <c r="Y285" i="1"/>
  <c r="Q502" i="1"/>
  <c r="Y300" i="1"/>
  <c r="R502" i="1"/>
  <c r="Y343" i="1"/>
  <c r="S502" i="1"/>
  <c r="Y355" i="1"/>
  <c r="T502" i="1"/>
  <c r="Y374" i="1"/>
  <c r="U502" i="1"/>
  <c r="Y400" i="1"/>
  <c r="Z403" i="1"/>
  <c r="Z404" i="1" s="1"/>
  <c r="BN403" i="1"/>
  <c r="BP403" i="1"/>
  <c r="Z408" i="1"/>
  <c r="Z409" i="1" s="1"/>
  <c r="BN408" i="1"/>
  <c r="BP408" i="1"/>
  <c r="Y409" i="1"/>
  <c r="Z412" i="1"/>
  <c r="BN412" i="1"/>
  <c r="BP412" i="1"/>
  <c r="Z414" i="1"/>
  <c r="BN414" i="1"/>
  <c r="Y417" i="1"/>
  <c r="Y422" i="1"/>
  <c r="X502" i="1"/>
  <c r="Y438" i="1"/>
  <c r="BP426" i="1"/>
  <c r="BN426" i="1"/>
  <c r="BP427" i="1"/>
  <c r="BN427" i="1"/>
  <c r="Z427" i="1"/>
  <c r="Z438" i="1" s="1"/>
  <c r="BP431" i="1"/>
  <c r="BN431" i="1"/>
  <c r="Z431" i="1"/>
  <c r="BP435" i="1"/>
  <c r="BN435" i="1"/>
  <c r="Z435" i="1"/>
  <c r="BP443" i="1"/>
  <c r="BN443" i="1"/>
  <c r="Z443" i="1"/>
  <c r="Y454" i="1"/>
  <c r="BP447" i="1"/>
  <c r="BN447" i="1"/>
  <c r="Z447" i="1"/>
  <c r="BP451" i="1"/>
  <c r="BN451" i="1"/>
  <c r="Z451" i="1"/>
  <c r="Y502" i="1"/>
  <c r="BP465" i="1"/>
  <c r="BN465" i="1"/>
  <c r="Z465" i="1"/>
  <c r="Y472" i="1"/>
  <c r="BP469" i="1"/>
  <c r="BN469" i="1"/>
  <c r="Z469" i="1"/>
  <c r="Z471" i="1" s="1"/>
  <c r="Y476" i="1"/>
  <c r="Y410" i="1"/>
  <c r="BP429" i="1"/>
  <c r="BN429" i="1"/>
  <c r="Z429" i="1"/>
  <c r="BP433" i="1"/>
  <c r="BN433" i="1"/>
  <c r="Z433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3" i="1"/>
  <c r="BP463" i="1"/>
  <c r="BN463" i="1"/>
  <c r="Z463" i="1"/>
  <c r="Z466" i="1" s="1"/>
  <c r="BP475" i="1"/>
  <c r="BN475" i="1"/>
  <c r="Z475" i="1"/>
  <c r="Z476" i="1" s="1"/>
  <c r="Y477" i="1"/>
  <c r="Y480" i="1"/>
  <c r="BP479" i="1"/>
  <c r="BN479" i="1"/>
  <c r="Z479" i="1"/>
  <c r="Z480" i="1" s="1"/>
  <c r="Y481" i="1"/>
  <c r="Y486" i="1"/>
  <c r="BP483" i="1"/>
  <c r="BN483" i="1"/>
  <c r="Z483" i="1"/>
  <c r="Z485" i="1" s="1"/>
  <c r="Y466" i="1"/>
  <c r="Y491" i="1"/>
  <c r="Z489" i="1"/>
  <c r="Z490" i="1" s="1"/>
  <c r="BN489" i="1"/>
  <c r="BP489" i="1"/>
  <c r="Y490" i="1"/>
  <c r="Z453" i="1" l="1"/>
  <c r="Z416" i="1"/>
  <c r="Z316" i="1"/>
  <c r="Y493" i="1"/>
  <c r="Z309" i="1"/>
  <c r="Y496" i="1"/>
  <c r="Z329" i="1"/>
  <c r="Z183" i="1"/>
  <c r="Z177" i="1"/>
  <c r="Z97" i="1"/>
  <c r="Z90" i="1"/>
  <c r="Y492" i="1"/>
  <c r="Y494" i="1"/>
  <c r="Z497" i="1"/>
  <c r="Y495" i="1" l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<sst xmlns="http://schemas.openxmlformats.org/spreadsheetml/2006/main" count="2362" uniqueCount="778">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</sst>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6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100</v>
      </c>
      <c r="Y53" s="548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9</v>
      </c>
      <c r="Y57" s="548">
        <f t="shared" si="0"/>
        <v>9</v>
      </c>
      <c r="Z57" s="36">
        <f>IFERROR(IF(Y57=0,"",ROUNDUP(Y57/H57,0)*0.00902),"")</f>
        <v>1.804E-2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9.3800000000000008</v>
      </c>
      <c r="BN57" s="64">
        <f t="shared" si="2"/>
        <v>9.3800000000000008</v>
      </c>
      <c r="BO57" s="64">
        <f t="shared" si="3"/>
        <v>1.5151515151515152E-2</v>
      </c>
      <c r="BP57" s="64">
        <f t="shared" si="4"/>
        <v>1.5151515151515152E-2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11.25925925925926</v>
      </c>
      <c r="Y58" s="549">
        <f>IFERROR(Y52/H52,"0")+IFERROR(Y53/H53,"0")+IFERROR(Y54/H54,"0")+IFERROR(Y55/H55,"0")+IFERROR(Y56/H56,"0")+IFERROR(Y57/H57,"0")</f>
        <v>12</v>
      </c>
      <c r="Z58" s="549">
        <f>IFERROR(IF(Z52="",0,Z52),"0")+IFERROR(IF(Z53="",0,Z53),"0")+IFERROR(IF(Z54="",0,Z54),"0")+IFERROR(IF(Z55="",0,Z55),"0")+IFERROR(IF(Z56="",0,Z56),"0")+IFERROR(IF(Z57="",0,Z57),"0")</f>
        <v>0.20784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109</v>
      </c>
      <c r="Y59" s="549">
        <f>IFERROR(SUM(Y52:Y57),"0")</f>
        <v>117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100</v>
      </c>
      <c r="Y61" s="548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9.2592592592592595</v>
      </c>
      <c r="Y64" s="549">
        <f>IFERROR(Y61/H61,"0")+IFERROR(Y62/H62,"0")+IFERROR(Y63/H63,"0")</f>
        <v>10</v>
      </c>
      <c r="Z64" s="549">
        <f>IFERROR(IF(Z61="",0,Z61),"0")+IFERROR(IF(Z62="",0,Z62),"0")+IFERROR(IF(Z63="",0,Z63),"0")</f>
        <v>0.1898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100</v>
      </c>
      <c r="Y65" s="549">
        <f>IFERROR(SUM(Y61:Y63),"0")</f>
        <v>108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50</v>
      </c>
      <c r="Y80" s="548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6.4102564102564106</v>
      </c>
      <c r="Y82" s="549">
        <f>IFERROR(Y80/H80,"0")+IFERROR(Y81/H81,"0")</f>
        <v>7</v>
      </c>
      <c r="Z82" s="549">
        <f>IFERROR(IF(Z80="",0,Z80),"0")+IFERROR(IF(Z81="",0,Z81),"0")</f>
        <v>0.13286000000000001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50</v>
      </c>
      <c r="Y83" s="549">
        <f>IFERROR(SUM(Y80:Y81),"0")</f>
        <v>54.6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30</v>
      </c>
      <c r="Y86" s="548">
        <f>IFERROR(IF(X86="",0,CEILING((X86/$H86),1)*$H86),"")</f>
        <v>32.400000000000006</v>
      </c>
      <c r="Z86" s="36">
        <f>IFERROR(IF(Y86=0,"",ROUNDUP(Y86/H86,0)*0.01898),"")</f>
        <v>5.6940000000000004E-2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31.138888888888889</v>
      </c>
      <c r="BN86" s="64">
        <f>IFERROR(Y86*I86/H86,"0")</f>
        <v>33.630000000000003</v>
      </c>
      <c r="BO86" s="64">
        <f>IFERROR(1/J86*(X86/H86),"0")</f>
        <v>4.3402777777777776E-2</v>
      </c>
      <c r="BP86" s="64">
        <f>IFERROR(1/J86*(Y86/H86),"0")</f>
        <v>4.6875000000000007E-2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31</v>
      </c>
      <c r="Y89" s="548">
        <f>IFERROR(IF(X89="",0,CEILING((X89/$H89),1)*$H89),"")</f>
        <v>31.5</v>
      </c>
      <c r="Z89" s="36">
        <f>IFERROR(IF(Y89=0,"",ROUNDUP(Y89/H89,0)*0.00902),"")</f>
        <v>6.3140000000000002E-2</v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32.308888888888895</v>
      </c>
      <c r="BN89" s="64">
        <f>IFERROR(Y89*I89/H89,"0")</f>
        <v>32.830000000000005</v>
      </c>
      <c r="BO89" s="64">
        <f>IFERROR(1/J89*(X89/H89),"0")</f>
        <v>5.2188552188552194E-2</v>
      </c>
      <c r="BP89" s="64">
        <f>IFERROR(1/J89*(Y89/H89),"0")</f>
        <v>5.3030303030303032E-2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9.6666666666666679</v>
      </c>
      <c r="Y90" s="549">
        <f>IFERROR(Y86/H86,"0")+IFERROR(Y87/H87,"0")+IFERROR(Y88/H88,"0")+IFERROR(Y89/H89,"0")</f>
        <v>10</v>
      </c>
      <c r="Z90" s="549">
        <f>IFERROR(IF(Z86="",0,Z86),"0")+IFERROR(IF(Z87="",0,Z87),"0")+IFERROR(IF(Z88="",0,Z88),"0")+IFERROR(IF(Z89="",0,Z89),"0")</f>
        <v>0.12008000000000001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61</v>
      </c>
      <c r="Y91" s="549">
        <f>IFERROR(SUM(Y86:Y89),"0")</f>
        <v>63.900000000000006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40</v>
      </c>
      <c r="Y93" s="548">
        <f>IFERROR(IF(X93="",0,CEILING((X93/$H93),1)*$H93),"")</f>
        <v>40.5</v>
      </c>
      <c r="Z93" s="36">
        <f>IFERROR(IF(Y93=0,"",ROUNDUP(Y93/H93,0)*0.01898),"")</f>
        <v>9.4899999999999998E-2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42.439506172839508</v>
      </c>
      <c r="BN93" s="64">
        <f>IFERROR(Y93*I93/H93,"0")</f>
        <v>42.97</v>
      </c>
      <c r="BO93" s="64">
        <f>IFERROR(1/J93*(X93/H93),"0")</f>
        <v>7.7160493827160503E-2</v>
      </c>
      <c r="BP93" s="64">
        <f>IFERROR(1/J93*(Y93/H93),"0")</f>
        <v>7.8125E-2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4.9382716049382722</v>
      </c>
      <c r="Y97" s="549">
        <f>IFERROR(Y93/H93,"0")+IFERROR(Y94/H94,"0")+IFERROR(Y95/H95,"0")+IFERROR(Y96/H96,"0")</f>
        <v>5</v>
      </c>
      <c r="Z97" s="549">
        <f>IFERROR(IF(Z93="",0,Z93),"0")+IFERROR(IF(Z94="",0,Z94),"0")+IFERROR(IF(Z95="",0,Z95),"0")+IFERROR(IF(Z96="",0,Z96),"0")</f>
        <v>9.4899999999999998E-2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40</v>
      </c>
      <c r="Y98" s="549">
        <f>IFERROR(SUM(Y93:Y96),"0")</f>
        <v>40.5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140</v>
      </c>
      <c r="Y116" s="548">
        <f>IFERROR(IF(X116="",0,CEILING((X116/$H116),1)*$H116),"")</f>
        <v>145.79999999999998</v>
      </c>
      <c r="Z116" s="36">
        <f>IFERROR(IF(Y116=0,"",ROUNDUP(Y116/H116,0)*0.01898),"")</f>
        <v>0.34164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148.43456790123457</v>
      </c>
      <c r="BN116" s="64">
        <f>IFERROR(Y116*I116/H116,"0")</f>
        <v>154.58399999999997</v>
      </c>
      <c r="BO116" s="64">
        <f>IFERROR(1/J116*(X116/H116),"0")</f>
        <v>0.27006172839506176</v>
      </c>
      <c r="BP116" s="64">
        <f>IFERROR(1/J116*(Y116/H116),"0")</f>
        <v>0.28125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17.283950617283953</v>
      </c>
      <c r="Y120" s="549">
        <f>IFERROR(Y116/H116,"0")+IFERROR(Y117/H117,"0")+IFERROR(Y118/H118,"0")+IFERROR(Y119/H119,"0")</f>
        <v>18</v>
      </c>
      <c r="Z120" s="549">
        <f>IFERROR(IF(Z116="",0,Z116),"0")+IFERROR(IF(Z117="",0,Z117),"0")+IFERROR(IF(Z118="",0,Z118),"0")+IFERROR(IF(Z119="",0,Z119),"0")</f>
        <v>0.34164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140</v>
      </c>
      <c r="Y121" s="549">
        <f>IFERROR(SUM(Y116:Y119),"0")</f>
        <v>145.79999999999998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112</v>
      </c>
      <c r="Y128" s="548">
        <f>IFERROR(IF(X128="",0,CEILING((X128/$H128),1)*$H128),"")</f>
        <v>112</v>
      </c>
      <c r="Z128" s="36">
        <f>IFERROR(IF(Y128=0,"",ROUNDUP(Y128/H128,0)*0.00651),"")</f>
        <v>0.22785</v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118.3</v>
      </c>
      <c r="BN128" s="64">
        <f>IFERROR(Y128*I128/H128,"0")</f>
        <v>118.3</v>
      </c>
      <c r="BO128" s="64">
        <f>IFERROR(1/J128*(X128/H128),"0")</f>
        <v>0.19230769230769232</v>
      </c>
      <c r="BP128" s="64">
        <f>IFERROR(1/J128*(Y128/H128),"0")</f>
        <v>0.19230769230769232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35</v>
      </c>
      <c r="Y130" s="549">
        <f>IFERROR(Y128/H128,"0")+IFERROR(Y129/H129,"0")</f>
        <v>35</v>
      </c>
      <c r="Z130" s="549">
        <f>IFERROR(IF(Z128="",0,Z128),"0")+IFERROR(IF(Z129="",0,Z129),"0")</f>
        <v>0.22785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112</v>
      </c>
      <c r="Y131" s="549">
        <f>IFERROR(SUM(Y128:Y129),"0")</f>
        <v>112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42</v>
      </c>
      <c r="Y133" s="548">
        <f>IFERROR(IF(X133="",0,CEILING((X133/$H133),1)*$H133),"")</f>
        <v>42</v>
      </c>
      <c r="Z133" s="36">
        <f>IFERROR(IF(Y133=0,"",ROUNDUP(Y133/H133,0)*0.00651),"")</f>
        <v>9.7650000000000001E-2</v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46.02</v>
      </c>
      <c r="BN133" s="64">
        <f>IFERROR(Y133*I133/H133,"0")</f>
        <v>46.02</v>
      </c>
      <c r="BO133" s="64">
        <f>IFERROR(1/J133*(X133/H133),"0")</f>
        <v>8.241758241758243E-2</v>
      </c>
      <c r="BP133" s="64">
        <f>IFERROR(1/J133*(Y133/H133),"0")</f>
        <v>8.241758241758243E-2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15.000000000000002</v>
      </c>
      <c r="Y135" s="549">
        <f>IFERROR(Y133/H133,"0")+IFERROR(Y134/H134,"0")</f>
        <v>15.000000000000002</v>
      </c>
      <c r="Z135" s="549">
        <f>IFERROR(IF(Z133="",0,Z133),"0")+IFERROR(IF(Z134="",0,Z134),"0")</f>
        <v>9.7650000000000001E-2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42</v>
      </c>
      <c r="Y136" s="549">
        <f>IFERROR(SUM(Y133:Y134),"0")</f>
        <v>42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24</v>
      </c>
      <c r="Y151" s="548">
        <f>IFERROR(IF(X151="",0,CEILING((X151/$H151),1)*$H151),"")</f>
        <v>27</v>
      </c>
      <c r="Z151" s="36">
        <f>IFERROR(IF(Y151=0,"",ROUNDUP(Y151/H151,0)*0.01898),"")</f>
        <v>5.6940000000000004E-2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25.493333333333332</v>
      </c>
      <c r="BN151" s="64">
        <f>IFERROR(Y151*I151/H151,"0")</f>
        <v>28.68</v>
      </c>
      <c r="BO151" s="64">
        <f>IFERROR(1/J151*(X151/H151),"0")</f>
        <v>4.1666666666666664E-2</v>
      </c>
      <c r="BP151" s="64">
        <f>IFERROR(1/J151*(Y151/H151),"0")</f>
        <v>4.6875E-2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2.6666666666666665</v>
      </c>
      <c r="Y152" s="549">
        <f>IFERROR(Y149/H149,"0")+IFERROR(Y150/H150,"0")+IFERROR(Y151/H151,"0")</f>
        <v>3</v>
      </c>
      <c r="Z152" s="549">
        <f>IFERROR(IF(Z149="",0,Z149),"0")+IFERROR(IF(Z150="",0,Z150),"0")+IFERROR(IF(Z151="",0,Z151),"0")</f>
        <v>5.6940000000000004E-2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24</v>
      </c>
      <c r="Y153" s="549">
        <f>IFERROR(SUM(Y149:Y151),"0")</f>
        <v>27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15</v>
      </c>
      <c r="Y166" s="548">
        <f t="shared" si="5"/>
        <v>16.8</v>
      </c>
      <c r="Z166" s="36">
        <f>IFERROR(IF(Y166=0,"",ROUNDUP(Y166/H166,0)*0.00902),"")</f>
        <v>3.6080000000000001E-2</v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15.892857142857142</v>
      </c>
      <c r="BN166" s="64">
        <f t="shared" si="7"/>
        <v>17.8</v>
      </c>
      <c r="BO166" s="64">
        <f t="shared" si="8"/>
        <v>2.7056277056277056E-2</v>
      </c>
      <c r="BP166" s="64">
        <f t="shared" si="9"/>
        <v>3.0303030303030304E-2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135</v>
      </c>
      <c r="Y168" s="548">
        <f t="shared" si="5"/>
        <v>138.6</v>
      </c>
      <c r="Z168" s="36">
        <f>IFERROR(IF(Y168=0,"",ROUNDUP(Y168/H168,0)*0.00902),"")</f>
        <v>0.29766000000000004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141.10714285714283</v>
      </c>
      <c r="BN168" s="64">
        <f t="shared" si="7"/>
        <v>144.86999999999998</v>
      </c>
      <c r="BO168" s="64">
        <f t="shared" si="8"/>
        <v>0.24350649350649348</v>
      </c>
      <c r="BP168" s="64">
        <f t="shared" si="9"/>
        <v>0.25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35.714285714285708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37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0.33374000000000004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150</v>
      </c>
      <c r="Y178" s="549">
        <f>IFERROR(SUM(Y165:Y176),"0")</f>
        <v>155.4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350</v>
      </c>
      <c r="Y201" s="548">
        <f t="shared" ref="Y201:Y208" si="10">IFERROR(IF(X201="",0,CEILING((X201/$H201),1)*$H201),"")</f>
        <v>351</v>
      </c>
      <c r="Z201" s="36">
        <f>IFERROR(IF(Y201=0,"",ROUNDUP(Y201/H201,0)*0.00902),"")</f>
        <v>0.58630000000000004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362.31481481481478</v>
      </c>
      <c r="BN201" s="64">
        <f t="shared" ref="BN201:BN208" si="12">IFERROR(Y201*I201/H201,"0")</f>
        <v>363.34999999999997</v>
      </c>
      <c r="BO201" s="64">
        <f t="shared" ref="BO201:BO208" si="13">IFERROR(1/J201*(X201/H201),"0")</f>
        <v>0.49102132435465767</v>
      </c>
      <c r="BP201" s="64">
        <f t="shared" ref="BP201:BP208" si="14">IFERROR(1/J201*(Y201/H201),"0")</f>
        <v>0.49242424242424243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250</v>
      </c>
      <c r="Y202" s="548">
        <f t="shared" si="10"/>
        <v>253.8</v>
      </c>
      <c r="Z202" s="36">
        <f>IFERROR(IF(Y202=0,"",ROUNDUP(Y202/H202,0)*0.00902),"")</f>
        <v>0.42393999999999998</v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258.7962962962963</v>
      </c>
      <c r="BN202" s="64">
        <f t="shared" si="12"/>
        <v>262.72999999999996</v>
      </c>
      <c r="BO202" s="64">
        <f t="shared" si="13"/>
        <v>0.35072951739618402</v>
      </c>
      <c r="BP202" s="64">
        <f t="shared" si="14"/>
        <v>0.35606060606060608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420</v>
      </c>
      <c r="Y203" s="548">
        <f t="shared" si="10"/>
        <v>421.20000000000005</v>
      </c>
      <c r="Z203" s="36">
        <f>IFERROR(IF(Y203=0,"",ROUNDUP(Y203/H203,0)*0.00902),"")</f>
        <v>0.70355999999999996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434.77777777777771</v>
      </c>
      <c r="BN203" s="64">
        <f t="shared" si="12"/>
        <v>436.02000000000004</v>
      </c>
      <c r="BO203" s="64">
        <f t="shared" si="13"/>
        <v>0.58922558922558921</v>
      </c>
      <c r="BP203" s="64">
        <f t="shared" si="14"/>
        <v>0.59090909090909094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930</v>
      </c>
      <c r="Y204" s="548">
        <f t="shared" si="10"/>
        <v>934.2</v>
      </c>
      <c r="Z204" s="36">
        <f>IFERROR(IF(Y204=0,"",ROUNDUP(Y204/H204,0)*0.00902),"")</f>
        <v>1.56046</v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962.72222222222217</v>
      </c>
      <c r="BN204" s="64">
        <f t="shared" si="12"/>
        <v>967.06999999999994</v>
      </c>
      <c r="BO204" s="64">
        <f t="shared" si="13"/>
        <v>1.3047138047138045</v>
      </c>
      <c r="BP204" s="64">
        <f t="shared" si="14"/>
        <v>1.3106060606060606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361.11111111111109</v>
      </c>
      <c r="Y209" s="549">
        <f>IFERROR(Y201/H201,"0")+IFERROR(Y202/H202,"0")+IFERROR(Y203/H203,"0")+IFERROR(Y204/H204,"0")+IFERROR(Y205/H205,"0")+IFERROR(Y206/H206,"0")+IFERROR(Y207/H207,"0")+IFERROR(Y208/H208,"0")</f>
        <v>363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3.2742599999999999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1950</v>
      </c>
      <c r="Y210" s="549">
        <f>IFERROR(SUM(Y201:Y208),"0")</f>
        <v>1960.2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80</v>
      </c>
      <c r="Y214" s="548">
        <f t="shared" si="15"/>
        <v>87</v>
      </c>
      <c r="Z214" s="36">
        <f>IFERROR(IF(Y214=0,"",ROUNDUP(Y214/H214,0)*0.01898),"")</f>
        <v>0.1898</v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84.542528735632203</v>
      </c>
      <c r="BN214" s="64">
        <f t="shared" si="17"/>
        <v>91.940000000000012</v>
      </c>
      <c r="BO214" s="64">
        <f t="shared" si="18"/>
        <v>0.14367816091954025</v>
      </c>
      <c r="BP214" s="64">
        <f t="shared" si="19"/>
        <v>0.15625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96</v>
      </c>
      <c r="Y217" s="548">
        <f t="shared" si="15"/>
        <v>96</v>
      </c>
      <c r="Z217" s="36">
        <f t="shared" si="20"/>
        <v>0.26040000000000002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106.08000000000001</v>
      </c>
      <c r="BN217" s="64">
        <f t="shared" si="17"/>
        <v>106.08000000000001</v>
      </c>
      <c r="BO217" s="64">
        <f t="shared" si="18"/>
        <v>0.2197802197802198</v>
      </c>
      <c r="BP217" s="64">
        <f t="shared" si="19"/>
        <v>0.2197802197802198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96</v>
      </c>
      <c r="Y219" s="548">
        <f t="shared" si="15"/>
        <v>96</v>
      </c>
      <c r="Z219" s="36">
        <f t="shared" si="20"/>
        <v>0.26040000000000002</v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106.08000000000001</v>
      </c>
      <c r="BN219" s="64">
        <f t="shared" si="17"/>
        <v>106.08000000000001</v>
      </c>
      <c r="BO219" s="64">
        <f t="shared" si="18"/>
        <v>0.2197802197802198</v>
      </c>
      <c r="BP219" s="64">
        <f t="shared" si="19"/>
        <v>0.2197802197802198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96</v>
      </c>
      <c r="Y220" s="548">
        <f t="shared" si="15"/>
        <v>96</v>
      </c>
      <c r="Z220" s="36">
        <f t="shared" si="20"/>
        <v>0.26040000000000002</v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106.32000000000001</v>
      </c>
      <c r="BN220" s="64">
        <f t="shared" si="17"/>
        <v>106.32000000000001</v>
      </c>
      <c r="BO220" s="64">
        <f t="shared" si="18"/>
        <v>0.2197802197802198</v>
      </c>
      <c r="BP220" s="64">
        <f t="shared" si="19"/>
        <v>0.2197802197802198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129.19540229885058</v>
      </c>
      <c r="Y221" s="549">
        <f>IFERROR(Y212/H212,"0")+IFERROR(Y213/H213,"0")+IFERROR(Y214/H214,"0")+IFERROR(Y215/H215,"0")+IFERROR(Y216/H216,"0")+IFERROR(Y217/H217,"0")+IFERROR(Y218/H218,"0")+IFERROR(Y219/H219,"0")+IFERROR(Y220/H220,"0")</f>
        <v>130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0.97100000000000009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368</v>
      </c>
      <c r="Y222" s="549">
        <f>IFERROR(SUM(Y212:Y220),"0")</f>
        <v>375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200</v>
      </c>
      <c r="Y294" s="548">
        <f t="shared" ref="Y294:Y299" si="26">IFERROR(IF(X294="",0,CEILING((X294/$H294),1)*$H294),"")</f>
        <v>205.20000000000002</v>
      </c>
      <c r="Z294" s="36">
        <f>IFERROR(IF(Y294=0,"",ROUNDUP(Y294/H294,0)*0.01898),"")</f>
        <v>0.36062</v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207.59259259259258</v>
      </c>
      <c r="BN294" s="64">
        <f t="shared" ref="BN294:BN299" si="28">IFERROR(Y294*I294/H294,"0")</f>
        <v>212.99</v>
      </c>
      <c r="BO294" s="64">
        <f t="shared" ref="BO294:BO299" si="29">IFERROR(1/J294*(X294/H294),"0")</f>
        <v>0.28935185185185186</v>
      </c>
      <c r="BP294" s="64">
        <f t="shared" ref="BP294:BP299" si="30">IFERROR(1/J294*(Y294/H294),"0")</f>
        <v>0.296875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80</v>
      </c>
      <c r="Y295" s="548">
        <f t="shared" si="26"/>
        <v>86.4</v>
      </c>
      <c r="Z295" s="36">
        <f>IFERROR(IF(Y295=0,"",ROUNDUP(Y295/H295,0)*0.01898),"")</f>
        <v>0.15184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83.037037037037038</v>
      </c>
      <c r="BN295" s="64">
        <f t="shared" si="28"/>
        <v>89.68</v>
      </c>
      <c r="BO295" s="64">
        <f t="shared" si="29"/>
        <v>0.11574074074074073</v>
      </c>
      <c r="BP295" s="64">
        <f t="shared" si="30"/>
        <v>0.125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40</v>
      </c>
      <c r="Y296" s="548">
        <f t="shared" si="26"/>
        <v>43.2</v>
      </c>
      <c r="Z296" s="36">
        <f>IFERROR(IF(Y296=0,"",ROUNDUP(Y296/H296,0)*0.01898),"")</f>
        <v>7.5920000000000001E-2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41.518518518518519</v>
      </c>
      <c r="BN296" s="64">
        <f t="shared" si="28"/>
        <v>44.84</v>
      </c>
      <c r="BO296" s="64">
        <f t="shared" si="29"/>
        <v>5.7870370370370364E-2</v>
      </c>
      <c r="BP296" s="64">
        <f t="shared" si="30"/>
        <v>6.25E-2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8</v>
      </c>
      <c r="Y299" s="548">
        <f t="shared" si="26"/>
        <v>8</v>
      </c>
      <c r="Z299" s="36">
        <f>IFERROR(IF(Y299=0,"",ROUNDUP(Y299/H299,0)*0.00902),"")</f>
        <v>1.804E-2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8.3800000000000008</v>
      </c>
      <c r="BN299" s="64">
        <f t="shared" si="28"/>
        <v>8.3800000000000008</v>
      </c>
      <c r="BO299" s="64">
        <f t="shared" si="29"/>
        <v>1.5151515151515152E-2</v>
      </c>
      <c r="BP299" s="64">
        <f t="shared" si="30"/>
        <v>1.5151515151515152E-2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31.629629629629626</v>
      </c>
      <c r="Y300" s="549">
        <f>IFERROR(Y294/H294,"0")+IFERROR(Y295/H295,"0")+IFERROR(Y296/H296,"0")+IFERROR(Y297/H297,"0")+IFERROR(Y298/H298,"0")+IFERROR(Y299/H299,"0")</f>
        <v>33</v>
      </c>
      <c r="Z300" s="549">
        <f>IFERROR(IF(Z294="",0,Z294),"0")+IFERROR(IF(Z295="",0,Z295),"0")+IFERROR(IF(Z296="",0,Z296),"0")+IFERROR(IF(Z297="",0,Z297),"0")+IFERROR(IF(Z298="",0,Z298),"0")+IFERROR(IF(Z299="",0,Z299),"0")</f>
        <v>0.60641999999999996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328</v>
      </c>
      <c r="Y301" s="549">
        <f>IFERROR(SUM(Y294:Y299),"0")</f>
        <v>342.8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40</v>
      </c>
      <c r="Y303" s="548">
        <f t="shared" ref="Y303:Y308" si="31">IFERROR(IF(X303="",0,CEILING((X303/$H303),1)*$H303),"")</f>
        <v>42</v>
      </c>
      <c r="Z303" s="36">
        <f>IFERROR(IF(Y303=0,"",ROUNDUP(Y303/H303,0)*0.00902),"")</f>
        <v>9.0200000000000002E-2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42.38095238095238</v>
      </c>
      <c r="BN303" s="64">
        <f t="shared" ref="BN303:BN308" si="33">IFERROR(Y303*I303/H303,"0")</f>
        <v>44.5</v>
      </c>
      <c r="BO303" s="64">
        <f t="shared" ref="BO303:BO308" si="34">IFERROR(1/J303*(X303/H303),"0")</f>
        <v>7.2150072150072145E-2</v>
      </c>
      <c r="BP303" s="64">
        <f t="shared" ref="BP303:BP308" si="35">IFERROR(1/J303*(Y303/H303),"0")</f>
        <v>7.575757575757576E-2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20</v>
      </c>
      <c r="Y304" s="548">
        <f t="shared" si="31"/>
        <v>21</v>
      </c>
      <c r="Z304" s="36">
        <f>IFERROR(IF(Y304=0,"",ROUNDUP(Y304/H304,0)*0.00902),"")</f>
        <v>4.5100000000000001E-2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21.19047619047619</v>
      </c>
      <c r="BN304" s="64">
        <f t="shared" si="33"/>
        <v>22.25</v>
      </c>
      <c r="BO304" s="64">
        <f t="shared" si="34"/>
        <v>3.6075036075036072E-2</v>
      </c>
      <c r="BP304" s="64">
        <f t="shared" si="35"/>
        <v>3.787878787878788E-2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14.285714285714285</v>
      </c>
      <c r="Y309" s="549">
        <f>IFERROR(Y303/H303,"0")+IFERROR(Y304/H304,"0")+IFERROR(Y305/H305,"0")+IFERROR(Y306/H306,"0")+IFERROR(Y307/H307,"0")+IFERROR(Y308/H308,"0")</f>
        <v>15</v>
      </c>
      <c r="Z309" s="549">
        <f>IFERROR(IF(Z303="",0,Z303),"0")+IFERROR(IF(Z304="",0,Z304),"0")+IFERROR(IF(Z305="",0,Z305),"0")+IFERROR(IF(Z306="",0,Z306),"0")+IFERROR(IF(Z307="",0,Z307),"0")+IFERROR(IF(Z308="",0,Z308),"0")</f>
        <v>0.1353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60</v>
      </c>
      <c r="Y310" s="549">
        <f>IFERROR(SUM(Y303:Y308),"0")</f>
        <v>63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160</v>
      </c>
      <c r="Y312" s="548">
        <f>IFERROR(IF(X312="",0,CEILING((X312/$H312),1)*$H312),"")</f>
        <v>163.79999999999998</v>
      </c>
      <c r="Z312" s="36">
        <f>IFERROR(IF(Y312=0,"",ROUNDUP(Y312/H312,0)*0.01898),"")</f>
        <v>0.39857999999999999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170.0102564102564</v>
      </c>
      <c r="BN312" s="64">
        <f>IFERROR(Y312*I312/H312,"0")</f>
        <v>174.048</v>
      </c>
      <c r="BO312" s="64">
        <f>IFERROR(1/J312*(X312/H312),"0")</f>
        <v>0.32051282051282054</v>
      </c>
      <c r="BP312" s="64">
        <f>IFERROR(1/J312*(Y312/H312),"0")</f>
        <v>0.328125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6</v>
      </c>
      <c r="Y315" s="548">
        <f>IFERROR(IF(X315="",0,CEILING((X315/$H315),1)*$H315),"")</f>
        <v>6</v>
      </c>
      <c r="Z315" s="36">
        <f>IFERROR(IF(Y315=0,"",ROUNDUP(Y315/H315,0)*0.00651),"")</f>
        <v>1.302E-2</v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6.492</v>
      </c>
      <c r="BN315" s="64">
        <f>IFERROR(Y315*I315/H315,"0")</f>
        <v>6.492</v>
      </c>
      <c r="BO315" s="64">
        <f>IFERROR(1/J315*(X315/H315),"0")</f>
        <v>1.098901098901099E-2</v>
      </c>
      <c r="BP315" s="64">
        <f>IFERROR(1/J315*(Y315/H315),"0")</f>
        <v>1.098901098901099E-2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22.512820512820515</v>
      </c>
      <c r="Y316" s="549">
        <f>IFERROR(Y312/H312,"0")+IFERROR(Y313/H313,"0")+IFERROR(Y314/H314,"0")+IFERROR(Y315/H315,"0")</f>
        <v>23</v>
      </c>
      <c r="Z316" s="549">
        <f>IFERROR(IF(Z312="",0,Z312),"0")+IFERROR(IF(Z313="",0,Z313),"0")+IFERROR(IF(Z314="",0,Z314),"0")+IFERROR(IF(Z315="",0,Z315),"0")</f>
        <v>0.41159999999999997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166</v>
      </c>
      <c r="Y317" s="549">
        <f>IFERROR(SUM(Y312:Y315),"0")</f>
        <v>169.79999999999998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80</v>
      </c>
      <c r="Y319" s="548">
        <f>IFERROR(IF(X319="",0,CEILING((X319/$H319),1)*$H319),"")</f>
        <v>84</v>
      </c>
      <c r="Z319" s="36">
        <f>IFERROR(IF(Y319=0,"",ROUNDUP(Y319/H319,0)*0.01898),"")</f>
        <v>0.1898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84.704761904761895</v>
      </c>
      <c r="BN319" s="64">
        <f>IFERROR(Y319*I319/H319,"0")</f>
        <v>88.94</v>
      </c>
      <c r="BO319" s="64">
        <f>IFERROR(1/J319*(X319/H319),"0")</f>
        <v>0.14880952380952381</v>
      </c>
      <c r="BP319" s="64">
        <f>IFERROR(1/J319*(Y319/H319),"0")</f>
        <v>0.15625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160</v>
      </c>
      <c r="Y320" s="548">
        <f>IFERROR(IF(X320="",0,CEILING((X320/$H320),1)*$H320),"")</f>
        <v>163.79999999999998</v>
      </c>
      <c r="Z320" s="36">
        <f>IFERROR(IF(Y320=0,"",ROUNDUP(Y320/H320,0)*0.01898),"")</f>
        <v>0.39857999999999999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170.13333333333333</v>
      </c>
      <c r="BN320" s="64">
        <f>IFERROR(Y320*I320/H320,"0")</f>
        <v>174.17400000000001</v>
      </c>
      <c r="BO320" s="64">
        <f>IFERROR(1/J320*(X320/H320),"0")</f>
        <v>0.32051282051282054</v>
      </c>
      <c r="BP320" s="64">
        <f>IFERROR(1/J320*(Y320/H320),"0")</f>
        <v>0.328125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40</v>
      </c>
      <c r="Y321" s="548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34.798534798534796</v>
      </c>
      <c r="Y322" s="549">
        <f>IFERROR(Y319/H319,"0")+IFERROR(Y320/H320,"0")+IFERROR(Y321/H321,"0")</f>
        <v>36</v>
      </c>
      <c r="Z322" s="549">
        <f>IFERROR(IF(Z319="",0,Z319),"0")+IFERROR(IF(Z320="",0,Z320),"0")+IFERROR(IF(Z321="",0,Z321),"0")</f>
        <v>0.68328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280</v>
      </c>
      <c r="Y323" s="549">
        <f>IFERROR(SUM(Y319:Y321),"0")</f>
        <v>289.79999999999995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2</v>
      </c>
      <c r="Y328" s="548">
        <f>IFERROR(IF(X328="",0,CEILING((X328/$H328),1)*$H328),"")</f>
        <v>2.5499999999999998</v>
      </c>
      <c r="Z328" s="36">
        <f>IFERROR(IF(Y328=0,"",ROUNDUP(Y328/H328,0)*0.00651),"")</f>
        <v>6.5100000000000002E-3</v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2.2588235294117647</v>
      </c>
      <c r="BN328" s="64">
        <f>IFERROR(Y328*I328/H328,"0")</f>
        <v>2.88</v>
      </c>
      <c r="BO328" s="64">
        <f>IFERROR(1/J328*(X328/H328),"0")</f>
        <v>4.3094160741219576E-3</v>
      </c>
      <c r="BP328" s="64">
        <f>IFERROR(1/J328*(Y328/H328),"0")</f>
        <v>5.4945054945054949E-3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0.78431372549019618</v>
      </c>
      <c r="Y329" s="549">
        <f>IFERROR(Y325/H325,"0")+IFERROR(Y326/H326,"0")+IFERROR(Y327/H327,"0")+IFERROR(Y328/H328,"0")</f>
        <v>1</v>
      </c>
      <c r="Z329" s="549">
        <f>IFERROR(IF(Z325="",0,Z325),"0")+IFERROR(IF(Z326="",0,Z326),"0")+IFERROR(IF(Z327="",0,Z327),"0")+IFERROR(IF(Z328="",0,Z328),"0")</f>
        <v>6.5100000000000002E-3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2</v>
      </c>
      <c r="Y330" s="549">
        <f>IFERROR(SUM(Y325:Y328),"0")</f>
        <v>2.5499999999999998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400</v>
      </c>
      <c r="Y339" s="548">
        <f>IFERROR(IF(X339="",0,CEILING((X339/$H339),1)*$H339),"")</f>
        <v>405</v>
      </c>
      <c r="Z339" s="36">
        <f>IFERROR(IF(Y339=0,"",ROUNDUP(Y339/H339,0)*0.01898),"")</f>
        <v>0.94900000000000007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424.39506172839509</v>
      </c>
      <c r="BN339" s="64">
        <f>IFERROR(Y339*I339/H339,"0")</f>
        <v>429.7</v>
      </c>
      <c r="BO339" s="64">
        <f>IFERROR(1/J339*(X339/H339),"0")</f>
        <v>0.77160493827160492</v>
      </c>
      <c r="BP339" s="64">
        <f>IFERROR(1/J339*(Y339/H339),"0")</f>
        <v>0.78125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49.382716049382715</v>
      </c>
      <c r="Y342" s="549">
        <f>IFERROR(Y339/H339,"0")+IFERROR(Y340/H340,"0")+IFERROR(Y341/H341,"0")</f>
        <v>50</v>
      </c>
      <c r="Z342" s="549">
        <f>IFERROR(IF(Z339="",0,Z339),"0")+IFERROR(IF(Z340="",0,Z340),"0")+IFERROR(IF(Z341="",0,Z341),"0")</f>
        <v>0.94900000000000007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400</v>
      </c>
      <c r="Y343" s="549">
        <f>IFERROR(SUM(Y339:Y341),"0")</f>
        <v>405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1050</v>
      </c>
      <c r="Y347" s="548">
        <f t="shared" ref="Y347:Y353" si="36">IFERROR(IF(X347="",0,CEILING((X347/$H347),1)*$H347),"")</f>
        <v>1050</v>
      </c>
      <c r="Z347" s="36">
        <f>IFERROR(IF(Y347=0,"",ROUNDUP(Y347/H347,0)*0.02175),"")</f>
        <v>1.5225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1082.9000000000001</v>
      </c>
      <c r="BN347" s="64">
        <f t="shared" ref="BN347:BN353" si="38">IFERROR(Y347*I347/H347,"0")</f>
        <v>1082.9000000000001</v>
      </c>
      <c r="BO347" s="64">
        <f t="shared" ref="BO347:BO353" si="39">IFERROR(1/J347*(X347/H347),"0")</f>
        <v>1.4583333333333333</v>
      </c>
      <c r="BP347" s="64">
        <f t="shared" ref="BP347:BP353" si="40">IFERROR(1/J347*(Y347/H347),"0")</f>
        <v>1.4583333333333333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500</v>
      </c>
      <c r="Y348" s="548">
        <f t="shared" si="36"/>
        <v>510</v>
      </c>
      <c r="Z348" s="36">
        <f>IFERROR(IF(Y348=0,"",ROUNDUP(Y348/H348,0)*0.02175),"")</f>
        <v>0.73949999999999994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515.66666666666663</v>
      </c>
      <c r="BN348" s="64">
        <f t="shared" si="38"/>
        <v>525.98</v>
      </c>
      <c r="BO348" s="64">
        <f t="shared" si="39"/>
        <v>0.69444444444444442</v>
      </c>
      <c r="BP348" s="64">
        <f t="shared" si="40"/>
        <v>0.70833333333333326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2500</v>
      </c>
      <c r="Y350" s="548">
        <f t="shared" si="36"/>
        <v>2505</v>
      </c>
      <c r="Z350" s="36">
        <f>IFERROR(IF(Y350=0,"",ROUNDUP(Y350/H350,0)*0.02175),"")</f>
        <v>3.6322499999999995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2578.3333333333335</v>
      </c>
      <c r="BN350" s="64">
        <f t="shared" si="38"/>
        <v>2583.4899999999998</v>
      </c>
      <c r="BO350" s="64">
        <f t="shared" si="39"/>
        <v>3.4722222222222219</v>
      </c>
      <c r="BP350" s="64">
        <f t="shared" si="40"/>
        <v>3.4791666666666665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270</v>
      </c>
      <c r="Y354" s="549">
        <f>IFERROR(Y347/H347,"0")+IFERROR(Y348/H348,"0")+IFERROR(Y349/H349,"0")+IFERROR(Y350/H350,"0")+IFERROR(Y351/H351,"0")+IFERROR(Y352/H352,"0")+IFERROR(Y353/H353,"0")</f>
        <v>271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5.8942499999999995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4050</v>
      </c>
      <c r="Y355" s="549">
        <f>IFERROR(SUM(Y347:Y353),"0")</f>
        <v>4065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7000</v>
      </c>
      <c r="Y357" s="548">
        <f>IFERROR(IF(X357="",0,CEILING((X357/$H357),1)*$H357),"")</f>
        <v>7005</v>
      </c>
      <c r="Z357" s="36">
        <f>IFERROR(IF(Y357=0,"",ROUNDUP(Y357/H357,0)*0.02175),"")</f>
        <v>10.157249999999999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7219.333333333333</v>
      </c>
      <c r="BN357" s="64">
        <f>IFERROR(Y357*I357/H357,"0")</f>
        <v>7224.4900000000007</v>
      </c>
      <c r="BO357" s="64">
        <f>IFERROR(1/J357*(X357/H357),"0")</f>
        <v>9.7222222222222214</v>
      </c>
      <c r="BP357" s="64">
        <f>IFERROR(1/J357*(Y357/H357),"0")</f>
        <v>9.7291666666666661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466.66666666666669</v>
      </c>
      <c r="Y359" s="549">
        <f>IFERROR(Y357/H357,"0")+IFERROR(Y358/H358,"0")</f>
        <v>467</v>
      </c>
      <c r="Z359" s="549">
        <f>IFERROR(IF(Z357="",0,Z357),"0")+IFERROR(IF(Z358="",0,Z358),"0")</f>
        <v>10.157249999999999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7000</v>
      </c>
      <c r="Y360" s="549">
        <f>IFERROR(SUM(Y357:Y358),"0")</f>
        <v>7005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450</v>
      </c>
      <c r="Y362" s="548">
        <f>IFERROR(IF(X362="",0,CEILING((X362/$H362),1)*$H362),"")</f>
        <v>450</v>
      </c>
      <c r="Z362" s="36">
        <f>IFERROR(IF(Y362=0,"",ROUNDUP(Y362/H362,0)*0.01898),"")</f>
        <v>0.94900000000000007</v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475</v>
      </c>
      <c r="BN362" s="64">
        <f>IFERROR(Y362*I362/H362,"0")</f>
        <v>475</v>
      </c>
      <c r="BO362" s="64">
        <f>IFERROR(1/J362*(X362/H362),"0")</f>
        <v>0.78125</v>
      </c>
      <c r="BP362" s="64">
        <f>IFERROR(1/J362*(Y362/H362),"0")</f>
        <v>0.78125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100</v>
      </c>
      <c r="Y363" s="548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61.111111111111114</v>
      </c>
      <c r="Y364" s="549">
        <f>IFERROR(Y362/H362,"0")+IFERROR(Y363/H363,"0")</f>
        <v>62</v>
      </c>
      <c r="Z364" s="549">
        <f>IFERROR(IF(Z362="",0,Z362),"0")+IFERROR(IF(Z363="",0,Z363),"0")</f>
        <v>1.17676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550</v>
      </c>
      <c r="Y365" s="549">
        <f>IFERROR(SUM(Y362:Y363),"0")</f>
        <v>558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80</v>
      </c>
      <c r="Y367" s="548">
        <f>IFERROR(IF(X367="",0,CEILING((X367/$H367),1)*$H367),"")</f>
        <v>81</v>
      </c>
      <c r="Z367" s="36">
        <f>IFERROR(IF(Y367=0,"",ROUNDUP(Y367/H367,0)*0.01898),"")</f>
        <v>0.17082</v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84.391111111111115</v>
      </c>
      <c r="BN367" s="64">
        <f>IFERROR(Y367*I367/H367,"0")</f>
        <v>85.445999999999998</v>
      </c>
      <c r="BO367" s="64">
        <f>IFERROR(1/J367*(X367/H367),"0")</f>
        <v>0.1388888888888889</v>
      </c>
      <c r="BP367" s="64">
        <f>IFERROR(1/J367*(Y367/H367),"0")</f>
        <v>0.140625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8.8888888888888893</v>
      </c>
      <c r="Y368" s="549">
        <f>IFERROR(Y367/H367,"0")</f>
        <v>9</v>
      </c>
      <c r="Z368" s="549">
        <f>IFERROR(IF(Z367="",0,Z367),"0")</f>
        <v>0.17082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80</v>
      </c>
      <c r="Y369" s="549">
        <f>IFERROR(SUM(Y367:Y367),"0")</f>
        <v>81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250</v>
      </c>
      <c r="Y382" s="548">
        <f>IFERROR(IF(X382="",0,CEILING((X382/$H382),1)*$H382),"")</f>
        <v>252</v>
      </c>
      <c r="Z382" s="36">
        <f>IFERROR(IF(Y382=0,"",ROUNDUP(Y382/H382,0)*0.01898),"")</f>
        <v>0.53144000000000002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263.72222222222223</v>
      </c>
      <c r="BN382" s="64">
        <f>IFERROR(Y382*I382/H382,"0")</f>
        <v>265.83199999999999</v>
      </c>
      <c r="BO382" s="64">
        <f>IFERROR(1/J382*(X382/H382),"0")</f>
        <v>0.43402777777777779</v>
      </c>
      <c r="BP382" s="64">
        <f>IFERROR(1/J382*(Y382/H382),"0")</f>
        <v>0.4375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27.777777777777779</v>
      </c>
      <c r="Y385" s="549">
        <f>IFERROR(Y382/H382,"0")+IFERROR(Y383/H383,"0")+IFERROR(Y384/H384,"0")</f>
        <v>28</v>
      </c>
      <c r="Z385" s="549">
        <f>IFERROR(IF(Z382="",0,Z382),"0")+IFERROR(IF(Z383="",0,Z383),"0")+IFERROR(IF(Z384="",0,Z384),"0")</f>
        <v>0.53144000000000002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250</v>
      </c>
      <c r="Y386" s="549">
        <f>IFERROR(SUM(Y382:Y384),"0")</f>
        <v>252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60</v>
      </c>
      <c r="Y390" s="548">
        <f t="shared" ref="Y390:Y398" si="41">IFERROR(IF(X390="",0,CEILING((X390/$H390),1)*$H390),"")</f>
        <v>64.800000000000011</v>
      </c>
      <c r="Z390" s="36">
        <f>IFERROR(IF(Y390=0,"",ROUNDUP(Y390/H390,0)*0.00902),"")</f>
        <v>0.10824</v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62.1111111111111</v>
      </c>
      <c r="BN390" s="64">
        <f t="shared" ref="BN390:BN398" si="43">IFERROR(Y390*I390/H390,"0")</f>
        <v>67.08</v>
      </c>
      <c r="BO390" s="64">
        <f t="shared" ref="BO390:BO398" si="44">IFERROR(1/J390*(X390/H390),"0")</f>
        <v>8.4175084175084181E-2</v>
      </c>
      <c r="BP390" s="64">
        <f t="shared" ref="BP390:BP398" si="45">IFERROR(1/J390*(Y390/H390),"0")</f>
        <v>9.0909090909090925E-2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50</v>
      </c>
      <c r="Y392" s="548">
        <f t="shared" si="41"/>
        <v>54</v>
      </c>
      <c r="Z392" s="36">
        <f>IFERROR(IF(Y392=0,"",ROUNDUP(Y392/H392,0)*0.00902),"")</f>
        <v>9.0200000000000002E-2</v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51.759259259259252</v>
      </c>
      <c r="BN392" s="64">
        <f t="shared" si="43"/>
        <v>55.9</v>
      </c>
      <c r="BO392" s="64">
        <f t="shared" si="44"/>
        <v>7.0145903479236812E-2</v>
      </c>
      <c r="BP392" s="64">
        <f t="shared" si="45"/>
        <v>7.575757575757576E-2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20.37037037037037</v>
      </c>
      <c r="Y399" s="549">
        <f>IFERROR(Y390/H390,"0")+IFERROR(Y391/H391,"0")+IFERROR(Y392/H392,"0")+IFERROR(Y393/H393,"0")+IFERROR(Y394/H394,"0")+IFERROR(Y395/H395,"0")+IFERROR(Y396/H396,"0")+IFERROR(Y397/H397,"0")+IFERROR(Y398/H398,"0")</f>
        <v>22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0.19844000000000001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110</v>
      </c>
      <c r="Y400" s="549">
        <f>IFERROR(SUM(Y390:Y398),"0")</f>
        <v>118.80000000000001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230</v>
      </c>
      <c r="Y412" s="548">
        <f>IFERROR(IF(X412="",0,CEILING((X412/$H412),1)*$H412),"")</f>
        <v>232.20000000000002</v>
      </c>
      <c r="Z412" s="36">
        <f>IFERROR(IF(Y412=0,"",ROUNDUP(Y412/H412,0)*0.00902),"")</f>
        <v>0.38785999999999998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238.09259259259258</v>
      </c>
      <c r="BN412" s="64">
        <f>IFERROR(Y412*I412/H412,"0")</f>
        <v>240.37</v>
      </c>
      <c r="BO412" s="64">
        <f>IFERROR(1/J412*(X412/H412),"0")</f>
        <v>0.32267115600448931</v>
      </c>
      <c r="BP412" s="64">
        <f>IFERROR(1/J412*(Y412/H412),"0")</f>
        <v>0.32575757575757575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42.592592592592588</v>
      </c>
      <c r="Y416" s="549">
        <f>IFERROR(Y412/H412,"0")+IFERROR(Y413/H413,"0")+IFERROR(Y414/H414,"0")+IFERROR(Y415/H415,"0")</f>
        <v>43</v>
      </c>
      <c r="Z416" s="549">
        <f>IFERROR(IF(Z412="",0,Z412),"0")+IFERROR(IF(Z413="",0,Z413),"0")+IFERROR(IF(Z414="",0,Z414),"0")+IFERROR(IF(Z415="",0,Z415),"0")</f>
        <v>0.38785999999999998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230</v>
      </c>
      <c r="Y417" s="549">
        <f>IFERROR(SUM(Y412:Y415),"0")</f>
        <v>232.20000000000002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220</v>
      </c>
      <c r="Y428" s="548">
        <f t="shared" si="47"/>
        <v>221.76000000000002</v>
      </c>
      <c r="Z428" s="36">
        <f t="shared" si="48"/>
        <v>0.50231999999999999</v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234.58333333333331</v>
      </c>
      <c r="BN428" s="64">
        <f t="shared" si="50"/>
        <v>236.46</v>
      </c>
      <c r="BO428" s="64">
        <f t="shared" si="51"/>
        <v>0.40064102564102566</v>
      </c>
      <c r="BP428" s="64">
        <f t="shared" si="52"/>
        <v>0.40384615384615385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70</v>
      </c>
      <c r="Y430" s="548">
        <f t="shared" si="47"/>
        <v>73.92</v>
      </c>
      <c r="Z430" s="36">
        <f t="shared" si="48"/>
        <v>0.16744000000000001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74.640151515151501</v>
      </c>
      <c r="BN430" s="64">
        <f t="shared" si="50"/>
        <v>78.819999999999993</v>
      </c>
      <c r="BO430" s="64">
        <f t="shared" si="51"/>
        <v>0.12747668997668998</v>
      </c>
      <c r="BP430" s="64">
        <f t="shared" si="52"/>
        <v>0.13461538461538464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200</v>
      </c>
      <c r="Y432" s="548">
        <f t="shared" si="47"/>
        <v>200.64000000000001</v>
      </c>
      <c r="Z432" s="36">
        <f t="shared" si="48"/>
        <v>0.45448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213.25757575757575</v>
      </c>
      <c r="BN432" s="64">
        <f t="shared" si="50"/>
        <v>213.94</v>
      </c>
      <c r="BO432" s="64">
        <f t="shared" si="51"/>
        <v>0.36421911421911418</v>
      </c>
      <c r="BP432" s="64">
        <f t="shared" si="52"/>
        <v>0.36538461538461542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92.803030303030297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94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1.1242399999999999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490</v>
      </c>
      <c r="Y439" s="549">
        <f>IFERROR(SUM(Y426:Y437),"0")</f>
        <v>496.32000000000005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230</v>
      </c>
      <c r="Y441" s="548">
        <f>IFERROR(IF(X441="",0,CEILING((X441/$H441),1)*$H441),"")</f>
        <v>232.32000000000002</v>
      </c>
      <c r="Z441" s="36">
        <f>IFERROR(IF(Y441=0,"",ROUNDUP(Y441/H441,0)*0.01196),"")</f>
        <v>0.52624000000000004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245.2462121212121</v>
      </c>
      <c r="BN441" s="64">
        <f>IFERROR(Y441*I441/H441,"0")</f>
        <v>247.72</v>
      </c>
      <c r="BO441" s="64">
        <f>IFERROR(1/J441*(X441/H441),"0")</f>
        <v>0.41885198135198132</v>
      </c>
      <c r="BP441" s="64">
        <f>IFERROR(1/J441*(Y441/H441),"0")</f>
        <v>0.42307692307692313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43.560606060606055</v>
      </c>
      <c r="Y444" s="549">
        <f>IFERROR(Y441/H441,"0")+IFERROR(Y442/H442,"0")+IFERROR(Y443/H443,"0")</f>
        <v>44</v>
      </c>
      <c r="Z444" s="549">
        <f>IFERROR(IF(Z441="",0,Z441),"0")+IFERROR(IF(Z442="",0,Z442),"0")+IFERROR(IF(Z443="",0,Z443),"0")</f>
        <v>0.52624000000000004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230</v>
      </c>
      <c r="Y445" s="549">
        <f>IFERROR(SUM(Y441:Y443),"0")</f>
        <v>232.32000000000002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190</v>
      </c>
      <c r="Y447" s="548">
        <f t="shared" ref="Y447:Y452" si="53">IFERROR(IF(X447="",0,CEILING((X447/$H447),1)*$H447),"")</f>
        <v>190.08</v>
      </c>
      <c r="Z447" s="36">
        <f>IFERROR(IF(Y447=0,"",ROUNDUP(Y447/H447,0)*0.01196),"")</f>
        <v>0.43056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202.59469696969697</v>
      </c>
      <c r="BN447" s="64">
        <f t="shared" ref="BN447:BN452" si="55">IFERROR(Y447*I447/H447,"0")</f>
        <v>202.67999999999998</v>
      </c>
      <c r="BO447" s="64">
        <f t="shared" ref="BO447:BO452" si="56">IFERROR(1/J447*(X447/H447),"0")</f>
        <v>0.34600815850815853</v>
      </c>
      <c r="BP447" s="64">
        <f t="shared" ref="BP447:BP452" si="57">IFERROR(1/J447*(Y447/H447),"0")</f>
        <v>0.34615384615384615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40</v>
      </c>
      <c r="Y448" s="548">
        <f t="shared" si="53"/>
        <v>42.24</v>
      </c>
      <c r="Z448" s="36">
        <f>IFERROR(IF(Y448=0,"",ROUNDUP(Y448/H448,0)*0.01196),"")</f>
        <v>9.5680000000000001E-2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42.651515151515149</v>
      </c>
      <c r="BN448" s="64">
        <f t="shared" si="55"/>
        <v>45.04</v>
      </c>
      <c r="BO448" s="64">
        <f t="shared" si="56"/>
        <v>7.2843822843822847E-2</v>
      </c>
      <c r="BP448" s="64">
        <f t="shared" si="57"/>
        <v>7.6923076923076927E-2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30</v>
      </c>
      <c r="Y449" s="548">
        <f t="shared" si="53"/>
        <v>31.68</v>
      </c>
      <c r="Z449" s="36">
        <f>IFERROR(IF(Y449=0,"",ROUNDUP(Y449/H449,0)*0.01196),"")</f>
        <v>7.1760000000000004E-2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31.988636363636363</v>
      </c>
      <c r="BN449" s="64">
        <f t="shared" si="55"/>
        <v>33.779999999999994</v>
      </c>
      <c r="BO449" s="64">
        <f t="shared" si="56"/>
        <v>5.4632867132867136E-2</v>
      </c>
      <c r="BP449" s="64">
        <f t="shared" si="57"/>
        <v>5.7692307692307696E-2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49.242424242424242</v>
      </c>
      <c r="Y453" s="549">
        <f>IFERROR(Y447/H447,"0")+IFERROR(Y448/H448,"0")+IFERROR(Y449/H449,"0")+IFERROR(Y450/H450,"0")+IFERROR(Y451/H451,"0")+IFERROR(Y452/H452,"0")</f>
        <v>50</v>
      </c>
      <c r="Z453" s="549">
        <f>IFERROR(IF(Z447="",0,Z447),"0")+IFERROR(IF(Z448="",0,Z448),"0")+IFERROR(IF(Z449="",0,Z449),"0")+IFERROR(IF(Z450="",0,Z450),"0")+IFERROR(IF(Z451="",0,Z451),"0")+IFERROR(IF(Z452="",0,Z452),"0")</f>
        <v>0.59800000000000009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260</v>
      </c>
      <c r="Y454" s="549">
        <f>IFERROR(SUM(Y447:Y452),"0")</f>
        <v>264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48</v>
      </c>
      <c r="Y464" s="548">
        <f>IFERROR(IF(X464="",0,CEILING((X464/$H464),1)*$H464),"")</f>
        <v>48</v>
      </c>
      <c r="Z464" s="36">
        <f>IFERROR(IF(Y464=0,"",ROUNDUP(Y464/H464,0)*0.01898),"")</f>
        <v>7.5920000000000001E-2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49.640000000000008</v>
      </c>
      <c r="BN464" s="64">
        <f>IFERROR(Y464*I464/H464,"0")</f>
        <v>49.640000000000008</v>
      </c>
      <c r="BO464" s="64">
        <f>IFERROR(1/J464*(X464/H464),"0")</f>
        <v>6.25E-2</v>
      </c>
      <c r="BP464" s="64">
        <f>IFERROR(1/J464*(Y464/H464),"0")</f>
        <v>6.25E-2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4</v>
      </c>
      <c r="Y466" s="549">
        <f>IFERROR(Y462/H462,"0")+IFERROR(Y463/H463,"0")+IFERROR(Y464/H464,"0")+IFERROR(Y465/H465,"0")</f>
        <v>4</v>
      </c>
      <c r="Z466" s="549">
        <f>IFERROR(IF(Z462="",0,Z462),"0")+IFERROR(IF(Z463="",0,Z463),"0")+IFERROR(IF(Z464="",0,Z464),"0")+IFERROR(IF(Z465="",0,Z465),"0")</f>
        <v>7.5920000000000001E-2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48</v>
      </c>
      <c r="Y467" s="549">
        <f>IFERROR(SUM(Y462:Y465),"0")</f>
        <v>48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70</v>
      </c>
      <c r="Y474" s="548">
        <f>IFERROR(IF(X474="",0,CEILING((X474/$H474),1)*$H474),"")</f>
        <v>71.400000000000006</v>
      </c>
      <c r="Z474" s="36">
        <f>IFERROR(IF(Y474=0,"",ROUNDUP(Y474/H474,0)*0.00902),"")</f>
        <v>0.15334</v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74.166666666666657</v>
      </c>
      <c r="BN474" s="64">
        <f>IFERROR(Y474*I474/H474,"0")</f>
        <v>75.650000000000006</v>
      </c>
      <c r="BO474" s="64">
        <f>IFERROR(1/J474*(X474/H474),"0")</f>
        <v>0.12626262626262624</v>
      </c>
      <c r="BP474" s="64">
        <f>IFERROR(1/J474*(Y474/H474),"0")</f>
        <v>0.12878787878787878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60</v>
      </c>
      <c r="Y475" s="548">
        <f>IFERROR(IF(X475="",0,CEILING((X475/$H475),1)*$H475),"")</f>
        <v>63</v>
      </c>
      <c r="Z475" s="36">
        <f>IFERROR(IF(Y475=0,"",ROUNDUP(Y475/H475,0)*0.00902),"")</f>
        <v>0.1353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63.571428571428569</v>
      </c>
      <c r="BN475" s="64">
        <f>IFERROR(Y475*I475/H475,"0")</f>
        <v>66.75</v>
      </c>
      <c r="BO475" s="64">
        <f>IFERROR(1/J475*(X475/H475),"0")</f>
        <v>0.10822510822510822</v>
      </c>
      <c r="BP475" s="64">
        <f>IFERROR(1/J475*(Y475/H475),"0")</f>
        <v>0.11363636363636365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30.952380952380949</v>
      </c>
      <c r="Y476" s="549">
        <f>IFERROR(Y474/H474,"0")+IFERROR(Y475/H475,"0")</f>
        <v>32</v>
      </c>
      <c r="Z476" s="549">
        <f>IFERROR(IF(Z474="",0,Z474),"0")+IFERROR(IF(Z475="",0,Z475),"0")</f>
        <v>0.28864000000000001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130</v>
      </c>
      <c r="Y477" s="549">
        <f>IFERROR(SUM(Y474:Y475),"0")</f>
        <v>134.4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17810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17961.39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18505.954552299576</v>
      </c>
      <c r="Y493" s="549">
        <f>IFERROR(SUM(BN22:BN489),"0")</f>
        <v>18664.564000000002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27</v>
      </c>
      <c r="Y494" s="38">
        <f>ROUNDUP(SUM(BP22:BP489),0)</f>
        <v>27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19180.954552299576</v>
      </c>
      <c r="Y495" s="549">
        <f>GrossWeightTotalR+PalletQtyTotalR*25</f>
        <v>19339.564000000002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1908.8647075759991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1929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29.970530000000004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279.60000000000002</v>
      </c>
      <c r="E502" s="46">
        <f>IFERROR(Y86*1,"0")+IFERROR(Y87*1,"0")+IFERROR(Y88*1,"0")+IFERROR(Y89*1,"0")+IFERROR(Y93*1,"0")+IFERROR(Y94*1,"0")+IFERROR(Y95*1,"0")+IFERROR(Y96*1,"0")</f>
        <v>104.4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145.79999999999998</v>
      </c>
      <c r="G502" s="46">
        <f>IFERROR(Y128*1,"0")+IFERROR(Y129*1,"0")+IFERROR(Y133*1,"0")+IFERROR(Y134*1,"0")+IFERROR(Y138*1,"0")+IFERROR(Y139*1,"0")</f>
        <v>154</v>
      </c>
      <c r="H502" s="46">
        <f>IFERROR(Y144*1,"0")+IFERROR(Y145*1,"0")+IFERROR(Y149*1,"0")+IFERROR(Y150*1,"0")+IFERROR(Y151*1,"0")+IFERROR(Y155*1,"0")</f>
        <v>27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155.4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2335.1999999999998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867.94999999999993</v>
      </c>
      <c r="R502" s="46">
        <f>IFERROR(Y339*1,"0")+IFERROR(Y340*1,"0")+IFERROR(Y341*1,"0")</f>
        <v>405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11709</v>
      </c>
      <c r="T502" s="46">
        <f>IFERROR(Y372*1,"0")+IFERROR(Y373*1,"0")+IFERROR(Y377*1,"0")+IFERROR(Y378*1,"0")+IFERROR(Y382*1,"0")+IFERROR(Y383*1,"0")+IFERROR(Y384*1,"0")</f>
        <v>252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118.80000000000001</v>
      </c>
      <c r="V502" s="46">
        <f>IFERROR(Y408*1,"0")+IFERROR(Y412*1,"0")+IFERROR(Y413*1,"0")+IFERROR(Y414*1,"0")+IFERROR(Y415*1,"0")</f>
        <v>232.20000000000002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992.6400000000001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182.4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