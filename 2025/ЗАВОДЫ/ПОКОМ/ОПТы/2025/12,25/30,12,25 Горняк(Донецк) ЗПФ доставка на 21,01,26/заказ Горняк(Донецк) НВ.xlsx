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AE52301A-7EB6-49F5-AC72-D89132BEB1E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Y264" i="1" s="1"/>
  <c r="P254" i="1"/>
  <c r="BP253" i="1"/>
  <c r="BO253" i="1"/>
  <c r="BN253" i="1"/>
  <c r="BM253" i="1"/>
  <c r="Z253" i="1"/>
  <c r="Z263" i="1" s="1"/>
  <c r="Y253" i="1"/>
  <c r="Y26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Y251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Y234" i="1"/>
  <c r="X234" i="1"/>
  <c r="Z233" i="1"/>
  <c r="X233" i="1"/>
  <c r="BO232" i="1"/>
  <c r="BM232" i="1"/>
  <c r="Z232" i="1"/>
  <c r="Y232" i="1"/>
  <c r="P232" i="1"/>
  <c r="X230" i="1"/>
  <c r="Z229" i="1"/>
  <c r="X229" i="1"/>
  <c r="BO228" i="1"/>
  <c r="BM228" i="1"/>
  <c r="Z228" i="1"/>
  <c r="Y228" i="1"/>
  <c r="Y230" i="1" s="1"/>
  <c r="P228" i="1"/>
  <c r="Y224" i="1"/>
  <c r="X224" i="1"/>
  <c r="Z223" i="1"/>
  <c r="X223" i="1"/>
  <c r="BO222" i="1"/>
  <c r="BM222" i="1"/>
  <c r="Z222" i="1"/>
  <c r="Y222" i="1"/>
  <c r="P222" i="1"/>
  <c r="X218" i="1"/>
  <c r="Z217" i="1"/>
  <c r="X217" i="1"/>
  <c r="BO216" i="1"/>
  <c r="BM216" i="1"/>
  <c r="Z216" i="1"/>
  <c r="Y216" i="1"/>
  <c r="Y218" i="1" s="1"/>
  <c r="P216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Y183" i="1"/>
  <c r="X183" i="1"/>
  <c r="Z182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Z173" i="1" s="1"/>
  <c r="Y171" i="1"/>
  <c r="P171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X157" i="1"/>
  <c r="Z156" i="1"/>
  <c r="X156" i="1"/>
  <c r="BO155" i="1"/>
  <c r="BM155" i="1"/>
  <c r="Z155" i="1"/>
  <c r="Y155" i="1"/>
  <c r="P155" i="1"/>
  <c r="Y152" i="1"/>
  <c r="X152" i="1"/>
  <c r="Z151" i="1"/>
  <c r="X151" i="1"/>
  <c r="BO150" i="1"/>
  <c r="BM150" i="1"/>
  <c r="Z150" i="1"/>
  <c r="Y150" i="1"/>
  <c r="P150" i="1"/>
  <c r="X147" i="1"/>
  <c r="X146" i="1"/>
  <c r="BO145" i="1"/>
  <c r="BM145" i="1"/>
  <c r="Z145" i="1"/>
  <c r="Y145" i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Z134" i="1" s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P46" i="1"/>
  <c r="BP45" i="1"/>
  <c r="BO45" i="1"/>
  <c r="BN45" i="1"/>
  <c r="BM45" i="1"/>
  <c r="Z45" i="1"/>
  <c r="Z48" i="1" s="1"/>
  <c r="Y45" i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Y39" i="1"/>
  <c r="P39" i="1"/>
  <c r="Y35" i="1"/>
  <c r="X35" i="1"/>
  <c r="Z34" i="1"/>
  <c r="X34" i="1"/>
  <c r="BO33" i="1"/>
  <c r="BM33" i="1"/>
  <c r="Z33" i="1"/>
  <c r="Y33" i="1"/>
  <c r="P33" i="1"/>
  <c r="BP32" i="1"/>
  <c r="BO32" i="1"/>
  <c r="BN32" i="1"/>
  <c r="BM32" i="1"/>
  <c r="Z32" i="1"/>
  <c r="Y32" i="1"/>
  <c r="Y34" i="1" s="1"/>
  <c r="P32" i="1"/>
  <c r="X29" i="1"/>
  <c r="X265" i="1" s="1"/>
  <c r="X28" i="1"/>
  <c r="X269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A9" i="1"/>
  <c r="A10" i="1" s="1"/>
  <c r="D7" i="1"/>
  <c r="Q6" i="1"/>
  <c r="P2" i="1"/>
  <c r="F9" i="1" l="1"/>
  <c r="J9" i="1"/>
  <c r="F10" i="1"/>
  <c r="Y42" i="1"/>
  <c r="BP39" i="1"/>
  <c r="BN39" i="1"/>
  <c r="Y41" i="1"/>
  <c r="BP46" i="1"/>
  <c r="BN46" i="1"/>
  <c r="Y48" i="1"/>
  <c r="H9" i="1"/>
  <c r="Y29" i="1"/>
  <c r="X266" i="1"/>
  <c r="X267" i="1"/>
  <c r="BN23" i="1"/>
  <c r="Y266" i="1" s="1"/>
  <c r="BN25" i="1"/>
  <c r="BN27" i="1"/>
  <c r="Y28" i="1"/>
  <c r="BP33" i="1"/>
  <c r="Y267" i="1" s="1"/>
  <c r="BN33" i="1"/>
  <c r="Z41" i="1"/>
  <c r="Z270" i="1" s="1"/>
  <c r="Y49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Z240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8" i="1" l="1"/>
  <c r="C278" i="1"/>
  <c r="X268" i="1"/>
  <c r="Y269" i="1"/>
  <c r="Y265" i="1"/>
  <c r="B278" i="1" s="1"/>
  <c r="A278" i="1" l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<sst xmlns="http://schemas.openxmlformats.org/spreadsheetml/2006/main" count="1198" uniqueCount="389">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</sst>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51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84</v>
      </c>
      <c r="Y39" s="265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140</v>
      </c>
      <c r="Y40" s="265">
        <f>IFERROR(IF(X40="","",X40),"")</f>
        <v>140</v>
      </c>
      <c r="Z40" s="36">
        <f>IFERROR(IF(X40="","",X40*0.00941),"")</f>
        <v>1.3173999999999999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269.05200000000002</v>
      </c>
      <c r="BN40" s="67">
        <f>IFERROR(Y40*I40,"0")</f>
        <v>269.05200000000002</v>
      </c>
      <c r="BO40" s="67">
        <f>IFERROR(X40/J40,"0")</f>
        <v>1</v>
      </c>
      <c r="BP40" s="67">
        <f>IFERROR(Y40/J40,"0")</f>
        <v>1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224</v>
      </c>
      <c r="Y41" s="266">
        <f>IFERROR(SUM(Y39:Y40),"0")</f>
        <v>224</v>
      </c>
      <c r="Z41" s="266">
        <f>IFERROR(IF(Z39="",0,Z39),"0")+IFERROR(IF(Z40="",0,Z40),"0")</f>
        <v>2.1078399999999999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336</v>
      </c>
      <c r="Y42" s="266">
        <f>IFERROR(SUMPRODUCT(Y39:Y40*H39:H40),"0")</f>
        <v>336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72</v>
      </c>
      <c r="Y45" s="265">
        <f>IFERROR(IF(X45="","",X45),"")</f>
        <v>72</v>
      </c>
      <c r="Z45" s="36">
        <f>IFERROR(IF(X45="","",X45*0.0155),"")</f>
        <v>1.1160000000000001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422.64</v>
      </c>
      <c r="BN45" s="67">
        <f>IFERROR(Y45*I45,"0")</f>
        <v>422.64</v>
      </c>
      <c r="BO45" s="67">
        <f>IFERROR(X45/J45,"0")</f>
        <v>0.8571428571428571</v>
      </c>
      <c r="BP45" s="67">
        <f>IFERROR(Y45/J45,"0")</f>
        <v>0.8571428571428571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48</v>
      </c>
      <c r="Y46" s="265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108</v>
      </c>
      <c r="Y47" s="265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228</v>
      </c>
      <c r="Y48" s="266">
        <f>IFERROR(SUM(Y45:Y47),"0")</f>
        <v>228</v>
      </c>
      <c r="Z48" s="266">
        <f>IFERROR(IF(Z45="",0,Z45),"0")+IFERROR(IF(Z46="",0,Z46),"0")+IFERROR(IF(Z47="",0,Z47),"0")</f>
        <v>3.5339999999999998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1276.8</v>
      </c>
      <c r="Y49" s="266">
        <f>IFERROR(SUMPRODUCT(Y45:Y47*H45:H47),"0")</f>
        <v>1276.8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12</v>
      </c>
      <c r="Y54" s="265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24</v>
      </c>
      <c r="Y55" s="265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36</v>
      </c>
      <c r="Y56" s="266">
        <f>IFERROR(SUM(Y52:Y55),"0")</f>
        <v>36</v>
      </c>
      <c r="Z56" s="266">
        <f>IFERROR(IF(Z52="",0,Z52),"0")+IFERROR(IF(Z53="",0,Z53),"0")+IFERROR(IF(Z54="",0,Z54),"0")+IFERROR(IF(Z55="",0,Z55),"0")</f>
        <v>0.55800000000000005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244.8</v>
      </c>
      <c r="Y57" s="266">
        <f>IFERROR(SUMPRODUCT(Y52:Y55*H52:H55),"0")</f>
        <v>244.8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36</v>
      </c>
      <c r="Y81" s="265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36</v>
      </c>
      <c r="Y82" s="266">
        <f>IFERROR(SUM(Y80:Y81),"0")</f>
        <v>36</v>
      </c>
      <c r="Z82" s="266">
        <f>IFERROR(IF(Z80="",0,Z80),"0")+IFERROR(IF(Z81="",0,Z81),"0")</f>
        <v>0.31175999999999998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180</v>
      </c>
      <c r="Y83" s="266">
        <f>IFERROR(SUMPRODUCT(Y80:Y81*H80:H81),"0")</f>
        <v>180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28</v>
      </c>
      <c r="Y86" s="265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28</v>
      </c>
      <c r="Y87" s="266">
        <f>IFERROR(SUM(Y86:Y86),"0")</f>
        <v>28</v>
      </c>
      <c r="Z87" s="266">
        <f>IFERROR(IF(Z86="",0,Z86),"0")</f>
        <v>0.50063999999999997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100.8</v>
      </c>
      <c r="Y88" s="266">
        <f>IFERROR(SUMPRODUCT(Y86:Y86*H86:H86),"0")</f>
        <v>100.8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84</v>
      </c>
      <c r="Y91" s="265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84</v>
      </c>
      <c r="Y92" s="265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168</v>
      </c>
      <c r="Y93" s="266">
        <f>IFERROR(SUM(Y91:Y92),"0")</f>
        <v>168</v>
      </c>
      <c r="Z93" s="266">
        <f>IFERROR(IF(Z91="",0,Z91),"0")+IFERROR(IF(Z92="",0,Z92),"0")</f>
        <v>3.0038399999999998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604.80000000000007</v>
      </c>
      <c r="Y94" s="266">
        <f>IFERROR(SUMPRODUCT(Y91:Y92*H91:H92),"0")</f>
        <v>604.80000000000007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70</v>
      </c>
      <c r="Y97" s="265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112</v>
      </c>
      <c r="Y98" s="265">
        <f t="shared" si="6"/>
        <v>112</v>
      </c>
      <c r="Z98" s="36">
        <f t="shared" si="7"/>
        <v>2.0025599999999999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42</v>
      </c>
      <c r="Y99" s="265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70</v>
      </c>
      <c r="Y100" s="265">
        <f t="shared" si="6"/>
        <v>70</v>
      </c>
      <c r="Z100" s="36">
        <f t="shared" si="7"/>
        <v>1.2516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56</v>
      </c>
      <c r="Y101" s="265">
        <f t="shared" si="6"/>
        <v>56</v>
      </c>
      <c r="Z101" s="36">
        <f t="shared" si="7"/>
        <v>1.0012799999999999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249.13280000000003</v>
      </c>
      <c r="BN101" s="67">
        <f t="shared" si="9"/>
        <v>249.13280000000003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14</v>
      </c>
      <c r="Y102" s="265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364</v>
      </c>
      <c r="Y103" s="266">
        <f>IFERROR(SUM(Y97:Y102),"0")</f>
        <v>364</v>
      </c>
      <c r="Z103" s="266">
        <f>IFERROR(IF(Z97="",0,Z97),"0")+IFERROR(IF(Z98="",0,Z98),"0")+IFERROR(IF(Z99="",0,Z99),"0")+IFERROR(IF(Z100="",0,Z100),"0")+IFERROR(IF(Z101="",0,Z101),"0")+IFERROR(IF(Z102="",0,Z102),"0")</f>
        <v>6.5083199999999994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1120.56</v>
      </c>
      <c r="Y104" s="266">
        <f>IFERROR(SUMPRODUCT(Y97:Y102*H97:H102),"0")</f>
        <v>1120.56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36</v>
      </c>
      <c r="Y115" s="265">
        <f t="shared" si="12"/>
        <v>36</v>
      </c>
      <c r="Z115" s="36">
        <f t="shared" si="13"/>
        <v>0.55800000000000005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120</v>
      </c>
      <c r="Y116" s="265">
        <f t="shared" si="12"/>
        <v>120</v>
      </c>
      <c r="Z116" s="36">
        <f t="shared" si="13"/>
        <v>1.8599999999999999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72</v>
      </c>
      <c r="Y118" s="265">
        <f t="shared" si="12"/>
        <v>72</v>
      </c>
      <c r="Z118" s="36">
        <f t="shared" si="13"/>
        <v>1.1160000000000001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483.81119999999999</v>
      </c>
      <c r="BN118" s="67">
        <f t="shared" si="15"/>
        <v>483.81119999999999</v>
      </c>
      <c r="BO118" s="67">
        <f t="shared" si="16"/>
        <v>0.8571428571428571</v>
      </c>
      <c r="BP118" s="67">
        <f t="shared" si="17"/>
        <v>0.8571428571428571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132</v>
      </c>
      <c r="Y119" s="265">
        <f t="shared" si="12"/>
        <v>132</v>
      </c>
      <c r="Z119" s="36">
        <f t="shared" si="13"/>
        <v>2.0459999999999998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360</v>
      </c>
      <c r="Y120" s="266">
        <f>IFERROR(SUM(Y113:Y119),"0")</f>
        <v>360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5.58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2455.1999999999998</v>
      </c>
      <c r="Y121" s="266">
        <f>IFERROR(SUMPRODUCT(Y113:Y119*H113:H119),"0")</f>
        <v>2455.1999999999998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196</v>
      </c>
      <c r="Y132" s="265">
        <f>IFERROR(IF(X132="","",X132),"")</f>
        <v>196</v>
      </c>
      <c r="Z132" s="36">
        <f>IFERROR(IF(X132="","",X132*0.01788),"")</f>
        <v>3.50448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725.90559999999994</v>
      </c>
      <c r="BN132" s="67">
        <f>IFERROR(Y132*I132,"0")</f>
        <v>725.90559999999994</v>
      </c>
      <c r="BO132" s="67">
        <f>IFERROR(X132/J132,"0")</f>
        <v>2.8</v>
      </c>
      <c r="BP132" s="67">
        <f>IFERROR(Y132/J132,"0")</f>
        <v>2.8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224</v>
      </c>
      <c r="Y133" s="265">
        <f>IFERROR(IF(X133="","",X133),"")</f>
        <v>224</v>
      </c>
      <c r="Z133" s="36">
        <f>IFERROR(IF(X133="","",X133*0.01788),"")</f>
        <v>4.0051199999999998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829.60639999999989</v>
      </c>
      <c r="BN133" s="67">
        <f>IFERROR(Y133*I133,"0")</f>
        <v>829.60639999999989</v>
      </c>
      <c r="BO133" s="67">
        <f>IFERROR(X133/J133,"0")</f>
        <v>3.2</v>
      </c>
      <c r="BP133" s="67">
        <f>IFERROR(Y133/J133,"0")</f>
        <v>3.2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420</v>
      </c>
      <c r="Y134" s="266">
        <f>IFERROR(SUM(Y132:Y133),"0")</f>
        <v>420</v>
      </c>
      <c r="Z134" s="266">
        <f>IFERROR(IF(Z132="",0,Z132),"0")+IFERROR(IF(Z133="",0,Z133),"0")</f>
        <v>7.5095999999999998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1260</v>
      </c>
      <c r="Y135" s="266">
        <f>IFERROR(SUMPRODUCT(Y132:Y133*H132:H133),"0")</f>
        <v>1260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98</v>
      </c>
      <c r="Y139" s="265">
        <f>IFERROR(IF(X139="","",X139),"")</f>
        <v>98</v>
      </c>
      <c r="Z139" s="36">
        <f>IFERROR(IF(X139="","",X139*0.01788),"")</f>
        <v>1.75224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362.95279999999997</v>
      </c>
      <c r="BN139" s="67">
        <f>IFERROR(Y139*I139,"0")</f>
        <v>362.95279999999997</v>
      </c>
      <c r="BO139" s="67">
        <f>IFERROR(X139/J139,"0")</f>
        <v>1.4</v>
      </c>
      <c r="BP139" s="67">
        <f>IFERROR(Y139/J139,"0")</f>
        <v>1.4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98</v>
      </c>
      <c r="Y140" s="266">
        <f>IFERROR(SUM(Y138:Y139),"0")</f>
        <v>98</v>
      </c>
      <c r="Z140" s="266">
        <f>IFERROR(IF(Z138="",0,Z138),"0")+IFERROR(IF(Z139="",0,Z139),"0")</f>
        <v>1.75224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294</v>
      </c>
      <c r="Y141" s="266">
        <f>IFERROR(SUMPRODUCT(Y138:Y139*H138:H139),"0")</f>
        <v>294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98</v>
      </c>
      <c r="Y144" s="265">
        <f>IFERROR(IF(X144="","",X144),"")</f>
        <v>98</v>
      </c>
      <c r="Z144" s="36">
        <f>IFERROR(IF(X144="","",X144*0.01788),"")</f>
        <v>1.75224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262.64000000000004</v>
      </c>
      <c r="BN144" s="67">
        <f>IFERROR(Y144*I144,"0")</f>
        <v>262.64000000000004</v>
      </c>
      <c r="BO144" s="67">
        <f>IFERROR(X144/J144,"0")</f>
        <v>1.4</v>
      </c>
      <c r="BP144" s="67">
        <f>IFERROR(Y144/J144,"0")</f>
        <v>1.4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56</v>
      </c>
      <c r="Y145" s="265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154</v>
      </c>
      <c r="Y146" s="266">
        <f>IFERROR(SUM(Y144:Y145),"0")</f>
        <v>154</v>
      </c>
      <c r="Z146" s="266">
        <f>IFERROR(IF(Z144="",0,Z144),"0")+IFERROR(IF(Z145="",0,Z145),"0")</f>
        <v>2.75352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369.6</v>
      </c>
      <c r="Y147" s="266">
        <f>IFERROR(SUMPRODUCT(Y144:Y145*H144:H145),"0")</f>
        <v>369.6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28</v>
      </c>
      <c r="Y150" s="265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28</v>
      </c>
      <c r="Y151" s="266">
        <f>IFERROR(SUM(Y150:Y150),"0")</f>
        <v>28</v>
      </c>
      <c r="Z151" s="266">
        <f>IFERROR(IF(Z150="",0,Z150),"0")</f>
        <v>0.50063999999999997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84</v>
      </c>
      <c r="Y152" s="266">
        <f>IFERROR(SUMPRODUCT(Y150:Y150*H150:H150),"0")</f>
        <v>84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56</v>
      </c>
      <c r="Y165" s="265">
        <f>IFERROR(IF(X165="","",X165),"")</f>
        <v>56</v>
      </c>
      <c r="Z165" s="36">
        <f>IFERROR(IF(X165="","",X165*0.00941),"")</f>
        <v>0.52695999999999998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117.70079999999999</v>
      </c>
      <c r="BN165" s="67">
        <f>IFERROR(Y165*I165,"0")</f>
        <v>117.70079999999999</v>
      </c>
      <c r="BO165" s="67">
        <f>IFERROR(X165/J165,"0")</f>
        <v>0.4</v>
      </c>
      <c r="BP165" s="67">
        <f>IFERROR(Y165/J165,"0")</f>
        <v>0.4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56</v>
      </c>
      <c r="Y166" s="266">
        <f>IFERROR(SUM(Y165:Y165),"0")</f>
        <v>56</v>
      </c>
      <c r="Z166" s="266">
        <f>IFERROR(IF(Z165="",0,Z165),"0")</f>
        <v>0.52695999999999998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94.08</v>
      </c>
      <c r="Y167" s="266">
        <f>IFERROR(SUMPRODUCT(Y165:Y165*H165:H165),"0")</f>
        <v>94.08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98</v>
      </c>
      <c r="Y178" s="265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56</v>
      </c>
      <c r="Y179" s="265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154</v>
      </c>
      <c r="Y182" s="266">
        <f>IFERROR(SUM(Y178:Y181),"0")</f>
        <v>154</v>
      </c>
      <c r="Z182" s="266">
        <f>IFERROR(IF(Z178="",0,Z178),"0")+IFERROR(IF(Z179="",0,Z179),"0")+IFERROR(IF(Z180="",0,Z180),"0")+IFERROR(IF(Z181="",0,Z181),"0")</f>
        <v>2.75352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462</v>
      </c>
      <c r="Y183" s="266">
        <f>IFERROR(SUMPRODUCT(Y178:Y181*H178:H181),"0")</f>
        <v>462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120</v>
      </c>
      <c r="Y243" s="265">
        <f>IFERROR(IF(X243="","",X243),"")</f>
        <v>120</v>
      </c>
      <c r="Z243" s="36">
        <f>IFERROR(IF(X243="","",X243*0.0155),"")</f>
        <v>1.8599999999999999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751.19999999999993</v>
      </c>
      <c r="BN243" s="67">
        <f>IFERROR(Y243*I243,"0")</f>
        <v>751.19999999999993</v>
      </c>
      <c r="BO243" s="67">
        <f>IFERROR(X243/J243,"0")</f>
        <v>1.4285714285714286</v>
      </c>
      <c r="BP243" s="67">
        <f>IFERROR(Y243/J243,"0")</f>
        <v>1.4285714285714286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120</v>
      </c>
      <c r="Y244" s="266">
        <f>IFERROR(SUM(Y243:Y243),"0")</f>
        <v>120</v>
      </c>
      <c r="Z244" s="266">
        <f>IFERROR(IF(Z243="",0,Z243),"0")</f>
        <v>1.8599999999999999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720</v>
      </c>
      <c r="Y245" s="266">
        <f>IFERROR(SUMPRODUCT(Y243:Y243*H243:H243),"0")</f>
        <v>720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0</v>
      </c>
      <c r="Y255" s="265">
        <f t="shared" si="18"/>
        <v>0</v>
      </c>
      <c r="Z255" s="36">
        <f>IFERROR(IF(X255="","",X255*0.0155),"")</f>
        <v>0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0</v>
      </c>
      <c r="Y257" s="265">
        <f t="shared" si="18"/>
        <v>0</v>
      </c>
      <c r="Z257" s="36">
        <f t="shared" si="23"/>
        <v>0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0</v>
      </c>
      <c r="Y263" s="266">
        <f>IFERROR(SUM(Y253:Y262),"0")</f>
        <v>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0</v>
      </c>
      <c r="Y264" s="266">
        <f>IFERROR(SUMPRODUCT(Y253:Y262*H253:H262),"0")</f>
        <v>0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9602.64</v>
      </c>
      <c r="Y265" s="266">
        <f>IFERROR(Y29+Y35+Y42+Y49+Y57+Y62+Y66+Y71+Y77+Y83+Y88+Y94+Y104+Y110+Y121+Y125+Y129+Y135+Y141+Y147+Y152+Y157+Y162+Y167+Y174+Y183+Y187+Y193+Y201+Y206+Y212+Y218+Y224+Y230+Y234+Y241+Y245+Y251+Y264,"0")</f>
        <v>9602.64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10812.8344</v>
      </c>
      <c r="Y266" s="266">
        <f>IFERROR(SUM(BN22:BN262),"0")</f>
        <v>10812.8344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32</v>
      </c>
      <c r="Y267" s="38">
        <f>ROUNDUP(SUM(BP22:BP262),0)</f>
        <v>32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11612.8344</v>
      </c>
      <c r="Y268" s="266">
        <f>GrossWeightTotalR+PalletQtyTotalR*25</f>
        <v>11612.8344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2474</v>
      </c>
      <c r="Y269" s="266">
        <f>IFERROR(Y28+Y34+Y41+Y48+Y56+Y61+Y65+Y70+Y76+Y82+Y87+Y93+Y103+Y109+Y120+Y124+Y128+Y134+Y140+Y146+Y151+Y156+Y161+Y166+Y173+Y182+Y186+Y192+Y200+Y205+Y211+Y217+Y223+Y229+Y233+Y240+Y244+Y250+Y263,"0")</f>
        <v>2474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39.76088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336</v>
      </c>
      <c r="E275" s="46">
        <f>IFERROR(X45*H45,"0")+IFERROR(X46*H46,"0")+IFERROR(X47*H47,"0")</f>
        <v>1276.8</v>
      </c>
      <c r="F275" s="46">
        <f>IFERROR(X52*H52,"0")+IFERROR(X53*H53,"0")+IFERROR(X54*H54,"0")+IFERROR(X55*H55,"0")</f>
        <v>244.8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180</v>
      </c>
      <c r="I275" s="46">
        <f>IFERROR(X86*H86,"0")</f>
        <v>100.8</v>
      </c>
      <c r="J275" s="46">
        <f>IFERROR(X91*H91,"0")+IFERROR(X92*H92,"0")</f>
        <v>604.80000000000007</v>
      </c>
      <c r="K275" s="46">
        <f>IFERROR(X97*H97,"0")+IFERROR(X98*H98,"0")+IFERROR(X99*H99,"0")+IFERROR(X100*H100,"0")+IFERROR(X101*H101,"0")+IFERROR(X102*H102,"0")</f>
        <v>1120.56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2455.1999999999998</v>
      </c>
      <c r="N275" s="262"/>
      <c r="O275" s="46">
        <f>IFERROR(X132*H132,"0")+IFERROR(X133*H133,"0")</f>
        <v>1260</v>
      </c>
      <c r="P275" s="46">
        <f>IFERROR(X138*H138,"0")+IFERROR(X139*H139,"0")</f>
        <v>294</v>
      </c>
      <c r="Q275" s="46">
        <f>IFERROR(X144*H144,"0")+IFERROR(X145*H145,"0")</f>
        <v>369.6</v>
      </c>
      <c r="R275" s="46">
        <f>IFERROR(X150*H150,"0")</f>
        <v>84</v>
      </c>
      <c r="S275" s="46">
        <f>IFERROR(X155*H155,"0")</f>
        <v>0</v>
      </c>
      <c r="T275" s="46">
        <f>IFERROR(X160*H160,"0")</f>
        <v>0</v>
      </c>
      <c r="U275" s="46">
        <f>IFERROR(X165*H165,"0")</f>
        <v>94.08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462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720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4156.8</v>
      </c>
      <c r="B278" s="60">
        <f>SUMPRODUCT(--(BB:BB="ПГП"),--(W:W="кор"),H:H,Y:Y)+SUMPRODUCT(--(BB:BB="ПГП"),--(W:W="кг"),Y:Y)</f>
        <v>5445.84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2026-01-16T07:05:32Z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