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11,11,25 Пушкарный\"/>
    </mc:Choice>
  </mc:AlternateContent>
  <xr:revisionPtr revIDLastSave="0" documentId="13_ncr:1_{3025C9CF-2E2E-4BA9-9B95-5F754875121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Y305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Y274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Y187" i="1" s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BP146" i="1"/>
  <c r="BO146" i="1"/>
  <c r="BN146" i="1"/>
  <c r="BM146" i="1"/>
  <c r="Z146" i="1"/>
  <c r="Y146" i="1"/>
  <c r="P146" i="1"/>
  <c r="X144" i="1"/>
  <c r="Y143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X127" i="1"/>
  <c r="Y126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P112" i="1"/>
  <c r="X110" i="1"/>
  <c r="Y109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P91" i="1"/>
  <c r="X89" i="1"/>
  <c r="Y88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BP72" i="1"/>
  <c r="BO72" i="1"/>
  <c r="BN72" i="1"/>
  <c r="BM72" i="1"/>
  <c r="Z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489" i="1" s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Z26" i="1"/>
  <c r="Z31" i="1" s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Z43" i="1" s="1"/>
  <c r="BN40" i="1"/>
  <c r="BP40" i="1"/>
  <c r="Z42" i="1"/>
  <c r="BN42" i="1"/>
  <c r="Y43" i="1"/>
  <c r="Z46" i="1"/>
  <c r="Z47" i="1" s="1"/>
  <c r="BN46" i="1"/>
  <c r="BP46" i="1"/>
  <c r="Y47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BP61" i="1"/>
  <c r="Z67" i="1"/>
  <c r="Z69" i="1" s="1"/>
  <c r="BN67" i="1"/>
  <c r="BP67" i="1"/>
  <c r="Y76" i="1"/>
  <c r="Z73" i="1"/>
  <c r="Z76" i="1" s="1"/>
  <c r="BN73" i="1"/>
  <c r="BP73" i="1"/>
  <c r="Z88" i="1"/>
  <c r="BP86" i="1"/>
  <c r="BN86" i="1"/>
  <c r="Z86" i="1"/>
  <c r="Y95" i="1"/>
  <c r="BP94" i="1"/>
  <c r="BN94" i="1"/>
  <c r="Z94" i="1"/>
  <c r="F499" i="1"/>
  <c r="Y104" i="1"/>
  <c r="BP99" i="1"/>
  <c r="BN99" i="1"/>
  <c r="Z99" i="1"/>
  <c r="Y103" i="1"/>
  <c r="Z109" i="1"/>
  <c r="BP107" i="1"/>
  <c r="BN107" i="1"/>
  <c r="Z107" i="1"/>
  <c r="Y116" i="1"/>
  <c r="BP115" i="1"/>
  <c r="BN115" i="1"/>
  <c r="Z115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Y131" i="1"/>
  <c r="BP141" i="1"/>
  <c r="BN141" i="1"/>
  <c r="Z141" i="1"/>
  <c r="Z143" i="1" s="1"/>
  <c r="Y150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Y171" i="1"/>
  <c r="BP162" i="1"/>
  <c r="BN162" i="1"/>
  <c r="Z162" i="1"/>
  <c r="BP166" i="1"/>
  <c r="BN166" i="1"/>
  <c r="Z166" i="1"/>
  <c r="BP170" i="1"/>
  <c r="BN170" i="1"/>
  <c r="Z170" i="1"/>
  <c r="Y172" i="1"/>
  <c r="Y177" i="1"/>
  <c r="BP174" i="1"/>
  <c r="BN174" i="1"/>
  <c r="Z174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Z215" i="1" s="1"/>
  <c r="BP214" i="1"/>
  <c r="BN214" i="1"/>
  <c r="Z214" i="1"/>
  <c r="Y216" i="1"/>
  <c r="Y221" i="1"/>
  <c r="BP218" i="1"/>
  <c r="BN218" i="1"/>
  <c r="Z218" i="1"/>
  <c r="Z220" i="1" s="1"/>
  <c r="Y220" i="1"/>
  <c r="BP279" i="1"/>
  <c r="BN279" i="1"/>
  <c r="Z279" i="1"/>
  <c r="Z280" i="1" s="1"/>
  <c r="Y281" i="1"/>
  <c r="Y284" i="1"/>
  <c r="BP283" i="1"/>
  <c r="BN283" i="1"/>
  <c r="Z283" i="1"/>
  <c r="Z284" i="1" s="1"/>
  <c r="Y285" i="1"/>
  <c r="Q499" i="1"/>
  <c r="Y295" i="1"/>
  <c r="BP288" i="1"/>
  <c r="BN288" i="1"/>
  <c r="Z288" i="1"/>
  <c r="Y294" i="1"/>
  <c r="BP292" i="1"/>
  <c r="BN292" i="1"/>
  <c r="Z292" i="1"/>
  <c r="BP329" i="1"/>
  <c r="BN329" i="1"/>
  <c r="Z329" i="1"/>
  <c r="Z331" i="1" s="1"/>
  <c r="Y331" i="1"/>
  <c r="H9" i="1"/>
  <c r="Y24" i="1"/>
  <c r="Y44" i="1"/>
  <c r="Y57" i="1"/>
  <c r="BP75" i="1"/>
  <c r="BN75" i="1"/>
  <c r="Z75" i="1"/>
  <c r="Y82" i="1"/>
  <c r="BP79" i="1"/>
  <c r="BN79" i="1"/>
  <c r="Z79" i="1"/>
  <c r="Z81" i="1" s="1"/>
  <c r="BP92" i="1"/>
  <c r="BN92" i="1"/>
  <c r="Z92" i="1"/>
  <c r="Z95" i="1" s="1"/>
  <c r="BP101" i="1"/>
  <c r="BN101" i="1"/>
  <c r="Z101" i="1"/>
  <c r="BP113" i="1"/>
  <c r="BN113" i="1"/>
  <c r="Z113" i="1"/>
  <c r="Z116" i="1" s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Z149" i="1" s="1"/>
  <c r="BP164" i="1"/>
  <c r="BN164" i="1"/>
  <c r="Z164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9" i="1"/>
  <c r="Y188" i="1"/>
  <c r="BP185" i="1"/>
  <c r="BN185" i="1"/>
  <c r="Z185" i="1"/>
  <c r="Z187" i="1" s="1"/>
  <c r="BP197" i="1"/>
  <c r="BN197" i="1"/>
  <c r="Z197" i="1"/>
  <c r="BP201" i="1"/>
  <c r="BN201" i="1"/>
  <c r="Z201" i="1"/>
  <c r="BP209" i="1"/>
  <c r="BN209" i="1"/>
  <c r="Z209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300" i="1"/>
  <c r="BN300" i="1"/>
  <c r="Z300" i="1"/>
  <c r="Y304" i="1"/>
  <c r="BP308" i="1"/>
  <c r="BN308" i="1"/>
  <c r="Z308" i="1"/>
  <c r="Z312" i="1" s="1"/>
  <c r="Y312" i="1"/>
  <c r="Z318" i="1"/>
  <c r="BP316" i="1"/>
  <c r="BN316" i="1"/>
  <c r="Z316" i="1"/>
  <c r="Y318" i="1"/>
  <c r="BP344" i="1"/>
  <c r="BN344" i="1"/>
  <c r="Z344" i="1"/>
  <c r="Z350" i="1" s="1"/>
  <c r="Y351" i="1"/>
  <c r="E499" i="1"/>
  <c r="Y89" i="1"/>
  <c r="H499" i="1"/>
  <c r="Y144" i="1"/>
  <c r="Y215" i="1"/>
  <c r="BP210" i="1"/>
  <c r="BN210" i="1"/>
  <c r="BP212" i="1"/>
  <c r="BN212" i="1"/>
  <c r="Z212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BP258" i="1"/>
  <c r="BN258" i="1"/>
  <c r="Z258" i="1"/>
  <c r="Y260" i="1"/>
  <c r="M499" i="1"/>
  <c r="Y268" i="1"/>
  <c r="BP263" i="1"/>
  <c r="BN263" i="1"/>
  <c r="Z263" i="1"/>
  <c r="Z267" i="1" s="1"/>
  <c r="Y267" i="1"/>
  <c r="Z274" i="1"/>
  <c r="BP272" i="1"/>
  <c r="BN272" i="1"/>
  <c r="Z272" i="1"/>
  <c r="BP290" i="1"/>
  <c r="BN290" i="1"/>
  <c r="Z290" i="1"/>
  <c r="BP298" i="1"/>
  <c r="BN298" i="1"/>
  <c r="Z298" i="1"/>
  <c r="Z304" i="1" s="1"/>
  <c r="BP302" i="1"/>
  <c r="BN302" i="1"/>
  <c r="Z302" i="1"/>
  <c r="Y313" i="1"/>
  <c r="BP310" i="1"/>
  <c r="BN310" i="1"/>
  <c r="Z310" i="1"/>
  <c r="Y319" i="1"/>
  <c r="BP323" i="1"/>
  <c r="BN323" i="1"/>
  <c r="Z323" i="1"/>
  <c r="Z325" i="1" s="1"/>
  <c r="Y332" i="1"/>
  <c r="Z338" i="1"/>
  <c r="BP336" i="1"/>
  <c r="BN336" i="1"/>
  <c r="Z336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Z380" i="1"/>
  <c r="L499" i="1"/>
  <c r="BP349" i="1"/>
  <c r="BN349" i="1"/>
  <c r="Z349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Z41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K499" i="1"/>
  <c r="Y234" i="1"/>
  <c r="O499" i="1"/>
  <c r="Y275" i="1"/>
  <c r="P499" i="1"/>
  <c r="Y280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Z432" i="1" s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259" i="1" l="1"/>
  <c r="Z250" i="1"/>
  <c r="Z203" i="1"/>
  <c r="Z177" i="1"/>
  <c r="Y493" i="1"/>
  <c r="Y490" i="1"/>
  <c r="Y492" i="1" s="1"/>
  <c r="Z447" i="1"/>
  <c r="Z394" i="1"/>
  <c r="Y489" i="1"/>
  <c r="Z294" i="1"/>
  <c r="Z171" i="1"/>
  <c r="Z103" i="1"/>
  <c r="Y491" i="1"/>
  <c r="Z494" i="1"/>
</calcChain>
</file>

<file path=xl/sharedStrings.xml><?xml version="1.0" encoding="utf-8"?>
<sst xmlns="http://schemas.openxmlformats.org/spreadsheetml/2006/main" count="2346" uniqueCount="765">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</sst>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25" xfId="0" applyBorder="1" applyProtection="1">
      <protection hidden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4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4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807" t="s">
        <v>0</v>
      </c>
      <c r="E1" s="757"/>
      <c r="F1" s="757"/>
      <c r="G1" s="12" t="s">
        <v>1</v>
      </c>
      <c r="H1" s="807" t="s">
        <v>2</v>
      </c>
      <c r="I1" s="757"/>
      <c r="J1" s="757"/>
      <c r="K1" s="757"/>
      <c r="L1" s="757"/>
      <c r="M1" s="757"/>
      <c r="N1" s="757"/>
      <c r="O1" s="757"/>
      <c r="P1" s="757"/>
      <c r="Q1" s="757"/>
      <c r="R1" s="851" t="s">
        <v>3</v>
      </c>
      <c r="S1" s="757"/>
      <c r="T1" s="75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776" t="s">
        <v>8</v>
      </c>
      <c r="B5" s="628"/>
      <c r="C5" s="578"/>
      <c r="D5" s="653"/>
      <c r="E5" s="655"/>
      <c r="F5" s="603" t="s">
        <v>9</v>
      </c>
      <c r="G5" s="578"/>
      <c r="H5" s="653"/>
      <c r="I5" s="654"/>
      <c r="J5" s="654"/>
      <c r="K5" s="654"/>
      <c r="L5" s="654"/>
      <c r="M5" s="655"/>
      <c r="N5" s="58"/>
      <c r="P5" s="24" t="s">
        <v>10</v>
      </c>
      <c r="Q5" s="587">
        <v>45974</v>
      </c>
      <c r="R5" s="588"/>
      <c r="T5" s="735" t="s">
        <v>11</v>
      </c>
      <c r="U5" s="574"/>
      <c r="V5" s="736" t="s">
        <v>12</v>
      </c>
      <c r="W5" s="588"/>
      <c r="AB5" s="51"/>
      <c r="AC5" s="51"/>
      <c r="AD5" s="51"/>
      <c r="AE5" s="51"/>
    </row>
    <row r="6" spans="1:32" s="538" customFormat="1" ht="24" customHeight="1" x14ac:dyDescent="0.2">
      <c r="A6" s="776" t="s">
        <v>13</v>
      </c>
      <c r="B6" s="628"/>
      <c r="C6" s="578"/>
      <c r="D6" s="657" t="s">
        <v>14</v>
      </c>
      <c r="E6" s="658"/>
      <c r="F6" s="658"/>
      <c r="G6" s="658"/>
      <c r="H6" s="658"/>
      <c r="I6" s="658"/>
      <c r="J6" s="658"/>
      <c r="K6" s="658"/>
      <c r="L6" s="658"/>
      <c r="M6" s="588"/>
      <c r="N6" s="59"/>
      <c r="P6" s="24" t="s">
        <v>15</v>
      </c>
      <c r="Q6" s="626" t="str">
        <f>IF(Q5=0," ",CHOOSE(WEEKDAY(Q5,2),"Понедельник","Вторник","Среда","Четверг","Пятница","Суббота","Воскресенье"))</f>
        <v>Четверг</v>
      </c>
      <c r="R6" s="548"/>
      <c r="T6" s="742" t="s">
        <v>16</v>
      </c>
      <c r="U6" s="574"/>
      <c r="V6" s="675" t="s">
        <v>17</v>
      </c>
      <c r="W6" s="676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818" t="str">
        <f>IFERROR(VLOOKUP(DeliveryAddress,Table,3,0),1)</f>
        <v>1</v>
      </c>
      <c r="E7" s="819"/>
      <c r="F7" s="819"/>
      <c r="G7" s="819"/>
      <c r="H7" s="819"/>
      <c r="I7" s="819"/>
      <c r="J7" s="819"/>
      <c r="K7" s="819"/>
      <c r="L7" s="819"/>
      <c r="M7" s="739"/>
      <c r="N7" s="60"/>
      <c r="P7" s="24"/>
      <c r="Q7" s="42"/>
      <c r="R7" s="42"/>
      <c r="T7" s="556"/>
      <c r="U7" s="574"/>
      <c r="V7" s="677"/>
      <c r="W7" s="678"/>
      <c r="AB7" s="51"/>
      <c r="AC7" s="51"/>
      <c r="AD7" s="51"/>
      <c r="AE7" s="51"/>
    </row>
    <row r="8" spans="1:32" s="538" customFormat="1" ht="25.5" customHeight="1" x14ac:dyDescent="0.2">
      <c r="A8" s="568" t="s">
        <v>18</v>
      </c>
      <c r="B8" s="550"/>
      <c r="C8" s="551"/>
      <c r="D8" s="826" t="s">
        <v>19</v>
      </c>
      <c r="E8" s="827"/>
      <c r="F8" s="827"/>
      <c r="G8" s="827"/>
      <c r="H8" s="827"/>
      <c r="I8" s="827"/>
      <c r="J8" s="827"/>
      <c r="K8" s="827"/>
      <c r="L8" s="827"/>
      <c r="M8" s="828"/>
      <c r="N8" s="61"/>
      <c r="P8" s="24" t="s">
        <v>20</v>
      </c>
      <c r="Q8" s="738">
        <v>0.41666666666666669</v>
      </c>
      <c r="R8" s="739"/>
      <c r="T8" s="556"/>
      <c r="U8" s="574"/>
      <c r="V8" s="677"/>
      <c r="W8" s="678"/>
      <c r="AB8" s="51"/>
      <c r="AC8" s="51"/>
      <c r="AD8" s="51"/>
      <c r="AE8" s="51"/>
    </row>
    <row r="9" spans="1:32" s="538" customFormat="1" ht="39.950000000000003" customHeight="1" x14ac:dyDescent="0.2">
      <c r="A9" s="5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11"/>
      <c r="E9" s="612"/>
      <c r="F9" s="5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721" t="str">
        <f>IF(AND($A$9="Тип доверенности/получателя при получении в адресе перегруза:",$D$9="Разовая доверенность"),"Введите ФИО","")</f>
        <v/>
      </c>
      <c r="I9" s="612"/>
      <c r="J9" s="72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2"/>
      <c r="L9" s="612"/>
      <c r="M9" s="612"/>
      <c r="N9" s="539"/>
      <c r="P9" s="26" t="s">
        <v>21</v>
      </c>
      <c r="Q9" s="811"/>
      <c r="R9" s="607"/>
      <c r="T9" s="556"/>
      <c r="U9" s="574"/>
      <c r="V9" s="679"/>
      <c r="W9" s="680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5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11"/>
      <c r="E10" s="612"/>
      <c r="F10" s="5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699" t="str">
        <f>IFERROR(VLOOKUP($D$10,Proxy,2,FALSE),"")</f>
        <v/>
      </c>
      <c r="I10" s="556"/>
      <c r="J10" s="556"/>
      <c r="K10" s="556"/>
      <c r="L10" s="556"/>
      <c r="M10" s="556"/>
      <c r="N10" s="537"/>
      <c r="P10" s="26" t="s">
        <v>22</v>
      </c>
      <c r="Q10" s="743"/>
      <c r="R10" s="744"/>
      <c r="U10" s="24" t="s">
        <v>23</v>
      </c>
      <c r="V10" s="838" t="s">
        <v>24</v>
      </c>
      <c r="W10" s="676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12"/>
      <c r="R11" s="588"/>
      <c r="U11" s="24" t="s">
        <v>27</v>
      </c>
      <c r="V11" s="606" t="s">
        <v>28</v>
      </c>
      <c r="W11" s="607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745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578"/>
      <c r="N12" s="62"/>
      <c r="P12" s="24" t="s">
        <v>30</v>
      </c>
      <c r="Q12" s="738"/>
      <c r="R12" s="739"/>
      <c r="S12" s="23"/>
      <c r="U12" s="24"/>
      <c r="V12" s="757"/>
      <c r="W12" s="556"/>
      <c r="AB12" s="51"/>
      <c r="AC12" s="51"/>
      <c r="AD12" s="51"/>
      <c r="AE12" s="51"/>
    </row>
    <row r="13" spans="1:32" s="538" customFormat="1" ht="23.25" customHeight="1" x14ac:dyDescent="0.2">
      <c r="A13" s="745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578"/>
      <c r="N13" s="62"/>
      <c r="O13" s="26"/>
      <c r="P13" s="26" t="s">
        <v>32</v>
      </c>
      <c r="Q13" s="606"/>
      <c r="R13" s="60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745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57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756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578"/>
      <c r="N15" s="63"/>
      <c r="P15" s="759" t="s">
        <v>35</v>
      </c>
      <c r="Q15" s="757"/>
      <c r="R15" s="757"/>
      <c r="S15" s="757"/>
      <c r="T15" s="75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0"/>
      <c r="Q16" s="760"/>
      <c r="R16" s="760"/>
      <c r="S16" s="760"/>
      <c r="T16" s="7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8" t="s">
        <v>36</v>
      </c>
      <c r="B17" s="558" t="s">
        <v>37</v>
      </c>
      <c r="C17" s="777" t="s">
        <v>38</v>
      </c>
      <c r="D17" s="558" t="s">
        <v>39</v>
      </c>
      <c r="E17" s="559"/>
      <c r="F17" s="558" t="s">
        <v>40</v>
      </c>
      <c r="G17" s="558" t="s">
        <v>41</v>
      </c>
      <c r="H17" s="558" t="s">
        <v>42</v>
      </c>
      <c r="I17" s="558" t="s">
        <v>43</v>
      </c>
      <c r="J17" s="558" t="s">
        <v>44</v>
      </c>
      <c r="K17" s="558" t="s">
        <v>45</v>
      </c>
      <c r="L17" s="558" t="s">
        <v>46</v>
      </c>
      <c r="M17" s="558" t="s">
        <v>47</v>
      </c>
      <c r="N17" s="558" t="s">
        <v>48</v>
      </c>
      <c r="O17" s="558" t="s">
        <v>49</v>
      </c>
      <c r="P17" s="558" t="s">
        <v>50</v>
      </c>
      <c r="Q17" s="798"/>
      <c r="R17" s="798"/>
      <c r="S17" s="798"/>
      <c r="T17" s="559"/>
      <c r="U17" s="577" t="s">
        <v>51</v>
      </c>
      <c r="V17" s="578"/>
      <c r="W17" s="558" t="s">
        <v>52</v>
      </c>
      <c r="X17" s="558" t="s">
        <v>53</v>
      </c>
      <c r="Y17" s="579" t="s">
        <v>54</v>
      </c>
      <c r="Z17" s="670" t="s">
        <v>55</v>
      </c>
      <c r="AA17" s="597" t="s">
        <v>56</v>
      </c>
      <c r="AB17" s="597" t="s">
        <v>57</v>
      </c>
      <c r="AC17" s="597" t="s">
        <v>58</v>
      </c>
      <c r="AD17" s="597" t="s">
        <v>59</v>
      </c>
      <c r="AE17" s="598"/>
      <c r="AF17" s="599"/>
      <c r="AG17" s="66"/>
      <c r="BD17" s="65" t="s">
        <v>60</v>
      </c>
    </row>
    <row r="18" spans="1:68" ht="14.25" customHeight="1" x14ac:dyDescent="0.2">
      <c r="A18" s="563"/>
      <c r="B18" s="563"/>
      <c r="C18" s="563"/>
      <c r="D18" s="560"/>
      <c r="E18" s="561"/>
      <c r="F18" s="563"/>
      <c r="G18" s="563"/>
      <c r="H18" s="563"/>
      <c r="I18" s="563"/>
      <c r="J18" s="563"/>
      <c r="K18" s="563"/>
      <c r="L18" s="563"/>
      <c r="M18" s="563"/>
      <c r="N18" s="563"/>
      <c r="O18" s="563"/>
      <c r="P18" s="560"/>
      <c r="Q18" s="799"/>
      <c r="R18" s="799"/>
      <c r="S18" s="799"/>
      <c r="T18" s="561"/>
      <c r="U18" s="67" t="s">
        <v>61</v>
      </c>
      <c r="V18" s="67" t="s">
        <v>62</v>
      </c>
      <c r="W18" s="563"/>
      <c r="X18" s="563"/>
      <c r="Y18" s="580"/>
      <c r="Z18" s="671"/>
      <c r="AA18" s="672"/>
      <c r="AB18" s="672"/>
      <c r="AC18" s="672"/>
      <c r="AD18" s="600"/>
      <c r="AE18" s="601"/>
      <c r="AF18" s="602"/>
      <c r="AG18" s="66"/>
      <c r="BD18" s="65"/>
    </row>
    <row r="19" spans="1:68" ht="27.75" customHeight="1" x14ac:dyDescent="0.2">
      <c r="A19" s="643" t="s">
        <v>63</v>
      </c>
      <c r="B19" s="644"/>
      <c r="C19" s="644"/>
      <c r="D19" s="644"/>
      <c r="E19" s="644"/>
      <c r="F19" s="644"/>
      <c r="G19" s="644"/>
      <c r="H19" s="644"/>
      <c r="I19" s="644"/>
      <c r="J19" s="644"/>
      <c r="K19" s="644"/>
      <c r="L19" s="644"/>
      <c r="M19" s="644"/>
      <c r="N19" s="644"/>
      <c r="O19" s="644"/>
      <c r="P19" s="644"/>
      <c r="Q19" s="644"/>
      <c r="R19" s="644"/>
      <c r="S19" s="644"/>
      <c r="T19" s="644"/>
      <c r="U19" s="644"/>
      <c r="V19" s="644"/>
      <c r="W19" s="644"/>
      <c r="X19" s="644"/>
      <c r="Y19" s="644"/>
      <c r="Z19" s="644"/>
      <c r="AA19" s="48"/>
      <c r="AB19" s="48"/>
      <c r="AC19" s="48"/>
    </row>
    <row r="20" spans="1:68" ht="16.5" customHeight="1" x14ac:dyDescent="0.25">
      <c r="A20" s="571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6"/>
      <c r="AB20" s="536"/>
      <c r="AC20" s="536"/>
    </row>
    <row r="21" spans="1:68" ht="14.25" customHeight="1" x14ac:dyDescent="0.25">
      <c r="A21" s="562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8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3"/>
      <c r="R22" s="553"/>
      <c r="S22" s="553"/>
      <c r="T22" s="554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5"/>
      <c r="B23" s="556"/>
      <c r="C23" s="556"/>
      <c r="D23" s="556"/>
      <c r="E23" s="556"/>
      <c r="F23" s="556"/>
      <c r="G23" s="556"/>
      <c r="H23" s="556"/>
      <c r="I23" s="556"/>
      <c r="J23" s="556"/>
      <c r="K23" s="556"/>
      <c r="L23" s="556"/>
      <c r="M23" s="556"/>
      <c r="N23" s="556"/>
      <c r="O23" s="557"/>
      <c r="P23" s="549" t="s">
        <v>71</v>
      </c>
      <c r="Q23" s="550"/>
      <c r="R23" s="550"/>
      <c r="S23" s="550"/>
      <c r="T23" s="550"/>
      <c r="U23" s="550"/>
      <c r="V23" s="55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6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7"/>
      <c r="P24" s="549" t="s">
        <v>71</v>
      </c>
      <c r="Q24" s="550"/>
      <c r="R24" s="550"/>
      <c r="S24" s="550"/>
      <c r="T24" s="550"/>
      <c r="U24" s="550"/>
      <c r="V24" s="55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62" t="s">
        <v>73</v>
      </c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556"/>
      <c r="V25" s="556"/>
      <c r="W25" s="556"/>
      <c r="X25" s="556"/>
      <c r="Y25" s="556"/>
      <c r="Z25" s="556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5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3"/>
      <c r="R26" s="553"/>
      <c r="S26" s="553"/>
      <c r="T26" s="554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3"/>
      <c r="R27" s="553"/>
      <c r="S27" s="553"/>
      <c r="T27" s="554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3"/>
      <c r="R28" s="553"/>
      <c r="S28" s="553"/>
      <c r="T28" s="554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82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3"/>
      <c r="R29" s="553"/>
      <c r="S29" s="553"/>
      <c r="T29" s="554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85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3"/>
      <c r="R30" s="553"/>
      <c r="S30" s="553"/>
      <c r="T30" s="554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5"/>
      <c r="B31" s="556"/>
      <c r="C31" s="556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57"/>
      <c r="P31" s="549" t="s">
        <v>71</v>
      </c>
      <c r="Q31" s="550"/>
      <c r="R31" s="550"/>
      <c r="S31" s="550"/>
      <c r="T31" s="550"/>
      <c r="U31" s="550"/>
      <c r="V31" s="55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6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7"/>
      <c r="P32" s="549" t="s">
        <v>71</v>
      </c>
      <c r="Q32" s="550"/>
      <c r="R32" s="550"/>
      <c r="S32" s="550"/>
      <c r="T32" s="550"/>
      <c r="U32" s="550"/>
      <c r="V32" s="55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62" t="s">
        <v>93</v>
      </c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6"/>
      <c r="P33" s="556"/>
      <c r="Q33" s="556"/>
      <c r="R33" s="556"/>
      <c r="S33" s="556"/>
      <c r="T33" s="556"/>
      <c r="U33" s="556"/>
      <c r="V33" s="556"/>
      <c r="W33" s="556"/>
      <c r="X33" s="556"/>
      <c r="Y33" s="556"/>
      <c r="Z33" s="556"/>
      <c r="AA33" s="535"/>
      <c r="AB33" s="535"/>
      <c r="AC33" s="535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6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3"/>
      <c r="R34" s="553"/>
      <c r="S34" s="553"/>
      <c r="T34" s="554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5"/>
      <c r="B35" s="556"/>
      <c r="C35" s="556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57"/>
      <c r="P35" s="549" t="s">
        <v>71</v>
      </c>
      <c r="Q35" s="550"/>
      <c r="R35" s="550"/>
      <c r="S35" s="550"/>
      <c r="T35" s="550"/>
      <c r="U35" s="550"/>
      <c r="V35" s="55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6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7"/>
      <c r="P36" s="549" t="s">
        <v>71</v>
      </c>
      <c r="Q36" s="550"/>
      <c r="R36" s="550"/>
      <c r="S36" s="550"/>
      <c r="T36" s="550"/>
      <c r="U36" s="550"/>
      <c r="V36" s="55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43" t="s">
        <v>99</v>
      </c>
      <c r="B37" s="644"/>
      <c r="C37" s="644"/>
      <c r="D37" s="644"/>
      <c r="E37" s="644"/>
      <c r="F37" s="644"/>
      <c r="G37" s="644"/>
      <c r="H37" s="644"/>
      <c r="I37" s="644"/>
      <c r="J37" s="644"/>
      <c r="K37" s="644"/>
      <c r="L37" s="644"/>
      <c r="M37" s="644"/>
      <c r="N37" s="644"/>
      <c r="O37" s="644"/>
      <c r="P37" s="644"/>
      <c r="Q37" s="644"/>
      <c r="R37" s="644"/>
      <c r="S37" s="644"/>
      <c r="T37" s="644"/>
      <c r="U37" s="644"/>
      <c r="V37" s="644"/>
      <c r="W37" s="644"/>
      <c r="X37" s="644"/>
      <c r="Y37" s="644"/>
      <c r="Z37" s="644"/>
      <c r="AA37" s="48"/>
      <c r="AB37" s="48"/>
      <c r="AC37" s="48"/>
    </row>
    <row r="38" spans="1:68" ht="16.5" customHeight="1" x14ac:dyDescent="0.25">
      <c r="A38" s="571" t="s">
        <v>100</v>
      </c>
      <c r="B38" s="556"/>
      <c r="C38" s="556"/>
      <c r="D38" s="556"/>
      <c r="E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556"/>
      <c r="Z38" s="556"/>
      <c r="AA38" s="536"/>
      <c r="AB38" s="536"/>
      <c r="AC38" s="536"/>
    </row>
    <row r="39" spans="1:68" ht="14.25" customHeight="1" x14ac:dyDescent="0.25">
      <c r="A39" s="562" t="s">
        <v>101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5"/>
      <c r="AB39" s="535"/>
      <c r="AC39" s="53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8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3"/>
      <c r="R40" s="553"/>
      <c r="S40" s="553"/>
      <c r="T40" s="554"/>
      <c r="U40" s="34"/>
      <c r="V40" s="34"/>
      <c r="W40" s="35" t="s">
        <v>69</v>
      </c>
      <c r="X40" s="541">
        <v>670</v>
      </c>
      <c r="Y40" s="542">
        <f>IFERROR(IF(X40="",0,CEILING((X40/$H40),1)*$H40),"")</f>
        <v>680.40000000000009</v>
      </c>
      <c r="Z40" s="36">
        <f>IFERROR(IF(Y40=0,"",ROUNDUP(Y40/H40,0)*0.01898),"")</f>
        <v>1.19574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695.43518518518522</v>
      </c>
      <c r="BN40" s="64">
        <f>IFERROR(Y40*I40/H40,"0")</f>
        <v>706.23000000000013</v>
      </c>
      <c r="BO40" s="64">
        <f>IFERROR(1/J40*(X40/H40),"0")</f>
        <v>0.96932870370370361</v>
      </c>
      <c r="BP40" s="64">
        <f>IFERROR(1/J40*(Y40/H40),"0")</f>
        <v>0.98437500000000011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6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3"/>
      <c r="R41" s="553"/>
      <c r="S41" s="553"/>
      <c r="T41" s="554"/>
      <c r="U41" s="34"/>
      <c r="V41" s="34"/>
      <c r="W41" s="35" t="s">
        <v>69</v>
      </c>
      <c r="X41" s="541">
        <v>144</v>
      </c>
      <c r="Y41" s="542">
        <f>IFERROR(IF(X41="",0,CEILING((X41/$H41),1)*$H41),"")</f>
        <v>144</v>
      </c>
      <c r="Z41" s="36">
        <f>IFERROR(IF(Y41=0,"",ROUNDUP(Y41/H41,0)*0.00902),"")</f>
        <v>0.32472000000000001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150.84</v>
      </c>
      <c r="BN41" s="64">
        <f>IFERROR(Y41*I41/H41,"0")</f>
        <v>150.84</v>
      </c>
      <c r="BO41" s="64">
        <f>IFERROR(1/J41*(X41/H41),"0")</f>
        <v>0.27272727272727271</v>
      </c>
      <c r="BP41" s="64">
        <f>IFERROR(1/J41*(Y41/H41),"0")</f>
        <v>0.27272727272727271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8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3"/>
      <c r="R42" s="553"/>
      <c r="S42" s="553"/>
      <c r="T42" s="554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5"/>
      <c r="B43" s="556"/>
      <c r="C43" s="556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57"/>
      <c r="P43" s="549" t="s">
        <v>71</v>
      </c>
      <c r="Q43" s="550"/>
      <c r="R43" s="550"/>
      <c r="S43" s="550"/>
      <c r="T43" s="550"/>
      <c r="U43" s="550"/>
      <c r="V43" s="551"/>
      <c r="W43" s="37" t="s">
        <v>72</v>
      </c>
      <c r="X43" s="543">
        <f>IFERROR(X40/H40,"0")+IFERROR(X41/H41,"0")+IFERROR(X42/H42,"0")</f>
        <v>98.037037037037038</v>
      </c>
      <c r="Y43" s="543">
        <f>IFERROR(Y40/H40,"0")+IFERROR(Y41/H41,"0")+IFERROR(Y42/H42,"0")</f>
        <v>99</v>
      </c>
      <c r="Z43" s="543">
        <f>IFERROR(IF(Z40="",0,Z40),"0")+IFERROR(IF(Z41="",0,Z41),"0")+IFERROR(IF(Z42="",0,Z42),"0")</f>
        <v>1.5204599999999999</v>
      </c>
      <c r="AA43" s="544"/>
      <c r="AB43" s="544"/>
      <c r="AC43" s="544"/>
    </row>
    <row r="44" spans="1:68" x14ac:dyDescent="0.2">
      <c r="A44" s="556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7"/>
      <c r="P44" s="549" t="s">
        <v>71</v>
      </c>
      <c r="Q44" s="550"/>
      <c r="R44" s="550"/>
      <c r="S44" s="550"/>
      <c r="T44" s="550"/>
      <c r="U44" s="550"/>
      <c r="V44" s="551"/>
      <c r="W44" s="37" t="s">
        <v>69</v>
      </c>
      <c r="X44" s="543">
        <f>IFERROR(SUM(X40:X42),"0")</f>
        <v>814</v>
      </c>
      <c r="Y44" s="543">
        <f>IFERROR(SUM(Y40:Y42),"0")</f>
        <v>824.40000000000009</v>
      </c>
      <c r="Z44" s="37"/>
      <c r="AA44" s="544"/>
      <c r="AB44" s="544"/>
      <c r="AC44" s="544"/>
    </row>
    <row r="45" spans="1:68" ht="14.25" customHeight="1" x14ac:dyDescent="0.25">
      <c r="A45" s="562" t="s">
        <v>73</v>
      </c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35"/>
      <c r="AB45" s="535"/>
      <c r="AC45" s="535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68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3"/>
      <c r="R46" s="553"/>
      <c r="S46" s="553"/>
      <c r="T46" s="554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5"/>
      <c r="B47" s="556"/>
      <c r="C47" s="556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57"/>
      <c r="P47" s="549" t="s">
        <v>71</v>
      </c>
      <c r="Q47" s="550"/>
      <c r="R47" s="550"/>
      <c r="S47" s="550"/>
      <c r="T47" s="550"/>
      <c r="U47" s="550"/>
      <c r="V47" s="55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6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7"/>
      <c r="P48" s="549" t="s">
        <v>71</v>
      </c>
      <c r="Q48" s="550"/>
      <c r="R48" s="550"/>
      <c r="S48" s="550"/>
      <c r="T48" s="550"/>
      <c r="U48" s="550"/>
      <c r="V48" s="55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71" t="s">
        <v>117</v>
      </c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36"/>
      <c r="AB49" s="536"/>
      <c r="AC49" s="536"/>
    </row>
    <row r="50" spans="1:68" ht="14.25" customHeight="1" x14ac:dyDescent="0.25">
      <c r="A50" s="562" t="s">
        <v>101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5"/>
      <c r="AB50" s="535"/>
      <c r="AC50" s="535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3"/>
      <c r="R51" s="553"/>
      <c r="S51" s="553"/>
      <c r="T51" s="554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7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3"/>
      <c r="R52" s="553"/>
      <c r="S52" s="553"/>
      <c r="T52" s="554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6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3"/>
      <c r="R53" s="553"/>
      <c r="S53" s="553"/>
      <c r="T53" s="554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3"/>
      <c r="R54" s="553"/>
      <c r="S54" s="553"/>
      <c r="T54" s="554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78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3"/>
      <c r="R55" s="553"/>
      <c r="S55" s="553"/>
      <c r="T55" s="554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3"/>
      <c r="R56" s="553"/>
      <c r="S56" s="553"/>
      <c r="T56" s="554"/>
      <c r="U56" s="34"/>
      <c r="V56" s="34"/>
      <c r="W56" s="35" t="s">
        <v>69</v>
      </c>
      <c r="X56" s="541">
        <v>1782</v>
      </c>
      <c r="Y56" s="542">
        <f t="shared" si="0"/>
        <v>1782</v>
      </c>
      <c r="Z56" s="36">
        <f>IFERROR(IF(Y56=0,"",ROUNDUP(Y56/H56,0)*0.00902),"")</f>
        <v>3.57192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1857.24</v>
      </c>
      <c r="BN56" s="64">
        <f t="shared" si="2"/>
        <v>1857.24</v>
      </c>
      <c r="BO56" s="64">
        <f t="shared" si="3"/>
        <v>3</v>
      </c>
      <c r="BP56" s="64">
        <f t="shared" si="4"/>
        <v>3</v>
      </c>
    </row>
    <row r="57" spans="1:68" x14ac:dyDescent="0.2">
      <c r="A57" s="555"/>
      <c r="B57" s="556"/>
      <c r="C57" s="556"/>
      <c r="D57" s="556"/>
      <c r="E57" s="556"/>
      <c r="F57" s="556"/>
      <c r="G57" s="556"/>
      <c r="H57" s="556"/>
      <c r="I57" s="556"/>
      <c r="J57" s="556"/>
      <c r="K57" s="556"/>
      <c r="L57" s="556"/>
      <c r="M57" s="556"/>
      <c r="N57" s="556"/>
      <c r="O57" s="557"/>
      <c r="P57" s="549" t="s">
        <v>71</v>
      </c>
      <c r="Q57" s="550"/>
      <c r="R57" s="550"/>
      <c r="S57" s="550"/>
      <c r="T57" s="550"/>
      <c r="U57" s="550"/>
      <c r="V57" s="551"/>
      <c r="W57" s="37" t="s">
        <v>72</v>
      </c>
      <c r="X57" s="543">
        <f>IFERROR(X51/H51,"0")+IFERROR(X52/H52,"0")+IFERROR(X53/H53,"0")+IFERROR(X54/H54,"0")+IFERROR(X55/H55,"0")+IFERROR(X56/H56,"0")</f>
        <v>396</v>
      </c>
      <c r="Y57" s="543">
        <f>IFERROR(Y51/H51,"0")+IFERROR(Y52/H52,"0")+IFERROR(Y53/H53,"0")+IFERROR(Y54/H54,"0")+IFERROR(Y55/H55,"0")+IFERROR(Y56/H56,"0")</f>
        <v>396</v>
      </c>
      <c r="Z57" s="543">
        <f>IFERROR(IF(Z51="",0,Z51),"0")+IFERROR(IF(Z52="",0,Z52),"0")+IFERROR(IF(Z53="",0,Z53),"0")+IFERROR(IF(Z54="",0,Z54),"0")+IFERROR(IF(Z55="",0,Z55),"0")+IFERROR(IF(Z56="",0,Z56),"0")</f>
        <v>3.57192</v>
      </c>
      <c r="AA57" s="544"/>
      <c r="AB57" s="544"/>
      <c r="AC57" s="544"/>
    </row>
    <row r="58" spans="1:68" x14ac:dyDescent="0.2">
      <c r="A58" s="556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57"/>
      <c r="P58" s="549" t="s">
        <v>71</v>
      </c>
      <c r="Q58" s="550"/>
      <c r="R58" s="550"/>
      <c r="S58" s="550"/>
      <c r="T58" s="550"/>
      <c r="U58" s="550"/>
      <c r="V58" s="551"/>
      <c r="W58" s="37" t="s">
        <v>69</v>
      </c>
      <c r="X58" s="543">
        <f>IFERROR(SUM(X51:X56),"0")</f>
        <v>1782</v>
      </c>
      <c r="Y58" s="543">
        <f>IFERROR(SUM(Y51:Y56),"0")</f>
        <v>1782</v>
      </c>
      <c r="Z58" s="37"/>
      <c r="AA58" s="544"/>
      <c r="AB58" s="544"/>
      <c r="AC58" s="544"/>
    </row>
    <row r="59" spans="1:68" ht="14.25" customHeight="1" x14ac:dyDescent="0.25">
      <c r="A59" s="562" t="s">
        <v>136</v>
      </c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7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3"/>
      <c r="R60" s="553"/>
      <c r="S60" s="553"/>
      <c r="T60" s="554"/>
      <c r="U60" s="34"/>
      <c r="V60" s="34"/>
      <c r="W60" s="35" t="s">
        <v>69</v>
      </c>
      <c r="X60" s="541">
        <v>1900</v>
      </c>
      <c r="Y60" s="542">
        <f>IFERROR(IF(X60="",0,CEILING((X60/$H60),1)*$H60),"")</f>
        <v>1900.8000000000002</v>
      </c>
      <c r="Z60" s="36">
        <f>IFERROR(IF(Y60=0,"",ROUNDUP(Y60/H60,0)*0.01898),"")</f>
        <v>3.3404799999999999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1972.1296296296296</v>
      </c>
      <c r="BN60" s="64">
        <f>IFERROR(Y60*I60/H60,"0")</f>
        <v>1972.9600000000003</v>
      </c>
      <c r="BO60" s="64">
        <f>IFERROR(1/J60*(X60/H60),"0")</f>
        <v>2.7488425925925926</v>
      </c>
      <c r="BP60" s="64">
        <f>IFERROR(1/J60*(Y60/H60),"0")</f>
        <v>2.75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3"/>
      <c r="R61" s="553"/>
      <c r="S61" s="553"/>
      <c r="T61" s="554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3"/>
      <c r="R62" s="553"/>
      <c r="S62" s="553"/>
      <c r="T62" s="554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5"/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57"/>
      <c r="P63" s="549" t="s">
        <v>71</v>
      </c>
      <c r="Q63" s="550"/>
      <c r="R63" s="550"/>
      <c r="S63" s="550"/>
      <c r="T63" s="550"/>
      <c r="U63" s="550"/>
      <c r="V63" s="551"/>
      <c r="W63" s="37" t="s">
        <v>72</v>
      </c>
      <c r="X63" s="543">
        <f>IFERROR(X60/H60,"0")+IFERROR(X61/H61,"0")+IFERROR(X62/H62,"0")</f>
        <v>175.92592592592592</v>
      </c>
      <c r="Y63" s="543">
        <f>IFERROR(Y60/H60,"0")+IFERROR(Y61/H61,"0")+IFERROR(Y62/H62,"0")</f>
        <v>176</v>
      </c>
      <c r="Z63" s="543">
        <f>IFERROR(IF(Z60="",0,Z60),"0")+IFERROR(IF(Z61="",0,Z61),"0")+IFERROR(IF(Z62="",0,Z62),"0")</f>
        <v>3.3404799999999999</v>
      </c>
      <c r="AA63" s="544"/>
      <c r="AB63" s="544"/>
      <c r="AC63" s="544"/>
    </row>
    <row r="64" spans="1:68" x14ac:dyDescent="0.2">
      <c r="A64" s="556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7"/>
      <c r="P64" s="549" t="s">
        <v>71</v>
      </c>
      <c r="Q64" s="550"/>
      <c r="R64" s="550"/>
      <c r="S64" s="550"/>
      <c r="T64" s="550"/>
      <c r="U64" s="550"/>
      <c r="V64" s="551"/>
      <c r="W64" s="37" t="s">
        <v>69</v>
      </c>
      <c r="X64" s="543">
        <f>IFERROR(SUM(X60:X62),"0")</f>
        <v>1900</v>
      </c>
      <c r="Y64" s="543">
        <f>IFERROR(SUM(Y60:Y62),"0")</f>
        <v>1900.8000000000002</v>
      </c>
      <c r="Z64" s="37"/>
      <c r="AA64" s="544"/>
      <c r="AB64" s="544"/>
      <c r="AC64" s="544"/>
    </row>
    <row r="65" spans="1:68" ht="14.25" customHeight="1" x14ac:dyDescent="0.25">
      <c r="A65" s="562" t="s">
        <v>64</v>
      </c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35"/>
      <c r="AB65" s="535"/>
      <c r="AC65" s="535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8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3"/>
      <c r="R66" s="553"/>
      <c r="S66" s="553"/>
      <c r="T66" s="554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0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3"/>
      <c r="R67" s="553"/>
      <c r="S67" s="553"/>
      <c r="T67" s="554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7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3"/>
      <c r="R68" s="553"/>
      <c r="S68" s="553"/>
      <c r="T68" s="554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5"/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7"/>
      <c r="P69" s="549" t="s">
        <v>71</v>
      </c>
      <c r="Q69" s="550"/>
      <c r="R69" s="550"/>
      <c r="S69" s="550"/>
      <c r="T69" s="550"/>
      <c r="U69" s="550"/>
      <c r="V69" s="55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6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7"/>
      <c r="P70" s="549" t="s">
        <v>71</v>
      </c>
      <c r="Q70" s="550"/>
      <c r="R70" s="550"/>
      <c r="S70" s="550"/>
      <c r="T70" s="550"/>
      <c r="U70" s="550"/>
      <c r="V70" s="55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62" t="s">
        <v>73</v>
      </c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35"/>
      <c r="AB71" s="535"/>
      <c r="AC71" s="535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58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3"/>
      <c r="R72" s="553"/>
      <c r="S72" s="553"/>
      <c r="T72" s="554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8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3"/>
      <c r="R73" s="553"/>
      <c r="S73" s="553"/>
      <c r="T73" s="554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3"/>
      <c r="R74" s="553"/>
      <c r="S74" s="553"/>
      <c r="T74" s="554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6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3"/>
      <c r="R75" s="553"/>
      <c r="S75" s="553"/>
      <c r="T75" s="554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5"/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7"/>
      <c r="P76" s="549" t="s">
        <v>71</v>
      </c>
      <c r="Q76" s="550"/>
      <c r="R76" s="550"/>
      <c r="S76" s="550"/>
      <c r="T76" s="550"/>
      <c r="U76" s="550"/>
      <c r="V76" s="55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6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7"/>
      <c r="P77" s="549" t="s">
        <v>71</v>
      </c>
      <c r="Q77" s="550"/>
      <c r="R77" s="550"/>
      <c r="S77" s="550"/>
      <c r="T77" s="550"/>
      <c r="U77" s="550"/>
      <c r="V77" s="55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62" t="s">
        <v>164</v>
      </c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6"/>
      <c r="V78" s="556"/>
      <c r="W78" s="556"/>
      <c r="X78" s="556"/>
      <c r="Y78" s="556"/>
      <c r="Z78" s="556"/>
      <c r="AA78" s="535"/>
      <c r="AB78" s="535"/>
      <c r="AC78" s="535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8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3"/>
      <c r="R79" s="553"/>
      <c r="S79" s="553"/>
      <c r="T79" s="554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6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3"/>
      <c r="R80" s="553"/>
      <c r="S80" s="553"/>
      <c r="T80" s="554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5"/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7"/>
      <c r="P81" s="549" t="s">
        <v>71</v>
      </c>
      <c r="Q81" s="550"/>
      <c r="R81" s="550"/>
      <c r="S81" s="550"/>
      <c r="T81" s="550"/>
      <c r="U81" s="550"/>
      <c r="V81" s="551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6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7"/>
      <c r="P82" s="549" t="s">
        <v>71</v>
      </c>
      <c r="Q82" s="550"/>
      <c r="R82" s="550"/>
      <c r="S82" s="550"/>
      <c r="T82" s="550"/>
      <c r="U82" s="550"/>
      <c r="V82" s="551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71" t="s">
        <v>171</v>
      </c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  <c r="P83" s="556"/>
      <c r="Q83" s="556"/>
      <c r="R83" s="556"/>
      <c r="S83" s="556"/>
      <c r="T83" s="556"/>
      <c r="U83" s="556"/>
      <c r="V83" s="556"/>
      <c r="W83" s="556"/>
      <c r="X83" s="556"/>
      <c r="Y83" s="556"/>
      <c r="Z83" s="556"/>
      <c r="AA83" s="536"/>
      <c r="AB83" s="536"/>
      <c r="AC83" s="536"/>
    </row>
    <row r="84" spans="1:68" ht="14.25" customHeight="1" x14ac:dyDescent="0.25">
      <c r="A84" s="562" t="s">
        <v>101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71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3"/>
      <c r="R85" s="553"/>
      <c r="S85" s="553"/>
      <c r="T85" s="554"/>
      <c r="U85" s="34"/>
      <c r="V85" s="34"/>
      <c r="W85" s="35" t="s">
        <v>69</v>
      </c>
      <c r="X85" s="541">
        <v>600</v>
      </c>
      <c r="Y85" s="542">
        <f>IFERROR(IF(X85="",0,CEILING((X85/$H85),1)*$H85),"")</f>
        <v>604.80000000000007</v>
      </c>
      <c r="Z85" s="36">
        <f>IFERROR(IF(Y85=0,"",ROUNDUP(Y85/H85,0)*0.01898),"")</f>
        <v>1.06288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622.77777777777783</v>
      </c>
      <c r="BN85" s="64">
        <f>IFERROR(Y85*I85/H85,"0")</f>
        <v>627.76</v>
      </c>
      <c r="BO85" s="64">
        <f>IFERROR(1/J85*(X85/H85),"0")</f>
        <v>0.86805555555555547</v>
      </c>
      <c r="BP85" s="64">
        <f>IFERROR(1/J85*(Y85/H85),"0")</f>
        <v>0.875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8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3"/>
      <c r="R86" s="553"/>
      <c r="S86" s="553"/>
      <c r="T86" s="554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5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3"/>
      <c r="R87" s="553"/>
      <c r="S87" s="553"/>
      <c r="T87" s="554"/>
      <c r="U87" s="34"/>
      <c r="V87" s="34"/>
      <c r="W87" s="35" t="s">
        <v>69</v>
      </c>
      <c r="X87" s="541">
        <v>225</v>
      </c>
      <c r="Y87" s="542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55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57"/>
      <c r="P88" s="549" t="s">
        <v>71</v>
      </c>
      <c r="Q88" s="550"/>
      <c r="R88" s="550"/>
      <c r="S88" s="550"/>
      <c r="T88" s="550"/>
      <c r="U88" s="550"/>
      <c r="V88" s="551"/>
      <c r="W88" s="37" t="s">
        <v>72</v>
      </c>
      <c r="X88" s="543">
        <f>IFERROR(X85/H85,"0")+IFERROR(X86/H86,"0")+IFERROR(X87/H87,"0")</f>
        <v>105.55555555555554</v>
      </c>
      <c r="Y88" s="543">
        <f>IFERROR(Y85/H85,"0")+IFERROR(Y86/H86,"0")+IFERROR(Y87/H87,"0")</f>
        <v>106</v>
      </c>
      <c r="Z88" s="543">
        <f>IFERROR(IF(Z85="",0,Z85),"0")+IFERROR(IF(Z86="",0,Z86),"0")+IFERROR(IF(Z87="",0,Z87),"0")</f>
        <v>1.5138800000000001</v>
      </c>
      <c r="AA88" s="544"/>
      <c r="AB88" s="544"/>
      <c r="AC88" s="544"/>
    </row>
    <row r="89" spans="1:68" x14ac:dyDescent="0.2">
      <c r="A89" s="556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7"/>
      <c r="P89" s="549" t="s">
        <v>71</v>
      </c>
      <c r="Q89" s="550"/>
      <c r="R89" s="550"/>
      <c r="S89" s="550"/>
      <c r="T89" s="550"/>
      <c r="U89" s="550"/>
      <c r="V89" s="551"/>
      <c r="W89" s="37" t="s">
        <v>69</v>
      </c>
      <c r="X89" s="543">
        <f>IFERROR(SUM(X85:X87),"0")</f>
        <v>825</v>
      </c>
      <c r="Y89" s="543">
        <f>IFERROR(SUM(Y85:Y87),"0")</f>
        <v>829.80000000000007</v>
      </c>
      <c r="Z89" s="37"/>
      <c r="AA89" s="544"/>
      <c r="AB89" s="544"/>
      <c r="AC89" s="544"/>
    </row>
    <row r="90" spans="1:68" ht="14.25" customHeight="1" x14ac:dyDescent="0.25">
      <c r="A90" s="562" t="s">
        <v>73</v>
      </c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6"/>
      <c r="P90" s="556"/>
      <c r="Q90" s="556"/>
      <c r="R90" s="556"/>
      <c r="S90" s="556"/>
      <c r="T90" s="556"/>
      <c r="U90" s="556"/>
      <c r="V90" s="556"/>
      <c r="W90" s="556"/>
      <c r="X90" s="556"/>
      <c r="Y90" s="556"/>
      <c r="Z90" s="556"/>
      <c r="AA90" s="535"/>
      <c r="AB90" s="535"/>
      <c r="AC90" s="535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69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3"/>
      <c r="R91" s="553"/>
      <c r="S91" s="553"/>
      <c r="T91" s="554"/>
      <c r="U91" s="34"/>
      <c r="V91" s="34"/>
      <c r="W91" s="35" t="s">
        <v>69</v>
      </c>
      <c r="X91" s="541">
        <v>200</v>
      </c>
      <c r="Y91" s="542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2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3"/>
      <c r="R92" s="553"/>
      <c r="S92" s="553"/>
      <c r="T92" s="554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6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3"/>
      <c r="R93" s="553"/>
      <c r="S93" s="553"/>
      <c r="T93" s="554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82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3"/>
      <c r="R94" s="553"/>
      <c r="S94" s="553"/>
      <c r="T94" s="554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5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57"/>
      <c r="P95" s="549" t="s">
        <v>71</v>
      </c>
      <c r="Q95" s="550"/>
      <c r="R95" s="550"/>
      <c r="S95" s="550"/>
      <c r="T95" s="550"/>
      <c r="U95" s="550"/>
      <c r="V95" s="551"/>
      <c r="W95" s="37" t="s">
        <v>72</v>
      </c>
      <c r="X95" s="543">
        <f>IFERROR(X91/H91,"0")+IFERROR(X92/H92,"0")+IFERROR(X93/H93,"0")+IFERROR(X94/H94,"0")</f>
        <v>24.691358024691358</v>
      </c>
      <c r="Y95" s="543">
        <f>IFERROR(Y91/H91,"0")+IFERROR(Y92/H92,"0")+IFERROR(Y93/H93,"0")+IFERROR(Y94/H94,"0")</f>
        <v>25</v>
      </c>
      <c r="Z95" s="543">
        <f>IFERROR(IF(Z91="",0,Z91),"0")+IFERROR(IF(Z92="",0,Z92),"0")+IFERROR(IF(Z93="",0,Z93),"0")+IFERROR(IF(Z94="",0,Z94),"0")</f>
        <v>0.47450000000000003</v>
      </c>
      <c r="AA95" s="544"/>
      <c r="AB95" s="544"/>
      <c r="AC95" s="544"/>
    </row>
    <row r="96" spans="1:68" x14ac:dyDescent="0.2">
      <c r="A96" s="556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7"/>
      <c r="P96" s="549" t="s">
        <v>71</v>
      </c>
      <c r="Q96" s="550"/>
      <c r="R96" s="550"/>
      <c r="S96" s="550"/>
      <c r="T96" s="550"/>
      <c r="U96" s="550"/>
      <c r="V96" s="551"/>
      <c r="W96" s="37" t="s">
        <v>69</v>
      </c>
      <c r="X96" s="543">
        <f>IFERROR(SUM(X91:X94),"0")</f>
        <v>200</v>
      </c>
      <c r="Y96" s="543">
        <f>IFERROR(SUM(Y91:Y94),"0")</f>
        <v>202.5</v>
      </c>
      <c r="Z96" s="37"/>
      <c r="AA96" s="544"/>
      <c r="AB96" s="544"/>
      <c r="AC96" s="544"/>
    </row>
    <row r="97" spans="1:68" ht="16.5" customHeight="1" x14ac:dyDescent="0.25">
      <c r="A97" s="571" t="s">
        <v>190</v>
      </c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36"/>
      <c r="AB97" s="536"/>
      <c r="AC97" s="536"/>
    </row>
    <row r="98" spans="1:68" ht="14.25" customHeight="1" x14ac:dyDescent="0.25">
      <c r="A98" s="562" t="s">
        <v>101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84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3"/>
      <c r="R99" s="553"/>
      <c r="S99" s="553"/>
      <c r="T99" s="554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82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3"/>
      <c r="R100" s="553"/>
      <c r="S100" s="553"/>
      <c r="T100" s="554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0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3"/>
      <c r="R101" s="553"/>
      <c r="S101" s="553"/>
      <c r="T101" s="554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6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3"/>
      <c r="R102" s="553"/>
      <c r="S102" s="553"/>
      <c r="T102" s="554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5"/>
      <c r="B103" s="556"/>
      <c r="C103" s="556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57"/>
      <c r="P103" s="549" t="s">
        <v>71</v>
      </c>
      <c r="Q103" s="550"/>
      <c r="R103" s="550"/>
      <c r="S103" s="550"/>
      <c r="T103" s="550"/>
      <c r="U103" s="550"/>
      <c r="V103" s="551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6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57"/>
      <c r="P104" s="549" t="s">
        <v>71</v>
      </c>
      <c r="Q104" s="550"/>
      <c r="R104" s="550"/>
      <c r="S104" s="550"/>
      <c r="T104" s="550"/>
      <c r="U104" s="550"/>
      <c r="V104" s="551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62" t="s">
        <v>136</v>
      </c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6"/>
      <c r="P105" s="556"/>
      <c r="Q105" s="556"/>
      <c r="R105" s="556"/>
      <c r="S105" s="556"/>
      <c r="T105" s="556"/>
      <c r="U105" s="556"/>
      <c r="V105" s="556"/>
      <c r="W105" s="556"/>
      <c r="X105" s="556"/>
      <c r="Y105" s="556"/>
      <c r="Z105" s="556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6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3"/>
      <c r="R106" s="553"/>
      <c r="S106" s="553"/>
      <c r="T106" s="554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3"/>
      <c r="R107" s="553"/>
      <c r="S107" s="553"/>
      <c r="T107" s="554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68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3"/>
      <c r="R108" s="553"/>
      <c r="S108" s="553"/>
      <c r="T108" s="554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5"/>
      <c r="B109" s="556"/>
      <c r="C109" s="556"/>
      <c r="D109" s="556"/>
      <c r="E109" s="556"/>
      <c r="F109" s="556"/>
      <c r="G109" s="556"/>
      <c r="H109" s="556"/>
      <c r="I109" s="556"/>
      <c r="J109" s="556"/>
      <c r="K109" s="556"/>
      <c r="L109" s="556"/>
      <c r="M109" s="556"/>
      <c r="N109" s="556"/>
      <c r="O109" s="557"/>
      <c r="P109" s="549" t="s">
        <v>71</v>
      </c>
      <c r="Q109" s="550"/>
      <c r="R109" s="550"/>
      <c r="S109" s="550"/>
      <c r="T109" s="550"/>
      <c r="U109" s="550"/>
      <c r="V109" s="55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6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57"/>
      <c r="P110" s="549" t="s">
        <v>71</v>
      </c>
      <c r="Q110" s="550"/>
      <c r="R110" s="550"/>
      <c r="S110" s="550"/>
      <c r="T110" s="550"/>
      <c r="U110" s="550"/>
      <c r="V110" s="55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62" t="s">
        <v>73</v>
      </c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56"/>
      <c r="P111" s="556"/>
      <c r="Q111" s="556"/>
      <c r="R111" s="556"/>
      <c r="S111" s="556"/>
      <c r="T111" s="556"/>
      <c r="U111" s="556"/>
      <c r="V111" s="556"/>
      <c r="W111" s="556"/>
      <c r="X111" s="556"/>
      <c r="Y111" s="556"/>
      <c r="Z111" s="556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6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3"/>
      <c r="R112" s="553"/>
      <c r="S112" s="553"/>
      <c r="T112" s="554"/>
      <c r="U112" s="34"/>
      <c r="V112" s="34"/>
      <c r="W112" s="35" t="s">
        <v>69</v>
      </c>
      <c r="X112" s="541">
        <v>500</v>
      </c>
      <c r="Y112" s="542">
        <f>IFERROR(IF(X112="",0,CEILING((X112/$H112),1)*$H112),"")</f>
        <v>502.2</v>
      </c>
      <c r="Z112" s="36">
        <f>IFERROR(IF(Y112=0,"",ROUNDUP(Y112/H112,0)*0.01898),"")</f>
        <v>1.17676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530.12345679012344</v>
      </c>
      <c r="BN112" s="64">
        <f>IFERROR(Y112*I112/H112,"0")</f>
        <v>532.4559999999999</v>
      </c>
      <c r="BO112" s="64">
        <f>IFERROR(1/J112*(X112/H112),"0")</f>
        <v>0.96450617283950624</v>
      </c>
      <c r="BP112" s="64">
        <f>IFERROR(1/J112*(Y112/H112),"0")</f>
        <v>0.96875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7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3"/>
      <c r="R113" s="553"/>
      <c r="S113" s="553"/>
      <c r="T113" s="554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63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3"/>
      <c r="R114" s="553"/>
      <c r="S114" s="553"/>
      <c r="T114" s="554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3"/>
      <c r="R115" s="553"/>
      <c r="S115" s="553"/>
      <c r="T115" s="554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5"/>
      <c r="B116" s="556"/>
      <c r="C116" s="556"/>
      <c r="D116" s="556"/>
      <c r="E116" s="556"/>
      <c r="F116" s="556"/>
      <c r="G116" s="556"/>
      <c r="H116" s="556"/>
      <c r="I116" s="556"/>
      <c r="J116" s="556"/>
      <c r="K116" s="556"/>
      <c r="L116" s="556"/>
      <c r="M116" s="556"/>
      <c r="N116" s="556"/>
      <c r="O116" s="557"/>
      <c r="P116" s="549" t="s">
        <v>71</v>
      </c>
      <c r="Q116" s="550"/>
      <c r="R116" s="550"/>
      <c r="S116" s="550"/>
      <c r="T116" s="550"/>
      <c r="U116" s="550"/>
      <c r="V116" s="551"/>
      <c r="W116" s="37" t="s">
        <v>72</v>
      </c>
      <c r="X116" s="543">
        <f>IFERROR(X112/H112,"0")+IFERROR(X113/H113,"0")+IFERROR(X114/H114,"0")+IFERROR(X115/H115,"0")</f>
        <v>61.728395061728399</v>
      </c>
      <c r="Y116" s="543">
        <f>IFERROR(Y112/H112,"0")+IFERROR(Y113/H113,"0")+IFERROR(Y114/H114,"0")+IFERROR(Y115/H115,"0")</f>
        <v>62</v>
      </c>
      <c r="Z116" s="543">
        <f>IFERROR(IF(Z112="",0,Z112),"0")+IFERROR(IF(Z113="",0,Z113),"0")+IFERROR(IF(Z114="",0,Z114),"0")+IFERROR(IF(Z115="",0,Z115),"0")</f>
        <v>1.17676</v>
      </c>
      <c r="AA116" s="544"/>
      <c r="AB116" s="544"/>
      <c r="AC116" s="544"/>
    </row>
    <row r="117" spans="1:68" x14ac:dyDescent="0.2">
      <c r="A117" s="556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57"/>
      <c r="P117" s="549" t="s">
        <v>71</v>
      </c>
      <c r="Q117" s="550"/>
      <c r="R117" s="550"/>
      <c r="S117" s="550"/>
      <c r="T117" s="550"/>
      <c r="U117" s="550"/>
      <c r="V117" s="551"/>
      <c r="W117" s="37" t="s">
        <v>69</v>
      </c>
      <c r="X117" s="543">
        <f>IFERROR(SUM(X112:X115),"0")</f>
        <v>500</v>
      </c>
      <c r="Y117" s="543">
        <f>IFERROR(SUM(Y112:Y115),"0")</f>
        <v>502.2</v>
      </c>
      <c r="Z117" s="37"/>
      <c r="AA117" s="544"/>
      <c r="AB117" s="544"/>
      <c r="AC117" s="544"/>
    </row>
    <row r="118" spans="1:68" ht="14.25" customHeight="1" x14ac:dyDescent="0.25">
      <c r="A118" s="562" t="s">
        <v>164</v>
      </c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56"/>
      <c r="P118" s="556"/>
      <c r="Q118" s="556"/>
      <c r="R118" s="556"/>
      <c r="S118" s="556"/>
      <c r="T118" s="556"/>
      <c r="U118" s="556"/>
      <c r="V118" s="556"/>
      <c r="W118" s="556"/>
      <c r="X118" s="556"/>
      <c r="Y118" s="556"/>
      <c r="Z118" s="556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8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3"/>
      <c r="R119" s="553"/>
      <c r="S119" s="553"/>
      <c r="T119" s="554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5"/>
      <c r="B120" s="55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57"/>
      <c r="P120" s="549" t="s">
        <v>71</v>
      </c>
      <c r="Q120" s="550"/>
      <c r="R120" s="550"/>
      <c r="S120" s="550"/>
      <c r="T120" s="550"/>
      <c r="U120" s="550"/>
      <c r="V120" s="55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6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7"/>
      <c r="P121" s="549" t="s">
        <v>71</v>
      </c>
      <c r="Q121" s="550"/>
      <c r="R121" s="550"/>
      <c r="S121" s="550"/>
      <c r="T121" s="550"/>
      <c r="U121" s="550"/>
      <c r="V121" s="55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71" t="s">
        <v>220</v>
      </c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6"/>
      <c r="P122" s="556"/>
      <c r="Q122" s="556"/>
      <c r="R122" s="556"/>
      <c r="S122" s="556"/>
      <c r="T122" s="556"/>
      <c r="U122" s="556"/>
      <c r="V122" s="556"/>
      <c r="W122" s="556"/>
      <c r="X122" s="556"/>
      <c r="Y122" s="556"/>
      <c r="Z122" s="556"/>
      <c r="AA122" s="536"/>
      <c r="AB122" s="536"/>
      <c r="AC122" s="536"/>
    </row>
    <row r="123" spans="1:68" ht="14.25" customHeight="1" x14ac:dyDescent="0.25">
      <c r="A123" s="562" t="s">
        <v>101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5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3"/>
      <c r="R124" s="553"/>
      <c r="S124" s="553"/>
      <c r="T124" s="554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6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3"/>
      <c r="R125" s="553"/>
      <c r="S125" s="553"/>
      <c r="T125" s="554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5"/>
      <c r="B126" s="556"/>
      <c r="C126" s="556"/>
      <c r="D126" s="556"/>
      <c r="E126" s="556"/>
      <c r="F126" s="556"/>
      <c r="G126" s="556"/>
      <c r="H126" s="556"/>
      <c r="I126" s="556"/>
      <c r="J126" s="556"/>
      <c r="K126" s="556"/>
      <c r="L126" s="556"/>
      <c r="M126" s="556"/>
      <c r="N126" s="556"/>
      <c r="O126" s="557"/>
      <c r="P126" s="549" t="s">
        <v>71</v>
      </c>
      <c r="Q126" s="550"/>
      <c r="R126" s="550"/>
      <c r="S126" s="550"/>
      <c r="T126" s="550"/>
      <c r="U126" s="550"/>
      <c r="V126" s="55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6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7"/>
      <c r="P127" s="549" t="s">
        <v>71</v>
      </c>
      <c r="Q127" s="550"/>
      <c r="R127" s="550"/>
      <c r="S127" s="550"/>
      <c r="T127" s="550"/>
      <c r="U127" s="550"/>
      <c r="V127" s="55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62" t="s">
        <v>64</v>
      </c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56"/>
      <c r="P128" s="556"/>
      <c r="Q128" s="556"/>
      <c r="R128" s="556"/>
      <c r="S128" s="556"/>
      <c r="T128" s="556"/>
      <c r="U128" s="556"/>
      <c r="V128" s="556"/>
      <c r="W128" s="556"/>
      <c r="X128" s="556"/>
      <c r="Y128" s="556"/>
      <c r="Z128" s="556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3"/>
      <c r="R129" s="553"/>
      <c r="S129" s="553"/>
      <c r="T129" s="554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6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5"/>
      <c r="B131" s="556"/>
      <c r="C131" s="556"/>
      <c r="D131" s="556"/>
      <c r="E131" s="556"/>
      <c r="F131" s="556"/>
      <c r="G131" s="556"/>
      <c r="H131" s="556"/>
      <c r="I131" s="556"/>
      <c r="J131" s="556"/>
      <c r="K131" s="556"/>
      <c r="L131" s="556"/>
      <c r="M131" s="556"/>
      <c r="N131" s="556"/>
      <c r="O131" s="557"/>
      <c r="P131" s="549" t="s">
        <v>71</v>
      </c>
      <c r="Q131" s="550"/>
      <c r="R131" s="550"/>
      <c r="S131" s="550"/>
      <c r="T131" s="550"/>
      <c r="U131" s="550"/>
      <c r="V131" s="55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6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7"/>
      <c r="P132" s="549" t="s">
        <v>71</v>
      </c>
      <c r="Q132" s="550"/>
      <c r="R132" s="550"/>
      <c r="S132" s="550"/>
      <c r="T132" s="550"/>
      <c r="U132" s="550"/>
      <c r="V132" s="55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62" t="s">
        <v>73</v>
      </c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56"/>
      <c r="P133" s="556"/>
      <c r="Q133" s="556"/>
      <c r="R133" s="556"/>
      <c r="S133" s="556"/>
      <c r="T133" s="556"/>
      <c r="U133" s="556"/>
      <c r="V133" s="556"/>
      <c r="W133" s="556"/>
      <c r="X133" s="556"/>
      <c r="Y133" s="556"/>
      <c r="Z133" s="556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70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3"/>
      <c r="R134" s="553"/>
      <c r="S134" s="553"/>
      <c r="T134" s="554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6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3"/>
      <c r="R135" s="553"/>
      <c r="S135" s="553"/>
      <c r="T135" s="554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5"/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  <c r="L136" s="556"/>
      <c r="M136" s="556"/>
      <c r="N136" s="556"/>
      <c r="O136" s="557"/>
      <c r="P136" s="549" t="s">
        <v>71</v>
      </c>
      <c r="Q136" s="550"/>
      <c r="R136" s="550"/>
      <c r="S136" s="550"/>
      <c r="T136" s="550"/>
      <c r="U136" s="550"/>
      <c r="V136" s="55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6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7"/>
      <c r="P137" s="549" t="s">
        <v>71</v>
      </c>
      <c r="Q137" s="550"/>
      <c r="R137" s="550"/>
      <c r="S137" s="550"/>
      <c r="T137" s="550"/>
      <c r="U137" s="550"/>
      <c r="V137" s="55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71" t="s">
        <v>99</v>
      </c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56"/>
      <c r="P138" s="556"/>
      <c r="Q138" s="556"/>
      <c r="R138" s="556"/>
      <c r="S138" s="556"/>
      <c r="T138" s="556"/>
      <c r="U138" s="556"/>
      <c r="V138" s="556"/>
      <c r="W138" s="556"/>
      <c r="X138" s="556"/>
      <c r="Y138" s="556"/>
      <c r="Z138" s="556"/>
      <c r="AA138" s="536"/>
      <c r="AB138" s="536"/>
      <c r="AC138" s="536"/>
    </row>
    <row r="139" spans="1:68" ht="14.25" customHeight="1" x14ac:dyDescent="0.25">
      <c r="A139" s="562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4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3"/>
      <c r="R140" s="553"/>
      <c r="S140" s="553"/>
      <c r="T140" s="554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3"/>
      <c r="R141" s="553"/>
      <c r="S141" s="553"/>
      <c r="T141" s="554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7">
        <v>4680115886810</v>
      </c>
      <c r="E142" s="548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78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3"/>
      <c r="R142" s="553"/>
      <c r="S142" s="553"/>
      <c r="T142" s="554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5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7"/>
      <c r="P143" s="549" t="s">
        <v>71</v>
      </c>
      <c r="Q143" s="550"/>
      <c r="R143" s="550"/>
      <c r="S143" s="550"/>
      <c r="T143" s="550"/>
      <c r="U143" s="550"/>
      <c r="V143" s="55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57"/>
      <c r="P144" s="549" t="s">
        <v>71</v>
      </c>
      <c r="Q144" s="550"/>
      <c r="R144" s="550"/>
      <c r="S144" s="550"/>
      <c r="T144" s="550"/>
      <c r="U144" s="550"/>
      <c r="V144" s="55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62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7">
        <v>4607091387667</v>
      </c>
      <c r="E146" s="548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6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69</v>
      </c>
      <c r="X146" s="541">
        <v>60</v>
      </c>
      <c r="Y146" s="542">
        <f>IFERROR(IF(X146="",0,CEILING((X146/$H146),1)*$H146),"")</f>
        <v>63</v>
      </c>
      <c r="Z146" s="36">
        <f>IFERROR(IF(Y146=0,"",ROUNDUP(Y146/H146,0)*0.01898),"")</f>
        <v>0.13286000000000001</v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63.733333333333334</v>
      </c>
      <c r="BN146" s="64">
        <f>IFERROR(Y146*I146/H146,"0")</f>
        <v>66.920000000000016</v>
      </c>
      <c r="BO146" s="64">
        <f>IFERROR(1/J146*(X146/H146),"0")</f>
        <v>0.10416666666666667</v>
      </c>
      <c r="BP146" s="64">
        <f>IFERROR(1/J146*(Y146/H146),"0")</f>
        <v>0.109375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7">
        <v>4607091387636</v>
      </c>
      <c r="E147" s="548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83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7">
        <v>4607091382426</v>
      </c>
      <c r="E148" s="548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81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3"/>
      <c r="R148" s="553"/>
      <c r="S148" s="553"/>
      <c r="T148" s="554"/>
      <c r="U148" s="34"/>
      <c r="V148" s="34"/>
      <c r="W148" s="35" t="s">
        <v>69</v>
      </c>
      <c r="X148" s="541">
        <v>150</v>
      </c>
      <c r="Y148" s="542">
        <f>IFERROR(IF(X148="",0,CEILING((X148/$H148),1)*$H148),"")</f>
        <v>153</v>
      </c>
      <c r="Z148" s="36">
        <f>IFERROR(IF(Y148=0,"",ROUNDUP(Y148/H148,0)*0.01898),"")</f>
        <v>0.32266</v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159.33333333333334</v>
      </c>
      <c r="BN148" s="64">
        <f>IFERROR(Y148*I148/H148,"0")</f>
        <v>162.52000000000001</v>
      </c>
      <c r="BO148" s="64">
        <f>IFERROR(1/J148*(X148/H148),"0")</f>
        <v>0.26041666666666669</v>
      </c>
      <c r="BP148" s="64">
        <f>IFERROR(1/J148*(Y148/H148),"0")</f>
        <v>0.265625</v>
      </c>
    </row>
    <row r="149" spans="1:68" x14ac:dyDescent="0.2">
      <c r="A149" s="555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57"/>
      <c r="P149" s="549" t="s">
        <v>71</v>
      </c>
      <c r="Q149" s="550"/>
      <c r="R149" s="550"/>
      <c r="S149" s="550"/>
      <c r="T149" s="550"/>
      <c r="U149" s="550"/>
      <c r="V149" s="551"/>
      <c r="W149" s="37" t="s">
        <v>72</v>
      </c>
      <c r="X149" s="543">
        <f>IFERROR(X146/H146,"0")+IFERROR(X147/H147,"0")+IFERROR(X148/H148,"0")</f>
        <v>23.333333333333336</v>
      </c>
      <c r="Y149" s="543">
        <f>IFERROR(Y146/H146,"0")+IFERROR(Y147/H147,"0")+IFERROR(Y148/H148,"0")</f>
        <v>24</v>
      </c>
      <c r="Z149" s="543">
        <f>IFERROR(IF(Z146="",0,Z146),"0")+IFERROR(IF(Z147="",0,Z147),"0")+IFERROR(IF(Z148="",0,Z148),"0")</f>
        <v>0.45552000000000004</v>
      </c>
      <c r="AA149" s="544"/>
      <c r="AB149" s="544"/>
      <c r="AC149" s="544"/>
    </row>
    <row r="150" spans="1:68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57"/>
      <c r="P150" s="549" t="s">
        <v>71</v>
      </c>
      <c r="Q150" s="550"/>
      <c r="R150" s="550"/>
      <c r="S150" s="550"/>
      <c r="T150" s="550"/>
      <c r="U150" s="550"/>
      <c r="V150" s="551"/>
      <c r="W150" s="37" t="s">
        <v>69</v>
      </c>
      <c r="X150" s="543">
        <f>IFERROR(SUM(X146:X148),"0")</f>
        <v>210</v>
      </c>
      <c r="Y150" s="543">
        <f>IFERROR(SUM(Y146:Y148),"0")</f>
        <v>216</v>
      </c>
      <c r="Z150" s="37"/>
      <c r="AA150" s="544"/>
      <c r="AB150" s="544"/>
      <c r="AC150" s="544"/>
    </row>
    <row r="151" spans="1:68" ht="14.25" customHeight="1" x14ac:dyDescent="0.25">
      <c r="A151" s="562" t="s">
        <v>73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7">
        <v>4680115887459</v>
      </c>
      <c r="E152" s="548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857" t="s">
        <v>252</v>
      </c>
      <c r="Q152" s="553"/>
      <c r="R152" s="553"/>
      <c r="S152" s="553"/>
      <c r="T152" s="554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5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7"/>
      <c r="P153" s="549" t="s">
        <v>71</v>
      </c>
      <c r="Q153" s="550"/>
      <c r="R153" s="550"/>
      <c r="S153" s="550"/>
      <c r="T153" s="550"/>
      <c r="U153" s="550"/>
      <c r="V153" s="55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7"/>
      <c r="P154" s="549" t="s">
        <v>71</v>
      </c>
      <c r="Q154" s="550"/>
      <c r="R154" s="550"/>
      <c r="S154" s="550"/>
      <c r="T154" s="550"/>
      <c r="U154" s="550"/>
      <c r="V154" s="55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43" t="s">
        <v>255</v>
      </c>
      <c r="B155" s="644"/>
      <c r="C155" s="644"/>
      <c r="D155" s="644"/>
      <c r="E155" s="644"/>
      <c r="F155" s="644"/>
      <c r="G155" s="644"/>
      <c r="H155" s="644"/>
      <c r="I155" s="644"/>
      <c r="J155" s="644"/>
      <c r="K155" s="644"/>
      <c r="L155" s="644"/>
      <c r="M155" s="644"/>
      <c r="N155" s="644"/>
      <c r="O155" s="644"/>
      <c r="P155" s="644"/>
      <c r="Q155" s="644"/>
      <c r="R155" s="644"/>
      <c r="S155" s="644"/>
      <c r="T155" s="644"/>
      <c r="U155" s="644"/>
      <c r="V155" s="644"/>
      <c r="W155" s="644"/>
      <c r="X155" s="644"/>
      <c r="Y155" s="644"/>
      <c r="Z155" s="644"/>
      <c r="AA155" s="48"/>
      <c r="AB155" s="48"/>
      <c r="AC155" s="48"/>
    </row>
    <row r="156" spans="1:68" ht="16.5" customHeight="1" x14ac:dyDescent="0.25">
      <c r="A156" s="571" t="s">
        <v>256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6"/>
      <c r="AB156" s="536"/>
      <c r="AC156" s="536"/>
    </row>
    <row r="157" spans="1:68" ht="14.25" customHeight="1" x14ac:dyDescent="0.25">
      <c r="A157" s="562" t="s">
        <v>136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7">
        <v>4680115886223</v>
      </c>
      <c r="E158" s="548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3"/>
      <c r="R158" s="553"/>
      <c r="S158" s="553"/>
      <c r="T158" s="554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5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7"/>
      <c r="P159" s="549" t="s">
        <v>71</v>
      </c>
      <c r="Q159" s="550"/>
      <c r="R159" s="550"/>
      <c r="S159" s="550"/>
      <c r="T159" s="550"/>
      <c r="U159" s="550"/>
      <c r="V159" s="55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7"/>
      <c r="P160" s="549" t="s">
        <v>71</v>
      </c>
      <c r="Q160" s="550"/>
      <c r="R160" s="550"/>
      <c r="S160" s="550"/>
      <c r="T160" s="550"/>
      <c r="U160" s="550"/>
      <c r="V160" s="55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62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7">
        <v>4680115880993</v>
      </c>
      <c r="E162" s="548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66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3"/>
      <c r="R162" s="553"/>
      <c r="S162" s="553"/>
      <c r="T162" s="554"/>
      <c r="U162" s="34"/>
      <c r="V162" s="34"/>
      <c r="W162" s="35" t="s">
        <v>69</v>
      </c>
      <c r="X162" s="541">
        <v>0</v>
      </c>
      <c r="Y162" s="542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7">
        <v>4680115881761</v>
      </c>
      <c r="E163" s="548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7">
        <v>4680115881563</v>
      </c>
      <c r="E164" s="548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3"/>
      <c r="R164" s="553"/>
      <c r="S164" s="553"/>
      <c r="T164" s="554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7">
        <v>4680115880986</v>
      </c>
      <c r="E165" s="548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3"/>
      <c r="R165" s="553"/>
      <c r="S165" s="553"/>
      <c r="T165" s="554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7">
        <v>4680115881785</v>
      </c>
      <c r="E166" s="548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8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3"/>
      <c r="R166" s="553"/>
      <c r="S166" s="553"/>
      <c r="T166" s="554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7">
        <v>4680115886537</v>
      </c>
      <c r="E167" s="548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78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3"/>
      <c r="R167" s="553"/>
      <c r="S167" s="553"/>
      <c r="T167" s="554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7">
        <v>4680115881679</v>
      </c>
      <c r="E168" s="548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3"/>
      <c r="R168" s="553"/>
      <c r="S168" s="553"/>
      <c r="T168" s="554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7">
        <v>4680115880191</v>
      </c>
      <c r="E169" s="548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3"/>
      <c r="R169" s="553"/>
      <c r="S169" s="553"/>
      <c r="T169" s="554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7">
        <v>4680115883963</v>
      </c>
      <c r="E170" s="548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3"/>
      <c r="R170" s="553"/>
      <c r="S170" s="553"/>
      <c r="T170" s="554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5"/>
      <c r="B171" s="556"/>
      <c r="C171" s="556"/>
      <c r="D171" s="556"/>
      <c r="E171" s="556"/>
      <c r="F171" s="556"/>
      <c r="G171" s="556"/>
      <c r="H171" s="556"/>
      <c r="I171" s="556"/>
      <c r="J171" s="556"/>
      <c r="K171" s="556"/>
      <c r="L171" s="556"/>
      <c r="M171" s="556"/>
      <c r="N171" s="556"/>
      <c r="O171" s="557"/>
      <c r="P171" s="549" t="s">
        <v>71</v>
      </c>
      <c r="Q171" s="550"/>
      <c r="R171" s="550"/>
      <c r="S171" s="550"/>
      <c r="T171" s="550"/>
      <c r="U171" s="550"/>
      <c r="V171" s="551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6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57"/>
      <c r="P172" s="549" t="s">
        <v>71</v>
      </c>
      <c r="Q172" s="550"/>
      <c r="R172" s="550"/>
      <c r="S172" s="550"/>
      <c r="T172" s="550"/>
      <c r="U172" s="550"/>
      <c r="V172" s="551"/>
      <c r="W172" s="37" t="s">
        <v>69</v>
      </c>
      <c r="X172" s="543">
        <f>IFERROR(SUM(X162:X170),"0")</f>
        <v>0</v>
      </c>
      <c r="Y172" s="543">
        <f>IFERROR(SUM(Y162:Y170),"0")</f>
        <v>0</v>
      </c>
      <c r="Z172" s="37"/>
      <c r="AA172" s="544"/>
      <c r="AB172" s="544"/>
      <c r="AC172" s="544"/>
    </row>
    <row r="173" spans="1:68" ht="14.25" customHeight="1" x14ac:dyDescent="0.25">
      <c r="A173" s="562" t="s">
        <v>93</v>
      </c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56"/>
      <c r="P173" s="556"/>
      <c r="Q173" s="556"/>
      <c r="R173" s="556"/>
      <c r="S173" s="556"/>
      <c r="T173" s="556"/>
      <c r="U173" s="556"/>
      <c r="V173" s="556"/>
      <c r="W173" s="556"/>
      <c r="X173" s="556"/>
      <c r="Y173" s="556"/>
      <c r="Z173" s="556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7">
        <v>4680115886780</v>
      </c>
      <c r="E174" s="548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57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3"/>
      <c r="R174" s="553"/>
      <c r="S174" s="553"/>
      <c r="T174" s="554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7">
        <v>4680115886742</v>
      </c>
      <c r="E175" s="548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66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7">
        <v>4680115886766</v>
      </c>
      <c r="E176" s="548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63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5"/>
      <c r="B177" s="556"/>
      <c r="C177" s="556"/>
      <c r="D177" s="556"/>
      <c r="E177" s="556"/>
      <c r="F177" s="556"/>
      <c r="G177" s="556"/>
      <c r="H177" s="556"/>
      <c r="I177" s="556"/>
      <c r="J177" s="556"/>
      <c r="K177" s="556"/>
      <c r="L177" s="556"/>
      <c r="M177" s="556"/>
      <c r="N177" s="556"/>
      <c r="O177" s="557"/>
      <c r="P177" s="549" t="s">
        <v>71</v>
      </c>
      <c r="Q177" s="550"/>
      <c r="R177" s="550"/>
      <c r="S177" s="550"/>
      <c r="T177" s="550"/>
      <c r="U177" s="550"/>
      <c r="V177" s="551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6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57"/>
      <c r="P178" s="549" t="s">
        <v>71</v>
      </c>
      <c r="Q178" s="550"/>
      <c r="R178" s="550"/>
      <c r="S178" s="550"/>
      <c r="T178" s="550"/>
      <c r="U178" s="550"/>
      <c r="V178" s="551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62" t="s">
        <v>294</v>
      </c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6"/>
      <c r="P179" s="556"/>
      <c r="Q179" s="556"/>
      <c r="R179" s="556"/>
      <c r="S179" s="556"/>
      <c r="T179" s="556"/>
      <c r="U179" s="556"/>
      <c r="V179" s="556"/>
      <c r="W179" s="556"/>
      <c r="X179" s="556"/>
      <c r="Y179" s="556"/>
      <c r="Z179" s="556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7">
        <v>4680115886797</v>
      </c>
      <c r="E180" s="548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78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3"/>
      <c r="R180" s="553"/>
      <c r="S180" s="553"/>
      <c r="T180" s="554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5"/>
      <c r="B181" s="556"/>
      <c r="C181" s="556"/>
      <c r="D181" s="556"/>
      <c r="E181" s="556"/>
      <c r="F181" s="556"/>
      <c r="G181" s="556"/>
      <c r="H181" s="556"/>
      <c r="I181" s="556"/>
      <c r="J181" s="556"/>
      <c r="K181" s="556"/>
      <c r="L181" s="556"/>
      <c r="M181" s="556"/>
      <c r="N181" s="556"/>
      <c r="O181" s="557"/>
      <c r="P181" s="549" t="s">
        <v>71</v>
      </c>
      <c r="Q181" s="550"/>
      <c r="R181" s="550"/>
      <c r="S181" s="550"/>
      <c r="T181" s="550"/>
      <c r="U181" s="550"/>
      <c r="V181" s="551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6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57"/>
      <c r="P182" s="549" t="s">
        <v>71</v>
      </c>
      <c r="Q182" s="550"/>
      <c r="R182" s="550"/>
      <c r="S182" s="550"/>
      <c r="T182" s="550"/>
      <c r="U182" s="550"/>
      <c r="V182" s="551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71" t="s">
        <v>297</v>
      </c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56"/>
      <c r="P183" s="556"/>
      <c r="Q183" s="556"/>
      <c r="R183" s="556"/>
      <c r="S183" s="556"/>
      <c r="T183" s="556"/>
      <c r="U183" s="556"/>
      <c r="V183" s="556"/>
      <c r="W183" s="556"/>
      <c r="X183" s="556"/>
      <c r="Y183" s="556"/>
      <c r="Z183" s="556"/>
      <c r="AA183" s="536"/>
      <c r="AB183" s="536"/>
      <c r="AC183" s="536"/>
    </row>
    <row r="184" spans="1:68" ht="14.25" customHeight="1" x14ac:dyDescent="0.25">
      <c r="A184" s="562" t="s">
        <v>101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7">
        <v>4680115881402</v>
      </c>
      <c r="E185" s="548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7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3"/>
      <c r="R185" s="553"/>
      <c r="S185" s="553"/>
      <c r="T185" s="554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7">
        <v>4680115881396</v>
      </c>
      <c r="E186" s="548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6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3"/>
      <c r="R186" s="553"/>
      <c r="S186" s="553"/>
      <c r="T186" s="554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5"/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57"/>
      <c r="P187" s="549" t="s">
        <v>71</v>
      </c>
      <c r="Q187" s="550"/>
      <c r="R187" s="550"/>
      <c r="S187" s="550"/>
      <c r="T187" s="550"/>
      <c r="U187" s="550"/>
      <c r="V187" s="551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6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57"/>
      <c r="P188" s="549" t="s">
        <v>71</v>
      </c>
      <c r="Q188" s="550"/>
      <c r="R188" s="550"/>
      <c r="S188" s="550"/>
      <c r="T188" s="550"/>
      <c r="U188" s="550"/>
      <c r="V188" s="551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62" t="s">
        <v>136</v>
      </c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6"/>
      <c r="P189" s="556"/>
      <c r="Q189" s="556"/>
      <c r="R189" s="556"/>
      <c r="S189" s="556"/>
      <c r="T189" s="556"/>
      <c r="U189" s="556"/>
      <c r="V189" s="556"/>
      <c r="W189" s="556"/>
      <c r="X189" s="556"/>
      <c r="Y189" s="556"/>
      <c r="Z189" s="556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7">
        <v>4680115882935</v>
      </c>
      <c r="E190" s="548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6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3"/>
      <c r="R190" s="553"/>
      <c r="S190" s="553"/>
      <c r="T190" s="554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7">
        <v>4680115880764</v>
      </c>
      <c r="E191" s="548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6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3"/>
      <c r="R191" s="553"/>
      <c r="S191" s="553"/>
      <c r="T191" s="554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5"/>
      <c r="B192" s="556"/>
      <c r="C192" s="556"/>
      <c r="D192" s="556"/>
      <c r="E192" s="556"/>
      <c r="F192" s="556"/>
      <c r="G192" s="556"/>
      <c r="H192" s="556"/>
      <c r="I192" s="556"/>
      <c r="J192" s="556"/>
      <c r="K192" s="556"/>
      <c r="L192" s="556"/>
      <c r="M192" s="556"/>
      <c r="N192" s="556"/>
      <c r="O192" s="557"/>
      <c r="P192" s="549" t="s">
        <v>71</v>
      </c>
      <c r="Q192" s="550"/>
      <c r="R192" s="550"/>
      <c r="S192" s="550"/>
      <c r="T192" s="550"/>
      <c r="U192" s="550"/>
      <c r="V192" s="551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6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57"/>
      <c r="P193" s="549" t="s">
        <v>71</v>
      </c>
      <c r="Q193" s="550"/>
      <c r="R193" s="550"/>
      <c r="S193" s="550"/>
      <c r="T193" s="550"/>
      <c r="U193" s="550"/>
      <c r="V193" s="551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62" t="s">
        <v>64</v>
      </c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56"/>
      <c r="P194" s="556"/>
      <c r="Q194" s="556"/>
      <c r="R194" s="556"/>
      <c r="S194" s="556"/>
      <c r="T194" s="556"/>
      <c r="U194" s="556"/>
      <c r="V194" s="556"/>
      <c r="W194" s="556"/>
      <c r="X194" s="556"/>
      <c r="Y194" s="556"/>
      <c r="Z194" s="556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7">
        <v>4680115882683</v>
      </c>
      <c r="E195" s="548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7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3"/>
      <c r="R195" s="553"/>
      <c r="S195" s="553"/>
      <c r="T195" s="554"/>
      <c r="U195" s="34"/>
      <c r="V195" s="34"/>
      <c r="W195" s="35" t="s">
        <v>69</v>
      </c>
      <c r="X195" s="541">
        <v>100</v>
      </c>
      <c r="Y195" s="542">
        <f t="shared" ref="Y195:Y202" si="10">IFERROR(IF(X195="",0,CEILING((X195/$H195),1)*$H195),"")</f>
        <v>102.60000000000001</v>
      </c>
      <c r="Z195" s="36">
        <f>IFERROR(IF(Y195=0,"",ROUNDUP(Y195/H195,0)*0.00902),"")</f>
        <v>0.17138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103.5185185185185</v>
      </c>
      <c r="BN195" s="64">
        <f t="shared" ref="BN195:BN202" si="12">IFERROR(Y195*I195/H195,"0")</f>
        <v>106.21</v>
      </c>
      <c r="BO195" s="64">
        <f t="shared" ref="BO195:BO202" si="13">IFERROR(1/J195*(X195/H195),"0")</f>
        <v>0.14029180695847362</v>
      </c>
      <c r="BP195" s="64">
        <f t="shared" ref="BP195:BP202" si="14">IFERROR(1/J195*(Y195/H195),"0")</f>
        <v>0.14393939393939395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7">
        <v>4680115882690</v>
      </c>
      <c r="E196" s="548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6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7">
        <v>4680115882669</v>
      </c>
      <c r="E197" s="548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7">
        <v>4680115882676</v>
      </c>
      <c r="E198" s="548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6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69</v>
      </c>
      <c r="X198" s="541">
        <v>100</v>
      </c>
      <c r="Y198" s="542">
        <f t="shared" si="10"/>
        <v>102.60000000000001</v>
      </c>
      <c r="Z198" s="36">
        <f>IFERROR(IF(Y198=0,"",ROUNDUP(Y198/H198,0)*0.00902),"")</f>
        <v>0.17138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103.5185185185185</v>
      </c>
      <c r="BN198" s="64">
        <f t="shared" si="12"/>
        <v>106.21</v>
      </c>
      <c r="BO198" s="64">
        <f t="shared" si="13"/>
        <v>0.14029180695847362</v>
      </c>
      <c r="BP198" s="64">
        <f t="shared" si="14"/>
        <v>0.14393939393939395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7">
        <v>4680115884014</v>
      </c>
      <c r="E199" s="548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58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3"/>
      <c r="R199" s="553"/>
      <c r="S199" s="553"/>
      <c r="T199" s="554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7">
        <v>4680115884007</v>
      </c>
      <c r="E200" s="548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7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7">
        <v>4680115884038</v>
      </c>
      <c r="E201" s="548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6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7">
        <v>4680115884021</v>
      </c>
      <c r="E202" s="548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56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5"/>
      <c r="B203" s="556"/>
      <c r="C203" s="556"/>
      <c r="D203" s="556"/>
      <c r="E203" s="556"/>
      <c r="F203" s="556"/>
      <c r="G203" s="556"/>
      <c r="H203" s="556"/>
      <c r="I203" s="556"/>
      <c r="J203" s="556"/>
      <c r="K203" s="556"/>
      <c r="L203" s="556"/>
      <c r="M203" s="556"/>
      <c r="N203" s="556"/>
      <c r="O203" s="557"/>
      <c r="P203" s="549" t="s">
        <v>71</v>
      </c>
      <c r="Q203" s="550"/>
      <c r="R203" s="550"/>
      <c r="S203" s="550"/>
      <c r="T203" s="550"/>
      <c r="U203" s="550"/>
      <c r="V203" s="551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37.037037037037038</v>
      </c>
      <c r="Y203" s="543">
        <f>IFERROR(Y195/H195,"0")+IFERROR(Y196/H196,"0")+IFERROR(Y197/H197,"0")+IFERROR(Y198/H198,"0")+IFERROR(Y199/H199,"0")+IFERROR(Y200/H200,"0")+IFERROR(Y201/H201,"0")+IFERROR(Y202/H202,"0")</f>
        <v>38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0.34276000000000001</v>
      </c>
      <c r="AA203" s="544"/>
      <c r="AB203" s="544"/>
      <c r="AC203" s="544"/>
    </row>
    <row r="204" spans="1:68" x14ac:dyDescent="0.2">
      <c r="A204" s="556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57"/>
      <c r="P204" s="549" t="s">
        <v>71</v>
      </c>
      <c r="Q204" s="550"/>
      <c r="R204" s="550"/>
      <c r="S204" s="550"/>
      <c r="T204" s="550"/>
      <c r="U204" s="550"/>
      <c r="V204" s="551"/>
      <c r="W204" s="37" t="s">
        <v>69</v>
      </c>
      <c r="X204" s="543">
        <f>IFERROR(SUM(X195:X202),"0")</f>
        <v>200</v>
      </c>
      <c r="Y204" s="543">
        <f>IFERROR(SUM(Y195:Y202),"0")</f>
        <v>205.20000000000002</v>
      </c>
      <c r="Z204" s="37"/>
      <c r="AA204" s="544"/>
      <c r="AB204" s="544"/>
      <c r="AC204" s="544"/>
    </row>
    <row r="205" spans="1:68" ht="14.25" customHeight="1" x14ac:dyDescent="0.25">
      <c r="A205" s="562" t="s">
        <v>73</v>
      </c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56"/>
      <c r="P205" s="556"/>
      <c r="Q205" s="556"/>
      <c r="R205" s="556"/>
      <c r="S205" s="556"/>
      <c r="T205" s="556"/>
      <c r="U205" s="556"/>
      <c r="V205" s="556"/>
      <c r="W205" s="556"/>
      <c r="X205" s="556"/>
      <c r="Y205" s="556"/>
      <c r="Z205" s="556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7">
        <v>4680115881594</v>
      </c>
      <c r="E206" s="548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1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3"/>
      <c r="R206" s="553"/>
      <c r="S206" s="553"/>
      <c r="T206" s="554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7">
        <v>4680115881617</v>
      </c>
      <c r="E207" s="548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3"/>
      <c r="R207" s="553"/>
      <c r="S207" s="553"/>
      <c r="T207" s="554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7">
        <v>4680115880573</v>
      </c>
      <c r="E208" s="548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7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3"/>
      <c r="R208" s="553"/>
      <c r="S208" s="553"/>
      <c r="T208" s="554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7">
        <v>4680115882195</v>
      </c>
      <c r="E209" s="548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83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3"/>
      <c r="R209" s="553"/>
      <c r="S209" s="553"/>
      <c r="T209" s="554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7">
        <v>4680115882607</v>
      </c>
      <c r="E210" s="548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76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3"/>
      <c r="R210" s="553"/>
      <c r="S210" s="553"/>
      <c r="T210" s="554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7">
        <v>4680115880092</v>
      </c>
      <c r="E211" s="548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3"/>
      <c r="R211" s="553"/>
      <c r="S211" s="553"/>
      <c r="T211" s="554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7">
        <v>4680115880221</v>
      </c>
      <c r="E212" s="548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0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7">
        <v>4680115880504</v>
      </c>
      <c r="E213" s="548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84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3"/>
      <c r="R213" s="553"/>
      <c r="S213" s="553"/>
      <c r="T213" s="554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7">
        <v>4680115882164</v>
      </c>
      <c r="E214" s="548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6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3"/>
      <c r="R214" s="553"/>
      <c r="S214" s="553"/>
      <c r="T214" s="554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5"/>
      <c r="B215" s="556"/>
      <c r="C215" s="556"/>
      <c r="D215" s="556"/>
      <c r="E215" s="556"/>
      <c r="F215" s="556"/>
      <c r="G215" s="556"/>
      <c r="H215" s="556"/>
      <c r="I215" s="556"/>
      <c r="J215" s="556"/>
      <c r="K215" s="556"/>
      <c r="L215" s="556"/>
      <c r="M215" s="556"/>
      <c r="N215" s="556"/>
      <c r="O215" s="557"/>
      <c r="P215" s="549" t="s">
        <v>71</v>
      </c>
      <c r="Q215" s="550"/>
      <c r="R215" s="550"/>
      <c r="S215" s="550"/>
      <c r="T215" s="550"/>
      <c r="U215" s="550"/>
      <c r="V215" s="551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x14ac:dyDescent="0.2">
      <c r="A216" s="556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57"/>
      <c r="P216" s="549" t="s">
        <v>71</v>
      </c>
      <c r="Q216" s="550"/>
      <c r="R216" s="550"/>
      <c r="S216" s="550"/>
      <c r="T216" s="550"/>
      <c r="U216" s="550"/>
      <c r="V216" s="551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customHeight="1" x14ac:dyDescent="0.25">
      <c r="A217" s="562" t="s">
        <v>164</v>
      </c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56"/>
      <c r="P217" s="556"/>
      <c r="Q217" s="556"/>
      <c r="R217" s="556"/>
      <c r="S217" s="556"/>
      <c r="T217" s="556"/>
      <c r="U217" s="556"/>
      <c r="V217" s="556"/>
      <c r="W217" s="556"/>
      <c r="X217" s="556"/>
      <c r="Y217" s="556"/>
      <c r="Z217" s="556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7">
        <v>4680115880818</v>
      </c>
      <c r="E218" s="548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5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3"/>
      <c r="R218" s="553"/>
      <c r="S218" s="553"/>
      <c r="T218" s="554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7">
        <v>4680115880801</v>
      </c>
      <c r="E219" s="548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6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5"/>
      <c r="B220" s="556"/>
      <c r="C220" s="556"/>
      <c r="D220" s="556"/>
      <c r="E220" s="556"/>
      <c r="F220" s="556"/>
      <c r="G220" s="556"/>
      <c r="H220" s="556"/>
      <c r="I220" s="556"/>
      <c r="J220" s="556"/>
      <c r="K220" s="556"/>
      <c r="L220" s="556"/>
      <c r="M220" s="556"/>
      <c r="N220" s="556"/>
      <c r="O220" s="557"/>
      <c r="P220" s="549" t="s">
        <v>71</v>
      </c>
      <c r="Q220" s="550"/>
      <c r="R220" s="550"/>
      <c r="S220" s="550"/>
      <c r="T220" s="550"/>
      <c r="U220" s="550"/>
      <c r="V220" s="551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6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57"/>
      <c r="P221" s="549" t="s">
        <v>71</v>
      </c>
      <c r="Q221" s="550"/>
      <c r="R221" s="550"/>
      <c r="S221" s="550"/>
      <c r="T221" s="550"/>
      <c r="U221" s="550"/>
      <c r="V221" s="551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71" t="s">
        <v>357</v>
      </c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56"/>
      <c r="P222" s="556"/>
      <c r="Q222" s="556"/>
      <c r="R222" s="556"/>
      <c r="S222" s="556"/>
      <c r="T222" s="556"/>
      <c r="U222" s="556"/>
      <c r="V222" s="556"/>
      <c r="W222" s="556"/>
      <c r="X222" s="556"/>
      <c r="Y222" s="556"/>
      <c r="Z222" s="556"/>
      <c r="AA222" s="536"/>
      <c r="AB222" s="536"/>
      <c r="AC222" s="536"/>
    </row>
    <row r="223" spans="1:68" ht="14.25" customHeight="1" x14ac:dyDescent="0.25">
      <c r="A223" s="562" t="s">
        <v>101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7">
        <v>4680115884137</v>
      </c>
      <c r="E224" s="548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3"/>
      <c r="R224" s="553"/>
      <c r="S224" s="553"/>
      <c r="T224" s="554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7">
        <v>4680115884236</v>
      </c>
      <c r="E225" s="548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7">
        <v>4680115884175</v>
      </c>
      <c r="E226" s="548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7">
        <v>4680115884144</v>
      </c>
      <c r="E227" s="548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6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3"/>
      <c r="R227" s="553"/>
      <c r="S227" s="553"/>
      <c r="T227" s="554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7">
        <v>4680115884144</v>
      </c>
      <c r="E228" s="548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59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3"/>
      <c r="R228" s="553"/>
      <c r="S228" s="553"/>
      <c r="T228" s="554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7">
        <v>4680115886551</v>
      </c>
      <c r="E229" s="548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7">
        <v>4680115884182</v>
      </c>
      <c r="E230" s="548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80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3"/>
      <c r="R230" s="553"/>
      <c r="S230" s="553"/>
      <c r="T230" s="554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7">
        <v>4680115887282</v>
      </c>
      <c r="E231" s="548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8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3"/>
      <c r="R231" s="553"/>
      <c r="S231" s="553"/>
      <c r="T231" s="554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7">
        <v>4680115884205</v>
      </c>
      <c r="E232" s="548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3"/>
      <c r="R232" s="553"/>
      <c r="S232" s="553"/>
      <c r="T232" s="554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7">
        <v>4680115884205</v>
      </c>
      <c r="E233" s="548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1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3"/>
      <c r="R233" s="553"/>
      <c r="S233" s="553"/>
      <c r="T233" s="554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5"/>
      <c r="B234" s="556"/>
      <c r="C234" s="556"/>
      <c r="D234" s="556"/>
      <c r="E234" s="556"/>
      <c r="F234" s="556"/>
      <c r="G234" s="556"/>
      <c r="H234" s="556"/>
      <c r="I234" s="556"/>
      <c r="J234" s="556"/>
      <c r="K234" s="556"/>
      <c r="L234" s="556"/>
      <c r="M234" s="556"/>
      <c r="N234" s="556"/>
      <c r="O234" s="557"/>
      <c r="P234" s="549" t="s">
        <v>71</v>
      </c>
      <c r="Q234" s="550"/>
      <c r="R234" s="550"/>
      <c r="S234" s="550"/>
      <c r="T234" s="550"/>
      <c r="U234" s="550"/>
      <c r="V234" s="551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6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57"/>
      <c r="P235" s="549" t="s">
        <v>71</v>
      </c>
      <c r="Q235" s="550"/>
      <c r="R235" s="550"/>
      <c r="S235" s="550"/>
      <c r="T235" s="550"/>
      <c r="U235" s="550"/>
      <c r="V235" s="551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62" t="s">
        <v>136</v>
      </c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56"/>
      <c r="P236" s="556"/>
      <c r="Q236" s="556"/>
      <c r="R236" s="556"/>
      <c r="S236" s="556"/>
      <c r="T236" s="556"/>
      <c r="U236" s="556"/>
      <c r="V236" s="556"/>
      <c r="W236" s="556"/>
      <c r="X236" s="556"/>
      <c r="Y236" s="556"/>
      <c r="Z236" s="556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7">
        <v>4680115885981</v>
      </c>
      <c r="E237" s="548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3"/>
      <c r="R237" s="553"/>
      <c r="S237" s="553"/>
      <c r="T237" s="554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5"/>
      <c r="B238" s="556"/>
      <c r="C238" s="556"/>
      <c r="D238" s="556"/>
      <c r="E238" s="556"/>
      <c r="F238" s="556"/>
      <c r="G238" s="556"/>
      <c r="H238" s="556"/>
      <c r="I238" s="556"/>
      <c r="J238" s="556"/>
      <c r="K238" s="556"/>
      <c r="L238" s="556"/>
      <c r="M238" s="556"/>
      <c r="N238" s="556"/>
      <c r="O238" s="557"/>
      <c r="P238" s="549" t="s">
        <v>71</v>
      </c>
      <c r="Q238" s="550"/>
      <c r="R238" s="550"/>
      <c r="S238" s="550"/>
      <c r="T238" s="550"/>
      <c r="U238" s="550"/>
      <c r="V238" s="551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6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57"/>
      <c r="P239" s="549" t="s">
        <v>71</v>
      </c>
      <c r="Q239" s="550"/>
      <c r="R239" s="550"/>
      <c r="S239" s="550"/>
      <c r="T239" s="550"/>
      <c r="U239" s="550"/>
      <c r="V239" s="551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62" t="s">
        <v>383</v>
      </c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56"/>
      <c r="P240" s="556"/>
      <c r="Q240" s="556"/>
      <c r="R240" s="556"/>
      <c r="S240" s="556"/>
      <c r="T240" s="556"/>
      <c r="U240" s="556"/>
      <c r="V240" s="556"/>
      <c r="W240" s="556"/>
      <c r="X240" s="556"/>
      <c r="Y240" s="556"/>
      <c r="Z240" s="556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7">
        <v>4680115886803</v>
      </c>
      <c r="E241" s="548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6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3"/>
      <c r="R241" s="553"/>
      <c r="S241" s="553"/>
      <c r="T241" s="554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5"/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7"/>
      <c r="P242" s="549" t="s">
        <v>71</v>
      </c>
      <c r="Q242" s="550"/>
      <c r="R242" s="550"/>
      <c r="S242" s="550"/>
      <c r="T242" s="550"/>
      <c r="U242" s="550"/>
      <c r="V242" s="551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6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7"/>
      <c r="P243" s="549" t="s">
        <v>71</v>
      </c>
      <c r="Q243" s="550"/>
      <c r="R243" s="550"/>
      <c r="S243" s="550"/>
      <c r="T243" s="550"/>
      <c r="U243" s="550"/>
      <c r="V243" s="551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62" t="s">
        <v>387</v>
      </c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56"/>
      <c r="P244" s="556"/>
      <c r="Q244" s="556"/>
      <c r="R244" s="556"/>
      <c r="S244" s="556"/>
      <c r="T244" s="556"/>
      <c r="U244" s="556"/>
      <c r="V244" s="556"/>
      <c r="W244" s="556"/>
      <c r="X244" s="556"/>
      <c r="Y244" s="556"/>
      <c r="Z244" s="556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7">
        <v>4680115886704</v>
      </c>
      <c r="E245" s="548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3"/>
      <c r="R245" s="553"/>
      <c r="S245" s="553"/>
      <c r="T245" s="554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7">
        <v>4680115886681</v>
      </c>
      <c r="E246" s="548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8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3"/>
      <c r="R246" s="553"/>
      <c r="S246" s="553"/>
      <c r="T246" s="554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7">
        <v>4680115886735</v>
      </c>
      <c r="E247" s="548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64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3"/>
      <c r="R247" s="553"/>
      <c r="S247" s="553"/>
      <c r="T247" s="554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7">
        <v>4680115886728</v>
      </c>
      <c r="E248" s="548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1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3"/>
      <c r="R248" s="553"/>
      <c r="S248" s="553"/>
      <c r="T248" s="554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7">
        <v>4680115886711</v>
      </c>
      <c r="E249" s="548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85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5"/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7"/>
      <c r="P250" s="549" t="s">
        <v>71</v>
      </c>
      <c r="Q250" s="550"/>
      <c r="R250" s="550"/>
      <c r="S250" s="550"/>
      <c r="T250" s="550"/>
      <c r="U250" s="550"/>
      <c r="V250" s="551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6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7"/>
      <c r="P251" s="549" t="s">
        <v>71</v>
      </c>
      <c r="Q251" s="550"/>
      <c r="R251" s="550"/>
      <c r="S251" s="550"/>
      <c r="T251" s="550"/>
      <c r="U251" s="550"/>
      <c r="V251" s="551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71" t="s">
        <v>399</v>
      </c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56"/>
      <c r="P252" s="556"/>
      <c r="Q252" s="556"/>
      <c r="R252" s="556"/>
      <c r="S252" s="556"/>
      <c r="T252" s="556"/>
      <c r="U252" s="556"/>
      <c r="V252" s="556"/>
      <c r="W252" s="556"/>
      <c r="X252" s="556"/>
      <c r="Y252" s="556"/>
      <c r="Z252" s="556"/>
      <c r="AA252" s="536"/>
      <c r="AB252" s="536"/>
      <c r="AC252" s="536"/>
    </row>
    <row r="253" spans="1:68" ht="14.25" customHeight="1" x14ac:dyDescent="0.25">
      <c r="A253" s="562" t="s">
        <v>101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7">
        <v>4680115885837</v>
      </c>
      <c r="E254" s="548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6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3"/>
      <c r="R254" s="553"/>
      <c r="S254" s="553"/>
      <c r="T254" s="554"/>
      <c r="U254" s="34"/>
      <c r="V254" s="34"/>
      <c r="W254" s="35" t="s">
        <v>69</v>
      </c>
      <c r="X254" s="541">
        <v>100</v>
      </c>
      <c r="Y254" s="542">
        <f>IFERROR(IF(X254="",0,CEILING((X254/$H254),1)*$H254),"")</f>
        <v>108</v>
      </c>
      <c r="Z254" s="36">
        <f>IFERROR(IF(Y254=0,"",ROUNDUP(Y254/H254,0)*0.01898),"")</f>
        <v>0.1898</v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103.79629629629629</v>
      </c>
      <c r="BN254" s="64">
        <f>IFERROR(Y254*I254/H254,"0")</f>
        <v>112.1</v>
      </c>
      <c r="BO254" s="64">
        <f>IFERROR(1/J254*(X254/H254),"0")</f>
        <v>0.14467592592592593</v>
      </c>
      <c r="BP254" s="64">
        <f>IFERROR(1/J254*(Y254/H254),"0")</f>
        <v>0.15625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7">
        <v>4680115885851</v>
      </c>
      <c r="E255" s="548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80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7">
        <v>4680115885806</v>
      </c>
      <c r="E256" s="548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6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7">
        <v>4680115885844</v>
      </c>
      <c r="E257" s="548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6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3"/>
      <c r="R257" s="553"/>
      <c r="S257" s="553"/>
      <c r="T257" s="554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7">
        <v>4680115885820</v>
      </c>
      <c r="E258" s="548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7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69</v>
      </c>
      <c r="X258" s="541">
        <v>60</v>
      </c>
      <c r="Y258" s="542">
        <f>IFERROR(IF(X258="",0,CEILING((X258/$H258),1)*$H258),"")</f>
        <v>60</v>
      </c>
      <c r="Z258" s="36">
        <f>IFERROR(IF(Y258=0,"",ROUNDUP(Y258/H258,0)*0.00902),"")</f>
        <v>0.1353</v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62.850000000000009</v>
      </c>
      <c r="BN258" s="64">
        <f>IFERROR(Y258*I258/H258,"0")</f>
        <v>62.850000000000009</v>
      </c>
      <c r="BO258" s="64">
        <f>IFERROR(1/J258*(X258/H258),"0")</f>
        <v>0.11363636363636365</v>
      </c>
      <c r="BP258" s="64">
        <f>IFERROR(1/J258*(Y258/H258),"0")</f>
        <v>0.11363636363636365</v>
      </c>
    </row>
    <row r="259" spans="1:68" x14ac:dyDescent="0.2">
      <c r="A259" s="555"/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7"/>
      <c r="P259" s="549" t="s">
        <v>71</v>
      </c>
      <c r="Q259" s="550"/>
      <c r="R259" s="550"/>
      <c r="S259" s="550"/>
      <c r="T259" s="550"/>
      <c r="U259" s="550"/>
      <c r="V259" s="551"/>
      <c r="W259" s="37" t="s">
        <v>72</v>
      </c>
      <c r="X259" s="543">
        <f>IFERROR(X254/H254,"0")+IFERROR(X255/H255,"0")+IFERROR(X256/H256,"0")+IFERROR(X257/H257,"0")+IFERROR(X258/H258,"0")</f>
        <v>24.25925925925926</v>
      </c>
      <c r="Y259" s="543">
        <f>IFERROR(Y254/H254,"0")+IFERROR(Y255/H255,"0")+IFERROR(Y256/H256,"0")+IFERROR(Y257/H257,"0")+IFERROR(Y258/H258,"0")</f>
        <v>25</v>
      </c>
      <c r="Z259" s="543">
        <f>IFERROR(IF(Z254="",0,Z254),"0")+IFERROR(IF(Z255="",0,Z255),"0")+IFERROR(IF(Z256="",0,Z256),"0")+IFERROR(IF(Z257="",0,Z257),"0")+IFERROR(IF(Z258="",0,Z258),"0")</f>
        <v>0.3251</v>
      </c>
      <c r="AA259" s="544"/>
      <c r="AB259" s="544"/>
      <c r="AC259" s="544"/>
    </row>
    <row r="260" spans="1:68" x14ac:dyDescent="0.2">
      <c r="A260" s="556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7"/>
      <c r="P260" s="549" t="s">
        <v>71</v>
      </c>
      <c r="Q260" s="550"/>
      <c r="R260" s="550"/>
      <c r="S260" s="550"/>
      <c r="T260" s="550"/>
      <c r="U260" s="550"/>
      <c r="V260" s="551"/>
      <c r="W260" s="37" t="s">
        <v>69</v>
      </c>
      <c r="X260" s="543">
        <f>IFERROR(SUM(X254:X258),"0")</f>
        <v>160</v>
      </c>
      <c r="Y260" s="543">
        <f>IFERROR(SUM(Y254:Y258),"0")</f>
        <v>168</v>
      </c>
      <c r="Z260" s="37"/>
      <c r="AA260" s="544"/>
      <c r="AB260" s="544"/>
      <c r="AC260" s="544"/>
    </row>
    <row r="261" spans="1:68" ht="16.5" customHeight="1" x14ac:dyDescent="0.25">
      <c r="A261" s="571" t="s">
        <v>415</v>
      </c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56"/>
      <c r="P261" s="556"/>
      <c r="Q261" s="556"/>
      <c r="R261" s="556"/>
      <c r="S261" s="556"/>
      <c r="T261" s="556"/>
      <c r="U261" s="556"/>
      <c r="V261" s="556"/>
      <c r="W261" s="556"/>
      <c r="X261" s="556"/>
      <c r="Y261" s="556"/>
      <c r="Z261" s="556"/>
      <c r="AA261" s="536"/>
      <c r="AB261" s="536"/>
      <c r="AC261" s="536"/>
    </row>
    <row r="262" spans="1:68" ht="14.25" customHeight="1" x14ac:dyDescent="0.25">
      <c r="A262" s="562" t="s">
        <v>101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7">
        <v>4607091383423</v>
      </c>
      <c r="E263" s="548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59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3"/>
      <c r="R263" s="553"/>
      <c r="S263" s="553"/>
      <c r="T263" s="554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7">
        <v>4680115886957</v>
      </c>
      <c r="E264" s="548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77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3"/>
      <c r="R264" s="553"/>
      <c r="S264" s="553"/>
      <c r="T264" s="554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7">
        <v>4680115885660</v>
      </c>
      <c r="E265" s="548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7">
        <v>4680115886773</v>
      </c>
      <c r="E266" s="548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83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3"/>
      <c r="R266" s="553"/>
      <c r="S266" s="553"/>
      <c r="T266" s="554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5"/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7"/>
      <c r="P267" s="549" t="s">
        <v>71</v>
      </c>
      <c r="Q267" s="550"/>
      <c r="R267" s="550"/>
      <c r="S267" s="550"/>
      <c r="T267" s="550"/>
      <c r="U267" s="550"/>
      <c r="V267" s="551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6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7"/>
      <c r="P268" s="549" t="s">
        <v>71</v>
      </c>
      <c r="Q268" s="550"/>
      <c r="R268" s="550"/>
      <c r="S268" s="550"/>
      <c r="T268" s="550"/>
      <c r="U268" s="550"/>
      <c r="V268" s="551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71" t="s">
        <v>426</v>
      </c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6"/>
      <c r="P269" s="556"/>
      <c r="Q269" s="556"/>
      <c r="R269" s="556"/>
      <c r="S269" s="556"/>
      <c r="T269" s="556"/>
      <c r="U269" s="556"/>
      <c r="V269" s="556"/>
      <c r="W269" s="556"/>
      <c r="X269" s="556"/>
      <c r="Y269" s="556"/>
      <c r="Z269" s="556"/>
      <c r="AA269" s="536"/>
      <c r="AB269" s="536"/>
      <c r="AC269" s="536"/>
    </row>
    <row r="270" spans="1:68" ht="14.25" customHeight="1" x14ac:dyDescent="0.25">
      <c r="A270" s="562" t="s">
        <v>73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7">
        <v>4680115886186</v>
      </c>
      <c r="E271" s="548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2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3"/>
      <c r="R271" s="553"/>
      <c r="S271" s="553"/>
      <c r="T271" s="554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7">
        <v>4680115881228</v>
      </c>
      <c r="E272" s="548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3"/>
      <c r="R272" s="553"/>
      <c r="S272" s="553"/>
      <c r="T272" s="554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7">
        <v>4680115881211</v>
      </c>
      <c r="E273" s="548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8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3"/>
      <c r="R273" s="553"/>
      <c r="S273" s="553"/>
      <c r="T273" s="554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5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57"/>
      <c r="P274" s="549" t="s">
        <v>71</v>
      </c>
      <c r="Q274" s="550"/>
      <c r="R274" s="550"/>
      <c r="S274" s="550"/>
      <c r="T274" s="550"/>
      <c r="U274" s="550"/>
      <c r="V274" s="551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6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7"/>
      <c r="P275" s="549" t="s">
        <v>71</v>
      </c>
      <c r="Q275" s="550"/>
      <c r="R275" s="550"/>
      <c r="S275" s="550"/>
      <c r="T275" s="550"/>
      <c r="U275" s="550"/>
      <c r="V275" s="551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71" t="s">
        <v>435</v>
      </c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36"/>
      <c r="AB276" s="536"/>
      <c r="AC276" s="536"/>
    </row>
    <row r="277" spans="1:68" ht="14.25" customHeight="1" x14ac:dyDescent="0.25">
      <c r="A277" s="562" t="s">
        <v>64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7">
        <v>4680115880344</v>
      </c>
      <c r="E278" s="548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3"/>
      <c r="R278" s="553"/>
      <c r="S278" s="553"/>
      <c r="T278" s="554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7">
        <v>4680115886919</v>
      </c>
      <c r="E279" s="548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3"/>
      <c r="R279" s="553"/>
      <c r="S279" s="553"/>
      <c r="T279" s="554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5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57"/>
      <c r="P280" s="549" t="s">
        <v>71</v>
      </c>
      <c r="Q280" s="550"/>
      <c r="R280" s="550"/>
      <c r="S280" s="550"/>
      <c r="T280" s="550"/>
      <c r="U280" s="550"/>
      <c r="V280" s="551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6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7"/>
      <c r="P281" s="549" t="s">
        <v>71</v>
      </c>
      <c r="Q281" s="550"/>
      <c r="R281" s="550"/>
      <c r="S281" s="550"/>
      <c r="T281" s="550"/>
      <c r="U281" s="550"/>
      <c r="V281" s="551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62" t="s">
        <v>73</v>
      </c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7">
        <v>4680115884618</v>
      </c>
      <c r="E283" s="548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7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3"/>
      <c r="R283" s="553"/>
      <c r="S283" s="553"/>
      <c r="T283" s="554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55"/>
      <c r="B284" s="556"/>
      <c r="C284" s="556"/>
      <c r="D284" s="556"/>
      <c r="E284" s="556"/>
      <c r="F284" s="556"/>
      <c r="G284" s="556"/>
      <c r="H284" s="556"/>
      <c r="I284" s="556"/>
      <c r="J284" s="556"/>
      <c r="K284" s="556"/>
      <c r="L284" s="556"/>
      <c r="M284" s="556"/>
      <c r="N284" s="556"/>
      <c r="O284" s="557"/>
      <c r="P284" s="549" t="s">
        <v>71</v>
      </c>
      <c r="Q284" s="550"/>
      <c r="R284" s="550"/>
      <c r="S284" s="550"/>
      <c r="T284" s="550"/>
      <c r="U284" s="550"/>
      <c r="V284" s="551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x14ac:dyDescent="0.2">
      <c r="A285" s="556"/>
      <c r="B285" s="556"/>
      <c r="C285" s="556"/>
      <c r="D285" s="556"/>
      <c r="E285" s="556"/>
      <c r="F285" s="556"/>
      <c r="G285" s="556"/>
      <c r="H285" s="556"/>
      <c r="I285" s="556"/>
      <c r="J285" s="556"/>
      <c r="K285" s="556"/>
      <c r="L285" s="556"/>
      <c r="M285" s="556"/>
      <c r="N285" s="556"/>
      <c r="O285" s="557"/>
      <c r="P285" s="549" t="s">
        <v>71</v>
      </c>
      <c r="Q285" s="550"/>
      <c r="R285" s="550"/>
      <c r="S285" s="550"/>
      <c r="T285" s="550"/>
      <c r="U285" s="550"/>
      <c r="V285" s="551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customHeight="1" x14ac:dyDescent="0.25">
      <c r="A286" s="571" t="s">
        <v>445</v>
      </c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56"/>
      <c r="P286" s="556"/>
      <c r="Q286" s="556"/>
      <c r="R286" s="556"/>
      <c r="S286" s="556"/>
      <c r="T286" s="556"/>
      <c r="U286" s="556"/>
      <c r="V286" s="556"/>
      <c r="W286" s="556"/>
      <c r="X286" s="556"/>
      <c r="Y286" s="556"/>
      <c r="Z286" s="556"/>
      <c r="AA286" s="536"/>
      <c r="AB286" s="536"/>
      <c r="AC286" s="536"/>
    </row>
    <row r="287" spans="1:68" ht="14.25" customHeight="1" x14ac:dyDescent="0.25">
      <c r="A287" s="562" t="s">
        <v>101</v>
      </c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6"/>
      <c r="P287" s="556"/>
      <c r="Q287" s="556"/>
      <c r="R287" s="556"/>
      <c r="S287" s="556"/>
      <c r="T287" s="556"/>
      <c r="U287" s="556"/>
      <c r="V287" s="556"/>
      <c r="W287" s="556"/>
      <c r="X287" s="556"/>
      <c r="Y287" s="556"/>
      <c r="Z287" s="556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4301012126</v>
      </c>
      <c r="D288" s="547">
        <v>4607091386004</v>
      </c>
      <c r="E288" s="548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59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53"/>
      <c r="R288" s="553"/>
      <c r="S288" s="553"/>
      <c r="T288" s="554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7">
        <v>4680115885615</v>
      </c>
      <c r="E289" s="548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77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3"/>
      <c r="R289" s="553"/>
      <c r="S289" s="553"/>
      <c r="T289" s="554"/>
      <c r="U289" s="34"/>
      <c r="V289" s="34"/>
      <c r="W289" s="35" t="s">
        <v>69</v>
      </c>
      <c r="X289" s="541">
        <v>300</v>
      </c>
      <c r="Y289" s="542">
        <f t="shared" si="26"/>
        <v>302.40000000000003</v>
      </c>
      <c r="Z289" s="36">
        <f>IFERROR(IF(Y289=0,"",ROUNDUP(Y289/H289,0)*0.01898),"")</f>
        <v>0.53144000000000002</v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311.38888888888891</v>
      </c>
      <c r="BN289" s="64">
        <f t="shared" si="28"/>
        <v>313.88</v>
      </c>
      <c r="BO289" s="64">
        <f t="shared" si="29"/>
        <v>0.43402777777777773</v>
      </c>
      <c r="BP289" s="64">
        <f t="shared" si="30"/>
        <v>0.4375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7">
        <v>4680115885646</v>
      </c>
      <c r="E290" s="548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85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69</v>
      </c>
      <c r="X290" s="541">
        <v>250</v>
      </c>
      <c r="Y290" s="542">
        <f t="shared" si="26"/>
        <v>259.20000000000005</v>
      </c>
      <c r="Z290" s="36">
        <f>IFERROR(IF(Y290=0,"",ROUNDUP(Y290/H290,0)*0.01898),"")</f>
        <v>0.45552000000000004</v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259.4907407407407</v>
      </c>
      <c r="BN290" s="64">
        <f t="shared" si="28"/>
        <v>269.04000000000002</v>
      </c>
      <c r="BO290" s="64">
        <f t="shared" si="29"/>
        <v>0.36168981481481477</v>
      </c>
      <c r="BP290" s="64">
        <f t="shared" si="30"/>
        <v>0.37500000000000006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7">
        <v>4680115885554</v>
      </c>
      <c r="E291" s="548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5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7">
        <v>4680115885622</v>
      </c>
      <c r="E292" s="548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71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3"/>
      <c r="R292" s="553"/>
      <c r="S292" s="553"/>
      <c r="T292" s="554"/>
      <c r="U292" s="34"/>
      <c r="V292" s="34"/>
      <c r="W292" s="35" t="s">
        <v>69</v>
      </c>
      <c r="X292" s="541">
        <v>80</v>
      </c>
      <c r="Y292" s="542">
        <f t="shared" si="26"/>
        <v>80</v>
      </c>
      <c r="Z292" s="36">
        <f>IFERROR(IF(Y292=0,"",ROUNDUP(Y292/H292,0)*0.00902),"")</f>
        <v>0.1804</v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83.800000000000011</v>
      </c>
      <c r="BN292" s="64">
        <f t="shared" si="28"/>
        <v>83.800000000000011</v>
      </c>
      <c r="BO292" s="64">
        <f t="shared" si="29"/>
        <v>0.15151515151515152</v>
      </c>
      <c r="BP292" s="64">
        <f t="shared" si="30"/>
        <v>0.15151515151515152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7">
        <v>4680115885608</v>
      </c>
      <c r="E293" s="548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5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69</v>
      </c>
      <c r="X293" s="541">
        <v>200</v>
      </c>
      <c r="Y293" s="542">
        <f t="shared" si="26"/>
        <v>200</v>
      </c>
      <c r="Z293" s="36">
        <f>IFERROR(IF(Y293=0,"",ROUNDUP(Y293/H293,0)*0.00902),"")</f>
        <v>0.45100000000000001</v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209.50000000000003</v>
      </c>
      <c r="BN293" s="64">
        <f t="shared" si="28"/>
        <v>209.50000000000003</v>
      </c>
      <c r="BO293" s="64">
        <f t="shared" si="29"/>
        <v>0.37878787878787878</v>
      </c>
      <c r="BP293" s="64">
        <f t="shared" si="30"/>
        <v>0.37878787878787878</v>
      </c>
    </row>
    <row r="294" spans="1:68" x14ac:dyDescent="0.2">
      <c r="A294" s="555"/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7"/>
      <c r="P294" s="549" t="s">
        <v>71</v>
      </c>
      <c r="Q294" s="550"/>
      <c r="R294" s="550"/>
      <c r="S294" s="550"/>
      <c r="T294" s="550"/>
      <c r="U294" s="550"/>
      <c r="V294" s="551"/>
      <c r="W294" s="37" t="s">
        <v>72</v>
      </c>
      <c r="X294" s="543">
        <f>IFERROR(X288/H288,"0")+IFERROR(X289/H289,"0")+IFERROR(X290/H290,"0")+IFERROR(X291/H291,"0")+IFERROR(X292/H292,"0")+IFERROR(X293/H293,"0")</f>
        <v>120.92592592592592</v>
      </c>
      <c r="Y294" s="543">
        <f>IFERROR(Y288/H288,"0")+IFERROR(Y289/H289,"0")+IFERROR(Y290/H290,"0")+IFERROR(Y291/H291,"0")+IFERROR(Y292/H292,"0")+IFERROR(Y293/H293,"0")</f>
        <v>122</v>
      </c>
      <c r="Z294" s="543">
        <f>IFERROR(IF(Z288="",0,Z288),"0")+IFERROR(IF(Z289="",0,Z289),"0")+IFERROR(IF(Z290="",0,Z290),"0")+IFERROR(IF(Z291="",0,Z291),"0")+IFERROR(IF(Z292="",0,Z292),"0")+IFERROR(IF(Z293="",0,Z293),"0")</f>
        <v>1.61836</v>
      </c>
      <c r="AA294" s="544"/>
      <c r="AB294" s="544"/>
      <c r="AC294" s="544"/>
    </row>
    <row r="295" spans="1:68" x14ac:dyDescent="0.2">
      <c r="A295" s="556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57"/>
      <c r="P295" s="549" t="s">
        <v>71</v>
      </c>
      <c r="Q295" s="550"/>
      <c r="R295" s="550"/>
      <c r="S295" s="550"/>
      <c r="T295" s="550"/>
      <c r="U295" s="550"/>
      <c r="V295" s="551"/>
      <c r="W295" s="37" t="s">
        <v>69</v>
      </c>
      <c r="X295" s="543">
        <f>IFERROR(SUM(X288:X293),"0")</f>
        <v>830</v>
      </c>
      <c r="Y295" s="543">
        <f>IFERROR(SUM(Y288:Y293),"0")</f>
        <v>841.60000000000014</v>
      </c>
      <c r="Z295" s="37"/>
      <c r="AA295" s="544"/>
      <c r="AB295" s="544"/>
      <c r="AC295" s="544"/>
    </row>
    <row r="296" spans="1:68" ht="14.25" customHeight="1" x14ac:dyDescent="0.25">
      <c r="A296" s="562" t="s">
        <v>64</v>
      </c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56"/>
      <c r="P296" s="556"/>
      <c r="Q296" s="556"/>
      <c r="R296" s="556"/>
      <c r="S296" s="556"/>
      <c r="T296" s="556"/>
      <c r="U296" s="556"/>
      <c r="V296" s="556"/>
      <c r="W296" s="556"/>
      <c r="X296" s="556"/>
      <c r="Y296" s="556"/>
      <c r="Z296" s="556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7">
        <v>4607091387193</v>
      </c>
      <c r="E297" s="548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5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3"/>
      <c r="R297" s="553"/>
      <c r="S297" s="553"/>
      <c r="T297" s="554"/>
      <c r="U297" s="34"/>
      <c r="V297" s="34"/>
      <c r="W297" s="35" t="s">
        <v>69</v>
      </c>
      <c r="X297" s="541">
        <v>350</v>
      </c>
      <c r="Y297" s="542">
        <f t="shared" ref="Y297:Y303" si="31">IFERROR(IF(X297="",0,CEILING((X297/$H297),1)*$H297),"")</f>
        <v>352.8</v>
      </c>
      <c r="Z297" s="36">
        <f>IFERROR(IF(Y297=0,"",ROUNDUP(Y297/H297,0)*0.00902),"")</f>
        <v>0.75768000000000002</v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370.83333333333331</v>
      </c>
      <c r="BN297" s="64">
        <f t="shared" ref="BN297:BN303" si="33">IFERROR(Y297*I297/H297,"0")</f>
        <v>373.8</v>
      </c>
      <c r="BO297" s="64">
        <f t="shared" ref="BO297:BO303" si="34">IFERROR(1/J297*(X297/H297),"0")</f>
        <v>0.63131313131313127</v>
      </c>
      <c r="BP297" s="64">
        <f t="shared" ref="BP297:BP303" si="35">IFERROR(1/J297*(Y297/H297),"0")</f>
        <v>0.63636363636363635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7">
        <v>4607091387230</v>
      </c>
      <c r="E298" s="548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6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69</v>
      </c>
      <c r="X298" s="541">
        <v>450</v>
      </c>
      <c r="Y298" s="542">
        <f t="shared" si="31"/>
        <v>453.6</v>
      </c>
      <c r="Z298" s="36">
        <f>IFERROR(IF(Y298=0,"",ROUNDUP(Y298/H298,0)*0.00902),"")</f>
        <v>0.97416000000000003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476.78571428571428</v>
      </c>
      <c r="BN298" s="64">
        <f t="shared" si="33"/>
        <v>480.6</v>
      </c>
      <c r="BO298" s="64">
        <f t="shared" si="34"/>
        <v>0.81168831168831168</v>
      </c>
      <c r="BP298" s="64">
        <f t="shared" si="35"/>
        <v>0.81818181818181823</v>
      </c>
    </row>
    <row r="299" spans="1:68" ht="27" customHeight="1" x14ac:dyDescent="0.25">
      <c r="A299" s="54" t="s">
        <v>469</v>
      </c>
      <c r="B299" s="54" t="s">
        <v>470</v>
      </c>
      <c r="C299" s="31">
        <v>4301031154</v>
      </c>
      <c r="D299" s="547">
        <v>4607091387292</v>
      </c>
      <c r="E299" s="548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1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7">
        <v>4607091387285</v>
      </c>
      <c r="E300" s="548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77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3"/>
      <c r="R300" s="553"/>
      <c r="S300" s="553"/>
      <c r="T300" s="554"/>
      <c r="U300" s="34"/>
      <c r="V300" s="34"/>
      <c r="W300" s="35" t="s">
        <v>69</v>
      </c>
      <c r="X300" s="541">
        <v>28</v>
      </c>
      <c r="Y300" s="542">
        <f t="shared" si="31"/>
        <v>29.400000000000002</v>
      </c>
      <c r="Z300" s="36">
        <f>IFERROR(IF(Y300=0,"",ROUNDUP(Y300/H300,0)*0.00502),"")</f>
        <v>7.0280000000000009E-2</v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29.733333333333331</v>
      </c>
      <c r="BN300" s="64">
        <f t="shared" si="33"/>
        <v>31.22</v>
      </c>
      <c r="BO300" s="64">
        <f t="shared" si="34"/>
        <v>5.6980056980056981E-2</v>
      </c>
      <c r="BP300" s="64">
        <f t="shared" si="35"/>
        <v>5.9829059829059839E-2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7">
        <v>4607091389845</v>
      </c>
      <c r="E301" s="548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6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4301031306</v>
      </c>
      <c r="D302" s="547">
        <v>4680115882881</v>
      </c>
      <c r="E302" s="548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86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3"/>
      <c r="R302" s="553"/>
      <c r="S302" s="553"/>
      <c r="T302" s="554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7">
        <v>4607091383836</v>
      </c>
      <c r="E303" s="548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77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3"/>
      <c r="R303" s="553"/>
      <c r="S303" s="553"/>
      <c r="T303" s="554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55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57"/>
      <c r="P304" s="549" t="s">
        <v>71</v>
      </c>
      <c r="Q304" s="550"/>
      <c r="R304" s="550"/>
      <c r="S304" s="550"/>
      <c r="T304" s="550"/>
      <c r="U304" s="550"/>
      <c r="V304" s="551"/>
      <c r="W304" s="37" t="s">
        <v>72</v>
      </c>
      <c r="X304" s="543">
        <f>IFERROR(X297/H297,"0")+IFERROR(X298/H298,"0")+IFERROR(X299/H299,"0")+IFERROR(X300/H300,"0")+IFERROR(X301/H301,"0")+IFERROR(X302/H302,"0")+IFERROR(X303/H303,"0")</f>
        <v>203.80952380952382</v>
      </c>
      <c r="Y304" s="543">
        <f>IFERROR(Y297/H297,"0")+IFERROR(Y298/H298,"0")+IFERROR(Y299/H299,"0")+IFERROR(Y300/H300,"0")+IFERROR(Y301/H301,"0")+IFERROR(Y302/H302,"0")+IFERROR(Y303/H303,"0")</f>
        <v>206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1.8021199999999999</v>
      </c>
      <c r="AA304" s="544"/>
      <c r="AB304" s="544"/>
      <c r="AC304" s="544"/>
    </row>
    <row r="305" spans="1:68" x14ac:dyDescent="0.2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57"/>
      <c r="P305" s="549" t="s">
        <v>71</v>
      </c>
      <c r="Q305" s="550"/>
      <c r="R305" s="550"/>
      <c r="S305" s="550"/>
      <c r="T305" s="550"/>
      <c r="U305" s="550"/>
      <c r="V305" s="551"/>
      <c r="W305" s="37" t="s">
        <v>69</v>
      </c>
      <c r="X305" s="543">
        <f>IFERROR(SUM(X297:X303),"0")</f>
        <v>828</v>
      </c>
      <c r="Y305" s="543">
        <f>IFERROR(SUM(Y297:Y303),"0")</f>
        <v>835.80000000000007</v>
      </c>
      <c r="Z305" s="37"/>
      <c r="AA305" s="544"/>
      <c r="AB305" s="544"/>
      <c r="AC305" s="544"/>
    </row>
    <row r="306" spans="1:68" ht="14.25" customHeight="1" x14ac:dyDescent="0.25">
      <c r="A306" s="562" t="s">
        <v>73</v>
      </c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7">
        <v>4607091387766</v>
      </c>
      <c r="E307" s="548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5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3"/>
      <c r="R307" s="553"/>
      <c r="S307" s="553"/>
      <c r="T307" s="554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4301051818</v>
      </c>
      <c r="D308" s="547">
        <v>4607091387957</v>
      </c>
      <c r="E308" s="548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3"/>
      <c r="R308" s="553"/>
      <c r="S308" s="553"/>
      <c r="T308" s="554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4301051819</v>
      </c>
      <c r="D309" s="547">
        <v>4607091387964</v>
      </c>
      <c r="E309" s="548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7">
        <v>4680115884588</v>
      </c>
      <c r="E310" s="548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75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3"/>
      <c r="R310" s="553"/>
      <c r="S310" s="553"/>
      <c r="T310" s="554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4301051578</v>
      </c>
      <c r="D311" s="547">
        <v>4607091387513</v>
      </c>
      <c r="E311" s="548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4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3"/>
      <c r="R311" s="553"/>
      <c r="S311" s="553"/>
      <c r="T311" s="554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5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7"/>
      <c r="P312" s="549" t="s">
        <v>71</v>
      </c>
      <c r="Q312" s="550"/>
      <c r="R312" s="550"/>
      <c r="S312" s="550"/>
      <c r="T312" s="550"/>
      <c r="U312" s="550"/>
      <c r="V312" s="551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6"/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7"/>
      <c r="P313" s="549" t="s">
        <v>71</v>
      </c>
      <c r="Q313" s="550"/>
      <c r="R313" s="550"/>
      <c r="S313" s="550"/>
      <c r="T313" s="550"/>
      <c r="U313" s="550"/>
      <c r="V313" s="551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customHeight="1" x14ac:dyDescent="0.25">
      <c r="A314" s="562" t="s">
        <v>164</v>
      </c>
      <c r="B314" s="556"/>
      <c r="C314" s="556"/>
      <c r="D314" s="556"/>
      <c r="E314" s="556"/>
      <c r="F314" s="556"/>
      <c r="G314" s="556"/>
      <c r="H314" s="556"/>
      <c r="I314" s="556"/>
      <c r="J314" s="556"/>
      <c r="K314" s="556"/>
      <c r="L314" s="556"/>
      <c r="M314" s="556"/>
      <c r="N314" s="556"/>
      <c r="O314" s="556"/>
      <c r="P314" s="556"/>
      <c r="Q314" s="556"/>
      <c r="R314" s="556"/>
      <c r="S314" s="556"/>
      <c r="T314" s="556"/>
      <c r="U314" s="556"/>
      <c r="V314" s="556"/>
      <c r="W314" s="556"/>
      <c r="X314" s="556"/>
      <c r="Y314" s="556"/>
      <c r="Z314" s="556"/>
      <c r="AA314" s="535"/>
      <c r="AB314" s="535"/>
      <c r="AC314" s="535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7">
        <v>4607091380880</v>
      </c>
      <c r="E315" s="548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86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3"/>
      <c r="R315" s="553"/>
      <c r="S315" s="553"/>
      <c r="T315" s="554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7">
        <v>4607091384482</v>
      </c>
      <c r="E316" s="548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84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3"/>
      <c r="R316" s="553"/>
      <c r="S316" s="553"/>
      <c r="T316" s="554"/>
      <c r="U316" s="34"/>
      <c r="V316" s="34"/>
      <c r="W316" s="35" t="s">
        <v>69</v>
      </c>
      <c r="X316" s="541">
        <v>550</v>
      </c>
      <c r="Y316" s="542">
        <f>IFERROR(IF(X316="",0,CEILING((X316/$H316),1)*$H316),"")</f>
        <v>553.79999999999995</v>
      </c>
      <c r="Z316" s="36">
        <f>IFERROR(IF(Y316=0,"",ROUNDUP(Y316/H316,0)*0.01898),"")</f>
        <v>1.34758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584.83333333333337</v>
      </c>
      <c r="BN316" s="64">
        <f>IFERROR(Y316*I316/H316,"0")</f>
        <v>588.87400000000002</v>
      </c>
      <c r="BO316" s="64">
        <f>IFERROR(1/J316*(X316/H316),"0")</f>
        <v>1.1017628205128205</v>
      </c>
      <c r="BP316" s="64">
        <f>IFERROR(1/J316*(Y316/H316),"0")</f>
        <v>1.109375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7">
        <v>4607091380897</v>
      </c>
      <c r="E317" s="548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61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3"/>
      <c r="R317" s="553"/>
      <c r="S317" s="553"/>
      <c r="T317" s="554"/>
      <c r="U317" s="34"/>
      <c r="V317" s="34"/>
      <c r="W317" s="35" t="s">
        <v>69</v>
      </c>
      <c r="X317" s="541">
        <v>120</v>
      </c>
      <c r="Y317" s="542">
        <f>IFERROR(IF(X317="",0,CEILING((X317/$H317),1)*$H317),"")</f>
        <v>126</v>
      </c>
      <c r="Z317" s="36">
        <f>IFERROR(IF(Y317=0,"",ROUNDUP(Y317/H317,0)*0.01898),"")</f>
        <v>0.28470000000000001</v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127.05714285714285</v>
      </c>
      <c r="BN317" s="64">
        <f>IFERROR(Y317*I317/H317,"0")</f>
        <v>133.41</v>
      </c>
      <c r="BO317" s="64">
        <f>IFERROR(1/J317*(X317/H317),"0")</f>
        <v>0.2232142857142857</v>
      </c>
      <c r="BP317" s="64">
        <f>IFERROR(1/J317*(Y317/H317),"0")</f>
        <v>0.234375</v>
      </c>
    </row>
    <row r="318" spans="1:68" x14ac:dyDescent="0.2">
      <c r="A318" s="555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7"/>
      <c r="P318" s="549" t="s">
        <v>71</v>
      </c>
      <c r="Q318" s="550"/>
      <c r="R318" s="550"/>
      <c r="S318" s="550"/>
      <c r="T318" s="550"/>
      <c r="U318" s="550"/>
      <c r="V318" s="551"/>
      <c r="W318" s="37" t="s">
        <v>72</v>
      </c>
      <c r="X318" s="543">
        <f>IFERROR(X315/H315,"0")+IFERROR(X316/H316,"0")+IFERROR(X317/H317,"0")</f>
        <v>84.798534798534803</v>
      </c>
      <c r="Y318" s="543">
        <f>IFERROR(Y315/H315,"0")+IFERROR(Y316/H316,"0")+IFERROR(Y317/H317,"0")</f>
        <v>86</v>
      </c>
      <c r="Z318" s="543">
        <f>IFERROR(IF(Z315="",0,Z315),"0")+IFERROR(IF(Z316="",0,Z316),"0")+IFERROR(IF(Z317="",0,Z317),"0")</f>
        <v>1.63228</v>
      </c>
      <c r="AA318" s="544"/>
      <c r="AB318" s="544"/>
      <c r="AC318" s="544"/>
    </row>
    <row r="319" spans="1:68" x14ac:dyDescent="0.2">
      <c r="A319" s="556"/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7"/>
      <c r="P319" s="549" t="s">
        <v>71</v>
      </c>
      <c r="Q319" s="550"/>
      <c r="R319" s="550"/>
      <c r="S319" s="550"/>
      <c r="T319" s="550"/>
      <c r="U319" s="550"/>
      <c r="V319" s="551"/>
      <c r="W319" s="37" t="s">
        <v>69</v>
      </c>
      <c r="X319" s="543">
        <f>IFERROR(SUM(X315:X317),"0")</f>
        <v>670</v>
      </c>
      <c r="Y319" s="543">
        <f>IFERROR(SUM(Y315:Y317),"0")</f>
        <v>679.8</v>
      </c>
      <c r="Z319" s="37"/>
      <c r="AA319" s="544"/>
      <c r="AB319" s="544"/>
      <c r="AC319" s="544"/>
    </row>
    <row r="320" spans="1:68" ht="14.25" customHeight="1" x14ac:dyDescent="0.25">
      <c r="A320" s="562" t="s">
        <v>93</v>
      </c>
      <c r="B320" s="556"/>
      <c r="C320" s="556"/>
      <c r="D320" s="556"/>
      <c r="E320" s="556"/>
      <c r="F320" s="556"/>
      <c r="G320" s="556"/>
      <c r="H320" s="556"/>
      <c r="I320" s="556"/>
      <c r="J320" s="556"/>
      <c r="K320" s="556"/>
      <c r="L320" s="556"/>
      <c r="M320" s="556"/>
      <c r="N320" s="556"/>
      <c r="O320" s="556"/>
      <c r="P320" s="556"/>
      <c r="Q320" s="556"/>
      <c r="R320" s="556"/>
      <c r="S320" s="556"/>
      <c r="T320" s="556"/>
      <c r="U320" s="556"/>
      <c r="V320" s="556"/>
      <c r="W320" s="556"/>
      <c r="X320" s="556"/>
      <c r="Y320" s="556"/>
      <c r="Z320" s="556"/>
      <c r="AA320" s="535"/>
      <c r="AB320" s="535"/>
      <c r="AC320" s="535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7">
        <v>4607091388381</v>
      </c>
      <c r="E321" s="548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6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3"/>
      <c r="R321" s="553"/>
      <c r="S321" s="553"/>
      <c r="T321" s="554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7">
        <v>4607091388374</v>
      </c>
      <c r="E322" s="548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8" t="s">
        <v>511</v>
      </c>
      <c r="Q322" s="553"/>
      <c r="R322" s="553"/>
      <c r="S322" s="553"/>
      <c r="T322" s="554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4301032015</v>
      </c>
      <c r="D323" s="547">
        <v>4607091383102</v>
      </c>
      <c r="E323" s="548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6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3"/>
      <c r="R323" s="553"/>
      <c r="S323" s="553"/>
      <c r="T323" s="554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515</v>
      </c>
      <c r="B324" s="54" t="s">
        <v>516</v>
      </c>
      <c r="C324" s="31">
        <v>4301030233</v>
      </c>
      <c r="D324" s="547">
        <v>4607091388404</v>
      </c>
      <c r="E324" s="548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3"/>
      <c r="R324" s="553"/>
      <c r="S324" s="553"/>
      <c r="T324" s="554"/>
      <c r="U324" s="34"/>
      <c r="V324" s="34"/>
      <c r="W324" s="35" t="s">
        <v>69</v>
      </c>
      <c r="X324" s="541">
        <v>25</v>
      </c>
      <c r="Y324" s="542">
        <f>IFERROR(IF(X324="",0,CEILING((X324/$H324),1)*$H324),"")</f>
        <v>25.5</v>
      </c>
      <c r="Z324" s="36">
        <f>IFERROR(IF(Y324=0,"",ROUNDUP(Y324/H324,0)*0.00651),"")</f>
        <v>6.5100000000000005E-2</v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28.235294117647062</v>
      </c>
      <c r="BN324" s="64">
        <f>IFERROR(Y324*I324/H324,"0")</f>
        <v>28.8</v>
      </c>
      <c r="BO324" s="64">
        <f>IFERROR(1/J324*(X324/H324),"0")</f>
        <v>5.3867700926524466E-2</v>
      </c>
      <c r="BP324" s="64">
        <f>IFERROR(1/J324*(Y324/H324),"0")</f>
        <v>5.4945054945054951E-2</v>
      </c>
    </row>
    <row r="325" spans="1:68" x14ac:dyDescent="0.2">
      <c r="A325" s="555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7"/>
      <c r="P325" s="549" t="s">
        <v>71</v>
      </c>
      <c r="Q325" s="550"/>
      <c r="R325" s="550"/>
      <c r="S325" s="550"/>
      <c r="T325" s="550"/>
      <c r="U325" s="550"/>
      <c r="V325" s="551"/>
      <c r="W325" s="37" t="s">
        <v>72</v>
      </c>
      <c r="X325" s="543">
        <f>IFERROR(X321/H321,"0")+IFERROR(X322/H322,"0")+IFERROR(X323/H323,"0")+IFERROR(X324/H324,"0")</f>
        <v>9.8039215686274517</v>
      </c>
      <c r="Y325" s="543">
        <f>IFERROR(Y321/H321,"0")+IFERROR(Y322/H322,"0")+IFERROR(Y323/H323,"0")+IFERROR(Y324/H324,"0")</f>
        <v>10</v>
      </c>
      <c r="Z325" s="543">
        <f>IFERROR(IF(Z321="",0,Z321),"0")+IFERROR(IF(Z322="",0,Z322),"0")+IFERROR(IF(Z323="",0,Z323),"0")+IFERROR(IF(Z324="",0,Z324),"0")</f>
        <v>6.5100000000000005E-2</v>
      </c>
      <c r="AA325" s="544"/>
      <c r="AB325" s="544"/>
      <c r="AC325" s="544"/>
    </row>
    <row r="326" spans="1:68" x14ac:dyDescent="0.2">
      <c r="A326" s="556"/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7"/>
      <c r="P326" s="549" t="s">
        <v>71</v>
      </c>
      <c r="Q326" s="550"/>
      <c r="R326" s="550"/>
      <c r="S326" s="550"/>
      <c r="T326" s="550"/>
      <c r="U326" s="550"/>
      <c r="V326" s="551"/>
      <c r="W326" s="37" t="s">
        <v>69</v>
      </c>
      <c r="X326" s="543">
        <f>IFERROR(SUM(X321:X324),"0")</f>
        <v>25</v>
      </c>
      <c r="Y326" s="543">
        <f>IFERROR(SUM(Y321:Y324),"0")</f>
        <v>25.5</v>
      </c>
      <c r="Z326" s="37"/>
      <c r="AA326" s="544"/>
      <c r="AB326" s="544"/>
      <c r="AC326" s="544"/>
    </row>
    <row r="327" spans="1:68" ht="14.25" customHeight="1" x14ac:dyDescent="0.25">
      <c r="A327" s="562" t="s">
        <v>517</v>
      </c>
      <c r="B327" s="556"/>
      <c r="C327" s="556"/>
      <c r="D327" s="556"/>
      <c r="E327" s="556"/>
      <c r="F327" s="556"/>
      <c r="G327" s="556"/>
      <c r="H327" s="556"/>
      <c r="I327" s="556"/>
      <c r="J327" s="556"/>
      <c r="K327" s="556"/>
      <c r="L327" s="556"/>
      <c r="M327" s="556"/>
      <c r="N327" s="556"/>
      <c r="O327" s="556"/>
      <c r="P327" s="556"/>
      <c r="Q327" s="556"/>
      <c r="R327" s="556"/>
      <c r="S327" s="556"/>
      <c r="T327" s="556"/>
      <c r="U327" s="556"/>
      <c r="V327" s="556"/>
      <c r="W327" s="556"/>
      <c r="X327" s="556"/>
      <c r="Y327" s="556"/>
      <c r="Z327" s="556"/>
      <c r="AA327" s="535"/>
      <c r="AB327" s="535"/>
      <c r="AC327" s="535"/>
    </row>
    <row r="328" spans="1:68" ht="16.5" customHeight="1" x14ac:dyDescent="0.25">
      <c r="A328" s="54" t="s">
        <v>518</v>
      </c>
      <c r="B328" s="54" t="s">
        <v>519</v>
      </c>
      <c r="C328" s="31">
        <v>4301180007</v>
      </c>
      <c r="D328" s="547">
        <v>4680115881808</v>
      </c>
      <c r="E328" s="548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84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4301180006</v>
      </c>
      <c r="D329" s="547">
        <v>4680115881822</v>
      </c>
      <c r="E329" s="548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8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3"/>
      <c r="R329" s="553"/>
      <c r="S329" s="553"/>
      <c r="T329" s="554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4301180001</v>
      </c>
      <c r="D330" s="547">
        <v>4680115880016</v>
      </c>
      <c r="E330" s="548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3"/>
      <c r="R330" s="553"/>
      <c r="S330" s="553"/>
      <c r="T330" s="554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5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7"/>
      <c r="P331" s="549" t="s">
        <v>71</v>
      </c>
      <c r="Q331" s="550"/>
      <c r="R331" s="550"/>
      <c r="S331" s="550"/>
      <c r="T331" s="550"/>
      <c r="U331" s="550"/>
      <c r="V331" s="55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6"/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7"/>
      <c r="P332" s="549" t="s">
        <v>71</v>
      </c>
      <c r="Q332" s="550"/>
      <c r="R332" s="550"/>
      <c r="S332" s="550"/>
      <c r="T332" s="550"/>
      <c r="U332" s="550"/>
      <c r="V332" s="55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71" t="s">
        <v>526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6"/>
      <c r="AB333" s="536"/>
      <c r="AC333" s="536"/>
    </row>
    <row r="334" spans="1:68" ht="14.25" customHeight="1" x14ac:dyDescent="0.25">
      <c r="A334" s="562" t="s">
        <v>73</v>
      </c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56"/>
      <c r="P334" s="556"/>
      <c r="Q334" s="556"/>
      <c r="R334" s="556"/>
      <c r="S334" s="556"/>
      <c r="T334" s="556"/>
      <c r="U334" s="556"/>
      <c r="V334" s="556"/>
      <c r="W334" s="556"/>
      <c r="X334" s="556"/>
      <c r="Y334" s="556"/>
      <c r="Z334" s="556"/>
      <c r="AA334" s="535"/>
      <c r="AB334" s="535"/>
      <c r="AC334" s="535"/>
    </row>
    <row r="335" spans="1:68" ht="27" customHeight="1" x14ac:dyDescent="0.25">
      <c r="A335" s="54" t="s">
        <v>527</v>
      </c>
      <c r="B335" s="54" t="s">
        <v>528</v>
      </c>
      <c r="C335" s="31">
        <v>4301051489</v>
      </c>
      <c r="D335" s="547">
        <v>4607091387919</v>
      </c>
      <c r="E335" s="548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67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3"/>
      <c r="R335" s="553"/>
      <c r="S335" s="553"/>
      <c r="T335" s="554"/>
      <c r="U335" s="34"/>
      <c r="V335" s="34"/>
      <c r="W335" s="35" t="s">
        <v>69</v>
      </c>
      <c r="X335" s="541">
        <v>350</v>
      </c>
      <c r="Y335" s="542">
        <f>IFERROR(IF(X335="",0,CEILING((X335/$H335),1)*$H335),"")</f>
        <v>356.4</v>
      </c>
      <c r="Z335" s="36">
        <f>IFERROR(IF(Y335=0,"",ROUNDUP(Y335/H335,0)*0.01898),"")</f>
        <v>0.83511999999999997</v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371.34567901234567</v>
      </c>
      <c r="BN335" s="64">
        <f>IFERROR(Y335*I335/H335,"0")</f>
        <v>378.13599999999997</v>
      </c>
      <c r="BO335" s="64">
        <f>IFERROR(1/J335*(X335/H335),"0")</f>
        <v>0.67515432098765438</v>
      </c>
      <c r="BP335" s="64">
        <f>IFERROR(1/J335*(Y335/H335),"0")</f>
        <v>0.6875</v>
      </c>
    </row>
    <row r="336" spans="1:68" ht="27" customHeight="1" x14ac:dyDescent="0.25">
      <c r="A336" s="54" t="s">
        <v>530</v>
      </c>
      <c r="B336" s="54" t="s">
        <v>531</v>
      </c>
      <c r="C336" s="31">
        <v>4301051461</v>
      </c>
      <c r="D336" s="547">
        <v>4680115883604</v>
      </c>
      <c r="E336" s="548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6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69</v>
      </c>
      <c r="X336" s="541">
        <v>140</v>
      </c>
      <c r="Y336" s="542">
        <f>IFERROR(IF(X336="",0,CEILING((X336/$H336),1)*$H336),"")</f>
        <v>140.70000000000002</v>
      </c>
      <c r="Z336" s="36">
        <f>IFERROR(IF(Y336=0,"",ROUNDUP(Y336/H336,0)*0.00651),"")</f>
        <v>0.43617</v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156.79999999999998</v>
      </c>
      <c r="BN336" s="64">
        <f>IFERROR(Y336*I336/H336,"0")</f>
        <v>157.584</v>
      </c>
      <c r="BO336" s="64">
        <f>IFERROR(1/J336*(X336/H336),"0")</f>
        <v>0.36630036630036628</v>
      </c>
      <c r="BP336" s="64">
        <f>IFERROR(1/J336*(Y336/H336),"0")</f>
        <v>0.36813186813186816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7">
        <v>4680115883567</v>
      </c>
      <c r="E337" s="548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8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3"/>
      <c r="R337" s="553"/>
      <c r="S337" s="553"/>
      <c r="T337" s="554"/>
      <c r="U337" s="34"/>
      <c r="V337" s="34"/>
      <c r="W337" s="35" t="s">
        <v>69</v>
      </c>
      <c r="X337" s="541">
        <v>52</v>
      </c>
      <c r="Y337" s="542">
        <f>IFERROR(IF(X337="",0,CEILING((X337/$H337),1)*$H337),"")</f>
        <v>52.5</v>
      </c>
      <c r="Z337" s="36">
        <f>IFERROR(IF(Y337=0,"",ROUNDUP(Y337/H337,0)*0.00651),"")</f>
        <v>0.16275000000000001</v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57.942857142857136</v>
      </c>
      <c r="BN337" s="64">
        <f>IFERROR(Y337*I337/H337,"0")</f>
        <v>58.499999999999993</v>
      </c>
      <c r="BO337" s="64">
        <f>IFERROR(1/J337*(X337/H337),"0")</f>
        <v>0.13605442176870747</v>
      </c>
      <c r="BP337" s="64">
        <f>IFERROR(1/J337*(Y337/H337),"0")</f>
        <v>0.13736263736263737</v>
      </c>
    </row>
    <row r="338" spans="1:68" x14ac:dyDescent="0.2">
      <c r="A338" s="555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7"/>
      <c r="P338" s="549" t="s">
        <v>71</v>
      </c>
      <c r="Q338" s="550"/>
      <c r="R338" s="550"/>
      <c r="S338" s="550"/>
      <c r="T338" s="550"/>
      <c r="U338" s="550"/>
      <c r="V338" s="551"/>
      <c r="W338" s="37" t="s">
        <v>72</v>
      </c>
      <c r="X338" s="543">
        <f>IFERROR(X335/H335,"0")+IFERROR(X336/H336,"0")+IFERROR(X337/H337,"0")</f>
        <v>134.63844797178129</v>
      </c>
      <c r="Y338" s="543">
        <f>IFERROR(Y335/H335,"0")+IFERROR(Y336/H336,"0")+IFERROR(Y337/H337,"0")</f>
        <v>136</v>
      </c>
      <c r="Z338" s="543">
        <f>IFERROR(IF(Z335="",0,Z335),"0")+IFERROR(IF(Z336="",0,Z336),"0")+IFERROR(IF(Z337="",0,Z337),"0")</f>
        <v>1.43404</v>
      </c>
      <c r="AA338" s="544"/>
      <c r="AB338" s="544"/>
      <c r="AC338" s="544"/>
    </row>
    <row r="339" spans="1:68" x14ac:dyDescent="0.2">
      <c r="A339" s="556"/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7"/>
      <c r="P339" s="549" t="s">
        <v>71</v>
      </c>
      <c r="Q339" s="550"/>
      <c r="R339" s="550"/>
      <c r="S339" s="550"/>
      <c r="T339" s="550"/>
      <c r="U339" s="550"/>
      <c r="V339" s="551"/>
      <c r="W339" s="37" t="s">
        <v>69</v>
      </c>
      <c r="X339" s="543">
        <f>IFERROR(SUM(X335:X337),"0")</f>
        <v>542</v>
      </c>
      <c r="Y339" s="543">
        <f>IFERROR(SUM(Y335:Y337),"0")</f>
        <v>549.6</v>
      </c>
      <c r="Z339" s="37"/>
      <c r="AA339" s="544"/>
      <c r="AB339" s="544"/>
      <c r="AC339" s="544"/>
    </row>
    <row r="340" spans="1:68" ht="27.75" customHeight="1" x14ac:dyDescent="0.2">
      <c r="A340" s="643" t="s">
        <v>536</v>
      </c>
      <c r="B340" s="644"/>
      <c r="C340" s="644"/>
      <c r="D340" s="644"/>
      <c r="E340" s="644"/>
      <c r="F340" s="644"/>
      <c r="G340" s="644"/>
      <c r="H340" s="644"/>
      <c r="I340" s="644"/>
      <c r="J340" s="644"/>
      <c r="K340" s="644"/>
      <c r="L340" s="644"/>
      <c r="M340" s="644"/>
      <c r="N340" s="644"/>
      <c r="O340" s="644"/>
      <c r="P340" s="644"/>
      <c r="Q340" s="644"/>
      <c r="R340" s="644"/>
      <c r="S340" s="644"/>
      <c r="T340" s="644"/>
      <c r="U340" s="644"/>
      <c r="V340" s="644"/>
      <c r="W340" s="644"/>
      <c r="X340" s="644"/>
      <c r="Y340" s="644"/>
      <c r="Z340" s="644"/>
      <c r="AA340" s="48"/>
      <c r="AB340" s="48"/>
      <c r="AC340" s="48"/>
    </row>
    <row r="341" spans="1:68" ht="16.5" customHeight="1" x14ac:dyDescent="0.25">
      <c r="A341" s="571" t="s">
        <v>537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6"/>
      <c r="AB341" s="536"/>
      <c r="AC341" s="536"/>
    </row>
    <row r="342" spans="1:68" ht="14.25" customHeight="1" x14ac:dyDescent="0.25">
      <c r="A342" s="562" t="s">
        <v>101</v>
      </c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56"/>
      <c r="P342" s="556"/>
      <c r="Q342" s="556"/>
      <c r="R342" s="556"/>
      <c r="S342" s="556"/>
      <c r="T342" s="556"/>
      <c r="U342" s="556"/>
      <c r="V342" s="556"/>
      <c r="W342" s="556"/>
      <c r="X342" s="556"/>
      <c r="Y342" s="556"/>
      <c r="Z342" s="556"/>
      <c r="AA342" s="535"/>
      <c r="AB342" s="535"/>
      <c r="AC342" s="535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7">
        <v>4680115884847</v>
      </c>
      <c r="E343" s="548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6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3"/>
      <c r="R343" s="553"/>
      <c r="S343" s="553"/>
      <c r="T343" s="554"/>
      <c r="U343" s="34"/>
      <c r="V343" s="34"/>
      <c r="W343" s="35" t="s">
        <v>69</v>
      </c>
      <c r="X343" s="541">
        <v>0</v>
      </c>
      <c r="Y343" s="542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7">
        <v>4680115884854</v>
      </c>
      <c r="E344" s="548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6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69</v>
      </c>
      <c r="X344" s="541">
        <v>0</v>
      </c>
      <c r="Y344" s="542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customHeight="1" x14ac:dyDescent="0.25">
      <c r="A345" s="54" t="s">
        <v>544</v>
      </c>
      <c r="B345" s="54" t="s">
        <v>545</v>
      </c>
      <c r="C345" s="31">
        <v>4301011867</v>
      </c>
      <c r="D345" s="547">
        <v>4680115884830</v>
      </c>
      <c r="E345" s="548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68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3"/>
      <c r="R345" s="553"/>
      <c r="S345" s="553"/>
      <c r="T345" s="554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4301012215</v>
      </c>
      <c r="D346" s="547">
        <v>4680115887046</v>
      </c>
      <c r="E346" s="548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696" t="s">
        <v>549</v>
      </c>
      <c r="Q346" s="553"/>
      <c r="R346" s="553"/>
      <c r="S346" s="553"/>
      <c r="T346" s="554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551</v>
      </c>
      <c r="B347" s="54" t="s">
        <v>552</v>
      </c>
      <c r="C347" s="31">
        <v>4301011433</v>
      </c>
      <c r="D347" s="547">
        <v>4680115882638</v>
      </c>
      <c r="E347" s="548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6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3"/>
      <c r="R347" s="553"/>
      <c r="S347" s="553"/>
      <c r="T347" s="554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554</v>
      </c>
      <c r="B348" s="54" t="s">
        <v>555</v>
      </c>
      <c r="C348" s="31">
        <v>4301011952</v>
      </c>
      <c r="D348" s="547">
        <v>4680115884922</v>
      </c>
      <c r="E348" s="548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65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3"/>
      <c r="R348" s="553"/>
      <c r="S348" s="553"/>
      <c r="T348" s="554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556</v>
      </c>
      <c r="B349" s="54" t="s">
        <v>557</v>
      </c>
      <c r="C349" s="31">
        <v>4301011868</v>
      </c>
      <c r="D349" s="547">
        <v>4680115884861</v>
      </c>
      <c r="E349" s="548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6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3"/>
      <c r="R349" s="553"/>
      <c r="S349" s="553"/>
      <c r="T349" s="554"/>
      <c r="U349" s="34"/>
      <c r="V349" s="34"/>
      <c r="W349" s="35" t="s">
        <v>69</v>
      </c>
      <c r="X349" s="541">
        <v>50</v>
      </c>
      <c r="Y349" s="542">
        <f t="shared" si="36"/>
        <v>50</v>
      </c>
      <c r="Z349" s="36">
        <f>IFERROR(IF(Y349=0,"",ROUNDUP(Y349/H349,0)*0.00902),"")</f>
        <v>9.0200000000000002E-2</v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51.9</v>
      </c>
      <c r="BN349" s="64">
        <f t="shared" si="38"/>
        <v>51.9</v>
      </c>
      <c r="BO349" s="64">
        <f t="shared" si="39"/>
        <v>7.575757575757576E-2</v>
      </c>
      <c r="BP349" s="64">
        <f t="shared" si="40"/>
        <v>7.575757575757576E-2</v>
      </c>
    </row>
    <row r="350" spans="1:68" x14ac:dyDescent="0.2">
      <c r="A350" s="555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57"/>
      <c r="P350" s="549" t="s">
        <v>71</v>
      </c>
      <c r="Q350" s="550"/>
      <c r="R350" s="550"/>
      <c r="S350" s="550"/>
      <c r="T350" s="550"/>
      <c r="U350" s="550"/>
      <c r="V350" s="55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10</v>
      </c>
      <c r="Y350" s="543">
        <f>IFERROR(Y343/H343,"0")+IFERROR(Y344/H344,"0")+IFERROR(Y345/H345,"0")+IFERROR(Y346/H346,"0")+IFERROR(Y347/H347,"0")+IFERROR(Y348/H348,"0")+IFERROR(Y349/H349,"0")</f>
        <v>10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9.0200000000000002E-2</v>
      </c>
      <c r="AA350" s="544"/>
      <c r="AB350" s="544"/>
      <c r="AC350" s="544"/>
    </row>
    <row r="351" spans="1:68" x14ac:dyDescent="0.2">
      <c r="A351" s="556"/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7"/>
      <c r="P351" s="549" t="s">
        <v>71</v>
      </c>
      <c r="Q351" s="550"/>
      <c r="R351" s="550"/>
      <c r="S351" s="550"/>
      <c r="T351" s="550"/>
      <c r="U351" s="550"/>
      <c r="V351" s="551"/>
      <c r="W351" s="37" t="s">
        <v>69</v>
      </c>
      <c r="X351" s="543">
        <f>IFERROR(SUM(X343:X349),"0")</f>
        <v>50</v>
      </c>
      <c r="Y351" s="543">
        <f>IFERROR(SUM(Y343:Y349),"0")</f>
        <v>50</v>
      </c>
      <c r="Z351" s="37"/>
      <c r="AA351" s="544"/>
      <c r="AB351" s="544"/>
      <c r="AC351" s="544"/>
    </row>
    <row r="352" spans="1:68" ht="14.25" customHeight="1" x14ac:dyDescent="0.25">
      <c r="A352" s="562" t="s">
        <v>136</v>
      </c>
      <c r="B352" s="556"/>
      <c r="C352" s="556"/>
      <c r="D352" s="556"/>
      <c r="E352" s="556"/>
      <c r="F352" s="556"/>
      <c r="G352" s="556"/>
      <c r="H352" s="556"/>
      <c r="I352" s="556"/>
      <c r="J352" s="556"/>
      <c r="K352" s="556"/>
      <c r="L352" s="556"/>
      <c r="M352" s="556"/>
      <c r="N352" s="556"/>
      <c r="O352" s="556"/>
      <c r="P352" s="556"/>
      <c r="Q352" s="556"/>
      <c r="R352" s="556"/>
      <c r="S352" s="556"/>
      <c r="T352" s="556"/>
      <c r="U352" s="556"/>
      <c r="V352" s="556"/>
      <c r="W352" s="556"/>
      <c r="X352" s="556"/>
      <c r="Y352" s="556"/>
      <c r="Z352" s="556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7">
        <v>4607091383980</v>
      </c>
      <c r="E353" s="548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77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3"/>
      <c r="R353" s="553"/>
      <c r="S353" s="553"/>
      <c r="T353" s="554"/>
      <c r="U353" s="34"/>
      <c r="V353" s="34"/>
      <c r="W353" s="35" t="s">
        <v>69</v>
      </c>
      <c r="X353" s="541">
        <v>4000</v>
      </c>
      <c r="Y353" s="542">
        <f>IFERROR(IF(X353="",0,CEILING((X353/$H353),1)*$H353),"")</f>
        <v>4005</v>
      </c>
      <c r="Z353" s="36">
        <f>IFERROR(IF(Y353=0,"",ROUNDUP(Y353/H353,0)*0.02175),"")</f>
        <v>5.8072499999999998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4125.333333333333</v>
      </c>
      <c r="BN353" s="64">
        <f>IFERROR(Y353*I353/H353,"0")</f>
        <v>4130.4900000000007</v>
      </c>
      <c r="BO353" s="64">
        <f>IFERROR(1/J353*(X353/H353),"0")</f>
        <v>5.5555555555555554</v>
      </c>
      <c r="BP353" s="64">
        <f>IFERROR(1/J353*(Y353/H353),"0")</f>
        <v>5.5625</v>
      </c>
    </row>
    <row r="354" spans="1:68" ht="16.5" customHeight="1" x14ac:dyDescent="0.25">
      <c r="A354" s="54" t="s">
        <v>561</v>
      </c>
      <c r="B354" s="54" t="s">
        <v>562</v>
      </c>
      <c r="C354" s="31">
        <v>4301020179</v>
      </c>
      <c r="D354" s="547">
        <v>4607091384178</v>
      </c>
      <c r="E354" s="548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6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3"/>
      <c r="R354" s="553"/>
      <c r="S354" s="553"/>
      <c r="T354" s="554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5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7"/>
      <c r="P355" s="549" t="s">
        <v>71</v>
      </c>
      <c r="Q355" s="550"/>
      <c r="R355" s="550"/>
      <c r="S355" s="550"/>
      <c r="T355" s="550"/>
      <c r="U355" s="550"/>
      <c r="V355" s="551"/>
      <c r="W355" s="37" t="s">
        <v>72</v>
      </c>
      <c r="X355" s="543">
        <f>IFERROR(X353/H353,"0")+IFERROR(X354/H354,"0")</f>
        <v>266.66666666666669</v>
      </c>
      <c r="Y355" s="543">
        <f>IFERROR(Y353/H353,"0")+IFERROR(Y354/H354,"0")</f>
        <v>267</v>
      </c>
      <c r="Z355" s="543">
        <f>IFERROR(IF(Z353="",0,Z353),"0")+IFERROR(IF(Z354="",0,Z354),"0")</f>
        <v>5.8072499999999998</v>
      </c>
      <c r="AA355" s="544"/>
      <c r="AB355" s="544"/>
      <c r="AC355" s="544"/>
    </row>
    <row r="356" spans="1:68" x14ac:dyDescent="0.2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7"/>
      <c r="P356" s="549" t="s">
        <v>71</v>
      </c>
      <c r="Q356" s="550"/>
      <c r="R356" s="550"/>
      <c r="S356" s="550"/>
      <c r="T356" s="550"/>
      <c r="U356" s="550"/>
      <c r="V356" s="551"/>
      <c r="W356" s="37" t="s">
        <v>69</v>
      </c>
      <c r="X356" s="543">
        <f>IFERROR(SUM(X353:X354),"0")</f>
        <v>4000</v>
      </c>
      <c r="Y356" s="543">
        <f>IFERROR(SUM(Y353:Y354),"0")</f>
        <v>4005</v>
      </c>
      <c r="Z356" s="37"/>
      <c r="AA356" s="544"/>
      <c r="AB356" s="544"/>
      <c r="AC356" s="544"/>
    </row>
    <row r="357" spans="1:68" ht="14.25" customHeight="1" x14ac:dyDescent="0.25">
      <c r="A357" s="562" t="s">
        <v>73</v>
      </c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35"/>
      <c r="AB357" s="535"/>
      <c r="AC357" s="535"/>
    </row>
    <row r="358" spans="1:68" ht="27" customHeight="1" x14ac:dyDescent="0.25">
      <c r="A358" s="54" t="s">
        <v>563</v>
      </c>
      <c r="B358" s="54" t="s">
        <v>564</v>
      </c>
      <c r="C358" s="31">
        <v>4301051903</v>
      </c>
      <c r="D358" s="547">
        <v>4607091383928</v>
      </c>
      <c r="E358" s="548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7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69</v>
      </c>
      <c r="X358" s="541">
        <v>700</v>
      </c>
      <c r="Y358" s="542">
        <f>IFERROR(IF(X358="",0,CEILING((X358/$H358),1)*$H358),"")</f>
        <v>702</v>
      </c>
      <c r="Z358" s="36">
        <f>IFERROR(IF(Y358=0,"",ROUNDUP(Y358/H358,0)*0.01898),"")</f>
        <v>1.48044</v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738.88888888888891</v>
      </c>
      <c r="BN358" s="64">
        <f>IFERROR(Y358*I358/H358,"0")</f>
        <v>741</v>
      </c>
      <c r="BO358" s="64">
        <f>IFERROR(1/J358*(X358/H358),"0")</f>
        <v>1.2152777777777777</v>
      </c>
      <c r="BP358" s="64">
        <f>IFERROR(1/J358*(Y358/H358),"0")</f>
        <v>1.21875</v>
      </c>
    </row>
    <row r="359" spans="1:68" ht="27" customHeight="1" x14ac:dyDescent="0.25">
      <c r="A359" s="54" t="s">
        <v>566</v>
      </c>
      <c r="B359" s="54" t="s">
        <v>567</v>
      </c>
      <c r="C359" s="31">
        <v>4301051897</v>
      </c>
      <c r="D359" s="547">
        <v>4607091384260</v>
      </c>
      <c r="E359" s="548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69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3"/>
      <c r="R359" s="553"/>
      <c r="S359" s="553"/>
      <c r="T359" s="554"/>
      <c r="U359" s="34"/>
      <c r="V359" s="34"/>
      <c r="W359" s="35" t="s">
        <v>69</v>
      </c>
      <c r="X359" s="541">
        <v>45</v>
      </c>
      <c r="Y359" s="542">
        <f>IFERROR(IF(X359="",0,CEILING((X359/$H359),1)*$H359),"")</f>
        <v>45</v>
      </c>
      <c r="Z359" s="36">
        <f>IFERROR(IF(Y359=0,"",ROUNDUP(Y359/H359,0)*0.01898),"")</f>
        <v>9.4899999999999998E-2</v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47.47</v>
      </c>
      <c r="BN359" s="64">
        <f>IFERROR(Y359*I359/H359,"0")</f>
        <v>47.47</v>
      </c>
      <c r="BO359" s="64">
        <f>IFERROR(1/J359*(X359/H359),"0")</f>
        <v>7.8125E-2</v>
      </c>
      <c r="BP359" s="64">
        <f>IFERROR(1/J359*(Y359/H359),"0")</f>
        <v>7.8125E-2</v>
      </c>
    </row>
    <row r="360" spans="1:68" x14ac:dyDescent="0.2">
      <c r="A360" s="555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7"/>
      <c r="P360" s="549" t="s">
        <v>71</v>
      </c>
      <c r="Q360" s="550"/>
      <c r="R360" s="550"/>
      <c r="S360" s="550"/>
      <c r="T360" s="550"/>
      <c r="U360" s="550"/>
      <c r="V360" s="551"/>
      <c r="W360" s="37" t="s">
        <v>72</v>
      </c>
      <c r="X360" s="543">
        <f>IFERROR(X358/H358,"0")+IFERROR(X359/H359,"0")</f>
        <v>82.777777777777771</v>
      </c>
      <c r="Y360" s="543">
        <f>IFERROR(Y358/H358,"0")+IFERROR(Y359/H359,"0")</f>
        <v>83</v>
      </c>
      <c r="Z360" s="543">
        <f>IFERROR(IF(Z358="",0,Z358),"0")+IFERROR(IF(Z359="",0,Z359),"0")</f>
        <v>1.57534</v>
      </c>
      <c r="AA360" s="544"/>
      <c r="AB360" s="544"/>
      <c r="AC360" s="544"/>
    </row>
    <row r="361" spans="1:68" x14ac:dyDescent="0.2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7"/>
      <c r="P361" s="549" t="s">
        <v>71</v>
      </c>
      <c r="Q361" s="550"/>
      <c r="R361" s="550"/>
      <c r="S361" s="550"/>
      <c r="T361" s="550"/>
      <c r="U361" s="550"/>
      <c r="V361" s="551"/>
      <c r="W361" s="37" t="s">
        <v>69</v>
      </c>
      <c r="X361" s="543">
        <f>IFERROR(SUM(X358:X359),"0")</f>
        <v>745</v>
      </c>
      <c r="Y361" s="543">
        <f>IFERROR(SUM(Y358:Y359),"0")</f>
        <v>747</v>
      </c>
      <c r="Z361" s="37"/>
      <c r="AA361" s="544"/>
      <c r="AB361" s="544"/>
      <c r="AC361" s="544"/>
    </row>
    <row r="362" spans="1:68" ht="14.25" customHeight="1" x14ac:dyDescent="0.25">
      <c r="A362" s="562" t="s">
        <v>164</v>
      </c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35"/>
      <c r="AB362" s="535"/>
      <c r="AC362" s="535"/>
    </row>
    <row r="363" spans="1:68" ht="16.5" customHeight="1" x14ac:dyDescent="0.25">
      <c r="A363" s="54" t="s">
        <v>569</v>
      </c>
      <c r="B363" s="54" t="s">
        <v>570</v>
      </c>
      <c r="C363" s="31">
        <v>4301060524</v>
      </c>
      <c r="D363" s="547">
        <v>4607091384673</v>
      </c>
      <c r="E363" s="548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55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3"/>
      <c r="R363" s="553"/>
      <c r="S363" s="553"/>
      <c r="T363" s="554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5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57"/>
      <c r="P364" s="549" t="s">
        <v>71</v>
      </c>
      <c r="Q364" s="550"/>
      <c r="R364" s="550"/>
      <c r="S364" s="550"/>
      <c r="T364" s="550"/>
      <c r="U364" s="550"/>
      <c r="V364" s="55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7"/>
      <c r="P365" s="549" t="s">
        <v>71</v>
      </c>
      <c r="Q365" s="550"/>
      <c r="R365" s="550"/>
      <c r="S365" s="550"/>
      <c r="T365" s="550"/>
      <c r="U365" s="550"/>
      <c r="V365" s="55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71" t="s">
        <v>572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6"/>
      <c r="AB366" s="536"/>
      <c r="AC366" s="536"/>
    </row>
    <row r="367" spans="1:68" ht="14.25" customHeight="1" x14ac:dyDescent="0.25">
      <c r="A367" s="562" t="s">
        <v>101</v>
      </c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35"/>
      <c r="AB367" s="535"/>
      <c r="AC367" s="535"/>
    </row>
    <row r="368" spans="1:68" ht="37.5" customHeight="1" x14ac:dyDescent="0.25">
      <c r="A368" s="54" t="s">
        <v>573</v>
      </c>
      <c r="B368" s="54" t="s">
        <v>574</v>
      </c>
      <c r="C368" s="31">
        <v>4301011875</v>
      </c>
      <c r="D368" s="547">
        <v>4680115884885</v>
      </c>
      <c r="E368" s="548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58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3"/>
      <c r="R368" s="553"/>
      <c r="S368" s="553"/>
      <c r="T368" s="554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576</v>
      </c>
      <c r="B369" s="54" t="s">
        <v>577</v>
      </c>
      <c r="C369" s="31">
        <v>4301011871</v>
      </c>
      <c r="D369" s="547">
        <v>4680115884908</v>
      </c>
      <c r="E369" s="548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6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3"/>
      <c r="R369" s="553"/>
      <c r="S369" s="553"/>
      <c r="T369" s="554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5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7"/>
      <c r="P370" s="549" t="s">
        <v>71</v>
      </c>
      <c r="Q370" s="550"/>
      <c r="R370" s="550"/>
      <c r="S370" s="550"/>
      <c r="T370" s="550"/>
      <c r="U370" s="550"/>
      <c r="V370" s="55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6"/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7"/>
      <c r="P371" s="549" t="s">
        <v>71</v>
      </c>
      <c r="Q371" s="550"/>
      <c r="R371" s="550"/>
      <c r="S371" s="550"/>
      <c r="T371" s="550"/>
      <c r="U371" s="550"/>
      <c r="V371" s="55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62" t="s">
        <v>64</v>
      </c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35"/>
      <c r="AB372" s="535"/>
      <c r="AC372" s="535"/>
    </row>
    <row r="373" spans="1:68" ht="27" customHeight="1" x14ac:dyDescent="0.25">
      <c r="A373" s="54" t="s">
        <v>578</v>
      </c>
      <c r="B373" s="54" t="s">
        <v>579</v>
      </c>
      <c r="C373" s="31">
        <v>4301031303</v>
      </c>
      <c r="D373" s="547">
        <v>4607091384802</v>
      </c>
      <c r="E373" s="548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5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3"/>
      <c r="R373" s="553"/>
      <c r="S373" s="553"/>
      <c r="T373" s="554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578</v>
      </c>
      <c r="B374" s="54" t="s">
        <v>581</v>
      </c>
      <c r="C374" s="31">
        <v>4301031457</v>
      </c>
      <c r="D374" s="547">
        <v>4607091384802</v>
      </c>
      <c r="E374" s="548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3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3"/>
      <c r="R374" s="553"/>
      <c r="S374" s="553"/>
      <c r="T374" s="554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5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7"/>
      <c r="P375" s="549" t="s">
        <v>71</v>
      </c>
      <c r="Q375" s="550"/>
      <c r="R375" s="550"/>
      <c r="S375" s="550"/>
      <c r="T375" s="550"/>
      <c r="U375" s="550"/>
      <c r="V375" s="55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7"/>
      <c r="P376" s="549" t="s">
        <v>71</v>
      </c>
      <c r="Q376" s="550"/>
      <c r="R376" s="550"/>
      <c r="S376" s="550"/>
      <c r="T376" s="550"/>
      <c r="U376" s="550"/>
      <c r="V376" s="55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62" t="s">
        <v>73</v>
      </c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35"/>
      <c r="AB377" s="535"/>
      <c r="AC377" s="535"/>
    </row>
    <row r="378" spans="1:68" ht="27" customHeight="1" x14ac:dyDescent="0.25">
      <c r="A378" s="54" t="s">
        <v>583</v>
      </c>
      <c r="B378" s="54" t="s">
        <v>584</v>
      </c>
      <c r="C378" s="31">
        <v>4301051899</v>
      </c>
      <c r="D378" s="547">
        <v>4607091384246</v>
      </c>
      <c r="E378" s="548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3"/>
      <c r="R378" s="553"/>
      <c r="S378" s="553"/>
      <c r="T378" s="554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586</v>
      </c>
      <c r="B379" s="54" t="s">
        <v>587</v>
      </c>
      <c r="C379" s="31">
        <v>4301051660</v>
      </c>
      <c r="D379" s="547">
        <v>4607091384253</v>
      </c>
      <c r="E379" s="548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83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3"/>
      <c r="R379" s="553"/>
      <c r="S379" s="553"/>
      <c r="T379" s="554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5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7"/>
      <c r="P380" s="549" t="s">
        <v>71</v>
      </c>
      <c r="Q380" s="550"/>
      <c r="R380" s="550"/>
      <c r="S380" s="550"/>
      <c r="T380" s="550"/>
      <c r="U380" s="550"/>
      <c r="V380" s="551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7"/>
      <c r="P381" s="549" t="s">
        <v>71</v>
      </c>
      <c r="Q381" s="550"/>
      <c r="R381" s="550"/>
      <c r="S381" s="550"/>
      <c r="T381" s="550"/>
      <c r="U381" s="550"/>
      <c r="V381" s="551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43" t="s">
        <v>588</v>
      </c>
      <c r="B382" s="644"/>
      <c r="C382" s="644"/>
      <c r="D382" s="644"/>
      <c r="E382" s="644"/>
      <c r="F382" s="644"/>
      <c r="G382" s="644"/>
      <c r="H382" s="644"/>
      <c r="I382" s="644"/>
      <c r="J382" s="644"/>
      <c r="K382" s="644"/>
      <c r="L382" s="644"/>
      <c r="M382" s="644"/>
      <c r="N382" s="644"/>
      <c r="O382" s="644"/>
      <c r="P382" s="644"/>
      <c r="Q382" s="644"/>
      <c r="R382" s="644"/>
      <c r="S382" s="644"/>
      <c r="T382" s="644"/>
      <c r="U382" s="644"/>
      <c r="V382" s="644"/>
      <c r="W382" s="644"/>
      <c r="X382" s="644"/>
      <c r="Y382" s="644"/>
      <c r="Z382" s="644"/>
      <c r="AA382" s="48"/>
      <c r="AB382" s="48"/>
      <c r="AC382" s="48"/>
    </row>
    <row r="383" spans="1:68" ht="16.5" customHeight="1" x14ac:dyDescent="0.25">
      <c r="A383" s="571" t="s">
        <v>589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6"/>
      <c r="AB383" s="536"/>
      <c r="AC383" s="536"/>
    </row>
    <row r="384" spans="1:68" ht="14.25" customHeight="1" x14ac:dyDescent="0.25">
      <c r="A384" s="562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5"/>
      <c r="AB384" s="535"/>
      <c r="AC384" s="535"/>
    </row>
    <row r="385" spans="1:68" ht="27" customHeight="1" x14ac:dyDescent="0.25">
      <c r="A385" s="54" t="s">
        <v>590</v>
      </c>
      <c r="B385" s="54" t="s">
        <v>591</v>
      </c>
      <c r="C385" s="31">
        <v>4301031405</v>
      </c>
      <c r="D385" s="547">
        <v>4680115886100</v>
      </c>
      <c r="E385" s="548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4301031406</v>
      </c>
      <c r="D386" s="547">
        <v>4680115886117</v>
      </c>
      <c r="E386" s="548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85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4301031402</v>
      </c>
      <c r="D387" s="547">
        <v>4680115886124</v>
      </c>
      <c r="E387" s="548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4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4301031366</v>
      </c>
      <c r="D388" s="547">
        <v>4680115883147</v>
      </c>
      <c r="E388" s="548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601</v>
      </c>
      <c r="B389" s="54" t="s">
        <v>602</v>
      </c>
      <c r="C389" s="31">
        <v>4301031362</v>
      </c>
      <c r="D389" s="547">
        <v>4607091384338</v>
      </c>
      <c r="E389" s="548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603</v>
      </c>
      <c r="B390" s="54" t="s">
        <v>604</v>
      </c>
      <c r="C390" s="31">
        <v>4301031361</v>
      </c>
      <c r="D390" s="547">
        <v>4607091389524</v>
      </c>
      <c r="E390" s="548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4301031364</v>
      </c>
      <c r="D391" s="547">
        <v>4680115883161</v>
      </c>
      <c r="E391" s="548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4301031358</v>
      </c>
      <c r="D392" s="547">
        <v>4607091389531</v>
      </c>
      <c r="E392" s="548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612</v>
      </c>
      <c r="B393" s="54" t="s">
        <v>613</v>
      </c>
      <c r="C393" s="31">
        <v>4301031360</v>
      </c>
      <c r="D393" s="547">
        <v>4607091384345</v>
      </c>
      <c r="E393" s="548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1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5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57"/>
      <c r="P394" s="549" t="s">
        <v>71</v>
      </c>
      <c r="Q394" s="550"/>
      <c r="R394" s="550"/>
      <c r="S394" s="550"/>
      <c r="T394" s="550"/>
      <c r="U394" s="550"/>
      <c r="V394" s="55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57"/>
      <c r="P395" s="549" t="s">
        <v>71</v>
      </c>
      <c r="Q395" s="550"/>
      <c r="R395" s="550"/>
      <c r="S395" s="550"/>
      <c r="T395" s="550"/>
      <c r="U395" s="550"/>
      <c r="V395" s="55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62" t="s">
        <v>73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5"/>
      <c r="AB396" s="535"/>
      <c r="AC396" s="535"/>
    </row>
    <row r="397" spans="1:68" ht="27" customHeight="1" x14ac:dyDescent="0.25">
      <c r="A397" s="54" t="s">
        <v>614</v>
      </c>
      <c r="B397" s="54" t="s">
        <v>615</v>
      </c>
      <c r="C397" s="31">
        <v>4301051284</v>
      </c>
      <c r="D397" s="547">
        <v>4607091384352</v>
      </c>
      <c r="E397" s="548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75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617</v>
      </c>
      <c r="B398" s="54" t="s">
        <v>618</v>
      </c>
      <c r="C398" s="31">
        <v>4301051431</v>
      </c>
      <c r="D398" s="547">
        <v>4607091389654</v>
      </c>
      <c r="E398" s="548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66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5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57"/>
      <c r="P399" s="549" t="s">
        <v>71</v>
      </c>
      <c r="Q399" s="550"/>
      <c r="R399" s="550"/>
      <c r="S399" s="550"/>
      <c r="T399" s="550"/>
      <c r="U399" s="550"/>
      <c r="V399" s="55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7"/>
      <c r="P400" s="549" t="s">
        <v>71</v>
      </c>
      <c r="Q400" s="550"/>
      <c r="R400" s="550"/>
      <c r="S400" s="550"/>
      <c r="T400" s="550"/>
      <c r="U400" s="550"/>
      <c r="V400" s="55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71" t="s">
        <v>620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6"/>
      <c r="AB401" s="536"/>
      <c r="AC401" s="536"/>
    </row>
    <row r="402" spans="1:68" ht="14.25" customHeight="1" x14ac:dyDescent="0.25">
      <c r="A402" s="562" t="s">
        <v>136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5"/>
      <c r="AB402" s="535"/>
      <c r="AC402" s="535"/>
    </row>
    <row r="403" spans="1:68" ht="27" customHeight="1" x14ac:dyDescent="0.25">
      <c r="A403" s="54" t="s">
        <v>621</v>
      </c>
      <c r="B403" s="54" t="s">
        <v>622</v>
      </c>
      <c r="C403" s="31">
        <v>4301020319</v>
      </c>
      <c r="D403" s="547">
        <v>4680115885240</v>
      </c>
      <c r="E403" s="548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7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5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57"/>
      <c r="P404" s="549" t="s">
        <v>71</v>
      </c>
      <c r="Q404" s="550"/>
      <c r="R404" s="550"/>
      <c r="S404" s="550"/>
      <c r="T404" s="550"/>
      <c r="U404" s="550"/>
      <c r="V404" s="55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7"/>
      <c r="P405" s="549" t="s">
        <v>71</v>
      </c>
      <c r="Q405" s="550"/>
      <c r="R405" s="550"/>
      <c r="S405" s="550"/>
      <c r="T405" s="550"/>
      <c r="U405" s="550"/>
      <c r="V405" s="55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62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5"/>
      <c r="AB406" s="535"/>
      <c r="AC406" s="535"/>
    </row>
    <row r="407" spans="1:68" ht="27" customHeight="1" x14ac:dyDescent="0.25">
      <c r="A407" s="54" t="s">
        <v>624</v>
      </c>
      <c r="B407" s="54" t="s">
        <v>625</v>
      </c>
      <c r="C407" s="31">
        <v>4301031403</v>
      </c>
      <c r="D407" s="547">
        <v>4680115886094</v>
      </c>
      <c r="E407" s="548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8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4301031363</v>
      </c>
      <c r="D408" s="547">
        <v>4607091389425</v>
      </c>
      <c r="E408" s="548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62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4301031373</v>
      </c>
      <c r="D409" s="547">
        <v>4680115880771</v>
      </c>
      <c r="E409" s="548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9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633</v>
      </c>
      <c r="B410" s="54" t="s">
        <v>634</v>
      </c>
      <c r="C410" s="31">
        <v>4301031359</v>
      </c>
      <c r="D410" s="547">
        <v>4607091389500</v>
      </c>
      <c r="E410" s="548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5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5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57"/>
      <c r="P411" s="549" t="s">
        <v>71</v>
      </c>
      <c r="Q411" s="550"/>
      <c r="R411" s="550"/>
      <c r="S411" s="550"/>
      <c r="T411" s="550"/>
      <c r="U411" s="550"/>
      <c r="V411" s="55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7"/>
      <c r="P412" s="549" t="s">
        <v>71</v>
      </c>
      <c r="Q412" s="550"/>
      <c r="R412" s="550"/>
      <c r="S412" s="550"/>
      <c r="T412" s="550"/>
      <c r="U412" s="550"/>
      <c r="V412" s="55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71" t="s">
        <v>635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6"/>
      <c r="AB413" s="536"/>
      <c r="AC413" s="536"/>
    </row>
    <row r="414" spans="1:68" ht="14.25" customHeight="1" x14ac:dyDescent="0.25">
      <c r="A414" s="562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5"/>
      <c r="AB414" s="535"/>
      <c r="AC414" s="535"/>
    </row>
    <row r="415" spans="1:68" ht="27" customHeight="1" x14ac:dyDescent="0.25">
      <c r="A415" s="54" t="s">
        <v>636</v>
      </c>
      <c r="B415" s="54" t="s">
        <v>637</v>
      </c>
      <c r="C415" s="31">
        <v>4301031347</v>
      </c>
      <c r="D415" s="547">
        <v>4680115885110</v>
      </c>
      <c r="E415" s="548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6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5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57"/>
      <c r="P416" s="549" t="s">
        <v>71</v>
      </c>
      <c r="Q416" s="550"/>
      <c r="R416" s="550"/>
      <c r="S416" s="550"/>
      <c r="T416" s="550"/>
      <c r="U416" s="550"/>
      <c r="V416" s="55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7"/>
      <c r="P417" s="549" t="s">
        <v>71</v>
      </c>
      <c r="Q417" s="550"/>
      <c r="R417" s="550"/>
      <c r="S417" s="550"/>
      <c r="T417" s="550"/>
      <c r="U417" s="550"/>
      <c r="V417" s="55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43" t="s">
        <v>639</v>
      </c>
      <c r="B418" s="644"/>
      <c r="C418" s="644"/>
      <c r="D418" s="644"/>
      <c r="E418" s="644"/>
      <c r="F418" s="644"/>
      <c r="G418" s="644"/>
      <c r="H418" s="644"/>
      <c r="I418" s="644"/>
      <c r="J418" s="644"/>
      <c r="K418" s="644"/>
      <c r="L418" s="644"/>
      <c r="M418" s="644"/>
      <c r="N418" s="644"/>
      <c r="O418" s="644"/>
      <c r="P418" s="644"/>
      <c r="Q418" s="644"/>
      <c r="R418" s="644"/>
      <c r="S418" s="644"/>
      <c r="T418" s="644"/>
      <c r="U418" s="644"/>
      <c r="V418" s="644"/>
      <c r="W418" s="644"/>
      <c r="X418" s="644"/>
      <c r="Y418" s="644"/>
      <c r="Z418" s="644"/>
      <c r="AA418" s="48"/>
      <c r="AB418" s="48"/>
      <c r="AC418" s="48"/>
    </row>
    <row r="419" spans="1:68" ht="16.5" customHeight="1" x14ac:dyDescent="0.25">
      <c r="A419" s="571" t="s">
        <v>639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6"/>
      <c r="AB419" s="536"/>
      <c r="AC419" s="536"/>
    </row>
    <row r="420" spans="1:68" ht="14.25" customHeight="1" x14ac:dyDescent="0.25">
      <c r="A420" s="562" t="s">
        <v>101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5"/>
      <c r="AB420" s="535"/>
      <c r="AC420" s="535"/>
    </row>
    <row r="421" spans="1:68" ht="27" customHeight="1" x14ac:dyDescent="0.25">
      <c r="A421" s="54" t="s">
        <v>640</v>
      </c>
      <c r="B421" s="54" t="s">
        <v>641</v>
      </c>
      <c r="C421" s="31">
        <v>4301011795</v>
      </c>
      <c r="D421" s="547">
        <v>4607091389067</v>
      </c>
      <c r="E421" s="548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62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4301011961</v>
      </c>
      <c r="D422" s="547">
        <v>4680115885271</v>
      </c>
      <c r="E422" s="548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7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3"/>
      <c r="R422" s="553"/>
      <c r="S422" s="553"/>
      <c r="T422" s="554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645</v>
      </c>
      <c r="B423" s="54" t="s">
        <v>646</v>
      </c>
      <c r="C423" s="31">
        <v>4301011376</v>
      </c>
      <c r="D423" s="547">
        <v>4680115885226</v>
      </c>
      <c r="E423" s="548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7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3"/>
      <c r="R423" s="553"/>
      <c r="S423" s="553"/>
      <c r="T423" s="554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648</v>
      </c>
      <c r="B424" s="54" t="s">
        <v>649</v>
      </c>
      <c r="C424" s="31">
        <v>4301012145</v>
      </c>
      <c r="D424" s="547">
        <v>4607091383522</v>
      </c>
      <c r="E424" s="548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74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3"/>
      <c r="R424" s="553"/>
      <c r="S424" s="553"/>
      <c r="T424" s="554"/>
      <c r="U424" s="34"/>
      <c r="V424" s="34"/>
      <c r="W424" s="35" t="s">
        <v>69</v>
      </c>
      <c r="X424" s="541">
        <v>1100</v>
      </c>
      <c r="Y424" s="542">
        <f t="shared" si="47"/>
        <v>1103.52</v>
      </c>
      <c r="Z424" s="36">
        <f t="shared" si="48"/>
        <v>2.4996399999999999</v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1172.9166666666665</v>
      </c>
      <c r="BN424" s="64">
        <f t="shared" si="50"/>
        <v>1176.6699999999998</v>
      </c>
      <c r="BO424" s="64">
        <f t="shared" si="51"/>
        <v>2.0032051282051282</v>
      </c>
      <c r="BP424" s="64">
        <f t="shared" si="52"/>
        <v>2.0096153846153846</v>
      </c>
    </row>
    <row r="425" spans="1:68" ht="16.5" customHeight="1" x14ac:dyDescent="0.25">
      <c r="A425" s="54" t="s">
        <v>651</v>
      </c>
      <c r="B425" s="54" t="s">
        <v>652</v>
      </c>
      <c r="C425" s="31">
        <v>4301011774</v>
      </c>
      <c r="D425" s="547">
        <v>4680115884502</v>
      </c>
      <c r="E425" s="548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3"/>
      <c r="R425" s="553"/>
      <c r="S425" s="553"/>
      <c r="T425" s="554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654</v>
      </c>
      <c r="B426" s="54" t="s">
        <v>655</v>
      </c>
      <c r="C426" s="31">
        <v>4301011771</v>
      </c>
      <c r="D426" s="547">
        <v>4607091389104</v>
      </c>
      <c r="E426" s="548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81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3"/>
      <c r="R426" s="553"/>
      <c r="S426" s="553"/>
      <c r="T426" s="554"/>
      <c r="U426" s="34"/>
      <c r="V426" s="34"/>
      <c r="W426" s="35" t="s">
        <v>69</v>
      </c>
      <c r="X426" s="541">
        <v>550</v>
      </c>
      <c r="Y426" s="542">
        <f t="shared" si="47"/>
        <v>554.4</v>
      </c>
      <c r="Z426" s="36">
        <f t="shared" si="48"/>
        <v>1.2558</v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586.45833333333326</v>
      </c>
      <c r="BN426" s="64">
        <f t="shared" si="50"/>
        <v>591.15</v>
      </c>
      <c r="BO426" s="64">
        <f t="shared" si="51"/>
        <v>1.0016025641025641</v>
      </c>
      <c r="BP426" s="64">
        <f t="shared" si="52"/>
        <v>1.0096153846153846</v>
      </c>
    </row>
    <row r="427" spans="1:68" ht="27" customHeight="1" x14ac:dyDescent="0.25">
      <c r="A427" s="54" t="s">
        <v>657</v>
      </c>
      <c r="B427" s="54" t="s">
        <v>658</v>
      </c>
      <c r="C427" s="31">
        <v>4301012125</v>
      </c>
      <c r="D427" s="547">
        <v>4680115886391</v>
      </c>
      <c r="E427" s="548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76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3"/>
      <c r="R427" s="553"/>
      <c r="S427" s="553"/>
      <c r="T427" s="554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659</v>
      </c>
      <c r="B428" s="54" t="s">
        <v>660</v>
      </c>
      <c r="C428" s="31">
        <v>4301012035</v>
      </c>
      <c r="D428" s="547">
        <v>4680115880603</v>
      </c>
      <c r="E428" s="548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7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3"/>
      <c r="R428" s="553"/>
      <c r="S428" s="553"/>
      <c r="T428" s="554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4301012036</v>
      </c>
      <c r="D429" s="547">
        <v>4680115882782</v>
      </c>
      <c r="E429" s="548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79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3"/>
      <c r="R429" s="553"/>
      <c r="S429" s="553"/>
      <c r="T429" s="554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4301012050</v>
      </c>
      <c r="D430" s="547">
        <v>4680115885479</v>
      </c>
      <c r="E430" s="548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63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3"/>
      <c r="R430" s="553"/>
      <c r="S430" s="553"/>
      <c r="T430" s="554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666</v>
      </c>
      <c r="B431" s="54" t="s">
        <v>667</v>
      </c>
      <c r="C431" s="31">
        <v>4301012034</v>
      </c>
      <c r="D431" s="547">
        <v>4607091389982</v>
      </c>
      <c r="E431" s="548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7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3"/>
      <c r="R431" s="553"/>
      <c r="S431" s="553"/>
      <c r="T431" s="554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5"/>
      <c r="B432" s="556"/>
      <c r="C432" s="556"/>
      <c r="D432" s="556"/>
      <c r="E432" s="556"/>
      <c r="F432" s="556"/>
      <c r="G432" s="556"/>
      <c r="H432" s="556"/>
      <c r="I432" s="556"/>
      <c r="J432" s="556"/>
      <c r="K432" s="556"/>
      <c r="L432" s="556"/>
      <c r="M432" s="556"/>
      <c r="N432" s="556"/>
      <c r="O432" s="557"/>
      <c r="P432" s="549" t="s">
        <v>71</v>
      </c>
      <c r="Q432" s="550"/>
      <c r="R432" s="550"/>
      <c r="S432" s="550"/>
      <c r="T432" s="550"/>
      <c r="U432" s="550"/>
      <c r="V432" s="55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312.5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314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3.7554400000000001</v>
      </c>
      <c r="AA432" s="544"/>
      <c r="AB432" s="544"/>
      <c r="AC432" s="544"/>
    </row>
    <row r="433" spans="1:68" x14ac:dyDescent="0.2">
      <c r="A433" s="556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57"/>
      <c r="P433" s="549" t="s">
        <v>71</v>
      </c>
      <c r="Q433" s="550"/>
      <c r="R433" s="550"/>
      <c r="S433" s="550"/>
      <c r="T433" s="550"/>
      <c r="U433" s="550"/>
      <c r="V433" s="551"/>
      <c r="W433" s="37" t="s">
        <v>69</v>
      </c>
      <c r="X433" s="543">
        <f>IFERROR(SUM(X421:X431),"0")</f>
        <v>1650</v>
      </c>
      <c r="Y433" s="543">
        <f>IFERROR(SUM(Y421:Y431),"0")</f>
        <v>1657.92</v>
      </c>
      <c r="Z433" s="37"/>
      <c r="AA433" s="544"/>
      <c r="AB433" s="544"/>
      <c r="AC433" s="544"/>
    </row>
    <row r="434" spans="1:68" ht="14.25" customHeight="1" x14ac:dyDescent="0.25">
      <c r="A434" s="562" t="s">
        <v>136</v>
      </c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56"/>
      <c r="P434" s="556"/>
      <c r="Q434" s="556"/>
      <c r="R434" s="556"/>
      <c r="S434" s="556"/>
      <c r="T434" s="556"/>
      <c r="U434" s="556"/>
      <c r="V434" s="556"/>
      <c r="W434" s="556"/>
      <c r="X434" s="556"/>
      <c r="Y434" s="556"/>
      <c r="Z434" s="556"/>
      <c r="AA434" s="535"/>
      <c r="AB434" s="535"/>
      <c r="AC434" s="535"/>
    </row>
    <row r="435" spans="1:68" ht="16.5" customHeight="1" x14ac:dyDescent="0.25">
      <c r="A435" s="54" t="s">
        <v>668</v>
      </c>
      <c r="B435" s="54" t="s">
        <v>669</v>
      </c>
      <c r="C435" s="31">
        <v>4301020334</v>
      </c>
      <c r="D435" s="547">
        <v>4607091388930</v>
      </c>
      <c r="E435" s="548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5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3"/>
      <c r="R435" s="553"/>
      <c r="S435" s="553"/>
      <c r="T435" s="554"/>
      <c r="U435" s="34"/>
      <c r="V435" s="34"/>
      <c r="W435" s="35" t="s">
        <v>69</v>
      </c>
      <c r="X435" s="541">
        <v>1100</v>
      </c>
      <c r="Y435" s="542">
        <f>IFERROR(IF(X435="",0,CEILING((X435/$H435),1)*$H435),"")</f>
        <v>1103.52</v>
      </c>
      <c r="Z435" s="36">
        <f>IFERROR(IF(Y435=0,"",ROUNDUP(Y435/H435,0)*0.01196),"")</f>
        <v>2.4996399999999999</v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1172.9166666666665</v>
      </c>
      <c r="BN435" s="64">
        <f>IFERROR(Y435*I435/H435,"0")</f>
        <v>1176.6699999999998</v>
      </c>
      <c r="BO435" s="64">
        <f>IFERROR(1/J435*(X435/H435),"0")</f>
        <v>2.0032051282051282</v>
      </c>
      <c r="BP435" s="64">
        <f>IFERROR(1/J435*(Y435/H435),"0")</f>
        <v>2.0096153846153846</v>
      </c>
    </row>
    <row r="436" spans="1:68" ht="16.5" customHeight="1" x14ac:dyDescent="0.25">
      <c r="A436" s="54" t="s">
        <v>671</v>
      </c>
      <c r="B436" s="54" t="s">
        <v>672</v>
      </c>
      <c r="C436" s="31">
        <v>4301020384</v>
      </c>
      <c r="D436" s="547">
        <v>4680115886407</v>
      </c>
      <c r="E436" s="548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0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3"/>
      <c r="R436" s="553"/>
      <c r="S436" s="553"/>
      <c r="T436" s="554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673</v>
      </c>
      <c r="B437" s="54" t="s">
        <v>674</v>
      </c>
      <c r="C437" s="31">
        <v>4301020385</v>
      </c>
      <c r="D437" s="547">
        <v>4680115880054</v>
      </c>
      <c r="E437" s="548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86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3"/>
      <c r="R437" s="553"/>
      <c r="S437" s="553"/>
      <c r="T437" s="554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5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57"/>
      <c r="P438" s="549" t="s">
        <v>71</v>
      </c>
      <c r="Q438" s="550"/>
      <c r="R438" s="550"/>
      <c r="S438" s="550"/>
      <c r="T438" s="550"/>
      <c r="U438" s="550"/>
      <c r="V438" s="551"/>
      <c r="W438" s="37" t="s">
        <v>72</v>
      </c>
      <c r="X438" s="543">
        <f>IFERROR(X435/H435,"0")+IFERROR(X436/H436,"0")+IFERROR(X437/H437,"0")</f>
        <v>208.33333333333331</v>
      </c>
      <c r="Y438" s="543">
        <f>IFERROR(Y435/H435,"0")+IFERROR(Y436/H436,"0")+IFERROR(Y437/H437,"0")</f>
        <v>209</v>
      </c>
      <c r="Z438" s="543">
        <f>IFERROR(IF(Z435="",0,Z435),"0")+IFERROR(IF(Z436="",0,Z436),"0")+IFERROR(IF(Z437="",0,Z437),"0")</f>
        <v>2.4996399999999999</v>
      </c>
      <c r="AA438" s="544"/>
      <c r="AB438" s="544"/>
      <c r="AC438" s="544"/>
    </row>
    <row r="439" spans="1:68" x14ac:dyDescent="0.2">
      <c r="A439" s="556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7"/>
      <c r="P439" s="549" t="s">
        <v>71</v>
      </c>
      <c r="Q439" s="550"/>
      <c r="R439" s="550"/>
      <c r="S439" s="550"/>
      <c r="T439" s="550"/>
      <c r="U439" s="550"/>
      <c r="V439" s="551"/>
      <c r="W439" s="37" t="s">
        <v>69</v>
      </c>
      <c r="X439" s="543">
        <f>IFERROR(SUM(X435:X437),"0")</f>
        <v>1100</v>
      </c>
      <c r="Y439" s="543">
        <f>IFERROR(SUM(Y435:Y437),"0")</f>
        <v>1103.52</v>
      </c>
      <c r="Z439" s="37"/>
      <c r="AA439" s="544"/>
      <c r="AB439" s="544"/>
      <c r="AC439" s="544"/>
    </row>
    <row r="440" spans="1:68" ht="14.25" customHeight="1" x14ac:dyDescent="0.25">
      <c r="A440" s="562" t="s">
        <v>64</v>
      </c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6"/>
      <c r="P440" s="556"/>
      <c r="Q440" s="556"/>
      <c r="R440" s="556"/>
      <c r="S440" s="556"/>
      <c r="T440" s="556"/>
      <c r="U440" s="556"/>
      <c r="V440" s="556"/>
      <c r="W440" s="556"/>
      <c r="X440" s="556"/>
      <c r="Y440" s="556"/>
      <c r="Z440" s="556"/>
      <c r="AA440" s="535"/>
      <c r="AB440" s="535"/>
      <c r="AC440" s="535"/>
    </row>
    <row r="441" spans="1:68" ht="27" customHeight="1" x14ac:dyDescent="0.25">
      <c r="A441" s="54" t="s">
        <v>675</v>
      </c>
      <c r="B441" s="54" t="s">
        <v>676</v>
      </c>
      <c r="C441" s="31">
        <v>4301031349</v>
      </c>
      <c r="D441" s="547">
        <v>4680115883116</v>
      </c>
      <c r="E441" s="548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3"/>
      <c r="R441" s="553"/>
      <c r="S441" s="553"/>
      <c r="T441" s="554"/>
      <c r="U441" s="34"/>
      <c r="V441" s="34"/>
      <c r="W441" s="35" t="s">
        <v>69</v>
      </c>
      <c r="X441" s="541">
        <v>200</v>
      </c>
      <c r="Y441" s="542">
        <f t="shared" ref="Y441:Y446" si="53">IFERROR(IF(X441="",0,CEILING((X441/$H441),1)*$H441),"")</f>
        <v>200.64000000000001</v>
      </c>
      <c r="Z441" s="36">
        <f>IFERROR(IF(Y441=0,"",ROUNDUP(Y441/H441,0)*0.01196),"")</f>
        <v>0.45448</v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213.25757575757575</v>
      </c>
      <c r="BN441" s="64">
        <f t="shared" ref="BN441:BN446" si="55">IFERROR(Y441*I441/H441,"0")</f>
        <v>213.94</v>
      </c>
      <c r="BO441" s="64">
        <f t="shared" ref="BO441:BO446" si="56">IFERROR(1/J441*(X441/H441),"0")</f>
        <v>0.36421911421911418</v>
      </c>
      <c r="BP441" s="64">
        <f t="shared" ref="BP441:BP446" si="57">IFERROR(1/J441*(Y441/H441),"0")</f>
        <v>0.36538461538461542</v>
      </c>
    </row>
    <row r="442" spans="1:68" ht="27" customHeight="1" x14ac:dyDescent="0.25">
      <c r="A442" s="54" t="s">
        <v>678</v>
      </c>
      <c r="B442" s="54" t="s">
        <v>679</v>
      </c>
      <c r="C442" s="31">
        <v>4301031350</v>
      </c>
      <c r="D442" s="547">
        <v>4680115883093</v>
      </c>
      <c r="E442" s="548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8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3"/>
      <c r="R442" s="553"/>
      <c r="S442" s="553"/>
      <c r="T442" s="554"/>
      <c r="U442" s="34"/>
      <c r="V442" s="34"/>
      <c r="W442" s="35" t="s">
        <v>69</v>
      </c>
      <c r="X442" s="541">
        <v>300</v>
      </c>
      <c r="Y442" s="542">
        <f t="shared" si="53"/>
        <v>300.96000000000004</v>
      </c>
      <c r="Z442" s="36">
        <f>IFERROR(IF(Y442=0,"",ROUNDUP(Y442/H442,0)*0.01196),"")</f>
        <v>0.68171999999999999</v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319.88636363636363</v>
      </c>
      <c r="BN442" s="64">
        <f t="shared" si="55"/>
        <v>320.91000000000003</v>
      </c>
      <c r="BO442" s="64">
        <f t="shared" si="56"/>
        <v>0.54632867132867136</v>
      </c>
      <c r="BP442" s="64">
        <f t="shared" si="57"/>
        <v>0.54807692307692313</v>
      </c>
    </row>
    <row r="443" spans="1:68" ht="27" customHeight="1" x14ac:dyDescent="0.25">
      <c r="A443" s="54" t="s">
        <v>681</v>
      </c>
      <c r="B443" s="54" t="s">
        <v>682</v>
      </c>
      <c r="C443" s="31">
        <v>4301031353</v>
      </c>
      <c r="D443" s="547">
        <v>4680115883109</v>
      </c>
      <c r="E443" s="548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3"/>
      <c r="R443" s="553"/>
      <c r="S443" s="553"/>
      <c r="T443" s="554"/>
      <c r="U443" s="34"/>
      <c r="V443" s="34"/>
      <c r="W443" s="35" t="s">
        <v>69</v>
      </c>
      <c r="X443" s="541">
        <v>350</v>
      </c>
      <c r="Y443" s="542">
        <f t="shared" si="53"/>
        <v>353.76</v>
      </c>
      <c r="Z443" s="36">
        <f>IFERROR(IF(Y443=0,"",ROUNDUP(Y443/H443,0)*0.01196),"")</f>
        <v>0.80132000000000003</v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373.20075757575756</v>
      </c>
      <c r="BN443" s="64">
        <f t="shared" si="55"/>
        <v>377.21</v>
      </c>
      <c r="BO443" s="64">
        <f t="shared" si="56"/>
        <v>0.63738344988344986</v>
      </c>
      <c r="BP443" s="64">
        <f t="shared" si="57"/>
        <v>0.64423076923076927</v>
      </c>
    </row>
    <row r="444" spans="1:68" ht="27" customHeight="1" x14ac:dyDescent="0.25">
      <c r="A444" s="54" t="s">
        <v>684</v>
      </c>
      <c r="B444" s="54" t="s">
        <v>685</v>
      </c>
      <c r="C444" s="31">
        <v>4301031419</v>
      </c>
      <c r="D444" s="547">
        <v>4680115882072</v>
      </c>
      <c r="E444" s="548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5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3"/>
      <c r="R444" s="553"/>
      <c r="S444" s="553"/>
      <c r="T444" s="554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686</v>
      </c>
      <c r="B445" s="54" t="s">
        <v>687</v>
      </c>
      <c r="C445" s="31">
        <v>4301031418</v>
      </c>
      <c r="D445" s="547">
        <v>4680115882102</v>
      </c>
      <c r="E445" s="548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8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3"/>
      <c r="R445" s="553"/>
      <c r="S445" s="553"/>
      <c r="T445" s="554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688</v>
      </c>
      <c r="B446" s="54" t="s">
        <v>689</v>
      </c>
      <c r="C446" s="31">
        <v>4301031417</v>
      </c>
      <c r="D446" s="547">
        <v>4680115882096</v>
      </c>
      <c r="E446" s="548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5"/>
      <c r="B447" s="556"/>
      <c r="C447" s="556"/>
      <c r="D447" s="556"/>
      <c r="E447" s="556"/>
      <c r="F447" s="556"/>
      <c r="G447" s="556"/>
      <c r="H447" s="556"/>
      <c r="I447" s="556"/>
      <c r="J447" s="556"/>
      <c r="K447" s="556"/>
      <c r="L447" s="556"/>
      <c r="M447" s="556"/>
      <c r="N447" s="556"/>
      <c r="O447" s="557"/>
      <c r="P447" s="549" t="s">
        <v>71</v>
      </c>
      <c r="Q447" s="550"/>
      <c r="R447" s="550"/>
      <c r="S447" s="550"/>
      <c r="T447" s="550"/>
      <c r="U447" s="550"/>
      <c r="V447" s="551"/>
      <c r="W447" s="37" t="s">
        <v>72</v>
      </c>
      <c r="X447" s="543">
        <f>IFERROR(X441/H441,"0")+IFERROR(X442/H442,"0")+IFERROR(X443/H443,"0")+IFERROR(X444/H444,"0")+IFERROR(X445/H445,"0")+IFERROR(X446/H446,"0")</f>
        <v>160.98484848484847</v>
      </c>
      <c r="Y447" s="543">
        <f>IFERROR(Y441/H441,"0")+IFERROR(Y442/H442,"0")+IFERROR(Y443/H443,"0")+IFERROR(Y444/H444,"0")+IFERROR(Y445/H445,"0")+IFERROR(Y446/H446,"0")</f>
        <v>162</v>
      </c>
      <c r="Z447" s="543">
        <f>IFERROR(IF(Z441="",0,Z441),"0")+IFERROR(IF(Z442="",0,Z442),"0")+IFERROR(IF(Z443="",0,Z443),"0")+IFERROR(IF(Z444="",0,Z444),"0")+IFERROR(IF(Z445="",0,Z445),"0")+IFERROR(IF(Z446="",0,Z446),"0")</f>
        <v>1.9375200000000001</v>
      </c>
      <c r="AA447" s="544"/>
      <c r="AB447" s="544"/>
      <c r="AC447" s="544"/>
    </row>
    <row r="448" spans="1:68" x14ac:dyDescent="0.2">
      <c r="A448" s="556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57"/>
      <c r="P448" s="549" t="s">
        <v>71</v>
      </c>
      <c r="Q448" s="550"/>
      <c r="R448" s="550"/>
      <c r="S448" s="550"/>
      <c r="T448" s="550"/>
      <c r="U448" s="550"/>
      <c r="V448" s="551"/>
      <c r="W448" s="37" t="s">
        <v>69</v>
      </c>
      <c r="X448" s="543">
        <f>IFERROR(SUM(X441:X446),"0")</f>
        <v>850</v>
      </c>
      <c r="Y448" s="543">
        <f>IFERROR(SUM(Y441:Y446),"0")</f>
        <v>855.36</v>
      </c>
      <c r="Z448" s="37"/>
      <c r="AA448" s="544"/>
      <c r="AB448" s="544"/>
      <c r="AC448" s="544"/>
    </row>
    <row r="449" spans="1:68" ht="14.25" customHeight="1" x14ac:dyDescent="0.25">
      <c r="A449" s="562" t="s">
        <v>73</v>
      </c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56"/>
      <c r="P449" s="556"/>
      <c r="Q449" s="556"/>
      <c r="R449" s="556"/>
      <c r="S449" s="556"/>
      <c r="T449" s="556"/>
      <c r="U449" s="556"/>
      <c r="V449" s="556"/>
      <c r="W449" s="556"/>
      <c r="X449" s="556"/>
      <c r="Y449" s="556"/>
      <c r="Z449" s="556"/>
      <c r="AA449" s="535"/>
      <c r="AB449" s="535"/>
      <c r="AC449" s="535"/>
    </row>
    <row r="450" spans="1:68" ht="16.5" customHeight="1" x14ac:dyDescent="0.25">
      <c r="A450" s="54" t="s">
        <v>690</v>
      </c>
      <c r="B450" s="54" t="s">
        <v>691</v>
      </c>
      <c r="C450" s="31">
        <v>4301051232</v>
      </c>
      <c r="D450" s="547">
        <v>4607091383409</v>
      </c>
      <c r="E450" s="548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76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3"/>
      <c r="R450" s="553"/>
      <c r="S450" s="553"/>
      <c r="T450" s="554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693</v>
      </c>
      <c r="B451" s="54" t="s">
        <v>694</v>
      </c>
      <c r="C451" s="31">
        <v>4301051233</v>
      </c>
      <c r="D451" s="547">
        <v>4607091383416</v>
      </c>
      <c r="E451" s="548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3"/>
      <c r="R451" s="553"/>
      <c r="S451" s="553"/>
      <c r="T451" s="554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4301051064</v>
      </c>
      <c r="D452" s="547">
        <v>4680115883536</v>
      </c>
      <c r="E452" s="548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8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3"/>
      <c r="R452" s="553"/>
      <c r="S452" s="553"/>
      <c r="T452" s="554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5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57"/>
      <c r="P453" s="549" t="s">
        <v>71</v>
      </c>
      <c r="Q453" s="550"/>
      <c r="R453" s="550"/>
      <c r="S453" s="550"/>
      <c r="T453" s="550"/>
      <c r="U453" s="550"/>
      <c r="V453" s="55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6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57"/>
      <c r="P454" s="549" t="s">
        <v>71</v>
      </c>
      <c r="Q454" s="550"/>
      <c r="R454" s="550"/>
      <c r="S454" s="550"/>
      <c r="T454" s="550"/>
      <c r="U454" s="550"/>
      <c r="V454" s="55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43" t="s">
        <v>699</v>
      </c>
      <c r="B455" s="644"/>
      <c r="C455" s="644"/>
      <c r="D455" s="644"/>
      <c r="E455" s="644"/>
      <c r="F455" s="644"/>
      <c r="G455" s="644"/>
      <c r="H455" s="644"/>
      <c r="I455" s="644"/>
      <c r="J455" s="644"/>
      <c r="K455" s="644"/>
      <c r="L455" s="644"/>
      <c r="M455" s="644"/>
      <c r="N455" s="644"/>
      <c r="O455" s="644"/>
      <c r="P455" s="644"/>
      <c r="Q455" s="644"/>
      <c r="R455" s="644"/>
      <c r="S455" s="644"/>
      <c r="T455" s="644"/>
      <c r="U455" s="644"/>
      <c r="V455" s="644"/>
      <c r="W455" s="644"/>
      <c r="X455" s="644"/>
      <c r="Y455" s="644"/>
      <c r="Z455" s="644"/>
      <c r="AA455" s="48"/>
      <c r="AB455" s="48"/>
      <c r="AC455" s="48"/>
    </row>
    <row r="456" spans="1:68" ht="16.5" customHeight="1" x14ac:dyDescent="0.25">
      <c r="A456" s="571" t="s">
        <v>699</v>
      </c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36"/>
      <c r="AB456" s="536"/>
      <c r="AC456" s="536"/>
    </row>
    <row r="457" spans="1:68" ht="14.25" customHeight="1" x14ac:dyDescent="0.25">
      <c r="A457" s="562" t="s">
        <v>101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5"/>
      <c r="AB457" s="535"/>
      <c r="AC457" s="535"/>
    </row>
    <row r="458" spans="1:68" ht="27" customHeight="1" x14ac:dyDescent="0.25">
      <c r="A458" s="54" t="s">
        <v>700</v>
      </c>
      <c r="B458" s="54" t="s">
        <v>701</v>
      </c>
      <c r="C458" s="31">
        <v>4301011763</v>
      </c>
      <c r="D458" s="547">
        <v>4640242181011</v>
      </c>
      <c r="E458" s="548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83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3"/>
      <c r="R458" s="553"/>
      <c r="S458" s="553"/>
      <c r="T458" s="554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4301011585</v>
      </c>
      <c r="D459" s="547">
        <v>4640242180441</v>
      </c>
      <c r="E459" s="548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4301011584</v>
      </c>
      <c r="D460" s="547">
        <v>4640242180564</v>
      </c>
      <c r="E460" s="548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66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3"/>
      <c r="R460" s="553"/>
      <c r="S460" s="553"/>
      <c r="T460" s="554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709</v>
      </c>
      <c r="B461" s="54" t="s">
        <v>710</v>
      </c>
      <c r="C461" s="31">
        <v>4301011764</v>
      </c>
      <c r="D461" s="547">
        <v>4640242181189</v>
      </c>
      <c r="E461" s="548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65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3"/>
      <c r="R461" s="553"/>
      <c r="S461" s="553"/>
      <c r="T461" s="554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5"/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57"/>
      <c r="P462" s="549" t="s">
        <v>71</v>
      </c>
      <c r="Q462" s="550"/>
      <c r="R462" s="550"/>
      <c r="S462" s="550"/>
      <c r="T462" s="550"/>
      <c r="U462" s="550"/>
      <c r="V462" s="55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6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57"/>
      <c r="P463" s="549" t="s">
        <v>71</v>
      </c>
      <c r="Q463" s="550"/>
      <c r="R463" s="550"/>
      <c r="S463" s="550"/>
      <c r="T463" s="550"/>
      <c r="U463" s="550"/>
      <c r="V463" s="55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62" t="s">
        <v>136</v>
      </c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56"/>
      <c r="P464" s="556"/>
      <c r="Q464" s="556"/>
      <c r="R464" s="556"/>
      <c r="S464" s="556"/>
      <c r="T464" s="556"/>
      <c r="U464" s="556"/>
      <c r="V464" s="556"/>
      <c r="W464" s="556"/>
      <c r="X464" s="556"/>
      <c r="Y464" s="556"/>
      <c r="Z464" s="556"/>
      <c r="AA464" s="535"/>
      <c r="AB464" s="535"/>
      <c r="AC464" s="535"/>
    </row>
    <row r="465" spans="1:68" ht="27" customHeight="1" x14ac:dyDescent="0.25">
      <c r="A465" s="54" t="s">
        <v>711</v>
      </c>
      <c r="B465" s="54" t="s">
        <v>712</v>
      </c>
      <c r="C465" s="31">
        <v>4301020400</v>
      </c>
      <c r="D465" s="547">
        <v>4640242180519</v>
      </c>
      <c r="E465" s="548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7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3"/>
      <c r="R465" s="553"/>
      <c r="S465" s="553"/>
      <c r="T465" s="554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4301020260</v>
      </c>
      <c r="D466" s="547">
        <v>4640242180526</v>
      </c>
      <c r="E466" s="548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80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3"/>
      <c r="R466" s="553"/>
      <c r="S466" s="553"/>
      <c r="T466" s="554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717</v>
      </c>
      <c r="B467" s="54" t="s">
        <v>718</v>
      </c>
      <c r="C467" s="31">
        <v>4301020295</v>
      </c>
      <c r="D467" s="547">
        <v>4640242181363</v>
      </c>
      <c r="E467" s="548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80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3"/>
      <c r="R467" s="553"/>
      <c r="S467" s="553"/>
      <c r="T467" s="554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5"/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7"/>
      <c r="P468" s="549" t="s">
        <v>71</v>
      </c>
      <c r="Q468" s="550"/>
      <c r="R468" s="550"/>
      <c r="S468" s="550"/>
      <c r="T468" s="550"/>
      <c r="U468" s="550"/>
      <c r="V468" s="55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6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57"/>
      <c r="P469" s="549" t="s">
        <v>71</v>
      </c>
      <c r="Q469" s="550"/>
      <c r="R469" s="550"/>
      <c r="S469" s="550"/>
      <c r="T469" s="550"/>
      <c r="U469" s="550"/>
      <c r="V469" s="55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62" t="s">
        <v>64</v>
      </c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56"/>
      <c r="P470" s="556"/>
      <c r="Q470" s="556"/>
      <c r="R470" s="556"/>
      <c r="S470" s="556"/>
      <c r="T470" s="556"/>
      <c r="U470" s="556"/>
      <c r="V470" s="556"/>
      <c r="W470" s="556"/>
      <c r="X470" s="556"/>
      <c r="Y470" s="556"/>
      <c r="Z470" s="556"/>
      <c r="AA470" s="535"/>
      <c r="AB470" s="535"/>
      <c r="AC470" s="535"/>
    </row>
    <row r="471" spans="1:68" ht="27" customHeight="1" x14ac:dyDescent="0.25">
      <c r="A471" s="54" t="s">
        <v>720</v>
      </c>
      <c r="B471" s="54" t="s">
        <v>721</v>
      </c>
      <c r="C471" s="31">
        <v>4301031280</v>
      </c>
      <c r="D471" s="547">
        <v>4640242180816</v>
      </c>
      <c r="E471" s="548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84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3"/>
      <c r="R471" s="553"/>
      <c r="S471" s="553"/>
      <c r="T471" s="554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723</v>
      </c>
      <c r="B472" s="54" t="s">
        <v>724</v>
      </c>
      <c r="C472" s="31">
        <v>4301031244</v>
      </c>
      <c r="D472" s="547">
        <v>4640242180595</v>
      </c>
      <c r="E472" s="548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69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3"/>
      <c r="R472" s="553"/>
      <c r="S472" s="553"/>
      <c r="T472" s="554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5"/>
      <c r="B473" s="556"/>
      <c r="C473" s="556"/>
      <c r="D473" s="556"/>
      <c r="E473" s="556"/>
      <c r="F473" s="556"/>
      <c r="G473" s="556"/>
      <c r="H473" s="556"/>
      <c r="I473" s="556"/>
      <c r="J473" s="556"/>
      <c r="K473" s="556"/>
      <c r="L473" s="556"/>
      <c r="M473" s="556"/>
      <c r="N473" s="556"/>
      <c r="O473" s="557"/>
      <c r="P473" s="549" t="s">
        <v>71</v>
      </c>
      <c r="Q473" s="550"/>
      <c r="R473" s="550"/>
      <c r="S473" s="550"/>
      <c r="T473" s="550"/>
      <c r="U473" s="550"/>
      <c r="V473" s="55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6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57"/>
      <c r="P474" s="549" t="s">
        <v>71</v>
      </c>
      <c r="Q474" s="550"/>
      <c r="R474" s="550"/>
      <c r="S474" s="550"/>
      <c r="T474" s="550"/>
      <c r="U474" s="550"/>
      <c r="V474" s="55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62" t="s">
        <v>73</v>
      </c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56"/>
      <c r="P475" s="556"/>
      <c r="Q475" s="556"/>
      <c r="R475" s="556"/>
      <c r="S475" s="556"/>
      <c r="T475" s="556"/>
      <c r="U475" s="556"/>
      <c r="V475" s="556"/>
      <c r="W475" s="556"/>
      <c r="X475" s="556"/>
      <c r="Y475" s="556"/>
      <c r="Z475" s="556"/>
      <c r="AA475" s="535"/>
      <c r="AB475" s="535"/>
      <c r="AC475" s="535"/>
    </row>
    <row r="476" spans="1:68" ht="27" customHeight="1" x14ac:dyDescent="0.25">
      <c r="A476" s="54" t="s">
        <v>726</v>
      </c>
      <c r="B476" s="54" t="s">
        <v>727</v>
      </c>
      <c r="C476" s="31">
        <v>4301052046</v>
      </c>
      <c r="D476" s="547">
        <v>4640242180533</v>
      </c>
      <c r="E476" s="548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8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3"/>
      <c r="R476" s="553"/>
      <c r="S476" s="553"/>
      <c r="T476" s="554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5"/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7"/>
      <c r="P477" s="549" t="s">
        <v>71</v>
      </c>
      <c r="Q477" s="550"/>
      <c r="R477" s="550"/>
      <c r="S477" s="550"/>
      <c r="T477" s="550"/>
      <c r="U477" s="550"/>
      <c r="V477" s="55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6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57"/>
      <c r="P478" s="549" t="s">
        <v>71</v>
      </c>
      <c r="Q478" s="550"/>
      <c r="R478" s="550"/>
      <c r="S478" s="550"/>
      <c r="T478" s="550"/>
      <c r="U478" s="550"/>
      <c r="V478" s="55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62" t="s">
        <v>164</v>
      </c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6"/>
      <c r="P479" s="556"/>
      <c r="Q479" s="556"/>
      <c r="R479" s="556"/>
      <c r="S479" s="556"/>
      <c r="T479" s="556"/>
      <c r="U479" s="556"/>
      <c r="V479" s="556"/>
      <c r="W479" s="556"/>
      <c r="X479" s="556"/>
      <c r="Y479" s="556"/>
      <c r="Z479" s="556"/>
      <c r="AA479" s="535"/>
      <c r="AB479" s="535"/>
      <c r="AC479" s="535"/>
    </row>
    <row r="480" spans="1:68" ht="27" customHeight="1" x14ac:dyDescent="0.25">
      <c r="A480" s="54" t="s">
        <v>729</v>
      </c>
      <c r="B480" s="54" t="s">
        <v>730</v>
      </c>
      <c r="C480" s="31">
        <v>4301060491</v>
      </c>
      <c r="D480" s="547">
        <v>4640242180120</v>
      </c>
      <c r="E480" s="548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78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3"/>
      <c r="R480" s="553"/>
      <c r="S480" s="553"/>
      <c r="T480" s="554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732</v>
      </c>
      <c r="B481" s="54" t="s">
        <v>733</v>
      </c>
      <c r="C481" s="31">
        <v>4301060493</v>
      </c>
      <c r="D481" s="547">
        <v>4640242180137</v>
      </c>
      <c r="E481" s="548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79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5"/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7"/>
      <c r="P482" s="549" t="s">
        <v>71</v>
      </c>
      <c r="Q482" s="550"/>
      <c r="R482" s="550"/>
      <c r="S482" s="550"/>
      <c r="T482" s="550"/>
      <c r="U482" s="550"/>
      <c r="V482" s="55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6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57"/>
      <c r="P483" s="549" t="s">
        <v>71</v>
      </c>
      <c r="Q483" s="550"/>
      <c r="R483" s="550"/>
      <c r="S483" s="550"/>
      <c r="T483" s="550"/>
      <c r="U483" s="550"/>
      <c r="V483" s="55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71" t="s">
        <v>735</v>
      </c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56"/>
      <c r="P484" s="556"/>
      <c r="Q484" s="556"/>
      <c r="R484" s="556"/>
      <c r="S484" s="556"/>
      <c r="T484" s="556"/>
      <c r="U484" s="556"/>
      <c r="V484" s="556"/>
      <c r="W484" s="556"/>
      <c r="X484" s="556"/>
      <c r="Y484" s="556"/>
      <c r="Z484" s="556"/>
      <c r="AA484" s="536"/>
      <c r="AB484" s="536"/>
      <c r="AC484" s="536"/>
    </row>
    <row r="485" spans="1:68" ht="14.25" customHeight="1" x14ac:dyDescent="0.25">
      <c r="A485" s="562" t="s">
        <v>136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5"/>
      <c r="AB485" s="535"/>
      <c r="AC485" s="535"/>
    </row>
    <row r="486" spans="1:68" ht="27" customHeight="1" x14ac:dyDescent="0.25">
      <c r="A486" s="54" t="s">
        <v>736</v>
      </c>
      <c r="B486" s="54" t="s">
        <v>737</v>
      </c>
      <c r="C486" s="31">
        <v>4301020314</v>
      </c>
      <c r="D486" s="547">
        <v>4640242180090</v>
      </c>
      <c r="E486" s="548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61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3"/>
      <c r="R486" s="553"/>
      <c r="S486" s="553"/>
      <c r="T486" s="554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5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7"/>
      <c r="P487" s="549" t="s">
        <v>71</v>
      </c>
      <c r="Q487" s="550"/>
      <c r="R487" s="550"/>
      <c r="S487" s="550"/>
      <c r="T487" s="550"/>
      <c r="U487" s="550"/>
      <c r="V487" s="55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6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57"/>
      <c r="P488" s="549" t="s">
        <v>71</v>
      </c>
      <c r="Q488" s="550"/>
      <c r="R488" s="550"/>
      <c r="S488" s="550"/>
      <c r="T488" s="550"/>
      <c r="U488" s="550"/>
      <c r="V488" s="55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573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74"/>
      <c r="P489" s="627" t="s">
        <v>739</v>
      </c>
      <c r="Q489" s="628"/>
      <c r="R489" s="628"/>
      <c r="S489" s="628"/>
      <c r="T489" s="628"/>
      <c r="U489" s="628"/>
      <c r="V489" s="578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17881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17982</v>
      </c>
      <c r="Z489" s="37"/>
      <c r="AA489" s="544"/>
      <c r="AB489" s="544"/>
      <c r="AC489" s="544"/>
    </row>
    <row r="490" spans="1:68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574"/>
      <c r="P490" s="627" t="s">
        <v>740</v>
      </c>
      <c r="Q490" s="628"/>
      <c r="R490" s="628"/>
      <c r="S490" s="628"/>
      <c r="T490" s="628"/>
      <c r="U490" s="628"/>
      <c r="V490" s="578"/>
      <c r="W490" s="37" t="s">
        <v>69</v>
      </c>
      <c r="X490" s="543">
        <f>IFERROR(SUM(BM22:BM486),"0")</f>
        <v>18741.968483150835</v>
      </c>
      <c r="Y490" s="543">
        <f>IFERROR(SUM(BN22:BN486),"0")</f>
        <v>18848.2</v>
      </c>
      <c r="Z490" s="37"/>
      <c r="AA490" s="544"/>
      <c r="AB490" s="544"/>
      <c r="AC490" s="544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574"/>
      <c r="P491" s="627" t="s">
        <v>741</v>
      </c>
      <c r="Q491" s="628"/>
      <c r="R491" s="628"/>
      <c r="S491" s="628"/>
      <c r="T491" s="628"/>
      <c r="U491" s="628"/>
      <c r="V491" s="578"/>
      <c r="W491" s="37" t="s">
        <v>742</v>
      </c>
      <c r="X491" s="38">
        <f>ROUNDUP(SUM(BO22:BO486),0)</f>
        <v>30</v>
      </c>
      <c r="Y491" s="38">
        <f>ROUNDUP(SUM(BP22:BP486),0)</f>
        <v>30</v>
      </c>
      <c r="Z491" s="37"/>
      <c r="AA491" s="544"/>
      <c r="AB491" s="544"/>
      <c r="AC491" s="544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574"/>
      <c r="P492" s="627" t="s">
        <v>743</v>
      </c>
      <c r="Q492" s="628"/>
      <c r="R492" s="628"/>
      <c r="S492" s="628"/>
      <c r="T492" s="628"/>
      <c r="U492" s="628"/>
      <c r="V492" s="578"/>
      <c r="W492" s="37" t="s">
        <v>69</v>
      </c>
      <c r="X492" s="543">
        <f>GrossWeightTotal+PalletQtyTotal*25</f>
        <v>19491.968483150835</v>
      </c>
      <c r="Y492" s="543">
        <f>GrossWeightTotalR+PalletQtyTotalR*25</f>
        <v>19598.2</v>
      </c>
      <c r="Z492" s="37"/>
      <c r="AA492" s="544"/>
      <c r="AB492" s="544"/>
      <c r="AC492" s="544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574"/>
      <c r="P493" s="627" t="s">
        <v>744</v>
      </c>
      <c r="Q493" s="628"/>
      <c r="R493" s="628"/>
      <c r="S493" s="628"/>
      <c r="T493" s="628"/>
      <c r="U493" s="628"/>
      <c r="V493" s="578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2541.8068815715878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2556</v>
      </c>
      <c r="Z493" s="37"/>
      <c r="AA493" s="544"/>
      <c r="AB493" s="544"/>
      <c r="AC493" s="544"/>
    </row>
    <row r="494" spans="1:68" ht="14.25" customHeight="1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574"/>
      <c r="P494" s="627" t="s">
        <v>745</v>
      </c>
      <c r="Q494" s="628"/>
      <c r="R494" s="628"/>
      <c r="S494" s="628"/>
      <c r="T494" s="628"/>
      <c r="U494" s="628"/>
      <c r="V494" s="578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34.938670000000002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45" t="s">
        <v>99</v>
      </c>
      <c r="D496" s="637"/>
      <c r="E496" s="637"/>
      <c r="F496" s="637"/>
      <c r="G496" s="637"/>
      <c r="H496" s="630"/>
      <c r="I496" s="545" t="s">
        <v>255</v>
      </c>
      <c r="J496" s="637"/>
      <c r="K496" s="637"/>
      <c r="L496" s="637"/>
      <c r="M496" s="637"/>
      <c r="N496" s="637"/>
      <c r="O496" s="637"/>
      <c r="P496" s="637"/>
      <c r="Q496" s="637"/>
      <c r="R496" s="630"/>
      <c r="S496" s="545" t="s">
        <v>536</v>
      </c>
      <c r="T496" s="630"/>
      <c r="U496" s="545" t="s">
        <v>588</v>
      </c>
      <c r="V496" s="637"/>
      <c r="W496" s="630"/>
      <c r="X496" s="533" t="s">
        <v>639</v>
      </c>
      <c r="Y496" s="545" t="s">
        <v>699</v>
      </c>
      <c r="Z496" s="630"/>
      <c r="AB496" s="52"/>
      <c r="AC496" s="52"/>
      <c r="AF496" s="534"/>
    </row>
    <row r="497" spans="1:32" ht="14.25" customHeight="1" thickTop="1" x14ac:dyDescent="0.2">
      <c r="A497" s="584" t="s">
        <v>748</v>
      </c>
      <c r="B497" s="545" t="s">
        <v>63</v>
      </c>
      <c r="C497" s="545" t="s">
        <v>100</v>
      </c>
      <c r="D497" s="545" t="s">
        <v>117</v>
      </c>
      <c r="E497" s="545" t="s">
        <v>171</v>
      </c>
      <c r="F497" s="545" t="s">
        <v>190</v>
      </c>
      <c r="G497" s="545" t="s">
        <v>220</v>
      </c>
      <c r="H497" s="545" t="s">
        <v>99</v>
      </c>
      <c r="I497" s="545" t="s">
        <v>256</v>
      </c>
      <c r="J497" s="545" t="s">
        <v>297</v>
      </c>
      <c r="K497" s="545" t="s">
        <v>357</v>
      </c>
      <c r="L497" s="545" t="s">
        <v>399</v>
      </c>
      <c r="M497" s="545" t="s">
        <v>415</v>
      </c>
      <c r="N497" s="534"/>
      <c r="O497" s="545" t="s">
        <v>426</v>
      </c>
      <c r="P497" s="545" t="s">
        <v>435</v>
      </c>
      <c r="Q497" s="545" t="s">
        <v>445</v>
      </c>
      <c r="R497" s="545" t="s">
        <v>526</v>
      </c>
      <c r="S497" s="545" t="s">
        <v>537</v>
      </c>
      <c r="T497" s="545" t="s">
        <v>572</v>
      </c>
      <c r="U497" s="545" t="s">
        <v>589</v>
      </c>
      <c r="V497" s="545" t="s">
        <v>620</v>
      </c>
      <c r="W497" s="545" t="s">
        <v>635</v>
      </c>
      <c r="X497" s="545" t="s">
        <v>639</v>
      </c>
      <c r="Y497" s="545" t="s">
        <v>699</v>
      </c>
      <c r="Z497" s="545" t="s">
        <v>735</v>
      </c>
      <c r="AB497" s="52"/>
      <c r="AC497" s="52"/>
      <c r="AF497" s="534"/>
    </row>
    <row r="498" spans="1:32" ht="13.5" customHeight="1" thickBot="1" x14ac:dyDescent="0.25">
      <c r="A498" s="585"/>
      <c r="B498" s="546"/>
      <c r="C498" s="546"/>
      <c r="D498" s="546"/>
      <c r="E498" s="546"/>
      <c r="F498" s="546"/>
      <c r="G498" s="546"/>
      <c r="H498" s="546"/>
      <c r="I498" s="546"/>
      <c r="J498" s="546"/>
      <c r="K498" s="546"/>
      <c r="L498" s="546"/>
      <c r="M498" s="546"/>
      <c r="N498" s="534"/>
      <c r="O498" s="546"/>
      <c r="P498" s="546"/>
      <c r="Q498" s="546"/>
      <c r="R498" s="546"/>
      <c r="S498" s="546"/>
      <c r="T498" s="546"/>
      <c r="U498" s="546"/>
      <c r="V498" s="546"/>
      <c r="W498" s="546"/>
      <c r="X498" s="546"/>
      <c r="Y498" s="546"/>
      <c r="Z498" s="546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824.40000000000009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3682.8</v>
      </c>
      <c r="E499" s="46">
        <f>IFERROR(Y85*1,"0")+IFERROR(Y86*1,"0")+IFERROR(Y87*1,"0")+IFERROR(Y91*1,"0")+IFERROR(Y92*1,"0")+IFERROR(Y93*1,"0")+IFERROR(Y94*1,"0")</f>
        <v>1032.3000000000002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502.2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216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205.20000000000002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168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0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2382.6999999999998</v>
      </c>
      <c r="R499" s="46">
        <f>IFERROR(Y335*1,"0")+IFERROR(Y336*1,"0")+IFERROR(Y337*1,"0")</f>
        <v>549.6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4802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3616.8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  <mergeCell ref="D472:E472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P88:V88"/>
    <mergeCell ref="P259:V259"/>
    <mergeCell ref="A78:Z78"/>
    <mergeCell ref="P153:V153"/>
    <mergeCell ref="A205:Z205"/>
    <mergeCell ref="A350:O351"/>
    <mergeCell ref="D263:E263"/>
    <mergeCell ref="A65:Z65"/>
    <mergeCell ref="P391:T391"/>
    <mergeCell ref="D426:E426"/>
    <mergeCell ref="A234:O235"/>
    <mergeCell ref="B17:B18"/>
    <mergeCell ref="D486:E486"/>
    <mergeCell ref="P86:T86"/>
    <mergeCell ref="P328:T328"/>
    <mergeCell ref="D134:E134"/>
    <mergeCell ref="P213:T213"/>
    <mergeCell ref="P249:T249"/>
    <mergeCell ref="D363:E363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P452:T452"/>
    <mergeCell ref="P448:V448"/>
    <mergeCell ref="A63:O64"/>
    <mergeCell ref="P477:V477"/>
    <mergeCell ref="D124:E124"/>
    <mergeCell ref="P56:T56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A473:O474"/>
    <mergeCell ref="P476:T476"/>
    <mergeCell ref="P407:T407"/>
    <mergeCell ref="P471:T471"/>
    <mergeCell ref="D245:E245"/>
    <mergeCell ref="A282:Z282"/>
    <mergeCell ref="D301:E301"/>
    <mergeCell ref="H497:H498"/>
    <mergeCell ref="J497:J498"/>
    <mergeCell ref="P395:V395"/>
    <mergeCell ref="P209:T209"/>
    <mergeCell ref="P147:T147"/>
    <mergeCell ref="P445:T445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458:T458"/>
    <mergeCell ref="P487:V487"/>
    <mergeCell ref="P266:T266"/>
    <mergeCell ref="P182:V182"/>
    <mergeCell ref="A380:O381"/>
    <mergeCell ref="D442:E442"/>
    <mergeCell ref="D302:E302"/>
    <mergeCell ref="D429:E429"/>
    <mergeCell ref="A159:O160"/>
    <mergeCell ref="P29:T29"/>
    <mergeCell ref="P100:T100"/>
    <mergeCell ref="P271:T271"/>
    <mergeCell ref="P94:T94"/>
    <mergeCell ref="P265:T265"/>
    <mergeCell ref="D208:E208"/>
    <mergeCell ref="D379:E379"/>
    <mergeCell ref="D300:E300"/>
    <mergeCell ref="P237:T237"/>
    <mergeCell ref="P158:T158"/>
    <mergeCell ref="P329:T329"/>
    <mergeCell ref="P251:V251"/>
    <mergeCell ref="P416:V416"/>
    <mergeCell ref="P79:T79"/>
    <mergeCell ref="D60:E60"/>
    <mergeCell ref="P73:T73"/>
    <mergeCell ref="P315:T315"/>
    <mergeCell ref="P437:T437"/>
    <mergeCell ref="P231:T231"/>
    <mergeCell ref="P42:T42"/>
    <mergeCell ref="D290:E290"/>
    <mergeCell ref="D94:E94"/>
    <mergeCell ref="P148:T148"/>
    <mergeCell ref="A109:O110"/>
    <mergeCell ref="A47:O48"/>
    <mergeCell ref="D7:M7"/>
    <mergeCell ref="D129:E129"/>
    <mergeCell ref="D79:E79"/>
    <mergeCell ref="P92:T92"/>
    <mergeCell ref="D8:M8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D315:E315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D87:E87"/>
    <mergeCell ref="P166:T166"/>
    <mergeCell ref="D147:E147"/>
    <mergeCell ref="P188:V188"/>
    <mergeCell ref="A187:O188"/>
    <mergeCell ref="D209:E209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D390:E390"/>
    <mergeCell ref="P197:T197"/>
    <mergeCell ref="F9:G9"/>
    <mergeCell ref="H1:Q1"/>
    <mergeCell ref="P109:V109"/>
    <mergeCell ref="P280:V280"/>
    <mergeCell ref="P274:V274"/>
    <mergeCell ref="A366:Z366"/>
    <mergeCell ref="P490:V490"/>
    <mergeCell ref="A382:Z382"/>
    <mergeCell ref="A116:O117"/>
    <mergeCell ref="P428:T428"/>
    <mergeCell ref="D100:E100"/>
    <mergeCell ref="P113:T113"/>
    <mergeCell ref="A173:Z173"/>
    <mergeCell ref="P17:T18"/>
    <mergeCell ref="P129:T129"/>
    <mergeCell ref="A482:O483"/>
    <mergeCell ref="A416:O417"/>
    <mergeCell ref="D158:E158"/>
    <mergeCell ref="D329:E329"/>
    <mergeCell ref="D229:E229"/>
    <mergeCell ref="A402:Z402"/>
    <mergeCell ref="I17:I18"/>
    <mergeCell ref="P36:V36"/>
    <mergeCell ref="D388:E388"/>
    <mergeCell ref="P442:T442"/>
    <mergeCell ref="P467:T467"/>
    <mergeCell ref="P489:V489"/>
    <mergeCell ref="P119:T119"/>
    <mergeCell ref="A43:O44"/>
    <mergeCell ref="P246:T246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D255:E255"/>
    <mergeCell ref="P478:V478"/>
    <mergeCell ref="A97:Z97"/>
    <mergeCell ref="D322:E322"/>
    <mergeCell ref="O497:O498"/>
    <mergeCell ref="A6:C6"/>
    <mergeCell ref="D309:E309"/>
    <mergeCell ref="D113:E113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A203:O204"/>
    <mergeCell ref="P169:T169"/>
    <mergeCell ref="A274:O275"/>
    <mergeCell ref="P491:V491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P53:T53"/>
    <mergeCell ref="D167:E167"/>
    <mergeCell ref="P289:T289"/>
    <mergeCell ref="P422:T422"/>
    <mergeCell ref="D232:E232"/>
    <mergeCell ref="D403:E403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50:T450"/>
    <mergeCell ref="A325:O326"/>
    <mergeCell ref="D91:E91"/>
    <mergeCell ref="P219:T219"/>
    <mergeCell ref="D162:E162"/>
    <mergeCell ref="A69:O70"/>
    <mergeCell ref="P272:T272"/>
    <mergeCell ref="P210:T210"/>
    <mergeCell ref="D398:E398"/>
    <mergeCell ref="P439:V439"/>
    <mergeCell ref="A267:O268"/>
    <mergeCell ref="P308:T308"/>
    <mergeCell ref="P433:V433"/>
    <mergeCell ref="A438:O439"/>
    <mergeCell ref="D106:E106"/>
    <mergeCell ref="P185:T185"/>
    <mergeCell ref="P427:T427"/>
    <mergeCell ref="P283:T283"/>
    <mergeCell ref="D445:E445"/>
    <mergeCell ref="D224:E224"/>
    <mergeCell ref="P230:T230"/>
    <mergeCell ref="P168:T168"/>
    <mergeCell ref="D211:E211"/>
    <mergeCell ref="D214:E214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D52:E52"/>
    <mergeCell ref="P110:V110"/>
    <mergeCell ref="D27:E27"/>
    <mergeCell ref="A338:O339"/>
    <mergeCell ref="P208:T208"/>
    <mergeCell ref="P15:T16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A261:Z261"/>
    <mergeCell ref="P338:V338"/>
    <mergeCell ref="P313:V313"/>
    <mergeCell ref="A138:Z138"/>
    <mergeCell ref="P58:V58"/>
    <mergeCell ref="D61:E61"/>
    <mergeCell ref="P115:T115"/>
    <mergeCell ref="D254:E254"/>
    <mergeCell ref="A367:Z367"/>
    <mergeCell ref="A183:Z183"/>
    <mergeCell ref="A88:O89"/>
    <mergeCell ref="D346:E346"/>
    <mergeCell ref="P229:T229"/>
    <mergeCell ref="D328:E328"/>
    <mergeCell ref="P136:V136"/>
    <mergeCell ref="A253:Z253"/>
    <mergeCell ref="A286:Z286"/>
    <mergeCell ref="P193:V193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359:E359"/>
    <mergeCell ref="H17:H18"/>
    <mergeCell ref="A220:O221"/>
    <mergeCell ref="P388:T388"/>
    <mergeCell ref="P126:V126"/>
    <mergeCell ref="P224:T224"/>
    <mergeCell ref="P322:T322"/>
    <mergeCell ref="P211:T211"/>
    <mergeCell ref="P309:T309"/>
    <mergeCell ref="P51:T51"/>
    <mergeCell ref="P85:T85"/>
    <mergeCell ref="P454:V454"/>
    <mergeCell ref="D56:E56"/>
    <mergeCell ref="P206:T206"/>
    <mergeCell ref="P233:T233"/>
    <mergeCell ref="D176:E176"/>
    <mergeCell ref="D347:E347"/>
    <mergeCell ref="D114:E114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P70:V70"/>
    <mergeCell ref="A156:Z156"/>
    <mergeCell ref="A327:Z327"/>
    <mergeCell ref="P116:V116"/>
    <mergeCell ref="P32:V32"/>
    <mergeCell ref="P474:V474"/>
    <mergeCell ref="P103:V103"/>
    <mergeCell ref="Q13:R13"/>
    <mergeCell ref="A155:Z155"/>
    <mergeCell ref="P268:V268"/>
    <mergeCell ref="D298:E298"/>
    <mergeCell ref="P91:T91"/>
    <mergeCell ref="P404:V404"/>
    <mergeCell ref="D273:E273"/>
    <mergeCell ref="P468:V468"/>
    <mergeCell ref="A464:Z464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D202:E202"/>
    <mergeCell ref="D373:E373"/>
    <mergeCell ref="A242:O243"/>
    <mergeCell ref="P112:T112"/>
    <mergeCell ref="A179:Z179"/>
    <mergeCell ref="C496:H496"/>
    <mergeCell ref="P348:T348"/>
    <mergeCell ref="P323:T323"/>
    <mergeCell ref="A414:Z414"/>
    <mergeCell ref="D231:E231"/>
    <mergeCell ref="D358:E358"/>
    <mergeCell ref="P483:V483"/>
    <mergeCell ref="P393:T393"/>
    <mergeCell ref="A419:Z419"/>
    <mergeCell ref="A153:O154"/>
    <mergeCell ref="A133:Z133"/>
    <mergeCell ref="D125:E125"/>
    <mergeCell ref="P446:T446"/>
    <mergeCell ref="D425:E425"/>
    <mergeCell ref="P451:T451"/>
    <mergeCell ref="A470:Z470"/>
    <mergeCell ref="D424:E424"/>
    <mergeCell ref="P324:T324"/>
    <mergeCell ref="A143:O144"/>
    <mergeCell ref="L497:L498"/>
    <mergeCell ref="A318:O319"/>
    <mergeCell ref="P47:V47"/>
    <mergeCell ref="P176:T176"/>
    <mergeCell ref="P114:T114"/>
    <mergeCell ref="P247:T247"/>
    <mergeCell ref="P241:T241"/>
    <mergeCell ref="P41:T41"/>
    <mergeCell ref="D22:E22"/>
    <mergeCell ref="A35:O36"/>
    <mergeCell ref="A157:Z157"/>
    <mergeCell ref="A455:Z455"/>
    <mergeCell ref="A222:Z222"/>
    <mergeCell ref="P301:T301"/>
    <mergeCell ref="D385:E385"/>
    <mergeCell ref="P34:T34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P492:V492"/>
    <mergeCell ref="B497:B498"/>
    <mergeCell ref="A103:O104"/>
    <mergeCell ref="P415:T415"/>
    <mergeCell ref="S496:T496"/>
    <mergeCell ref="M17:M18"/>
    <mergeCell ref="O17:O18"/>
    <mergeCell ref="P336:T336"/>
    <mergeCell ref="P131:V131"/>
    <mergeCell ref="P187:V187"/>
    <mergeCell ref="A453:O454"/>
    <mergeCell ref="P430:T430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U497:U498"/>
    <mergeCell ref="I496:R496"/>
    <mergeCell ref="P493:V493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W497:W498"/>
    <mergeCell ref="D10:E10"/>
    <mergeCell ref="A23:O24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430:E430"/>
    <mergeCell ref="P469:V469"/>
    <mergeCell ref="P486:T486"/>
    <mergeCell ref="D323:E323"/>
    <mergeCell ref="D450:E450"/>
    <mergeCell ref="D29:E29"/>
    <mergeCell ref="D265:E265"/>
    <mergeCell ref="P344:T344"/>
    <mergeCell ref="A20:Z20"/>
    <mergeCell ref="P371:V371"/>
    <mergeCell ref="D452:E452"/>
    <mergeCell ref="A447:O448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N17:N18"/>
    <mergeCell ref="P72:T72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P317:T317"/>
    <mergeCell ref="A9:C9"/>
    <mergeCell ref="P125:T125"/>
    <mergeCell ref="P321:T321"/>
    <mergeCell ref="D196:E196"/>
    <mergeCell ref="A269:Z269"/>
    <mergeCell ref="A440:Z440"/>
    <mergeCell ref="V497:V498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A31:O32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G497:G498"/>
    <mergeCell ref="Q497:Q498"/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489:O494"/>
    <mergeCell ref="A484:Z484"/>
    <mergeCell ref="A487:O488"/>
    <mergeCell ref="A33:Z33"/>
    <mergeCell ref="T497:T49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2025-11-11T07:56:33Z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