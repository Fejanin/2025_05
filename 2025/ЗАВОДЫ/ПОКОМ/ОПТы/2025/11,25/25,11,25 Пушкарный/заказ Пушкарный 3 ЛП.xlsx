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04C7899-5762-4B16-92C9-765F0B05CA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Y339" i="1" s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6" i="1" s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Y64" i="1"/>
  <c r="Z61" i="1"/>
  <c r="BN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Z109" i="1" s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Z203" i="1" s="1"/>
  <c r="BP200" i="1"/>
  <c r="BN200" i="1"/>
  <c r="Z200" i="1"/>
  <c r="BP208" i="1"/>
  <c r="BN208" i="1"/>
  <c r="Z208" i="1"/>
  <c r="H9" i="1"/>
  <c r="Y24" i="1"/>
  <c r="Y44" i="1"/>
  <c r="Y57" i="1"/>
  <c r="Z63" i="1"/>
  <c r="Y63" i="1"/>
  <c r="Z69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248" i="1"/>
  <c r="BN248" i="1"/>
  <c r="Z248" i="1"/>
  <c r="Z250" i="1" s="1"/>
  <c r="BP257" i="1"/>
  <c r="BN257" i="1"/>
  <c r="Z257" i="1"/>
  <c r="BP266" i="1"/>
  <c r="BN266" i="1"/>
  <c r="Z266" i="1"/>
  <c r="Y268" i="1"/>
  <c r="O499" i="1"/>
  <c r="Y274" i="1"/>
  <c r="BP271" i="1"/>
  <c r="BN271" i="1"/>
  <c r="Z271" i="1"/>
  <c r="Z274" i="1" s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22" i="1"/>
  <c r="BN322" i="1"/>
  <c r="Z322" i="1"/>
  <c r="Z325" i="1" s="1"/>
  <c r="BP330" i="1"/>
  <c r="BN330" i="1"/>
  <c r="Z330" i="1"/>
  <c r="Y332" i="1"/>
  <c r="R499" i="1"/>
  <c r="Y338" i="1"/>
  <c r="BP335" i="1"/>
  <c r="BN335" i="1"/>
  <c r="Z335" i="1"/>
  <c r="Z338" i="1" s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05" i="1"/>
  <c r="Z350" i="1"/>
  <c r="Z331" i="1"/>
  <c r="Z215" i="1"/>
  <c r="Y489" i="1"/>
  <c r="Z148" i="1"/>
  <c r="Z103" i="1"/>
  <c r="Y493" i="1"/>
  <c r="Y490" i="1"/>
  <c r="Z447" i="1"/>
  <c r="Z432" i="1"/>
  <c r="Z312" i="1"/>
  <c r="Z267" i="1"/>
  <c r="Z234" i="1"/>
  <c r="Z76" i="1"/>
  <c r="Y491" i="1"/>
  <c r="Z494" i="1"/>
  <c r="Y492" i="1" l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<sst xmlns="http://schemas.openxmlformats.org/spreadsheetml/2006/main" count="2337" uniqueCount="763">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</sst>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700</v>
      </c>
      <c r="Y52" s="542">
        <f t="shared" si="0"/>
        <v>702</v>
      </c>
      <c r="Z52" s="36">
        <f>IFERROR(IF(Y52=0,"",ROUNDUP(Y52/H52,0)*0.01898),"")</f>
        <v>1.2337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726.57407407407413</v>
      </c>
      <c r="BN52" s="64">
        <f t="shared" si="2"/>
        <v>728.65000000000009</v>
      </c>
      <c r="BO52" s="64">
        <f t="shared" si="3"/>
        <v>1.0127314814814814</v>
      </c>
      <c r="BP52" s="64">
        <f t="shared" si="4"/>
        <v>1.015625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400</v>
      </c>
      <c r="Y56" s="542">
        <f t="shared" si="0"/>
        <v>400.5</v>
      </c>
      <c r="Z56" s="36">
        <f>IFERROR(IF(Y56=0,"",ROUNDUP(Y56/H56,0)*0.00902),"")</f>
        <v>0.80278000000000005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416.88888888888891</v>
      </c>
      <c r="BN56" s="64">
        <f t="shared" si="2"/>
        <v>417.41000000000008</v>
      </c>
      <c r="BO56" s="64">
        <f t="shared" si="3"/>
        <v>0.67340067340067344</v>
      </c>
      <c r="BP56" s="64">
        <f t="shared" si="4"/>
        <v>0.67424242424242431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153.7037037037037</v>
      </c>
      <c r="Y57" s="543">
        <f>IFERROR(Y51/H51,"0")+IFERROR(Y52/H52,"0")+IFERROR(Y53/H53,"0")+IFERROR(Y54/H54,"0")+IFERROR(Y55/H55,"0")+IFERROR(Y56/H56,"0")</f>
        <v>154</v>
      </c>
      <c r="Z57" s="543">
        <f>IFERROR(IF(Z51="",0,Z51),"0")+IFERROR(IF(Z52="",0,Z52),"0")+IFERROR(IF(Z53="",0,Z53),"0")+IFERROR(IF(Z54="",0,Z54),"0")+IFERROR(IF(Z55="",0,Z55),"0")+IFERROR(IF(Z56="",0,Z56),"0")</f>
        <v>2.0364800000000001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1100</v>
      </c>
      <c r="Y58" s="543">
        <f>IFERROR(SUM(Y51:Y56),"0")</f>
        <v>1102.5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600</v>
      </c>
      <c r="Y60" s="542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622.77777777777783</v>
      </c>
      <c r="BN60" s="64">
        <f>IFERROR(Y60*I60/H60,"0")</f>
        <v>627.76</v>
      </c>
      <c r="BO60" s="64">
        <f>IFERROR(1/J60*(X60/H60),"0")</f>
        <v>0.86805555555555547</v>
      </c>
      <c r="BP60" s="64">
        <f>IFERROR(1/J60*(Y60/H60),"0")</f>
        <v>0.875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55.55555555555555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1.06288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600</v>
      </c>
      <c r="Y64" s="543">
        <f>IFERROR(SUM(Y60:Y62),"0")</f>
        <v>604.80000000000007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2000</v>
      </c>
      <c r="Y308" s="542">
        <f>IFERROR(IF(X308="",0,CEILING((X308/$H308),1)*$H308),"")</f>
        <v>2004.6</v>
      </c>
      <c r="Z308" s="36">
        <f>IFERROR(IF(Y308=0,"",ROUNDUP(Y308/H308,0)*0.01898),"")</f>
        <v>4.8778600000000001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2125.1282051282051</v>
      </c>
      <c r="BN308" s="64">
        <f>IFERROR(Y308*I308/H308,"0")</f>
        <v>2130.0160000000001</v>
      </c>
      <c r="BO308" s="64">
        <f>IFERROR(1/J308*(X308/H308),"0")</f>
        <v>4.0064102564102564</v>
      </c>
      <c r="BP308" s="64">
        <f>IFERROR(1/J308*(Y308/H308),"0")</f>
        <v>4.015625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256.41025641025641</v>
      </c>
      <c r="Y312" s="543">
        <f>IFERROR(Y308/H308,"0")+IFERROR(Y309/H309,"0")+IFERROR(Y310/H310,"0")+IFERROR(Y311/H311,"0")</f>
        <v>257</v>
      </c>
      <c r="Z312" s="543">
        <f>IFERROR(IF(Z308="",0,Z308),"0")+IFERROR(IF(Z309="",0,Z309),"0")+IFERROR(IF(Z310="",0,Z310),"0")+IFERROR(IF(Z311="",0,Z311),"0")</f>
        <v>4.8778600000000001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2000</v>
      </c>
      <c r="Y313" s="543">
        <f>IFERROR(SUM(Y308:Y311),"0")</f>
        <v>2004.6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750</v>
      </c>
      <c r="Y343" s="542">
        <f t="shared" ref="Y343:Y349" si="36">IFERROR(IF(X343="",0,CEILING((X343/$H343),1)*$H343),"")</f>
        <v>750</v>
      </c>
      <c r="Z343" s="36">
        <f>IFERROR(IF(Y343=0,"",ROUNDUP(Y343/H343,0)*0.02175),"")</f>
        <v>1.0874999999999999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773.5</v>
      </c>
      <c r="BN343" s="64">
        <f t="shared" ref="BN343:BN349" si="38">IFERROR(Y343*I343/H343,"0")</f>
        <v>773.5</v>
      </c>
      <c r="BO343" s="64">
        <f t="shared" ref="BO343:BO349" si="39">IFERROR(1/J343*(X343/H343),"0")</f>
        <v>1.0416666666666665</v>
      </c>
      <c r="BP343" s="64">
        <f t="shared" ref="BP343:BP349" si="40">IFERROR(1/J343*(Y343/H343),"0")</f>
        <v>1.0416666666666665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3200</v>
      </c>
      <c r="Y344" s="542">
        <f t="shared" si="36"/>
        <v>3210</v>
      </c>
      <c r="Z344" s="36">
        <f>IFERROR(IF(Y344=0,"",ROUNDUP(Y344/H344,0)*0.02175),"")</f>
        <v>4.6544999999999996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3300.2666666666669</v>
      </c>
      <c r="BN344" s="64">
        <f t="shared" si="38"/>
        <v>3310.5800000000004</v>
      </c>
      <c r="BO344" s="64">
        <f t="shared" si="39"/>
        <v>4.4444444444444446</v>
      </c>
      <c r="BP344" s="64">
        <f t="shared" si="40"/>
        <v>4.458333333333333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3600</v>
      </c>
      <c r="Y346" s="542">
        <f t="shared" si="36"/>
        <v>3600</v>
      </c>
      <c r="Z346" s="36">
        <f>IFERROR(IF(Y346=0,"",ROUNDUP(Y346/H346,0)*0.02175),"")</f>
        <v>5.22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3712.8</v>
      </c>
      <c r="BN346" s="64">
        <f t="shared" si="38"/>
        <v>3712.8</v>
      </c>
      <c r="BO346" s="64">
        <f t="shared" si="39"/>
        <v>5</v>
      </c>
      <c r="BP346" s="64">
        <f t="shared" si="40"/>
        <v>5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503.33333333333337</v>
      </c>
      <c r="Y350" s="543">
        <f>IFERROR(Y343/H343,"0")+IFERROR(Y344/H344,"0")+IFERROR(Y345/H345,"0")+IFERROR(Y346/H346,"0")+IFERROR(Y347/H347,"0")+IFERROR(Y348/H348,"0")+IFERROR(Y349/H349,"0")</f>
        <v>504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10.962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7550</v>
      </c>
      <c r="Y351" s="543">
        <f>IFERROR(SUM(Y343:Y349),"0")</f>
        <v>7560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6000</v>
      </c>
      <c r="Y353" s="542">
        <f>IFERROR(IF(X353="",0,CEILING((X353/$H353),1)*$H353),"")</f>
        <v>6000</v>
      </c>
      <c r="Z353" s="36">
        <f>IFERROR(IF(Y353=0,"",ROUNDUP(Y353/H353,0)*0.02175),"")</f>
        <v>8.6999999999999993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6188</v>
      </c>
      <c r="BN353" s="64">
        <f>IFERROR(Y353*I353/H353,"0")</f>
        <v>6188</v>
      </c>
      <c r="BO353" s="64">
        <f>IFERROR(1/J353*(X353/H353),"0")</f>
        <v>8.3333333333333321</v>
      </c>
      <c r="BP353" s="64">
        <f>IFERROR(1/J353*(Y353/H353),"0")</f>
        <v>8.3333333333333321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400</v>
      </c>
      <c r="Y355" s="543">
        <f>IFERROR(Y353/H353,"0")+IFERROR(Y354/H354,"0")</f>
        <v>400</v>
      </c>
      <c r="Z355" s="543">
        <f>IFERROR(IF(Z353="",0,Z353),"0")+IFERROR(IF(Z354="",0,Z354),"0")</f>
        <v>8.6999999999999993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6000</v>
      </c>
      <c r="Y356" s="543">
        <f>IFERROR(SUM(Y353:Y354),"0")</f>
        <v>6000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700</v>
      </c>
      <c r="Y472" s="542">
        <f>IFERROR(IF(X472="",0,CEILING((X472/$H472),1)*$H472),"")</f>
        <v>701.4</v>
      </c>
      <c r="Z472" s="36">
        <f>IFERROR(IF(Y472=0,"",ROUNDUP(Y472/H472,0)*0.00902),"")</f>
        <v>1.50634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741.66666666666663</v>
      </c>
      <c r="BN472" s="64">
        <f>IFERROR(Y472*I472/H472,"0")</f>
        <v>743.15</v>
      </c>
      <c r="BO472" s="64">
        <f>IFERROR(1/J472*(X472/H472),"0")</f>
        <v>1.2626262626262625</v>
      </c>
      <c r="BP472" s="64">
        <f>IFERROR(1/J472*(Y472/H472),"0")</f>
        <v>1.2651515151515151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166.66666666666666</v>
      </c>
      <c r="Y473" s="543">
        <f>IFERROR(Y471/H471,"0")+IFERROR(Y472/H472,"0")</f>
        <v>167</v>
      </c>
      <c r="Z473" s="543">
        <f>IFERROR(IF(Z471="",0,Z471),"0")+IFERROR(IF(Z472="",0,Z472),"0")</f>
        <v>1.50634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700</v>
      </c>
      <c r="Y474" s="543">
        <f>IFERROR(SUM(Y471:Y472),"0")</f>
        <v>701.4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17950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17973.300000000003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18607.602279202281</v>
      </c>
      <c r="Y490" s="543">
        <f>IFERROR(SUM(BN22:BN486),"0")</f>
        <v>18631.866000000002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27</v>
      </c>
      <c r="Y491" s="38">
        <f>ROUNDUP(SUM(BP22:BP486),0)</f>
        <v>27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19282.602279202281</v>
      </c>
      <c r="Y492" s="543">
        <f>GrossWeightTotalR+PalletQtyTotalR*25</f>
        <v>19306.866000000002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1535.6695156695157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1538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29.14556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1707.3000000000002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2004.6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13560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701.4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2025-11-25T08:38:41Z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