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5158853-48C2-471F-AC4D-B85C9FA246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Y433" i="1" s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Y412" i="1" s="1"/>
  <c r="P407" i="1"/>
  <c r="X405" i="1"/>
  <c r="X404" i="1"/>
  <c r="BO403" i="1"/>
  <c r="BM403" i="1"/>
  <c r="Y403" i="1"/>
  <c r="V499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T499" i="1" s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50" i="1" s="1"/>
  <c r="P343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1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5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Q499" i="1" s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N264" i="1"/>
  <c r="BM264" i="1"/>
  <c r="Z264" i="1"/>
  <c r="Y264" i="1"/>
  <c r="BP264" i="1" s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4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O170" i="1"/>
  <c r="BN170" i="1"/>
  <c r="BM170" i="1"/>
  <c r="Z170" i="1"/>
  <c r="Y170" i="1"/>
  <c r="BP170" i="1" s="1"/>
  <c r="P170" i="1"/>
  <c r="BO169" i="1"/>
  <c r="BM169" i="1"/>
  <c r="Y169" i="1"/>
  <c r="BP169" i="1" s="1"/>
  <c r="P169" i="1"/>
  <c r="BO168" i="1"/>
  <c r="BN168" i="1"/>
  <c r="BM168" i="1"/>
  <c r="Z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I499" i="1" s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71" i="1"/>
  <c r="Y177" i="1"/>
  <c r="Y188" i="1"/>
  <c r="Y192" i="1"/>
  <c r="BP200" i="1"/>
  <c r="BN200" i="1"/>
  <c r="BP202" i="1"/>
  <c r="BN202" i="1"/>
  <c r="Z202" i="1"/>
  <c r="Y216" i="1"/>
  <c r="Y215" i="1"/>
  <c r="BP206" i="1"/>
  <c r="BN206" i="1"/>
  <c r="Z206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2" i="1" s="1"/>
  <c r="BN141" i="1"/>
  <c r="Y142" i="1"/>
  <c r="Z145" i="1"/>
  <c r="BN145" i="1"/>
  <c r="BP145" i="1"/>
  <c r="Z147" i="1"/>
  <c r="BN147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9" i="1"/>
  <c r="Z186" i="1"/>
  <c r="Z187" i="1" s="1"/>
  <c r="BN186" i="1"/>
  <c r="Y187" i="1"/>
  <c r="Z190" i="1"/>
  <c r="Z192" i="1" s="1"/>
  <c r="BN190" i="1"/>
  <c r="BP190" i="1"/>
  <c r="Y203" i="1"/>
  <c r="Z196" i="1"/>
  <c r="Z203" i="1" s="1"/>
  <c r="BN196" i="1"/>
  <c r="Z198" i="1"/>
  <c r="BN198" i="1"/>
  <c r="Z200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Y221" i="1"/>
  <c r="K499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Z250" i="1" s="1"/>
  <c r="BN245" i="1"/>
  <c r="BP245" i="1"/>
  <c r="Z247" i="1"/>
  <c r="BN247" i="1"/>
  <c r="Z249" i="1"/>
  <c r="BN249" i="1"/>
  <c r="Y250" i="1"/>
  <c r="Z254" i="1"/>
  <c r="Z259" i="1" s="1"/>
  <c r="BN254" i="1"/>
  <c r="BP254" i="1"/>
  <c r="Z256" i="1"/>
  <c r="BN256" i="1"/>
  <c r="Z258" i="1"/>
  <c r="BN258" i="1"/>
  <c r="Y259" i="1"/>
  <c r="Z263" i="1"/>
  <c r="BN263" i="1"/>
  <c r="BP273" i="1"/>
  <c r="BN273" i="1"/>
  <c r="Z273" i="1"/>
  <c r="P499" i="1"/>
  <c r="Y281" i="1"/>
  <c r="BP278" i="1"/>
  <c r="BN278" i="1"/>
  <c r="Z278" i="1"/>
  <c r="Z280" i="1" s="1"/>
  <c r="Y280" i="1"/>
  <c r="Y235" i="1"/>
  <c r="Y260" i="1"/>
  <c r="M499" i="1"/>
  <c r="Y267" i="1"/>
  <c r="BP266" i="1"/>
  <c r="BN266" i="1"/>
  <c r="Z266" i="1"/>
  <c r="Y268" i="1"/>
  <c r="Y274" i="1"/>
  <c r="BP271" i="1"/>
  <c r="BN271" i="1"/>
  <c r="Z271" i="1"/>
  <c r="Z274" i="1" s="1"/>
  <c r="O499" i="1"/>
  <c r="Y296" i="1"/>
  <c r="Y306" i="1"/>
  <c r="Y312" i="1"/>
  <c r="Y318" i="1"/>
  <c r="Y326" i="1"/>
  <c r="Y332" i="1"/>
  <c r="Y339" i="1"/>
  <c r="Y351" i="1"/>
  <c r="Y355" i="1"/>
  <c r="Y361" i="1"/>
  <c r="Y365" i="1"/>
  <c r="Y370" i="1"/>
  <c r="Y376" i="1"/>
  <c r="Y380" i="1"/>
  <c r="Y394" i="1"/>
  <c r="Y400" i="1"/>
  <c r="Y405" i="1"/>
  <c r="Y411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Y447" i="1"/>
  <c r="BP451" i="1"/>
  <c r="BN451" i="1"/>
  <c r="Z451" i="1"/>
  <c r="Z453" i="1" s="1"/>
  <c r="BP461" i="1"/>
  <c r="BN461" i="1"/>
  <c r="Z461" i="1"/>
  <c r="Y463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S499" i="1"/>
  <c r="W499" i="1"/>
  <c r="Z290" i="1"/>
  <c r="Z295" i="1" s="1"/>
  <c r="BN290" i="1"/>
  <c r="Z292" i="1"/>
  <c r="BN292" i="1"/>
  <c r="Z294" i="1"/>
  <c r="BN294" i="1"/>
  <c r="Y295" i="1"/>
  <c r="Z298" i="1"/>
  <c r="Z305" i="1" s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2" i="1"/>
  <c r="Z325" i="1" s="1"/>
  <c r="BN322" i="1"/>
  <c r="Z324" i="1"/>
  <c r="BN324" i="1"/>
  <c r="Z328" i="1"/>
  <c r="Z331" i="1" s="1"/>
  <c r="BN328" i="1"/>
  <c r="BP328" i="1"/>
  <c r="Z330" i="1"/>
  <c r="BN330" i="1"/>
  <c r="Z335" i="1"/>
  <c r="BN335" i="1"/>
  <c r="BP335" i="1"/>
  <c r="Z337" i="1"/>
  <c r="BN337" i="1"/>
  <c r="Y338" i="1"/>
  <c r="Z343" i="1"/>
  <c r="BN343" i="1"/>
  <c r="BP343" i="1"/>
  <c r="Z345" i="1"/>
  <c r="BN345" i="1"/>
  <c r="Z347" i="1"/>
  <c r="BN347" i="1"/>
  <c r="Z349" i="1"/>
  <c r="BN349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0" i="1" s="1"/>
  <c r="BN378" i="1"/>
  <c r="BP378" i="1"/>
  <c r="Z386" i="1"/>
  <c r="Z394" i="1" s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Z411" i="1" s="1"/>
  <c r="BN407" i="1"/>
  <c r="BP407" i="1"/>
  <c r="Z409" i="1"/>
  <c r="BN409" i="1"/>
  <c r="X499" i="1"/>
  <c r="Y432" i="1"/>
  <c r="Z422" i="1"/>
  <c r="Z432" i="1" s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BP445" i="1"/>
  <c r="BN445" i="1"/>
  <c r="Z445" i="1"/>
  <c r="Y454" i="1"/>
  <c r="Y453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Z468" i="1" l="1"/>
  <c r="Z438" i="1"/>
  <c r="Z267" i="1"/>
  <c r="Y491" i="1"/>
  <c r="Z215" i="1"/>
  <c r="Y489" i="1"/>
  <c r="Z350" i="1"/>
  <c r="Z338" i="1"/>
  <c r="Z312" i="1"/>
  <c r="Z148" i="1"/>
  <c r="Z103" i="1"/>
  <c r="Z43" i="1"/>
  <c r="Z31" i="1"/>
  <c r="Z494" i="1" s="1"/>
  <c r="Y493" i="1"/>
  <c r="Y490" i="1"/>
  <c r="Y492" i="1" s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<sst xmlns="http://schemas.openxmlformats.org/spreadsheetml/2006/main" count="2337" uniqueCount="763">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</sst>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200</v>
      </c>
      <c r="Y40" s="542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80</v>
      </c>
      <c r="Y41" s="542">
        <f>IFERROR(IF(X41="",0,CEILING((X41/$H41),1)*$H41),"")</f>
        <v>80</v>
      </c>
      <c r="Z41" s="36">
        <f>IFERROR(IF(Y41=0,"",ROUNDUP(Y41/H41,0)*0.00902),"")</f>
        <v>0.1804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83.800000000000011</v>
      </c>
      <c r="BN41" s="64">
        <f>IFERROR(Y41*I41/H41,"0")</f>
        <v>83.800000000000011</v>
      </c>
      <c r="BO41" s="64">
        <f>IFERROR(1/J41*(X41/H41),"0")</f>
        <v>0.15151515151515152</v>
      </c>
      <c r="BP41" s="64">
        <f>IFERROR(1/J41*(Y41/H41),"0")</f>
        <v>0.15151515151515152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38.518518518518519</v>
      </c>
      <c r="Y43" s="543">
        <f>IFERROR(Y40/H40,"0")+IFERROR(Y41/H41,"0")+IFERROR(Y42/H42,"0")</f>
        <v>39</v>
      </c>
      <c r="Z43" s="543">
        <f>IFERROR(IF(Z40="",0,Z40),"0")+IFERROR(IF(Z41="",0,Z41),"0")+IFERROR(IF(Z42="",0,Z42),"0")</f>
        <v>0.54102000000000006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280</v>
      </c>
      <c r="Y44" s="543">
        <f>IFERROR(SUM(Y40:Y42),"0")</f>
        <v>285.20000000000005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1300</v>
      </c>
      <c r="Y52" s="542">
        <f t="shared" si="0"/>
        <v>1306.8000000000002</v>
      </c>
      <c r="Z52" s="36">
        <f>IFERROR(IF(Y52=0,"",ROUNDUP(Y52/H52,0)*0.01898),"")</f>
        <v>2.2965800000000001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1349.351851851852</v>
      </c>
      <c r="BN52" s="64">
        <f t="shared" si="2"/>
        <v>1356.41</v>
      </c>
      <c r="BO52" s="64">
        <f t="shared" si="3"/>
        <v>1.880787037037037</v>
      </c>
      <c r="BP52" s="64">
        <f t="shared" si="4"/>
        <v>1.8906250000000002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1188</v>
      </c>
      <c r="Y56" s="542">
        <f t="shared" si="0"/>
        <v>1188</v>
      </c>
      <c r="Z56" s="36">
        <f>IFERROR(IF(Y56=0,"",ROUNDUP(Y56/H56,0)*0.00902),"")</f>
        <v>2.3812800000000003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1238.1600000000001</v>
      </c>
      <c r="BN56" s="64">
        <f t="shared" si="2"/>
        <v>1238.1600000000001</v>
      </c>
      <c r="BO56" s="64">
        <f t="shared" si="3"/>
        <v>2</v>
      </c>
      <c r="BP56" s="64">
        <f t="shared" si="4"/>
        <v>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384.37037037037038</v>
      </c>
      <c r="Y57" s="543">
        <f>IFERROR(Y51/H51,"0")+IFERROR(Y52/H52,"0")+IFERROR(Y53/H53,"0")+IFERROR(Y54/H54,"0")+IFERROR(Y55/H55,"0")+IFERROR(Y56/H56,"0")</f>
        <v>385</v>
      </c>
      <c r="Z57" s="543">
        <f>IFERROR(IF(Z51="",0,Z51),"0")+IFERROR(IF(Z52="",0,Z52),"0")+IFERROR(IF(Z53="",0,Z53),"0")+IFERROR(IF(Z54="",0,Z54),"0")+IFERROR(IF(Z55="",0,Z55),"0")+IFERROR(IF(Z56="",0,Z56),"0")</f>
        <v>4.6778600000000008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2488</v>
      </c>
      <c r="Y58" s="543">
        <f>IFERROR(SUM(Y51:Y56),"0")</f>
        <v>2494.8000000000002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1200</v>
      </c>
      <c r="Y60" s="542">
        <f>IFERROR(IF(X60="",0,CEILING((X60/$H60),1)*$H60),"")</f>
        <v>1209.6000000000001</v>
      </c>
      <c r="Z60" s="36">
        <f>IFERROR(IF(Y60=0,"",ROUNDUP(Y60/H60,0)*0.01898),"")</f>
        <v>2.1257600000000001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1245.5555555555557</v>
      </c>
      <c r="BN60" s="64">
        <f>IFERROR(Y60*I60/H60,"0")</f>
        <v>1255.52</v>
      </c>
      <c r="BO60" s="64">
        <f>IFERROR(1/J60*(X60/H60),"0")</f>
        <v>1.7361111111111109</v>
      </c>
      <c r="BP60" s="64">
        <f>IFERROR(1/J60*(Y60/H60),"0")</f>
        <v>1.75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491</v>
      </c>
      <c r="Y62" s="542">
        <f>IFERROR(IF(X62="",0,CEILING((X62/$H62),1)*$H62),"")</f>
        <v>491.40000000000003</v>
      </c>
      <c r="Z62" s="36">
        <f>IFERROR(IF(Y62=0,"",ROUNDUP(Y62/H62,0)*0.00651),"")</f>
        <v>1.18482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523.73333333333323</v>
      </c>
      <c r="BN62" s="64">
        <f>IFERROR(Y62*I62/H62,"0")</f>
        <v>524.16</v>
      </c>
      <c r="BO62" s="64">
        <f>IFERROR(1/J62*(X62/H62),"0")</f>
        <v>0.99918599918599926</v>
      </c>
      <c r="BP62" s="64">
        <f>IFERROR(1/J62*(Y62/H62),"0")</f>
        <v>1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292.96296296296293</v>
      </c>
      <c r="Y63" s="543">
        <f>IFERROR(Y60/H60,"0")+IFERROR(Y61/H61,"0")+IFERROR(Y62/H62,"0")</f>
        <v>294</v>
      </c>
      <c r="Z63" s="543">
        <f>IFERROR(IF(Z60="",0,Z60),"0")+IFERROR(IF(Z61="",0,Z61),"0")+IFERROR(IF(Z62="",0,Z62),"0")</f>
        <v>3.3105799999999999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1691</v>
      </c>
      <c r="Y64" s="543">
        <f>IFERROR(SUM(Y60:Y62),"0")</f>
        <v>1701.0000000000002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700</v>
      </c>
      <c r="Y85" s="542">
        <f>IFERROR(IF(X85="",0,CEILING((X85/$H85),1)*$H85),"")</f>
        <v>702</v>
      </c>
      <c r="Z85" s="36">
        <f>IFERROR(IF(Y85=0,"",ROUNDUP(Y85/H85,0)*0.01898),"")</f>
        <v>1.2337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726.57407407407413</v>
      </c>
      <c r="BN85" s="64">
        <f>IFERROR(Y85*I85/H85,"0")</f>
        <v>728.65000000000009</v>
      </c>
      <c r="BO85" s="64">
        <f>IFERROR(1/J85*(X85/H85),"0")</f>
        <v>1.0127314814814814</v>
      </c>
      <c r="BP85" s="64">
        <f>IFERROR(1/J85*(Y85/H85),"0")</f>
        <v>1.015625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64.81481481481481</v>
      </c>
      <c r="Y88" s="543">
        <f>IFERROR(Y85/H85,"0")+IFERROR(Y86/H86,"0")+IFERROR(Y87/H87,"0")</f>
        <v>65</v>
      </c>
      <c r="Z88" s="543">
        <f>IFERROR(IF(Z85="",0,Z85),"0")+IFERROR(IF(Z86="",0,Z86),"0")+IFERROR(IF(Z87="",0,Z87),"0")</f>
        <v>1.2337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700</v>
      </c>
      <c r="Y89" s="543">
        <f>IFERROR(SUM(Y85:Y87),"0")</f>
        <v>702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300</v>
      </c>
      <c r="Y91" s="542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37.037037037037038</v>
      </c>
      <c r="Y95" s="543">
        <f>IFERROR(Y91/H91,"0")+IFERROR(Y92/H92,"0")+IFERROR(Y93/H93,"0")+IFERROR(Y94/H94,"0")</f>
        <v>38</v>
      </c>
      <c r="Z95" s="543">
        <f>IFERROR(IF(Z91="",0,Z91),"0")+IFERROR(IF(Z92="",0,Z92),"0")+IFERROR(IF(Z93="",0,Z93),"0")+IFERROR(IF(Z94="",0,Z94),"0")</f>
        <v>0.72123999999999999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300</v>
      </c>
      <c r="Y96" s="543">
        <f>IFERROR(SUM(Y91:Y94),"0")</f>
        <v>307.8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700</v>
      </c>
      <c r="Y112" s="542">
        <f>IFERROR(IF(X112="",0,CEILING((X112/$H112),1)*$H112),"")</f>
        <v>704.69999999999993</v>
      </c>
      <c r="Z112" s="36">
        <f>IFERROR(IF(Y112=0,"",ROUNDUP(Y112/H112,0)*0.01898),"")</f>
        <v>1.65126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742.17283950617275</v>
      </c>
      <c r="BN112" s="64">
        <f>IFERROR(Y112*I112/H112,"0")</f>
        <v>747.15599999999995</v>
      </c>
      <c r="BO112" s="64">
        <f>IFERROR(1/J112*(X112/H112),"0")</f>
        <v>1.3503086419753088</v>
      </c>
      <c r="BP112" s="64">
        <f>IFERROR(1/J112*(Y112/H112),"0")</f>
        <v>1.359375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86.41975308641976</v>
      </c>
      <c r="Y116" s="543">
        <f>IFERROR(Y112/H112,"0")+IFERROR(Y113/H113,"0")+IFERROR(Y114/H114,"0")+IFERROR(Y115/H115,"0")</f>
        <v>87</v>
      </c>
      <c r="Z116" s="543">
        <f>IFERROR(IF(Z112="",0,Z112),"0")+IFERROR(IF(Z113="",0,Z113),"0")+IFERROR(IF(Z114="",0,Z114),"0")+IFERROR(IF(Z115="",0,Z115),"0")</f>
        <v>1.65126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700</v>
      </c>
      <c r="Y117" s="543">
        <f>IFERROR(SUM(Y112:Y115),"0")</f>
        <v>704.69999999999993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60</v>
      </c>
      <c r="Y145" s="542">
        <f>IFERROR(IF(X145="",0,CEILING((X145/$H145),1)*$H145),"")</f>
        <v>63</v>
      </c>
      <c r="Z145" s="36">
        <f>IFERROR(IF(Y145=0,"",ROUNDUP(Y145/H145,0)*0.01898),"")</f>
        <v>0.13286000000000001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63.733333333333334</v>
      </c>
      <c r="BN145" s="64">
        <f>IFERROR(Y145*I145/H145,"0")</f>
        <v>66.920000000000016</v>
      </c>
      <c r="BO145" s="64">
        <f>IFERROR(1/J145*(X145/H145),"0")</f>
        <v>0.10416666666666667</v>
      </c>
      <c r="BP145" s="64">
        <f>IFERROR(1/J145*(Y145/H145),"0")</f>
        <v>0.109375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25</v>
      </c>
      <c r="Y146" s="542">
        <f>IFERROR(IF(X146="",0,CEILING((X146/$H146),1)*$H146),"")</f>
        <v>25.200000000000003</v>
      </c>
      <c r="Z146" s="36">
        <f>IFERROR(IF(Y146=0,"",ROUNDUP(Y146/H146,0)*0.00651),"")</f>
        <v>3.9059999999999997E-2</v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26.607142857142858</v>
      </c>
      <c r="BN146" s="64">
        <f>IFERROR(Y146*I146/H146,"0")</f>
        <v>26.82</v>
      </c>
      <c r="BO146" s="64">
        <f>IFERROR(1/J146*(X146/H146),"0")</f>
        <v>3.2705389848246995E-2</v>
      </c>
      <c r="BP146" s="64">
        <f>IFERROR(1/J146*(Y146/H146),"0")</f>
        <v>3.2967032967032968E-2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200</v>
      </c>
      <c r="Y147" s="542">
        <f>IFERROR(IF(X147="",0,CEILING((X147/$H147),1)*$H147),"")</f>
        <v>207</v>
      </c>
      <c r="Z147" s="36">
        <f>IFERROR(IF(Y147=0,"",ROUNDUP(Y147/H147,0)*0.01898),"")</f>
        <v>0.43653999999999998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212.44444444444446</v>
      </c>
      <c r="BN147" s="64">
        <f>IFERROR(Y147*I147/H147,"0")</f>
        <v>219.88</v>
      </c>
      <c r="BO147" s="64">
        <f>IFERROR(1/J147*(X147/H147),"0")</f>
        <v>0.34722222222222221</v>
      </c>
      <c r="BP147" s="64">
        <f>IFERROR(1/J147*(Y147/H147),"0")</f>
        <v>0.359375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34.841269841269842</v>
      </c>
      <c r="Y148" s="543">
        <f>IFERROR(Y145/H145,"0")+IFERROR(Y146/H146,"0")+IFERROR(Y147/H147,"0")</f>
        <v>36</v>
      </c>
      <c r="Z148" s="543">
        <f>IFERROR(IF(Z145="",0,Z145),"0")+IFERROR(IF(Z146="",0,Z146),"0")+IFERROR(IF(Z147="",0,Z147),"0")</f>
        <v>0.60846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285</v>
      </c>
      <c r="Y149" s="543">
        <f>IFERROR(SUM(Y145:Y147),"0")</f>
        <v>295.2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200</v>
      </c>
      <c r="Y195" s="542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200</v>
      </c>
      <c r="Y196" s="542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111.11111111111111</v>
      </c>
      <c r="Y203" s="543">
        <f>IFERROR(Y195/H195,"0")+IFERROR(Y196/H196,"0")+IFERROR(Y197/H197,"0")+IFERROR(Y198/H198,"0")+IFERROR(Y199/H199,"0")+IFERROR(Y200/H200,"0")+IFERROR(Y201/H201,"0")+IFERROR(Y202/H202,"0")</f>
        <v>114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1.0282800000000001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600</v>
      </c>
      <c r="Y204" s="543">
        <f>IFERROR(SUM(Y195:Y202),"0")</f>
        <v>615.6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40</v>
      </c>
      <c r="Y258" s="542">
        <f>IFERROR(IF(X258="",0,CEILING((X258/$H258),1)*$H258),"")</f>
        <v>40</v>
      </c>
      <c r="Z258" s="36">
        <f>IFERROR(IF(Y258=0,"",ROUNDUP(Y258/H258,0)*0.00902),"")</f>
        <v>9.0200000000000002E-2</v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41.900000000000006</v>
      </c>
      <c r="BN258" s="64">
        <f>IFERROR(Y258*I258/H258,"0")</f>
        <v>41.900000000000006</v>
      </c>
      <c r="BO258" s="64">
        <f>IFERROR(1/J258*(X258/H258),"0")</f>
        <v>7.575757575757576E-2</v>
      </c>
      <c r="BP258" s="64">
        <f>IFERROR(1/J258*(Y258/H258),"0")</f>
        <v>7.575757575757576E-2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10</v>
      </c>
      <c r="Y259" s="543">
        <f>IFERROR(Y254/H254,"0")+IFERROR(Y255/H255,"0")+IFERROR(Y256/H256,"0")+IFERROR(Y257/H257,"0")+IFERROR(Y258/H258,"0")</f>
        <v>10</v>
      </c>
      <c r="Z259" s="543">
        <f>IFERROR(IF(Z254="",0,Z254),"0")+IFERROR(IF(Z255="",0,Z255),"0")+IFERROR(IF(Z256="",0,Z256),"0")+IFERROR(IF(Z257="",0,Z257),"0")+IFERROR(IF(Z258="",0,Z258),"0")</f>
        <v>9.0200000000000002E-2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40</v>
      </c>
      <c r="Y260" s="543">
        <f>IFERROR(SUM(Y254:Y258),"0")</f>
        <v>40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36</v>
      </c>
      <c r="Y283" s="542">
        <f>IFERROR(IF(X283="",0,CEILING((X283/$H283),1)*$H283),"")</f>
        <v>36</v>
      </c>
      <c r="Z283" s="36">
        <f>IFERROR(IF(Y283=0,"",ROUNDUP(Y283/H283,0)*0.00902),"")</f>
        <v>9.0200000000000002E-2</v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37.9</v>
      </c>
      <c r="BN283" s="64">
        <f>IFERROR(Y283*I283/H283,"0")</f>
        <v>37.9</v>
      </c>
      <c r="BO283" s="64">
        <f>IFERROR(1/J283*(X283/H283),"0")</f>
        <v>7.575757575757576E-2</v>
      </c>
      <c r="BP283" s="64">
        <f>IFERROR(1/J283*(Y283/H283),"0")</f>
        <v>7.575757575757576E-2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10</v>
      </c>
      <c r="Y285" s="543">
        <f>IFERROR(Y283/H283,"0")+IFERROR(Y284/H284,"0")</f>
        <v>10</v>
      </c>
      <c r="Z285" s="543">
        <f>IFERROR(IF(Z283="",0,Z283),"0")+IFERROR(IF(Z284="",0,Z284),"0")</f>
        <v>9.0200000000000002E-2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36</v>
      </c>
      <c r="Y286" s="543">
        <f>IFERROR(SUM(Y283:Y284),"0")</f>
        <v>36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1200</v>
      </c>
      <c r="Y289" s="542">
        <f t="shared" ref="Y289:Y294" si="26">IFERROR(IF(X289="",0,CEILING((X289/$H289),1)*$H289),"")</f>
        <v>1209.6000000000001</v>
      </c>
      <c r="Z289" s="36">
        <f>IFERROR(IF(Y289=0,"",ROUNDUP(Y289/H289,0)*0.01898),"")</f>
        <v>2.1257600000000001</v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1245.5555555555557</v>
      </c>
      <c r="BN289" s="64">
        <f t="shared" ref="BN289:BN294" si="28">IFERROR(Y289*I289/H289,"0")</f>
        <v>1255.52</v>
      </c>
      <c r="BO289" s="64">
        <f t="shared" ref="BO289:BO294" si="29">IFERROR(1/J289*(X289/H289),"0")</f>
        <v>1.7361111111111109</v>
      </c>
      <c r="BP289" s="64">
        <f t="shared" ref="BP289:BP294" si="30">IFERROR(1/J289*(Y289/H289),"0")</f>
        <v>1.75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300</v>
      </c>
      <c r="Y291" s="542">
        <f t="shared" si="26"/>
        <v>302.40000000000003</v>
      </c>
      <c r="Z291" s="36">
        <f>IFERROR(IF(Y291=0,"",ROUNDUP(Y291/H291,0)*0.01898),"")</f>
        <v>0.53144000000000002</v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311.38888888888891</v>
      </c>
      <c r="BN291" s="64">
        <f t="shared" si="28"/>
        <v>313.88</v>
      </c>
      <c r="BO291" s="64">
        <f t="shared" si="29"/>
        <v>0.43402777777777773</v>
      </c>
      <c r="BP291" s="64">
        <f t="shared" si="30"/>
        <v>0.4375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200</v>
      </c>
      <c r="Y294" s="542">
        <f t="shared" si="26"/>
        <v>200</v>
      </c>
      <c r="Z294" s="36">
        <f>IFERROR(IF(Y294=0,"",ROUNDUP(Y294/H294,0)*0.00902),"")</f>
        <v>0.45100000000000001</v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209.50000000000003</v>
      </c>
      <c r="BN294" s="64">
        <f t="shared" si="28"/>
        <v>209.50000000000003</v>
      </c>
      <c r="BO294" s="64">
        <f t="shared" si="29"/>
        <v>0.37878787878787878</v>
      </c>
      <c r="BP294" s="64">
        <f t="shared" si="30"/>
        <v>0.37878787878787878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188.88888888888889</v>
      </c>
      <c r="Y295" s="543">
        <f>IFERROR(Y289/H289,"0")+IFERROR(Y290/H290,"0")+IFERROR(Y291/H291,"0")+IFERROR(Y292/H292,"0")+IFERROR(Y293/H293,"0")+IFERROR(Y294/H294,"0")</f>
        <v>190</v>
      </c>
      <c r="Z295" s="543">
        <f>IFERROR(IF(Z289="",0,Z289),"0")+IFERROR(IF(Z290="",0,Z290),"0")+IFERROR(IF(Z291="",0,Z291),"0")+IFERROR(IF(Z292="",0,Z292),"0")+IFERROR(IF(Z293="",0,Z293),"0")+IFERROR(IF(Z294="",0,Z294),"0")</f>
        <v>3.1082000000000001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1700</v>
      </c>
      <c r="Y296" s="543">
        <f>IFERROR(SUM(Y289:Y294),"0")</f>
        <v>1712.0000000000002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300</v>
      </c>
      <c r="Y298" s="542">
        <f t="shared" ref="Y298:Y304" si="31">IFERROR(IF(X298="",0,CEILING((X298/$H298),1)*$H298),"")</f>
        <v>302.40000000000003</v>
      </c>
      <c r="Z298" s="36">
        <f>IFERROR(IF(Y298=0,"",ROUNDUP(Y298/H298,0)*0.00902),"")</f>
        <v>0.64944000000000002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317.85714285714283</v>
      </c>
      <c r="BN298" s="64">
        <f t="shared" ref="BN298:BN304" si="33">IFERROR(Y298*I298/H298,"0")</f>
        <v>320.40000000000003</v>
      </c>
      <c r="BO298" s="64">
        <f t="shared" ref="BO298:BO304" si="34">IFERROR(1/J298*(X298/H298),"0")</f>
        <v>0.54112554112554112</v>
      </c>
      <c r="BP298" s="64">
        <f t="shared" ref="BP298:BP304" si="35">IFERROR(1/J298*(Y298/H298),"0")</f>
        <v>0.54545454545454541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200</v>
      </c>
      <c r="Y299" s="542">
        <f t="shared" si="31"/>
        <v>201.60000000000002</v>
      </c>
      <c r="Z299" s="36">
        <f>IFERROR(IF(Y299=0,"",ROUNDUP(Y299/H299,0)*0.00902),"")</f>
        <v>0.43296000000000001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211.9047619047619</v>
      </c>
      <c r="BN299" s="64">
        <f t="shared" si="33"/>
        <v>213.60000000000002</v>
      </c>
      <c r="BO299" s="64">
        <f t="shared" si="34"/>
        <v>0.36075036075036077</v>
      </c>
      <c r="BP299" s="64">
        <f t="shared" si="35"/>
        <v>0.36363636363636365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28</v>
      </c>
      <c r="Y301" s="542">
        <f t="shared" si="31"/>
        <v>29.400000000000002</v>
      </c>
      <c r="Z301" s="36">
        <f>IFERROR(IF(Y301=0,"",ROUNDUP(Y301/H301,0)*0.00502),"")</f>
        <v>7.0280000000000009E-2</v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29.733333333333331</v>
      </c>
      <c r="BN301" s="64">
        <f t="shared" si="33"/>
        <v>31.22</v>
      </c>
      <c r="BO301" s="64">
        <f t="shared" si="34"/>
        <v>5.6980056980056981E-2</v>
      </c>
      <c r="BP301" s="64">
        <f t="shared" si="35"/>
        <v>5.9829059829059839E-2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132.38095238095238</v>
      </c>
      <c r="Y305" s="543">
        <f>IFERROR(Y298/H298,"0")+IFERROR(Y299/H299,"0")+IFERROR(Y300/H300,"0")+IFERROR(Y301/H301,"0")+IFERROR(Y302/H302,"0")+IFERROR(Y303/H303,"0")+IFERROR(Y304/H304,"0")</f>
        <v>134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1.1526800000000001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528</v>
      </c>
      <c r="Y306" s="543">
        <f>IFERROR(SUM(Y298:Y304),"0")</f>
        <v>533.40000000000009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2000</v>
      </c>
      <c r="Y308" s="542">
        <f>IFERROR(IF(X308="",0,CEILING((X308/$H308),1)*$H308),"")</f>
        <v>2004.6</v>
      </c>
      <c r="Z308" s="36">
        <f>IFERROR(IF(Y308=0,"",ROUNDUP(Y308/H308,0)*0.01898),"")</f>
        <v>4.8778600000000001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2125.1282051282051</v>
      </c>
      <c r="BN308" s="64">
        <f>IFERROR(Y308*I308/H308,"0")</f>
        <v>2130.0160000000001</v>
      </c>
      <c r="BO308" s="64">
        <f>IFERROR(1/J308*(X308/H308),"0")</f>
        <v>4.0064102564102564</v>
      </c>
      <c r="BP308" s="64">
        <f>IFERROR(1/J308*(Y308/H308),"0")</f>
        <v>4.015625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120</v>
      </c>
      <c r="Y311" s="542">
        <f>IFERROR(IF(X311="",0,CEILING((X311/$H311),1)*$H311),"")</f>
        <v>120</v>
      </c>
      <c r="Z311" s="36">
        <f>IFERROR(IF(Y311=0,"",ROUNDUP(Y311/H311,0)*0.00651),"")</f>
        <v>0.26040000000000002</v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129.84</v>
      </c>
      <c r="BN311" s="64">
        <f>IFERROR(Y311*I311/H311,"0")</f>
        <v>129.84</v>
      </c>
      <c r="BO311" s="64">
        <f>IFERROR(1/J311*(X311/H311),"0")</f>
        <v>0.2197802197802198</v>
      </c>
      <c r="BP311" s="64">
        <f>IFERROR(1/J311*(Y311/H311),"0")</f>
        <v>0.2197802197802198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296.41025641025641</v>
      </c>
      <c r="Y312" s="543">
        <f>IFERROR(Y308/H308,"0")+IFERROR(Y309/H309,"0")+IFERROR(Y310/H310,"0")+IFERROR(Y311/H311,"0")</f>
        <v>297</v>
      </c>
      <c r="Z312" s="543">
        <f>IFERROR(IF(Z308="",0,Z308),"0")+IFERROR(IF(Z309="",0,Z309),"0")+IFERROR(IF(Z310="",0,Z310),"0")+IFERROR(IF(Z311="",0,Z311),"0")</f>
        <v>5.1382599999999998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2120</v>
      </c>
      <c r="Y313" s="543">
        <f>IFERROR(SUM(Y308:Y311),"0")</f>
        <v>2124.6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500</v>
      </c>
      <c r="Y316" s="542">
        <f>IFERROR(IF(X316="",0,CEILING((X316/$H316),1)*$H316),"")</f>
        <v>507</v>
      </c>
      <c r="Z316" s="36">
        <f>IFERROR(IF(Y316=0,"",ROUNDUP(Y316/H316,0)*0.01898),"")</f>
        <v>1.2337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531.66666666666663</v>
      </c>
      <c r="BN316" s="64">
        <f>IFERROR(Y316*I316/H316,"0")</f>
        <v>539.11</v>
      </c>
      <c r="BO316" s="64">
        <f>IFERROR(1/J316*(X316/H316),"0")</f>
        <v>1.0016025641025641</v>
      </c>
      <c r="BP316" s="64">
        <f>IFERROR(1/J316*(Y316/H316),"0")</f>
        <v>1.015625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160</v>
      </c>
      <c r="Y317" s="542">
        <f>IFERROR(IF(X317="",0,CEILING((X317/$H317),1)*$H317),"")</f>
        <v>168</v>
      </c>
      <c r="Z317" s="36">
        <f>IFERROR(IF(Y317=0,"",ROUNDUP(Y317/H317,0)*0.01898),"")</f>
        <v>0.37959999999999999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169.40952380952379</v>
      </c>
      <c r="BN317" s="64">
        <f>IFERROR(Y317*I317/H317,"0")</f>
        <v>177.88</v>
      </c>
      <c r="BO317" s="64">
        <f>IFERROR(1/J317*(X317/H317),"0")</f>
        <v>0.29761904761904762</v>
      </c>
      <c r="BP317" s="64">
        <f>IFERROR(1/J317*(Y317/H317),"0")</f>
        <v>0.3125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83.150183150183153</v>
      </c>
      <c r="Y318" s="543">
        <f>IFERROR(Y315/H315,"0")+IFERROR(Y316/H316,"0")+IFERROR(Y317/H317,"0")</f>
        <v>85</v>
      </c>
      <c r="Z318" s="543">
        <f>IFERROR(IF(Z315="",0,Z315),"0")+IFERROR(IF(Z316="",0,Z316),"0")+IFERROR(IF(Z317="",0,Z317),"0")</f>
        <v>1.6133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660</v>
      </c>
      <c r="Y319" s="543">
        <f>IFERROR(SUM(Y315:Y317),"0")</f>
        <v>675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50</v>
      </c>
      <c r="Y324" s="542">
        <f>IFERROR(IF(X324="",0,CEILING((X324/$H324),1)*$H324),"")</f>
        <v>51</v>
      </c>
      <c r="Z324" s="36">
        <f>IFERROR(IF(Y324=0,"",ROUNDUP(Y324/H324,0)*0.00651),"")</f>
        <v>0.13020000000000001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56.470588235294123</v>
      </c>
      <c r="BN324" s="64">
        <f>IFERROR(Y324*I324/H324,"0")</f>
        <v>57.6</v>
      </c>
      <c r="BO324" s="64">
        <f>IFERROR(1/J324*(X324/H324),"0")</f>
        <v>0.10773540185304893</v>
      </c>
      <c r="BP324" s="64">
        <f>IFERROR(1/J324*(Y324/H324),"0")</f>
        <v>0.1098901098901099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19.607843137254903</v>
      </c>
      <c r="Y325" s="543">
        <f>IFERROR(Y321/H321,"0")+IFERROR(Y322/H322,"0")+IFERROR(Y323/H323,"0")+IFERROR(Y324/H324,"0")</f>
        <v>20</v>
      </c>
      <c r="Z325" s="543">
        <f>IFERROR(IF(Z321="",0,Z321),"0")+IFERROR(IF(Z322="",0,Z322),"0")+IFERROR(IF(Z323="",0,Z323),"0")+IFERROR(IF(Z324="",0,Z324),"0")</f>
        <v>0.13020000000000001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50</v>
      </c>
      <c r="Y326" s="543">
        <f>IFERROR(SUM(Y321:Y324),"0")</f>
        <v>51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300</v>
      </c>
      <c r="Y335" s="542">
        <f>IFERROR(IF(X335="",0,CEILING((X335/$H335),1)*$H335),"")</f>
        <v>307.8</v>
      </c>
      <c r="Z335" s="36">
        <f>IFERROR(IF(Y335=0,"",ROUNDUP(Y335/H335,0)*0.01898),"")</f>
        <v>0.72123999999999999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318.2962962962963</v>
      </c>
      <c r="BN335" s="64">
        <f>IFERROR(Y335*I335/H335,"0")</f>
        <v>326.572</v>
      </c>
      <c r="BO335" s="64">
        <f>IFERROR(1/J335*(X335/H335),"0")</f>
        <v>0.57870370370370372</v>
      </c>
      <c r="BP335" s="64">
        <f>IFERROR(1/J335*(Y335/H335),"0")</f>
        <v>0.59375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105</v>
      </c>
      <c r="Y336" s="542">
        <f>IFERROR(IF(X336="",0,CEILING((X336/$H336),1)*$H336),"")</f>
        <v>105</v>
      </c>
      <c r="Z336" s="36">
        <f>IFERROR(IF(Y336=0,"",ROUNDUP(Y336/H336,0)*0.00651),"")</f>
        <v>0.32550000000000001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117.59999999999998</v>
      </c>
      <c r="BN336" s="64">
        <f>IFERROR(Y336*I336/H336,"0")</f>
        <v>117.59999999999998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75</v>
      </c>
      <c r="Y337" s="542">
        <f>IFERROR(IF(X337="",0,CEILING((X337/$H337),1)*$H337),"")</f>
        <v>75.600000000000009</v>
      </c>
      <c r="Z337" s="36">
        <f>IFERROR(IF(Y337=0,"",ROUNDUP(Y337/H337,0)*0.00651),"")</f>
        <v>0.23436000000000001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83.571428571428569</v>
      </c>
      <c r="BN337" s="64">
        <f>IFERROR(Y337*I337/H337,"0")</f>
        <v>84.24</v>
      </c>
      <c r="BO337" s="64">
        <f>IFERROR(1/J337*(X337/H337),"0")</f>
        <v>0.19623233908948196</v>
      </c>
      <c r="BP337" s="64">
        <f>IFERROR(1/J337*(Y337/H337),"0")</f>
        <v>0.19780219780219782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122.75132275132276</v>
      </c>
      <c r="Y338" s="543">
        <f>IFERROR(Y335/H335,"0")+IFERROR(Y336/H336,"0")+IFERROR(Y337/H337,"0")</f>
        <v>124</v>
      </c>
      <c r="Z338" s="543">
        <f>IFERROR(IF(Z335="",0,Z335),"0")+IFERROR(IF(Z336="",0,Z336),"0")+IFERROR(IF(Z337="",0,Z337),"0")</f>
        <v>1.2810999999999999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480</v>
      </c>
      <c r="Y339" s="543">
        <f>IFERROR(SUM(Y335:Y337),"0")</f>
        <v>488.40000000000003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750</v>
      </c>
      <c r="Y343" s="542">
        <f t="shared" ref="Y343:Y349" si="36">IFERROR(IF(X343="",0,CEILING((X343/$H343),1)*$H343),"")</f>
        <v>750</v>
      </c>
      <c r="Z343" s="36">
        <f>IFERROR(IF(Y343=0,"",ROUNDUP(Y343/H343,0)*0.02175),"")</f>
        <v>1.0874999999999999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773.5</v>
      </c>
      <c r="BN343" s="64">
        <f t="shared" ref="BN343:BN349" si="38">IFERROR(Y343*I343/H343,"0")</f>
        <v>773.5</v>
      </c>
      <c r="BO343" s="64">
        <f t="shared" ref="BO343:BO349" si="39">IFERROR(1/J343*(X343/H343),"0")</f>
        <v>1.0416666666666665</v>
      </c>
      <c r="BP343" s="64">
        <f t="shared" ref="BP343:BP349" si="40">IFERROR(1/J343*(Y343/H343),"0")</f>
        <v>1.0416666666666665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500</v>
      </c>
      <c r="Y344" s="542">
        <f t="shared" si="36"/>
        <v>510</v>
      </c>
      <c r="Z344" s="36">
        <f>IFERROR(IF(Y344=0,"",ROUNDUP(Y344/H344,0)*0.02175),"")</f>
        <v>0.73949999999999994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515.66666666666663</v>
      </c>
      <c r="BN344" s="64">
        <f t="shared" si="38"/>
        <v>525.98</v>
      </c>
      <c r="BO344" s="64">
        <f t="shared" si="39"/>
        <v>0.69444444444444442</v>
      </c>
      <c r="BP344" s="64">
        <f t="shared" si="40"/>
        <v>0.70833333333333326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50</v>
      </c>
      <c r="Y349" s="542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93.333333333333343</v>
      </c>
      <c r="Y350" s="543">
        <f>IFERROR(Y343/H343,"0")+IFERROR(Y344/H344,"0")+IFERROR(Y345/H345,"0")+IFERROR(Y346/H346,"0")+IFERROR(Y347/H347,"0")+IFERROR(Y348/H348,"0")+IFERROR(Y349/H349,"0")</f>
        <v>94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1.9172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1300</v>
      </c>
      <c r="Y351" s="543">
        <f>IFERROR(SUM(Y343:Y349),"0")</f>
        <v>1310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40</v>
      </c>
      <c r="Y354" s="542">
        <f>IFERROR(IF(X354="",0,CEILING((X354/$H354),1)*$H354),"")</f>
        <v>40</v>
      </c>
      <c r="Z354" s="36">
        <f>IFERROR(IF(Y354=0,"",ROUNDUP(Y354/H354,0)*0.00902),"")</f>
        <v>9.0200000000000002E-2</v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41.900000000000006</v>
      </c>
      <c r="BN354" s="64">
        <f>IFERROR(Y354*I354/H354,"0")</f>
        <v>41.900000000000006</v>
      </c>
      <c r="BO354" s="64">
        <f>IFERROR(1/J354*(X354/H354),"0")</f>
        <v>7.575757575757576E-2</v>
      </c>
      <c r="BP354" s="64">
        <f>IFERROR(1/J354*(Y354/H354),"0")</f>
        <v>7.575757575757576E-2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10</v>
      </c>
      <c r="Y355" s="543">
        <f>IFERROR(Y353/H353,"0")+IFERROR(Y354/H354,"0")</f>
        <v>10</v>
      </c>
      <c r="Z355" s="543">
        <f>IFERROR(IF(Z353="",0,Z353),"0")+IFERROR(IF(Z354="",0,Z354),"0")</f>
        <v>9.0200000000000002E-2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40</v>
      </c>
      <c r="Y356" s="543">
        <f>IFERROR(SUM(Y353:Y354),"0")</f>
        <v>40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1100</v>
      </c>
      <c r="Y422" s="542">
        <f t="shared" si="47"/>
        <v>1103.52</v>
      </c>
      <c r="Z422" s="36">
        <f t="shared" si="48"/>
        <v>2.4996399999999999</v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1172.9166666666665</v>
      </c>
      <c r="BN422" s="64">
        <f t="shared" si="50"/>
        <v>1176.6699999999998</v>
      </c>
      <c r="BO422" s="64">
        <f t="shared" si="51"/>
        <v>2.0032051282051282</v>
      </c>
      <c r="BP422" s="64">
        <f t="shared" si="52"/>
        <v>2.0096153846153846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208.33333333333331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209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2.4996399999999999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1100</v>
      </c>
      <c r="Y433" s="543">
        <f>IFERROR(SUM(Y421:Y431),"0")</f>
        <v>1103.52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1100</v>
      </c>
      <c r="Y435" s="542">
        <f>IFERROR(IF(X435="",0,CEILING((X435/$H435),1)*$H435),"")</f>
        <v>1103.52</v>
      </c>
      <c r="Z435" s="36">
        <f>IFERROR(IF(Y435=0,"",ROUNDUP(Y435/H435,0)*0.01196),"")</f>
        <v>2.4996399999999999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1172.9166666666665</v>
      </c>
      <c r="BN435" s="64">
        <f>IFERROR(Y435*I435/H435,"0")</f>
        <v>1176.6699999999998</v>
      </c>
      <c r="BO435" s="64">
        <f>IFERROR(1/J435*(X435/H435),"0")</f>
        <v>2.0032051282051282</v>
      </c>
      <c r="BP435" s="64">
        <f>IFERROR(1/J435*(Y435/H435),"0")</f>
        <v>2.0096153846153846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208.33333333333331</v>
      </c>
      <c r="Y438" s="543">
        <f>IFERROR(Y435/H435,"0")+IFERROR(Y436/H436,"0")+IFERROR(Y437/H437,"0")</f>
        <v>209</v>
      </c>
      <c r="Z438" s="543">
        <f>IFERROR(IF(Z435="",0,Z435),"0")+IFERROR(IF(Z436="",0,Z436),"0")+IFERROR(IF(Z437="",0,Z437),"0")</f>
        <v>2.4996399999999999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1100</v>
      </c>
      <c r="Y439" s="543">
        <f>IFERROR(SUM(Y435:Y437),"0")</f>
        <v>1103.52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100</v>
      </c>
      <c r="Y441" s="542">
        <f t="shared" ref="Y441:Y446" si="53">IFERROR(IF(X441="",0,CEILING((X441/$H441),1)*$H441),"")</f>
        <v>100.32000000000001</v>
      </c>
      <c r="Z441" s="36">
        <f>IFERROR(IF(Y441=0,"",ROUNDUP(Y441/H441,0)*0.01196),"")</f>
        <v>0.22724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106.62878787878788</v>
      </c>
      <c r="BN441" s="64">
        <f t="shared" ref="BN441:BN446" si="55">IFERROR(Y441*I441/H441,"0")</f>
        <v>106.97</v>
      </c>
      <c r="BO441" s="64">
        <f t="shared" ref="BO441:BO446" si="56">IFERROR(1/J441*(X441/H441),"0")</f>
        <v>0.18210955710955709</v>
      </c>
      <c r="BP441" s="64">
        <f t="shared" ref="BP441:BP446" si="57">IFERROR(1/J441*(Y441/H441),"0")</f>
        <v>0.18269230769230771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150</v>
      </c>
      <c r="Y442" s="542">
        <f t="shared" si="53"/>
        <v>153.12</v>
      </c>
      <c r="Z442" s="36">
        <f>IFERROR(IF(Y442=0,"",ROUNDUP(Y442/H442,0)*0.01196),"")</f>
        <v>0.34683999999999998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159.94318181818181</v>
      </c>
      <c r="BN442" s="64">
        <f t="shared" si="55"/>
        <v>163.26999999999998</v>
      </c>
      <c r="BO442" s="64">
        <f t="shared" si="56"/>
        <v>0.27316433566433568</v>
      </c>
      <c r="BP442" s="64">
        <f t="shared" si="57"/>
        <v>0.27884615384615385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500</v>
      </c>
      <c r="Y443" s="542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142.04545454545453</v>
      </c>
      <c r="Y447" s="543">
        <f>IFERROR(Y441/H441,"0")+IFERROR(Y442/H442,"0")+IFERROR(Y443/H443,"0")+IFERROR(Y444/H444,"0")+IFERROR(Y445/H445,"0")+IFERROR(Y446/H446,"0")</f>
        <v>143</v>
      </c>
      <c r="Z447" s="543">
        <f>IFERROR(IF(Z441="",0,Z441),"0")+IFERROR(IF(Z442="",0,Z442),"0")+IFERROR(IF(Z443="",0,Z443),"0")+IFERROR(IF(Z444="",0,Z444),"0")+IFERROR(IF(Z445="",0,Z445),"0")+IFERROR(IF(Z446="",0,Z446),"0")</f>
        <v>1.71028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750</v>
      </c>
      <c r="Y448" s="543">
        <f>IFERROR(SUM(Y441:Y446),"0")</f>
        <v>755.04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180</v>
      </c>
      <c r="Y460" s="542">
        <f>IFERROR(IF(X460="",0,CEILING((X460/$H460),1)*$H460),"")</f>
        <v>180</v>
      </c>
      <c r="Z460" s="36">
        <f>IFERROR(IF(Y460=0,"",ROUNDUP(Y460/H460,0)*0.01898),"")</f>
        <v>0.28470000000000001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186.15</v>
      </c>
      <c r="BN460" s="64">
        <f>IFERROR(Y460*I460/H460,"0")</f>
        <v>186.15</v>
      </c>
      <c r="BO460" s="64">
        <f>IFERROR(1/J460*(X460/H460),"0")</f>
        <v>0.234375</v>
      </c>
      <c r="BP460" s="64">
        <f>IFERROR(1/J460*(Y460/H460),"0")</f>
        <v>0.234375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15</v>
      </c>
      <c r="Y462" s="543">
        <f>IFERROR(Y458/H458,"0")+IFERROR(Y459/H459,"0")+IFERROR(Y460/H460,"0")+IFERROR(Y461/H461,"0")</f>
        <v>15</v>
      </c>
      <c r="Z462" s="543">
        <f>IFERROR(IF(Z458="",0,Z458),"0")+IFERROR(IF(Z459="",0,Z459),"0")+IFERROR(IF(Z460="",0,Z460),"0")+IFERROR(IF(Z461="",0,Z461),"0")</f>
        <v>0.28470000000000001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180</v>
      </c>
      <c r="Y463" s="543">
        <f>IFERROR(SUM(Y458:Y461),"0")</f>
        <v>180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700</v>
      </c>
      <c r="Y472" s="542">
        <f>IFERROR(IF(X472="",0,CEILING((X472/$H472),1)*$H472),"")</f>
        <v>701.4</v>
      </c>
      <c r="Z472" s="36">
        <f>IFERROR(IF(Y472=0,"",ROUNDUP(Y472/H472,0)*0.00902),"")</f>
        <v>1.50634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741.66666666666663</v>
      </c>
      <c r="BN472" s="64">
        <f>IFERROR(Y472*I472/H472,"0")</f>
        <v>743.15</v>
      </c>
      <c r="BO472" s="64">
        <f>IFERROR(1/J472*(X472/H472),"0")</f>
        <v>1.2626262626262625</v>
      </c>
      <c r="BP472" s="64">
        <f>IFERROR(1/J472*(Y472/H472),"0")</f>
        <v>1.2651515151515151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166.66666666666666</v>
      </c>
      <c r="Y473" s="543">
        <f>IFERROR(Y471/H471,"0")+IFERROR(Y472/H472,"0")</f>
        <v>167</v>
      </c>
      <c r="Z473" s="543">
        <f>IFERROR(IF(Z471="",0,Z471),"0")+IFERROR(IF(Z472="",0,Z472),"0")</f>
        <v>1.50634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700</v>
      </c>
      <c r="Y474" s="543">
        <f>IFERROR(SUM(Y471:Y472),"0")</f>
        <v>701.4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17828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17960.180000000004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18753.187541960582</v>
      </c>
      <c r="Y490" s="543">
        <f>IFERROR(SUM(BN22:BN486),"0")</f>
        <v>18892.085999999999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31</v>
      </c>
      <c r="Y491" s="38">
        <f>ROUNDUP(SUM(BP22:BP486),0)</f>
        <v>31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19528.187541960582</v>
      </c>
      <c r="Y492" s="543">
        <f>GrossWeightTotalR+PalletQtyTotalR*25</f>
        <v>19667.085999999999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2756.9774056734841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2775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36.884539999999994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285.20000000000005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4195.8</v>
      </c>
      <c r="E499" s="46">
        <f>IFERROR(Y85*1,"0")+IFERROR(Y86*1,"0")+IFERROR(Y87*1,"0")+IFERROR(Y91*1,"0")+IFERROR(Y92*1,"0")+IFERROR(Y93*1,"0")+IFERROR(Y94*1,"0")</f>
        <v>1009.8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704.69999999999993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295.2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615.6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40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36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5096</v>
      </c>
      <c r="R499" s="46">
        <f>IFERROR(Y335*1,"0")+IFERROR(Y336*1,"0")+IFERROR(Y337*1,"0")</f>
        <v>488.40000000000003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1350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2962.08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881.4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2025-11-25T08:37:18Z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