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9CFD296A-6DB4-4FA3-B9CB-A6043314B1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W499" i="1" s="1"/>
  <c r="P415" i="1"/>
  <c r="X412" i="1"/>
  <c r="X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Y411" i="1" s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Y400" i="1" s="1"/>
  <c r="P397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U499" i="1" s="1"/>
  <c r="P385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Y376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S499" i="1" s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Y319" i="1" s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N266" i="1"/>
  <c r="BM266" i="1"/>
  <c r="Z266" i="1"/>
  <c r="Y266" i="1"/>
  <c r="BP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Y268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499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H499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9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X493" i="1" s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3" i="1" s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4" i="1"/>
  <c r="Y150" i="1"/>
  <c r="Y171" i="1"/>
  <c r="Y177" i="1"/>
  <c r="Y188" i="1"/>
  <c r="Y192" i="1"/>
  <c r="Y204" i="1"/>
  <c r="Y215" i="1"/>
  <c r="BP206" i="1"/>
  <c r="BN206" i="1"/>
  <c r="Z206" i="1"/>
  <c r="BP210" i="1"/>
  <c r="BN210" i="1"/>
  <c r="Z210" i="1"/>
  <c r="BP214" i="1"/>
  <c r="BN214" i="1"/>
  <c r="Z214" i="1"/>
  <c r="Y216" i="1"/>
  <c r="Y220" i="1"/>
  <c r="Y221" i="1"/>
  <c r="BP218" i="1"/>
  <c r="BN218" i="1"/>
  <c r="Z218" i="1"/>
  <c r="Z220" i="1" s="1"/>
  <c r="H9" i="1"/>
  <c r="B499" i="1"/>
  <c r="X490" i="1"/>
  <c r="X491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D499" i="1"/>
  <c r="Z52" i="1"/>
  <c r="Z57" i="1" s="1"/>
  <c r="BN52" i="1"/>
  <c r="Z54" i="1"/>
  <c r="BN54" i="1"/>
  <c r="Z56" i="1"/>
  <c r="BN56" i="1"/>
  <c r="Y57" i="1"/>
  <c r="Z60" i="1"/>
  <c r="BN60" i="1"/>
  <c r="BP60" i="1"/>
  <c r="Y491" i="1" s="1"/>
  <c r="Z62" i="1"/>
  <c r="BN62" i="1"/>
  <c r="Z66" i="1"/>
  <c r="Z69" i="1" s="1"/>
  <c r="BN66" i="1"/>
  <c r="BP66" i="1"/>
  <c r="Z68" i="1"/>
  <c r="BN68" i="1"/>
  <c r="Z72" i="1"/>
  <c r="BN72" i="1"/>
  <c r="BP72" i="1"/>
  <c r="Z74" i="1"/>
  <c r="BN74" i="1"/>
  <c r="Z80" i="1"/>
  <c r="Z81" i="1" s="1"/>
  <c r="BN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F499" i="1"/>
  <c r="Z100" i="1"/>
  <c r="Z103" i="1" s="1"/>
  <c r="BN100" i="1"/>
  <c r="Z102" i="1"/>
  <c r="BN102" i="1"/>
  <c r="Y103" i="1"/>
  <c r="Z106" i="1"/>
  <c r="BN106" i="1"/>
  <c r="BP106" i="1"/>
  <c r="Z108" i="1"/>
  <c r="BN108" i="1"/>
  <c r="Z112" i="1"/>
  <c r="Z116" i="1" s="1"/>
  <c r="BN112" i="1"/>
  <c r="BP112" i="1"/>
  <c r="Z114" i="1"/>
  <c r="BN114" i="1"/>
  <c r="G499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Z143" i="1" s="1"/>
  <c r="BN140" i="1"/>
  <c r="BP140" i="1"/>
  <c r="Z142" i="1"/>
  <c r="BN142" i="1"/>
  <c r="Y143" i="1"/>
  <c r="Z146" i="1"/>
  <c r="Z149" i="1" s="1"/>
  <c r="BN146" i="1"/>
  <c r="BP146" i="1"/>
  <c r="Z148" i="1"/>
  <c r="BN148" i="1"/>
  <c r="I499" i="1"/>
  <c r="Y160" i="1"/>
  <c r="Z163" i="1"/>
  <c r="Z171" i="1" s="1"/>
  <c r="BN163" i="1"/>
  <c r="Z165" i="1"/>
  <c r="BN165" i="1"/>
  <c r="Z167" i="1"/>
  <c r="BN167" i="1"/>
  <c r="Z169" i="1"/>
  <c r="BN169" i="1"/>
  <c r="Z175" i="1"/>
  <c r="Z177" i="1" s="1"/>
  <c r="BN175" i="1"/>
  <c r="J499" i="1"/>
  <c r="Z186" i="1"/>
  <c r="Z187" i="1" s="1"/>
  <c r="BN186" i="1"/>
  <c r="Y187" i="1"/>
  <c r="Z190" i="1"/>
  <c r="Z192" i="1" s="1"/>
  <c r="BN190" i="1"/>
  <c r="BP190" i="1"/>
  <c r="Z196" i="1"/>
  <c r="Z203" i="1" s="1"/>
  <c r="BN196" i="1"/>
  <c r="Z198" i="1"/>
  <c r="BN198" i="1"/>
  <c r="Z200" i="1"/>
  <c r="BN200" i="1"/>
  <c r="Z202" i="1"/>
  <c r="BN202" i="1"/>
  <c r="BP208" i="1"/>
  <c r="BN208" i="1"/>
  <c r="Z208" i="1"/>
  <c r="BP212" i="1"/>
  <c r="BN212" i="1"/>
  <c r="Z212" i="1"/>
  <c r="K499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Z250" i="1" s="1"/>
  <c r="BN245" i="1"/>
  <c r="BP245" i="1"/>
  <c r="Z247" i="1"/>
  <c r="BN247" i="1"/>
  <c r="Z249" i="1"/>
  <c r="BN249" i="1"/>
  <c r="Y250" i="1"/>
  <c r="Z254" i="1"/>
  <c r="Z259" i="1" s="1"/>
  <c r="BN254" i="1"/>
  <c r="BP254" i="1"/>
  <c r="Z256" i="1"/>
  <c r="BN256" i="1"/>
  <c r="Z258" i="1"/>
  <c r="BN258" i="1"/>
  <c r="Y259" i="1"/>
  <c r="Z263" i="1"/>
  <c r="Z267" i="1" s="1"/>
  <c r="BN263" i="1"/>
  <c r="BP263" i="1"/>
  <c r="Z265" i="1"/>
  <c r="BN265" i="1"/>
  <c r="O499" i="1"/>
  <c r="Y274" i="1"/>
  <c r="BP271" i="1"/>
  <c r="BN271" i="1"/>
  <c r="Z271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BP337" i="1"/>
  <c r="BN337" i="1"/>
  <c r="Z337" i="1"/>
  <c r="Y235" i="1"/>
  <c r="Y260" i="1"/>
  <c r="M499" i="1"/>
  <c r="Y267" i="1"/>
  <c r="BP273" i="1"/>
  <c r="BN273" i="1"/>
  <c r="Z273" i="1"/>
  <c r="Y275" i="1"/>
  <c r="P499" i="1"/>
  <c r="Y281" i="1"/>
  <c r="BP278" i="1"/>
  <c r="BN278" i="1"/>
  <c r="Z278" i="1"/>
  <c r="Z280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Z318" i="1" s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Z338" i="1" s="1"/>
  <c r="Y339" i="1"/>
  <c r="Y350" i="1"/>
  <c r="Y356" i="1"/>
  <c r="Y360" i="1"/>
  <c r="Y371" i="1"/>
  <c r="Y375" i="1"/>
  <c r="Y381" i="1"/>
  <c r="Y395" i="1"/>
  <c r="Y399" i="1"/>
  <c r="Y412" i="1"/>
  <c r="Y417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BP445" i="1"/>
  <c r="BN445" i="1"/>
  <c r="Z445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Q499" i="1"/>
  <c r="Y294" i="1"/>
  <c r="Z343" i="1"/>
  <c r="Z350" i="1" s="1"/>
  <c r="BN343" i="1"/>
  <c r="BP343" i="1"/>
  <c r="Z345" i="1"/>
  <c r="BN345" i="1"/>
  <c r="Z346" i="1"/>
  <c r="BN346" i="1"/>
  <c r="Z348" i="1"/>
  <c r="BN348" i="1"/>
  <c r="Y351" i="1"/>
  <c r="Z354" i="1"/>
  <c r="Z355" i="1" s="1"/>
  <c r="BN354" i="1"/>
  <c r="Z358" i="1"/>
  <c r="Z360" i="1" s="1"/>
  <c r="BN358" i="1"/>
  <c r="BP358" i="1"/>
  <c r="T499" i="1"/>
  <c r="Z369" i="1"/>
  <c r="Z370" i="1" s="1"/>
  <c r="BN369" i="1"/>
  <c r="Y370" i="1"/>
  <c r="Z373" i="1"/>
  <c r="Z375" i="1" s="1"/>
  <c r="BN373" i="1"/>
  <c r="BP373" i="1"/>
  <c r="Z379" i="1"/>
  <c r="Z380" i="1" s="1"/>
  <c r="BN379" i="1"/>
  <c r="Z385" i="1"/>
  <c r="Z394" i="1" s="1"/>
  <c r="BN385" i="1"/>
  <c r="BP385" i="1"/>
  <c r="Z387" i="1"/>
  <c r="BN387" i="1"/>
  <c r="Z389" i="1"/>
  <c r="BN389" i="1"/>
  <c r="Z391" i="1"/>
  <c r="BN391" i="1"/>
  <c r="Z393" i="1"/>
  <c r="BN393" i="1"/>
  <c r="Y394" i="1"/>
  <c r="Z397" i="1"/>
  <c r="Z399" i="1" s="1"/>
  <c r="BN397" i="1"/>
  <c r="BP397" i="1"/>
  <c r="V499" i="1"/>
  <c r="Y405" i="1"/>
  <c r="Z408" i="1"/>
  <c r="Z411" i="1" s="1"/>
  <c r="BN408" i="1"/>
  <c r="Z410" i="1"/>
  <c r="BN410" i="1"/>
  <c r="Z415" i="1"/>
  <c r="Z416" i="1" s="1"/>
  <c r="BN415" i="1"/>
  <c r="BP415" i="1"/>
  <c r="Y416" i="1"/>
  <c r="Z421" i="1"/>
  <c r="BN421" i="1"/>
  <c r="BP421" i="1"/>
  <c r="Z423" i="1"/>
  <c r="BP427" i="1"/>
  <c r="BN427" i="1"/>
  <c r="Z427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47" i="1"/>
  <c r="Z453" i="1"/>
  <c r="BP451" i="1"/>
  <c r="BN451" i="1"/>
  <c r="Z451" i="1"/>
  <c r="Y462" i="1"/>
  <c r="BP461" i="1"/>
  <c r="BN461" i="1"/>
  <c r="Z461" i="1"/>
  <c r="Y463" i="1"/>
  <c r="Y468" i="1"/>
  <c r="BP465" i="1"/>
  <c r="BN465" i="1"/>
  <c r="Z465" i="1"/>
  <c r="Z468" i="1" s="1"/>
  <c r="Y473" i="1"/>
  <c r="Y483" i="1"/>
  <c r="Y488" i="1"/>
  <c r="Y499" i="1"/>
  <c r="Z481" i="1"/>
  <c r="Z482" i="1" s="1"/>
  <c r="BN481" i="1"/>
  <c r="Z486" i="1"/>
  <c r="Z487" i="1" s="1"/>
  <c r="BN486" i="1"/>
  <c r="BP486" i="1"/>
  <c r="Y487" i="1"/>
  <c r="Y492" i="1" l="1"/>
  <c r="Z432" i="1"/>
  <c r="Z447" i="1"/>
  <c r="Z312" i="1"/>
  <c r="Z331" i="1"/>
  <c r="Z325" i="1"/>
  <c r="Z274" i="1"/>
  <c r="Z109" i="1"/>
  <c r="Z76" i="1"/>
  <c r="Z63" i="1"/>
  <c r="Z494" i="1" s="1"/>
  <c r="Z215" i="1"/>
  <c r="Z304" i="1"/>
  <c r="Y489" i="1"/>
  <c r="X492" i="1"/>
</calcChain>
</file>

<file path=xl/sharedStrings.xml><?xml version="1.0" encoding="utf-8"?>
<sst xmlns="http://schemas.openxmlformats.org/spreadsheetml/2006/main" count="2346" uniqueCount="765">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</sst>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13" t="s">
        <v>0</v>
      </c>
      <c r="E1" s="572"/>
      <c r="F1" s="572"/>
      <c r="G1" s="12" t="s">
        <v>1</v>
      </c>
      <c r="H1" s="613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2" t="s">
        <v>8</v>
      </c>
      <c r="B5" s="631"/>
      <c r="C5" s="632"/>
      <c r="D5" s="616"/>
      <c r="E5" s="617"/>
      <c r="F5" s="824" t="s">
        <v>9</v>
      </c>
      <c r="G5" s="632"/>
      <c r="H5" s="616"/>
      <c r="I5" s="762"/>
      <c r="J5" s="762"/>
      <c r="K5" s="762"/>
      <c r="L5" s="762"/>
      <c r="M5" s="617"/>
      <c r="N5" s="58"/>
      <c r="P5" s="24" t="s">
        <v>10</v>
      </c>
      <c r="Q5" s="837">
        <v>45974</v>
      </c>
      <c r="R5" s="651"/>
      <c r="T5" s="700" t="s">
        <v>11</v>
      </c>
      <c r="U5" s="701"/>
      <c r="V5" s="702" t="s">
        <v>12</v>
      </c>
      <c r="W5" s="651"/>
      <c r="AB5" s="51"/>
      <c r="AC5" s="51"/>
      <c r="AD5" s="51"/>
      <c r="AE5" s="51"/>
    </row>
    <row r="6" spans="1:32" s="538" customFormat="1" ht="24" customHeight="1" x14ac:dyDescent="0.2">
      <c r="A6" s="652" t="s">
        <v>13</v>
      </c>
      <c r="B6" s="631"/>
      <c r="C6" s="632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7" t="s">
        <v>16</v>
      </c>
      <c r="U6" s="701"/>
      <c r="V6" s="749" t="s">
        <v>17</v>
      </c>
      <c r="W6" s="585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6"/>
      <c r="U7" s="701"/>
      <c r="V7" s="750"/>
      <c r="W7" s="751"/>
      <c r="AB7" s="51"/>
      <c r="AC7" s="51"/>
      <c r="AD7" s="51"/>
      <c r="AE7" s="51"/>
    </row>
    <row r="8" spans="1:32" s="538" customFormat="1" ht="25.5" customHeight="1" x14ac:dyDescent="0.2">
      <c r="A8" s="861" t="s">
        <v>18</v>
      </c>
      <c r="B8" s="563"/>
      <c r="C8" s="564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61">
        <v>0.41666666666666669</v>
      </c>
      <c r="R8" s="598"/>
      <c r="T8" s="556"/>
      <c r="U8" s="701"/>
      <c r="V8" s="750"/>
      <c r="W8" s="751"/>
      <c r="AB8" s="51"/>
      <c r="AC8" s="51"/>
      <c r="AD8" s="51"/>
      <c r="AE8" s="51"/>
    </row>
    <row r="9" spans="1:32" s="538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3"/>
      <c r="E9" s="561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9"/>
      <c r="P9" s="26" t="s">
        <v>21</v>
      </c>
      <c r="Q9" s="648"/>
      <c r="R9" s="649"/>
      <c r="T9" s="556"/>
      <c r="U9" s="701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3"/>
      <c r="E10" s="561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40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08"/>
      <c r="R10" s="709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9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4" t="s">
        <v>29</v>
      </c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2"/>
      <c r="N12" s="62"/>
      <c r="P12" s="24" t="s">
        <v>30</v>
      </c>
      <c r="Q12" s="661"/>
      <c r="R12" s="598"/>
      <c r="S12" s="23"/>
      <c r="U12" s="24"/>
      <c r="V12" s="572"/>
      <c r="W12" s="556"/>
      <c r="AB12" s="51"/>
      <c r="AC12" s="51"/>
      <c r="AD12" s="51"/>
      <c r="AE12" s="51"/>
    </row>
    <row r="13" spans="1:32" s="538" customFormat="1" ht="23.25" customHeight="1" x14ac:dyDescent="0.2">
      <c r="A13" s="694" t="s">
        <v>31</v>
      </c>
      <c r="B13" s="631"/>
      <c r="C13" s="631"/>
      <c r="D13" s="631"/>
      <c r="E13" s="631"/>
      <c r="F13" s="631"/>
      <c r="G13" s="631"/>
      <c r="H13" s="631"/>
      <c r="I13" s="631"/>
      <c r="J13" s="631"/>
      <c r="K13" s="631"/>
      <c r="L13" s="631"/>
      <c r="M13" s="632"/>
      <c r="N13" s="62"/>
      <c r="O13" s="26"/>
      <c r="P13" s="26" t="s">
        <v>32</v>
      </c>
      <c r="Q13" s="789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4" t="s">
        <v>33</v>
      </c>
      <c r="B14" s="631"/>
      <c r="C14" s="631"/>
      <c r="D14" s="631"/>
      <c r="E14" s="631"/>
      <c r="F14" s="631"/>
      <c r="G14" s="631"/>
      <c r="H14" s="631"/>
      <c r="I14" s="631"/>
      <c r="J14" s="631"/>
      <c r="K14" s="631"/>
      <c r="L14" s="631"/>
      <c r="M14" s="63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22" t="s">
        <v>34</v>
      </c>
      <c r="B15" s="631"/>
      <c r="C15" s="631"/>
      <c r="D15" s="631"/>
      <c r="E15" s="631"/>
      <c r="F15" s="631"/>
      <c r="G15" s="631"/>
      <c r="H15" s="631"/>
      <c r="I15" s="631"/>
      <c r="J15" s="631"/>
      <c r="K15" s="631"/>
      <c r="L15" s="631"/>
      <c r="M15" s="632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32"/>
      <c r="W17" s="581" t="s">
        <v>52</v>
      </c>
      <c r="X17" s="581" t="s">
        <v>53</v>
      </c>
      <c r="Y17" s="857" t="s">
        <v>54</v>
      </c>
      <c r="Z17" s="760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58"/>
      <c r="Z18" s="761"/>
      <c r="AA18" s="742"/>
      <c r="AB18" s="742"/>
      <c r="AC18" s="742"/>
      <c r="AD18" s="821"/>
      <c r="AE18" s="822"/>
      <c r="AF18" s="823"/>
      <c r="AG18" s="66"/>
      <c r="BD18" s="65"/>
    </row>
    <row r="19" spans="1:68" ht="27.75" customHeight="1" x14ac:dyDescent="0.2">
      <c r="A19" s="633" t="s">
        <v>63</v>
      </c>
      <c r="B19" s="634"/>
      <c r="C19" s="634"/>
      <c r="D19" s="634"/>
      <c r="E19" s="634"/>
      <c r="F19" s="634"/>
      <c r="G19" s="634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4"/>
      <c r="T19" s="634"/>
      <c r="U19" s="634"/>
      <c r="V19" s="634"/>
      <c r="W19" s="634"/>
      <c r="X19" s="634"/>
      <c r="Y19" s="634"/>
      <c r="Z19" s="634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8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3" t="s">
        <v>99</v>
      </c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4"/>
      <c r="Q37" s="634"/>
      <c r="R37" s="634"/>
      <c r="S37" s="634"/>
      <c r="T37" s="634"/>
      <c r="U37" s="634"/>
      <c r="V37" s="634"/>
      <c r="W37" s="634"/>
      <c r="X37" s="634"/>
      <c r="Y37" s="634"/>
      <c r="Z37" s="634"/>
      <c r="AA37" s="48"/>
      <c r="AB37" s="48"/>
      <c r="AC37" s="48"/>
    </row>
    <row r="38" spans="1:68" ht="16.5" customHeight="1" x14ac:dyDescent="0.25">
      <c r="A38" s="559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8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40</v>
      </c>
      <c r="Y41" s="542">
        <f>IFERROR(IF(X41="",0,CEILING((X41/$H41),1)*$H41),"")</f>
        <v>40</v>
      </c>
      <c r="Z41" s="36">
        <f>IFERROR(IF(Y41=0,"",ROUNDUP(Y41/H41,0)*0.00902),"")</f>
        <v>9.0200000000000002E-2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41.900000000000006</v>
      </c>
      <c r="BN41" s="64">
        <f>IFERROR(Y41*I41/H41,"0")</f>
        <v>41.900000000000006</v>
      </c>
      <c r="BO41" s="64">
        <f>IFERROR(1/J41*(X41/H41),"0")</f>
        <v>7.575757575757576E-2</v>
      </c>
      <c r="BP41" s="64">
        <f>IFERROR(1/J41*(Y41/H41),"0")</f>
        <v>7.575757575757576E-2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19.25925925925926</v>
      </c>
      <c r="Y43" s="543">
        <f>IFERROR(Y40/H40,"0")+IFERROR(Y41/H41,"0")+IFERROR(Y42/H42,"0")</f>
        <v>20</v>
      </c>
      <c r="Z43" s="543">
        <f>IFERROR(IF(Z40="",0,Z40),"0")+IFERROR(IF(Z41="",0,Z41),"0")+IFERROR(IF(Z42="",0,Z42),"0")</f>
        <v>0.28000000000000003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140</v>
      </c>
      <c r="Y44" s="543">
        <f>IFERROR(SUM(Y40:Y42),"0")</f>
        <v>148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8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285</v>
      </c>
      <c r="Y52" s="542">
        <f t="shared" si="0"/>
        <v>291.60000000000002</v>
      </c>
      <c r="Z52" s="36">
        <f>IFERROR(IF(Y52=0,"",ROUNDUP(Y52/H52,0)*0.01898),"")</f>
        <v>0.51246000000000003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295.81944444444446</v>
      </c>
      <c r="BN52" s="64">
        <f t="shared" si="2"/>
        <v>302.67000000000007</v>
      </c>
      <c r="BO52" s="64">
        <f t="shared" si="3"/>
        <v>0.41232638888888884</v>
      </c>
      <c r="BP52" s="64">
        <f t="shared" si="4"/>
        <v>0.421875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306</v>
      </c>
      <c r="Y56" s="542">
        <f t="shared" si="0"/>
        <v>306</v>
      </c>
      <c r="Z56" s="36">
        <f>IFERROR(IF(Y56=0,"",ROUNDUP(Y56/H56,0)*0.00902),"")</f>
        <v>0.61336000000000002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318.92</v>
      </c>
      <c r="BN56" s="64">
        <f t="shared" si="2"/>
        <v>318.92</v>
      </c>
      <c r="BO56" s="64">
        <f t="shared" si="3"/>
        <v>0.51515151515151514</v>
      </c>
      <c r="BP56" s="64">
        <f t="shared" si="4"/>
        <v>0.51515151515151514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94.388888888888886</v>
      </c>
      <c r="Y57" s="543">
        <f>IFERROR(Y51/H51,"0")+IFERROR(Y52/H52,"0")+IFERROR(Y53/H53,"0")+IFERROR(Y54/H54,"0")+IFERROR(Y55/H55,"0")+IFERROR(Y56/H56,"0")</f>
        <v>95</v>
      </c>
      <c r="Z57" s="543">
        <f>IFERROR(IF(Z51="",0,Z51),"0")+IFERROR(IF(Z52="",0,Z52),"0")+IFERROR(IF(Z53="",0,Z53),"0")+IFERROR(IF(Z54="",0,Z54),"0")+IFERROR(IF(Z55="",0,Z55),"0")+IFERROR(IF(Z56="",0,Z56),"0")</f>
        <v>1.12582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591</v>
      </c>
      <c r="Y58" s="543">
        <f>IFERROR(SUM(Y51:Y56),"0")</f>
        <v>597.6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640</v>
      </c>
      <c r="Y60" s="542">
        <f>IFERROR(IF(X60="",0,CEILING((X60/$H60),1)*$H60),"")</f>
        <v>648</v>
      </c>
      <c r="Z60" s="36">
        <f>IFERROR(IF(Y60=0,"",ROUNDUP(Y60/H60,0)*0.01898),"")</f>
        <v>1.1388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664.2962962962963</v>
      </c>
      <c r="BN60" s="64">
        <f>IFERROR(Y60*I60/H60,"0")</f>
        <v>672.6</v>
      </c>
      <c r="BO60" s="64">
        <f>IFERROR(1/J60*(X60/H60),"0")</f>
        <v>0.92592592592592582</v>
      </c>
      <c r="BP60" s="64">
        <f>IFERROR(1/J60*(Y60/H60),"0")</f>
        <v>0.93749999999999989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155.69999999999999</v>
      </c>
      <c r="Y62" s="542">
        <f>IFERROR(IF(X62="",0,CEILING((X62/$H62),1)*$H62),"")</f>
        <v>156.60000000000002</v>
      </c>
      <c r="Z62" s="36">
        <f>IFERROR(IF(Y62=0,"",ROUNDUP(Y62/H62,0)*0.00651),"")</f>
        <v>0.37758000000000003</v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166.07999999999996</v>
      </c>
      <c r="BN62" s="64">
        <f>IFERROR(Y62*I62/H62,"0")</f>
        <v>167.04</v>
      </c>
      <c r="BO62" s="64">
        <f>IFERROR(1/J62*(X62/H62),"0")</f>
        <v>0.31684981684981683</v>
      </c>
      <c r="BP62" s="64">
        <f>IFERROR(1/J62*(Y62/H62),"0")</f>
        <v>0.31868131868131877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116.92592592592591</v>
      </c>
      <c r="Y63" s="543">
        <f>IFERROR(Y60/H60,"0")+IFERROR(Y61/H61,"0")+IFERROR(Y62/H62,"0")</f>
        <v>118</v>
      </c>
      <c r="Z63" s="543">
        <f>IFERROR(IF(Z60="",0,Z60),"0")+IFERROR(IF(Z61="",0,Z61),"0")+IFERROR(IF(Z62="",0,Z62),"0")</f>
        <v>1.5163800000000001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795.7</v>
      </c>
      <c r="Y64" s="543">
        <f>IFERROR(SUM(Y60:Y62),"0")</f>
        <v>804.6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58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70</v>
      </c>
      <c r="Y85" s="542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72.657407407407405</v>
      </c>
      <c r="BN85" s="64">
        <f>IFERROR(Y85*I85/H85,"0")</f>
        <v>78.47</v>
      </c>
      <c r="BO85" s="64">
        <f>IFERROR(1/J85*(X85/H85),"0")</f>
        <v>0.10127314814814814</v>
      </c>
      <c r="BP85" s="64">
        <f>IFERROR(1/J85*(Y85/H85),"0")</f>
        <v>0.109375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90</v>
      </c>
      <c r="Y87" s="542">
        <f>IFERROR(IF(X87="",0,CEILING((X87/$H87),1)*$H87),"")</f>
        <v>90</v>
      </c>
      <c r="Z87" s="36">
        <f>IFERROR(IF(Y87=0,"",ROUNDUP(Y87/H87,0)*0.00902),"")</f>
        <v>0.1804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93.800000000000011</v>
      </c>
      <c r="BN87" s="64">
        <f>IFERROR(Y87*I87/H87,"0")</f>
        <v>93.800000000000011</v>
      </c>
      <c r="BO87" s="64">
        <f>IFERROR(1/J87*(X87/H87),"0")</f>
        <v>0.15151515151515152</v>
      </c>
      <c r="BP87" s="64">
        <f>IFERROR(1/J87*(Y87/H87),"0")</f>
        <v>0.15151515151515152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26.481481481481481</v>
      </c>
      <c r="Y88" s="543">
        <f>IFERROR(Y85/H85,"0")+IFERROR(Y86/H86,"0")+IFERROR(Y87/H87,"0")</f>
        <v>27</v>
      </c>
      <c r="Z88" s="543">
        <f>IFERROR(IF(Z85="",0,Z85),"0")+IFERROR(IF(Z86="",0,Z86),"0")+IFERROR(IF(Z87="",0,Z87),"0")</f>
        <v>0.31325999999999998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160</v>
      </c>
      <c r="Y89" s="543">
        <f>IFERROR(SUM(Y85:Y87),"0")</f>
        <v>165.60000000000002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3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73</v>
      </c>
      <c r="Y91" s="542">
        <f>IFERROR(IF(X91="",0,CEILING((X91/$H91),1)*$H91),"")</f>
        <v>81</v>
      </c>
      <c r="Z91" s="36">
        <f>IFERROR(IF(Y91=0,"",ROUNDUP(Y91/H91,0)*0.01898),"")</f>
        <v>0.1898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77.452098765432098</v>
      </c>
      <c r="BN91" s="64">
        <f>IFERROR(Y91*I91/H91,"0")</f>
        <v>85.94</v>
      </c>
      <c r="BO91" s="64">
        <f>IFERROR(1/J91*(X91/H91),"0")</f>
        <v>0.14081790123456792</v>
      </c>
      <c r="BP91" s="64">
        <f>IFERROR(1/J91*(Y91/H91),"0")</f>
        <v>0.15625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9.0123456790123466</v>
      </c>
      <c r="Y95" s="543">
        <f>IFERROR(Y91/H91,"0")+IFERROR(Y92/H92,"0")+IFERROR(Y93/H93,"0")+IFERROR(Y94/H94,"0")</f>
        <v>10</v>
      </c>
      <c r="Z95" s="543">
        <f>IFERROR(IF(Z91="",0,Z91),"0")+IFERROR(IF(Z92="",0,Z92),"0")+IFERROR(IF(Z93="",0,Z93),"0")+IFERROR(IF(Z94="",0,Z94),"0")</f>
        <v>0.1898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73</v>
      </c>
      <c r="Y96" s="543">
        <f>IFERROR(SUM(Y91:Y94),"0")</f>
        <v>81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58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7.5</v>
      </c>
      <c r="Y100" s="542">
        <f>IFERROR(IF(X100="",0,CEILING((X100/$H100),1)*$H100),"")</f>
        <v>7.5</v>
      </c>
      <c r="Z100" s="36">
        <f>IFERROR(IF(Y100=0,"",ROUNDUP(Y100/H100,0)*0.00902),"")</f>
        <v>1.804E-2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7.88</v>
      </c>
      <c r="BN100" s="64">
        <f>IFERROR(Y100*I100/H100,"0")</f>
        <v>7.88</v>
      </c>
      <c r="BO100" s="64">
        <f>IFERROR(1/J100*(X100/H100),"0")</f>
        <v>1.5151515151515152E-2</v>
      </c>
      <c r="BP100" s="64">
        <f>IFERROR(1/J100*(Y100/H100),"0")</f>
        <v>1.5151515151515152E-2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2</v>
      </c>
      <c r="Y103" s="543">
        <f>IFERROR(Y99/H99,"0")+IFERROR(Y100/H100,"0")+IFERROR(Y101/H101,"0")+IFERROR(Y102/H102,"0")</f>
        <v>2</v>
      </c>
      <c r="Z103" s="543">
        <f>IFERROR(IF(Z99="",0,Z99),"0")+IFERROR(IF(Z100="",0,Z100),"0")+IFERROR(IF(Z101="",0,Z101),"0")+IFERROR(IF(Z102="",0,Z102),"0")</f>
        <v>1.804E-2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7.5</v>
      </c>
      <c r="Y104" s="543">
        <f>IFERROR(SUM(Y99:Y102),"0")</f>
        <v>7.5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48</v>
      </c>
      <c r="Y112" s="542">
        <f>IFERROR(IF(X112="",0,CEILING((X112/$H112),1)*$H112),"")</f>
        <v>48.599999999999994</v>
      </c>
      <c r="Z112" s="36">
        <f>IFERROR(IF(Y112=0,"",ROUNDUP(Y112/H112,0)*0.01898),"")</f>
        <v>0.11388000000000001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50.891851851851847</v>
      </c>
      <c r="BN112" s="64">
        <f>IFERROR(Y112*I112/H112,"0")</f>
        <v>51.527999999999992</v>
      </c>
      <c r="BO112" s="64">
        <f>IFERROR(1/J112*(X112/H112),"0")</f>
        <v>9.2592592592592601E-2</v>
      </c>
      <c r="BP112" s="64">
        <f>IFERROR(1/J112*(Y112/H112),"0")</f>
        <v>9.375E-2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23.4</v>
      </c>
      <c r="Y114" s="542">
        <f>IFERROR(IF(X114="",0,CEILING((X114/$H114),1)*$H114),"")</f>
        <v>24.3</v>
      </c>
      <c r="Z114" s="36">
        <f>IFERROR(IF(Y114=0,"",ROUNDUP(Y114/H114,0)*0.00651),"")</f>
        <v>5.8590000000000003E-2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25.583999999999996</v>
      </c>
      <c r="BN114" s="64">
        <f>IFERROR(Y114*I114/H114,"0")</f>
        <v>26.567999999999998</v>
      </c>
      <c r="BO114" s="64">
        <f>IFERROR(1/J114*(X114/H114),"0")</f>
        <v>4.7619047619047616E-2</v>
      </c>
      <c r="BP114" s="64">
        <f>IFERROR(1/J114*(Y114/H114),"0")</f>
        <v>4.9450549450549455E-2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14.592592592592592</v>
      </c>
      <c r="Y116" s="543">
        <f>IFERROR(Y112/H112,"0")+IFERROR(Y113/H113,"0")+IFERROR(Y114/H114,"0")+IFERROR(Y115/H115,"0")</f>
        <v>15</v>
      </c>
      <c r="Z116" s="543">
        <f>IFERROR(IF(Z112="",0,Z112),"0")+IFERROR(IF(Z113="",0,Z113),"0")+IFERROR(IF(Z114="",0,Z114),"0")+IFERROR(IF(Z115="",0,Z115),"0")</f>
        <v>0.17247000000000001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71.400000000000006</v>
      </c>
      <c r="Y117" s="543">
        <f>IFERROR(SUM(Y112:Y115),"0")</f>
        <v>72.899999999999991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58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11.2</v>
      </c>
      <c r="Y124" s="542">
        <f>IFERROR(IF(X124="",0,CEILING((X124/$H124),1)*$H124),"")</f>
        <v>12.8</v>
      </c>
      <c r="Z124" s="36">
        <f>IFERROR(IF(Y124=0,"",ROUNDUP(Y124/H124,0)*0.00651),"")</f>
        <v>2.6040000000000001E-2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11.829999999999998</v>
      </c>
      <c r="BN124" s="64">
        <f>IFERROR(Y124*I124/H124,"0")</f>
        <v>13.52</v>
      </c>
      <c r="BO124" s="64">
        <f>IFERROR(1/J124*(X124/H124),"0")</f>
        <v>1.9230769230769228E-2</v>
      </c>
      <c r="BP124" s="64">
        <f>IFERROR(1/J124*(Y124/H124),"0")</f>
        <v>2.197802197802198E-2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3.4999999999999996</v>
      </c>
      <c r="Y126" s="543">
        <f>IFERROR(Y124/H124,"0")+IFERROR(Y125/H125,"0")</f>
        <v>4</v>
      </c>
      <c r="Z126" s="543">
        <f>IFERROR(IF(Z124="",0,Z124),"0")+IFERROR(IF(Z125="",0,Z125),"0")</f>
        <v>2.6040000000000001E-2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11.2</v>
      </c>
      <c r="Y127" s="543">
        <f>IFERROR(SUM(Y124:Y125),"0")</f>
        <v>12.8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7</v>
      </c>
      <c r="Y130" s="542">
        <f>IFERROR(IF(X130="",0,CEILING((X130/$H130),1)*$H130),"")</f>
        <v>8.3999999999999986</v>
      </c>
      <c r="Z130" s="36">
        <f>IFERROR(IF(Y130=0,"",ROUNDUP(Y130/H130,0)*0.00651),"")</f>
        <v>1.9529999999999999E-2</v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7.67</v>
      </c>
      <c r="BN130" s="64">
        <f>IFERROR(Y130*I130/H130,"0")</f>
        <v>9.2039999999999988</v>
      </c>
      <c r="BO130" s="64">
        <f>IFERROR(1/J130*(X130/H130),"0")</f>
        <v>1.3736263736263738E-2</v>
      </c>
      <c r="BP130" s="64">
        <f>IFERROR(1/J130*(Y130/H130),"0")</f>
        <v>1.6483516483516484E-2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2.5</v>
      </c>
      <c r="Y131" s="543">
        <f>IFERROR(Y129/H129,"0")+IFERROR(Y130/H130,"0")</f>
        <v>2.9999999999999996</v>
      </c>
      <c r="Z131" s="543">
        <f>IFERROR(IF(Z129="",0,Z129),"0")+IFERROR(IF(Z130="",0,Z130),"0")</f>
        <v>1.9529999999999999E-2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7</v>
      </c>
      <c r="Y132" s="543">
        <f>IFERROR(SUM(Y129:Y130),"0")</f>
        <v>8.3999999999999986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58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5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2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45</v>
      </c>
      <c r="Y146" s="542">
        <f>IFERROR(IF(X146="",0,CEILING((X146/$H146),1)*$H146),"")</f>
        <v>45</v>
      </c>
      <c r="Z146" s="36">
        <f>IFERROR(IF(Y146=0,"",ROUNDUP(Y146/H146,0)*0.01898),"")</f>
        <v>9.4899999999999998E-2</v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47.800000000000004</v>
      </c>
      <c r="BN146" s="64">
        <f>IFERROR(Y146*I146/H146,"0")</f>
        <v>47.800000000000004</v>
      </c>
      <c r="BO146" s="64">
        <f>IFERROR(1/J146*(X146/H146),"0")</f>
        <v>7.8125E-2</v>
      </c>
      <c r="BP146" s="64">
        <f>IFERROR(1/J146*(Y146/H146),"0")</f>
        <v>7.8125E-2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20</v>
      </c>
      <c r="Y148" s="542">
        <f>IFERROR(IF(X148="",0,CEILING((X148/$H148),1)*$H148),"")</f>
        <v>27</v>
      </c>
      <c r="Z148" s="36">
        <f>IFERROR(IF(Y148=0,"",ROUNDUP(Y148/H148,0)*0.01898),"")</f>
        <v>5.6940000000000004E-2</v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21.244444444444447</v>
      </c>
      <c r="BN148" s="64">
        <f>IFERROR(Y148*I148/H148,"0")</f>
        <v>28.68</v>
      </c>
      <c r="BO148" s="64">
        <f>IFERROR(1/J148*(X148/H148),"0")</f>
        <v>3.4722222222222224E-2</v>
      </c>
      <c r="BP148" s="64">
        <f>IFERROR(1/J148*(Y148/H148),"0")</f>
        <v>4.6875E-2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7.2222222222222223</v>
      </c>
      <c r="Y149" s="543">
        <f>IFERROR(Y146/H146,"0")+IFERROR(Y147/H147,"0")+IFERROR(Y148/H148,"0")</f>
        <v>8</v>
      </c>
      <c r="Z149" s="543">
        <f>IFERROR(IF(Z146="",0,Z146),"0")+IFERROR(IF(Z147="",0,Z147),"0")+IFERROR(IF(Z148="",0,Z148),"0")</f>
        <v>0.15184</v>
      </c>
      <c r="AA149" s="544"/>
      <c r="AB149" s="544"/>
      <c r="AC149" s="544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65</v>
      </c>
      <c r="Y150" s="543">
        <f>IFERROR(SUM(Y146:Y148),"0")</f>
        <v>72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3" t="s">
        <v>255</v>
      </c>
      <c r="B155" s="634"/>
      <c r="C155" s="634"/>
      <c r="D155" s="634"/>
      <c r="E155" s="634"/>
      <c r="F155" s="634"/>
      <c r="G155" s="634"/>
      <c r="H155" s="634"/>
      <c r="I155" s="634"/>
      <c r="J155" s="634"/>
      <c r="K155" s="634"/>
      <c r="L155" s="634"/>
      <c r="M155" s="634"/>
      <c r="N155" s="634"/>
      <c r="O155" s="634"/>
      <c r="P155" s="634"/>
      <c r="Q155" s="634"/>
      <c r="R155" s="634"/>
      <c r="S155" s="634"/>
      <c r="T155" s="634"/>
      <c r="U155" s="634"/>
      <c r="V155" s="634"/>
      <c r="W155" s="634"/>
      <c r="X155" s="634"/>
      <c r="Y155" s="634"/>
      <c r="Z155" s="634"/>
      <c r="AA155" s="48"/>
      <c r="AB155" s="48"/>
      <c r="AC155" s="48"/>
    </row>
    <row r="156" spans="1:68" ht="16.5" customHeight="1" x14ac:dyDescent="0.25">
      <c r="A156" s="559" t="s">
        <v>256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6"/>
      <c r="AB156" s="536"/>
      <c r="AC156" s="536"/>
    </row>
    <row r="157" spans="1:68" ht="14.25" customHeight="1" x14ac:dyDescent="0.25">
      <c r="A157" s="558" t="s">
        <v>136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8">
        <v>4680115880993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15</v>
      </c>
      <c r="Y162" s="542">
        <f t="shared" ref="Y162:Y170" si="5">IFERROR(IF(X162="",0,CEILING((X162/$H162),1)*$H162),"")</f>
        <v>16.8</v>
      </c>
      <c r="Z162" s="36">
        <f>IFERROR(IF(Y162=0,"",ROUNDUP(Y162/H162,0)*0.00902),"")</f>
        <v>3.6080000000000001E-2</v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15.892857142857142</v>
      </c>
      <c r="BN162" s="64">
        <f t="shared" ref="BN162:BN170" si="7">IFERROR(Y162*I162/H162,"0")</f>
        <v>17.8</v>
      </c>
      <c r="BO162" s="64">
        <f t="shared" ref="BO162:BO170" si="8">IFERROR(1/J162*(X162/H162),"0")</f>
        <v>2.7056277056277056E-2</v>
      </c>
      <c r="BP162" s="64">
        <f t="shared" ref="BP162:BP170" si="9">IFERROR(1/J162*(Y162/H162),"0")</f>
        <v>3.0303030303030304E-2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8">
        <v>4680115881761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8">
        <v>4680115881563</v>
      </c>
      <c r="E164" s="549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8">
        <v>4680115880986</v>
      </c>
      <c r="E165" s="549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6.3</v>
      </c>
      <c r="Y165" s="542">
        <f t="shared" si="5"/>
        <v>6.3000000000000007</v>
      </c>
      <c r="Z165" s="36">
        <f>IFERROR(IF(Y165=0,"",ROUNDUP(Y165/H165,0)*0.00502),"")</f>
        <v>1.506E-2</v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6.6899999999999995</v>
      </c>
      <c r="BN165" s="64">
        <f t="shared" si="7"/>
        <v>6.69</v>
      </c>
      <c r="BO165" s="64">
        <f t="shared" si="8"/>
        <v>1.2820512820512822E-2</v>
      </c>
      <c r="BP165" s="64">
        <f t="shared" si="9"/>
        <v>1.2820512820512822E-2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6.5714285714285712</v>
      </c>
      <c r="Y171" s="543">
        <f>IFERROR(Y162/H162,"0")+IFERROR(Y163/H163,"0")+IFERROR(Y164/H164,"0")+IFERROR(Y165/H165,"0")+IFERROR(Y166/H166,"0")+IFERROR(Y167/H167,"0")+IFERROR(Y168/H168,"0")+IFERROR(Y169/H169,"0")+IFERROR(Y170/H170,"0")</f>
        <v>7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5.1140000000000005E-2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IFERROR(SUM(X162:X170),"0")</f>
        <v>21.3</v>
      </c>
      <c r="Y172" s="543">
        <f>IFERROR(SUM(Y162:Y170),"0")</f>
        <v>23.1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58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60</v>
      </c>
      <c r="Y195" s="542">
        <f t="shared" ref="Y195:Y202" si="10">IFERROR(IF(X195="",0,CEILING((X195/$H195),1)*$H195),"")</f>
        <v>64.800000000000011</v>
      </c>
      <c r="Z195" s="36">
        <f>IFERROR(IF(Y195=0,"",ROUNDUP(Y195/H195,0)*0.00902),"")</f>
        <v>0.10824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62.1111111111111</v>
      </c>
      <c r="BN195" s="64">
        <f t="shared" ref="BN195:BN202" si="12">IFERROR(Y195*I195/H195,"0")</f>
        <v>67.08</v>
      </c>
      <c r="BO195" s="64">
        <f t="shared" ref="BO195:BO202" si="13">IFERROR(1/J195*(X195/H195),"0")</f>
        <v>8.4175084175084181E-2</v>
      </c>
      <c r="BP195" s="64">
        <f t="shared" ref="BP195:BP202" si="14">IFERROR(1/J195*(Y195/H195),"0")</f>
        <v>9.0909090909090925E-2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40</v>
      </c>
      <c r="Y196" s="542">
        <f t="shared" si="10"/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41.407407407407405</v>
      </c>
      <c r="BN196" s="64">
        <f t="shared" si="12"/>
        <v>44.72</v>
      </c>
      <c r="BO196" s="64">
        <f t="shared" si="13"/>
        <v>5.6116722783389444E-2</v>
      </c>
      <c r="BP196" s="64">
        <f t="shared" si="14"/>
        <v>6.0606060606060608E-2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40</v>
      </c>
      <c r="Y197" s="542">
        <f t="shared" si="10"/>
        <v>43.2</v>
      </c>
      <c r="Z197" s="36">
        <f>IFERROR(IF(Y197=0,"",ROUNDUP(Y197/H197,0)*0.00902),"")</f>
        <v>7.2160000000000002E-2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41.407407407407405</v>
      </c>
      <c r="BN197" s="64">
        <f t="shared" si="12"/>
        <v>44.72</v>
      </c>
      <c r="BO197" s="64">
        <f t="shared" si="13"/>
        <v>5.6116722783389444E-2</v>
      </c>
      <c r="BP197" s="64">
        <f t="shared" si="14"/>
        <v>6.0606060606060608E-2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40</v>
      </c>
      <c r="Y198" s="542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41.407407407407405</v>
      </c>
      <c r="BN198" s="64">
        <f t="shared" si="12"/>
        <v>44.72</v>
      </c>
      <c r="BO198" s="64">
        <f t="shared" si="13"/>
        <v>5.6116722783389444E-2</v>
      </c>
      <c r="BP198" s="64">
        <f t="shared" si="14"/>
        <v>6.0606060606060608E-2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33.333333333333329</v>
      </c>
      <c r="Y203" s="543">
        <f>IFERROR(Y195/H195,"0")+IFERROR(Y196/H196,"0")+IFERROR(Y197/H197,"0")+IFERROR(Y198/H198,"0")+IFERROR(Y199/H199,"0")+IFERROR(Y200/H200,"0")+IFERROR(Y201/H201,"0")+IFERROR(Y202/H202,"0")</f>
        <v>36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0.32472000000000001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180</v>
      </c>
      <c r="Y204" s="543">
        <f>IFERROR(SUM(Y195:Y202),"0")</f>
        <v>194.40000000000003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16.8</v>
      </c>
      <c r="Y209" s="542">
        <f t="shared" si="15"/>
        <v>16.8</v>
      </c>
      <c r="Z209" s="36">
        <f t="shared" ref="Z209:Z214" si="20">IFERROR(IF(Y209=0,"",ROUNDUP(Y209/H209,0)*0.00651),"")</f>
        <v>4.5569999999999999E-2</v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18.690000000000001</v>
      </c>
      <c r="BN209" s="64">
        <f t="shared" si="17"/>
        <v>18.690000000000001</v>
      </c>
      <c r="BO209" s="64">
        <f t="shared" si="18"/>
        <v>3.8461538461538471E-2</v>
      </c>
      <c r="BP209" s="64">
        <f t="shared" si="19"/>
        <v>3.8461538461538471E-2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13.5</v>
      </c>
      <c r="Y211" s="542">
        <f t="shared" si="15"/>
        <v>14.399999999999999</v>
      </c>
      <c r="Z211" s="36">
        <f t="shared" si="20"/>
        <v>3.9059999999999997E-2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14.9175</v>
      </c>
      <c r="BN211" s="64">
        <f t="shared" si="17"/>
        <v>15.912000000000001</v>
      </c>
      <c r="BO211" s="64">
        <f t="shared" si="18"/>
        <v>3.0906593406593408E-2</v>
      </c>
      <c r="BP211" s="64">
        <f t="shared" si="19"/>
        <v>3.2967032967032968E-2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13.5</v>
      </c>
      <c r="Y212" s="542">
        <f t="shared" si="15"/>
        <v>14.399999999999999</v>
      </c>
      <c r="Z212" s="36">
        <f t="shared" si="20"/>
        <v>3.9059999999999997E-2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14.9175</v>
      </c>
      <c r="BN212" s="64">
        <f t="shared" si="17"/>
        <v>15.912000000000001</v>
      </c>
      <c r="BO212" s="64">
        <f t="shared" si="18"/>
        <v>3.0906593406593408E-2</v>
      </c>
      <c r="BP212" s="64">
        <f t="shared" si="19"/>
        <v>3.2967032967032968E-2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10</v>
      </c>
      <c r="Y214" s="542">
        <f t="shared" si="15"/>
        <v>12</v>
      </c>
      <c r="Z214" s="36">
        <f t="shared" si="20"/>
        <v>3.2550000000000003E-2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11.074999999999999</v>
      </c>
      <c r="BN214" s="64">
        <f t="shared" si="17"/>
        <v>13.290000000000001</v>
      </c>
      <c r="BO214" s="64">
        <f t="shared" si="18"/>
        <v>2.2893772893772896E-2</v>
      </c>
      <c r="BP214" s="64">
        <f t="shared" si="19"/>
        <v>2.7472527472527476E-2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22.416666666666668</v>
      </c>
      <c r="Y215" s="543">
        <f>IFERROR(Y206/H206,"0")+IFERROR(Y207/H207,"0")+IFERROR(Y208/H208,"0")+IFERROR(Y209/H209,"0")+IFERROR(Y210/H210,"0")+IFERROR(Y211/H211,"0")+IFERROR(Y212/H212,"0")+IFERROR(Y213/H213,"0")+IFERROR(Y214/H214,"0")</f>
        <v>24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0.15623999999999999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53.8</v>
      </c>
      <c r="Y216" s="543">
        <f>IFERROR(SUM(Y206:Y214),"0")</f>
        <v>57.599999999999994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357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58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383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387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399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58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20</v>
      </c>
      <c r="Y254" s="542">
        <f>IFERROR(IF(X254="",0,CEILING((X254/$H254),1)*$H254),"")</f>
        <v>21.6</v>
      </c>
      <c r="Z254" s="36">
        <f>IFERROR(IF(Y254=0,"",ROUNDUP(Y254/H254,0)*0.01898),"")</f>
        <v>3.7960000000000001E-2</v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20.75925925925926</v>
      </c>
      <c r="BN254" s="64">
        <f>IFERROR(Y254*I254/H254,"0")</f>
        <v>22.42</v>
      </c>
      <c r="BO254" s="64">
        <f>IFERROR(1/J254*(X254/H254),"0")</f>
        <v>2.8935185185185182E-2</v>
      </c>
      <c r="BP254" s="64">
        <f>IFERROR(1/J254*(Y254/H254),"0")</f>
        <v>3.125E-2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210</v>
      </c>
      <c r="Y256" s="542">
        <f>IFERROR(IF(X256="",0,CEILING((X256/$H256),1)*$H256),"")</f>
        <v>216</v>
      </c>
      <c r="Z256" s="36">
        <f>IFERROR(IF(Y256=0,"",ROUNDUP(Y256/H256,0)*0.01898),"")</f>
        <v>0.37959999999999999</v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217.97222222222223</v>
      </c>
      <c r="BN256" s="64">
        <f>IFERROR(Y256*I256/H256,"0")</f>
        <v>224.2</v>
      </c>
      <c r="BO256" s="64">
        <f>IFERROR(1/J256*(X256/H256),"0")</f>
        <v>0.30381944444444442</v>
      </c>
      <c r="BP256" s="64">
        <f>IFERROR(1/J256*(Y256/H256),"0")</f>
        <v>0.3125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5</v>
      </c>
      <c r="Y257" s="542">
        <f>IFERROR(IF(X257="",0,CEILING((X257/$H257),1)*$H257),"")</f>
        <v>8</v>
      </c>
      <c r="Z257" s="36">
        <f>IFERROR(IF(Y257=0,"",ROUNDUP(Y257/H257,0)*0.00902),"")</f>
        <v>1.804E-2</v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5.2375000000000007</v>
      </c>
      <c r="BN257" s="64">
        <f>IFERROR(Y257*I257/H257,"0")</f>
        <v>8.3800000000000008</v>
      </c>
      <c r="BO257" s="64">
        <f>IFERROR(1/J257*(X257/H257),"0")</f>
        <v>9.46969696969697E-3</v>
      </c>
      <c r="BP257" s="64">
        <f>IFERROR(1/J257*(Y257/H257),"0")</f>
        <v>1.5151515151515152E-2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8</v>
      </c>
      <c r="Y258" s="542">
        <f>IFERROR(IF(X258="",0,CEILING((X258/$H258),1)*$H258),"")</f>
        <v>8</v>
      </c>
      <c r="Z258" s="36">
        <f>IFERROR(IF(Y258=0,"",ROUNDUP(Y258/H258,0)*0.00902),"")</f>
        <v>1.804E-2</v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8.3800000000000008</v>
      </c>
      <c r="BN258" s="64">
        <f>IFERROR(Y258*I258/H258,"0")</f>
        <v>8.3800000000000008</v>
      </c>
      <c r="BO258" s="64">
        <f>IFERROR(1/J258*(X258/H258),"0")</f>
        <v>1.5151515151515152E-2</v>
      </c>
      <c r="BP258" s="64">
        <f>IFERROR(1/J258*(Y258/H258),"0")</f>
        <v>1.5151515151515152E-2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24.546296296296294</v>
      </c>
      <c r="Y259" s="543">
        <f>IFERROR(Y254/H254,"0")+IFERROR(Y255/H255,"0")+IFERROR(Y256/H256,"0")+IFERROR(Y257/H257,"0")+IFERROR(Y258/H258,"0")</f>
        <v>26</v>
      </c>
      <c r="Z259" s="543">
        <f>IFERROR(IF(Z254="",0,Z254),"0")+IFERROR(IF(Z255="",0,Z255),"0")+IFERROR(IF(Z256="",0,Z256),"0")+IFERROR(IF(Z257="",0,Z257),"0")+IFERROR(IF(Z258="",0,Z258),"0")</f>
        <v>0.45363999999999999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243</v>
      </c>
      <c r="Y260" s="543">
        <f>IFERROR(SUM(Y254:Y258),"0")</f>
        <v>253.6</v>
      </c>
      <c r="Z260" s="37"/>
      <c r="AA260" s="544"/>
      <c r="AB260" s="544"/>
      <c r="AC260" s="544"/>
    </row>
    <row r="261" spans="1:68" ht="16.5" customHeight="1" x14ac:dyDescent="0.25">
      <c r="A261" s="559" t="s">
        <v>415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58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426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58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435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58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5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7"/>
      <c r="P284" s="562" t="s">
        <v>71</v>
      </c>
      <c r="Q284" s="563"/>
      <c r="R284" s="563"/>
      <c r="S284" s="563"/>
      <c r="T284" s="563"/>
      <c r="U284" s="563"/>
      <c r="V284" s="564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62" t="s">
        <v>71</v>
      </c>
      <c r="Q285" s="563"/>
      <c r="R285" s="563"/>
      <c r="S285" s="563"/>
      <c r="T285" s="563"/>
      <c r="U285" s="563"/>
      <c r="V285" s="564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59" t="s">
        <v>445</v>
      </c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36"/>
      <c r="AB286" s="536"/>
      <c r="AC286" s="536"/>
    </row>
    <row r="287" spans="1:68" ht="14.25" customHeight="1" x14ac:dyDescent="0.25">
      <c r="A287" s="558" t="s">
        <v>101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4301012126</v>
      </c>
      <c r="D288" s="548">
        <v>4607091386004</v>
      </c>
      <c r="E288" s="549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100</v>
      </c>
      <c r="Y289" s="542">
        <f t="shared" si="26"/>
        <v>108</v>
      </c>
      <c r="Z289" s="36">
        <f>IFERROR(IF(Y289=0,"",ROUNDUP(Y289/H289,0)*0.01898),"")</f>
        <v>0.1898</v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103.79629629629629</v>
      </c>
      <c r="BN289" s="64">
        <f t="shared" si="28"/>
        <v>112.1</v>
      </c>
      <c r="BO289" s="64">
        <f t="shared" si="29"/>
        <v>0.14467592592592593</v>
      </c>
      <c r="BP289" s="64">
        <f t="shared" si="30"/>
        <v>0.15625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160</v>
      </c>
      <c r="Y290" s="542">
        <f t="shared" si="26"/>
        <v>162</v>
      </c>
      <c r="Z290" s="36">
        <f>IFERROR(IF(Y290=0,"",ROUNDUP(Y290/H290,0)*0.01898),"")</f>
        <v>0.28470000000000001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166.07407407407408</v>
      </c>
      <c r="BN290" s="64">
        <f t="shared" si="28"/>
        <v>168.15</v>
      </c>
      <c r="BO290" s="64">
        <f t="shared" si="29"/>
        <v>0.23148148148148145</v>
      </c>
      <c r="BP290" s="64">
        <f t="shared" si="30"/>
        <v>0.23437499999999997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505</v>
      </c>
      <c r="Y291" s="542">
        <f t="shared" si="26"/>
        <v>507.6</v>
      </c>
      <c r="Z291" s="36">
        <f>IFERROR(IF(Y291=0,"",ROUNDUP(Y291/H291,0)*0.01898),"")</f>
        <v>0.89205999999999996</v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524.1712962962963</v>
      </c>
      <c r="BN291" s="64">
        <f t="shared" si="28"/>
        <v>526.87</v>
      </c>
      <c r="BO291" s="64">
        <f t="shared" si="29"/>
        <v>0.73061342592592593</v>
      </c>
      <c r="BP291" s="64">
        <f t="shared" si="30"/>
        <v>0.734375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60</v>
      </c>
      <c r="Y292" s="542">
        <f t="shared" si="26"/>
        <v>60</v>
      </c>
      <c r="Z292" s="36">
        <f>IFERROR(IF(Y292=0,"",ROUNDUP(Y292/H292,0)*0.00902),"")</f>
        <v>0.1353</v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62.850000000000009</v>
      </c>
      <c r="BN292" s="64">
        <f t="shared" si="28"/>
        <v>62.850000000000009</v>
      </c>
      <c r="BO292" s="64">
        <f t="shared" si="29"/>
        <v>0.11363636363636365</v>
      </c>
      <c r="BP292" s="64">
        <f t="shared" si="30"/>
        <v>0.11363636363636365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116</v>
      </c>
      <c r="Y293" s="542">
        <f t="shared" si="26"/>
        <v>116</v>
      </c>
      <c r="Z293" s="36">
        <f>IFERROR(IF(Y293=0,"",ROUNDUP(Y293/H293,0)*0.00902),"")</f>
        <v>0.26158000000000003</v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121.51</v>
      </c>
      <c r="BN293" s="64">
        <f t="shared" si="28"/>
        <v>121.51</v>
      </c>
      <c r="BO293" s="64">
        <f t="shared" si="29"/>
        <v>0.2196969696969697</v>
      </c>
      <c r="BP293" s="64">
        <f t="shared" si="30"/>
        <v>0.2196969696969697</v>
      </c>
    </row>
    <row r="294" spans="1:68" x14ac:dyDescent="0.2">
      <c r="A294" s="555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7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IFERROR(X288/H288,"0")+IFERROR(X289/H289,"0")+IFERROR(X290/H290,"0")+IFERROR(X291/H291,"0")+IFERROR(X292/H292,"0")+IFERROR(X293/H293,"0")</f>
        <v>114.83333333333333</v>
      </c>
      <c r="Y294" s="543">
        <f>IFERROR(Y288/H288,"0")+IFERROR(Y289/H289,"0")+IFERROR(Y290/H290,"0")+IFERROR(Y291/H291,"0")+IFERROR(Y292/H292,"0")+IFERROR(Y293/H293,"0")</f>
        <v>116</v>
      </c>
      <c r="Z294" s="543">
        <f>IFERROR(IF(Z288="",0,Z288),"0")+IFERROR(IF(Z289="",0,Z289),"0")+IFERROR(IF(Z290="",0,Z290),"0")+IFERROR(IF(Z291="",0,Z291),"0")+IFERROR(IF(Z292="",0,Z292),"0")+IFERROR(IF(Z293="",0,Z293),"0")</f>
        <v>1.7634400000000001</v>
      </c>
      <c r="AA294" s="544"/>
      <c r="AB294" s="544"/>
      <c r="AC294" s="544"/>
    </row>
    <row r="295" spans="1:68" x14ac:dyDescent="0.2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IFERROR(SUM(X288:X293),"0")</f>
        <v>941</v>
      </c>
      <c r="Y295" s="543">
        <f>IFERROR(SUM(Y288:Y293),"0")</f>
        <v>953.6</v>
      </c>
      <c r="Z295" s="37"/>
      <c r="AA295" s="544"/>
      <c r="AB295" s="544"/>
      <c r="AC295" s="544"/>
    </row>
    <row r="296" spans="1:68" ht="14.25" customHeight="1" x14ac:dyDescent="0.25">
      <c r="A296" s="558" t="s">
        <v>64</v>
      </c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115</v>
      </c>
      <c r="Y297" s="542">
        <f t="shared" ref="Y297:Y303" si="31">IFERROR(IF(X297="",0,CEILING((X297/$H297),1)*$H297),"")</f>
        <v>117.60000000000001</v>
      </c>
      <c r="Z297" s="36">
        <f>IFERROR(IF(Y297=0,"",ROUNDUP(Y297/H297,0)*0.00902),"")</f>
        <v>0.25256000000000001</v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121.84523809523809</v>
      </c>
      <c r="BN297" s="64">
        <f t="shared" ref="BN297:BN303" si="33">IFERROR(Y297*I297/H297,"0")</f>
        <v>124.60000000000001</v>
      </c>
      <c r="BO297" s="64">
        <f t="shared" ref="BO297:BO303" si="34">IFERROR(1/J297*(X297/H297),"0")</f>
        <v>0.20743145743145744</v>
      </c>
      <c r="BP297" s="64">
        <f t="shared" ref="BP297:BP303" si="35">IFERROR(1/J297*(Y297/H297),"0")</f>
        <v>0.21212121212121213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234</v>
      </c>
      <c r="Y298" s="542">
        <f t="shared" si="31"/>
        <v>235.20000000000002</v>
      </c>
      <c r="Z298" s="36">
        <f>IFERROR(IF(Y298=0,"",ROUNDUP(Y298/H298,0)*0.00902),"")</f>
        <v>0.50512000000000001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247.92857142857142</v>
      </c>
      <c r="BN298" s="64">
        <f t="shared" si="33"/>
        <v>249.20000000000002</v>
      </c>
      <c r="BO298" s="64">
        <f t="shared" si="34"/>
        <v>0.42207792207792211</v>
      </c>
      <c r="BP298" s="64">
        <f t="shared" si="35"/>
        <v>0.42424242424242425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31.5</v>
      </c>
      <c r="Y300" s="542">
        <f t="shared" si="31"/>
        <v>31.5</v>
      </c>
      <c r="Z300" s="36">
        <f>IFERROR(IF(Y300=0,"",ROUNDUP(Y300/H300,0)*0.00502),"")</f>
        <v>7.5300000000000006E-2</v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33.450000000000003</v>
      </c>
      <c r="BN300" s="64">
        <f t="shared" si="33"/>
        <v>33.450000000000003</v>
      </c>
      <c r="BO300" s="64">
        <f t="shared" si="34"/>
        <v>6.4102564102564111E-2</v>
      </c>
      <c r="BP300" s="64">
        <f t="shared" si="35"/>
        <v>6.4102564102564111E-2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12.6</v>
      </c>
      <c r="Y301" s="542">
        <f t="shared" si="31"/>
        <v>12.600000000000001</v>
      </c>
      <c r="Z301" s="36">
        <f>IFERROR(IF(Y301=0,"",ROUNDUP(Y301/H301,0)*0.00502),"")</f>
        <v>3.0120000000000001E-2</v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13.200000000000001</v>
      </c>
      <c r="BN301" s="64">
        <f t="shared" si="33"/>
        <v>13.200000000000003</v>
      </c>
      <c r="BO301" s="64">
        <f t="shared" si="34"/>
        <v>2.5641025641025644E-2</v>
      </c>
      <c r="BP301" s="64">
        <f t="shared" si="35"/>
        <v>2.5641025641025644E-2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5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7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104.0952380952381</v>
      </c>
      <c r="Y304" s="543">
        <f>IFERROR(Y297/H297,"0")+IFERROR(Y298/H298,"0")+IFERROR(Y299/H299,"0")+IFERROR(Y300/H300,"0")+IFERROR(Y301/H301,"0")+IFERROR(Y302/H302,"0")+IFERROR(Y303/H303,"0")</f>
        <v>105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0.86310000000000009</v>
      </c>
      <c r="AA304" s="544"/>
      <c r="AB304" s="544"/>
      <c r="AC304" s="544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393.1</v>
      </c>
      <c r="Y305" s="543">
        <f>IFERROR(SUM(Y297:Y303),"0")</f>
        <v>396.90000000000003</v>
      </c>
      <c r="Z305" s="37"/>
      <c r="AA305" s="544"/>
      <c r="AB305" s="544"/>
      <c r="AC305" s="544"/>
    </row>
    <row r="306" spans="1:68" ht="14.25" customHeight="1" x14ac:dyDescent="0.25">
      <c r="A306" s="558" t="s">
        <v>73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3540</v>
      </c>
      <c r="Y307" s="542">
        <f>IFERROR(IF(X307="",0,CEILING((X307/$H307),1)*$H307),"")</f>
        <v>3541.2</v>
      </c>
      <c r="Z307" s="36">
        <f>IFERROR(IF(Y307=0,"",ROUNDUP(Y307/H307,0)*0.01898),"")</f>
        <v>8.6169200000000004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3761.4769230769234</v>
      </c>
      <c r="BN307" s="64">
        <f>IFERROR(Y307*I307/H307,"0")</f>
        <v>3762.752</v>
      </c>
      <c r="BO307" s="64">
        <f>IFERROR(1/J307*(X307/H307),"0")</f>
        <v>7.0913461538461542</v>
      </c>
      <c r="BP307" s="64">
        <f>IFERROR(1/J307*(Y307/H307),"0")</f>
        <v>7.09375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3.6</v>
      </c>
      <c r="Y310" s="542">
        <f>IFERROR(IF(X310="",0,CEILING((X310/$H310),1)*$H310),"")</f>
        <v>6</v>
      </c>
      <c r="Z310" s="36">
        <f>IFERROR(IF(Y310=0,"",ROUNDUP(Y310/H310,0)*0.00651),"")</f>
        <v>1.302E-2</v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3.8952000000000004</v>
      </c>
      <c r="BN310" s="64">
        <f>IFERROR(Y310*I310/H310,"0")</f>
        <v>6.492</v>
      </c>
      <c r="BO310" s="64">
        <f>IFERROR(1/J310*(X310/H310),"0")</f>
        <v>6.5934065934065934E-3</v>
      </c>
      <c r="BP310" s="64">
        <f>IFERROR(1/J310*(Y310/H310),"0")</f>
        <v>1.098901098901099E-2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8">
        <v>4607091387513</v>
      </c>
      <c r="E311" s="549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IFERROR(X307/H307,"0")+IFERROR(X308/H308,"0")+IFERROR(X309/H309,"0")+IFERROR(X310/H310,"0")+IFERROR(X311/H311,"0")</f>
        <v>455.04615384615386</v>
      </c>
      <c r="Y312" s="543">
        <f>IFERROR(Y307/H307,"0")+IFERROR(Y308/H308,"0")+IFERROR(Y309/H309,"0")+IFERROR(Y310/H310,"0")+IFERROR(Y311/H311,"0")</f>
        <v>456</v>
      </c>
      <c r="Z312" s="543">
        <f>IFERROR(IF(Z307="",0,Z307),"0")+IFERROR(IF(Z308="",0,Z308),"0")+IFERROR(IF(Z309="",0,Z309),"0")+IFERROR(IF(Z310="",0,Z310),"0")+IFERROR(IF(Z311="",0,Z311),"0")</f>
        <v>8.6299399999999995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IFERROR(SUM(X307:X311),"0")</f>
        <v>3543.6</v>
      </c>
      <c r="Y313" s="543">
        <f>IFERROR(SUM(Y307:Y311),"0")</f>
        <v>3547.2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290</v>
      </c>
      <c r="Y316" s="542">
        <f>IFERROR(IF(X316="",0,CEILING((X316/$H316),1)*$H316),"")</f>
        <v>296.39999999999998</v>
      </c>
      <c r="Z316" s="36">
        <f>IFERROR(IF(Y316=0,"",ROUNDUP(Y316/H316,0)*0.01898),"")</f>
        <v>0.72123999999999999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308.36666666666667</v>
      </c>
      <c r="BN316" s="64">
        <f>IFERROR(Y316*I316/H316,"0")</f>
        <v>315.17199999999997</v>
      </c>
      <c r="BO316" s="64">
        <f>IFERROR(1/J316*(X316/H316),"0")</f>
        <v>0.58092948717948723</v>
      </c>
      <c r="BP316" s="64">
        <f>IFERROR(1/J316*(Y316/H316),"0")</f>
        <v>0.59375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85</v>
      </c>
      <c r="Y317" s="542">
        <f>IFERROR(IF(X317="",0,CEILING((X317/$H317),1)*$H317),"")</f>
        <v>92.4</v>
      </c>
      <c r="Z317" s="36">
        <f>IFERROR(IF(Y317=0,"",ROUNDUP(Y317/H317,0)*0.01898),"")</f>
        <v>0.20877999999999999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89.998809523809527</v>
      </c>
      <c r="BN317" s="64">
        <f>IFERROR(Y317*I317/H317,"0")</f>
        <v>97.834000000000003</v>
      </c>
      <c r="BO317" s="64">
        <f>IFERROR(1/J317*(X317/H317),"0")</f>
        <v>0.15811011904761904</v>
      </c>
      <c r="BP317" s="64">
        <f>IFERROR(1/J317*(Y317/H317),"0")</f>
        <v>0.171875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47.298534798534803</v>
      </c>
      <c r="Y318" s="543">
        <f>IFERROR(Y315/H315,"0")+IFERROR(Y316/H316,"0")+IFERROR(Y317/H317,"0")</f>
        <v>49</v>
      </c>
      <c r="Z318" s="543">
        <f>IFERROR(IF(Z315="",0,Z315),"0")+IFERROR(IF(Z316="",0,Z316),"0")+IFERROR(IF(Z317="",0,Z317),"0")</f>
        <v>0.93001999999999996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375</v>
      </c>
      <c r="Y319" s="543">
        <f>IFERROR(SUM(Y315:Y317),"0")</f>
        <v>388.79999999999995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5" t="s">
        <v>511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517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526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58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36</v>
      </c>
      <c r="Y335" s="542">
        <f>IFERROR(IF(X335="",0,CEILING((X335/$H335),1)*$H335),"")</f>
        <v>40.5</v>
      </c>
      <c r="Z335" s="36">
        <f>IFERROR(IF(Y335=0,"",ROUNDUP(Y335/H335,0)*0.01898),"")</f>
        <v>9.4899999999999998E-2</v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38.195555555555551</v>
      </c>
      <c r="BN335" s="64">
        <f>IFERROR(Y335*I335/H335,"0")</f>
        <v>42.97</v>
      </c>
      <c r="BO335" s="64">
        <f>IFERROR(1/J335*(X335/H335),"0")</f>
        <v>6.9444444444444448E-2</v>
      </c>
      <c r="BP335" s="64">
        <f>IFERROR(1/J335*(Y335/H335),"0")</f>
        <v>7.8125E-2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24.5</v>
      </c>
      <c r="Y336" s="542">
        <f>IFERROR(IF(X336="",0,CEILING((X336/$H336),1)*$H336),"")</f>
        <v>25.200000000000003</v>
      </c>
      <c r="Z336" s="36">
        <f>IFERROR(IF(Y336=0,"",ROUNDUP(Y336/H336,0)*0.00651),"")</f>
        <v>7.8119999999999995E-2</v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27.439999999999998</v>
      </c>
      <c r="BN336" s="64">
        <f>IFERROR(Y336*I336/H336,"0")</f>
        <v>28.224</v>
      </c>
      <c r="BO336" s="64">
        <f>IFERROR(1/J336*(X336/H336),"0")</f>
        <v>6.4102564102564111E-2</v>
      </c>
      <c r="BP336" s="64">
        <f>IFERROR(1/J336*(Y336/H336),"0")</f>
        <v>6.5934065934065936E-2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58.8</v>
      </c>
      <c r="Y337" s="542">
        <f>IFERROR(IF(X337="",0,CEILING((X337/$H337),1)*$H337),"")</f>
        <v>58.800000000000004</v>
      </c>
      <c r="Z337" s="36">
        <f>IFERROR(IF(Y337=0,"",ROUNDUP(Y337/H337,0)*0.00651),"")</f>
        <v>0.18228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65.52</v>
      </c>
      <c r="BN337" s="64">
        <f>IFERROR(Y337*I337/H337,"0")</f>
        <v>65.52000000000001</v>
      </c>
      <c r="BO337" s="64">
        <f>IFERROR(1/J337*(X337/H337),"0")</f>
        <v>0.15384615384615383</v>
      </c>
      <c r="BP337" s="64">
        <f>IFERROR(1/J337*(Y337/H337),"0")</f>
        <v>0.15384615384615385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44.111111111111107</v>
      </c>
      <c r="Y338" s="543">
        <f>IFERROR(Y335/H335,"0")+IFERROR(Y336/H336,"0")+IFERROR(Y337/H337,"0")</f>
        <v>45</v>
      </c>
      <c r="Z338" s="543">
        <f>IFERROR(IF(Z335="",0,Z335),"0")+IFERROR(IF(Z336="",0,Z336),"0")+IFERROR(IF(Z337="",0,Z337),"0")</f>
        <v>0.3553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119.3</v>
      </c>
      <c r="Y339" s="543">
        <f>IFERROR(SUM(Y335:Y337),"0")</f>
        <v>124.5</v>
      </c>
      <c r="Z339" s="37"/>
      <c r="AA339" s="544"/>
      <c r="AB339" s="544"/>
      <c r="AC339" s="544"/>
    </row>
    <row r="340" spans="1:68" ht="27.75" customHeight="1" x14ac:dyDescent="0.2">
      <c r="A340" s="633" t="s">
        <v>536</v>
      </c>
      <c r="B340" s="634"/>
      <c r="C340" s="634"/>
      <c r="D340" s="634"/>
      <c r="E340" s="634"/>
      <c r="F340" s="634"/>
      <c r="G340" s="634"/>
      <c r="H340" s="634"/>
      <c r="I340" s="634"/>
      <c r="J340" s="634"/>
      <c r="K340" s="634"/>
      <c r="L340" s="634"/>
      <c r="M340" s="634"/>
      <c r="N340" s="634"/>
      <c r="O340" s="634"/>
      <c r="P340" s="634"/>
      <c r="Q340" s="634"/>
      <c r="R340" s="634"/>
      <c r="S340" s="634"/>
      <c r="T340" s="634"/>
      <c r="U340" s="634"/>
      <c r="V340" s="634"/>
      <c r="W340" s="634"/>
      <c r="X340" s="634"/>
      <c r="Y340" s="634"/>
      <c r="Z340" s="634"/>
      <c r="AA340" s="48"/>
      <c r="AB340" s="48"/>
      <c r="AC340" s="48"/>
    </row>
    <row r="341" spans="1:68" ht="16.5" customHeight="1" x14ac:dyDescent="0.25">
      <c r="A341" s="559" t="s">
        <v>537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58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160</v>
      </c>
      <c r="Y343" s="542">
        <f t="shared" ref="Y343:Y349" si="36">IFERROR(IF(X343="",0,CEILING((X343/$H343),1)*$H343),"")</f>
        <v>165</v>
      </c>
      <c r="Z343" s="36">
        <f>IFERROR(IF(Y343=0,"",ROUNDUP(Y343/H343,0)*0.02175),"")</f>
        <v>0.23924999999999999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165.01333333333335</v>
      </c>
      <c r="BN343" s="64">
        <f t="shared" ref="BN343:BN349" si="38">IFERROR(Y343*I343/H343,"0")</f>
        <v>170.17000000000002</v>
      </c>
      <c r="BO343" s="64">
        <f t="shared" ref="BO343:BO349" si="39">IFERROR(1/J343*(X343/H343),"0")</f>
        <v>0.22222222222222221</v>
      </c>
      <c r="BP343" s="64">
        <f t="shared" ref="BP343:BP349" si="40">IFERROR(1/J343*(Y343/H343),"0")</f>
        <v>0.22916666666666666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340</v>
      </c>
      <c r="Y344" s="542">
        <f t="shared" si="36"/>
        <v>345</v>
      </c>
      <c r="Z344" s="36">
        <f>IFERROR(IF(Y344=0,"",ROUNDUP(Y344/H344,0)*0.02175),"")</f>
        <v>0.50024999999999997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350.65333333333336</v>
      </c>
      <c r="BN344" s="64">
        <f t="shared" si="38"/>
        <v>355.81000000000006</v>
      </c>
      <c r="BO344" s="64">
        <f t="shared" si="39"/>
        <v>0.47222222222222221</v>
      </c>
      <c r="BP344" s="64">
        <f t="shared" si="40"/>
        <v>0.47916666666666663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3" t="s">
        <v>549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540</v>
      </c>
      <c r="Y346" s="542">
        <f t="shared" si="36"/>
        <v>540</v>
      </c>
      <c r="Z346" s="36">
        <f>IFERROR(IF(Y346=0,"",ROUNDUP(Y346/H346,0)*0.02175),"")</f>
        <v>0.78299999999999992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556.92000000000007</v>
      </c>
      <c r="BN346" s="64">
        <f t="shared" si="38"/>
        <v>556.92000000000007</v>
      </c>
      <c r="BO346" s="64">
        <f t="shared" si="39"/>
        <v>0.75</v>
      </c>
      <c r="BP346" s="64">
        <f t="shared" si="40"/>
        <v>0.75</v>
      </c>
    </row>
    <row r="347" spans="1:68" ht="27" customHeight="1" x14ac:dyDescent="0.25">
      <c r="A347" s="54" t="s">
        <v>551</v>
      </c>
      <c r="B347" s="54" t="s">
        <v>552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69.333333333333343</v>
      </c>
      <c r="Y350" s="543">
        <f>IFERROR(Y343/H343,"0")+IFERROR(Y344/H344,"0")+IFERROR(Y345/H345,"0")+IFERROR(Y346/H346,"0")+IFERROR(Y347/H347,"0")+IFERROR(Y348/H348,"0")+IFERROR(Y349/H349,"0")</f>
        <v>70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1.5225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1040</v>
      </c>
      <c r="Y351" s="543">
        <f>IFERROR(SUM(Y343:Y349),"0")</f>
        <v>1050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1920</v>
      </c>
      <c r="Y353" s="542">
        <f>IFERROR(IF(X353="",0,CEILING((X353/$H353),1)*$H353),"")</f>
        <v>1920</v>
      </c>
      <c r="Z353" s="36">
        <f>IFERROR(IF(Y353=0,"",ROUNDUP(Y353/H353,0)*0.02175),"")</f>
        <v>2.7839999999999998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1980.16</v>
      </c>
      <c r="BN353" s="64">
        <f>IFERROR(Y353*I353/H353,"0")</f>
        <v>1980.16</v>
      </c>
      <c r="BO353" s="64">
        <f>IFERROR(1/J353*(X353/H353),"0")</f>
        <v>2.6666666666666665</v>
      </c>
      <c r="BP353" s="64">
        <f>IFERROR(1/J353*(Y353/H353),"0")</f>
        <v>2.6666666666666665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128</v>
      </c>
      <c r="Y355" s="543">
        <f>IFERROR(Y353/H353,"0")+IFERROR(Y354/H354,"0")</f>
        <v>128</v>
      </c>
      <c r="Z355" s="543">
        <f>IFERROR(IF(Z353="",0,Z353),"0")+IFERROR(IF(Z354="",0,Z354),"0")</f>
        <v>2.7839999999999998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1920</v>
      </c>
      <c r="Y356" s="543">
        <f>IFERROR(SUM(Y353:Y354),"0")</f>
        <v>1920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572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58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576</v>
      </c>
      <c r="B369" s="54" t="s">
        <v>577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578</v>
      </c>
      <c r="B374" s="54" t="s">
        <v>581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3" t="s">
        <v>588</v>
      </c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34"/>
      <c r="N382" s="634"/>
      <c r="O382" s="634"/>
      <c r="P382" s="634"/>
      <c r="Q382" s="634"/>
      <c r="R382" s="634"/>
      <c r="S382" s="634"/>
      <c r="T382" s="634"/>
      <c r="U382" s="634"/>
      <c r="V382" s="634"/>
      <c r="W382" s="634"/>
      <c r="X382" s="634"/>
      <c r="Y382" s="634"/>
      <c r="Z382" s="634"/>
      <c r="AA382" s="48"/>
      <c r="AB382" s="48"/>
      <c r="AC382" s="48"/>
    </row>
    <row r="383" spans="1:68" ht="16.5" customHeight="1" x14ac:dyDescent="0.25">
      <c r="A383" s="559" t="s">
        <v>589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58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3.5</v>
      </c>
      <c r="Y389" s="542">
        <f t="shared" si="41"/>
        <v>4.2</v>
      </c>
      <c r="Z389" s="36">
        <f t="shared" si="46"/>
        <v>1.004E-2</v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3.7166666666666663</v>
      </c>
      <c r="BN389" s="64">
        <f t="shared" si="43"/>
        <v>4.46</v>
      </c>
      <c r="BO389" s="64">
        <f t="shared" si="44"/>
        <v>7.1225071225071226E-3</v>
      </c>
      <c r="BP389" s="64">
        <f t="shared" si="45"/>
        <v>8.5470085470085479E-3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8.3999999999999986</v>
      </c>
      <c r="Y390" s="542">
        <f t="shared" si="41"/>
        <v>8.4</v>
      </c>
      <c r="Z390" s="36">
        <f t="shared" si="46"/>
        <v>2.0080000000000001E-2</v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8.9199999999999982</v>
      </c>
      <c r="BN390" s="64">
        <f t="shared" si="43"/>
        <v>8.92</v>
      </c>
      <c r="BO390" s="64">
        <f t="shared" si="44"/>
        <v>1.7094017094017092E-2</v>
      </c>
      <c r="BP390" s="64">
        <f t="shared" si="45"/>
        <v>1.7094017094017096E-2</v>
      </c>
    </row>
    <row r="391" spans="1:68" ht="27" customHeight="1" x14ac:dyDescent="0.25">
      <c r="A391" s="54" t="s">
        <v>606</v>
      </c>
      <c r="B391" s="54" t="s">
        <v>607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8.3999999999999986</v>
      </c>
      <c r="Y392" s="542">
        <f t="shared" si="41"/>
        <v>8.4</v>
      </c>
      <c r="Z392" s="36">
        <f t="shared" si="46"/>
        <v>2.0080000000000001E-2</v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8.9199999999999982</v>
      </c>
      <c r="BN392" s="64">
        <f t="shared" si="43"/>
        <v>8.92</v>
      </c>
      <c r="BO392" s="64">
        <f t="shared" si="44"/>
        <v>1.7094017094017092E-2</v>
      </c>
      <c r="BP392" s="64">
        <f t="shared" si="45"/>
        <v>1.7094017094017096E-2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4.1999999999999993</v>
      </c>
      <c r="Y393" s="542">
        <f t="shared" si="41"/>
        <v>4.2</v>
      </c>
      <c r="Z393" s="36">
        <f t="shared" si="46"/>
        <v>1.004E-2</v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4.4599999999999991</v>
      </c>
      <c r="BN393" s="64">
        <f t="shared" si="43"/>
        <v>4.46</v>
      </c>
      <c r="BO393" s="64">
        <f t="shared" si="44"/>
        <v>8.5470085470085461E-3</v>
      </c>
      <c r="BP393" s="64">
        <f t="shared" si="45"/>
        <v>8.5470085470085479E-3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11.666666666666664</v>
      </c>
      <c r="Y394" s="543">
        <f>IFERROR(Y385/H385,"0")+IFERROR(Y386/H386,"0")+IFERROR(Y387/H387,"0")+IFERROR(Y388/H388,"0")+IFERROR(Y389/H389,"0")+IFERROR(Y390/H390,"0")+IFERROR(Y391/H391,"0")+IFERROR(Y392/H392,"0")+IFERROR(Y393/H393,"0")</f>
        <v>12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6.0240000000000002E-2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24.499999999999996</v>
      </c>
      <c r="Y395" s="543">
        <f>IFERROR(SUM(Y385:Y393),"0")</f>
        <v>25.2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614</v>
      </c>
      <c r="B397" s="54" t="s">
        <v>615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617</v>
      </c>
      <c r="B398" s="54" t="s">
        <v>618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620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58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621</v>
      </c>
      <c r="B403" s="54" t="s">
        <v>622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4.1999999999999993</v>
      </c>
      <c r="Y410" s="542">
        <f>IFERROR(IF(X410="",0,CEILING((X410/$H410),1)*$H410),"")</f>
        <v>4.2</v>
      </c>
      <c r="Z410" s="36">
        <f>IFERROR(IF(Y410=0,"",ROUNDUP(Y410/H410,0)*0.00502),"")</f>
        <v>1.004E-2</v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4.4599999999999991</v>
      </c>
      <c r="BN410" s="64">
        <f>IFERROR(Y410*I410/H410,"0")</f>
        <v>4.46</v>
      </c>
      <c r="BO410" s="64">
        <f>IFERROR(1/J410*(X410/H410),"0")</f>
        <v>8.5470085470085461E-3</v>
      </c>
      <c r="BP410" s="64">
        <f>IFERROR(1/J410*(Y410/H410),"0")</f>
        <v>8.5470085470085479E-3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1.9999999999999996</v>
      </c>
      <c r="Y411" s="543">
        <f>IFERROR(Y407/H407,"0")+IFERROR(Y408/H408,"0")+IFERROR(Y409/H409,"0")+IFERROR(Y410/H410,"0")</f>
        <v>2</v>
      </c>
      <c r="Z411" s="543">
        <f>IFERROR(IF(Z407="",0,Z407),"0")+IFERROR(IF(Z408="",0,Z408),"0")+IFERROR(IF(Z409="",0,Z409),"0")+IFERROR(IF(Z410="",0,Z410),"0")</f>
        <v>1.004E-2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4.1999999999999993</v>
      </c>
      <c r="Y412" s="543">
        <f>IFERROR(SUM(Y407:Y410),"0")</f>
        <v>4.2</v>
      </c>
      <c r="Z412" s="37"/>
      <c r="AA412" s="544"/>
      <c r="AB412" s="544"/>
      <c r="AC412" s="544"/>
    </row>
    <row r="413" spans="1:68" ht="16.5" customHeight="1" x14ac:dyDescent="0.25">
      <c r="A413" s="559" t="s">
        <v>635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58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636</v>
      </c>
      <c r="B415" s="54" t="s">
        <v>637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3" t="s">
        <v>639</v>
      </c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4"/>
      <c r="P418" s="634"/>
      <c r="Q418" s="634"/>
      <c r="R418" s="634"/>
      <c r="S418" s="634"/>
      <c r="T418" s="634"/>
      <c r="U418" s="634"/>
      <c r="V418" s="634"/>
      <c r="W418" s="634"/>
      <c r="X418" s="634"/>
      <c r="Y418" s="634"/>
      <c r="Z418" s="634"/>
      <c r="AA418" s="48"/>
      <c r="AB418" s="48"/>
      <c r="AC418" s="48"/>
    </row>
    <row r="419" spans="1:68" ht="16.5" customHeight="1" x14ac:dyDescent="0.25">
      <c r="A419" s="559" t="s">
        <v>639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58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70</v>
      </c>
      <c r="Y421" s="542">
        <f t="shared" ref="Y421:Y431" si="47">IFERROR(IF(X421="",0,CEILING((X421/$H421),1)*$H421),"")</f>
        <v>73.92</v>
      </c>
      <c r="Z421" s="36">
        <f t="shared" ref="Z421:Z426" si="48">IFERROR(IF(Y421=0,"",ROUNDUP(Y421/H421,0)*0.01196),"")</f>
        <v>0.16744000000000001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74.640151515151501</v>
      </c>
      <c r="BN421" s="64">
        <f t="shared" ref="BN421:BN431" si="50">IFERROR(Y421*I421/H421,"0")</f>
        <v>78.819999999999993</v>
      </c>
      <c r="BO421" s="64">
        <f t="shared" ref="BO421:BO431" si="51">IFERROR(1/J421*(X421/H421),"0")</f>
        <v>0.12747668997668998</v>
      </c>
      <c r="BP421" s="64">
        <f t="shared" ref="BP421:BP431" si="52">IFERROR(1/J421*(Y421/H421),"0")</f>
        <v>0.13461538461538464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5</v>
      </c>
      <c r="Y422" s="542">
        <f t="shared" si="47"/>
        <v>5.28</v>
      </c>
      <c r="Z422" s="36">
        <f t="shared" si="48"/>
        <v>1.196E-2</v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5.3314393939393936</v>
      </c>
      <c r="BN422" s="64">
        <f t="shared" si="50"/>
        <v>5.63</v>
      </c>
      <c r="BO422" s="64">
        <f t="shared" si="51"/>
        <v>9.1054778554778559E-3</v>
      </c>
      <c r="BP422" s="64">
        <f t="shared" si="52"/>
        <v>9.6153846153846159E-3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70</v>
      </c>
      <c r="Y423" s="542">
        <f t="shared" si="47"/>
        <v>73.92</v>
      </c>
      <c r="Z423" s="36">
        <f t="shared" si="48"/>
        <v>0.16744000000000001</v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74.640151515151501</v>
      </c>
      <c r="BN423" s="64">
        <f t="shared" si="50"/>
        <v>78.819999999999993</v>
      </c>
      <c r="BO423" s="64">
        <f t="shared" si="51"/>
        <v>0.12747668997668998</v>
      </c>
      <c r="BP423" s="64">
        <f t="shared" si="52"/>
        <v>0.13461538461538464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6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651</v>
      </c>
      <c r="B425" s="54" t="s">
        <v>652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20</v>
      </c>
      <c r="Y426" s="542">
        <f t="shared" si="47"/>
        <v>21.12</v>
      </c>
      <c r="Z426" s="36">
        <f t="shared" si="48"/>
        <v>4.7840000000000001E-2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21.325757575757574</v>
      </c>
      <c r="BN426" s="64">
        <f t="shared" si="50"/>
        <v>22.52</v>
      </c>
      <c r="BO426" s="64">
        <f t="shared" si="51"/>
        <v>3.6421911421911424E-2</v>
      </c>
      <c r="BP426" s="64">
        <f t="shared" si="52"/>
        <v>3.8461538461538464E-2</v>
      </c>
    </row>
    <row r="427" spans="1:68" ht="27" customHeight="1" x14ac:dyDescent="0.25">
      <c r="A427" s="54" t="s">
        <v>657</v>
      </c>
      <c r="B427" s="54" t="s">
        <v>658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31.25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0.39468000000000003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165</v>
      </c>
      <c r="Y433" s="543">
        <f>IFERROR(SUM(Y421:Y431),"0")</f>
        <v>174.24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190</v>
      </c>
      <c r="Y435" s="542">
        <f>IFERROR(IF(X435="",0,CEILING((X435/$H435),1)*$H435),"")</f>
        <v>190.08</v>
      </c>
      <c r="Z435" s="36">
        <f>IFERROR(IF(Y435=0,"",ROUNDUP(Y435/H435,0)*0.01196),"")</f>
        <v>0.43056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202.59469696969697</v>
      </c>
      <c r="BN435" s="64">
        <f>IFERROR(Y435*I435/H435,"0")</f>
        <v>202.67999999999998</v>
      </c>
      <c r="BO435" s="64">
        <f>IFERROR(1/J435*(X435/H435),"0")</f>
        <v>0.34600815850815853</v>
      </c>
      <c r="BP435" s="64">
        <f>IFERROR(1/J435*(Y435/H435),"0")</f>
        <v>0.34615384615384615</v>
      </c>
    </row>
    <row r="436" spans="1:68" ht="16.5" customHeight="1" x14ac:dyDescent="0.25">
      <c r="A436" s="54" t="s">
        <v>671</v>
      </c>
      <c r="B436" s="54" t="s">
        <v>672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673</v>
      </c>
      <c r="B437" s="54" t="s">
        <v>674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35.984848484848484</v>
      </c>
      <c r="Y438" s="543">
        <f>IFERROR(Y435/H435,"0")+IFERROR(Y436/H436,"0")+IFERROR(Y437/H437,"0")</f>
        <v>36</v>
      </c>
      <c r="Z438" s="543">
        <f>IFERROR(IF(Z435="",0,Z435),"0")+IFERROR(IF(Z436="",0,Z436),"0")+IFERROR(IF(Z437="",0,Z437),"0")</f>
        <v>0.43056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190</v>
      </c>
      <c r="Y439" s="543">
        <f>IFERROR(SUM(Y435:Y437),"0")</f>
        <v>190.08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65</v>
      </c>
      <c r="Y441" s="542">
        <f t="shared" ref="Y441:Y446" si="53">IFERROR(IF(X441="",0,CEILING((X441/$H441),1)*$H441),"")</f>
        <v>68.64</v>
      </c>
      <c r="Z441" s="36">
        <f>IFERROR(IF(Y441=0,"",ROUNDUP(Y441/H441,0)*0.01196),"")</f>
        <v>0.15548000000000001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69.30871212121211</v>
      </c>
      <c r="BN441" s="64">
        <f t="shared" ref="BN441:BN446" si="55">IFERROR(Y441*I441/H441,"0")</f>
        <v>73.19</v>
      </c>
      <c r="BO441" s="64">
        <f t="shared" ref="BO441:BO446" si="56">IFERROR(1/J441*(X441/H441),"0")</f>
        <v>0.11837121212121213</v>
      </c>
      <c r="BP441" s="64">
        <f t="shared" ref="BP441:BP446" si="57">IFERROR(1/J441*(Y441/H441),"0")</f>
        <v>0.125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70</v>
      </c>
      <c r="Y442" s="542">
        <f t="shared" si="53"/>
        <v>73.92</v>
      </c>
      <c r="Z442" s="36">
        <f>IFERROR(IF(Y442=0,"",ROUNDUP(Y442/H442,0)*0.01196),"")</f>
        <v>0.16744000000000001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74.640151515151501</v>
      </c>
      <c r="BN442" s="64">
        <f t="shared" si="55"/>
        <v>78.819999999999993</v>
      </c>
      <c r="BO442" s="64">
        <f t="shared" si="56"/>
        <v>0.12747668997668998</v>
      </c>
      <c r="BP442" s="64">
        <f t="shared" si="57"/>
        <v>0.13461538461538464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85</v>
      </c>
      <c r="Y443" s="542">
        <f t="shared" si="53"/>
        <v>89.76</v>
      </c>
      <c r="Z443" s="36">
        <f>IFERROR(IF(Y443=0,"",ROUNDUP(Y443/H443,0)*0.01196),"")</f>
        <v>0.20332</v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90.634469696969688</v>
      </c>
      <c r="BN443" s="64">
        <f t="shared" si="55"/>
        <v>95.710000000000008</v>
      </c>
      <c r="BO443" s="64">
        <f t="shared" si="56"/>
        <v>0.15479312354312355</v>
      </c>
      <c r="BP443" s="64">
        <f t="shared" si="57"/>
        <v>0.16346153846153846</v>
      </c>
    </row>
    <row r="444" spans="1:68" ht="27" customHeight="1" x14ac:dyDescent="0.25">
      <c r="A444" s="54" t="s">
        <v>684</v>
      </c>
      <c r="B444" s="54" t="s">
        <v>685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41.666666666666671</v>
      </c>
      <c r="Y447" s="543">
        <f>IFERROR(Y441/H441,"0")+IFERROR(Y442/H442,"0")+IFERROR(Y443/H443,"0")+IFERROR(Y444/H444,"0")+IFERROR(Y445/H445,"0")+IFERROR(Y446/H446,"0")</f>
        <v>44</v>
      </c>
      <c r="Z447" s="543">
        <f>IFERROR(IF(Z441="",0,Z441),"0")+IFERROR(IF(Z442="",0,Z442),"0")+IFERROR(IF(Z443="",0,Z443),"0")+IFERROR(IF(Z444="",0,Z444),"0")+IFERROR(IF(Z445="",0,Z445),"0")+IFERROR(IF(Z446="",0,Z446),"0")</f>
        <v>0.52624000000000004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220</v>
      </c>
      <c r="Y448" s="543">
        <f>IFERROR(SUM(Y441:Y446),"0")</f>
        <v>232.32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690</v>
      </c>
      <c r="B450" s="54" t="s">
        <v>691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693</v>
      </c>
      <c r="B451" s="54" t="s">
        <v>694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3" t="s">
        <v>699</v>
      </c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4"/>
      <c r="P455" s="634"/>
      <c r="Q455" s="634"/>
      <c r="R455" s="634"/>
      <c r="S455" s="634"/>
      <c r="T455" s="634"/>
      <c r="U455" s="634"/>
      <c r="V455" s="634"/>
      <c r="W455" s="634"/>
      <c r="X455" s="634"/>
      <c r="Y455" s="634"/>
      <c r="Z455" s="634"/>
      <c r="AA455" s="48"/>
      <c r="AB455" s="48"/>
      <c r="AC455" s="48"/>
    </row>
    <row r="456" spans="1:68" ht="16.5" customHeight="1" x14ac:dyDescent="0.25">
      <c r="A456" s="559" t="s">
        <v>699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58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700</v>
      </c>
      <c r="B458" s="54" t="s">
        <v>701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30</v>
      </c>
      <c r="Y460" s="542">
        <f>IFERROR(IF(X460="",0,CEILING((X460/$H460),1)*$H460),"")</f>
        <v>36</v>
      </c>
      <c r="Z460" s="36">
        <f>IFERROR(IF(Y460=0,"",ROUNDUP(Y460/H460,0)*0.01898),"")</f>
        <v>5.6940000000000004E-2</v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31.025000000000002</v>
      </c>
      <c r="BN460" s="64">
        <f>IFERROR(Y460*I460/H460,"0")</f>
        <v>37.229999999999997</v>
      </c>
      <c r="BO460" s="64">
        <f>IFERROR(1/J460*(X460/H460),"0")</f>
        <v>3.90625E-2</v>
      </c>
      <c r="BP460" s="64">
        <f>IFERROR(1/J460*(Y460/H460),"0")</f>
        <v>4.6875E-2</v>
      </c>
    </row>
    <row r="461" spans="1:68" ht="27" customHeight="1" x14ac:dyDescent="0.25">
      <c r="A461" s="54" t="s">
        <v>709</v>
      </c>
      <c r="B461" s="54" t="s">
        <v>710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2.5</v>
      </c>
      <c r="Y462" s="543">
        <f>IFERROR(Y458/H458,"0")+IFERROR(Y459/H459,"0")+IFERROR(Y460/H460,"0")+IFERROR(Y461/H461,"0")</f>
        <v>3</v>
      </c>
      <c r="Z462" s="543">
        <f>IFERROR(IF(Z458="",0,Z458),"0")+IFERROR(IF(Z459="",0,Z459),"0")+IFERROR(IF(Z460="",0,Z460),"0")+IFERROR(IF(Z461="",0,Z461),"0")</f>
        <v>5.6940000000000004E-2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30</v>
      </c>
      <c r="Y463" s="543">
        <f>IFERROR(SUM(Y458:Y461),"0")</f>
        <v>36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711</v>
      </c>
      <c r="B465" s="54" t="s">
        <v>712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717</v>
      </c>
      <c r="B467" s="54" t="s">
        <v>718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40</v>
      </c>
      <c r="Y471" s="542">
        <f>IFERROR(IF(X471="",0,CEILING((X471/$H471),1)*$H471),"")</f>
        <v>42</v>
      </c>
      <c r="Z471" s="36">
        <f>IFERROR(IF(Y471=0,"",ROUNDUP(Y471/H471,0)*0.00902),"")</f>
        <v>9.0200000000000002E-2</v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42.38095238095238</v>
      </c>
      <c r="BN471" s="64">
        <f>IFERROR(Y471*I471/H471,"0")</f>
        <v>44.5</v>
      </c>
      <c r="BO471" s="64">
        <f>IFERROR(1/J471*(X471/H471),"0")</f>
        <v>7.2150072150072145E-2</v>
      </c>
      <c r="BP471" s="64">
        <f>IFERROR(1/J471*(Y471/H471),"0")</f>
        <v>7.575757575757576E-2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92</v>
      </c>
      <c r="Y472" s="542">
        <f>IFERROR(IF(X472="",0,CEILING((X472/$H472),1)*$H472),"")</f>
        <v>92.4</v>
      </c>
      <c r="Z472" s="36">
        <f>IFERROR(IF(Y472=0,"",ROUNDUP(Y472/H472,0)*0.00902),"")</f>
        <v>0.19844000000000001</v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97.476190476190482</v>
      </c>
      <c r="BN472" s="64">
        <f>IFERROR(Y472*I472/H472,"0")</f>
        <v>97.9</v>
      </c>
      <c r="BO472" s="64">
        <f>IFERROR(1/J472*(X472/H472),"0")</f>
        <v>0.16594516594516595</v>
      </c>
      <c r="BP472" s="64">
        <f>IFERROR(1/J472*(Y472/H472),"0")</f>
        <v>0.16666666666666669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31.428571428571431</v>
      </c>
      <c r="Y473" s="543">
        <f>IFERROR(Y471/H471,"0")+IFERROR(Y472/H472,"0")</f>
        <v>32</v>
      </c>
      <c r="Z473" s="543">
        <f>IFERROR(IF(Z471="",0,Z471),"0")+IFERROR(IF(Z472="",0,Z472),"0")</f>
        <v>0.28864000000000001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132</v>
      </c>
      <c r="Y474" s="543">
        <f>IFERROR(SUM(Y471:Y472),"0")</f>
        <v>134.4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15</v>
      </c>
      <c r="Y476" s="542">
        <f>IFERROR(IF(X476="",0,CEILING((X476/$H476),1)*$H476),"")</f>
        <v>18</v>
      </c>
      <c r="Z476" s="36">
        <f>IFERROR(IF(Y476=0,"",ROUNDUP(Y476/H476,0)*0.01898),"")</f>
        <v>3.7960000000000001E-2</v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15.823333333333332</v>
      </c>
      <c r="BN476" s="64">
        <f>IFERROR(Y476*I476/H476,"0")</f>
        <v>18.988</v>
      </c>
      <c r="BO476" s="64">
        <f>IFERROR(1/J476*(X476/H476),"0")</f>
        <v>2.6041666666666668E-2</v>
      </c>
      <c r="BP476" s="64">
        <f>IFERROR(1/J476*(Y476/H476),"0")</f>
        <v>3.125E-2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1.6666666666666667</v>
      </c>
      <c r="Y477" s="543">
        <f>IFERROR(Y476/H476,"0")</f>
        <v>2</v>
      </c>
      <c r="Z477" s="543">
        <f>IFERROR(IF(Z476="",0,Z476),"0")</f>
        <v>3.7960000000000001E-2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15</v>
      </c>
      <c r="Y478" s="543">
        <f>IFERROR(SUM(Y476:Y476),"0")</f>
        <v>18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729</v>
      </c>
      <c r="B480" s="54" t="s">
        <v>730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735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58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736</v>
      </c>
      <c r="B486" s="54" t="s">
        <v>737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1"/>
      <c r="P489" s="630" t="s">
        <v>739</v>
      </c>
      <c r="Q489" s="631"/>
      <c r="R489" s="631"/>
      <c r="S489" s="631"/>
      <c r="T489" s="631"/>
      <c r="U489" s="631"/>
      <c r="V489" s="632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11532.600000000002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11694.539999999999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1"/>
      <c r="P490" s="630" t="s">
        <v>740</v>
      </c>
      <c r="Q490" s="631"/>
      <c r="R490" s="631"/>
      <c r="S490" s="631"/>
      <c r="T490" s="631"/>
      <c r="U490" s="631"/>
      <c r="V490" s="632"/>
      <c r="W490" s="37" t="s">
        <v>69</v>
      </c>
      <c r="X490" s="543">
        <f>IFERROR(SUM(BM22:BM486),"0")</f>
        <v>12101.249982304118</v>
      </c>
      <c r="Y490" s="543">
        <f>IFERROR(SUM(BN22:BN486),"0")</f>
        <v>12271.515999999992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1"/>
      <c r="P491" s="630" t="s">
        <v>741</v>
      </c>
      <c r="Q491" s="631"/>
      <c r="R491" s="631"/>
      <c r="S491" s="631"/>
      <c r="T491" s="631"/>
      <c r="U491" s="631"/>
      <c r="V491" s="632"/>
      <c r="W491" s="37" t="s">
        <v>742</v>
      </c>
      <c r="X491" s="38">
        <f>ROUNDUP(SUM(BO22:BO486),0)</f>
        <v>20</v>
      </c>
      <c r="Y491" s="38">
        <f>ROUNDUP(SUM(BP22:BP486),0)</f>
        <v>20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01"/>
      <c r="P492" s="630" t="s">
        <v>743</v>
      </c>
      <c r="Q492" s="631"/>
      <c r="R492" s="631"/>
      <c r="S492" s="631"/>
      <c r="T492" s="631"/>
      <c r="U492" s="631"/>
      <c r="V492" s="632"/>
      <c r="W492" s="37" t="s">
        <v>69</v>
      </c>
      <c r="X492" s="543">
        <f>GrossWeightTotal+PalletQtyTotal*25</f>
        <v>12601.249982304118</v>
      </c>
      <c r="Y492" s="543">
        <f>GrossWeightTotalR+PalletQtyTotalR*25</f>
        <v>12771.515999999992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01"/>
      <c r="P493" s="630" t="s">
        <v>744</v>
      </c>
      <c r="Q493" s="631"/>
      <c r="R493" s="631"/>
      <c r="S493" s="631"/>
      <c r="T493" s="631"/>
      <c r="U493" s="631"/>
      <c r="V493" s="632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1503.631565348232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1528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01"/>
      <c r="P494" s="630" t="s">
        <v>745</v>
      </c>
      <c r="Q494" s="631"/>
      <c r="R494" s="631"/>
      <c r="S494" s="631"/>
      <c r="T494" s="631"/>
      <c r="U494" s="631"/>
      <c r="V494" s="632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23.452520000000003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1" t="s">
        <v>99</v>
      </c>
      <c r="D496" s="653"/>
      <c r="E496" s="653"/>
      <c r="F496" s="653"/>
      <c r="G496" s="653"/>
      <c r="H496" s="622"/>
      <c r="I496" s="591" t="s">
        <v>255</v>
      </c>
      <c r="J496" s="653"/>
      <c r="K496" s="653"/>
      <c r="L496" s="653"/>
      <c r="M496" s="653"/>
      <c r="N496" s="653"/>
      <c r="O496" s="653"/>
      <c r="P496" s="653"/>
      <c r="Q496" s="653"/>
      <c r="R496" s="622"/>
      <c r="S496" s="591" t="s">
        <v>536</v>
      </c>
      <c r="T496" s="622"/>
      <c r="U496" s="591" t="s">
        <v>588</v>
      </c>
      <c r="V496" s="653"/>
      <c r="W496" s="622"/>
      <c r="X496" s="533" t="s">
        <v>639</v>
      </c>
      <c r="Y496" s="591" t="s">
        <v>699</v>
      </c>
      <c r="Z496" s="622"/>
      <c r="AB496" s="52"/>
      <c r="AC496" s="52"/>
      <c r="AF496" s="534"/>
    </row>
    <row r="497" spans="1:32" ht="14.25" customHeight="1" thickTop="1" x14ac:dyDescent="0.2">
      <c r="A497" s="834" t="s">
        <v>748</v>
      </c>
      <c r="B497" s="591" t="s">
        <v>63</v>
      </c>
      <c r="C497" s="591" t="s">
        <v>100</v>
      </c>
      <c r="D497" s="591" t="s">
        <v>117</v>
      </c>
      <c r="E497" s="591" t="s">
        <v>171</v>
      </c>
      <c r="F497" s="591" t="s">
        <v>190</v>
      </c>
      <c r="G497" s="591" t="s">
        <v>220</v>
      </c>
      <c r="H497" s="591" t="s">
        <v>99</v>
      </c>
      <c r="I497" s="591" t="s">
        <v>256</v>
      </c>
      <c r="J497" s="591" t="s">
        <v>297</v>
      </c>
      <c r="K497" s="591" t="s">
        <v>357</v>
      </c>
      <c r="L497" s="591" t="s">
        <v>399</v>
      </c>
      <c r="M497" s="591" t="s">
        <v>415</v>
      </c>
      <c r="N497" s="534"/>
      <c r="O497" s="591" t="s">
        <v>426</v>
      </c>
      <c r="P497" s="591" t="s">
        <v>435</v>
      </c>
      <c r="Q497" s="591" t="s">
        <v>445</v>
      </c>
      <c r="R497" s="591" t="s">
        <v>526</v>
      </c>
      <c r="S497" s="591" t="s">
        <v>537</v>
      </c>
      <c r="T497" s="591" t="s">
        <v>572</v>
      </c>
      <c r="U497" s="591" t="s">
        <v>589</v>
      </c>
      <c r="V497" s="591" t="s">
        <v>620</v>
      </c>
      <c r="W497" s="591" t="s">
        <v>635</v>
      </c>
      <c r="X497" s="591" t="s">
        <v>639</v>
      </c>
      <c r="Y497" s="591" t="s">
        <v>699</v>
      </c>
      <c r="Z497" s="591" t="s">
        <v>735</v>
      </c>
      <c r="AB497" s="52"/>
      <c r="AC497" s="52"/>
      <c r="AF497" s="534"/>
    </row>
    <row r="498" spans="1:32" ht="13.5" customHeight="1" thickBot="1" x14ac:dyDescent="0.25">
      <c r="A498" s="835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4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148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1402.1999999999998</v>
      </c>
      <c r="E499" s="46">
        <f>IFERROR(Y85*1,"0")+IFERROR(Y86*1,"0")+IFERROR(Y87*1,"0")+IFERROR(Y91*1,"0")+IFERROR(Y92*1,"0")+IFERROR(Y93*1,"0")+IFERROR(Y94*1,"0")</f>
        <v>246.60000000000002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80.399999999999991</v>
      </c>
      <c r="G499" s="46">
        <f>IFERROR(Y124*1,"0")+IFERROR(Y125*1,"0")+IFERROR(Y129*1,"0")+IFERROR(Y130*1,"0")+IFERROR(Y134*1,"0")+IFERROR(Y135*1,"0")</f>
        <v>21.2</v>
      </c>
      <c r="H499" s="46">
        <f>IFERROR(Y140*1,"0")+IFERROR(Y141*1,"0")+IFERROR(Y142*1,"0")+IFERROR(Y146*1,"0")+IFERROR(Y147*1,"0")+IFERROR(Y148*1,"0")+IFERROR(Y152*1,"0")</f>
        <v>72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23.1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252.00000000000006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253.6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5286.4999999999991</v>
      </c>
      <c r="R499" s="46">
        <f>IFERROR(Y335*1,"0")+IFERROR(Y336*1,"0")+IFERROR(Y337*1,"0")</f>
        <v>124.5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2970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25.2</v>
      </c>
      <c r="V499" s="46">
        <f>IFERROR(Y403*1,"0")+IFERROR(Y407*1,"0")+IFERROR(Y408*1,"0")+IFERROR(Y409*1,"0")+IFERROR(Y410*1,"0")</f>
        <v>4.2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596.6400000000001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188.4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A489:O4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84:Z484"/>
    <mergeCell ref="A487:O488"/>
    <mergeCell ref="A33:Z33"/>
    <mergeCell ref="T497:T498"/>
    <mergeCell ref="D196:E196"/>
    <mergeCell ref="A269:Z269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N17:N1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A447:O44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P317:T317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P492:V492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A9:C9"/>
    <mergeCell ref="P125:T125"/>
    <mergeCell ref="P321:T321"/>
    <mergeCell ref="D202:E202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P483:V483"/>
    <mergeCell ref="D298:E298"/>
    <mergeCell ref="P91:T91"/>
    <mergeCell ref="P404:V404"/>
    <mergeCell ref="D273:E273"/>
    <mergeCell ref="P468:V468"/>
    <mergeCell ref="A464:Z464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P393:T393"/>
    <mergeCell ref="A419:Z419"/>
    <mergeCell ref="A153:O154"/>
    <mergeCell ref="A133:Z133"/>
    <mergeCell ref="D125:E125"/>
    <mergeCell ref="P446:T446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425:E425"/>
    <mergeCell ref="D359:E359"/>
    <mergeCell ref="H17:H18"/>
    <mergeCell ref="A220:O221"/>
    <mergeCell ref="P388:T388"/>
    <mergeCell ref="P451:T451"/>
    <mergeCell ref="P126:V126"/>
    <mergeCell ref="A470:Z470"/>
    <mergeCell ref="D424:E424"/>
    <mergeCell ref="P224:T224"/>
    <mergeCell ref="P322:T322"/>
    <mergeCell ref="P211:T211"/>
    <mergeCell ref="P309:T309"/>
    <mergeCell ref="P51:T51"/>
    <mergeCell ref="P324:T324"/>
    <mergeCell ref="A143:O144"/>
    <mergeCell ref="A261:Z261"/>
    <mergeCell ref="P338:V338"/>
    <mergeCell ref="P313:V313"/>
    <mergeCell ref="A138:Z138"/>
    <mergeCell ref="P58:V58"/>
    <mergeCell ref="D61:E61"/>
    <mergeCell ref="P115:T115"/>
    <mergeCell ref="D254:E254"/>
    <mergeCell ref="A367:Z367"/>
    <mergeCell ref="A183:Z183"/>
    <mergeCell ref="A88:O89"/>
    <mergeCell ref="D346:E346"/>
    <mergeCell ref="P229:T22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328:E328"/>
    <mergeCell ref="P136:V136"/>
    <mergeCell ref="A253:Z253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53:T53"/>
    <mergeCell ref="D167:E167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490:V490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158:E158"/>
    <mergeCell ref="D329:E329"/>
    <mergeCell ref="D229:E229"/>
    <mergeCell ref="A402:Z402"/>
    <mergeCell ref="I17:I18"/>
    <mergeCell ref="P36:V36"/>
    <mergeCell ref="D388:E388"/>
    <mergeCell ref="P442:T442"/>
    <mergeCell ref="P467:T467"/>
    <mergeCell ref="P489:V489"/>
    <mergeCell ref="P119:T119"/>
    <mergeCell ref="A43:O44"/>
    <mergeCell ref="P246:T246"/>
    <mergeCell ref="D445:E445"/>
    <mergeCell ref="D224:E224"/>
    <mergeCell ref="P230:T230"/>
    <mergeCell ref="P168:T168"/>
    <mergeCell ref="D211:E211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D147:E147"/>
    <mergeCell ref="P188:V188"/>
    <mergeCell ref="A187:O188"/>
    <mergeCell ref="D209:E209"/>
    <mergeCell ref="H1:Q1"/>
    <mergeCell ref="P109:V109"/>
    <mergeCell ref="P280:V280"/>
    <mergeCell ref="P274:V274"/>
    <mergeCell ref="A366:Z366"/>
    <mergeCell ref="D214:E214"/>
    <mergeCell ref="A286:Z286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P148:T148"/>
    <mergeCell ref="A109:O110"/>
    <mergeCell ref="A47:O48"/>
    <mergeCell ref="D7:M7"/>
    <mergeCell ref="D129:E129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P158:T158"/>
    <mergeCell ref="P329:T329"/>
    <mergeCell ref="P251:V251"/>
    <mergeCell ref="P416:V416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P79:T79"/>
    <mergeCell ref="D60:E60"/>
    <mergeCell ref="P73:T73"/>
    <mergeCell ref="P315:T315"/>
    <mergeCell ref="P437:T437"/>
    <mergeCell ref="P231:T231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2025-11-10T10:33:11Z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