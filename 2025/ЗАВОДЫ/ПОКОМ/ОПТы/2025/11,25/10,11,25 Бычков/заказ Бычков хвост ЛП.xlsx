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Бычков\"/>
    </mc:Choice>
  </mc:AlternateContent>
  <xr:revisionPtr revIDLastSave="0" documentId="13_ncr:1_{933254FC-319A-4ED0-A750-C74CCA53DD9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Y305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Y274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Y187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43" i="1" l="1"/>
  <c r="Y31" i="1"/>
  <c r="Y43" i="1"/>
  <c r="Y493" i="1" s="1"/>
  <c r="Y58" i="1"/>
  <c r="Y64" i="1"/>
  <c r="Y70" i="1"/>
  <c r="Z88" i="1"/>
  <c r="BP86" i="1"/>
  <c r="BN86" i="1"/>
  <c r="Z86" i="1"/>
  <c r="BP94" i="1"/>
  <c r="BN94" i="1"/>
  <c r="Z94" i="1"/>
  <c r="Y96" i="1"/>
  <c r="F499" i="1"/>
  <c r="Y104" i="1"/>
  <c r="BP99" i="1"/>
  <c r="BN99" i="1"/>
  <c r="Z99" i="1"/>
  <c r="Z103" i="1" s="1"/>
  <c r="Y103" i="1"/>
  <c r="Z109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Z143" i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Y171" i="1"/>
  <c r="BP162" i="1"/>
  <c r="BN162" i="1"/>
  <c r="Z162" i="1"/>
  <c r="BP166" i="1"/>
  <c r="BN166" i="1"/>
  <c r="Z166" i="1"/>
  <c r="BP170" i="1"/>
  <c r="BN170" i="1"/>
  <c r="Z170" i="1"/>
  <c r="Y172" i="1"/>
  <c r="Y177" i="1"/>
  <c r="BP174" i="1"/>
  <c r="BN174" i="1"/>
  <c r="Z174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Z215" i="1" s="1"/>
  <c r="BP214" i="1"/>
  <c r="BN214" i="1"/>
  <c r="Z214" i="1"/>
  <c r="Y216" i="1"/>
  <c r="Y221" i="1"/>
  <c r="BP218" i="1"/>
  <c r="BN218" i="1"/>
  <c r="Z218" i="1"/>
  <c r="Z220" i="1" s="1"/>
  <c r="Y220" i="1"/>
  <c r="BP279" i="1"/>
  <c r="BN279" i="1"/>
  <c r="Z279" i="1"/>
  <c r="Z280" i="1" s="1"/>
  <c r="Y281" i="1"/>
  <c r="Y284" i="1"/>
  <c r="BP283" i="1"/>
  <c r="BN283" i="1"/>
  <c r="Z283" i="1"/>
  <c r="Z284" i="1" s="1"/>
  <c r="Y285" i="1"/>
  <c r="Q499" i="1"/>
  <c r="Y295" i="1"/>
  <c r="BP288" i="1"/>
  <c r="BN288" i="1"/>
  <c r="Z288" i="1"/>
  <c r="Y294" i="1"/>
  <c r="BP292" i="1"/>
  <c r="BN292" i="1"/>
  <c r="Z292" i="1"/>
  <c r="BP329" i="1"/>
  <c r="BN329" i="1"/>
  <c r="Z329" i="1"/>
  <c r="Z331" i="1" s="1"/>
  <c r="Y331" i="1"/>
  <c r="D499" i="1"/>
  <c r="H9" i="1"/>
  <c r="B499" i="1"/>
  <c r="X490" i="1"/>
  <c r="X492" i="1" s="1"/>
  <c r="X491" i="1"/>
  <c r="X493" i="1"/>
  <c r="Y24" i="1"/>
  <c r="Z27" i="1"/>
  <c r="Z31" i="1" s="1"/>
  <c r="BN27" i="1"/>
  <c r="Z29" i="1"/>
  <c r="BN29" i="1"/>
  <c r="C499" i="1"/>
  <c r="Z41" i="1"/>
  <c r="BN41" i="1"/>
  <c r="Y490" i="1" s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BP164" i="1"/>
  <c r="BN164" i="1"/>
  <c r="Z164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9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BP209" i="1"/>
  <c r="BN209" i="1"/>
  <c r="Z209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300" i="1"/>
  <c r="BN300" i="1"/>
  <c r="Z300" i="1"/>
  <c r="Y304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Z41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5" i="1"/>
  <c r="BP210" i="1"/>
  <c r="BN210" i="1"/>
  <c r="BP212" i="1"/>
  <c r="BN212" i="1"/>
  <c r="Z212" i="1"/>
  <c r="BP225" i="1"/>
  <c r="BN225" i="1"/>
  <c r="Z225" i="1"/>
  <c r="BP229" i="1"/>
  <c r="BN229" i="1"/>
  <c r="Z229" i="1"/>
  <c r="Z234" i="1" s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Z250" i="1" s="1"/>
  <c r="BP249" i="1"/>
  <c r="BN249" i="1"/>
  <c r="Z249" i="1"/>
  <c r="Y251" i="1"/>
  <c r="Y259" i="1"/>
  <c r="BP254" i="1"/>
  <c r="BN254" i="1"/>
  <c r="Z254" i="1"/>
  <c r="Z259" i="1" s="1"/>
  <c r="BP258" i="1"/>
  <c r="BN258" i="1"/>
  <c r="Z258" i="1"/>
  <c r="Y260" i="1"/>
  <c r="M499" i="1"/>
  <c r="Y268" i="1"/>
  <c r="BP263" i="1"/>
  <c r="BN263" i="1"/>
  <c r="Z263" i="1"/>
  <c r="Z267" i="1" s="1"/>
  <c r="Y267" i="1"/>
  <c r="BP272" i="1"/>
  <c r="BN272" i="1"/>
  <c r="Z272" i="1"/>
  <c r="Z274" i="1" s="1"/>
  <c r="BP290" i="1"/>
  <c r="BN290" i="1"/>
  <c r="Z290" i="1"/>
  <c r="BP298" i="1"/>
  <c r="BN298" i="1"/>
  <c r="Z298" i="1"/>
  <c r="BP302" i="1"/>
  <c r="BN302" i="1"/>
  <c r="Z302" i="1"/>
  <c r="Z304" i="1" s="1"/>
  <c r="Y313" i="1"/>
  <c r="BP310" i="1"/>
  <c r="BN310" i="1"/>
  <c r="Z310" i="1"/>
  <c r="Z312" i="1" s="1"/>
  <c r="Y319" i="1"/>
  <c r="Z325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K499" i="1"/>
  <c r="Y234" i="1"/>
  <c r="O499" i="1"/>
  <c r="Y275" i="1"/>
  <c r="P499" i="1"/>
  <c r="Y280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394" i="1"/>
  <c r="Z294" i="1"/>
  <c r="Z171" i="1"/>
  <c r="Z438" i="1"/>
  <c r="Z447" i="1"/>
  <c r="Z432" i="1"/>
  <c r="Z69" i="1"/>
  <c r="Z494" i="1" s="1"/>
  <c r="Y489" i="1"/>
  <c r="Z203" i="1"/>
  <c r="Z177" i="1"/>
</calcChain>
</file>

<file path=xl/sharedStrings.xml><?xml version="1.0" encoding="utf-8"?>
<sst xmlns="http://schemas.openxmlformats.org/spreadsheetml/2006/main" count="2346" uniqueCount="765">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</sst>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5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613" t="s">
        <v>0</v>
      </c>
      <c r="E1" s="572"/>
      <c r="F1" s="572"/>
      <c r="G1" s="12" t="s">
        <v>1</v>
      </c>
      <c r="H1" s="613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652" t="s">
        <v>8</v>
      </c>
      <c r="B5" s="631"/>
      <c r="C5" s="632"/>
      <c r="D5" s="616"/>
      <c r="E5" s="617"/>
      <c r="F5" s="824" t="s">
        <v>9</v>
      </c>
      <c r="G5" s="632"/>
      <c r="H5" s="616"/>
      <c r="I5" s="762"/>
      <c r="J5" s="762"/>
      <c r="K5" s="762"/>
      <c r="L5" s="762"/>
      <c r="M5" s="617"/>
      <c r="N5" s="58"/>
      <c r="P5" s="24" t="s">
        <v>10</v>
      </c>
      <c r="Q5" s="837">
        <v>45974</v>
      </c>
      <c r="R5" s="651"/>
      <c r="T5" s="700" t="s">
        <v>11</v>
      </c>
      <c r="U5" s="701"/>
      <c r="V5" s="702" t="s">
        <v>12</v>
      </c>
      <c r="W5" s="651"/>
      <c r="AB5" s="51"/>
      <c r="AC5" s="51"/>
      <c r="AD5" s="51"/>
      <c r="AE5" s="51"/>
    </row>
    <row r="6" spans="1:32" s="538" customFormat="1" ht="24" customHeight="1" x14ac:dyDescent="0.2">
      <c r="A6" s="652" t="s">
        <v>13</v>
      </c>
      <c r="B6" s="631"/>
      <c r="C6" s="632"/>
      <c r="D6" s="764" t="s">
        <v>14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7" t="s">
        <v>16</v>
      </c>
      <c r="U6" s="701"/>
      <c r="V6" s="749" t="s">
        <v>17</v>
      </c>
      <c r="W6" s="585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6"/>
      <c r="U7" s="701"/>
      <c r="V7" s="750"/>
      <c r="W7" s="751"/>
      <c r="AB7" s="51"/>
      <c r="AC7" s="51"/>
      <c r="AD7" s="51"/>
      <c r="AE7" s="51"/>
    </row>
    <row r="8" spans="1:32" s="538" customFormat="1" ht="25.5" customHeight="1" x14ac:dyDescent="0.2">
      <c r="A8" s="861" t="s">
        <v>18</v>
      </c>
      <c r="B8" s="563"/>
      <c r="C8" s="564"/>
      <c r="D8" s="605" t="s">
        <v>19</v>
      </c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20</v>
      </c>
      <c r="Q8" s="661">
        <v>0.41666666666666669</v>
      </c>
      <c r="R8" s="598"/>
      <c r="T8" s="556"/>
      <c r="U8" s="701"/>
      <c r="V8" s="750"/>
      <c r="W8" s="751"/>
      <c r="AB8" s="51"/>
      <c r="AC8" s="51"/>
      <c r="AD8" s="51"/>
      <c r="AE8" s="51"/>
    </row>
    <row r="9" spans="1:32" s="538" customFormat="1" ht="39.950000000000003" customHeight="1" x14ac:dyDescent="0.2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73"/>
      <c r="E9" s="561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9"/>
      <c r="P9" s="26" t="s">
        <v>21</v>
      </c>
      <c r="Q9" s="648"/>
      <c r="R9" s="649"/>
      <c r="T9" s="556"/>
      <c r="U9" s="701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73"/>
      <c r="E10" s="561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40" t="str">
        <f>IFERROR(VLOOKUP($D$10,Proxy,2,FALSE),"")</f>
        <v/>
      </c>
      <c r="I10" s="556"/>
      <c r="J10" s="556"/>
      <c r="K10" s="556"/>
      <c r="L10" s="556"/>
      <c r="M10" s="556"/>
      <c r="N10" s="537"/>
      <c r="P10" s="26" t="s">
        <v>22</v>
      </c>
      <c r="Q10" s="708"/>
      <c r="R10" s="709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9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694" t="s">
        <v>29</v>
      </c>
      <c r="B12" s="631"/>
      <c r="C12" s="631"/>
      <c r="D12" s="631"/>
      <c r="E12" s="631"/>
      <c r="F12" s="631"/>
      <c r="G12" s="631"/>
      <c r="H12" s="631"/>
      <c r="I12" s="631"/>
      <c r="J12" s="631"/>
      <c r="K12" s="631"/>
      <c r="L12" s="631"/>
      <c r="M12" s="632"/>
      <c r="N12" s="62"/>
      <c r="P12" s="24" t="s">
        <v>30</v>
      </c>
      <c r="Q12" s="661"/>
      <c r="R12" s="598"/>
      <c r="S12" s="23"/>
      <c r="U12" s="24"/>
      <c r="V12" s="572"/>
      <c r="W12" s="556"/>
      <c r="AB12" s="51"/>
      <c r="AC12" s="51"/>
      <c r="AD12" s="51"/>
      <c r="AE12" s="51"/>
    </row>
    <row r="13" spans="1:32" s="538" customFormat="1" ht="23.25" customHeight="1" x14ac:dyDescent="0.2">
      <c r="A13" s="694" t="s">
        <v>31</v>
      </c>
      <c r="B13" s="631"/>
      <c r="C13" s="631"/>
      <c r="D13" s="631"/>
      <c r="E13" s="631"/>
      <c r="F13" s="631"/>
      <c r="G13" s="631"/>
      <c r="H13" s="631"/>
      <c r="I13" s="631"/>
      <c r="J13" s="631"/>
      <c r="K13" s="631"/>
      <c r="L13" s="631"/>
      <c r="M13" s="632"/>
      <c r="N13" s="62"/>
      <c r="O13" s="26"/>
      <c r="P13" s="26" t="s">
        <v>32</v>
      </c>
      <c r="Q13" s="789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694" t="s">
        <v>33</v>
      </c>
      <c r="B14" s="631"/>
      <c r="C14" s="631"/>
      <c r="D14" s="631"/>
      <c r="E14" s="631"/>
      <c r="F14" s="631"/>
      <c r="G14" s="631"/>
      <c r="H14" s="631"/>
      <c r="I14" s="631"/>
      <c r="J14" s="631"/>
      <c r="K14" s="631"/>
      <c r="L14" s="631"/>
      <c r="M14" s="63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722" t="s">
        <v>34</v>
      </c>
      <c r="B15" s="631"/>
      <c r="C15" s="631"/>
      <c r="D15" s="631"/>
      <c r="E15" s="631"/>
      <c r="F15" s="631"/>
      <c r="G15" s="631"/>
      <c r="H15" s="631"/>
      <c r="I15" s="631"/>
      <c r="J15" s="631"/>
      <c r="K15" s="631"/>
      <c r="L15" s="631"/>
      <c r="M15" s="632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32"/>
      <c r="W17" s="581" t="s">
        <v>52</v>
      </c>
      <c r="X17" s="581" t="s">
        <v>53</v>
      </c>
      <c r="Y17" s="857" t="s">
        <v>54</v>
      </c>
      <c r="Z17" s="760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58"/>
      <c r="Z18" s="761"/>
      <c r="AA18" s="742"/>
      <c r="AB18" s="742"/>
      <c r="AC18" s="742"/>
      <c r="AD18" s="821"/>
      <c r="AE18" s="822"/>
      <c r="AF18" s="823"/>
      <c r="AG18" s="66"/>
      <c r="BD18" s="65"/>
    </row>
    <row r="19" spans="1:68" ht="27.75" customHeight="1" x14ac:dyDescent="0.2">
      <c r="A19" s="633" t="s">
        <v>63</v>
      </c>
      <c r="B19" s="634"/>
      <c r="C19" s="634"/>
      <c r="D19" s="634"/>
      <c r="E19" s="634"/>
      <c r="F19" s="634"/>
      <c r="G19" s="634"/>
      <c r="H19" s="634"/>
      <c r="I19" s="634"/>
      <c r="J19" s="634"/>
      <c r="K19" s="634"/>
      <c r="L19" s="634"/>
      <c r="M19" s="634"/>
      <c r="N19" s="634"/>
      <c r="O19" s="634"/>
      <c r="P19" s="634"/>
      <c r="Q19" s="634"/>
      <c r="R19" s="634"/>
      <c r="S19" s="634"/>
      <c r="T19" s="634"/>
      <c r="U19" s="634"/>
      <c r="V19" s="634"/>
      <c r="W19" s="634"/>
      <c r="X19" s="634"/>
      <c r="Y19" s="634"/>
      <c r="Z19" s="634"/>
      <c r="AA19" s="48"/>
      <c r="AB19" s="48"/>
      <c r="AC19" s="48"/>
    </row>
    <row r="20" spans="1:68" ht="16.5" customHeight="1" x14ac:dyDescent="0.25">
      <c r="A20" s="559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6"/>
      <c r="AB20" s="536"/>
      <c r="AC20" s="536"/>
    </row>
    <row r="21" spans="1:68" ht="14.25" customHeight="1" x14ac:dyDescent="0.25">
      <c r="A21" s="558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5"/>
      <c r="B23" s="556"/>
      <c r="C23" s="556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7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6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7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  <c r="Z25" s="556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5"/>
      <c r="B31" s="556"/>
      <c r="C31" s="556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57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6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7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  <c r="AA33" s="535"/>
      <c r="AB33" s="535"/>
      <c r="AC33" s="535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5"/>
      <c r="B35" s="556"/>
      <c r="C35" s="556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57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6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7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3" t="s">
        <v>99</v>
      </c>
      <c r="B37" s="634"/>
      <c r="C37" s="634"/>
      <c r="D37" s="634"/>
      <c r="E37" s="634"/>
      <c r="F37" s="634"/>
      <c r="G37" s="634"/>
      <c r="H37" s="634"/>
      <c r="I37" s="634"/>
      <c r="J37" s="634"/>
      <c r="K37" s="634"/>
      <c r="L37" s="634"/>
      <c r="M37" s="634"/>
      <c r="N37" s="634"/>
      <c r="O37" s="634"/>
      <c r="P37" s="634"/>
      <c r="Q37" s="634"/>
      <c r="R37" s="634"/>
      <c r="S37" s="634"/>
      <c r="T37" s="634"/>
      <c r="U37" s="634"/>
      <c r="V37" s="634"/>
      <c r="W37" s="634"/>
      <c r="X37" s="634"/>
      <c r="Y37" s="634"/>
      <c r="Z37" s="634"/>
      <c r="AA37" s="48"/>
      <c r="AB37" s="48"/>
      <c r="AC37" s="48"/>
    </row>
    <row r="38" spans="1:68" ht="16.5" customHeight="1" x14ac:dyDescent="0.25">
      <c r="A38" s="559" t="s">
        <v>100</v>
      </c>
      <c r="B38" s="556"/>
      <c r="C38" s="556"/>
      <c r="D38" s="556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  <c r="AA38" s="536"/>
      <c r="AB38" s="536"/>
      <c r="AC38" s="536"/>
    </row>
    <row r="39" spans="1:68" ht="14.25" customHeight="1" x14ac:dyDescent="0.25">
      <c r="A39" s="558" t="s">
        <v>101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5"/>
      <c r="AB39" s="535"/>
      <c r="AC39" s="53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40</v>
      </c>
      <c r="Y40" s="542">
        <f>IFERROR(IF(X40="",0,CEILING((X40/$H40),1)*$H40),"")</f>
        <v>43.2</v>
      </c>
      <c r="Z40" s="36">
        <f>IFERROR(IF(Y40=0,"",ROUNDUP(Y40/H40,0)*0.01898),"")</f>
        <v>7.5920000000000001E-2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41.518518518518519</v>
      </c>
      <c r="BN40" s="64">
        <f>IFERROR(Y40*I40/H40,"0")</f>
        <v>44.84</v>
      </c>
      <c r="BO40" s="64">
        <f>IFERROR(1/J40*(X40/H40),"0")</f>
        <v>5.7870370370370364E-2</v>
      </c>
      <c r="BP40" s="64">
        <f>IFERROR(1/J40*(Y40/H40),"0")</f>
        <v>6.25E-2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8</v>
      </c>
      <c r="Y41" s="542">
        <f>IFERROR(IF(X41="",0,CEILING((X41/$H41),1)*$H41),"")</f>
        <v>8</v>
      </c>
      <c r="Z41" s="36">
        <f>IFERROR(IF(Y41=0,"",ROUNDUP(Y41/H41,0)*0.00902),"")</f>
        <v>1.804E-2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8.3800000000000008</v>
      </c>
      <c r="BN41" s="64">
        <f>IFERROR(Y41*I41/H41,"0")</f>
        <v>8.3800000000000008</v>
      </c>
      <c r="BO41" s="64">
        <f>IFERROR(1/J41*(X41/H41),"0")</f>
        <v>1.5151515151515152E-2</v>
      </c>
      <c r="BP41" s="64">
        <f>IFERROR(1/J41*(Y41/H41),"0")</f>
        <v>1.5151515151515152E-2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5"/>
      <c r="B43" s="556"/>
      <c r="C43" s="556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57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5.7037037037037033</v>
      </c>
      <c r="Y43" s="543">
        <f>IFERROR(Y40/H40,"0")+IFERROR(Y41/H41,"0")+IFERROR(Y42/H42,"0")</f>
        <v>6</v>
      </c>
      <c r="Z43" s="543">
        <f>IFERROR(IF(Z40="",0,Z40),"0")+IFERROR(IF(Z41="",0,Z41),"0")+IFERROR(IF(Z42="",0,Z42),"0")</f>
        <v>9.3960000000000002E-2</v>
      </c>
      <c r="AA43" s="544"/>
      <c r="AB43" s="544"/>
      <c r="AC43" s="544"/>
    </row>
    <row r="44" spans="1:68" x14ac:dyDescent="0.2">
      <c r="A44" s="556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7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48</v>
      </c>
      <c r="Y44" s="543">
        <f>IFERROR(SUM(Y40:Y42),"0")</f>
        <v>51.2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35"/>
      <c r="AB45" s="535"/>
      <c r="AC45" s="535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5"/>
      <c r="B47" s="556"/>
      <c r="C47" s="556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57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6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7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36"/>
      <c r="AB49" s="536"/>
      <c r="AC49" s="536"/>
    </row>
    <row r="50" spans="1:68" ht="14.25" customHeight="1" x14ac:dyDescent="0.25">
      <c r="A50" s="558" t="s">
        <v>101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5"/>
      <c r="AB50" s="535"/>
      <c r="AC50" s="535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180</v>
      </c>
      <c r="Y52" s="542">
        <f t="shared" si="0"/>
        <v>183.60000000000002</v>
      </c>
      <c r="Z52" s="36">
        <f>IFERROR(IF(Y52=0,"",ROUNDUP(Y52/H52,0)*0.01898),"")</f>
        <v>0.32266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186.83333333333334</v>
      </c>
      <c r="BN52" s="64">
        <f t="shared" si="2"/>
        <v>190.57000000000002</v>
      </c>
      <c r="BO52" s="64">
        <f t="shared" si="3"/>
        <v>0.26041666666666663</v>
      </c>
      <c r="BP52" s="64">
        <f t="shared" si="4"/>
        <v>0.265625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36</v>
      </c>
      <c r="Y56" s="542">
        <f t="shared" si="0"/>
        <v>36</v>
      </c>
      <c r="Z56" s="36">
        <f>IFERROR(IF(Y56=0,"",ROUNDUP(Y56/H56,0)*0.00902),"")</f>
        <v>7.2160000000000002E-2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37.520000000000003</v>
      </c>
      <c r="BN56" s="64">
        <f t="shared" si="2"/>
        <v>37.520000000000003</v>
      </c>
      <c r="BO56" s="64">
        <f t="shared" si="3"/>
        <v>6.0606060606060608E-2</v>
      </c>
      <c r="BP56" s="64">
        <f t="shared" si="4"/>
        <v>6.0606060606060608E-2</v>
      </c>
    </row>
    <row r="57" spans="1:68" x14ac:dyDescent="0.2">
      <c r="A57" s="555"/>
      <c r="B57" s="556"/>
      <c r="C57" s="556"/>
      <c r="D57" s="556"/>
      <c r="E57" s="556"/>
      <c r="F57" s="556"/>
      <c r="G57" s="556"/>
      <c r="H57" s="556"/>
      <c r="I57" s="556"/>
      <c r="J57" s="556"/>
      <c r="K57" s="556"/>
      <c r="L57" s="556"/>
      <c r="M57" s="556"/>
      <c r="N57" s="556"/>
      <c r="O57" s="557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24.666666666666664</v>
      </c>
      <c r="Y57" s="543">
        <f>IFERROR(Y51/H51,"0")+IFERROR(Y52/H52,"0")+IFERROR(Y53/H53,"0")+IFERROR(Y54/H54,"0")+IFERROR(Y55/H55,"0")+IFERROR(Y56/H56,"0")</f>
        <v>25</v>
      </c>
      <c r="Z57" s="543">
        <f>IFERROR(IF(Z51="",0,Z51),"0")+IFERROR(IF(Z52="",0,Z52),"0")+IFERROR(IF(Z53="",0,Z53),"0")+IFERROR(IF(Z54="",0,Z54),"0")+IFERROR(IF(Z55="",0,Z55),"0")+IFERROR(IF(Z56="",0,Z56),"0")</f>
        <v>0.39482</v>
      </c>
      <c r="AA57" s="544"/>
      <c r="AB57" s="544"/>
      <c r="AC57" s="544"/>
    </row>
    <row r="58" spans="1:68" x14ac:dyDescent="0.2">
      <c r="A58" s="556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57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216</v>
      </c>
      <c r="Y58" s="543">
        <f>IFERROR(SUM(Y51:Y56),"0")</f>
        <v>219.60000000000002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150</v>
      </c>
      <c r="Y60" s="542">
        <f>IFERROR(IF(X60="",0,CEILING((X60/$H60),1)*$H60),"")</f>
        <v>151.20000000000002</v>
      </c>
      <c r="Z60" s="36">
        <f>IFERROR(IF(Y60=0,"",ROUNDUP(Y60/H60,0)*0.01898),"")</f>
        <v>0.26572000000000001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155.69444444444446</v>
      </c>
      <c r="BN60" s="64">
        <f>IFERROR(Y60*I60/H60,"0")</f>
        <v>156.94</v>
      </c>
      <c r="BO60" s="64">
        <f>IFERROR(1/J60*(X60/H60),"0")</f>
        <v>0.21701388888888887</v>
      </c>
      <c r="BP60" s="64">
        <f>IFERROR(1/J60*(Y60/H60),"0")</f>
        <v>0.21875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18</v>
      </c>
      <c r="Y62" s="542">
        <f>IFERROR(IF(X62="",0,CEILING((X62/$H62),1)*$H62),"")</f>
        <v>18.900000000000002</v>
      </c>
      <c r="Z62" s="36">
        <f>IFERROR(IF(Y62=0,"",ROUNDUP(Y62/H62,0)*0.00651),"")</f>
        <v>4.5569999999999999E-2</v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19.199999999999996</v>
      </c>
      <c r="BN62" s="64">
        <f>IFERROR(Y62*I62/H62,"0")</f>
        <v>20.16</v>
      </c>
      <c r="BO62" s="64">
        <f>IFERROR(1/J62*(X62/H62),"0")</f>
        <v>3.6630036630036632E-2</v>
      </c>
      <c r="BP62" s="64">
        <f>IFERROR(1/J62*(Y62/H62),"0")</f>
        <v>3.8461538461538464E-2</v>
      </c>
    </row>
    <row r="63" spans="1:68" x14ac:dyDescent="0.2">
      <c r="A63" s="555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57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20.555555555555554</v>
      </c>
      <c r="Y63" s="543">
        <f>IFERROR(Y60/H60,"0")+IFERROR(Y61/H61,"0")+IFERROR(Y62/H62,"0")</f>
        <v>21</v>
      </c>
      <c r="Z63" s="543">
        <f>IFERROR(IF(Z60="",0,Z60),"0")+IFERROR(IF(Z61="",0,Z61),"0")+IFERROR(IF(Z62="",0,Z62),"0")</f>
        <v>0.31129000000000001</v>
      </c>
      <c r="AA63" s="544"/>
      <c r="AB63" s="544"/>
      <c r="AC63" s="544"/>
    </row>
    <row r="64" spans="1:68" x14ac:dyDescent="0.2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7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168</v>
      </c>
      <c r="Y64" s="543">
        <f>IFERROR(SUM(Y60:Y62),"0")</f>
        <v>170.10000000000002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35"/>
      <c r="AB65" s="535"/>
      <c r="AC65" s="535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5"/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7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6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7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35"/>
      <c r="AB71" s="535"/>
      <c r="AC71" s="535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5"/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7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6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7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35"/>
      <c r="AB78" s="535"/>
      <c r="AC78" s="535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5"/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7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7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6"/>
      <c r="V83" s="556"/>
      <c r="W83" s="556"/>
      <c r="X83" s="556"/>
      <c r="Y83" s="556"/>
      <c r="Z83" s="556"/>
      <c r="AA83" s="536"/>
      <c r="AB83" s="536"/>
      <c r="AC83" s="536"/>
    </row>
    <row r="84" spans="1:68" ht="14.25" customHeight="1" x14ac:dyDescent="0.25">
      <c r="A84" s="558" t="s">
        <v>101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10</v>
      </c>
      <c r="Y85" s="542">
        <f>IFERROR(IF(X85="",0,CEILING((X85/$H85),1)*$H85),"")</f>
        <v>10.8</v>
      </c>
      <c r="Z85" s="36">
        <f>IFERROR(IF(Y85=0,"",ROUNDUP(Y85/H85,0)*0.01898),"")</f>
        <v>1.898E-2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10.37962962962963</v>
      </c>
      <c r="BN85" s="64">
        <f>IFERROR(Y85*I85/H85,"0")</f>
        <v>11.21</v>
      </c>
      <c r="BO85" s="64">
        <f>IFERROR(1/J85*(X85/H85),"0")</f>
        <v>1.4467592592592591E-2</v>
      </c>
      <c r="BP85" s="64">
        <f>IFERROR(1/J85*(Y85/H85),"0")</f>
        <v>1.5625E-2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18</v>
      </c>
      <c r="Y87" s="542">
        <f>IFERROR(IF(X87="",0,CEILING((X87/$H87),1)*$H87),"")</f>
        <v>18</v>
      </c>
      <c r="Z87" s="36">
        <f>IFERROR(IF(Y87=0,"",ROUNDUP(Y87/H87,0)*0.00902),"")</f>
        <v>3.6080000000000001E-2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18.760000000000002</v>
      </c>
      <c r="BN87" s="64">
        <f>IFERROR(Y87*I87/H87,"0")</f>
        <v>18.760000000000002</v>
      </c>
      <c r="BO87" s="64">
        <f>IFERROR(1/J87*(X87/H87),"0")</f>
        <v>3.0303030303030304E-2</v>
      </c>
      <c r="BP87" s="64">
        <f>IFERROR(1/J87*(Y87/H87),"0")</f>
        <v>3.0303030303030304E-2</v>
      </c>
    </row>
    <row r="88" spans="1:68" x14ac:dyDescent="0.2">
      <c r="A88" s="555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57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4.9259259259259256</v>
      </c>
      <c r="Y88" s="543">
        <f>IFERROR(Y85/H85,"0")+IFERROR(Y86/H86,"0")+IFERROR(Y87/H87,"0")</f>
        <v>5</v>
      </c>
      <c r="Z88" s="543">
        <f>IFERROR(IF(Z85="",0,Z85),"0")+IFERROR(IF(Z86="",0,Z86),"0")+IFERROR(IF(Z87="",0,Z87),"0")</f>
        <v>5.5059999999999998E-2</v>
      </c>
      <c r="AA88" s="544"/>
      <c r="AB88" s="544"/>
      <c r="AC88" s="544"/>
    </row>
    <row r="89" spans="1:68" x14ac:dyDescent="0.2">
      <c r="A89" s="556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7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28</v>
      </c>
      <c r="Y89" s="543">
        <f>IFERROR(SUM(Y85:Y87),"0")</f>
        <v>28.8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6"/>
      <c r="P90" s="556"/>
      <c r="Q90" s="556"/>
      <c r="R90" s="556"/>
      <c r="S90" s="556"/>
      <c r="T90" s="556"/>
      <c r="U90" s="556"/>
      <c r="V90" s="556"/>
      <c r="W90" s="556"/>
      <c r="X90" s="556"/>
      <c r="Y90" s="556"/>
      <c r="Z90" s="556"/>
      <c r="AA90" s="535"/>
      <c r="AB90" s="535"/>
      <c r="AC90" s="535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3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15</v>
      </c>
      <c r="Y91" s="542">
        <f>IFERROR(IF(X91="",0,CEILING((X91/$H91),1)*$H91),"")</f>
        <v>16.2</v>
      </c>
      <c r="Z91" s="36">
        <f>IFERROR(IF(Y91=0,"",ROUNDUP(Y91/H91,0)*0.01898),"")</f>
        <v>3.7960000000000001E-2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15.914814814814815</v>
      </c>
      <c r="BN91" s="64">
        <f>IFERROR(Y91*I91/H91,"0")</f>
        <v>17.187999999999999</v>
      </c>
      <c r="BO91" s="64">
        <f>IFERROR(1/J91*(X91/H91),"0")</f>
        <v>2.8935185185185185E-2</v>
      </c>
      <c r="BP91" s="64">
        <f>IFERROR(1/J91*(Y91/H91),"0")</f>
        <v>3.125E-2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5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57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1.8518518518518519</v>
      </c>
      <c r="Y95" s="543">
        <f>IFERROR(Y91/H91,"0")+IFERROR(Y92/H92,"0")+IFERROR(Y93/H93,"0")+IFERROR(Y94/H94,"0")</f>
        <v>2</v>
      </c>
      <c r="Z95" s="543">
        <f>IFERROR(IF(Z91="",0,Z91),"0")+IFERROR(IF(Z92="",0,Z92),"0")+IFERROR(IF(Z93="",0,Z93),"0")+IFERROR(IF(Z94="",0,Z94),"0")</f>
        <v>3.7960000000000001E-2</v>
      </c>
      <c r="AA95" s="544"/>
      <c r="AB95" s="544"/>
      <c r="AC95" s="544"/>
    </row>
    <row r="96" spans="1:68" x14ac:dyDescent="0.2">
      <c r="A96" s="556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7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15</v>
      </c>
      <c r="Y96" s="543">
        <f>IFERROR(SUM(Y91:Y94),"0")</f>
        <v>16.2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36"/>
      <c r="AB97" s="536"/>
      <c r="AC97" s="536"/>
    </row>
    <row r="98" spans="1:68" ht="14.25" customHeight="1" x14ac:dyDescent="0.25">
      <c r="A98" s="558" t="s">
        <v>101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5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57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7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5"/>
      <c r="B109" s="556"/>
      <c r="C109" s="556"/>
      <c r="D109" s="556"/>
      <c r="E109" s="556"/>
      <c r="F109" s="556"/>
      <c r="G109" s="556"/>
      <c r="H109" s="556"/>
      <c r="I109" s="556"/>
      <c r="J109" s="556"/>
      <c r="K109" s="556"/>
      <c r="L109" s="556"/>
      <c r="M109" s="556"/>
      <c r="N109" s="556"/>
      <c r="O109" s="557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6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7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6"/>
      <c r="P111" s="556"/>
      <c r="Q111" s="556"/>
      <c r="R111" s="556"/>
      <c r="S111" s="556"/>
      <c r="T111" s="556"/>
      <c r="U111" s="556"/>
      <c r="V111" s="556"/>
      <c r="W111" s="556"/>
      <c r="X111" s="556"/>
      <c r="Y111" s="556"/>
      <c r="Z111" s="556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15</v>
      </c>
      <c r="Y112" s="542">
        <f>IFERROR(IF(X112="",0,CEILING((X112/$H112),1)*$H112),"")</f>
        <v>16.2</v>
      </c>
      <c r="Z112" s="36">
        <f>IFERROR(IF(Y112=0,"",ROUNDUP(Y112/H112,0)*0.01898),"")</f>
        <v>3.7960000000000001E-2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15.903703703703703</v>
      </c>
      <c r="BN112" s="64">
        <f>IFERROR(Y112*I112/H112,"0")</f>
        <v>17.175999999999998</v>
      </c>
      <c r="BO112" s="64">
        <f>IFERROR(1/J112*(X112/H112),"0")</f>
        <v>2.8935185185185185E-2</v>
      </c>
      <c r="BP112" s="64">
        <f>IFERROR(1/J112*(Y112/H112),"0")</f>
        <v>3.125E-2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5"/>
      <c r="B116" s="556"/>
      <c r="C116" s="556"/>
      <c r="D116" s="556"/>
      <c r="E116" s="556"/>
      <c r="F116" s="556"/>
      <c r="G116" s="556"/>
      <c r="H116" s="556"/>
      <c r="I116" s="556"/>
      <c r="J116" s="556"/>
      <c r="K116" s="556"/>
      <c r="L116" s="556"/>
      <c r="M116" s="556"/>
      <c r="N116" s="556"/>
      <c r="O116" s="557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1.8518518518518519</v>
      </c>
      <c r="Y116" s="543">
        <f>IFERROR(Y112/H112,"0")+IFERROR(Y113/H113,"0")+IFERROR(Y114/H114,"0")+IFERROR(Y115/H115,"0")</f>
        <v>2</v>
      </c>
      <c r="Z116" s="543">
        <f>IFERROR(IF(Z112="",0,Z112),"0")+IFERROR(IF(Z113="",0,Z113),"0")+IFERROR(IF(Z114="",0,Z114),"0")+IFERROR(IF(Z115="",0,Z115),"0")</f>
        <v>3.7960000000000001E-2</v>
      </c>
      <c r="AA116" s="544"/>
      <c r="AB116" s="544"/>
      <c r="AC116" s="544"/>
    </row>
    <row r="117" spans="1:68" x14ac:dyDescent="0.2">
      <c r="A117" s="556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57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15</v>
      </c>
      <c r="Y117" s="543">
        <f>IFERROR(SUM(Y112:Y115),"0")</f>
        <v>16.2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56"/>
      <c r="P118" s="556"/>
      <c r="Q118" s="556"/>
      <c r="R118" s="556"/>
      <c r="S118" s="556"/>
      <c r="T118" s="556"/>
      <c r="U118" s="556"/>
      <c r="V118" s="556"/>
      <c r="W118" s="556"/>
      <c r="X118" s="556"/>
      <c r="Y118" s="556"/>
      <c r="Z118" s="556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5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57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6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7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6"/>
      <c r="P122" s="556"/>
      <c r="Q122" s="556"/>
      <c r="R122" s="556"/>
      <c r="S122" s="556"/>
      <c r="T122" s="556"/>
      <c r="U122" s="556"/>
      <c r="V122" s="556"/>
      <c r="W122" s="556"/>
      <c r="X122" s="556"/>
      <c r="Y122" s="556"/>
      <c r="Z122" s="556"/>
      <c r="AA122" s="536"/>
      <c r="AB122" s="536"/>
      <c r="AC122" s="536"/>
    </row>
    <row r="123" spans="1:68" ht="14.25" customHeight="1" x14ac:dyDescent="0.25">
      <c r="A123" s="558" t="s">
        <v>101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12.8</v>
      </c>
      <c r="Y124" s="542">
        <f>IFERROR(IF(X124="",0,CEILING((X124/$H124),1)*$H124),"")</f>
        <v>12.8</v>
      </c>
      <c r="Z124" s="36">
        <f>IFERROR(IF(Y124=0,"",ROUNDUP(Y124/H124,0)*0.00651),"")</f>
        <v>2.6040000000000001E-2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13.52</v>
      </c>
      <c r="BN124" s="64">
        <f>IFERROR(Y124*I124/H124,"0")</f>
        <v>13.52</v>
      </c>
      <c r="BO124" s="64">
        <f>IFERROR(1/J124*(X124/H124),"0")</f>
        <v>2.197802197802198E-2</v>
      </c>
      <c r="BP124" s="64">
        <f>IFERROR(1/J124*(Y124/H124),"0")</f>
        <v>2.197802197802198E-2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5"/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7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4</v>
      </c>
      <c r="Y126" s="543">
        <f>IFERROR(Y124/H124,"0")+IFERROR(Y125/H125,"0")</f>
        <v>4</v>
      </c>
      <c r="Z126" s="543">
        <f>IFERROR(IF(Z124="",0,Z124),"0")+IFERROR(IF(Z125="",0,Z125),"0")</f>
        <v>2.6040000000000001E-2</v>
      </c>
      <c r="AA126" s="544"/>
      <c r="AB126" s="544"/>
      <c r="AC126" s="544"/>
    </row>
    <row r="127" spans="1:68" x14ac:dyDescent="0.2">
      <c r="A127" s="556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7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12.8</v>
      </c>
      <c r="Y127" s="543">
        <f>IFERROR(SUM(Y124:Y125),"0")</f>
        <v>12.8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56"/>
      <c r="P128" s="556"/>
      <c r="Q128" s="556"/>
      <c r="R128" s="556"/>
      <c r="S128" s="556"/>
      <c r="T128" s="556"/>
      <c r="U128" s="556"/>
      <c r="V128" s="556"/>
      <c r="W128" s="556"/>
      <c r="X128" s="556"/>
      <c r="Y128" s="556"/>
      <c r="Z128" s="556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5"/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57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6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7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56"/>
      <c r="P133" s="556"/>
      <c r="Q133" s="556"/>
      <c r="R133" s="556"/>
      <c r="S133" s="556"/>
      <c r="T133" s="556"/>
      <c r="U133" s="556"/>
      <c r="V133" s="556"/>
      <c r="W133" s="556"/>
      <c r="X133" s="556"/>
      <c r="Y133" s="556"/>
      <c r="Z133" s="556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5"/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57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6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7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56"/>
      <c r="P138" s="556"/>
      <c r="Q138" s="556"/>
      <c r="R138" s="556"/>
      <c r="S138" s="556"/>
      <c r="T138" s="556"/>
      <c r="U138" s="556"/>
      <c r="V138" s="556"/>
      <c r="W138" s="556"/>
      <c r="X138" s="556"/>
      <c r="Y138" s="556"/>
      <c r="Z138" s="556"/>
      <c r="AA138" s="536"/>
      <c r="AB138" s="536"/>
      <c r="AC138" s="536"/>
    </row>
    <row r="139" spans="1:68" ht="14.25" customHeight="1" x14ac:dyDescent="0.25">
      <c r="A139" s="558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56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5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7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57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2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2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16</v>
      </c>
      <c r="Y148" s="542">
        <f>IFERROR(IF(X148="",0,CEILING((X148/$H148),1)*$H148),"")</f>
        <v>18</v>
      </c>
      <c r="Z148" s="36">
        <f>IFERROR(IF(Y148=0,"",ROUNDUP(Y148/H148,0)*0.01898),"")</f>
        <v>3.7960000000000001E-2</v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16.995555555555555</v>
      </c>
      <c r="BN148" s="64">
        <f>IFERROR(Y148*I148/H148,"0")</f>
        <v>19.12</v>
      </c>
      <c r="BO148" s="64">
        <f>IFERROR(1/J148*(X148/H148),"0")</f>
        <v>2.7777777777777776E-2</v>
      </c>
      <c r="BP148" s="64">
        <f>IFERROR(1/J148*(Y148/H148),"0")</f>
        <v>3.125E-2</v>
      </c>
    </row>
    <row r="149" spans="1:68" x14ac:dyDescent="0.2">
      <c r="A149" s="555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57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1.7777777777777777</v>
      </c>
      <c r="Y149" s="543">
        <f>IFERROR(Y146/H146,"0")+IFERROR(Y147/H147,"0")+IFERROR(Y148/H148,"0")</f>
        <v>2</v>
      </c>
      <c r="Z149" s="543">
        <f>IFERROR(IF(Z146="",0,Z146),"0")+IFERROR(IF(Z147="",0,Z147),"0")+IFERROR(IF(Z148="",0,Z148),"0")</f>
        <v>3.7960000000000001E-2</v>
      </c>
      <c r="AA149" s="544"/>
      <c r="AB149" s="544"/>
      <c r="AC149" s="544"/>
    </row>
    <row r="150" spans="1:68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57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16</v>
      </c>
      <c r="Y150" s="543">
        <f>IFERROR(SUM(Y146:Y148),"0")</f>
        <v>18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5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7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7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3" t="s">
        <v>255</v>
      </c>
      <c r="B155" s="634"/>
      <c r="C155" s="634"/>
      <c r="D155" s="634"/>
      <c r="E155" s="634"/>
      <c r="F155" s="634"/>
      <c r="G155" s="634"/>
      <c r="H155" s="634"/>
      <c r="I155" s="634"/>
      <c r="J155" s="634"/>
      <c r="K155" s="634"/>
      <c r="L155" s="634"/>
      <c r="M155" s="634"/>
      <c r="N155" s="634"/>
      <c r="O155" s="634"/>
      <c r="P155" s="634"/>
      <c r="Q155" s="634"/>
      <c r="R155" s="634"/>
      <c r="S155" s="634"/>
      <c r="T155" s="634"/>
      <c r="U155" s="634"/>
      <c r="V155" s="634"/>
      <c r="W155" s="634"/>
      <c r="X155" s="634"/>
      <c r="Y155" s="634"/>
      <c r="Z155" s="634"/>
      <c r="AA155" s="48"/>
      <c r="AB155" s="48"/>
      <c r="AC155" s="48"/>
    </row>
    <row r="156" spans="1:68" ht="16.5" customHeight="1" x14ac:dyDescent="0.25">
      <c r="A156" s="559" t="s">
        <v>256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6"/>
      <c r="AB156" s="536"/>
      <c r="AC156" s="536"/>
    </row>
    <row r="157" spans="1:68" ht="14.25" customHeight="1" x14ac:dyDescent="0.25">
      <c r="A157" s="558" t="s">
        <v>136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5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7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7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8">
        <v>4680115880993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8</v>
      </c>
      <c r="Y162" s="542">
        <f t="shared" ref="Y162:Y170" si="5">IFERROR(IF(X162="",0,CEILING((X162/$H162),1)*$H162),"")</f>
        <v>8.4</v>
      </c>
      <c r="Z162" s="36">
        <f>IFERROR(IF(Y162=0,"",ROUNDUP(Y162/H162,0)*0.00902),"")</f>
        <v>1.804E-2</v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8.4761904761904763</v>
      </c>
      <c r="BN162" s="64">
        <f t="shared" ref="BN162:BN170" si="7">IFERROR(Y162*I162/H162,"0")</f>
        <v>8.9</v>
      </c>
      <c r="BO162" s="64">
        <f t="shared" ref="BO162:BO170" si="8">IFERROR(1/J162*(X162/H162),"0")</f>
        <v>1.443001443001443E-2</v>
      </c>
      <c r="BP162" s="64">
        <f t="shared" ref="BP162:BP170" si="9">IFERROR(1/J162*(Y162/H162),"0")</f>
        <v>1.5151515151515152E-2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8">
        <v>4680115881761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8">
        <v>4680115881563</v>
      </c>
      <c r="E164" s="549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7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8">
        <v>4680115880986</v>
      </c>
      <c r="E165" s="549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5"/>
      <c r="B171" s="556"/>
      <c r="C171" s="556"/>
      <c r="D171" s="556"/>
      <c r="E171" s="556"/>
      <c r="F171" s="556"/>
      <c r="G171" s="556"/>
      <c r="H171" s="556"/>
      <c r="I171" s="556"/>
      <c r="J171" s="556"/>
      <c r="K171" s="556"/>
      <c r="L171" s="556"/>
      <c r="M171" s="556"/>
      <c r="N171" s="556"/>
      <c r="O171" s="557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1.9047619047619047</v>
      </c>
      <c r="Y171" s="543">
        <f>IFERROR(Y162/H162,"0")+IFERROR(Y163/H163,"0")+IFERROR(Y164/H164,"0")+IFERROR(Y165/H165,"0")+IFERROR(Y166/H166,"0")+IFERROR(Y167/H167,"0")+IFERROR(Y168/H168,"0")+IFERROR(Y169/H169,"0")+IFERROR(Y170/H170,"0")</f>
        <v>2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1.804E-2</v>
      </c>
      <c r="AA171" s="544"/>
      <c r="AB171" s="544"/>
      <c r="AC171" s="544"/>
    </row>
    <row r="172" spans="1:68" x14ac:dyDescent="0.2">
      <c r="A172" s="556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7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IFERROR(SUM(X162:X170),"0")</f>
        <v>8</v>
      </c>
      <c r="Y172" s="543">
        <f>IFERROR(SUM(Y162:Y170),"0")</f>
        <v>8.4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56"/>
      <c r="P173" s="556"/>
      <c r="Q173" s="556"/>
      <c r="R173" s="556"/>
      <c r="S173" s="556"/>
      <c r="T173" s="556"/>
      <c r="U173" s="556"/>
      <c r="V173" s="556"/>
      <c r="W173" s="556"/>
      <c r="X173" s="556"/>
      <c r="Y173" s="556"/>
      <c r="Z173" s="556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5"/>
      <c r="B177" s="556"/>
      <c r="C177" s="556"/>
      <c r="D177" s="556"/>
      <c r="E177" s="556"/>
      <c r="F177" s="556"/>
      <c r="G177" s="556"/>
      <c r="H177" s="556"/>
      <c r="I177" s="556"/>
      <c r="J177" s="556"/>
      <c r="K177" s="556"/>
      <c r="L177" s="556"/>
      <c r="M177" s="556"/>
      <c r="N177" s="556"/>
      <c r="O177" s="557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6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57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6"/>
      <c r="P179" s="556"/>
      <c r="Q179" s="556"/>
      <c r="R179" s="556"/>
      <c r="S179" s="556"/>
      <c r="T179" s="556"/>
      <c r="U179" s="556"/>
      <c r="V179" s="556"/>
      <c r="W179" s="556"/>
      <c r="X179" s="556"/>
      <c r="Y179" s="556"/>
      <c r="Z179" s="556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5"/>
      <c r="B181" s="556"/>
      <c r="C181" s="556"/>
      <c r="D181" s="556"/>
      <c r="E181" s="556"/>
      <c r="F181" s="556"/>
      <c r="G181" s="556"/>
      <c r="H181" s="556"/>
      <c r="I181" s="556"/>
      <c r="J181" s="556"/>
      <c r="K181" s="556"/>
      <c r="L181" s="556"/>
      <c r="M181" s="556"/>
      <c r="N181" s="556"/>
      <c r="O181" s="557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6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7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6"/>
      <c r="P183" s="556"/>
      <c r="Q183" s="556"/>
      <c r="R183" s="556"/>
      <c r="S183" s="556"/>
      <c r="T183" s="556"/>
      <c r="U183" s="556"/>
      <c r="V183" s="556"/>
      <c r="W183" s="556"/>
      <c r="X183" s="556"/>
      <c r="Y183" s="556"/>
      <c r="Z183" s="556"/>
      <c r="AA183" s="536"/>
      <c r="AB183" s="536"/>
      <c r="AC183" s="536"/>
    </row>
    <row r="184" spans="1:68" ht="14.25" customHeight="1" x14ac:dyDescent="0.25">
      <c r="A184" s="558" t="s">
        <v>101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5"/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7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6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7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6"/>
      <c r="P189" s="556"/>
      <c r="Q189" s="556"/>
      <c r="R189" s="556"/>
      <c r="S189" s="556"/>
      <c r="T189" s="556"/>
      <c r="U189" s="556"/>
      <c r="V189" s="556"/>
      <c r="W189" s="556"/>
      <c r="X189" s="556"/>
      <c r="Y189" s="556"/>
      <c r="Z189" s="556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5"/>
      <c r="B192" s="556"/>
      <c r="C192" s="556"/>
      <c r="D192" s="556"/>
      <c r="E192" s="556"/>
      <c r="F192" s="556"/>
      <c r="G192" s="556"/>
      <c r="H192" s="556"/>
      <c r="I192" s="556"/>
      <c r="J192" s="556"/>
      <c r="K192" s="556"/>
      <c r="L192" s="556"/>
      <c r="M192" s="556"/>
      <c r="N192" s="556"/>
      <c r="O192" s="557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6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7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6"/>
      <c r="P194" s="556"/>
      <c r="Q194" s="556"/>
      <c r="R194" s="556"/>
      <c r="S194" s="556"/>
      <c r="T194" s="556"/>
      <c r="U194" s="556"/>
      <c r="V194" s="556"/>
      <c r="W194" s="556"/>
      <c r="X194" s="556"/>
      <c r="Y194" s="556"/>
      <c r="Z194" s="556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5"/>
      <c r="B203" s="556"/>
      <c r="C203" s="556"/>
      <c r="D203" s="556"/>
      <c r="E203" s="556"/>
      <c r="F203" s="556"/>
      <c r="G203" s="556"/>
      <c r="H203" s="556"/>
      <c r="I203" s="556"/>
      <c r="J203" s="556"/>
      <c r="K203" s="556"/>
      <c r="L203" s="556"/>
      <c r="M203" s="556"/>
      <c r="N203" s="556"/>
      <c r="O203" s="557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56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57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56"/>
      <c r="P205" s="556"/>
      <c r="Q205" s="556"/>
      <c r="R205" s="556"/>
      <c r="S205" s="556"/>
      <c r="T205" s="556"/>
      <c r="U205" s="556"/>
      <c r="V205" s="556"/>
      <c r="W205" s="556"/>
      <c r="X205" s="556"/>
      <c r="Y205" s="556"/>
      <c r="Z205" s="556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4.1999999999999993</v>
      </c>
      <c r="Y211" s="542">
        <f t="shared" si="15"/>
        <v>4.8</v>
      </c>
      <c r="Z211" s="36">
        <f t="shared" si="20"/>
        <v>1.302E-2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4.641</v>
      </c>
      <c r="BN211" s="64">
        <f t="shared" si="17"/>
        <v>5.3040000000000003</v>
      </c>
      <c r="BO211" s="64">
        <f t="shared" si="18"/>
        <v>9.6153846153846142E-3</v>
      </c>
      <c r="BP211" s="64">
        <f t="shared" si="19"/>
        <v>1.098901098901099E-2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5"/>
      <c r="B215" s="556"/>
      <c r="C215" s="556"/>
      <c r="D215" s="556"/>
      <c r="E215" s="556"/>
      <c r="F215" s="556"/>
      <c r="G215" s="556"/>
      <c r="H215" s="556"/>
      <c r="I215" s="556"/>
      <c r="J215" s="556"/>
      <c r="K215" s="556"/>
      <c r="L215" s="556"/>
      <c r="M215" s="556"/>
      <c r="N215" s="556"/>
      <c r="O215" s="557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1.7499999999999998</v>
      </c>
      <c r="Y215" s="543">
        <f>IFERROR(Y206/H206,"0")+IFERROR(Y207/H207,"0")+IFERROR(Y208/H208,"0")+IFERROR(Y209/H209,"0")+IFERROR(Y210/H210,"0")+IFERROR(Y211/H211,"0")+IFERROR(Y212/H212,"0")+IFERROR(Y213/H213,"0")+IFERROR(Y214/H214,"0")</f>
        <v>2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1.302E-2</v>
      </c>
      <c r="AA215" s="544"/>
      <c r="AB215" s="544"/>
      <c r="AC215" s="544"/>
    </row>
    <row r="216" spans="1:68" x14ac:dyDescent="0.2">
      <c r="A216" s="556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57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4.1999999999999993</v>
      </c>
      <c r="Y216" s="543">
        <f>IFERROR(SUM(Y206:Y214),"0")</f>
        <v>4.8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56"/>
      <c r="P217" s="556"/>
      <c r="Q217" s="556"/>
      <c r="R217" s="556"/>
      <c r="S217" s="556"/>
      <c r="T217" s="556"/>
      <c r="U217" s="556"/>
      <c r="V217" s="556"/>
      <c r="W217" s="556"/>
      <c r="X217" s="556"/>
      <c r="Y217" s="556"/>
      <c r="Z217" s="556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5"/>
      <c r="B220" s="556"/>
      <c r="C220" s="556"/>
      <c r="D220" s="556"/>
      <c r="E220" s="556"/>
      <c r="F220" s="556"/>
      <c r="G220" s="556"/>
      <c r="H220" s="556"/>
      <c r="I220" s="556"/>
      <c r="J220" s="556"/>
      <c r="K220" s="556"/>
      <c r="L220" s="556"/>
      <c r="M220" s="556"/>
      <c r="N220" s="556"/>
      <c r="O220" s="557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6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57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357</v>
      </c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6"/>
      <c r="P222" s="556"/>
      <c r="Q222" s="556"/>
      <c r="R222" s="556"/>
      <c r="S222" s="556"/>
      <c r="T222" s="556"/>
      <c r="U222" s="556"/>
      <c r="V222" s="556"/>
      <c r="W222" s="556"/>
      <c r="X222" s="556"/>
      <c r="Y222" s="556"/>
      <c r="Z222" s="556"/>
      <c r="AA222" s="536"/>
      <c r="AB222" s="536"/>
      <c r="AC222" s="536"/>
    </row>
    <row r="223" spans="1:68" ht="14.25" customHeight="1" x14ac:dyDescent="0.25">
      <c r="A223" s="558" t="s">
        <v>101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5"/>
      <c r="B234" s="556"/>
      <c r="C234" s="556"/>
      <c r="D234" s="556"/>
      <c r="E234" s="556"/>
      <c r="F234" s="556"/>
      <c r="G234" s="556"/>
      <c r="H234" s="556"/>
      <c r="I234" s="556"/>
      <c r="J234" s="556"/>
      <c r="K234" s="556"/>
      <c r="L234" s="556"/>
      <c r="M234" s="556"/>
      <c r="N234" s="556"/>
      <c r="O234" s="557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6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57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56"/>
      <c r="P236" s="556"/>
      <c r="Q236" s="556"/>
      <c r="R236" s="556"/>
      <c r="S236" s="556"/>
      <c r="T236" s="556"/>
      <c r="U236" s="556"/>
      <c r="V236" s="556"/>
      <c r="W236" s="556"/>
      <c r="X236" s="556"/>
      <c r="Y236" s="556"/>
      <c r="Z236" s="556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0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5"/>
      <c r="B238" s="556"/>
      <c r="C238" s="556"/>
      <c r="D238" s="556"/>
      <c r="E238" s="556"/>
      <c r="F238" s="556"/>
      <c r="G238" s="556"/>
      <c r="H238" s="556"/>
      <c r="I238" s="556"/>
      <c r="J238" s="556"/>
      <c r="K238" s="556"/>
      <c r="L238" s="556"/>
      <c r="M238" s="556"/>
      <c r="N238" s="556"/>
      <c r="O238" s="557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6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57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383</v>
      </c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6"/>
      <c r="P240" s="556"/>
      <c r="Q240" s="556"/>
      <c r="R240" s="556"/>
      <c r="S240" s="556"/>
      <c r="T240" s="556"/>
      <c r="U240" s="556"/>
      <c r="V240" s="556"/>
      <c r="W240" s="556"/>
      <c r="X240" s="556"/>
      <c r="Y240" s="556"/>
      <c r="Z240" s="556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5"/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7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6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7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387</v>
      </c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56"/>
      <c r="P244" s="556"/>
      <c r="Q244" s="556"/>
      <c r="R244" s="556"/>
      <c r="S244" s="556"/>
      <c r="T244" s="556"/>
      <c r="U244" s="556"/>
      <c r="V244" s="556"/>
      <c r="W244" s="556"/>
      <c r="X244" s="556"/>
      <c r="Y244" s="556"/>
      <c r="Z244" s="556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5"/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7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6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7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399</v>
      </c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56"/>
      <c r="P252" s="556"/>
      <c r="Q252" s="556"/>
      <c r="R252" s="556"/>
      <c r="S252" s="556"/>
      <c r="T252" s="556"/>
      <c r="U252" s="556"/>
      <c r="V252" s="556"/>
      <c r="W252" s="556"/>
      <c r="X252" s="556"/>
      <c r="Y252" s="556"/>
      <c r="Z252" s="556"/>
      <c r="AA252" s="536"/>
      <c r="AB252" s="536"/>
      <c r="AC252" s="536"/>
    </row>
    <row r="253" spans="1:68" ht="14.25" customHeight="1" x14ac:dyDescent="0.25">
      <c r="A253" s="558" t="s">
        <v>101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30</v>
      </c>
      <c r="Y254" s="542">
        <f>IFERROR(IF(X254="",0,CEILING((X254/$H254),1)*$H254),"")</f>
        <v>32.400000000000006</v>
      </c>
      <c r="Z254" s="36">
        <f>IFERROR(IF(Y254=0,"",ROUNDUP(Y254/H254,0)*0.01898),"")</f>
        <v>5.6940000000000004E-2</v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31.138888888888889</v>
      </c>
      <c r="BN254" s="64">
        <f>IFERROR(Y254*I254/H254,"0")</f>
        <v>33.630000000000003</v>
      </c>
      <c r="BO254" s="64">
        <f>IFERROR(1/J254*(X254/H254),"0")</f>
        <v>4.3402777777777776E-2</v>
      </c>
      <c r="BP254" s="64">
        <f>IFERROR(1/J254*(Y254/H254),"0")</f>
        <v>4.6875000000000007E-2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2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30</v>
      </c>
      <c r="Y256" s="542">
        <f>IFERROR(IF(X256="",0,CEILING((X256/$H256),1)*$H256),"")</f>
        <v>32.400000000000006</v>
      </c>
      <c r="Z256" s="36">
        <f>IFERROR(IF(Y256=0,"",ROUNDUP(Y256/H256,0)*0.01898),"")</f>
        <v>5.6940000000000004E-2</v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31.138888888888889</v>
      </c>
      <c r="BN256" s="64">
        <f>IFERROR(Y256*I256/H256,"0")</f>
        <v>33.630000000000003</v>
      </c>
      <c r="BO256" s="64">
        <f>IFERROR(1/J256*(X256/H256),"0")</f>
        <v>4.3402777777777776E-2</v>
      </c>
      <c r="BP256" s="64">
        <f>IFERROR(1/J256*(Y256/H256),"0")</f>
        <v>4.6875000000000007E-2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5"/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7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5.5555555555555554</v>
      </c>
      <c r="Y259" s="543">
        <f>IFERROR(Y254/H254,"0")+IFERROR(Y255/H255,"0")+IFERROR(Y256/H256,"0")+IFERROR(Y257/H257,"0")+IFERROR(Y258/H258,"0")</f>
        <v>6.0000000000000009</v>
      </c>
      <c r="Z259" s="543">
        <f>IFERROR(IF(Z254="",0,Z254),"0")+IFERROR(IF(Z255="",0,Z255),"0")+IFERROR(IF(Z256="",0,Z256),"0")+IFERROR(IF(Z257="",0,Z257),"0")+IFERROR(IF(Z258="",0,Z258),"0")</f>
        <v>0.11388000000000001</v>
      </c>
      <c r="AA259" s="544"/>
      <c r="AB259" s="544"/>
      <c r="AC259" s="544"/>
    </row>
    <row r="260" spans="1:68" x14ac:dyDescent="0.2">
      <c r="A260" s="556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7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60</v>
      </c>
      <c r="Y260" s="543">
        <f>IFERROR(SUM(Y254:Y258),"0")</f>
        <v>64.800000000000011</v>
      </c>
      <c r="Z260" s="37"/>
      <c r="AA260" s="544"/>
      <c r="AB260" s="544"/>
      <c r="AC260" s="544"/>
    </row>
    <row r="261" spans="1:68" ht="16.5" customHeight="1" x14ac:dyDescent="0.25">
      <c r="A261" s="559" t="s">
        <v>415</v>
      </c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56"/>
      <c r="P261" s="556"/>
      <c r="Q261" s="556"/>
      <c r="R261" s="556"/>
      <c r="S261" s="556"/>
      <c r="T261" s="556"/>
      <c r="U261" s="556"/>
      <c r="V261" s="556"/>
      <c r="W261" s="556"/>
      <c r="X261" s="556"/>
      <c r="Y261" s="556"/>
      <c r="Z261" s="556"/>
      <c r="AA261" s="536"/>
      <c r="AB261" s="536"/>
      <c r="AC261" s="536"/>
    </row>
    <row r="262" spans="1:68" ht="14.25" customHeight="1" x14ac:dyDescent="0.25">
      <c r="A262" s="558" t="s">
        <v>101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5"/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7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6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7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426</v>
      </c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6"/>
      <c r="P269" s="556"/>
      <c r="Q269" s="556"/>
      <c r="R269" s="556"/>
      <c r="S269" s="556"/>
      <c r="T269" s="556"/>
      <c r="U269" s="556"/>
      <c r="V269" s="556"/>
      <c r="W269" s="556"/>
      <c r="X269" s="556"/>
      <c r="Y269" s="556"/>
      <c r="Z269" s="556"/>
      <c r="AA269" s="536"/>
      <c r="AB269" s="536"/>
      <c r="AC269" s="536"/>
    </row>
    <row r="270" spans="1:68" ht="14.25" customHeight="1" x14ac:dyDescent="0.25">
      <c r="A270" s="558" t="s">
        <v>73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5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7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6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7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9" t="s">
        <v>435</v>
      </c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36"/>
      <c r="AB276" s="536"/>
      <c r="AC276" s="536"/>
    </row>
    <row r="277" spans="1:68" ht="14.25" customHeight="1" x14ac:dyDescent="0.25">
      <c r="A277" s="558" t="s">
        <v>64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5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57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7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55"/>
      <c r="B284" s="556"/>
      <c r="C284" s="556"/>
      <c r="D284" s="556"/>
      <c r="E284" s="556"/>
      <c r="F284" s="556"/>
      <c r="G284" s="556"/>
      <c r="H284" s="556"/>
      <c r="I284" s="556"/>
      <c r="J284" s="556"/>
      <c r="K284" s="556"/>
      <c r="L284" s="556"/>
      <c r="M284" s="556"/>
      <c r="N284" s="556"/>
      <c r="O284" s="557"/>
      <c r="P284" s="562" t="s">
        <v>71</v>
      </c>
      <c r="Q284" s="563"/>
      <c r="R284" s="563"/>
      <c r="S284" s="563"/>
      <c r="T284" s="563"/>
      <c r="U284" s="563"/>
      <c r="V284" s="564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x14ac:dyDescent="0.2">
      <c r="A285" s="556"/>
      <c r="B285" s="556"/>
      <c r="C285" s="556"/>
      <c r="D285" s="556"/>
      <c r="E285" s="556"/>
      <c r="F285" s="556"/>
      <c r="G285" s="556"/>
      <c r="H285" s="556"/>
      <c r="I285" s="556"/>
      <c r="J285" s="556"/>
      <c r="K285" s="556"/>
      <c r="L285" s="556"/>
      <c r="M285" s="556"/>
      <c r="N285" s="556"/>
      <c r="O285" s="557"/>
      <c r="P285" s="562" t="s">
        <v>71</v>
      </c>
      <c r="Q285" s="563"/>
      <c r="R285" s="563"/>
      <c r="S285" s="563"/>
      <c r="T285" s="563"/>
      <c r="U285" s="563"/>
      <c r="V285" s="564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customHeight="1" x14ac:dyDescent="0.25">
      <c r="A286" s="559" t="s">
        <v>445</v>
      </c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56"/>
      <c r="P286" s="556"/>
      <c r="Q286" s="556"/>
      <c r="R286" s="556"/>
      <c r="S286" s="556"/>
      <c r="T286" s="556"/>
      <c r="U286" s="556"/>
      <c r="V286" s="556"/>
      <c r="W286" s="556"/>
      <c r="X286" s="556"/>
      <c r="Y286" s="556"/>
      <c r="Z286" s="556"/>
      <c r="AA286" s="536"/>
      <c r="AB286" s="536"/>
      <c r="AC286" s="536"/>
    </row>
    <row r="287" spans="1:68" ht="14.25" customHeight="1" x14ac:dyDescent="0.25">
      <c r="A287" s="558" t="s">
        <v>101</v>
      </c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6"/>
      <c r="P287" s="556"/>
      <c r="Q287" s="556"/>
      <c r="R287" s="556"/>
      <c r="S287" s="556"/>
      <c r="T287" s="556"/>
      <c r="U287" s="556"/>
      <c r="V287" s="556"/>
      <c r="W287" s="556"/>
      <c r="X287" s="556"/>
      <c r="Y287" s="556"/>
      <c r="Z287" s="556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4301012126</v>
      </c>
      <c r="D288" s="548">
        <v>4607091386004</v>
      </c>
      <c r="E288" s="549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84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67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40</v>
      </c>
      <c r="Y289" s="542">
        <f t="shared" si="26"/>
        <v>43.2</v>
      </c>
      <c r="Z289" s="36">
        <f>IFERROR(IF(Y289=0,"",ROUNDUP(Y289/H289,0)*0.01898),"")</f>
        <v>7.5920000000000001E-2</v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41.518518518518519</v>
      </c>
      <c r="BN289" s="64">
        <f t="shared" si="28"/>
        <v>44.84</v>
      </c>
      <c r="BO289" s="64">
        <f t="shared" si="29"/>
        <v>5.7870370370370364E-2</v>
      </c>
      <c r="BP289" s="64">
        <f t="shared" si="30"/>
        <v>6.25E-2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20</v>
      </c>
      <c r="Y290" s="542">
        <f t="shared" si="26"/>
        <v>21.6</v>
      </c>
      <c r="Z290" s="36">
        <f>IFERROR(IF(Y290=0,"",ROUNDUP(Y290/H290,0)*0.01898),"")</f>
        <v>3.7960000000000001E-2</v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20.75925925925926</v>
      </c>
      <c r="BN290" s="64">
        <f t="shared" si="28"/>
        <v>22.42</v>
      </c>
      <c r="BO290" s="64">
        <f t="shared" si="29"/>
        <v>2.8935185185185182E-2</v>
      </c>
      <c r="BP290" s="64">
        <f t="shared" si="30"/>
        <v>3.125E-2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8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300</v>
      </c>
      <c r="Y291" s="542">
        <f t="shared" si="26"/>
        <v>302.40000000000003</v>
      </c>
      <c r="Z291" s="36">
        <f>IFERROR(IF(Y291=0,"",ROUNDUP(Y291/H291,0)*0.01898),"")</f>
        <v>0.53144000000000002</v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311.38888888888891</v>
      </c>
      <c r="BN291" s="64">
        <f t="shared" si="28"/>
        <v>313.88</v>
      </c>
      <c r="BO291" s="64">
        <f t="shared" si="29"/>
        <v>0.43402777777777773</v>
      </c>
      <c r="BP291" s="64">
        <f t="shared" si="30"/>
        <v>0.4375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20</v>
      </c>
      <c r="Y292" s="542">
        <f t="shared" si="26"/>
        <v>20</v>
      </c>
      <c r="Z292" s="36">
        <f>IFERROR(IF(Y292=0,"",ROUNDUP(Y292/H292,0)*0.00902),"")</f>
        <v>4.5100000000000001E-2</v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20.950000000000003</v>
      </c>
      <c r="BN292" s="64">
        <f t="shared" si="28"/>
        <v>20.950000000000003</v>
      </c>
      <c r="BO292" s="64">
        <f t="shared" si="29"/>
        <v>3.787878787878788E-2</v>
      </c>
      <c r="BP292" s="64">
        <f t="shared" si="30"/>
        <v>3.787878787878788E-2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28</v>
      </c>
      <c r="Y293" s="542">
        <f t="shared" si="26"/>
        <v>28</v>
      </c>
      <c r="Z293" s="36">
        <f>IFERROR(IF(Y293=0,"",ROUNDUP(Y293/H293,0)*0.00902),"")</f>
        <v>6.3140000000000002E-2</v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29.330000000000002</v>
      </c>
      <c r="BN293" s="64">
        <f t="shared" si="28"/>
        <v>29.330000000000002</v>
      </c>
      <c r="BO293" s="64">
        <f t="shared" si="29"/>
        <v>5.3030303030303032E-2</v>
      </c>
      <c r="BP293" s="64">
        <f t="shared" si="30"/>
        <v>5.3030303030303032E-2</v>
      </c>
    </row>
    <row r="294" spans="1:68" x14ac:dyDescent="0.2">
      <c r="A294" s="555"/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7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IFERROR(X288/H288,"0")+IFERROR(X289/H289,"0")+IFERROR(X290/H290,"0")+IFERROR(X291/H291,"0")+IFERROR(X292/H292,"0")+IFERROR(X293/H293,"0")</f>
        <v>45.333333333333329</v>
      </c>
      <c r="Y294" s="543">
        <f>IFERROR(Y288/H288,"0")+IFERROR(Y289/H289,"0")+IFERROR(Y290/H290,"0")+IFERROR(Y291/H291,"0")+IFERROR(Y292/H292,"0")+IFERROR(Y293/H293,"0")</f>
        <v>46</v>
      </c>
      <c r="Z294" s="543">
        <f>IFERROR(IF(Z288="",0,Z288),"0")+IFERROR(IF(Z289="",0,Z289),"0")+IFERROR(IF(Z290="",0,Z290),"0")+IFERROR(IF(Z291="",0,Z291),"0")+IFERROR(IF(Z292="",0,Z292),"0")+IFERROR(IF(Z293="",0,Z293),"0")</f>
        <v>0.75356000000000001</v>
      </c>
      <c r="AA294" s="544"/>
      <c r="AB294" s="544"/>
      <c r="AC294" s="544"/>
    </row>
    <row r="295" spans="1:68" x14ac:dyDescent="0.2">
      <c r="A295" s="556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57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IFERROR(SUM(X288:X293),"0")</f>
        <v>408</v>
      </c>
      <c r="Y295" s="543">
        <f>IFERROR(SUM(Y288:Y293),"0")</f>
        <v>415.20000000000005</v>
      </c>
      <c r="Z295" s="37"/>
      <c r="AA295" s="544"/>
      <c r="AB295" s="544"/>
      <c r="AC295" s="544"/>
    </row>
    <row r="296" spans="1:68" ht="14.25" customHeight="1" x14ac:dyDescent="0.25">
      <c r="A296" s="558" t="s">
        <v>64</v>
      </c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56"/>
      <c r="P296" s="556"/>
      <c r="Q296" s="556"/>
      <c r="R296" s="556"/>
      <c r="S296" s="556"/>
      <c r="T296" s="556"/>
      <c r="U296" s="556"/>
      <c r="V296" s="556"/>
      <c r="W296" s="556"/>
      <c r="X296" s="556"/>
      <c r="Y296" s="556"/>
      <c r="Z296" s="556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8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30</v>
      </c>
      <c r="Y297" s="542">
        <f t="shared" ref="Y297:Y303" si="31">IFERROR(IF(X297="",0,CEILING((X297/$H297),1)*$H297),"")</f>
        <v>33.6</v>
      </c>
      <c r="Z297" s="36">
        <f>IFERROR(IF(Y297=0,"",ROUNDUP(Y297/H297,0)*0.00902),"")</f>
        <v>7.2160000000000002E-2</v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31.785714285714285</v>
      </c>
      <c r="BN297" s="64">
        <f t="shared" ref="BN297:BN303" si="33">IFERROR(Y297*I297/H297,"0")</f>
        <v>35.6</v>
      </c>
      <c r="BO297" s="64">
        <f t="shared" ref="BO297:BO303" si="34">IFERROR(1/J297*(X297/H297),"0")</f>
        <v>5.4112554112554112E-2</v>
      </c>
      <c r="BP297" s="64">
        <f t="shared" ref="BP297:BP303" si="35">IFERROR(1/J297*(Y297/H297),"0")</f>
        <v>6.0606060606060608E-2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80</v>
      </c>
      <c r="Y298" s="542">
        <f t="shared" si="31"/>
        <v>84</v>
      </c>
      <c r="Z298" s="36">
        <f>IFERROR(IF(Y298=0,"",ROUNDUP(Y298/H298,0)*0.00902),"")</f>
        <v>0.1804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84.761904761904759</v>
      </c>
      <c r="BN298" s="64">
        <f t="shared" si="33"/>
        <v>89</v>
      </c>
      <c r="BO298" s="64">
        <f t="shared" si="34"/>
        <v>0.14430014430014429</v>
      </c>
      <c r="BP298" s="64">
        <f t="shared" si="35"/>
        <v>0.15151515151515152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3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10.5</v>
      </c>
      <c r="Y300" s="542">
        <f t="shared" si="31"/>
        <v>10.5</v>
      </c>
      <c r="Z300" s="36">
        <f>IFERROR(IF(Y300=0,"",ROUNDUP(Y300/H300,0)*0.00502),"")</f>
        <v>2.5100000000000001E-2</v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11.149999999999999</v>
      </c>
      <c r="BN300" s="64">
        <f t="shared" si="33"/>
        <v>11.149999999999999</v>
      </c>
      <c r="BO300" s="64">
        <f t="shared" si="34"/>
        <v>2.1367521367521368E-2</v>
      </c>
      <c r="BP300" s="64">
        <f t="shared" si="35"/>
        <v>2.1367521367521368E-2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55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57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31.19047619047619</v>
      </c>
      <c r="Y304" s="543">
        <f>IFERROR(Y297/H297,"0")+IFERROR(Y298/H298,"0")+IFERROR(Y299/H299,"0")+IFERROR(Y300/H300,"0")+IFERROR(Y301/H301,"0")+IFERROR(Y302/H302,"0")+IFERROR(Y303/H303,"0")</f>
        <v>33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0.27766000000000002</v>
      </c>
      <c r="AA304" s="544"/>
      <c r="AB304" s="544"/>
      <c r="AC304" s="544"/>
    </row>
    <row r="305" spans="1:68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7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120.5</v>
      </c>
      <c r="Y305" s="543">
        <f>IFERROR(SUM(Y297:Y303),"0")</f>
        <v>128.1</v>
      </c>
      <c r="Z305" s="37"/>
      <c r="AA305" s="544"/>
      <c r="AB305" s="544"/>
      <c r="AC305" s="544"/>
    </row>
    <row r="306" spans="1:68" ht="14.25" customHeight="1" x14ac:dyDescent="0.25">
      <c r="A306" s="558" t="s">
        <v>73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800</v>
      </c>
      <c r="Y307" s="542">
        <f>IFERROR(IF(X307="",0,CEILING((X307/$H307),1)*$H307),"")</f>
        <v>803.4</v>
      </c>
      <c r="Z307" s="36">
        <f>IFERROR(IF(Y307=0,"",ROUNDUP(Y307/H307,0)*0.01898),"")</f>
        <v>1.9549400000000001</v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850.0512820512821</v>
      </c>
      <c r="BN307" s="64">
        <f>IFERROR(Y307*I307/H307,"0")</f>
        <v>853.66399999999999</v>
      </c>
      <c r="BO307" s="64">
        <f>IFERROR(1/J307*(X307/H307),"0")</f>
        <v>1.6025641025641026</v>
      </c>
      <c r="BP307" s="64">
        <f>IFERROR(1/J307*(Y307/H307),"0")</f>
        <v>1.609375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4301051578</v>
      </c>
      <c r="D311" s="548">
        <v>4607091387513</v>
      </c>
      <c r="E311" s="549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0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5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7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IFERROR(X307/H307,"0")+IFERROR(X308/H308,"0")+IFERROR(X309/H309,"0")+IFERROR(X310/H310,"0")+IFERROR(X311/H311,"0")</f>
        <v>102.56410256410257</v>
      </c>
      <c r="Y312" s="543">
        <f>IFERROR(Y307/H307,"0")+IFERROR(Y308/H308,"0")+IFERROR(Y309/H309,"0")+IFERROR(Y310/H310,"0")+IFERROR(Y311/H311,"0")</f>
        <v>103</v>
      </c>
      <c r="Z312" s="543">
        <f>IFERROR(IF(Z307="",0,Z307),"0")+IFERROR(IF(Z308="",0,Z308),"0")+IFERROR(IF(Z309="",0,Z309),"0")+IFERROR(IF(Z310="",0,Z310),"0")+IFERROR(IF(Z311="",0,Z311),"0")</f>
        <v>1.9549400000000001</v>
      </c>
      <c r="AA312" s="544"/>
      <c r="AB312" s="544"/>
      <c r="AC312" s="544"/>
    </row>
    <row r="313" spans="1:68" x14ac:dyDescent="0.2">
      <c r="A313" s="556"/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7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IFERROR(SUM(X307:X311),"0")</f>
        <v>800</v>
      </c>
      <c r="Y313" s="543">
        <f>IFERROR(SUM(Y307:Y311),"0")</f>
        <v>803.4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6"/>
      <c r="C314" s="556"/>
      <c r="D314" s="556"/>
      <c r="E314" s="556"/>
      <c r="F314" s="556"/>
      <c r="G314" s="556"/>
      <c r="H314" s="556"/>
      <c r="I314" s="556"/>
      <c r="J314" s="556"/>
      <c r="K314" s="556"/>
      <c r="L314" s="556"/>
      <c r="M314" s="556"/>
      <c r="N314" s="556"/>
      <c r="O314" s="556"/>
      <c r="P314" s="556"/>
      <c r="Q314" s="556"/>
      <c r="R314" s="556"/>
      <c r="S314" s="556"/>
      <c r="T314" s="556"/>
      <c r="U314" s="556"/>
      <c r="V314" s="556"/>
      <c r="W314" s="556"/>
      <c r="X314" s="556"/>
      <c r="Y314" s="556"/>
      <c r="Z314" s="556"/>
      <c r="AA314" s="535"/>
      <c r="AB314" s="535"/>
      <c r="AC314" s="535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25</v>
      </c>
      <c r="Y316" s="542">
        <f>IFERROR(IF(X316="",0,CEILING((X316/$H316),1)*$H316),"")</f>
        <v>31.2</v>
      </c>
      <c r="Z316" s="36">
        <f>IFERROR(IF(Y316=0,"",ROUNDUP(Y316/H316,0)*0.01898),"")</f>
        <v>7.5920000000000001E-2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26.583333333333336</v>
      </c>
      <c r="BN316" s="64">
        <f>IFERROR(Y316*I316/H316,"0")</f>
        <v>33.176000000000002</v>
      </c>
      <c r="BO316" s="64">
        <f>IFERROR(1/J316*(X316/H316),"0")</f>
        <v>5.0080128205128208E-2</v>
      </c>
      <c r="BP316" s="64">
        <f>IFERROR(1/J316*(Y316/H316),"0")</f>
        <v>6.25E-2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25</v>
      </c>
      <c r="Y317" s="542">
        <f>IFERROR(IF(X317="",0,CEILING((X317/$H317),1)*$H317),"")</f>
        <v>25.200000000000003</v>
      </c>
      <c r="Z317" s="36">
        <f>IFERROR(IF(Y317=0,"",ROUNDUP(Y317/H317,0)*0.01898),"")</f>
        <v>5.6940000000000004E-2</v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26.470238095238095</v>
      </c>
      <c r="BN317" s="64">
        <f>IFERROR(Y317*I317/H317,"0")</f>
        <v>26.682000000000002</v>
      </c>
      <c r="BO317" s="64">
        <f>IFERROR(1/J317*(X317/H317),"0")</f>
        <v>4.6502976190476192E-2</v>
      </c>
      <c r="BP317" s="64">
        <f>IFERROR(1/J317*(Y317/H317),"0")</f>
        <v>4.6875E-2</v>
      </c>
    </row>
    <row r="318" spans="1:68" x14ac:dyDescent="0.2">
      <c r="A318" s="555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7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6.1813186813186816</v>
      </c>
      <c r="Y318" s="543">
        <f>IFERROR(Y315/H315,"0")+IFERROR(Y316/H316,"0")+IFERROR(Y317/H317,"0")</f>
        <v>7</v>
      </c>
      <c r="Z318" s="543">
        <f>IFERROR(IF(Z315="",0,Z315),"0")+IFERROR(IF(Z316="",0,Z316),"0")+IFERROR(IF(Z317="",0,Z317),"0")</f>
        <v>0.13286000000000001</v>
      </c>
      <c r="AA318" s="544"/>
      <c r="AB318" s="544"/>
      <c r="AC318" s="544"/>
    </row>
    <row r="319" spans="1:68" x14ac:dyDescent="0.2">
      <c r="A319" s="556"/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7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50</v>
      </c>
      <c r="Y319" s="543">
        <f>IFERROR(SUM(Y315:Y317),"0")</f>
        <v>56.400000000000006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6"/>
      <c r="C320" s="556"/>
      <c r="D320" s="556"/>
      <c r="E320" s="556"/>
      <c r="F320" s="556"/>
      <c r="G320" s="556"/>
      <c r="H320" s="556"/>
      <c r="I320" s="556"/>
      <c r="J320" s="556"/>
      <c r="K320" s="556"/>
      <c r="L320" s="556"/>
      <c r="M320" s="556"/>
      <c r="N320" s="556"/>
      <c r="O320" s="556"/>
      <c r="P320" s="556"/>
      <c r="Q320" s="556"/>
      <c r="R320" s="556"/>
      <c r="S320" s="556"/>
      <c r="T320" s="556"/>
      <c r="U320" s="556"/>
      <c r="V320" s="556"/>
      <c r="W320" s="556"/>
      <c r="X320" s="556"/>
      <c r="Y320" s="556"/>
      <c r="Z320" s="556"/>
      <c r="AA320" s="535"/>
      <c r="AB320" s="535"/>
      <c r="AC320" s="535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5" t="s">
        <v>511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515</v>
      </c>
      <c r="B324" s="54" t="s">
        <v>516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2.5499999999999998</v>
      </c>
      <c r="Y324" s="542">
        <f>IFERROR(IF(X324="",0,CEILING((X324/$H324),1)*$H324),"")</f>
        <v>2.5499999999999998</v>
      </c>
      <c r="Z324" s="36">
        <f>IFERROR(IF(Y324=0,"",ROUNDUP(Y324/H324,0)*0.00651),"")</f>
        <v>6.5100000000000002E-3</v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2.88</v>
      </c>
      <c r="BN324" s="64">
        <f>IFERROR(Y324*I324/H324,"0")</f>
        <v>2.88</v>
      </c>
      <c r="BO324" s="64">
        <f>IFERROR(1/J324*(X324/H324),"0")</f>
        <v>5.4945054945054949E-3</v>
      </c>
      <c r="BP324" s="64">
        <f>IFERROR(1/J324*(Y324/H324),"0")</f>
        <v>5.4945054945054949E-3</v>
      </c>
    </row>
    <row r="325" spans="1:68" x14ac:dyDescent="0.2">
      <c r="A325" s="555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7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1</v>
      </c>
      <c r="Y325" s="543">
        <f>IFERROR(Y321/H321,"0")+IFERROR(Y322/H322,"0")+IFERROR(Y323/H323,"0")+IFERROR(Y324/H324,"0")</f>
        <v>1</v>
      </c>
      <c r="Z325" s="543">
        <f>IFERROR(IF(Z321="",0,Z321),"0")+IFERROR(IF(Z322="",0,Z322),"0")+IFERROR(IF(Z323="",0,Z323),"0")+IFERROR(IF(Z324="",0,Z324),"0")</f>
        <v>6.5100000000000002E-3</v>
      </c>
      <c r="AA325" s="544"/>
      <c r="AB325" s="544"/>
      <c r="AC325" s="544"/>
    </row>
    <row r="326" spans="1:68" x14ac:dyDescent="0.2">
      <c r="A326" s="556"/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7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2.5499999999999998</v>
      </c>
      <c r="Y326" s="543">
        <f>IFERROR(SUM(Y321:Y324),"0")</f>
        <v>2.5499999999999998</v>
      </c>
      <c r="Z326" s="37"/>
      <c r="AA326" s="544"/>
      <c r="AB326" s="544"/>
      <c r="AC326" s="544"/>
    </row>
    <row r="327" spans="1:68" ht="14.25" customHeight="1" x14ac:dyDescent="0.25">
      <c r="A327" s="558" t="s">
        <v>517</v>
      </c>
      <c r="B327" s="556"/>
      <c r="C327" s="556"/>
      <c r="D327" s="556"/>
      <c r="E327" s="556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56"/>
      <c r="R327" s="556"/>
      <c r="S327" s="556"/>
      <c r="T327" s="556"/>
      <c r="U327" s="556"/>
      <c r="V327" s="556"/>
      <c r="W327" s="556"/>
      <c r="X327" s="556"/>
      <c r="Y327" s="556"/>
      <c r="Z327" s="556"/>
      <c r="AA327" s="535"/>
      <c r="AB327" s="535"/>
      <c r="AC327" s="535"/>
    </row>
    <row r="328" spans="1:68" ht="16.5" customHeight="1" x14ac:dyDescent="0.25">
      <c r="A328" s="54" t="s">
        <v>518</v>
      </c>
      <c r="B328" s="54" t="s">
        <v>519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5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7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6"/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7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526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6"/>
      <c r="AB333" s="536"/>
      <c r="AC333" s="536"/>
    </row>
    <row r="334" spans="1:68" ht="14.25" customHeight="1" x14ac:dyDescent="0.25">
      <c r="A334" s="558" t="s">
        <v>73</v>
      </c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56"/>
      <c r="P334" s="556"/>
      <c r="Q334" s="556"/>
      <c r="R334" s="556"/>
      <c r="S334" s="556"/>
      <c r="T334" s="556"/>
      <c r="U334" s="556"/>
      <c r="V334" s="556"/>
      <c r="W334" s="556"/>
      <c r="X334" s="556"/>
      <c r="Y334" s="556"/>
      <c r="Z334" s="556"/>
      <c r="AA334" s="535"/>
      <c r="AB334" s="535"/>
      <c r="AC334" s="535"/>
    </row>
    <row r="335" spans="1:68" ht="27" customHeight="1" x14ac:dyDescent="0.25">
      <c r="A335" s="54" t="s">
        <v>527</v>
      </c>
      <c r="B335" s="54" t="s">
        <v>528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25</v>
      </c>
      <c r="Y335" s="542">
        <f>IFERROR(IF(X335="",0,CEILING((X335/$H335),1)*$H335),"")</f>
        <v>32.4</v>
      </c>
      <c r="Z335" s="36">
        <f>IFERROR(IF(Y335=0,"",ROUNDUP(Y335/H335,0)*0.01898),"")</f>
        <v>7.5920000000000001E-2</v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26.524691358024693</v>
      </c>
      <c r="BN335" s="64">
        <f>IFERROR(Y335*I335/H335,"0")</f>
        <v>34.375999999999998</v>
      </c>
      <c r="BO335" s="64">
        <f>IFERROR(1/J335*(X335/H335),"0")</f>
        <v>4.8225308641975308E-2</v>
      </c>
      <c r="BP335" s="64">
        <f>IFERROR(1/J335*(Y335/H335),"0")</f>
        <v>6.25E-2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5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7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3.0864197530864197</v>
      </c>
      <c r="Y338" s="543">
        <f>IFERROR(Y335/H335,"0")+IFERROR(Y336/H336,"0")+IFERROR(Y337/H337,"0")</f>
        <v>4</v>
      </c>
      <c r="Z338" s="543">
        <f>IFERROR(IF(Z335="",0,Z335),"0")+IFERROR(IF(Z336="",0,Z336),"0")+IFERROR(IF(Z337="",0,Z337),"0")</f>
        <v>7.5920000000000001E-2</v>
      </c>
      <c r="AA338" s="544"/>
      <c r="AB338" s="544"/>
      <c r="AC338" s="544"/>
    </row>
    <row r="339" spans="1:68" x14ac:dyDescent="0.2">
      <c r="A339" s="556"/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7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25</v>
      </c>
      <c r="Y339" s="543">
        <f>IFERROR(SUM(Y335:Y337),"0")</f>
        <v>32.4</v>
      </c>
      <c r="Z339" s="37"/>
      <c r="AA339" s="544"/>
      <c r="AB339" s="544"/>
      <c r="AC339" s="544"/>
    </row>
    <row r="340" spans="1:68" ht="27.75" customHeight="1" x14ac:dyDescent="0.2">
      <c r="A340" s="633" t="s">
        <v>536</v>
      </c>
      <c r="B340" s="634"/>
      <c r="C340" s="634"/>
      <c r="D340" s="634"/>
      <c r="E340" s="634"/>
      <c r="F340" s="634"/>
      <c r="G340" s="634"/>
      <c r="H340" s="634"/>
      <c r="I340" s="634"/>
      <c r="J340" s="634"/>
      <c r="K340" s="634"/>
      <c r="L340" s="634"/>
      <c r="M340" s="634"/>
      <c r="N340" s="634"/>
      <c r="O340" s="634"/>
      <c r="P340" s="634"/>
      <c r="Q340" s="634"/>
      <c r="R340" s="634"/>
      <c r="S340" s="634"/>
      <c r="T340" s="634"/>
      <c r="U340" s="634"/>
      <c r="V340" s="634"/>
      <c r="W340" s="634"/>
      <c r="X340" s="634"/>
      <c r="Y340" s="634"/>
      <c r="Z340" s="634"/>
      <c r="AA340" s="48"/>
      <c r="AB340" s="48"/>
      <c r="AC340" s="48"/>
    </row>
    <row r="341" spans="1:68" ht="16.5" customHeight="1" x14ac:dyDescent="0.25">
      <c r="A341" s="559" t="s">
        <v>537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6"/>
      <c r="AB341" s="536"/>
      <c r="AC341" s="536"/>
    </row>
    <row r="342" spans="1:68" ht="14.25" customHeight="1" x14ac:dyDescent="0.25">
      <c r="A342" s="558" t="s">
        <v>101</v>
      </c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56"/>
      <c r="P342" s="556"/>
      <c r="Q342" s="556"/>
      <c r="R342" s="556"/>
      <c r="S342" s="556"/>
      <c r="T342" s="556"/>
      <c r="U342" s="556"/>
      <c r="V342" s="556"/>
      <c r="W342" s="556"/>
      <c r="X342" s="556"/>
      <c r="Y342" s="556"/>
      <c r="Z342" s="556"/>
      <c r="AA342" s="535"/>
      <c r="AB342" s="535"/>
      <c r="AC342" s="535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30</v>
      </c>
      <c r="Y343" s="542">
        <f t="shared" ref="Y343:Y349" si="36">IFERROR(IF(X343="",0,CEILING((X343/$H343),1)*$H343),"")</f>
        <v>30</v>
      </c>
      <c r="Z343" s="36">
        <f>IFERROR(IF(Y343=0,"",ROUNDUP(Y343/H343,0)*0.02175),"")</f>
        <v>4.3499999999999997E-2</v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30.94</v>
      </c>
      <c r="BN343" s="64">
        <f t="shared" ref="BN343:BN349" si="38">IFERROR(Y343*I343/H343,"0")</f>
        <v>30.94</v>
      </c>
      <c r="BO343" s="64">
        <f t="shared" ref="BO343:BO349" si="39">IFERROR(1/J343*(X343/H343),"0")</f>
        <v>4.1666666666666664E-2</v>
      </c>
      <c r="BP343" s="64">
        <f t="shared" ref="BP343:BP349" si="40">IFERROR(1/J343*(Y343/H343),"0")</f>
        <v>4.1666666666666664E-2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100</v>
      </c>
      <c r="Y344" s="542">
        <f t="shared" si="36"/>
        <v>105</v>
      </c>
      <c r="Z344" s="36">
        <f>IFERROR(IF(Y344=0,"",ROUNDUP(Y344/H344,0)*0.02175),"")</f>
        <v>0.15225</v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103.13333333333334</v>
      </c>
      <c r="BN344" s="64">
        <f t="shared" si="38"/>
        <v>108.29</v>
      </c>
      <c r="BO344" s="64">
        <f t="shared" si="39"/>
        <v>0.1388888888888889</v>
      </c>
      <c r="BP344" s="64">
        <f t="shared" si="40"/>
        <v>0.14583333333333331</v>
      </c>
    </row>
    <row r="345" spans="1:68" ht="37.5" customHeight="1" x14ac:dyDescent="0.25">
      <c r="A345" s="54" t="s">
        <v>544</v>
      </c>
      <c r="B345" s="54" t="s">
        <v>545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3" t="s">
        <v>549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551</v>
      </c>
      <c r="B347" s="54" t="s">
        <v>552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554</v>
      </c>
      <c r="B348" s="54" t="s">
        <v>555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556</v>
      </c>
      <c r="B349" s="54" t="s">
        <v>557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5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57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8.6666666666666679</v>
      </c>
      <c r="Y350" s="543">
        <f>IFERROR(Y343/H343,"0")+IFERROR(Y344/H344,"0")+IFERROR(Y345/H345,"0")+IFERROR(Y346/H346,"0")+IFERROR(Y347/H347,"0")+IFERROR(Y348/H348,"0")+IFERROR(Y349/H349,"0")</f>
        <v>9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0.19574999999999998</v>
      </c>
      <c r="AA350" s="544"/>
      <c r="AB350" s="544"/>
      <c r="AC350" s="544"/>
    </row>
    <row r="351" spans="1:68" x14ac:dyDescent="0.2">
      <c r="A351" s="556"/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7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130</v>
      </c>
      <c r="Y351" s="543">
        <f>IFERROR(SUM(Y343:Y349),"0")</f>
        <v>135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6"/>
      <c r="C352" s="556"/>
      <c r="D352" s="556"/>
      <c r="E352" s="556"/>
      <c r="F352" s="556"/>
      <c r="G352" s="556"/>
      <c r="H352" s="556"/>
      <c r="I352" s="556"/>
      <c r="J352" s="556"/>
      <c r="K352" s="556"/>
      <c r="L352" s="556"/>
      <c r="M352" s="556"/>
      <c r="N352" s="556"/>
      <c r="O352" s="556"/>
      <c r="P352" s="556"/>
      <c r="Q352" s="556"/>
      <c r="R352" s="556"/>
      <c r="S352" s="556"/>
      <c r="T352" s="556"/>
      <c r="U352" s="556"/>
      <c r="V352" s="556"/>
      <c r="W352" s="556"/>
      <c r="X352" s="556"/>
      <c r="Y352" s="556"/>
      <c r="Z352" s="556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850</v>
      </c>
      <c r="Y353" s="542">
        <f>IFERROR(IF(X353="",0,CEILING((X353/$H353),1)*$H353),"")</f>
        <v>855</v>
      </c>
      <c r="Z353" s="36">
        <f>IFERROR(IF(Y353=0,"",ROUNDUP(Y353/H353,0)*0.02175),"")</f>
        <v>1.2397499999999999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876.63333333333333</v>
      </c>
      <c r="BN353" s="64">
        <f>IFERROR(Y353*I353/H353,"0")</f>
        <v>881.79000000000008</v>
      </c>
      <c r="BO353" s="64">
        <f>IFERROR(1/J353*(X353/H353),"0")</f>
        <v>1.1805555555555554</v>
      </c>
      <c r="BP353" s="64">
        <f>IFERROR(1/J353*(Y353/H353),"0")</f>
        <v>1.1875</v>
      </c>
    </row>
    <row r="354" spans="1:68" ht="16.5" customHeight="1" x14ac:dyDescent="0.25">
      <c r="A354" s="54" t="s">
        <v>561</v>
      </c>
      <c r="B354" s="54" t="s">
        <v>562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5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7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56.666666666666664</v>
      </c>
      <c r="Y355" s="543">
        <f>IFERROR(Y353/H353,"0")+IFERROR(Y354/H354,"0")</f>
        <v>57</v>
      </c>
      <c r="Z355" s="543">
        <f>IFERROR(IF(Z353="",0,Z353),"0")+IFERROR(IF(Z354="",0,Z354),"0")</f>
        <v>1.2397499999999999</v>
      </c>
      <c r="AA355" s="544"/>
      <c r="AB355" s="544"/>
      <c r="AC355" s="544"/>
    </row>
    <row r="356" spans="1:68" x14ac:dyDescent="0.2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7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850</v>
      </c>
      <c r="Y356" s="543">
        <f>IFERROR(SUM(Y353:Y354),"0")</f>
        <v>855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35"/>
      <c r="AB357" s="535"/>
      <c r="AC357" s="535"/>
    </row>
    <row r="358" spans="1:68" ht="27" customHeight="1" x14ac:dyDescent="0.25">
      <c r="A358" s="54" t="s">
        <v>563</v>
      </c>
      <c r="B358" s="54" t="s">
        <v>564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566</v>
      </c>
      <c r="B359" s="54" t="s">
        <v>567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5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7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7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35"/>
      <c r="AB362" s="535"/>
      <c r="AC362" s="535"/>
    </row>
    <row r="363" spans="1:68" ht="16.5" customHeight="1" x14ac:dyDescent="0.25">
      <c r="A363" s="54" t="s">
        <v>569</v>
      </c>
      <c r="B363" s="54" t="s">
        <v>570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5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57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7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572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6"/>
      <c r="AB366" s="536"/>
      <c r="AC366" s="536"/>
    </row>
    <row r="367" spans="1:68" ht="14.25" customHeight="1" x14ac:dyDescent="0.25">
      <c r="A367" s="558" t="s">
        <v>101</v>
      </c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35"/>
      <c r="AB367" s="535"/>
      <c r="AC367" s="535"/>
    </row>
    <row r="368" spans="1:68" ht="37.5" customHeight="1" x14ac:dyDescent="0.25">
      <c r="A368" s="54" t="s">
        <v>573</v>
      </c>
      <c r="B368" s="54" t="s">
        <v>574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576</v>
      </c>
      <c r="B369" s="54" t="s">
        <v>577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5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7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6"/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7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35"/>
      <c r="AB372" s="535"/>
      <c r="AC372" s="535"/>
    </row>
    <row r="373" spans="1:68" ht="27" customHeight="1" x14ac:dyDescent="0.25">
      <c r="A373" s="54" t="s">
        <v>578</v>
      </c>
      <c r="B373" s="54" t="s">
        <v>579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578</v>
      </c>
      <c r="B374" s="54" t="s">
        <v>581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5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7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7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35"/>
      <c r="AB377" s="535"/>
      <c r="AC377" s="535"/>
    </row>
    <row r="378" spans="1:68" ht="27" customHeight="1" x14ac:dyDescent="0.25">
      <c r="A378" s="54" t="s">
        <v>583</v>
      </c>
      <c r="B378" s="54" t="s">
        <v>584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586</v>
      </c>
      <c r="B379" s="54" t="s">
        <v>587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5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7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7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3" t="s">
        <v>588</v>
      </c>
      <c r="B382" s="634"/>
      <c r="C382" s="634"/>
      <c r="D382" s="634"/>
      <c r="E382" s="634"/>
      <c r="F382" s="634"/>
      <c r="G382" s="634"/>
      <c r="H382" s="634"/>
      <c r="I382" s="634"/>
      <c r="J382" s="634"/>
      <c r="K382" s="634"/>
      <c r="L382" s="634"/>
      <c r="M382" s="634"/>
      <c r="N382" s="634"/>
      <c r="O382" s="634"/>
      <c r="P382" s="634"/>
      <c r="Q382" s="634"/>
      <c r="R382" s="634"/>
      <c r="S382" s="634"/>
      <c r="T382" s="634"/>
      <c r="U382" s="634"/>
      <c r="V382" s="634"/>
      <c r="W382" s="634"/>
      <c r="X382" s="634"/>
      <c r="Y382" s="634"/>
      <c r="Z382" s="634"/>
      <c r="AA382" s="48"/>
      <c r="AB382" s="48"/>
      <c r="AC382" s="48"/>
    </row>
    <row r="383" spans="1:68" ht="16.5" customHeight="1" x14ac:dyDescent="0.25">
      <c r="A383" s="559" t="s">
        <v>589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6"/>
      <c r="AB383" s="536"/>
      <c r="AC383" s="536"/>
    </row>
    <row r="384" spans="1:68" ht="14.25" customHeight="1" x14ac:dyDescent="0.25">
      <c r="A384" s="558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5"/>
      <c r="AB384" s="535"/>
      <c r="AC384" s="535"/>
    </row>
    <row r="385" spans="1:68" ht="27" customHeight="1" x14ac:dyDescent="0.25">
      <c r="A385" s="54" t="s">
        <v>590</v>
      </c>
      <c r="B385" s="54" t="s">
        <v>591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601</v>
      </c>
      <c r="B389" s="54" t="s">
        <v>602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603</v>
      </c>
      <c r="B390" s="54" t="s">
        <v>604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612</v>
      </c>
      <c r="B393" s="54" t="s">
        <v>613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5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57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57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5"/>
      <c r="AB396" s="535"/>
      <c r="AC396" s="535"/>
    </row>
    <row r="397" spans="1:68" ht="27" customHeight="1" x14ac:dyDescent="0.25">
      <c r="A397" s="54" t="s">
        <v>614</v>
      </c>
      <c r="B397" s="54" t="s">
        <v>615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617</v>
      </c>
      <c r="B398" s="54" t="s">
        <v>618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5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57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7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620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6"/>
      <c r="AB401" s="536"/>
      <c r="AC401" s="536"/>
    </row>
    <row r="402" spans="1:68" ht="14.25" customHeight="1" x14ac:dyDescent="0.25">
      <c r="A402" s="558" t="s">
        <v>136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5"/>
      <c r="AB402" s="535"/>
      <c r="AC402" s="535"/>
    </row>
    <row r="403" spans="1:68" ht="27" customHeight="1" x14ac:dyDescent="0.25">
      <c r="A403" s="54" t="s">
        <v>621</v>
      </c>
      <c r="B403" s="54" t="s">
        <v>622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5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57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7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5"/>
      <c r="AB406" s="535"/>
      <c r="AC406" s="535"/>
    </row>
    <row r="407" spans="1:68" ht="27" customHeight="1" x14ac:dyDescent="0.25">
      <c r="A407" s="54" t="s">
        <v>624</v>
      </c>
      <c r="B407" s="54" t="s">
        <v>625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633</v>
      </c>
      <c r="B410" s="54" t="s">
        <v>634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5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57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7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635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6"/>
      <c r="AB413" s="536"/>
      <c r="AC413" s="536"/>
    </row>
    <row r="414" spans="1:68" ht="14.25" customHeight="1" x14ac:dyDescent="0.25">
      <c r="A414" s="558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5"/>
      <c r="AB414" s="535"/>
      <c r="AC414" s="535"/>
    </row>
    <row r="415" spans="1:68" ht="27" customHeight="1" x14ac:dyDescent="0.25">
      <c r="A415" s="54" t="s">
        <v>636</v>
      </c>
      <c r="B415" s="54" t="s">
        <v>637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5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57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7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3" t="s">
        <v>639</v>
      </c>
      <c r="B418" s="634"/>
      <c r="C418" s="634"/>
      <c r="D418" s="634"/>
      <c r="E418" s="634"/>
      <c r="F418" s="634"/>
      <c r="G418" s="634"/>
      <c r="H418" s="634"/>
      <c r="I418" s="634"/>
      <c r="J418" s="634"/>
      <c r="K418" s="634"/>
      <c r="L418" s="634"/>
      <c r="M418" s="634"/>
      <c r="N418" s="634"/>
      <c r="O418" s="634"/>
      <c r="P418" s="634"/>
      <c r="Q418" s="634"/>
      <c r="R418" s="634"/>
      <c r="S418" s="634"/>
      <c r="T418" s="634"/>
      <c r="U418" s="634"/>
      <c r="V418" s="634"/>
      <c r="W418" s="634"/>
      <c r="X418" s="634"/>
      <c r="Y418" s="634"/>
      <c r="Z418" s="634"/>
      <c r="AA418" s="48"/>
      <c r="AB418" s="48"/>
      <c r="AC418" s="48"/>
    </row>
    <row r="419" spans="1:68" ht="16.5" customHeight="1" x14ac:dyDescent="0.25">
      <c r="A419" s="559" t="s">
        <v>639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6"/>
      <c r="AB419" s="536"/>
      <c r="AC419" s="536"/>
    </row>
    <row r="420" spans="1:68" ht="14.25" customHeight="1" x14ac:dyDescent="0.25">
      <c r="A420" s="558" t="s">
        <v>101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5"/>
      <c r="AB420" s="535"/>
      <c r="AC420" s="535"/>
    </row>
    <row r="421" spans="1:68" ht="27" customHeight="1" x14ac:dyDescent="0.25">
      <c r="A421" s="54" t="s">
        <v>640</v>
      </c>
      <c r="B421" s="54" t="s">
        <v>641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10</v>
      </c>
      <c r="Y421" s="542">
        <f t="shared" ref="Y421:Y431" si="47">IFERROR(IF(X421="",0,CEILING((X421/$H421),1)*$H421),"")</f>
        <v>10.56</v>
      </c>
      <c r="Z421" s="36">
        <f t="shared" ref="Z421:Z426" si="48">IFERROR(IF(Y421=0,"",ROUNDUP(Y421/H421,0)*0.01196),"")</f>
        <v>2.392E-2</v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10.662878787878787</v>
      </c>
      <c r="BN421" s="64">
        <f t="shared" ref="BN421:BN431" si="50">IFERROR(Y421*I421/H421,"0")</f>
        <v>11.26</v>
      </c>
      <c r="BO421" s="64">
        <f t="shared" ref="BO421:BO431" si="51">IFERROR(1/J421*(X421/H421),"0")</f>
        <v>1.8210955710955712E-2</v>
      </c>
      <c r="BP421" s="64">
        <f t="shared" ref="BP421:BP431" si="52">IFERROR(1/J421*(Y421/H421),"0")</f>
        <v>1.9230769230769232E-2</v>
      </c>
    </row>
    <row r="422" spans="1:68" ht="27" customHeight="1" x14ac:dyDescent="0.25">
      <c r="A422" s="54" t="s">
        <v>642</v>
      </c>
      <c r="B422" s="54" t="s">
        <v>643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645</v>
      </c>
      <c r="B423" s="54" t="s">
        <v>646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6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648</v>
      </c>
      <c r="B424" s="54" t="s">
        <v>649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69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651</v>
      </c>
      <c r="B425" s="54" t="s">
        <v>652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654</v>
      </c>
      <c r="B426" s="54" t="s">
        <v>655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5</v>
      </c>
      <c r="Y426" s="542">
        <f t="shared" si="47"/>
        <v>5.28</v>
      </c>
      <c r="Z426" s="36">
        <f t="shared" si="48"/>
        <v>1.196E-2</v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5.3314393939393936</v>
      </c>
      <c r="BN426" s="64">
        <f t="shared" si="50"/>
        <v>5.63</v>
      </c>
      <c r="BO426" s="64">
        <f t="shared" si="51"/>
        <v>9.1054778554778559E-3</v>
      </c>
      <c r="BP426" s="64">
        <f t="shared" si="52"/>
        <v>9.6153846153846159E-3</v>
      </c>
    </row>
    <row r="427" spans="1:68" ht="27" customHeight="1" x14ac:dyDescent="0.25">
      <c r="A427" s="54" t="s">
        <v>657</v>
      </c>
      <c r="B427" s="54" t="s">
        <v>658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659</v>
      </c>
      <c r="B428" s="54" t="s">
        <v>660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666</v>
      </c>
      <c r="B431" s="54" t="s">
        <v>667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5"/>
      <c r="B432" s="556"/>
      <c r="C432" s="556"/>
      <c r="D432" s="556"/>
      <c r="E432" s="556"/>
      <c r="F432" s="556"/>
      <c r="G432" s="556"/>
      <c r="H432" s="556"/>
      <c r="I432" s="556"/>
      <c r="J432" s="556"/>
      <c r="K432" s="556"/>
      <c r="L432" s="556"/>
      <c r="M432" s="556"/>
      <c r="N432" s="556"/>
      <c r="O432" s="557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2.8409090909090908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3.5880000000000002E-2</v>
      </c>
      <c r="AA432" s="544"/>
      <c r="AB432" s="544"/>
      <c r="AC432" s="544"/>
    </row>
    <row r="433" spans="1:68" x14ac:dyDescent="0.2">
      <c r="A433" s="556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57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15</v>
      </c>
      <c r="Y433" s="543">
        <f>IFERROR(SUM(Y421:Y431),"0")</f>
        <v>15.84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56"/>
      <c r="P434" s="556"/>
      <c r="Q434" s="556"/>
      <c r="R434" s="556"/>
      <c r="S434" s="556"/>
      <c r="T434" s="556"/>
      <c r="U434" s="556"/>
      <c r="V434" s="556"/>
      <c r="W434" s="556"/>
      <c r="X434" s="556"/>
      <c r="Y434" s="556"/>
      <c r="Z434" s="556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10</v>
      </c>
      <c r="Y435" s="542">
        <f>IFERROR(IF(X435="",0,CEILING((X435/$H435),1)*$H435),"")</f>
        <v>10.56</v>
      </c>
      <c r="Z435" s="36">
        <f>IFERROR(IF(Y435=0,"",ROUNDUP(Y435/H435,0)*0.01196),"")</f>
        <v>2.392E-2</v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10.662878787878787</v>
      </c>
      <c r="BN435" s="64">
        <f>IFERROR(Y435*I435/H435,"0")</f>
        <v>11.26</v>
      </c>
      <c r="BO435" s="64">
        <f>IFERROR(1/J435*(X435/H435),"0")</f>
        <v>1.8210955710955712E-2</v>
      </c>
      <c r="BP435" s="64">
        <f>IFERROR(1/J435*(Y435/H435),"0")</f>
        <v>1.9230769230769232E-2</v>
      </c>
    </row>
    <row r="436" spans="1:68" ht="16.5" customHeight="1" x14ac:dyDescent="0.25">
      <c r="A436" s="54" t="s">
        <v>671</v>
      </c>
      <c r="B436" s="54" t="s">
        <v>672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673</v>
      </c>
      <c r="B437" s="54" t="s">
        <v>674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5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57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1.8939393939393938</v>
      </c>
      <c r="Y438" s="543">
        <f>IFERROR(Y435/H435,"0")+IFERROR(Y436/H436,"0")+IFERROR(Y437/H437,"0")</f>
        <v>2</v>
      </c>
      <c r="Z438" s="543">
        <f>IFERROR(IF(Z435="",0,Z435),"0")+IFERROR(IF(Z436="",0,Z436),"0")+IFERROR(IF(Z437="",0,Z437),"0")</f>
        <v>2.392E-2</v>
      </c>
      <c r="AA438" s="544"/>
      <c r="AB438" s="544"/>
      <c r="AC438" s="544"/>
    </row>
    <row r="439" spans="1:68" x14ac:dyDescent="0.2">
      <c r="A439" s="556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7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10</v>
      </c>
      <c r="Y439" s="543">
        <f>IFERROR(SUM(Y435:Y437),"0")</f>
        <v>10.56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6"/>
      <c r="P440" s="556"/>
      <c r="Q440" s="556"/>
      <c r="R440" s="556"/>
      <c r="S440" s="556"/>
      <c r="T440" s="556"/>
      <c r="U440" s="556"/>
      <c r="V440" s="556"/>
      <c r="W440" s="556"/>
      <c r="X440" s="556"/>
      <c r="Y440" s="556"/>
      <c r="Z440" s="556"/>
      <c r="AA440" s="535"/>
      <c r="AB440" s="535"/>
      <c r="AC440" s="535"/>
    </row>
    <row r="441" spans="1:68" ht="27" customHeight="1" x14ac:dyDescent="0.25">
      <c r="A441" s="54" t="s">
        <v>675</v>
      </c>
      <c r="B441" s="54" t="s">
        <v>676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customHeight="1" x14ac:dyDescent="0.25">
      <c r="A442" s="54" t="s">
        <v>678</v>
      </c>
      <c r="B442" s="54" t="s">
        <v>679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customHeight="1" x14ac:dyDescent="0.25">
      <c r="A443" s="54" t="s">
        <v>681</v>
      </c>
      <c r="B443" s="54" t="s">
        <v>682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684</v>
      </c>
      <c r="B444" s="54" t="s">
        <v>685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686</v>
      </c>
      <c r="B445" s="54" t="s">
        <v>687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688</v>
      </c>
      <c r="B446" s="54" t="s">
        <v>689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5"/>
      <c r="B447" s="556"/>
      <c r="C447" s="556"/>
      <c r="D447" s="556"/>
      <c r="E447" s="556"/>
      <c r="F447" s="556"/>
      <c r="G447" s="556"/>
      <c r="H447" s="556"/>
      <c r="I447" s="556"/>
      <c r="J447" s="556"/>
      <c r="K447" s="556"/>
      <c r="L447" s="556"/>
      <c r="M447" s="556"/>
      <c r="N447" s="556"/>
      <c r="O447" s="557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56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57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56"/>
      <c r="P449" s="556"/>
      <c r="Q449" s="556"/>
      <c r="R449" s="556"/>
      <c r="S449" s="556"/>
      <c r="T449" s="556"/>
      <c r="U449" s="556"/>
      <c r="V449" s="556"/>
      <c r="W449" s="556"/>
      <c r="X449" s="556"/>
      <c r="Y449" s="556"/>
      <c r="Z449" s="556"/>
      <c r="AA449" s="535"/>
      <c r="AB449" s="535"/>
      <c r="AC449" s="535"/>
    </row>
    <row r="450" spans="1:68" ht="16.5" customHeight="1" x14ac:dyDescent="0.25">
      <c r="A450" s="54" t="s">
        <v>690</v>
      </c>
      <c r="B450" s="54" t="s">
        <v>691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693</v>
      </c>
      <c r="B451" s="54" t="s">
        <v>694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5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57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6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7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3" t="s">
        <v>699</v>
      </c>
      <c r="B455" s="634"/>
      <c r="C455" s="634"/>
      <c r="D455" s="634"/>
      <c r="E455" s="634"/>
      <c r="F455" s="634"/>
      <c r="G455" s="634"/>
      <c r="H455" s="634"/>
      <c r="I455" s="634"/>
      <c r="J455" s="634"/>
      <c r="K455" s="634"/>
      <c r="L455" s="634"/>
      <c r="M455" s="634"/>
      <c r="N455" s="634"/>
      <c r="O455" s="634"/>
      <c r="P455" s="634"/>
      <c r="Q455" s="634"/>
      <c r="R455" s="634"/>
      <c r="S455" s="634"/>
      <c r="T455" s="634"/>
      <c r="U455" s="634"/>
      <c r="V455" s="634"/>
      <c r="W455" s="634"/>
      <c r="X455" s="634"/>
      <c r="Y455" s="634"/>
      <c r="Z455" s="634"/>
      <c r="AA455" s="48"/>
      <c r="AB455" s="48"/>
      <c r="AC455" s="48"/>
    </row>
    <row r="456" spans="1:68" ht="16.5" customHeight="1" x14ac:dyDescent="0.25">
      <c r="A456" s="559" t="s">
        <v>699</v>
      </c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36"/>
      <c r="AB456" s="536"/>
      <c r="AC456" s="536"/>
    </row>
    <row r="457" spans="1:68" ht="14.25" customHeight="1" x14ac:dyDescent="0.25">
      <c r="A457" s="558" t="s">
        <v>101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5"/>
      <c r="AB457" s="535"/>
      <c r="AC457" s="535"/>
    </row>
    <row r="458" spans="1:68" ht="27" customHeight="1" x14ac:dyDescent="0.25">
      <c r="A458" s="54" t="s">
        <v>700</v>
      </c>
      <c r="B458" s="54" t="s">
        <v>701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709</v>
      </c>
      <c r="B461" s="54" t="s">
        <v>710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5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57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6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57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6"/>
      <c r="P464" s="556"/>
      <c r="Q464" s="556"/>
      <c r="R464" s="556"/>
      <c r="S464" s="556"/>
      <c r="T464" s="556"/>
      <c r="U464" s="556"/>
      <c r="V464" s="556"/>
      <c r="W464" s="556"/>
      <c r="X464" s="556"/>
      <c r="Y464" s="556"/>
      <c r="Z464" s="556"/>
      <c r="AA464" s="535"/>
      <c r="AB464" s="535"/>
      <c r="AC464" s="535"/>
    </row>
    <row r="465" spans="1:68" ht="27" customHeight="1" x14ac:dyDescent="0.25">
      <c r="A465" s="54" t="s">
        <v>711</v>
      </c>
      <c r="B465" s="54" t="s">
        <v>712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717</v>
      </c>
      <c r="B467" s="54" t="s">
        <v>718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5"/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7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6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57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56"/>
      <c r="P470" s="556"/>
      <c r="Q470" s="556"/>
      <c r="R470" s="556"/>
      <c r="S470" s="556"/>
      <c r="T470" s="556"/>
      <c r="U470" s="556"/>
      <c r="V470" s="556"/>
      <c r="W470" s="556"/>
      <c r="X470" s="556"/>
      <c r="Y470" s="556"/>
      <c r="Z470" s="556"/>
      <c r="AA470" s="535"/>
      <c r="AB470" s="535"/>
      <c r="AC470" s="535"/>
    </row>
    <row r="471" spans="1:68" ht="27" customHeight="1" x14ac:dyDescent="0.25">
      <c r="A471" s="54" t="s">
        <v>720</v>
      </c>
      <c r="B471" s="54" t="s">
        <v>721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100</v>
      </c>
      <c r="Y471" s="542">
        <f>IFERROR(IF(X471="",0,CEILING((X471/$H471),1)*$H471),"")</f>
        <v>100.80000000000001</v>
      </c>
      <c r="Z471" s="36">
        <f>IFERROR(IF(Y471=0,"",ROUNDUP(Y471/H471,0)*0.00902),"")</f>
        <v>0.21648000000000001</v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105.95238095238095</v>
      </c>
      <c r="BN471" s="64">
        <f>IFERROR(Y471*I471/H471,"0")</f>
        <v>106.80000000000001</v>
      </c>
      <c r="BO471" s="64">
        <f>IFERROR(1/J471*(X471/H471),"0")</f>
        <v>0.18037518037518038</v>
      </c>
      <c r="BP471" s="64">
        <f>IFERROR(1/J471*(Y471/H471),"0")</f>
        <v>0.18181818181818182</v>
      </c>
    </row>
    <row r="472" spans="1:68" ht="27" customHeight="1" x14ac:dyDescent="0.25">
      <c r="A472" s="54" t="s">
        <v>723</v>
      </c>
      <c r="B472" s="54" t="s">
        <v>724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120</v>
      </c>
      <c r="Y472" s="542">
        <f>IFERROR(IF(X472="",0,CEILING((X472/$H472),1)*$H472),"")</f>
        <v>121.80000000000001</v>
      </c>
      <c r="Z472" s="36">
        <f>IFERROR(IF(Y472=0,"",ROUNDUP(Y472/H472,0)*0.00902),"")</f>
        <v>0.26158000000000003</v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127.14285714285714</v>
      </c>
      <c r="BN472" s="64">
        <f>IFERROR(Y472*I472/H472,"0")</f>
        <v>129.05000000000001</v>
      </c>
      <c r="BO472" s="64">
        <f>IFERROR(1/J472*(X472/H472),"0")</f>
        <v>0.21645021645021645</v>
      </c>
      <c r="BP472" s="64">
        <f>IFERROR(1/J472*(Y472/H472),"0")</f>
        <v>0.2196969696969697</v>
      </c>
    </row>
    <row r="473" spans="1:68" x14ac:dyDescent="0.2">
      <c r="A473" s="555"/>
      <c r="B473" s="556"/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7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52.38095238095238</v>
      </c>
      <c r="Y473" s="543">
        <f>IFERROR(Y471/H471,"0")+IFERROR(Y472/H472,"0")</f>
        <v>53</v>
      </c>
      <c r="Z473" s="543">
        <f>IFERROR(IF(Z471="",0,Z471),"0")+IFERROR(IF(Z472="",0,Z472),"0")</f>
        <v>0.47806000000000004</v>
      </c>
      <c r="AA473" s="544"/>
      <c r="AB473" s="544"/>
      <c r="AC473" s="544"/>
    </row>
    <row r="474" spans="1:68" x14ac:dyDescent="0.2">
      <c r="A474" s="556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57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220</v>
      </c>
      <c r="Y474" s="543">
        <f>IFERROR(SUM(Y471:Y472),"0")</f>
        <v>222.60000000000002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56"/>
      <c r="P475" s="556"/>
      <c r="Q475" s="556"/>
      <c r="R475" s="556"/>
      <c r="S475" s="556"/>
      <c r="T475" s="556"/>
      <c r="U475" s="556"/>
      <c r="V475" s="556"/>
      <c r="W475" s="556"/>
      <c r="X475" s="556"/>
      <c r="Y475" s="556"/>
      <c r="Z475" s="556"/>
      <c r="AA475" s="535"/>
      <c r="AB475" s="535"/>
      <c r="AC475" s="535"/>
    </row>
    <row r="476" spans="1:68" ht="27" customHeight="1" x14ac:dyDescent="0.25">
      <c r="A476" s="54" t="s">
        <v>726</v>
      </c>
      <c r="B476" s="54" t="s">
        <v>727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5"/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7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6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57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6"/>
      <c r="P479" s="556"/>
      <c r="Q479" s="556"/>
      <c r="R479" s="556"/>
      <c r="S479" s="556"/>
      <c r="T479" s="556"/>
      <c r="U479" s="556"/>
      <c r="V479" s="556"/>
      <c r="W479" s="556"/>
      <c r="X479" s="556"/>
      <c r="Y479" s="556"/>
      <c r="Z479" s="556"/>
      <c r="AA479" s="535"/>
      <c r="AB479" s="535"/>
      <c r="AC479" s="535"/>
    </row>
    <row r="480" spans="1:68" ht="27" customHeight="1" x14ac:dyDescent="0.25">
      <c r="A480" s="54" t="s">
        <v>729</v>
      </c>
      <c r="B480" s="54" t="s">
        <v>730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732</v>
      </c>
      <c r="B481" s="54" t="s">
        <v>733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5"/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7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6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57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735</v>
      </c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56"/>
      <c r="P484" s="556"/>
      <c r="Q484" s="556"/>
      <c r="R484" s="556"/>
      <c r="S484" s="556"/>
      <c r="T484" s="556"/>
      <c r="U484" s="556"/>
      <c r="V484" s="556"/>
      <c r="W484" s="556"/>
      <c r="X484" s="556"/>
      <c r="Y484" s="556"/>
      <c r="Z484" s="556"/>
      <c r="AA484" s="536"/>
      <c r="AB484" s="536"/>
      <c r="AC484" s="536"/>
    </row>
    <row r="485" spans="1:68" ht="14.25" customHeight="1" x14ac:dyDescent="0.25">
      <c r="A485" s="558" t="s">
        <v>136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5"/>
      <c r="AB485" s="535"/>
      <c r="AC485" s="535"/>
    </row>
    <row r="486" spans="1:68" ht="27" customHeight="1" x14ac:dyDescent="0.25">
      <c r="A486" s="54" t="s">
        <v>736</v>
      </c>
      <c r="B486" s="54" t="s">
        <v>737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5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7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57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701"/>
      <c r="P489" s="630" t="s">
        <v>739</v>
      </c>
      <c r="Q489" s="631"/>
      <c r="R489" s="631"/>
      <c r="S489" s="631"/>
      <c r="T489" s="631"/>
      <c r="U489" s="631"/>
      <c r="V489" s="632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3222.05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3287.95</v>
      </c>
      <c r="Z489" s="37"/>
      <c r="AA489" s="544"/>
      <c r="AB489" s="544"/>
      <c r="AC489" s="544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01"/>
      <c r="P490" s="630" t="s">
        <v>740</v>
      </c>
      <c r="Q490" s="631"/>
      <c r="R490" s="631"/>
      <c r="S490" s="631"/>
      <c r="T490" s="631"/>
      <c r="U490" s="631"/>
      <c r="V490" s="632"/>
      <c r="W490" s="37" t="s">
        <v>69</v>
      </c>
      <c r="X490" s="543">
        <f>IFERROR(SUM(BM22:BM486),"0")</f>
        <v>3370.6279005377341</v>
      </c>
      <c r="Y490" s="543">
        <f>IFERROR(SUM(BN22:BN486),"0")</f>
        <v>3439.8160000000007</v>
      </c>
      <c r="Z490" s="37"/>
      <c r="AA490" s="544"/>
      <c r="AB490" s="544"/>
      <c r="AC490" s="544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01"/>
      <c r="P491" s="630" t="s">
        <v>741</v>
      </c>
      <c r="Q491" s="631"/>
      <c r="R491" s="631"/>
      <c r="S491" s="631"/>
      <c r="T491" s="631"/>
      <c r="U491" s="631"/>
      <c r="V491" s="632"/>
      <c r="W491" s="37" t="s">
        <v>742</v>
      </c>
      <c r="X491" s="38">
        <f>ROUNDUP(SUM(BO22:BO486),0)</f>
        <v>6</v>
      </c>
      <c r="Y491" s="38">
        <f>ROUNDUP(SUM(BP22:BP486),0)</f>
        <v>6</v>
      </c>
      <c r="Z491" s="37"/>
      <c r="AA491" s="544"/>
      <c r="AB491" s="544"/>
      <c r="AC491" s="544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701"/>
      <c r="P492" s="630" t="s">
        <v>743</v>
      </c>
      <c r="Q492" s="631"/>
      <c r="R492" s="631"/>
      <c r="S492" s="631"/>
      <c r="T492" s="631"/>
      <c r="U492" s="631"/>
      <c r="V492" s="632"/>
      <c r="W492" s="37" t="s">
        <v>69</v>
      </c>
      <c r="X492" s="543">
        <f>GrossWeightTotal+PalletQtyTotal*25</f>
        <v>3520.6279005377341</v>
      </c>
      <c r="Y492" s="543">
        <f>GrossWeightTotalR+PalletQtyTotalR*25</f>
        <v>3589.8160000000007</v>
      </c>
      <c r="Z492" s="37"/>
      <c r="AA492" s="544"/>
      <c r="AB492" s="544"/>
      <c r="AC492" s="544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01"/>
      <c r="P493" s="630" t="s">
        <v>744</v>
      </c>
      <c r="Q493" s="631"/>
      <c r="R493" s="631"/>
      <c r="S493" s="631"/>
      <c r="T493" s="631"/>
      <c r="U493" s="631"/>
      <c r="V493" s="632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386.34843551510221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395</v>
      </c>
      <c r="Z493" s="37"/>
      <c r="AA493" s="544"/>
      <c r="AB493" s="544"/>
      <c r="AC493" s="544"/>
    </row>
    <row r="494" spans="1:68" ht="14.25" customHeight="1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01"/>
      <c r="P494" s="630" t="s">
        <v>745</v>
      </c>
      <c r="Q494" s="631"/>
      <c r="R494" s="631"/>
      <c r="S494" s="631"/>
      <c r="T494" s="631"/>
      <c r="U494" s="631"/>
      <c r="V494" s="632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6.3148000000000009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91" t="s">
        <v>99</v>
      </c>
      <c r="D496" s="653"/>
      <c r="E496" s="653"/>
      <c r="F496" s="653"/>
      <c r="G496" s="653"/>
      <c r="H496" s="622"/>
      <c r="I496" s="591" t="s">
        <v>255</v>
      </c>
      <c r="J496" s="653"/>
      <c r="K496" s="653"/>
      <c r="L496" s="653"/>
      <c r="M496" s="653"/>
      <c r="N496" s="653"/>
      <c r="O496" s="653"/>
      <c r="P496" s="653"/>
      <c r="Q496" s="653"/>
      <c r="R496" s="622"/>
      <c r="S496" s="591" t="s">
        <v>536</v>
      </c>
      <c r="T496" s="622"/>
      <c r="U496" s="591" t="s">
        <v>588</v>
      </c>
      <c r="V496" s="653"/>
      <c r="W496" s="622"/>
      <c r="X496" s="533" t="s">
        <v>639</v>
      </c>
      <c r="Y496" s="591" t="s">
        <v>699</v>
      </c>
      <c r="Z496" s="622"/>
      <c r="AB496" s="52"/>
      <c r="AC496" s="52"/>
      <c r="AF496" s="534"/>
    </row>
    <row r="497" spans="1:32" ht="14.25" customHeight="1" thickTop="1" x14ac:dyDescent="0.2">
      <c r="A497" s="834" t="s">
        <v>748</v>
      </c>
      <c r="B497" s="591" t="s">
        <v>63</v>
      </c>
      <c r="C497" s="591" t="s">
        <v>100</v>
      </c>
      <c r="D497" s="591" t="s">
        <v>117</v>
      </c>
      <c r="E497" s="591" t="s">
        <v>171</v>
      </c>
      <c r="F497" s="591" t="s">
        <v>190</v>
      </c>
      <c r="G497" s="591" t="s">
        <v>220</v>
      </c>
      <c r="H497" s="591" t="s">
        <v>99</v>
      </c>
      <c r="I497" s="591" t="s">
        <v>256</v>
      </c>
      <c r="J497" s="591" t="s">
        <v>297</v>
      </c>
      <c r="K497" s="591" t="s">
        <v>357</v>
      </c>
      <c r="L497" s="591" t="s">
        <v>399</v>
      </c>
      <c r="M497" s="591" t="s">
        <v>415</v>
      </c>
      <c r="N497" s="534"/>
      <c r="O497" s="591" t="s">
        <v>426</v>
      </c>
      <c r="P497" s="591" t="s">
        <v>435</v>
      </c>
      <c r="Q497" s="591" t="s">
        <v>445</v>
      </c>
      <c r="R497" s="591" t="s">
        <v>526</v>
      </c>
      <c r="S497" s="591" t="s">
        <v>537</v>
      </c>
      <c r="T497" s="591" t="s">
        <v>572</v>
      </c>
      <c r="U497" s="591" t="s">
        <v>589</v>
      </c>
      <c r="V497" s="591" t="s">
        <v>620</v>
      </c>
      <c r="W497" s="591" t="s">
        <v>635</v>
      </c>
      <c r="X497" s="591" t="s">
        <v>639</v>
      </c>
      <c r="Y497" s="591" t="s">
        <v>699</v>
      </c>
      <c r="Z497" s="591" t="s">
        <v>735</v>
      </c>
      <c r="AB497" s="52"/>
      <c r="AC497" s="52"/>
      <c r="AF497" s="534"/>
    </row>
    <row r="498" spans="1:32" ht="13.5" customHeight="1" thickBot="1" x14ac:dyDescent="0.25">
      <c r="A498" s="835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4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51.2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389.70000000000005</v>
      </c>
      <c r="E499" s="46">
        <f>IFERROR(Y85*1,"0")+IFERROR(Y86*1,"0")+IFERROR(Y87*1,"0")+IFERROR(Y91*1,"0")+IFERROR(Y92*1,"0")+IFERROR(Y93*1,"0")+IFERROR(Y94*1,"0")</f>
        <v>45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16.2</v>
      </c>
      <c r="G499" s="46">
        <f>IFERROR(Y124*1,"0")+IFERROR(Y125*1,"0")+IFERROR(Y129*1,"0")+IFERROR(Y130*1,"0")+IFERROR(Y134*1,"0")+IFERROR(Y135*1,"0")</f>
        <v>12.8</v>
      </c>
      <c r="H499" s="46">
        <f>IFERROR(Y140*1,"0")+IFERROR(Y141*1,"0")+IFERROR(Y142*1,"0")+IFERROR(Y146*1,"0")+IFERROR(Y147*1,"0")+IFERROR(Y148*1,"0")+IFERROR(Y152*1,"0")</f>
        <v>18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8.4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4.8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64.800000000000011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0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1405.65</v>
      </c>
      <c r="R499" s="46">
        <f>IFERROR(Y335*1,"0")+IFERROR(Y336*1,"0")+IFERROR(Y337*1,"0")</f>
        <v>32.4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990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26.4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222.60000000000002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G497:G498"/>
    <mergeCell ref="Q497:Q498"/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A489:O4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A484:Z484"/>
    <mergeCell ref="A487:O488"/>
    <mergeCell ref="A33:Z33"/>
    <mergeCell ref="T497:T498"/>
    <mergeCell ref="D196:E196"/>
    <mergeCell ref="A269:Z269"/>
    <mergeCell ref="A440:Z440"/>
    <mergeCell ref="V497:V498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A31:O32"/>
    <mergeCell ref="N17:N18"/>
    <mergeCell ref="P72:T72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A447:O448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P317:T317"/>
    <mergeCell ref="W497:W498"/>
    <mergeCell ref="D10:E10"/>
    <mergeCell ref="A23:O24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430:E430"/>
    <mergeCell ref="P469:V469"/>
    <mergeCell ref="P486:T486"/>
    <mergeCell ref="D323:E323"/>
    <mergeCell ref="D450:E450"/>
    <mergeCell ref="D29:E29"/>
    <mergeCell ref="D265:E265"/>
    <mergeCell ref="P344:T344"/>
    <mergeCell ref="A20:Z20"/>
    <mergeCell ref="P371:V371"/>
    <mergeCell ref="D452:E452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P492:V492"/>
    <mergeCell ref="B497:B498"/>
    <mergeCell ref="A103:O104"/>
    <mergeCell ref="P415:T415"/>
    <mergeCell ref="S496:T496"/>
    <mergeCell ref="M17:M18"/>
    <mergeCell ref="O17:O18"/>
    <mergeCell ref="P336:T336"/>
    <mergeCell ref="P131:V131"/>
    <mergeCell ref="P187:V187"/>
    <mergeCell ref="A453:O454"/>
    <mergeCell ref="P430:T430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U497:U498"/>
    <mergeCell ref="I496:R496"/>
    <mergeCell ref="P493:V493"/>
    <mergeCell ref="L497:L498"/>
    <mergeCell ref="A318:O319"/>
    <mergeCell ref="P47:V47"/>
    <mergeCell ref="P176:T176"/>
    <mergeCell ref="P114:T114"/>
    <mergeCell ref="P247:T247"/>
    <mergeCell ref="P241:T241"/>
    <mergeCell ref="P41:T41"/>
    <mergeCell ref="D22:E22"/>
    <mergeCell ref="A35:O36"/>
    <mergeCell ref="A157:Z157"/>
    <mergeCell ref="A455:Z455"/>
    <mergeCell ref="A222:Z222"/>
    <mergeCell ref="P301:T301"/>
    <mergeCell ref="D385:E385"/>
    <mergeCell ref="P34:T34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A9:C9"/>
    <mergeCell ref="P125:T125"/>
    <mergeCell ref="P321:T321"/>
    <mergeCell ref="D202:E202"/>
    <mergeCell ref="D373:E373"/>
    <mergeCell ref="A242:O243"/>
    <mergeCell ref="P112:T112"/>
    <mergeCell ref="A179:Z179"/>
    <mergeCell ref="C496:H496"/>
    <mergeCell ref="P348:T348"/>
    <mergeCell ref="P323:T323"/>
    <mergeCell ref="A414:Z414"/>
    <mergeCell ref="D231:E231"/>
    <mergeCell ref="D358:E358"/>
    <mergeCell ref="P70:V70"/>
    <mergeCell ref="A156:Z156"/>
    <mergeCell ref="A327:Z327"/>
    <mergeCell ref="P116:V116"/>
    <mergeCell ref="P32:V32"/>
    <mergeCell ref="P474:V474"/>
    <mergeCell ref="P103:V103"/>
    <mergeCell ref="Q13:R13"/>
    <mergeCell ref="A155:Z155"/>
    <mergeCell ref="P268:V268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P483:V483"/>
    <mergeCell ref="D298:E298"/>
    <mergeCell ref="P91:T91"/>
    <mergeCell ref="P404:V404"/>
    <mergeCell ref="D273:E273"/>
    <mergeCell ref="P468:V468"/>
    <mergeCell ref="A464:Z464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P85:T85"/>
    <mergeCell ref="P454:V454"/>
    <mergeCell ref="D56:E56"/>
    <mergeCell ref="P206:T206"/>
    <mergeCell ref="P233:T233"/>
    <mergeCell ref="D176:E176"/>
    <mergeCell ref="D347:E347"/>
    <mergeCell ref="D114:E114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P393:T393"/>
    <mergeCell ref="A419:Z419"/>
    <mergeCell ref="A153:O154"/>
    <mergeCell ref="A133:Z133"/>
    <mergeCell ref="D125:E125"/>
    <mergeCell ref="P446:T446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425:E425"/>
    <mergeCell ref="D359:E359"/>
    <mergeCell ref="H17:H18"/>
    <mergeCell ref="A220:O221"/>
    <mergeCell ref="P388:T388"/>
    <mergeCell ref="P451:T451"/>
    <mergeCell ref="P126:V126"/>
    <mergeCell ref="A470:Z470"/>
    <mergeCell ref="D424:E424"/>
    <mergeCell ref="P224:T224"/>
    <mergeCell ref="P322:T322"/>
    <mergeCell ref="P211:T211"/>
    <mergeCell ref="P309:T309"/>
    <mergeCell ref="P51:T51"/>
    <mergeCell ref="P324:T324"/>
    <mergeCell ref="A143:O144"/>
    <mergeCell ref="A261:Z261"/>
    <mergeCell ref="P338:V338"/>
    <mergeCell ref="P313:V313"/>
    <mergeCell ref="A138:Z138"/>
    <mergeCell ref="P58:V58"/>
    <mergeCell ref="D61:E61"/>
    <mergeCell ref="P115:T115"/>
    <mergeCell ref="D254:E254"/>
    <mergeCell ref="A367:Z367"/>
    <mergeCell ref="A183:Z183"/>
    <mergeCell ref="A88:O89"/>
    <mergeCell ref="D346:E346"/>
    <mergeCell ref="P229:T229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D328:E328"/>
    <mergeCell ref="P136:V136"/>
    <mergeCell ref="A253:Z253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D91:E91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P53:T53"/>
    <mergeCell ref="D167:E167"/>
    <mergeCell ref="P289:T289"/>
    <mergeCell ref="P422:T422"/>
    <mergeCell ref="D232:E232"/>
    <mergeCell ref="D403:E40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O497:O498"/>
    <mergeCell ref="A6:C6"/>
    <mergeCell ref="D309:E309"/>
    <mergeCell ref="D113:E113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A203:O204"/>
    <mergeCell ref="P169:T169"/>
    <mergeCell ref="A274:O275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A97:Z97"/>
    <mergeCell ref="D322:E322"/>
    <mergeCell ref="P490:V490"/>
    <mergeCell ref="A382:Z382"/>
    <mergeCell ref="A116:O117"/>
    <mergeCell ref="P428:T428"/>
    <mergeCell ref="D100:E100"/>
    <mergeCell ref="P113:T113"/>
    <mergeCell ref="A173:Z173"/>
    <mergeCell ref="P17:T18"/>
    <mergeCell ref="P129:T129"/>
    <mergeCell ref="A482:O483"/>
    <mergeCell ref="A416:O417"/>
    <mergeCell ref="D158:E158"/>
    <mergeCell ref="D329:E329"/>
    <mergeCell ref="D229:E229"/>
    <mergeCell ref="A402:Z402"/>
    <mergeCell ref="I17:I18"/>
    <mergeCell ref="P36:V36"/>
    <mergeCell ref="D388:E388"/>
    <mergeCell ref="P442:T442"/>
    <mergeCell ref="P467:T467"/>
    <mergeCell ref="P489:V489"/>
    <mergeCell ref="P119:T119"/>
    <mergeCell ref="A43:O44"/>
    <mergeCell ref="P246:T246"/>
    <mergeCell ref="D445:E445"/>
    <mergeCell ref="D224:E224"/>
    <mergeCell ref="P230:T230"/>
    <mergeCell ref="P168:T168"/>
    <mergeCell ref="D211:E211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D390:E390"/>
    <mergeCell ref="P197:T197"/>
    <mergeCell ref="F9:G9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D87:E87"/>
    <mergeCell ref="P166:T166"/>
    <mergeCell ref="D147:E147"/>
    <mergeCell ref="P188:V188"/>
    <mergeCell ref="A187:O188"/>
    <mergeCell ref="D209:E209"/>
    <mergeCell ref="H1:Q1"/>
    <mergeCell ref="P109:V109"/>
    <mergeCell ref="P280:V280"/>
    <mergeCell ref="P274:V274"/>
    <mergeCell ref="A366:Z366"/>
    <mergeCell ref="D214:E214"/>
    <mergeCell ref="A286:Z286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P148:T148"/>
    <mergeCell ref="A109:O110"/>
    <mergeCell ref="A47:O48"/>
    <mergeCell ref="D7:M7"/>
    <mergeCell ref="D129:E129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P158:T158"/>
    <mergeCell ref="P329:T329"/>
    <mergeCell ref="P251:V251"/>
    <mergeCell ref="P416:V416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458:T458"/>
    <mergeCell ref="P487:V487"/>
    <mergeCell ref="P266:T266"/>
    <mergeCell ref="P182:V182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6:T476"/>
    <mergeCell ref="P407:T407"/>
    <mergeCell ref="P471:T471"/>
    <mergeCell ref="D245:E245"/>
    <mergeCell ref="A282:Z282"/>
    <mergeCell ref="D301:E301"/>
    <mergeCell ref="D486:E486"/>
    <mergeCell ref="P86:T86"/>
    <mergeCell ref="P328:T328"/>
    <mergeCell ref="D134:E134"/>
    <mergeCell ref="P213:T213"/>
    <mergeCell ref="P249:T249"/>
    <mergeCell ref="D363:E363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P452:T452"/>
    <mergeCell ref="P448:V448"/>
    <mergeCell ref="A63:O64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P79:T79"/>
    <mergeCell ref="D60:E60"/>
    <mergeCell ref="P73:T73"/>
    <mergeCell ref="P315:T315"/>
    <mergeCell ref="P437:T437"/>
    <mergeCell ref="P231:T231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2025-11-10T10:35:03Z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