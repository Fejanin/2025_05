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ПОКОМ ЗПФ ПРС ЛП на погрузку с филиалами 01,12,25\"/>
    </mc:Choice>
  </mc:AlternateContent>
  <xr:revisionPtr revIDLastSave="0" documentId="13_ncr:1_{CB77F7AF-441B-4955-AB11-683F4C51B157}" xr6:coauthVersionLast="45" xr6:coauthVersionMax="47" xr10:uidLastSave="{00000000-0000-0000-0000-000000000000}"/>
  <bookViews>
    <workbookView xWindow="-120" yWindow="-120" windowWidth="29040" windowHeight="15840" tabRatio="27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TDSheet!$B$3:$D$3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9" i="1" l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7" i="1"/>
  <c r="F6" i="1"/>
  <c r="G6" i="1" s="1"/>
  <c r="L6" i="1" s="1"/>
  <c r="M6" i="1" s="1"/>
  <c r="F5" i="1"/>
  <c r="F4" i="1"/>
  <c r="G4" i="1" s="1"/>
  <c r="L4" i="1" s="1"/>
  <c r="L29" i="1"/>
  <c r="M29" i="1" s="1"/>
  <c r="L27" i="1"/>
  <c r="M27" i="1" s="1"/>
  <c r="L25" i="1"/>
  <c r="M25" i="1" s="1"/>
  <c r="L23" i="1"/>
  <c r="M23" i="1" s="1"/>
  <c r="L21" i="1"/>
  <c r="M21" i="1" s="1"/>
  <c r="L19" i="1"/>
  <c r="M19" i="1" s="1"/>
  <c r="L17" i="1"/>
  <c r="M17" i="1" s="1"/>
  <c r="L15" i="1"/>
  <c r="M15" i="1" s="1"/>
  <c r="L13" i="1"/>
  <c r="M13" i="1" s="1"/>
  <c r="L11" i="1"/>
  <c r="M11" i="1" s="1"/>
  <c r="L9" i="1"/>
  <c r="M9" i="1" s="1"/>
  <c r="G29" i="1"/>
  <c r="G28" i="1"/>
  <c r="L28" i="1" s="1"/>
  <c r="M28" i="1" s="1"/>
  <c r="G27" i="1"/>
  <c r="G26" i="1"/>
  <c r="L26" i="1" s="1"/>
  <c r="M26" i="1" s="1"/>
  <c r="G25" i="1"/>
  <c r="G24" i="1"/>
  <c r="L24" i="1" s="1"/>
  <c r="M24" i="1" s="1"/>
  <c r="G23" i="1"/>
  <c r="G22" i="1"/>
  <c r="L22" i="1" s="1"/>
  <c r="M22" i="1" s="1"/>
  <c r="G21" i="1"/>
  <c r="G20" i="1"/>
  <c r="L20" i="1" s="1"/>
  <c r="M20" i="1" s="1"/>
  <c r="G19" i="1"/>
  <c r="G18" i="1"/>
  <c r="L18" i="1" s="1"/>
  <c r="M18" i="1" s="1"/>
  <c r="G17" i="1"/>
  <c r="G16" i="1"/>
  <c r="L16" i="1" s="1"/>
  <c r="M16" i="1" s="1"/>
  <c r="G15" i="1"/>
  <c r="G14" i="1"/>
  <c r="L14" i="1" s="1"/>
  <c r="M14" i="1" s="1"/>
  <c r="G13" i="1"/>
  <c r="G12" i="1"/>
  <c r="L12" i="1" s="1"/>
  <c r="M12" i="1" s="1"/>
  <c r="G11" i="1"/>
  <c r="G10" i="1"/>
  <c r="L10" i="1" s="1"/>
  <c r="M10" i="1" s="1"/>
  <c r="G9" i="1"/>
  <c r="G7" i="1"/>
  <c r="L7" i="1" s="1"/>
  <c r="M7" i="1" s="1"/>
  <c r="G5" i="1"/>
  <c r="L5" i="1" s="1"/>
  <c r="M5" i="1" s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7" i="1"/>
  <c r="K6" i="1"/>
  <c r="K5" i="1"/>
  <c r="K4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7" i="1"/>
  <c r="J6" i="1"/>
  <c r="J5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M4" i="1" l="1"/>
  <c r="L30" i="1"/>
</calcChain>
</file>

<file path=xl/sharedStrings.xml><?xml version="1.0" encoding="utf-8"?>
<sst xmlns="http://schemas.openxmlformats.org/spreadsheetml/2006/main" count="35" uniqueCount="35">
  <si>
    <t>Товар</t>
  </si>
  <si>
    <t>ШК</t>
  </si>
  <si>
    <t>Номенклатура гермес</t>
  </si>
  <si>
    <t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t>
  </si>
  <si>
    <t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t>
  </si>
  <si>
    <t>Пельмени Grandmeni с говядиной ТМ Горячаяштучка флоу-пак сфера 0,7 кг.Мясной полуфабрикат в тесте замороженный ТУ 10.13.14-012-14709771-2018 ЗАО "Мясная галерея"</t>
  </si>
  <si>
    <t>Пельмени Grandmeni со сливочным маслом  ТМ Горячая штучка флоу-пак сфера 0,7 кг.Мясной полуфабрикат в тесте замороженный ТУ 10.13.14-012-14709771-2018</t>
  </si>
  <si>
    <t>Пельмени Бигбули #МЕГАВКУСИЩЕ с сочной грудинкой ТМ Горячая штучка ТС Бигбули ГШ флоу-пак сфера 0,4 кг. Мясной полуфабрикат в тесте замороженны ТУ 10.13.14-012-14709771-2018 ЗАО "Мясная галерея"</t>
  </si>
  <si>
    <t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t>
  </si>
  <si>
    <t>Готовые бельмеши сочные с мясом ТМ Горячая штучка ТС Базовый ассортимент 0,3 кг. Изделия кулинарные</t>
  </si>
  <si>
    <t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t>
  </si>
  <si>
    <t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t>
  </si>
  <si>
    <t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t>
  </si>
  <si>
    <t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t>
  </si>
  <si>
    <t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t>
  </si>
  <si>
    <t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t>
  </si>
  <si>
    <t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t>
  </si>
  <si>
    <t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t>
  </si>
  <si>
    <t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t>
  </si>
  <si>
    <t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t>
  </si>
  <si>
    <t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t>
  </si>
  <si>
    <t>Чебупицца Пепперони ТМ Горячая штучка ТС Чебупицца 0,25 кг. Изделия кулинарные мясосодержащие замороженные ТУ 9214-006-14709771-07 3АО «Мясная галерея»</t>
  </si>
  <si>
    <t>Хотстеры ТМ Горячая штучка ТС Хотстеры 0,25 кг. Изделия кулинарные из мяса птицы замороженные ТУ 9214-006-14709771-07 3АО «Мясная галерея».</t>
  </si>
  <si>
    <t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t>
  </si>
  <si>
    <t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t>
  </si>
  <si>
    <t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t>
  </si>
  <si>
    <t>Пельмени «Мясные с говядиной» Фикс.вес 1 сфера ТМ «Стародворье»</t>
  </si>
  <si>
    <t>Пельмени Сочные ТМ Стародворье ТС Сочные ф/п сфера ф/в 0,43 кг УВС2 НД1 МГ</t>
  </si>
  <si>
    <t>Пельмени Сочные ТМ Стародворье ТС Сочные ф/п сфера ф/в 0,8 кг МГ</t>
  </si>
  <si>
    <t>уменьшить на</t>
  </si>
  <si>
    <t>ИТОГО</t>
  </si>
  <si>
    <t>шт в кор</t>
  </si>
  <si>
    <t>кор в слое</t>
  </si>
  <si>
    <t>ЗАКАЗ, кор</t>
  </si>
  <si>
    <t>ЗАКАЗ,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</si>
</sst>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5" x14ac:knownFonts="1">
    <font>
      <sz val="8"/>
      <name val="Arial"/>
    </font>
    <font>
      <b/>
      <sz val="10"/>
      <color rgb="FFFFFFFF"/>
      <name val="Arial"/>
      <family val="2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/>
    <xf numFmtId="0" fontId="0" fillId="3" borderId="0" xfId="0" applyFill="1" applyAlignment="1">
      <alignment horizontal="left" wrapText="1"/>
    </xf>
    <xf numFmtId="1" fontId="0" fillId="3" borderId="0" xfId="0" applyNumberFormat="1" applyFill="1" applyAlignment="1">
      <alignment horizontal="left" wrapText="1"/>
    </xf>
    <xf numFmtId="0" fontId="0" fillId="3" borderId="0" xfId="0" applyFill="1"/>
    <xf numFmtId="0" fontId="3" fillId="3" borderId="0" xfId="0" applyFont="1" applyFill="1"/>
    <xf numFmtId="0" fontId="1" fillId="2" borderId="1" xfId="0" applyFont="1" applyFill="1" applyBorder="1" applyAlignment="1">
      <alignment horizontal="left" vertical="top" wrapText="1"/>
    </xf>
  </cellXfs>
  <cellStyles count="2">
    <cellStyle name="Обычный" xfId="0" builtinId="0"/>
    <cellStyle name="Финансовый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0,25/02,10,25%20&#1055;&#1054;&#1050;&#1054;&#1052;%20&#1047;&#1055;&#1060;%20&#1055;&#1056;&#1057;(&#1051;&#1055;)%20&#1073;&#1083;&#1080;&#1078;/&#1047;&#1072;&#1082;&#1072;&#1079;%20(&#1055;&#1056;&#1057;_&#1051;&#1055;%20&#1047;&#1055;&#1060;%2002,10,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Номенклатура гермес</v>
          </cell>
        </row>
        <row r="2">
          <cell r="D2" t="str">
            <v>ШК</v>
          </cell>
        </row>
        <row r="3">
          <cell r="F3" t="str">
            <v>уменьшить на</v>
          </cell>
          <cell r="G3" t="str">
            <v>ИТОГО</v>
          </cell>
          <cell r="J3" t="str">
            <v>шт в кор</v>
          </cell>
          <cell r="K3" t="str">
            <v>кор в слое</v>
          </cell>
        </row>
        <row r="4">
          <cell r="C4" t="str">
            <v>Наггетсы Нагетосы Сочная курочка ТМ Горячая штучка 0,25 кг тара. Полуфабрикаты из мяса птицы рубленые формованные в панировке замороженные ТУ 10.13.14013147097712018 ЗАО "Мясная галерея"</v>
          </cell>
          <cell r="D4">
            <v>4607111036537</v>
          </cell>
          <cell r="E4">
            <v>588</v>
          </cell>
          <cell r="G4">
            <v>588</v>
          </cell>
          <cell r="H4">
            <v>12</v>
          </cell>
          <cell r="I4" t="str">
            <v>SU003598</v>
          </cell>
          <cell r="J4">
            <v>6</v>
          </cell>
          <cell r="K4" t="str">
            <v>14</v>
          </cell>
        </row>
        <row r="5">
          <cell r="C5" t="str">
            <v>Наггетсы Нагетосы Сочная курочка в хрустящей панировке со сметаной и зеленью ТМ Горячая штучка 0,25 кг НД1. Полуфабрикаты из мяса птицы рубленые формованные в панировке замороженные ТУ 10.13.14013147097712018 ЗАО "Мясная галерея"</v>
          </cell>
          <cell r="D5">
            <v>4607111036520</v>
          </cell>
          <cell r="E5">
            <v>924</v>
          </cell>
          <cell r="G5">
            <v>924</v>
          </cell>
          <cell r="H5">
            <v>12</v>
          </cell>
          <cell r="I5" t="str">
            <v>SU003600</v>
          </cell>
          <cell r="J5">
            <v>6</v>
          </cell>
          <cell r="K5" t="str">
            <v>14</v>
          </cell>
        </row>
        <row r="6">
          <cell r="C6" t="str">
            <v>Пельмени Grandmeni с говядиной ТМ Горячаяштучка флоу-пак сфера 0,7 кг.Мясной полуфабрикат в тесте замороженный ТУ 10.13.14-012-14709771-2018 ЗАО "Мясная галерея"</v>
          </cell>
          <cell r="D6">
            <v>4620207490075</v>
          </cell>
          <cell r="E6">
            <v>1200</v>
          </cell>
          <cell r="G6">
            <v>1200</v>
          </cell>
          <cell r="H6">
            <v>10</v>
          </cell>
          <cell r="I6" t="str">
            <v>SU003826</v>
          </cell>
          <cell r="J6">
            <v>8</v>
          </cell>
          <cell r="K6" t="str">
            <v>12</v>
          </cell>
        </row>
        <row r="7">
          <cell r="C7" t="str">
            <v>Пельмени Grandmeni со сливочным маслом  ТМ Горячая штучка флоу-пак сфера 0,7 кг.Мясной полуфабрикат в тесте замороженный ТУ 10.13.14-012-14709771-2018</v>
          </cell>
          <cell r="D7">
            <v>4620207490044</v>
          </cell>
          <cell r="E7">
            <v>1344</v>
          </cell>
          <cell r="F7">
            <v>96</v>
          </cell>
          <cell r="G7">
            <v>1248</v>
          </cell>
          <cell r="H7">
            <v>12</v>
          </cell>
          <cell r="I7" t="str">
            <v>SU003827</v>
          </cell>
          <cell r="J7">
            <v>8</v>
          </cell>
          <cell r="K7" t="str">
            <v>12</v>
          </cell>
        </row>
        <row r="8">
          <cell r="C8" t="str">
            <v>Пельмени Бигбули #МЕГАВКУСИЩЕ с сочной грудинкой ТМ Горячая штучка ТС Бигбули ГШ флоу-пак сфера 0,4 кг. Мясной полуфабрикат в тесте замороженны ТУ 10.13.14-012-14709771-2018 ЗАО "Мясная галерея"</v>
          </cell>
          <cell r="D8">
            <v>4607111038999</v>
          </cell>
          <cell r="E8">
            <v>576</v>
          </cell>
          <cell r="H8">
            <v>12</v>
          </cell>
          <cell r="I8" t="str">
            <v>нет в бланке</v>
          </cell>
        </row>
        <row r="9">
          <cell r="C9" t="str">
            <v>Пельмени Бигбули #МЕГАВКУСИЩЕ с сочной грудинкой ТМ Горячая штучка ТС Бигбули ГШ флоу-пак сфера 0,7 кг. Мясной полуфабрикат в тесте замороженный ТУ 10.13.14-012-14709771-2018 ЗАО "Мясная галерея"</v>
          </cell>
          <cell r="D9">
            <v>4607111039385</v>
          </cell>
          <cell r="E9">
            <v>1200</v>
          </cell>
          <cell r="F9">
            <v>120</v>
          </cell>
          <cell r="G9">
            <v>1080</v>
          </cell>
          <cell r="H9">
            <v>10</v>
          </cell>
          <cell r="I9" t="str">
            <v>SU003532</v>
          </cell>
          <cell r="J9">
            <v>10</v>
          </cell>
          <cell r="K9" t="str">
            <v>12</v>
          </cell>
        </row>
        <row r="10">
          <cell r="C10" t="str">
            <v>Готовые бельмеши сочные с мясом ТМ Горячая штучка ТС Базовый ассортимент 0,3 кг. Изделия кулинарные</v>
          </cell>
          <cell r="D10">
            <v>4607111033659</v>
          </cell>
          <cell r="E10">
            <v>600</v>
          </cell>
          <cell r="G10">
            <v>600</v>
          </cell>
          <cell r="H10">
            <v>12</v>
          </cell>
          <cell r="I10" t="str">
            <v>SU003593</v>
          </cell>
          <cell r="J10">
            <v>12</v>
          </cell>
          <cell r="K10" t="str">
            <v>14</v>
          </cell>
        </row>
        <row r="11">
          <cell r="C11" t="str">
            <v>Хрустящие крылышки ТМ Горячая штучка ТС Базовый ассортимент 0,3 кг. Изделия кулинарные кусковые в панировке из мяса птицы куриные жареные первый сорт. Готовые в</v>
          </cell>
          <cell r="D11">
            <v>4607111034120</v>
          </cell>
          <cell r="E11">
            <v>1176</v>
          </cell>
          <cell r="G11">
            <v>1176</v>
          </cell>
          <cell r="H11">
            <v>12</v>
          </cell>
          <cell r="I11" t="str">
            <v>SU003591</v>
          </cell>
          <cell r="J11">
            <v>12</v>
          </cell>
          <cell r="K11" t="str">
            <v>14</v>
          </cell>
        </row>
        <row r="12">
          <cell r="C12" t="str">
            <v>Хрустящие крылышки острые к пиву ТМ Горячая штучка ТС Базовый ассортимент 0,3 кг. Изделия кулинарные кусковые в панировке из мяса птицы куриные жареные первый с</v>
          </cell>
          <cell r="D12">
            <v>4607111034137</v>
          </cell>
          <cell r="E12">
            <v>1008</v>
          </cell>
          <cell r="G12">
            <v>1008</v>
          </cell>
          <cell r="H12">
            <v>12</v>
          </cell>
          <cell r="I12" t="str">
            <v>SU003607</v>
          </cell>
          <cell r="J12">
            <v>12</v>
          </cell>
          <cell r="K12" t="str">
            <v>14</v>
          </cell>
        </row>
        <row r="13">
          <cell r="C13" t="str">
            <v>Готовые чебупели с ветчиной и сыром ТМ Горячая штучка ТС Базовый ассортимент 0,3 кг. Изделия кулинарные мясосодержащие рубленные в тесте. Готовые вторые блюда з</v>
          </cell>
          <cell r="D13">
            <v>4607111033451</v>
          </cell>
          <cell r="E13">
            <v>1344</v>
          </cell>
          <cell r="F13">
            <v>168</v>
          </cell>
          <cell r="G13">
            <v>1176</v>
          </cell>
          <cell r="H13">
            <v>12</v>
          </cell>
          <cell r="I13" t="str">
            <v>SU003889</v>
          </cell>
          <cell r="J13">
            <v>12</v>
          </cell>
          <cell r="K13" t="str">
            <v>14</v>
          </cell>
        </row>
        <row r="14">
          <cell r="C14" t="str">
            <v>Готовые чебупели сочные с мясом ТМ Горячая штучка ТС Базовый ассортимент 0,3 кг. Изделия кулинарные мясосодержащие рубленные в тесте. Готовые вторые блюда замор</v>
          </cell>
          <cell r="D14">
            <v>4607111033444</v>
          </cell>
          <cell r="E14">
            <v>1344</v>
          </cell>
          <cell r="F14">
            <v>168</v>
          </cell>
          <cell r="G14">
            <v>1176</v>
          </cell>
          <cell r="H14">
            <v>12</v>
          </cell>
          <cell r="I14" t="str">
            <v>SU003884</v>
          </cell>
          <cell r="J14">
            <v>12</v>
          </cell>
          <cell r="K14" t="str">
            <v>14</v>
          </cell>
        </row>
        <row r="15">
          <cell r="C15" t="str">
            <v>Чебупели Курочка гриль ТМ Горячая штучка флоупак 0,3 кг НД1. Кулинарные изделия рубленые в тесте куриные жареные. Готовые вторые блюда замороженные ТУ 1013.14.015147097712021 ЗАО "Мясная галерея"</v>
          </cell>
          <cell r="D15">
            <v>4607111036407</v>
          </cell>
          <cell r="E15">
            <v>1200</v>
          </cell>
          <cell r="G15">
            <v>1200</v>
          </cell>
          <cell r="H15">
            <v>10</v>
          </cell>
          <cell r="I15" t="str">
            <v>SU002293</v>
          </cell>
          <cell r="J15">
            <v>14</v>
          </cell>
          <cell r="K15" t="str">
            <v>14</v>
          </cell>
        </row>
        <row r="16">
          <cell r="C16" t="str">
            <v>Готовые чебуреки с мясом ТМ Горячая штучка флоу-пак 0,09 кг. Изделия кулинарные мясосодержащие рубленные в тесте жареные. Готовые вторые блюда заморожен</v>
          </cell>
          <cell r="D16">
            <v>4607025784012</v>
          </cell>
          <cell r="E16">
            <v>2016</v>
          </cell>
          <cell r="F16">
            <v>336</v>
          </cell>
          <cell r="G16">
            <v>1680</v>
          </cell>
          <cell r="H16">
            <v>12</v>
          </cell>
          <cell r="I16" t="str">
            <v>SU002573</v>
          </cell>
          <cell r="J16">
            <v>24</v>
          </cell>
          <cell r="K16" t="str">
            <v>14</v>
          </cell>
        </row>
        <row r="17">
          <cell r="C17" t="str">
            <v>Пельмени Бульмени с говядиной и свининой ТМ Горячая штучка ТС Бульмени ГШ флоу-пак сфера 0,4 кг тара2. Полуфабрикаты в тесте замороженные с мясной начинкой ТУ 9214-007-14709771-08 ЗАО "Мясная галерея"</v>
          </cell>
          <cell r="D17">
            <v>4607111039262</v>
          </cell>
          <cell r="E17">
            <v>1100</v>
          </cell>
          <cell r="G17">
            <v>1100</v>
          </cell>
          <cell r="H17">
            <v>10</v>
          </cell>
          <cell r="I17" t="str">
            <v>SU003527</v>
          </cell>
          <cell r="J17">
            <v>16</v>
          </cell>
          <cell r="K17" t="str">
            <v>12</v>
          </cell>
        </row>
        <row r="18">
          <cell r="C18" t="str">
            <v>Пельмени Бульмени с говядиной и свининой ТМ Горячая штучка БУЛЬМЕНИ ТС Бульмени ГШ флоу-пак сфера 0,7 кг. Полуфабрикаты в тесте замороженные с мясной начинкой ТУ 9214-007-14709771-08 ЗАО "Мясная галерея"¶</v>
          </cell>
          <cell r="D18">
            <v>4607111039248</v>
          </cell>
          <cell r="E18">
            <v>1440</v>
          </cell>
          <cell r="G18">
            <v>1440</v>
          </cell>
          <cell r="H18">
            <v>10</v>
          </cell>
          <cell r="I18" t="str">
            <v>SU003460</v>
          </cell>
          <cell r="J18">
            <v>10</v>
          </cell>
          <cell r="K18" t="str">
            <v>12</v>
          </cell>
        </row>
        <row r="19">
          <cell r="C19" t="str">
            <v>Пельмени Бульмени со сливочным маслом ТМ Горячая штучка ТС Бульмени ГШ флоу-пак сфера 0,4 кг. Полуфабрикаты в тесте замороженные с мясной начинкой категории Б ТУ 9214-007-14709771-08 ЗАО "Мясная галерея"</v>
          </cell>
          <cell r="D19">
            <v>4607111039293</v>
          </cell>
          <cell r="E19">
            <v>1152</v>
          </cell>
          <cell r="G19">
            <v>1152</v>
          </cell>
          <cell r="H19">
            <v>12</v>
          </cell>
          <cell r="I19" t="str">
            <v>SU003528</v>
          </cell>
          <cell r="J19">
            <v>16</v>
          </cell>
          <cell r="K19" t="str">
            <v>12</v>
          </cell>
        </row>
        <row r="20">
          <cell r="C20" t="str">
            <v>Пельмени Бульмени со сливочным маслом ТМ Горячая штучка ТС Бульмени ГШ флоу-пак сфера 0,7 кг. Полуфабрикаты в тесте замороженные с мясной начинкой ТУ 9214-007-14709771-08 ЗАО"Мясная галерея"</v>
          </cell>
          <cell r="D20">
            <v>4607111039279</v>
          </cell>
          <cell r="E20">
            <v>1200</v>
          </cell>
          <cell r="G20">
            <v>1200</v>
          </cell>
          <cell r="H20">
            <v>12</v>
          </cell>
          <cell r="I20" t="str">
            <v>SU003459</v>
          </cell>
          <cell r="J20">
            <v>10</v>
          </cell>
          <cell r="K20" t="str">
            <v>12</v>
          </cell>
        </row>
        <row r="21">
          <cell r="C21" t="str">
            <v>Чебупицца курочка по-итальянски ТМ Горячая штучка ТС Чебупицца 0,25 кг. Изделия кулинарные рубленные в тесте куриные жареные первый сорт. Готовые вторые блюда з</v>
          </cell>
          <cell r="D21">
            <v>4607111034014</v>
          </cell>
          <cell r="E21">
            <v>1848</v>
          </cell>
          <cell r="F21">
            <v>168</v>
          </cell>
          <cell r="G21">
            <v>1680</v>
          </cell>
          <cell r="H21">
            <v>12</v>
          </cell>
          <cell r="I21" t="str">
            <v>SU003578</v>
          </cell>
          <cell r="J21">
            <v>12</v>
          </cell>
          <cell r="K21" t="str">
            <v>14</v>
          </cell>
        </row>
        <row r="22">
          <cell r="C22" t="str">
            <v>Чебупицца Пепперони ТМ Горячая штучка ТС Чебупицца 0,25 кг. Изделия кулинарные мясосодержащие замороженные ТУ 9214-006-14709771-07 3АО «Мясная галерея»</v>
          </cell>
          <cell r="D22">
            <v>4607111033994</v>
          </cell>
          <cell r="E22">
            <v>1848</v>
          </cell>
          <cell r="F22">
            <v>168</v>
          </cell>
          <cell r="G22">
            <v>1680</v>
          </cell>
          <cell r="H22">
            <v>12</v>
          </cell>
          <cell r="I22" t="str">
            <v>SU003580</v>
          </cell>
          <cell r="J22">
            <v>12</v>
          </cell>
          <cell r="K22" t="str">
            <v>14</v>
          </cell>
        </row>
        <row r="23">
          <cell r="C23" t="str">
            <v>Хотстеры ТМ Горячая штучка ТС Хотстеры 0,25 кг. Изделия кулинарные из мяса птицы замороженные ТУ 9214-006-14709771-07 3АО «Мясная галерея».</v>
          </cell>
          <cell r="D23">
            <v>4607111034199</v>
          </cell>
          <cell r="E23">
            <v>1512</v>
          </cell>
          <cell r="G23">
            <v>1512</v>
          </cell>
          <cell r="H23">
            <v>12</v>
          </cell>
          <cell r="I23" t="str">
            <v>SU003576</v>
          </cell>
          <cell r="J23">
            <v>12</v>
          </cell>
          <cell r="K23" t="str">
            <v>14</v>
          </cell>
        </row>
        <row r="24">
          <cell r="C24" t="str">
            <v>Круггетсы с сырным соусом ТМ Горячая штучка ТС Круггетсы 0,25 кг. Изделия кулинарные рубленные в тесте из мяса птицы куриные жареные первый сорт. Готовые вторые</v>
          </cell>
          <cell r="D24">
            <v>4607111034380</v>
          </cell>
          <cell r="E24">
            <v>1000</v>
          </cell>
          <cell r="G24">
            <v>1000</v>
          </cell>
          <cell r="H24">
            <v>10</v>
          </cell>
          <cell r="I24" t="str">
            <v>SU003872</v>
          </cell>
          <cell r="J24">
            <v>12</v>
          </cell>
          <cell r="K24" t="str">
            <v>14</v>
          </cell>
        </row>
        <row r="25">
          <cell r="C25" t="str">
            <v>Пекерсы с индейкой в сливочном соусе ТМ Горячая штучка ТС Пекерсы 0,25 кг. Изделия кулинарные рубленные в тесте из мяса птицы запеченные первый сорт. Готовые вторые блюда замор ТУ</v>
          </cell>
          <cell r="D25">
            <v>4607111035806</v>
          </cell>
          <cell r="E25">
            <v>1000</v>
          </cell>
          <cell r="G25">
            <v>1000</v>
          </cell>
          <cell r="H25">
            <v>10</v>
          </cell>
          <cell r="I25" t="str">
            <v>SU003596</v>
          </cell>
          <cell r="J25">
            <v>12</v>
          </cell>
          <cell r="K25" t="str">
            <v>14</v>
          </cell>
        </row>
        <row r="26">
          <cell r="C26" t="str">
            <v>Наггетсы из печи ТМ Вязанка ТС Няняггетсы Сливушки 0,25 кг НД2. Полуфабрикаты из мяса птицы рубленые формованные в панировке замороженные ТУ 10.13.14013147097712018 ЗАО "Мясная галерея"</v>
          </cell>
          <cell r="D26">
            <v>4607111035691</v>
          </cell>
          <cell r="E26">
            <v>2856</v>
          </cell>
          <cell r="F26">
            <v>168</v>
          </cell>
          <cell r="G26">
            <v>2688</v>
          </cell>
          <cell r="H26">
            <v>12</v>
          </cell>
          <cell r="I26" t="str">
            <v>SU003797</v>
          </cell>
          <cell r="J26">
            <v>12</v>
          </cell>
          <cell r="K26" t="str">
            <v>14</v>
          </cell>
        </row>
        <row r="27">
          <cell r="C27" t="str">
            <v>Пельмени «Мясные с говядиной» Фикс.вес 1 сфера ТМ «Стародворье»</v>
          </cell>
          <cell r="D27">
            <v>4620207491096</v>
          </cell>
          <cell r="E27">
            <v>900</v>
          </cell>
          <cell r="G27">
            <v>900</v>
          </cell>
          <cell r="H27">
            <v>12</v>
          </cell>
          <cell r="I27" t="str">
            <v>SU003935</v>
          </cell>
          <cell r="J27">
            <v>5</v>
          </cell>
          <cell r="K27" t="str">
            <v>12</v>
          </cell>
        </row>
        <row r="28">
          <cell r="C28" t="str">
            <v>Пельмени Сочные ТМ Стародворье ТС Сочные ф/п сфера ф/в 0,43 кг УВС2 НД1 МГ</v>
          </cell>
          <cell r="D28">
            <v>4607111039019</v>
          </cell>
          <cell r="E28">
            <v>900</v>
          </cell>
          <cell r="G28">
            <v>900</v>
          </cell>
          <cell r="H28">
            <v>12</v>
          </cell>
          <cell r="I28" t="str">
            <v>SU001859</v>
          </cell>
          <cell r="J28">
            <v>16</v>
          </cell>
          <cell r="K28" t="str">
            <v>12</v>
          </cell>
        </row>
        <row r="29">
          <cell r="C29" t="str">
            <v>Пельмени Сочные ТМ Стародворье ТС Сочные ф/п сфера ф/в 0,8 кг МГ</v>
          </cell>
          <cell r="D29">
            <v>4607111038708</v>
          </cell>
          <cell r="E29">
            <v>900</v>
          </cell>
          <cell r="G29">
            <v>900</v>
          </cell>
          <cell r="H29">
            <v>12</v>
          </cell>
          <cell r="I29" t="str">
            <v>SU003965</v>
          </cell>
          <cell r="J29">
            <v>8</v>
          </cell>
          <cell r="K29" t="str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30"/>
  <sheetViews>
    <sheetView tabSelected="1" zoomScale="115" zoomScaleNormal="115" workbookViewId="0">
      <pane xSplit="4" ySplit="3" topLeftCell="E4" activePane="bottomRight" state="frozen"/>
      <selection pane="topRight" activeCell="J1" sqref="J1"/>
      <selection pane="bottomLeft" activeCell="A4" sqref="A4"/>
      <selection pane="bottomRight" activeCell="Q11" sqref="Q11"/>
    </sheetView>
  </sheetViews>
  <sheetFormatPr defaultColWidth="10.5" defaultRowHeight="11.45" customHeight="1" outlineLevelCol="1" x14ac:dyDescent="0.2"/>
  <cols>
    <col min="1" max="1" width="3.1640625" customWidth="1"/>
    <col min="2" max="2" width="2.5" style="1" customWidth="1"/>
    <col min="3" max="3" width="63.6640625" style="1" customWidth="1"/>
    <col min="4" max="4" width="16.33203125" style="1" customWidth="1" outlineLevel="1"/>
    <col min="6" max="6" width="13.1640625" customWidth="1"/>
    <col min="8" max="8" width="10.5" style="8"/>
  </cols>
  <sheetData>
    <row r="1" spans="1:13" ht="19.5" customHeight="1" x14ac:dyDescent="0.2">
      <c r="A1" s="2"/>
      <c r="B1" s="14" t="s">
        <v>0</v>
      </c>
      <c r="C1" s="3" t="s">
        <v>2</v>
      </c>
      <c r="D1" s="4"/>
    </row>
    <row r="2" spans="1:13" ht="14.25" customHeight="1" x14ac:dyDescent="0.2">
      <c r="A2" s="2"/>
      <c r="B2" s="14"/>
      <c r="C2" s="3"/>
      <c r="D2" s="4" t="s">
        <v>1</v>
      </c>
    </row>
    <row r="3" spans="1:13" ht="12.95" customHeight="1" x14ac:dyDescent="0.2">
      <c r="A3" s="2"/>
      <c r="B3" s="3"/>
      <c r="C3" s="3"/>
      <c r="D3" s="4"/>
      <c r="F3" t="s">
        <v>29</v>
      </c>
      <c r="G3" t="s">
        <v>30</v>
      </c>
      <c r="J3" t="s">
        <v>31</v>
      </c>
      <c r="K3" t="s">
        <v>32</v>
      </c>
      <c r="L3" s="9" t="s">
        <v>33</v>
      </c>
      <c r="M3" t="s">
        <v>34</v>
      </c>
    </row>
    <row r="4" spans="1:13" ht="11.45" customHeight="1" x14ac:dyDescent="0.2">
      <c r="C4" s="5" t="s">
        <v>3</v>
      </c>
      <c r="D4" s="6">
        <v>4607111036537</v>
      </c>
      <c r="E4">
        <v>588</v>
      </c>
      <c r="F4">
        <f>VLOOKUP(C4,[1]TDSheet!$C:$F,4,0)</f>
        <v>0</v>
      </c>
      <c r="G4">
        <f>E4-F4</f>
        <v>588</v>
      </c>
      <c r="H4" s="8">
        <v>12</v>
      </c>
      <c r="I4" t="str">
        <f>VLOOKUP(C4,[1]TDSheet!$C:$I,7,0)</f>
        <v>SU003598</v>
      </c>
      <c r="J4">
        <f>VLOOKUP(C4,[1]TDSheet!$C:$K,8,0)</f>
        <v>6</v>
      </c>
      <c r="K4" t="str">
        <f>VLOOKUP(C4,[1]TDSheet!$C:$K,9,0)</f>
        <v>14</v>
      </c>
      <c r="L4" s="9">
        <f>MROUND(G4,J4*K4)/J4</f>
        <v>98</v>
      </c>
      <c r="M4">
        <f>L4*J4</f>
        <v>588</v>
      </c>
    </row>
    <row r="5" spans="1:13" ht="11.45" customHeight="1" x14ac:dyDescent="0.2">
      <c r="C5" s="5" t="s">
        <v>4</v>
      </c>
      <c r="D5" s="6">
        <v>4607111036520</v>
      </c>
      <c r="E5">
        <v>924</v>
      </c>
      <c r="F5">
        <f>VLOOKUP(C5,[1]TDSheet!$C:$F,4,0)</f>
        <v>0</v>
      </c>
      <c r="G5">
        <f t="shared" ref="G5:G7" si="0">E5-F5</f>
        <v>924</v>
      </c>
      <c r="H5" s="8">
        <v>12</v>
      </c>
      <c r="I5" t="str">
        <f>VLOOKUP(C5,[1]TDSheet!$C:$I,7,0)</f>
        <v>SU003600</v>
      </c>
      <c r="J5">
        <f>VLOOKUP(C5,[1]TDSheet!$C:$K,8,0)</f>
        <v>6</v>
      </c>
      <c r="K5" t="str">
        <f>VLOOKUP(C5,[1]TDSheet!$C:$K,9,0)</f>
        <v>14</v>
      </c>
      <c r="L5" s="9">
        <f t="shared" ref="L5:L7" si="1">MROUND(G5,J5*K5)/J5</f>
        <v>154</v>
      </c>
      <c r="M5">
        <f t="shared" ref="M5:M7" si="2">L5*J5</f>
        <v>924</v>
      </c>
    </row>
    <row r="6" spans="1:13" ht="11.45" customHeight="1" x14ac:dyDescent="0.2">
      <c r="C6" s="5" t="s">
        <v>5</v>
      </c>
      <c r="D6" s="6">
        <v>4620207490075</v>
      </c>
      <c r="E6">
        <v>1200</v>
      </c>
      <c r="F6">
        <f>VLOOKUP(C6,[1]TDSheet!$C:$F,4,0)</f>
        <v>0</v>
      </c>
      <c r="G6">
        <f t="shared" si="0"/>
        <v>1200</v>
      </c>
      <c r="H6" s="8">
        <v>10</v>
      </c>
      <c r="I6" t="str">
        <f>VLOOKUP(C6,[1]TDSheet!$C:$I,7,0)</f>
        <v>SU003826</v>
      </c>
      <c r="J6">
        <f>VLOOKUP(C6,[1]TDSheet!$C:$K,8,0)</f>
        <v>8</v>
      </c>
      <c r="K6" t="str">
        <f>VLOOKUP(C6,[1]TDSheet!$C:$K,9,0)</f>
        <v>12</v>
      </c>
      <c r="L6" s="9">
        <f t="shared" si="1"/>
        <v>156</v>
      </c>
      <c r="M6">
        <f t="shared" si="2"/>
        <v>1248</v>
      </c>
    </row>
    <row r="7" spans="1:13" ht="11.45" customHeight="1" x14ac:dyDescent="0.2">
      <c r="C7" s="5" t="s">
        <v>6</v>
      </c>
      <c r="D7" s="6">
        <v>4620207490044</v>
      </c>
      <c r="E7">
        <v>1344</v>
      </c>
      <c r="F7">
        <f>VLOOKUP(C7,[1]TDSheet!$C:$F,4,0)</f>
        <v>96</v>
      </c>
      <c r="G7">
        <f t="shared" si="0"/>
        <v>1248</v>
      </c>
      <c r="H7" s="8">
        <v>12</v>
      </c>
      <c r="I7" t="str">
        <f>VLOOKUP(C7,[1]TDSheet!$C:$I,7,0)</f>
        <v>SU003827</v>
      </c>
      <c r="J7">
        <f>VLOOKUP(C7,[1]TDSheet!$C:$K,8,0)</f>
        <v>8</v>
      </c>
      <c r="K7" t="str">
        <f>VLOOKUP(C7,[1]TDSheet!$C:$K,9,0)</f>
        <v>12</v>
      </c>
      <c r="L7" s="9">
        <f t="shared" si="1"/>
        <v>156</v>
      </c>
      <c r="M7">
        <f t="shared" si="2"/>
        <v>1248</v>
      </c>
    </row>
    <row r="8" spans="1:13" ht="11.45" customHeight="1" x14ac:dyDescent="0.2">
      <c r="C8" s="10" t="s">
        <v>7</v>
      </c>
      <c r="D8" s="11">
        <v>4607111038999</v>
      </c>
      <c r="E8" s="12">
        <v>576</v>
      </c>
      <c r="F8" s="12"/>
      <c r="G8" s="12"/>
      <c r="H8" s="13">
        <v>12</v>
      </c>
      <c r="I8" s="12" t="str">
        <f>VLOOKUP(C8,[1]TDSheet!$C:$I,7,0)</f>
        <v>нет в бланке</v>
      </c>
      <c r="J8" s="12"/>
      <c r="K8" s="12"/>
      <c r="L8" s="12"/>
      <c r="M8" s="12"/>
    </row>
    <row r="9" spans="1:13" ht="11.45" customHeight="1" x14ac:dyDescent="0.2">
      <c r="C9" s="5" t="s">
        <v>8</v>
      </c>
      <c r="D9" s="6">
        <v>4607111039385</v>
      </c>
      <c r="E9">
        <v>1200</v>
      </c>
      <c r="F9">
        <f>VLOOKUP(C9,[1]TDSheet!$C:$F,4,0)</f>
        <v>120</v>
      </c>
      <c r="G9">
        <f t="shared" ref="G9:G29" si="3">E9-F9</f>
        <v>1080</v>
      </c>
      <c r="H9" s="8">
        <v>10</v>
      </c>
      <c r="I9" t="str">
        <f>VLOOKUP(C9,[1]TDSheet!$C:$I,7,0)</f>
        <v>SU003532</v>
      </c>
      <c r="J9">
        <f>VLOOKUP(C9,[1]TDSheet!$C:$K,8,0)</f>
        <v>10</v>
      </c>
      <c r="K9" t="str">
        <f>VLOOKUP(C9,[1]TDSheet!$C:$K,9,0)</f>
        <v>12</v>
      </c>
      <c r="L9" s="9">
        <f t="shared" ref="L9:L29" si="4">MROUND(G9,J9*K9)/J9</f>
        <v>108</v>
      </c>
      <c r="M9">
        <f t="shared" ref="M9:M29" si="5">L9*J9</f>
        <v>1080</v>
      </c>
    </row>
    <row r="10" spans="1:13" ht="11.45" customHeight="1" x14ac:dyDescent="0.2">
      <c r="C10" s="5" t="s">
        <v>9</v>
      </c>
      <c r="D10" s="6">
        <v>4607111033659</v>
      </c>
      <c r="E10">
        <v>600</v>
      </c>
      <c r="F10">
        <f>VLOOKUP(C10,[1]TDSheet!$C:$F,4,0)</f>
        <v>0</v>
      </c>
      <c r="G10">
        <f t="shared" si="3"/>
        <v>600</v>
      </c>
      <c r="H10" s="8">
        <v>12</v>
      </c>
      <c r="I10" t="str">
        <f>VLOOKUP(C10,[1]TDSheet!$C:$I,7,0)</f>
        <v>SU003593</v>
      </c>
      <c r="J10">
        <f>VLOOKUP(C10,[1]TDSheet!$C:$K,8,0)</f>
        <v>12</v>
      </c>
      <c r="K10" t="str">
        <f>VLOOKUP(C10,[1]TDSheet!$C:$K,9,0)</f>
        <v>14</v>
      </c>
      <c r="L10" s="9">
        <f t="shared" si="4"/>
        <v>56</v>
      </c>
      <c r="M10">
        <f t="shared" si="5"/>
        <v>672</v>
      </c>
    </row>
    <row r="11" spans="1:13" ht="11.45" customHeight="1" x14ac:dyDescent="0.2">
      <c r="C11" s="5" t="s">
        <v>10</v>
      </c>
      <c r="D11" s="6">
        <v>4607111034120</v>
      </c>
      <c r="E11">
        <v>1176</v>
      </c>
      <c r="F11">
        <f>VLOOKUP(C11,[1]TDSheet!$C:$F,4,0)</f>
        <v>0</v>
      </c>
      <c r="G11">
        <f t="shared" si="3"/>
        <v>1176</v>
      </c>
      <c r="H11" s="8">
        <v>12</v>
      </c>
      <c r="I11" t="str">
        <f>VLOOKUP(C11,[1]TDSheet!$C:$I,7,0)</f>
        <v>SU003591</v>
      </c>
      <c r="J11">
        <f>VLOOKUP(C11,[1]TDSheet!$C:$K,8,0)</f>
        <v>12</v>
      </c>
      <c r="K11" t="str">
        <f>VLOOKUP(C11,[1]TDSheet!$C:$K,9,0)</f>
        <v>14</v>
      </c>
      <c r="L11" s="9">
        <f t="shared" si="4"/>
        <v>98</v>
      </c>
      <c r="M11">
        <f t="shared" si="5"/>
        <v>1176</v>
      </c>
    </row>
    <row r="12" spans="1:13" ht="11.45" customHeight="1" x14ac:dyDescent="0.2">
      <c r="C12" s="5" t="s">
        <v>11</v>
      </c>
      <c r="D12" s="6">
        <v>4607111034137</v>
      </c>
      <c r="E12">
        <v>1008</v>
      </c>
      <c r="F12">
        <f>VLOOKUP(C12,[1]TDSheet!$C:$F,4,0)</f>
        <v>0</v>
      </c>
      <c r="G12">
        <f t="shared" si="3"/>
        <v>1008</v>
      </c>
      <c r="H12" s="8">
        <v>12</v>
      </c>
      <c r="I12" t="str">
        <f>VLOOKUP(C12,[1]TDSheet!$C:$I,7,0)</f>
        <v>SU003607</v>
      </c>
      <c r="J12">
        <f>VLOOKUP(C12,[1]TDSheet!$C:$K,8,0)</f>
        <v>12</v>
      </c>
      <c r="K12" t="str">
        <f>VLOOKUP(C12,[1]TDSheet!$C:$K,9,0)</f>
        <v>14</v>
      </c>
      <c r="L12" s="9">
        <f t="shared" si="4"/>
        <v>84</v>
      </c>
      <c r="M12">
        <f t="shared" si="5"/>
        <v>1008</v>
      </c>
    </row>
    <row r="13" spans="1:13" ht="11.45" customHeight="1" x14ac:dyDescent="0.2">
      <c r="C13" s="5" t="s">
        <v>12</v>
      </c>
      <c r="D13" s="6">
        <v>4607111033451</v>
      </c>
      <c r="E13">
        <v>1344</v>
      </c>
      <c r="F13">
        <f>VLOOKUP(C13,[1]TDSheet!$C:$F,4,0)</f>
        <v>168</v>
      </c>
      <c r="G13">
        <f t="shared" si="3"/>
        <v>1176</v>
      </c>
      <c r="H13" s="8">
        <v>12</v>
      </c>
      <c r="I13" t="str">
        <f>VLOOKUP(C13,[1]TDSheet!$C:$I,7,0)</f>
        <v>SU003889</v>
      </c>
      <c r="J13">
        <f>VLOOKUP(C13,[1]TDSheet!$C:$K,8,0)</f>
        <v>12</v>
      </c>
      <c r="K13" t="str">
        <f>VLOOKUP(C13,[1]TDSheet!$C:$K,9,0)</f>
        <v>14</v>
      </c>
      <c r="L13" s="9">
        <f t="shared" si="4"/>
        <v>98</v>
      </c>
      <c r="M13">
        <f t="shared" si="5"/>
        <v>1176</v>
      </c>
    </row>
    <row r="14" spans="1:13" ht="11.45" customHeight="1" x14ac:dyDescent="0.2">
      <c r="C14" s="5" t="s">
        <v>13</v>
      </c>
      <c r="D14" s="6">
        <v>4607111033444</v>
      </c>
      <c r="E14">
        <v>1344</v>
      </c>
      <c r="F14">
        <f>VLOOKUP(C14,[1]TDSheet!$C:$F,4,0)</f>
        <v>168</v>
      </c>
      <c r="G14">
        <f t="shared" si="3"/>
        <v>1176</v>
      </c>
      <c r="H14" s="8">
        <v>12</v>
      </c>
      <c r="I14" t="str">
        <f>VLOOKUP(C14,[1]TDSheet!$C:$I,7,0)</f>
        <v>SU003884</v>
      </c>
      <c r="J14">
        <f>VLOOKUP(C14,[1]TDSheet!$C:$K,8,0)</f>
        <v>12</v>
      </c>
      <c r="K14" t="str">
        <f>VLOOKUP(C14,[1]TDSheet!$C:$K,9,0)</f>
        <v>14</v>
      </c>
      <c r="L14" s="9">
        <f t="shared" si="4"/>
        <v>98</v>
      </c>
      <c r="M14">
        <f t="shared" si="5"/>
        <v>1176</v>
      </c>
    </row>
    <row r="15" spans="1:13" ht="11.45" customHeight="1" x14ac:dyDescent="0.2">
      <c r="C15" s="5" t="s">
        <v>14</v>
      </c>
      <c r="D15" s="6">
        <v>4607111036407</v>
      </c>
      <c r="E15">
        <v>1200</v>
      </c>
      <c r="F15">
        <f>VLOOKUP(C15,[1]TDSheet!$C:$F,4,0)</f>
        <v>0</v>
      </c>
      <c r="G15">
        <f t="shared" si="3"/>
        <v>1200</v>
      </c>
      <c r="H15" s="8">
        <v>10</v>
      </c>
      <c r="I15" t="str">
        <f>VLOOKUP(C15,[1]TDSheet!$C:$I,7,0)</f>
        <v>SU002293</v>
      </c>
      <c r="J15">
        <f>VLOOKUP(C15,[1]TDSheet!$C:$K,8,0)</f>
        <v>14</v>
      </c>
      <c r="K15" t="str">
        <f>VLOOKUP(C15,[1]TDSheet!$C:$K,9,0)</f>
        <v>14</v>
      </c>
      <c r="L15" s="9">
        <f t="shared" si="4"/>
        <v>84</v>
      </c>
      <c r="M15">
        <f t="shared" si="5"/>
        <v>1176</v>
      </c>
    </row>
    <row r="16" spans="1:13" ht="11.45" customHeight="1" x14ac:dyDescent="0.2">
      <c r="C16" s="5" t="s">
        <v>15</v>
      </c>
      <c r="D16" s="6">
        <v>4607025784012</v>
      </c>
      <c r="E16">
        <v>2016</v>
      </c>
      <c r="F16">
        <f>VLOOKUP(C16,[1]TDSheet!$C:$F,4,0)</f>
        <v>336</v>
      </c>
      <c r="G16">
        <f t="shared" si="3"/>
        <v>1680</v>
      </c>
      <c r="H16" s="8">
        <v>12</v>
      </c>
      <c r="I16" t="str">
        <f>VLOOKUP(C16,[1]TDSheet!$C:$I,7,0)</f>
        <v>SU002573</v>
      </c>
      <c r="J16">
        <f>VLOOKUP(C16,[1]TDSheet!$C:$K,8,0)</f>
        <v>24</v>
      </c>
      <c r="K16" t="str">
        <f>VLOOKUP(C16,[1]TDSheet!$C:$K,9,0)</f>
        <v>14</v>
      </c>
      <c r="L16" s="9">
        <f t="shared" si="4"/>
        <v>70</v>
      </c>
      <c r="M16">
        <f t="shared" si="5"/>
        <v>1680</v>
      </c>
    </row>
    <row r="17" spans="3:13" ht="11.45" customHeight="1" x14ac:dyDescent="0.2">
      <c r="C17" s="5" t="s">
        <v>16</v>
      </c>
      <c r="D17" s="6">
        <v>4607111039262</v>
      </c>
      <c r="E17">
        <v>1100</v>
      </c>
      <c r="F17">
        <f>VLOOKUP(C17,[1]TDSheet!$C:$F,4,0)</f>
        <v>0</v>
      </c>
      <c r="G17">
        <f t="shared" si="3"/>
        <v>1100</v>
      </c>
      <c r="H17" s="8">
        <v>10</v>
      </c>
      <c r="I17" t="str">
        <f>VLOOKUP(C17,[1]TDSheet!$C:$I,7,0)</f>
        <v>SU003527</v>
      </c>
      <c r="J17">
        <f>VLOOKUP(C17,[1]TDSheet!$C:$K,8,0)</f>
        <v>16</v>
      </c>
      <c r="K17" t="str">
        <f>VLOOKUP(C17,[1]TDSheet!$C:$K,9,0)</f>
        <v>12</v>
      </c>
      <c r="L17" s="9">
        <f t="shared" si="4"/>
        <v>72</v>
      </c>
      <c r="M17">
        <f t="shared" si="5"/>
        <v>1152</v>
      </c>
    </row>
    <row r="18" spans="3:13" ht="11.45" customHeight="1" x14ac:dyDescent="0.2">
      <c r="C18" s="5" t="s">
        <v>17</v>
      </c>
      <c r="D18" s="6">
        <v>4607111039248</v>
      </c>
      <c r="E18">
        <v>1440</v>
      </c>
      <c r="F18">
        <f>VLOOKUP(C18,[1]TDSheet!$C:$F,4,0)</f>
        <v>0</v>
      </c>
      <c r="G18">
        <f t="shared" si="3"/>
        <v>1440</v>
      </c>
      <c r="H18" s="8">
        <v>10</v>
      </c>
      <c r="I18" t="str">
        <f>VLOOKUP(C18,[1]TDSheet!$C:$I,7,0)</f>
        <v>SU003460</v>
      </c>
      <c r="J18">
        <f>VLOOKUP(C18,[1]TDSheet!$C:$K,8,0)</f>
        <v>10</v>
      </c>
      <c r="K18" t="str">
        <f>VLOOKUP(C18,[1]TDSheet!$C:$K,9,0)</f>
        <v>12</v>
      </c>
      <c r="L18" s="9">
        <f t="shared" si="4"/>
        <v>144</v>
      </c>
      <c r="M18">
        <f t="shared" si="5"/>
        <v>1440</v>
      </c>
    </row>
    <row r="19" spans="3:13" ht="11.45" customHeight="1" x14ac:dyDescent="0.2">
      <c r="C19" s="5" t="s">
        <v>18</v>
      </c>
      <c r="D19" s="6">
        <v>4607111039293</v>
      </c>
      <c r="E19">
        <v>1152</v>
      </c>
      <c r="F19">
        <f>VLOOKUP(C19,[1]TDSheet!$C:$F,4,0)</f>
        <v>0</v>
      </c>
      <c r="G19">
        <f t="shared" si="3"/>
        <v>1152</v>
      </c>
      <c r="H19" s="8">
        <v>12</v>
      </c>
      <c r="I19" t="str">
        <f>VLOOKUP(C19,[1]TDSheet!$C:$I,7,0)</f>
        <v>SU003528</v>
      </c>
      <c r="J19">
        <f>VLOOKUP(C19,[1]TDSheet!$C:$K,8,0)</f>
        <v>16</v>
      </c>
      <c r="K19" t="str">
        <f>VLOOKUP(C19,[1]TDSheet!$C:$K,9,0)</f>
        <v>12</v>
      </c>
      <c r="L19" s="9">
        <f t="shared" si="4"/>
        <v>72</v>
      </c>
      <c r="M19">
        <f t="shared" si="5"/>
        <v>1152</v>
      </c>
    </row>
    <row r="20" spans="3:13" ht="11.45" customHeight="1" x14ac:dyDescent="0.2">
      <c r="C20" s="5" t="s">
        <v>19</v>
      </c>
      <c r="D20" s="6">
        <v>4607111039279</v>
      </c>
      <c r="E20">
        <v>1200</v>
      </c>
      <c r="F20">
        <f>VLOOKUP(C20,[1]TDSheet!$C:$F,4,0)</f>
        <v>0</v>
      </c>
      <c r="G20">
        <f t="shared" si="3"/>
        <v>1200</v>
      </c>
      <c r="H20" s="8">
        <v>12</v>
      </c>
      <c r="I20" t="str">
        <f>VLOOKUP(C20,[1]TDSheet!$C:$I,7,0)</f>
        <v>SU003459</v>
      </c>
      <c r="J20">
        <f>VLOOKUP(C20,[1]TDSheet!$C:$K,8,0)</f>
        <v>10</v>
      </c>
      <c r="K20" t="str">
        <f>VLOOKUP(C20,[1]TDSheet!$C:$K,9,0)</f>
        <v>12</v>
      </c>
      <c r="L20" s="9">
        <f t="shared" si="4"/>
        <v>120</v>
      </c>
      <c r="M20">
        <f t="shared" si="5"/>
        <v>1200</v>
      </c>
    </row>
    <row r="21" spans="3:13" ht="11.45" customHeight="1" x14ac:dyDescent="0.2">
      <c r="C21" s="5" t="s">
        <v>20</v>
      </c>
      <c r="D21" s="6">
        <v>4607111034014</v>
      </c>
      <c r="E21">
        <v>1848</v>
      </c>
      <c r="F21">
        <f>VLOOKUP(C21,[1]TDSheet!$C:$F,4,0)</f>
        <v>168</v>
      </c>
      <c r="G21">
        <f t="shared" si="3"/>
        <v>1680</v>
      </c>
      <c r="H21" s="8">
        <v>12</v>
      </c>
      <c r="I21" t="str">
        <f>VLOOKUP(C21,[1]TDSheet!$C:$I,7,0)</f>
        <v>SU003578</v>
      </c>
      <c r="J21">
        <f>VLOOKUP(C21,[1]TDSheet!$C:$K,8,0)</f>
        <v>12</v>
      </c>
      <c r="K21" t="str">
        <f>VLOOKUP(C21,[1]TDSheet!$C:$K,9,0)</f>
        <v>14</v>
      </c>
      <c r="L21" s="9">
        <f t="shared" si="4"/>
        <v>140</v>
      </c>
      <c r="M21">
        <f t="shared" si="5"/>
        <v>1680</v>
      </c>
    </row>
    <row r="22" spans="3:13" ht="11.45" customHeight="1" x14ac:dyDescent="0.2">
      <c r="C22" s="5" t="s">
        <v>21</v>
      </c>
      <c r="D22" s="6">
        <v>4607111033994</v>
      </c>
      <c r="E22">
        <v>1848</v>
      </c>
      <c r="F22">
        <f>VLOOKUP(C22,[1]TDSheet!$C:$F,4,0)</f>
        <v>168</v>
      </c>
      <c r="G22">
        <f t="shared" si="3"/>
        <v>1680</v>
      </c>
      <c r="H22" s="8">
        <v>12</v>
      </c>
      <c r="I22" t="str">
        <f>VLOOKUP(C22,[1]TDSheet!$C:$I,7,0)</f>
        <v>SU003580</v>
      </c>
      <c r="J22">
        <f>VLOOKUP(C22,[1]TDSheet!$C:$K,8,0)</f>
        <v>12</v>
      </c>
      <c r="K22" t="str">
        <f>VLOOKUP(C22,[1]TDSheet!$C:$K,9,0)</f>
        <v>14</v>
      </c>
      <c r="L22" s="9">
        <f t="shared" si="4"/>
        <v>140</v>
      </c>
      <c r="M22">
        <f t="shared" si="5"/>
        <v>1680</v>
      </c>
    </row>
    <row r="23" spans="3:13" ht="11.45" customHeight="1" x14ac:dyDescent="0.2">
      <c r="C23" s="5" t="s">
        <v>22</v>
      </c>
      <c r="D23" s="6">
        <v>4607111034199</v>
      </c>
      <c r="E23">
        <v>1512</v>
      </c>
      <c r="F23">
        <f>VLOOKUP(C23,[1]TDSheet!$C:$F,4,0)</f>
        <v>0</v>
      </c>
      <c r="G23">
        <f t="shared" si="3"/>
        <v>1512</v>
      </c>
      <c r="H23" s="8">
        <v>12</v>
      </c>
      <c r="I23" t="str">
        <f>VLOOKUP(C23,[1]TDSheet!$C:$I,7,0)</f>
        <v>SU003576</v>
      </c>
      <c r="J23">
        <f>VLOOKUP(C23,[1]TDSheet!$C:$K,8,0)</f>
        <v>12</v>
      </c>
      <c r="K23" t="str">
        <f>VLOOKUP(C23,[1]TDSheet!$C:$K,9,0)</f>
        <v>14</v>
      </c>
      <c r="L23" s="9">
        <f t="shared" si="4"/>
        <v>126</v>
      </c>
      <c r="M23">
        <f t="shared" si="5"/>
        <v>1512</v>
      </c>
    </row>
    <row r="24" spans="3:13" ht="11.45" customHeight="1" x14ac:dyDescent="0.2">
      <c r="C24" s="5" t="s">
        <v>23</v>
      </c>
      <c r="D24" s="6">
        <v>4607111034380</v>
      </c>
      <c r="E24">
        <v>1000</v>
      </c>
      <c r="F24">
        <f>VLOOKUP(C24,[1]TDSheet!$C:$F,4,0)</f>
        <v>0</v>
      </c>
      <c r="G24">
        <f t="shared" si="3"/>
        <v>1000</v>
      </c>
      <c r="H24" s="8">
        <v>10</v>
      </c>
      <c r="I24" t="str">
        <f>VLOOKUP(C24,[1]TDSheet!$C:$I,7,0)</f>
        <v>SU003872</v>
      </c>
      <c r="J24">
        <f>VLOOKUP(C24,[1]TDSheet!$C:$K,8,0)</f>
        <v>12</v>
      </c>
      <c r="K24" t="str">
        <f>VLOOKUP(C24,[1]TDSheet!$C:$K,9,0)</f>
        <v>14</v>
      </c>
      <c r="L24" s="9">
        <f t="shared" si="4"/>
        <v>84</v>
      </c>
      <c r="M24">
        <f t="shared" si="5"/>
        <v>1008</v>
      </c>
    </row>
    <row r="25" spans="3:13" ht="11.45" customHeight="1" x14ac:dyDescent="0.2">
      <c r="C25" s="5" t="s">
        <v>24</v>
      </c>
      <c r="D25" s="6">
        <v>4607111035806</v>
      </c>
      <c r="E25">
        <v>1000</v>
      </c>
      <c r="F25">
        <f>VLOOKUP(C25,[1]TDSheet!$C:$F,4,0)</f>
        <v>0</v>
      </c>
      <c r="G25">
        <f t="shared" si="3"/>
        <v>1000</v>
      </c>
      <c r="H25" s="8">
        <v>10</v>
      </c>
      <c r="I25" t="str">
        <f>VLOOKUP(C25,[1]TDSheet!$C:$I,7,0)</f>
        <v>SU003596</v>
      </c>
      <c r="J25">
        <f>VLOOKUP(C25,[1]TDSheet!$C:$K,8,0)</f>
        <v>12</v>
      </c>
      <c r="K25" t="str">
        <f>VLOOKUP(C25,[1]TDSheet!$C:$K,9,0)</f>
        <v>14</v>
      </c>
      <c r="L25" s="9">
        <f t="shared" si="4"/>
        <v>84</v>
      </c>
      <c r="M25">
        <f t="shared" si="5"/>
        <v>1008</v>
      </c>
    </row>
    <row r="26" spans="3:13" ht="11.45" customHeight="1" x14ac:dyDescent="0.2">
      <c r="C26" s="5" t="s">
        <v>25</v>
      </c>
      <c r="D26" s="6">
        <v>4607111035691</v>
      </c>
      <c r="E26">
        <v>2856</v>
      </c>
      <c r="F26">
        <f>VLOOKUP(C26,[1]TDSheet!$C:$F,4,0)</f>
        <v>168</v>
      </c>
      <c r="G26">
        <f t="shared" si="3"/>
        <v>2688</v>
      </c>
      <c r="H26" s="8">
        <v>12</v>
      </c>
      <c r="I26" t="str">
        <f>VLOOKUP(C26,[1]TDSheet!$C:$I,7,0)</f>
        <v>SU003797</v>
      </c>
      <c r="J26">
        <f>VLOOKUP(C26,[1]TDSheet!$C:$K,8,0)</f>
        <v>12</v>
      </c>
      <c r="K26" t="str">
        <f>VLOOKUP(C26,[1]TDSheet!$C:$K,9,0)</f>
        <v>14</v>
      </c>
      <c r="L26" s="9">
        <f t="shared" si="4"/>
        <v>224</v>
      </c>
      <c r="M26">
        <f t="shared" si="5"/>
        <v>2688</v>
      </c>
    </row>
    <row r="27" spans="3:13" ht="11.45" customHeight="1" x14ac:dyDescent="0.2">
      <c r="C27" s="1" t="s">
        <v>26</v>
      </c>
      <c r="D27" s="7">
        <v>4620207491096</v>
      </c>
      <c r="E27">
        <v>960</v>
      </c>
      <c r="F27">
        <f>VLOOKUP(C27,[1]TDSheet!$C:$F,4,0)</f>
        <v>0</v>
      </c>
      <c r="G27">
        <f t="shared" si="3"/>
        <v>960</v>
      </c>
      <c r="H27" s="8">
        <v>12</v>
      </c>
      <c r="I27" t="str">
        <f>VLOOKUP(C27,[1]TDSheet!$C:$I,7,0)</f>
        <v>SU003935</v>
      </c>
      <c r="J27">
        <f>VLOOKUP(C27,[1]TDSheet!$C:$K,8,0)</f>
        <v>5</v>
      </c>
      <c r="K27" t="str">
        <f>VLOOKUP(C27,[1]TDSheet!$C:$K,9,0)</f>
        <v>12</v>
      </c>
      <c r="L27" s="9">
        <f t="shared" si="4"/>
        <v>192</v>
      </c>
      <c r="M27">
        <f t="shared" si="5"/>
        <v>960</v>
      </c>
    </row>
    <row r="28" spans="3:13" ht="11.45" customHeight="1" x14ac:dyDescent="0.2">
      <c r="C28" s="5" t="s">
        <v>27</v>
      </c>
      <c r="D28" s="7">
        <v>4607111039019</v>
      </c>
      <c r="E28">
        <v>960</v>
      </c>
      <c r="F28">
        <f>VLOOKUP(C28,[1]TDSheet!$C:$F,4,0)</f>
        <v>0</v>
      </c>
      <c r="G28">
        <f t="shared" si="3"/>
        <v>960</v>
      </c>
      <c r="H28" s="8">
        <v>12</v>
      </c>
      <c r="I28" t="str">
        <f>VLOOKUP(C28,[1]TDSheet!$C:$I,7,0)</f>
        <v>SU001859</v>
      </c>
      <c r="J28">
        <f>VLOOKUP(C28,[1]TDSheet!$C:$K,8,0)</f>
        <v>16</v>
      </c>
      <c r="K28" t="str">
        <f>VLOOKUP(C28,[1]TDSheet!$C:$K,9,0)</f>
        <v>12</v>
      </c>
      <c r="L28" s="9">
        <f t="shared" si="4"/>
        <v>60</v>
      </c>
      <c r="M28">
        <f t="shared" si="5"/>
        <v>960</v>
      </c>
    </row>
    <row r="29" spans="3:13" ht="11.45" customHeight="1" x14ac:dyDescent="0.2">
      <c r="C29" s="1" t="s">
        <v>28</v>
      </c>
      <c r="D29" s="7">
        <v>4607111038708</v>
      </c>
      <c r="E29">
        <v>960</v>
      </c>
      <c r="F29">
        <f>VLOOKUP(C29,[1]TDSheet!$C:$F,4,0)</f>
        <v>0</v>
      </c>
      <c r="G29">
        <f t="shared" si="3"/>
        <v>960</v>
      </c>
      <c r="H29" s="8">
        <v>12</v>
      </c>
      <c r="I29" t="str">
        <f>VLOOKUP(C29,[1]TDSheet!$C:$I,7,0)</f>
        <v>SU003965</v>
      </c>
      <c r="J29">
        <f>VLOOKUP(C29,[1]TDSheet!$C:$K,8,0)</f>
        <v>8</v>
      </c>
      <c r="K29" t="str">
        <f>VLOOKUP(C29,[1]TDSheet!$C:$K,9,0)</f>
        <v>12</v>
      </c>
      <c r="L29" s="9">
        <f t="shared" si="4"/>
        <v>120</v>
      </c>
      <c r="M29">
        <f t="shared" si="5"/>
        <v>960</v>
      </c>
    </row>
    <row r="30" spans="3:13" ht="11.45" customHeight="1" x14ac:dyDescent="0.2">
      <c r="L30" s="9">
        <f>SUM(L4:L29)</f>
        <v>2838</v>
      </c>
    </row>
  </sheetData>
  <autoFilter ref="B3:D3" xr:uid="{00000000-0009-0000-0000-000000000000}"/>
  <mergeCells count="1">
    <mergeCell ref="B1:B2"/>
  </mergeCells>
  <phoneticPr fontId="2" type="noConversion"/>
  <pageMargins left="0.75" right="1" top="0.75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Uaer4</cp:lastModifiedBy>
  <cp:lastPrinted>2022-09-28T12:53:59Z</cp:lastPrinted>
  <dcterms:created xsi:type="dcterms:W3CDTF">2022-10-06T06:21:40Z</dcterms:created>
  <dcterms:modified xsi:type="dcterms:W3CDTF">2025-11-26T06:41:07Z</dcterms:modified>
</cp:coreProperties>
</file>