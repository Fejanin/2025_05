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LP_Sochi\"/>
    </mc:Choice>
  </mc:AlternateContent>
  <xr:revisionPtr revIDLastSave="0" documentId="13_ncr:1_{63126BF2-2EAE-46CF-9AA8-4B3557389E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Z272" i="1" s="1"/>
  <c r="Y262" i="1"/>
  <c r="P262" i="1"/>
  <c r="X260" i="1"/>
  <c r="X259" i="1"/>
  <c r="BO258" i="1"/>
  <c r="BM258" i="1"/>
  <c r="Z258" i="1"/>
  <c r="Y258" i="1"/>
  <c r="P258" i="1"/>
  <c r="BP257" i="1"/>
  <c r="BO257" i="1"/>
  <c r="BN257" i="1"/>
  <c r="BM257" i="1"/>
  <c r="Z257" i="1"/>
  <c r="Z259" i="1" s="1"/>
  <c r="Y257" i="1"/>
  <c r="P257" i="1"/>
  <c r="BO256" i="1"/>
  <c r="BM256" i="1"/>
  <c r="Z256" i="1"/>
  <c r="Y256" i="1"/>
  <c r="P256" i="1"/>
  <c r="Y254" i="1"/>
  <c r="X254" i="1"/>
  <c r="Z253" i="1"/>
  <c r="X253" i="1"/>
  <c r="BO252" i="1"/>
  <c r="BM252" i="1"/>
  <c r="Z252" i="1"/>
  <c r="Y252" i="1"/>
  <c r="P252" i="1"/>
  <c r="BP251" i="1"/>
  <c r="BO251" i="1"/>
  <c r="BN251" i="1"/>
  <c r="BM251" i="1"/>
  <c r="Z251" i="1"/>
  <c r="Y251" i="1"/>
  <c r="Y253" i="1" s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Y249" i="1" s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Z218" i="1" s="1"/>
  <c r="Y216" i="1"/>
  <c r="P216" i="1"/>
  <c r="X213" i="1"/>
  <c r="X212" i="1"/>
  <c r="BO211" i="1"/>
  <c r="BM211" i="1"/>
  <c r="Z211" i="1"/>
  <c r="Y211" i="1"/>
  <c r="P211" i="1"/>
  <c r="BP210" i="1"/>
  <c r="BO210" i="1"/>
  <c r="BN210" i="1"/>
  <c r="BM210" i="1"/>
  <c r="Z210" i="1"/>
  <c r="Z212" i="1" s="1"/>
  <c r="Y210" i="1"/>
  <c r="P210" i="1"/>
  <c r="BO209" i="1"/>
  <c r="BM209" i="1"/>
  <c r="Z209" i="1"/>
  <c r="Y209" i="1"/>
  <c r="P209" i="1"/>
  <c r="Y207" i="1"/>
  <c r="X207" i="1"/>
  <c r="Z206" i="1"/>
  <c r="X206" i="1"/>
  <c r="BO205" i="1"/>
  <c r="BM205" i="1"/>
  <c r="Z205" i="1"/>
  <c r="Y205" i="1"/>
  <c r="P205" i="1"/>
  <c r="X202" i="1"/>
  <c r="Z201" i="1"/>
  <c r="X201" i="1"/>
  <c r="BO200" i="1"/>
  <c r="BM200" i="1"/>
  <c r="Z200" i="1"/>
  <c r="Y200" i="1"/>
  <c r="P200" i="1"/>
  <c r="Y197" i="1"/>
  <c r="X197" i="1"/>
  <c r="Z196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Y196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Y189" i="1" s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X172" i="1"/>
  <c r="X171" i="1"/>
  <c r="BO170" i="1"/>
  <c r="BM170" i="1"/>
  <c r="Z170" i="1"/>
  <c r="Y170" i="1"/>
  <c r="P170" i="1"/>
  <c r="BP169" i="1"/>
  <c r="BO169" i="1"/>
  <c r="BN169" i="1"/>
  <c r="BM169" i="1"/>
  <c r="Z169" i="1"/>
  <c r="Z171" i="1" s="1"/>
  <c r="Y169" i="1"/>
  <c r="P169" i="1"/>
  <c r="BO168" i="1"/>
  <c r="BM168" i="1"/>
  <c r="Z168" i="1"/>
  <c r="Y168" i="1"/>
  <c r="P168" i="1"/>
  <c r="Y164" i="1"/>
  <c r="X164" i="1"/>
  <c r="Z163" i="1"/>
  <c r="X163" i="1"/>
  <c r="BO162" i="1"/>
  <c r="BM162" i="1"/>
  <c r="Z162" i="1"/>
  <c r="Y162" i="1"/>
  <c r="P162" i="1"/>
  <c r="BP161" i="1"/>
  <c r="BO161" i="1"/>
  <c r="BN161" i="1"/>
  <c r="BM161" i="1"/>
  <c r="Z161" i="1"/>
  <c r="Y161" i="1"/>
  <c r="Y163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P134" i="1"/>
  <c r="X131" i="1"/>
  <c r="X130" i="1"/>
  <c r="BO129" i="1"/>
  <c r="BM129" i="1"/>
  <c r="Z129" i="1"/>
  <c r="Y129" i="1"/>
  <c r="BP129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5" i="1" s="1"/>
  <c r="P122" i="1"/>
  <c r="X119" i="1"/>
  <c r="Z118" i="1"/>
  <c r="X118" i="1"/>
  <c r="BO117" i="1"/>
  <c r="BM117" i="1"/>
  <c r="Z117" i="1"/>
  <c r="Y117" i="1"/>
  <c r="Y118" i="1" s="1"/>
  <c r="P117" i="1"/>
  <c r="X115" i="1"/>
  <c r="Z114" i="1"/>
  <c r="X114" i="1"/>
  <c r="BO113" i="1"/>
  <c r="BM113" i="1"/>
  <c r="Z113" i="1"/>
  <c r="Y113" i="1"/>
  <c r="Y114" i="1" s="1"/>
  <c r="P113" i="1"/>
  <c r="X111" i="1"/>
  <c r="X110" i="1"/>
  <c r="BO109" i="1"/>
  <c r="BM109" i="1"/>
  <c r="Z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Z110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9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BP87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Z76" i="1"/>
  <c r="X76" i="1"/>
  <c r="BO75" i="1"/>
  <c r="BM75" i="1"/>
  <c r="Z75" i="1"/>
  <c r="Y75" i="1"/>
  <c r="Y76" i="1" s="1"/>
  <c r="P75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BP63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60" i="1" s="1"/>
  <c r="P57" i="1"/>
  <c r="X55" i="1"/>
  <c r="Z54" i="1"/>
  <c r="X54" i="1"/>
  <c r="BO53" i="1"/>
  <c r="BM53" i="1"/>
  <c r="Z53" i="1"/>
  <c r="Y53" i="1"/>
  <c r="Y54" i="1" s="1"/>
  <c r="P53" i="1"/>
  <c r="X51" i="1"/>
  <c r="Z50" i="1"/>
  <c r="X50" i="1"/>
  <c r="BO49" i="1"/>
  <c r="BM49" i="1"/>
  <c r="Z49" i="1"/>
  <c r="Y49" i="1"/>
  <c r="Y50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BP35" i="1" s="1"/>
  <c r="P35" i="1"/>
  <c r="BP34" i="1"/>
  <c r="BO34" i="1"/>
  <c r="BN34" i="1"/>
  <c r="BM34" i="1"/>
  <c r="Z34" i="1"/>
  <c r="Z37" i="1" s="1"/>
  <c r="Y34" i="1"/>
  <c r="Y38" i="1" s="1"/>
  <c r="P34" i="1"/>
  <c r="X31" i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1" i="1" s="1"/>
  <c r="P28" i="1"/>
  <c r="X24" i="1"/>
  <c r="X274" i="1" s="1"/>
  <c r="Z23" i="1"/>
  <c r="X23" i="1"/>
  <c r="X278" i="1" s="1"/>
  <c r="BO22" i="1"/>
  <c r="X276" i="1" s="1"/>
  <c r="BM22" i="1"/>
  <c r="X275" i="1" s="1"/>
  <c r="Z22" i="1"/>
  <c r="Y22" i="1"/>
  <c r="Y23" i="1" s="1"/>
  <c r="P22" i="1"/>
  <c r="H10" i="1"/>
  <c r="A9" i="1"/>
  <c r="F10" i="1" s="1"/>
  <c r="D7" i="1"/>
  <c r="Q6" i="1"/>
  <c r="P2" i="1"/>
  <c r="Z279" i="1" l="1"/>
  <c r="X277" i="1"/>
  <c r="H9" i="1"/>
  <c r="A10" i="1"/>
  <c r="Y24" i="1"/>
  <c r="Y30" i="1"/>
  <c r="Y278" i="1" s="1"/>
  <c r="Y37" i="1"/>
  <c r="Y46" i="1"/>
  <c r="Y51" i="1"/>
  <c r="Y55" i="1"/>
  <c r="Y59" i="1"/>
  <c r="Y65" i="1"/>
  <c r="Y72" i="1"/>
  <c r="Y77" i="1"/>
  <c r="Y82" i="1"/>
  <c r="Y93" i="1"/>
  <c r="Y98" i="1"/>
  <c r="Y111" i="1"/>
  <c r="Y115" i="1"/>
  <c r="Y119" i="1"/>
  <c r="Y124" i="1"/>
  <c r="Y131" i="1"/>
  <c r="Y137" i="1"/>
  <c r="BP134" i="1"/>
  <c r="Y171" i="1"/>
  <c r="BP168" i="1"/>
  <c r="BN168" i="1"/>
  <c r="BP170" i="1"/>
  <c r="BN170" i="1"/>
  <c r="Y201" i="1"/>
  <c r="BP200" i="1"/>
  <c r="BN200" i="1"/>
  <c r="Y212" i="1"/>
  <c r="BP209" i="1"/>
  <c r="BN209" i="1"/>
  <c r="BP211" i="1"/>
  <c r="BN211" i="1"/>
  <c r="Y259" i="1"/>
  <c r="BP256" i="1"/>
  <c r="BN256" i="1"/>
  <c r="BP258" i="1"/>
  <c r="BN258" i="1"/>
  <c r="F9" i="1"/>
  <c r="J9" i="1"/>
  <c r="BN22" i="1"/>
  <c r="BP22" i="1"/>
  <c r="BN28" i="1"/>
  <c r="BP28" i="1"/>
  <c r="BN35" i="1"/>
  <c r="BN42" i="1"/>
  <c r="BN44" i="1"/>
  <c r="BN49" i="1"/>
  <c r="BP49" i="1"/>
  <c r="BN53" i="1"/>
  <c r="BP53" i="1"/>
  <c r="BN57" i="1"/>
  <c r="BP57" i="1"/>
  <c r="BN63" i="1"/>
  <c r="BN70" i="1"/>
  <c r="BN75" i="1"/>
  <c r="BP75" i="1"/>
  <c r="BN80" i="1"/>
  <c r="BP80" i="1"/>
  <c r="BN87" i="1"/>
  <c r="BN89" i="1"/>
  <c r="BN91" i="1"/>
  <c r="BN96" i="1"/>
  <c r="BP96" i="1"/>
  <c r="BN103" i="1"/>
  <c r="BN105" i="1"/>
  <c r="BN107" i="1"/>
  <c r="BN109" i="1"/>
  <c r="BN113" i="1"/>
  <c r="BP113" i="1"/>
  <c r="BN117" i="1"/>
  <c r="BP117" i="1"/>
  <c r="BN122" i="1"/>
  <c r="BP122" i="1"/>
  <c r="BN129" i="1"/>
  <c r="BN134" i="1"/>
  <c r="Y136" i="1"/>
  <c r="BP162" i="1"/>
  <c r="BN162" i="1"/>
  <c r="Y172" i="1"/>
  <c r="BP186" i="1"/>
  <c r="BN186" i="1"/>
  <c r="Y188" i="1"/>
  <c r="BP193" i="1"/>
  <c r="BN193" i="1"/>
  <c r="BP195" i="1"/>
  <c r="BN195" i="1"/>
  <c r="Y202" i="1"/>
  <c r="Y206" i="1"/>
  <c r="BP205" i="1"/>
  <c r="BN205" i="1"/>
  <c r="Y213" i="1"/>
  <c r="Y219" i="1"/>
  <c r="BP216" i="1"/>
  <c r="BN216" i="1"/>
  <c r="Y218" i="1"/>
  <c r="BP246" i="1"/>
  <c r="BN246" i="1"/>
  <c r="Y248" i="1"/>
  <c r="BP252" i="1"/>
  <c r="BN252" i="1"/>
  <c r="Y260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Y275" i="1" l="1"/>
  <c r="Y274" i="1"/>
  <c r="Y276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<sst xmlns="http://schemas.openxmlformats.org/spreadsheetml/2006/main" count="1229" uniqueCount="397">
  <si>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</si>
  <si>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</si>
  <si>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</si>
  <si>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</si>
  <si>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</si>
  <si>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</si>
  <si>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</si>
  <si>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</si>
  <si>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</si>
  <si>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</si>
  <si>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</si>
  <si>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</si>
  <si>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</si>
  <si>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</si>
  <si>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</si>
  <si>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</si>
  <si>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</si>
  <si>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</si>
  <si>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</si>
  <si>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</si>
  <si>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</si>
  <si>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</si>
  <si>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</si>
  <si>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</si>
  <si>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</si>
  <si>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</si>
  <si>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</si>
  <si>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</si>
  <si>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</si>
  <si>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</si>
  <si>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</si>
  <si>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</si>
  <si>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</si>
  <si>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</si>
  <si>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</si>
  <si>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</si>
  <si>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</si>
  <si>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</si>
  <si>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</si>
  <si>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</si>
  <si>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</si>
  <si>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</si>
  <si>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</si>
  <si>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</si>
  <si>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</si>
  <si>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</si>
  <si>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</si>
  <si>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</si>
  <si>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</si>
  <si>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</si>
  <si>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</si>
  <si>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</si>
  <si>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</si>
  <si>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</si>
  <si>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</si>
  <si>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</si>
  <si>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</si>
  <si>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</si>
  <si>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</si>
  <si>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</si>
  <si>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</si>
  <si>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</si>
  <si>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</si>
  <si>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</si>
  <si>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</si>
  <si>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</si>
  <si>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</si>
  <si>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</si>
  <si>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</si>
  <si>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</si>
  <si>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</si>
  <si>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</si>
  <si>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</si>
  <si>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</si>
  <si>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</si>
  <si>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</si>
  <si>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</si>
  <si>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</si>
  <si>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</si>
  <si>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</si>
  <si>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</si>
  <si>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</si>
  <si>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</si>
  <si>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</si>
  <si>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</si>
  <si>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</si>
  <si>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</si>
  <si>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Палетта, мин. 1</t>
  </si>
  <si>
    <t>Палетта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</si>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</sst>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45981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Четверг</v>
      </c>
      <c r="R6" s="273"/>
      <c r="T6" s="377" t="s">
        <v>16</v>
      </c>
      <c r="U6" s="372"/>
      <c r="V6" s="399" t="s">
        <v>17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21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76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77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68">
        <v>98</v>
      </c>
      <c r="Y28" s="269">
        <f>IFERROR(IF(X28="","",X28),"")</f>
        <v>98</v>
      </c>
      <c r="Z28" s="36">
        <f>IFERROR(IF(X28="","",X28*0.00941),"")</f>
        <v>0.92218</v>
      </c>
      <c r="AA28" s="56"/>
      <c r="AB28" s="57"/>
      <c r="AC28" s="74" t="s">
        <v>82</v>
      </c>
      <c r="AG28" s="67"/>
      <c r="AJ28" s="71" t="s">
        <v>83</v>
      </c>
      <c r="AK28" s="71">
        <v>14</v>
      </c>
      <c r="BB28" s="75" t="s">
        <v>84</v>
      </c>
      <c r="BM28" s="67">
        <f>IFERROR(X28*I28,"0")</f>
        <v>188.3364</v>
      </c>
      <c r="BN28" s="67">
        <f>IFERROR(Y28*I28,"0")</f>
        <v>188.3364</v>
      </c>
      <c r="BO28" s="67">
        <f>IFERROR(X28/J28,"0")</f>
        <v>0.7</v>
      </c>
      <c r="BP28" s="67">
        <f>IFERROR(Y28/J28,"0")</f>
        <v>0.7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87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68">
        <v>154</v>
      </c>
      <c r="Y29" s="269">
        <f>IFERROR(IF(X29="","",X29),"")</f>
        <v>154</v>
      </c>
      <c r="Z29" s="36">
        <f>IFERROR(IF(X29="","",X29*0.00941),"")</f>
        <v>1.4491400000000001</v>
      </c>
      <c r="AA29" s="56"/>
      <c r="AB29" s="57"/>
      <c r="AC29" s="76" t="s">
        <v>82</v>
      </c>
      <c r="AG29" s="67"/>
      <c r="AJ29" s="71" t="s">
        <v>88</v>
      </c>
      <c r="AK29" s="71">
        <v>140</v>
      </c>
      <c r="BB29" s="77" t="s">
        <v>84</v>
      </c>
      <c r="BM29" s="67">
        <f>IFERROR(X29*I29,"0")</f>
        <v>295.9572</v>
      </c>
      <c r="BN29" s="67">
        <f>IFERROR(Y29*I29,"0")</f>
        <v>295.9572</v>
      </c>
      <c r="BO29" s="67">
        <f>IFERROR(X29/J29,"0")</f>
        <v>1.1000000000000001</v>
      </c>
      <c r="BP29" s="67">
        <f>IFERROR(Y29/J29,"0")</f>
        <v>1.1000000000000001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252</v>
      </c>
      <c r="Y30" s="270">
        <f>IFERROR(SUM(Y28:Y29),"0")</f>
        <v>252</v>
      </c>
      <c r="Z30" s="270">
        <f>IFERROR(IF(Z28="",0,Z28),"0")+IFERROR(IF(Z29="",0,Z29),"0")</f>
        <v>2.3713199999999999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378</v>
      </c>
      <c r="Y31" s="270">
        <f>IFERROR(SUMPRODUCT(Y28:Y29*H28:H29),"0")</f>
        <v>378</v>
      </c>
      <c r="Z31" s="37"/>
      <c r="AA31" s="271"/>
      <c r="AB31" s="271"/>
      <c r="AC31" s="271"/>
    </row>
    <row r="32" spans="1:68" ht="16.5" customHeight="1" x14ac:dyDescent="0.25">
      <c r="A32" s="281" t="s">
        <v>89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64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90</v>
      </c>
      <c r="B34" s="54" t="s">
        <v>91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87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70</v>
      </c>
      <c r="X34" s="268">
        <v>156</v>
      </c>
      <c r="Y34" s="269">
        <f>IFERROR(IF(X34="","",X34),"")</f>
        <v>156</v>
      </c>
      <c r="Z34" s="36">
        <f>IFERROR(IF(X34="","",X34*0.0155),"")</f>
        <v>2.4180000000000001</v>
      </c>
      <c r="AA34" s="56"/>
      <c r="AB34" s="57"/>
      <c r="AC34" s="78" t="s">
        <v>92</v>
      </c>
      <c r="AG34" s="67"/>
      <c r="AJ34" s="71" t="s">
        <v>88</v>
      </c>
      <c r="AK34" s="71">
        <v>84</v>
      </c>
      <c r="BB34" s="79" t="s">
        <v>1</v>
      </c>
      <c r="BM34" s="67">
        <f>IFERROR(X34*I34,"0")</f>
        <v>915.72</v>
      </c>
      <c r="BN34" s="67">
        <f>IFERROR(Y34*I34,"0")</f>
        <v>915.72</v>
      </c>
      <c r="BO34" s="67">
        <f>IFERROR(X34/J34,"0")</f>
        <v>1.8571428571428572</v>
      </c>
      <c r="BP34" s="67">
        <f>IFERROR(Y34/J34,"0")</f>
        <v>1.8571428571428572</v>
      </c>
    </row>
    <row r="35" spans="1:68" ht="27" customHeight="1" x14ac:dyDescent="0.25">
      <c r="A35" s="54" t="s">
        <v>93</v>
      </c>
      <c r="B35" s="54" t="s">
        <v>94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68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95</v>
      </c>
      <c r="AG35" s="67"/>
      <c r="AJ35" s="71" t="s">
        <v>72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87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68">
        <v>156</v>
      </c>
      <c r="Y36" s="269">
        <f>IFERROR(IF(X36="","",X36),"")</f>
        <v>156</v>
      </c>
      <c r="Z36" s="36">
        <f>IFERROR(IF(X36="","",X36*0.0155),"")</f>
        <v>2.4180000000000001</v>
      </c>
      <c r="AA36" s="56"/>
      <c r="AB36" s="57"/>
      <c r="AC36" s="82" t="s">
        <v>98</v>
      </c>
      <c r="AG36" s="67"/>
      <c r="AJ36" s="71" t="s">
        <v>88</v>
      </c>
      <c r="AK36" s="71">
        <v>84</v>
      </c>
      <c r="BB36" s="83" t="s">
        <v>1</v>
      </c>
      <c r="BM36" s="67">
        <f>IFERROR(X36*I36,"0")</f>
        <v>915.72</v>
      </c>
      <c r="BN36" s="67">
        <f>IFERROR(Y36*I36,"0")</f>
        <v>915.72</v>
      </c>
      <c r="BO36" s="67">
        <f>IFERROR(X36/J36,"0")</f>
        <v>1.8571428571428572</v>
      </c>
      <c r="BP36" s="67">
        <f>IFERROR(Y36/J36,"0")</f>
        <v>1.8571428571428572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312</v>
      </c>
      <c r="Y37" s="270">
        <f>IFERROR(SUM(Y34:Y36),"0")</f>
        <v>312</v>
      </c>
      <c r="Z37" s="270">
        <f>IFERROR(IF(Z34="",0,Z34),"0")+IFERROR(IF(Z35="",0,Z35),"0")+IFERROR(IF(Z36="",0,Z36),"0")</f>
        <v>4.8360000000000003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1747.1999999999998</v>
      </c>
      <c r="Y38" s="270">
        <f>IFERROR(SUMPRODUCT(Y34:Y36*H34:H36),"0")</f>
        <v>1747.1999999999998</v>
      </c>
      <c r="Z38" s="37"/>
      <c r="AA38" s="271"/>
      <c r="AB38" s="271"/>
      <c r="AC38" s="271"/>
    </row>
    <row r="39" spans="1:68" ht="16.5" customHeight="1" x14ac:dyDescent="0.25">
      <c r="A39" s="281" t="s">
        <v>99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64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81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70</v>
      </c>
      <c r="X41" s="268">
        <v>108</v>
      </c>
      <c r="Y41" s="269">
        <f>IFERROR(IF(X41="","",X41),"")</f>
        <v>108</v>
      </c>
      <c r="Z41" s="36">
        <f>IFERROR(IF(X41="","",X41*0.0155),"")</f>
        <v>1.6739999999999999</v>
      </c>
      <c r="AA41" s="56"/>
      <c r="AB41" s="57"/>
      <c r="AC41" s="84" t="s">
        <v>102</v>
      </c>
      <c r="AG41" s="67"/>
      <c r="AJ41" s="71" t="s">
        <v>83</v>
      </c>
      <c r="AK41" s="71">
        <v>12</v>
      </c>
      <c r="BB41" s="85" t="s">
        <v>1</v>
      </c>
      <c r="BM41" s="67">
        <f>IFERROR(X41*I41,"0")</f>
        <v>788.4</v>
      </c>
      <c r="BN41" s="67">
        <f>IFERROR(Y41*I41,"0")</f>
        <v>788.4</v>
      </c>
      <c r="BO41" s="67">
        <f>IFERROR(X41/J41,"0")</f>
        <v>1.2857142857142858</v>
      </c>
      <c r="BP41" s="67">
        <f>IFERROR(Y41/J41,"0")</f>
        <v>1.2857142857142858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81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68">
        <v>0</v>
      </c>
      <c r="Y42" s="269">
        <f>IFERROR(IF(X42="","",X42),"")</f>
        <v>0</v>
      </c>
      <c r="Z42" s="36">
        <f>IFERROR(IF(X42="","",X42*0.0155),"")</f>
        <v>0</v>
      </c>
      <c r="AA42" s="56"/>
      <c r="AB42" s="57"/>
      <c r="AC42" s="86" t="s">
        <v>105</v>
      </c>
      <c r="AG42" s="67"/>
      <c r="AJ42" s="71" t="s">
        <v>83</v>
      </c>
      <c r="AK42" s="71">
        <v>12</v>
      </c>
      <c r="BB42" s="87" t="s">
        <v>1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81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83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105</v>
      </c>
      <c r="AG44" s="67"/>
      <c r="AJ44" s="71" t="s">
        <v>83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108</v>
      </c>
      <c r="Y45" s="270">
        <f>IFERROR(SUM(Y41:Y44),"0")</f>
        <v>108</v>
      </c>
      <c r="Z45" s="270">
        <f>IFERROR(IF(Z41="",0,Z41),"0")+IFERROR(IF(Z42="",0,Z42),"0")+IFERROR(IF(Z43="",0,Z43),"0")+IFERROR(IF(Z44="",0,Z44),"0")</f>
        <v>1.6739999999999999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756</v>
      </c>
      <c r="Y46" s="270">
        <f>IFERROR(SUMPRODUCT(Y41:Y44*H41:H44),"0")</f>
        <v>756</v>
      </c>
      <c r="Z46" s="37"/>
      <c r="AA46" s="271"/>
      <c r="AB46" s="271"/>
      <c r="AC46" s="271"/>
    </row>
    <row r="47" spans="1:68" ht="16.5" customHeight="1" x14ac:dyDescent="0.25">
      <c r="A47" s="281" t="s">
        <v>110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64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68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128</v>
      </c>
      <c r="AG63" s="67"/>
      <c r="AJ63" s="71" t="s">
        <v>72</v>
      </c>
      <c r="AK63" s="71">
        <v>1</v>
      </c>
      <c r="BB63" s="103" t="s">
        <v>84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68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72</v>
      </c>
      <c r="AK64" s="71">
        <v>1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64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81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83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87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70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135</v>
      </c>
      <c r="AG70" s="67"/>
      <c r="AJ70" s="71" t="s">
        <v>88</v>
      </c>
      <c r="AK70" s="71">
        <v>144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customHeight="1" x14ac:dyDescent="0.25">
      <c r="A73" s="281" t="s">
        <v>138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123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81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70</v>
      </c>
      <c r="X75" s="268">
        <v>56</v>
      </c>
      <c r="Y75" s="269">
        <f>IFERROR(IF(X75="","",X75),"")</f>
        <v>56</v>
      </c>
      <c r="Z75" s="36">
        <f>IFERROR(IF(X75="","",X75*0.01788),"")</f>
        <v>1.0012799999999999</v>
      </c>
      <c r="AA75" s="56"/>
      <c r="AB75" s="57"/>
      <c r="AC75" s="110" t="s">
        <v>141</v>
      </c>
      <c r="AG75" s="67"/>
      <c r="AJ75" s="71" t="s">
        <v>83</v>
      </c>
      <c r="AK75" s="71">
        <v>14</v>
      </c>
      <c r="BB75" s="111" t="s">
        <v>84</v>
      </c>
      <c r="BM75" s="67">
        <f>IFERROR(X75*I75,"0")</f>
        <v>241.00160000000002</v>
      </c>
      <c r="BN75" s="67">
        <f>IFERROR(Y75*I75,"0")</f>
        <v>241.00160000000002</v>
      </c>
      <c r="BO75" s="67">
        <f>IFERROR(X75/J75,"0")</f>
        <v>0.8</v>
      </c>
      <c r="BP75" s="67">
        <f>IFERROR(Y75/J75,"0")</f>
        <v>0.8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56</v>
      </c>
      <c r="Y76" s="270">
        <f>IFERROR(SUM(Y75:Y75),"0")</f>
        <v>56</v>
      </c>
      <c r="Z76" s="270">
        <f>IFERROR(IF(Z75="",0,Z75),"0")</f>
        <v>1.0012799999999999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201.6</v>
      </c>
      <c r="Y77" s="270">
        <f>IFERROR(SUMPRODUCT(Y75:Y75*H75:H75),"0")</f>
        <v>201.6</v>
      </c>
      <c r="Z77" s="37"/>
      <c r="AA77" s="271"/>
      <c r="AB77" s="271"/>
      <c r="AC77" s="271"/>
    </row>
    <row r="78" spans="1:68" ht="16.5" customHeight="1" x14ac:dyDescent="0.25">
      <c r="A78" s="281" t="s">
        <v>142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143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81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70</v>
      </c>
      <c r="X80" s="268">
        <v>98</v>
      </c>
      <c r="Y80" s="269">
        <f>IFERROR(IF(X80="","",X80),"")</f>
        <v>98</v>
      </c>
      <c r="Z80" s="36">
        <f>IFERROR(IF(X80="","",X80*0.01788),"")</f>
        <v>1.75224</v>
      </c>
      <c r="AA80" s="56"/>
      <c r="AB80" s="57"/>
      <c r="AC80" s="112" t="s">
        <v>146</v>
      </c>
      <c r="AG80" s="67"/>
      <c r="AJ80" s="71" t="s">
        <v>83</v>
      </c>
      <c r="AK80" s="71">
        <v>14</v>
      </c>
      <c r="BB80" s="113" t="s">
        <v>84</v>
      </c>
      <c r="BM80" s="67">
        <f>IFERROR(X80*I80,"0")</f>
        <v>421.75280000000004</v>
      </c>
      <c r="BN80" s="67">
        <f>IFERROR(Y80*I80,"0")</f>
        <v>421.75280000000004</v>
      </c>
      <c r="BO80" s="67">
        <f>IFERROR(X80/J80,"0")</f>
        <v>1.4</v>
      </c>
      <c r="BP80" s="67">
        <f>IFERROR(Y80/J80,"0")</f>
        <v>1.4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87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68">
        <v>84</v>
      </c>
      <c r="Y81" s="269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149</v>
      </c>
      <c r="AG81" s="67"/>
      <c r="AJ81" s="71" t="s">
        <v>88</v>
      </c>
      <c r="AK81" s="71">
        <v>70</v>
      </c>
      <c r="BB81" s="115" t="s">
        <v>84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customHeight="1" x14ac:dyDescent="0.25">
      <c r="A84" s="281" t="s">
        <v>150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123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68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70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72</v>
      </c>
      <c r="AK86" s="71">
        <v>1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68">
        <v>98</v>
      </c>
      <c r="Y87" s="269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14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87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68">
        <v>98</v>
      </c>
      <c r="Y89" s="269">
        <f t="shared" si="0"/>
        <v>98</v>
      </c>
      <c r="Z89" s="36">
        <f t="shared" si="1"/>
        <v>1.75224</v>
      </c>
      <c r="AA89" s="56"/>
      <c r="AB89" s="57"/>
      <c r="AC89" s="122" t="s">
        <v>141</v>
      </c>
      <c r="AG89" s="67"/>
      <c r="AJ89" s="71" t="s">
        <v>88</v>
      </c>
      <c r="AK89" s="71">
        <v>70</v>
      </c>
      <c r="BB89" s="123" t="s">
        <v>84</v>
      </c>
      <c r="BM89" s="67">
        <f t="shared" si="2"/>
        <v>351.19280000000003</v>
      </c>
      <c r="BN89" s="67">
        <f t="shared" si="3"/>
        <v>351.19280000000003</v>
      </c>
      <c r="BO89" s="67">
        <f t="shared" si="4"/>
        <v>1.4</v>
      </c>
      <c r="BP89" s="67">
        <f t="shared" si="5"/>
        <v>1.4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81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83</v>
      </c>
      <c r="AK90" s="71">
        <v>14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81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70</v>
      </c>
      <c r="X91" s="268">
        <v>84</v>
      </c>
      <c r="Y91" s="269">
        <f t="shared" si="0"/>
        <v>84</v>
      </c>
      <c r="Z91" s="36">
        <f t="shared" si="1"/>
        <v>1.5019199999999999</v>
      </c>
      <c r="AA91" s="56"/>
      <c r="AB91" s="57"/>
      <c r="AC91" s="126" t="s">
        <v>164</v>
      </c>
      <c r="AG91" s="67"/>
      <c r="AJ91" s="71" t="s">
        <v>83</v>
      </c>
      <c r="AK91" s="71">
        <v>14</v>
      </c>
      <c r="BB91" s="127" t="s">
        <v>84</v>
      </c>
      <c r="BM91" s="67">
        <f t="shared" si="2"/>
        <v>380.45280000000002</v>
      </c>
      <c r="BN91" s="67">
        <f t="shared" si="3"/>
        <v>380.45280000000002</v>
      </c>
      <c r="BO91" s="67">
        <f t="shared" si="4"/>
        <v>1.2</v>
      </c>
      <c r="BP91" s="67">
        <f t="shared" si="5"/>
        <v>1.2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280</v>
      </c>
      <c r="Y92" s="270">
        <f>IFERROR(SUM(Y86:Y91),"0")</f>
        <v>280</v>
      </c>
      <c r="Z92" s="270">
        <f>IFERROR(IF(Z86="",0,Z86),"0")+IFERROR(IF(Z87="",0,Z87),"0")+IFERROR(IF(Z88="",0,Z88),"0")+IFERROR(IF(Z89="",0,Z89),"0")+IFERROR(IF(Z90="",0,Z90),"0")+IFERROR(IF(Z91="",0,Z91),"0")</f>
        <v>5.0064000000000002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917.28</v>
      </c>
      <c r="Y93" s="270">
        <f>IFERROR(SUMPRODUCT(Y86:Y91*H86:H91),"0")</f>
        <v>917.28</v>
      </c>
      <c r="Z93" s="37"/>
      <c r="AA93" s="271"/>
      <c r="AB93" s="271"/>
      <c r="AC93" s="271"/>
    </row>
    <row r="94" spans="1:68" ht="16.5" customHeight="1" x14ac:dyDescent="0.25">
      <c r="A94" s="281" t="s">
        <v>165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117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81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70</v>
      </c>
      <c r="X96" s="268">
        <v>70</v>
      </c>
      <c r="Y96" s="269">
        <f>IFERROR(IF(X96="","",X96),"")</f>
        <v>70</v>
      </c>
      <c r="Z96" s="36">
        <f>IFERROR(IF(X96="","",X96*0.00936),"")</f>
        <v>0.6552</v>
      </c>
      <c r="AA96" s="56"/>
      <c r="AB96" s="57"/>
      <c r="AC96" s="128" t="s">
        <v>168</v>
      </c>
      <c r="AG96" s="67"/>
      <c r="AJ96" s="71" t="s">
        <v>83</v>
      </c>
      <c r="AK96" s="71">
        <v>14</v>
      </c>
      <c r="BB96" s="129" t="s">
        <v>84</v>
      </c>
      <c r="BM96" s="67">
        <f>IFERROR(X96*I96,"0")</f>
        <v>174.38400000000001</v>
      </c>
      <c r="BN96" s="67">
        <f>IFERROR(Y96*I96,"0")</f>
        <v>174.38400000000001</v>
      </c>
      <c r="BO96" s="67">
        <f>IFERROR(X96/J96,"0")</f>
        <v>0.55555555555555558</v>
      </c>
      <c r="BP96" s="67">
        <f>IFERROR(Y96/J96,"0")</f>
        <v>0.55555555555555558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81</v>
      </c>
      <c r="M97" s="33" t="s">
        <v>69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83</v>
      </c>
      <c r="AK97" s="71">
        <v>14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70</v>
      </c>
      <c r="Y98" s="270">
        <f>IFERROR(SUM(Y96:Y97),"0")</f>
        <v>70</v>
      </c>
      <c r="Z98" s="270">
        <f>IFERROR(IF(Z96="",0,Z96),"0")+IFERROR(IF(Z97="",0,Z97),"0")</f>
        <v>0.6552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151.20000000000002</v>
      </c>
      <c r="Y99" s="270">
        <f>IFERROR(SUMPRODUCT(Y96:Y97*H96:H97),"0")</f>
        <v>151.20000000000002</v>
      </c>
      <c r="Z99" s="37"/>
      <c r="AA99" s="271"/>
      <c r="AB99" s="271"/>
      <c r="AC99" s="271"/>
    </row>
    <row r="100" spans="1:68" ht="16.5" customHeight="1" x14ac:dyDescent="0.25">
      <c r="A100" s="281" t="s">
        <v>171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64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81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70</v>
      </c>
      <c r="X102" s="268">
        <v>0</v>
      </c>
      <c r="Y102" s="269">
        <f t="shared" ref="Y102:Y109" si="6">IFERROR(IF(X102="","",X102),"")</f>
        <v>0</v>
      </c>
      <c r="Z102" s="36">
        <f t="shared" ref="Z102:Z109" si="7">IFERROR(IF(X102="","",X102*0.0155),"")</f>
        <v>0</v>
      </c>
      <c r="AA102" s="56"/>
      <c r="AB102" s="57"/>
      <c r="AC102" s="132" t="s">
        <v>174</v>
      </c>
      <c r="AG102" s="67"/>
      <c r="AJ102" s="71" t="s">
        <v>83</v>
      </c>
      <c r="AK102" s="71">
        <v>12</v>
      </c>
      <c r="BB102" s="133" t="s">
        <v>1</v>
      </c>
      <c r="BM102" s="67">
        <f t="shared" ref="BM102:BM109" si="8">IFERROR(X102*I102,"0")</f>
        <v>0</v>
      </c>
      <c r="BN102" s="67">
        <f t="shared" ref="BN102:BN109" si="9">IFERROR(Y102*I102,"0")</f>
        <v>0</v>
      </c>
      <c r="BO102" s="67">
        <f t="shared" ref="BO102:BO109" si="10">IFERROR(X102/J102,"0")</f>
        <v>0</v>
      </c>
      <c r="BP102" s="67">
        <f t="shared" ref="BP102:BP109" si="11">IFERROR(Y102/J102,"0")</f>
        <v>0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81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68">
        <v>72</v>
      </c>
      <c r="Y103" s="269">
        <f t="shared" si="6"/>
        <v>72</v>
      </c>
      <c r="Z103" s="36">
        <f t="shared" si="7"/>
        <v>1.1160000000000001</v>
      </c>
      <c r="AA103" s="56"/>
      <c r="AB103" s="57"/>
      <c r="AC103" s="134" t="s">
        <v>135</v>
      </c>
      <c r="AG103" s="67"/>
      <c r="AJ103" s="71" t="s">
        <v>83</v>
      </c>
      <c r="AK103" s="71">
        <v>12</v>
      </c>
      <c r="BB103" s="135" t="s">
        <v>1</v>
      </c>
      <c r="BM103" s="67">
        <f t="shared" si="8"/>
        <v>483.81119999999999</v>
      </c>
      <c r="BN103" s="67">
        <f t="shared" si="9"/>
        <v>483.81119999999999</v>
      </c>
      <c r="BO103" s="67">
        <f t="shared" si="10"/>
        <v>0.8571428571428571</v>
      </c>
      <c r="BP103" s="67">
        <f t="shared" si="11"/>
        <v>0.8571428571428571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87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68">
        <v>144</v>
      </c>
      <c r="Y104" s="269">
        <f t="shared" si="6"/>
        <v>144</v>
      </c>
      <c r="Z104" s="36">
        <f t="shared" si="7"/>
        <v>2.2320000000000002</v>
      </c>
      <c r="AA104" s="56"/>
      <c r="AB104" s="57"/>
      <c r="AC104" s="136" t="s">
        <v>135</v>
      </c>
      <c r="AG104" s="67"/>
      <c r="AJ104" s="71" t="s">
        <v>88</v>
      </c>
      <c r="AK104" s="71">
        <v>84</v>
      </c>
      <c r="BB104" s="137" t="s">
        <v>1</v>
      </c>
      <c r="BM104" s="67">
        <f t="shared" si="8"/>
        <v>1051.2</v>
      </c>
      <c r="BN104" s="67">
        <f t="shared" si="9"/>
        <v>1051.2</v>
      </c>
      <c r="BO104" s="67">
        <f t="shared" si="10"/>
        <v>1.7142857142857142</v>
      </c>
      <c r="BP104" s="67">
        <f t="shared" si="11"/>
        <v>1.7142857142857142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81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68">
        <v>72</v>
      </c>
      <c r="Y106" s="269">
        <f t="shared" si="6"/>
        <v>72</v>
      </c>
      <c r="Z106" s="36">
        <f t="shared" si="7"/>
        <v>1.1160000000000001</v>
      </c>
      <c r="AA106" s="56"/>
      <c r="AB106" s="57"/>
      <c r="AC106" s="140" t="s">
        <v>135</v>
      </c>
      <c r="AG106" s="67"/>
      <c r="AJ106" s="71" t="s">
        <v>83</v>
      </c>
      <c r="AK106" s="71">
        <v>12</v>
      </c>
      <c r="BB106" s="141" t="s">
        <v>1</v>
      </c>
      <c r="BM106" s="67">
        <f t="shared" si="8"/>
        <v>483.81119999999999</v>
      </c>
      <c r="BN106" s="67">
        <f t="shared" si="9"/>
        <v>483.81119999999999</v>
      </c>
      <c r="BO106" s="67">
        <f t="shared" si="10"/>
        <v>0.8571428571428571</v>
      </c>
      <c r="BP106" s="67">
        <f t="shared" si="11"/>
        <v>0.8571428571428571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68">
        <v>120</v>
      </c>
      <c r="Y107" s="269">
        <f t="shared" si="6"/>
        <v>120</v>
      </c>
      <c r="Z107" s="36">
        <f t="shared" si="7"/>
        <v>1.8599999999999999</v>
      </c>
      <c r="AA107" s="56"/>
      <c r="AB107" s="57"/>
      <c r="AC107" s="142" t="s">
        <v>135</v>
      </c>
      <c r="AG107" s="67"/>
      <c r="AJ107" s="71" t="s">
        <v>83</v>
      </c>
      <c r="AK107" s="71">
        <v>12</v>
      </c>
      <c r="BB107" s="143" t="s">
        <v>1</v>
      </c>
      <c r="BM107" s="67">
        <f t="shared" si="8"/>
        <v>876</v>
      </c>
      <c r="BN107" s="67">
        <f t="shared" si="9"/>
        <v>876</v>
      </c>
      <c r="BO107" s="67">
        <f t="shared" si="10"/>
        <v>1.4285714285714286</v>
      </c>
      <c r="BP107" s="67">
        <f t="shared" si="11"/>
        <v>1.4285714285714286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4"/>
      <c r="R109" s="284"/>
      <c r="S109" s="284"/>
      <c r="T109" s="285"/>
      <c r="U109" s="34"/>
      <c r="V109" s="34"/>
      <c r="W109" s="35" t="s">
        <v>70</v>
      </c>
      <c r="X109" s="268">
        <v>0</v>
      </c>
      <c r="Y109" s="269">
        <f t="shared" si="6"/>
        <v>0</v>
      </c>
      <c r="Z109" s="36">
        <f t="shared" si="7"/>
        <v>0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0</v>
      </c>
      <c r="BN109" s="67">
        <f t="shared" si="9"/>
        <v>0</v>
      </c>
      <c r="BO109" s="67">
        <f t="shared" si="10"/>
        <v>0</v>
      </c>
      <c r="BP109" s="67">
        <f t="shared" si="11"/>
        <v>0</v>
      </c>
    </row>
    <row r="110" spans="1:68" x14ac:dyDescent="0.2">
      <c r="A110" s="286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408</v>
      </c>
      <c r="Y110" s="270">
        <f>IFERROR(SUM(Y102:Y109),"0")</f>
        <v>408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6.3239999999999998</v>
      </c>
      <c r="AA110" s="271"/>
      <c r="AB110" s="271"/>
      <c r="AC110" s="271"/>
    </row>
    <row r="111" spans="1:68" x14ac:dyDescent="0.2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2769.6</v>
      </c>
      <c r="Y111" s="270">
        <f>IFERROR(SUMPRODUCT(Y102:Y109*H102:H109),"0")</f>
        <v>2769.6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199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123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68">
        <v>140</v>
      </c>
      <c r="Y122" s="269">
        <f>IFERROR(IF(X122="","",X122),"")</f>
        <v>140</v>
      </c>
      <c r="Z122" s="36">
        <f>IFERROR(IF(X122="","",X122*0.01788),"")</f>
        <v>2.5032000000000001</v>
      </c>
      <c r="AA122" s="56"/>
      <c r="AB122" s="57"/>
      <c r="AC122" s="152" t="s">
        <v>202</v>
      </c>
      <c r="AG122" s="67"/>
      <c r="AJ122" s="71" t="s">
        <v>83</v>
      </c>
      <c r="AK122" s="71">
        <v>14</v>
      </c>
      <c r="BB122" s="153" t="s">
        <v>84</v>
      </c>
      <c r="BM122" s="67">
        <f>IFERROR(X122*I122,"0")</f>
        <v>518.50400000000002</v>
      </c>
      <c r="BN122" s="67">
        <f>IFERROR(Y122*I122,"0")</f>
        <v>518.50400000000002</v>
      </c>
      <c r="BO122" s="67">
        <f>IFERROR(X122/J122,"0")</f>
        <v>2</v>
      </c>
      <c r="BP122" s="67">
        <f>IFERROR(Y122/J122,"0")</f>
        <v>2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70</v>
      </c>
      <c r="X123" s="268">
        <v>140</v>
      </c>
      <c r="Y123" s="269">
        <f>IFERROR(IF(X123="","",X123),"")</f>
        <v>140</v>
      </c>
      <c r="Z123" s="36">
        <f>IFERROR(IF(X123="","",X123*0.01788),"")</f>
        <v>2.5032000000000001</v>
      </c>
      <c r="AA123" s="56"/>
      <c r="AB123" s="57"/>
      <c r="AC123" s="154" t="s">
        <v>141</v>
      </c>
      <c r="AG123" s="67"/>
      <c r="AJ123" s="71" t="s">
        <v>83</v>
      </c>
      <c r="AK123" s="71">
        <v>14</v>
      </c>
      <c r="BB123" s="155" t="s">
        <v>84</v>
      </c>
      <c r="BM123" s="67">
        <f>IFERROR(X123*I123,"0")</f>
        <v>518.50400000000002</v>
      </c>
      <c r="BN123" s="67">
        <f>IFERROR(Y123*I123,"0")</f>
        <v>518.50400000000002</v>
      </c>
      <c r="BO123" s="67">
        <f>IFERROR(X123/J123,"0")</f>
        <v>2</v>
      </c>
      <c r="BP123" s="67">
        <f>IFERROR(Y123/J123,"0")</f>
        <v>2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280</v>
      </c>
      <c r="Y124" s="270">
        <f>IFERROR(SUM(Y122:Y123),"0")</f>
        <v>280</v>
      </c>
      <c r="Z124" s="270">
        <f>IFERROR(IF(Z122="",0,Z122),"0")+IFERROR(IF(Z123="",0,Z123),"0")</f>
        <v>5.0064000000000002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840</v>
      </c>
      <c r="Y125" s="270">
        <f>IFERROR(SUMPRODUCT(Y122:Y123*H122:H123),"0")</f>
        <v>840</v>
      </c>
      <c r="Z125" s="37"/>
      <c r="AA125" s="271"/>
      <c r="AB125" s="271"/>
      <c r="AC125" s="271"/>
    </row>
    <row r="126" spans="1:68" ht="16.5" customHeight="1" x14ac:dyDescent="0.25">
      <c r="A126" s="281" t="s">
        <v>205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123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87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70</v>
      </c>
      <c r="X129" s="268">
        <v>126</v>
      </c>
      <c r="Y129" s="269">
        <f>IFERROR(IF(X129="","",X129),"")</f>
        <v>126</v>
      </c>
      <c r="Z129" s="36">
        <f>IFERROR(IF(X129="","",X129*0.01788),"")</f>
        <v>2.2528800000000002</v>
      </c>
      <c r="AA129" s="56"/>
      <c r="AB129" s="57"/>
      <c r="AC129" s="158" t="s">
        <v>211</v>
      </c>
      <c r="AG129" s="67"/>
      <c r="AJ129" s="71" t="s">
        <v>88</v>
      </c>
      <c r="AK129" s="71">
        <v>70</v>
      </c>
      <c r="BB129" s="159" t="s">
        <v>84</v>
      </c>
      <c r="BM129" s="67">
        <f>IFERROR(X129*I129,"0")</f>
        <v>466.65359999999998</v>
      </c>
      <c r="BN129" s="67">
        <f>IFERROR(Y129*I129,"0")</f>
        <v>466.65359999999998</v>
      </c>
      <c r="BO129" s="67">
        <f>IFERROR(X129/J129,"0")</f>
        <v>1.8</v>
      </c>
      <c r="BP129" s="67">
        <f>IFERROR(Y129/J129,"0")</f>
        <v>1.8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126</v>
      </c>
      <c r="Y130" s="270">
        <f>IFERROR(SUM(Y128:Y129),"0")</f>
        <v>126</v>
      </c>
      <c r="Z130" s="270">
        <f>IFERROR(IF(Z128="",0,Z128),"0")+IFERROR(IF(Z129="",0,Z129),"0")</f>
        <v>2.2528800000000002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378</v>
      </c>
      <c r="Y131" s="270">
        <f>IFERROR(SUMPRODUCT(Y128:Y129*H128:H129),"0")</f>
        <v>378</v>
      </c>
      <c r="Z131" s="37"/>
      <c r="AA131" s="271"/>
      <c r="AB131" s="271"/>
      <c r="AC131" s="271"/>
    </row>
    <row r="132" spans="1:68" ht="16.5" customHeight="1" x14ac:dyDescent="0.25">
      <c r="A132" s="281" t="s">
        <v>212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123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81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0" t="s">
        <v>202</v>
      </c>
      <c r="AG134" s="67"/>
      <c r="AJ134" s="71" t="s">
        <v>83</v>
      </c>
      <c r="AK134" s="71">
        <v>14</v>
      </c>
      <c r="BB134" s="161" t="s">
        <v>84</v>
      </c>
      <c r="BM134" s="67">
        <f>IFERROR(X134*I134,"0")</f>
        <v>225.12</v>
      </c>
      <c r="BN134" s="67">
        <f>IFERROR(Y134*I134,"0")</f>
        <v>225.12</v>
      </c>
      <c r="BO134" s="67">
        <f>IFERROR(X134/J134,"0")</f>
        <v>1.2</v>
      </c>
      <c r="BP134" s="67">
        <f>IFERROR(Y134/J134,"0")</f>
        <v>1.2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81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70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202</v>
      </c>
      <c r="AG135" s="67"/>
      <c r="AJ135" s="71" t="s">
        <v>83</v>
      </c>
      <c r="AK135" s="71">
        <v>14</v>
      </c>
      <c r="BB135" s="163" t="s">
        <v>84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84</v>
      </c>
      <c r="Y136" s="270">
        <f>IFERROR(SUM(Y134:Y135),"0")</f>
        <v>84</v>
      </c>
      <c r="Z136" s="270">
        <f>IFERROR(IF(Z134="",0,Z134),"0")+IFERROR(IF(Z135="",0,Z135),"0")</f>
        <v>1.5019199999999999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201.6</v>
      </c>
      <c r="Y137" s="270">
        <f>IFERROR(SUMPRODUCT(Y134:Y135*H134:H135),"0")</f>
        <v>201.6</v>
      </c>
      <c r="Z137" s="37"/>
      <c r="AA137" s="271"/>
      <c r="AB137" s="271"/>
      <c r="AC137" s="271"/>
    </row>
    <row r="138" spans="1:68" ht="16.5" customHeight="1" x14ac:dyDescent="0.25">
      <c r="A138" s="281" t="s">
        <v>217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123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81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70</v>
      </c>
      <c r="X140" s="268">
        <v>84</v>
      </c>
      <c r="Y140" s="269">
        <f>IFERROR(IF(X140="","",X140),"")</f>
        <v>84</v>
      </c>
      <c r="Z140" s="36">
        <f>IFERROR(IF(X140="","",X140*0.01788),"")</f>
        <v>1.5019199999999999</v>
      </c>
      <c r="AA140" s="56"/>
      <c r="AB140" s="57"/>
      <c r="AC140" s="164" t="s">
        <v>220</v>
      </c>
      <c r="AG140" s="67"/>
      <c r="AJ140" s="71" t="s">
        <v>83</v>
      </c>
      <c r="AK140" s="71">
        <v>14</v>
      </c>
      <c r="BB140" s="165" t="s">
        <v>84</v>
      </c>
      <c r="BM140" s="67">
        <f>IFERROR(X140*I140,"0")</f>
        <v>311.10239999999999</v>
      </c>
      <c r="BN140" s="67">
        <f>IFERROR(Y140*I140,"0")</f>
        <v>311.10239999999999</v>
      </c>
      <c r="BO140" s="67">
        <f>IFERROR(X140/J140,"0")</f>
        <v>1.2</v>
      </c>
      <c r="BP140" s="67">
        <f>IFERROR(Y140/J140,"0")</f>
        <v>1.2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84</v>
      </c>
      <c r="Y141" s="270">
        <f>IFERROR(SUM(Y140:Y140),"0")</f>
        <v>84</v>
      </c>
      <c r="Z141" s="270">
        <f>IFERROR(IF(Z140="",0,Z140),"0")</f>
        <v>1.5019199999999999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252</v>
      </c>
      <c r="Y142" s="270">
        <f>IFERROR(SUMPRODUCT(Y140:Y140*H140:H140),"0")</f>
        <v>252</v>
      </c>
      <c r="Z142" s="37"/>
      <c r="AA142" s="271"/>
      <c r="AB142" s="271"/>
      <c r="AC142" s="271"/>
    </row>
    <row r="143" spans="1:68" ht="16.5" customHeight="1" x14ac:dyDescent="0.25">
      <c r="A143" s="281" t="s">
        <v>221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123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81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83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224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195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81</v>
      </c>
      <c r="M150" s="33" t="s">
        <v>69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83</v>
      </c>
      <c r="AK150" s="71">
        <v>6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229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123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234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64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68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72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81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70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83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242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77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87</v>
      </c>
      <c r="M168" s="33" t="s">
        <v>69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68">
        <v>224</v>
      </c>
      <c r="Y168" s="269">
        <f>IFERROR(IF(X168="","",X168),"")</f>
        <v>224</v>
      </c>
      <c r="Z168" s="36">
        <f>IFERROR(IF(X168="","",X168*0.01788),"")</f>
        <v>4.0051199999999998</v>
      </c>
      <c r="AA168" s="56"/>
      <c r="AB168" s="57"/>
      <c r="AC168" s="176" t="s">
        <v>245</v>
      </c>
      <c r="AG168" s="67"/>
      <c r="AJ168" s="71" t="s">
        <v>88</v>
      </c>
      <c r="AK168" s="71">
        <v>70</v>
      </c>
      <c r="BB168" s="177" t="s">
        <v>84</v>
      </c>
      <c r="BM168" s="67">
        <f>IFERROR(X168*I168,"0")</f>
        <v>758.91200000000003</v>
      </c>
      <c r="BN168" s="67">
        <f>IFERROR(Y168*I168,"0")</f>
        <v>758.91200000000003</v>
      </c>
      <c r="BO168" s="67">
        <f>IFERROR(X168/J168,"0")</f>
        <v>3.2</v>
      </c>
      <c r="BP168" s="67">
        <f>IFERROR(Y168/J168,"0")</f>
        <v>3.2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248</v>
      </c>
      <c r="AG169" s="67"/>
      <c r="AJ169" s="71" t="s">
        <v>83</v>
      </c>
      <c r="AK169" s="71">
        <v>14</v>
      </c>
      <c r="BB169" s="179" t="s">
        <v>84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70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251</v>
      </c>
      <c r="AG170" s="67"/>
      <c r="AJ170" s="71" t="s">
        <v>83</v>
      </c>
      <c r="AK170" s="71">
        <v>14</v>
      </c>
      <c r="BB170" s="181" t="s">
        <v>84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224</v>
      </c>
      <c r="Y171" s="270">
        <f>IFERROR(SUM(Y168:Y170),"0")</f>
        <v>224</v>
      </c>
      <c r="Z171" s="270">
        <f>IFERROR(IF(Z168="",0,Z168),"0")+IFERROR(IF(Z169="",0,Z169),"0")+IFERROR(IF(Z170="",0,Z170),"0")</f>
        <v>4.0051199999999998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672</v>
      </c>
      <c r="Y172" s="270">
        <f>IFERROR(SUMPRODUCT(Y168:Y170*H168:H170),"0")</f>
        <v>672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4"/>
      <c r="R174" s="284"/>
      <c r="S174" s="284"/>
      <c r="T174" s="285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261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77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81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83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68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72</v>
      </c>
      <c r="AK184" s="71">
        <v>1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4"/>
      <c r="R185" s="284"/>
      <c r="S185" s="284"/>
      <c r="T185" s="285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68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72</v>
      </c>
      <c r="AK186" s="71">
        <v>1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277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64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customHeight="1" x14ac:dyDescent="0.25">
      <c r="A198" s="281" t="s">
        <v>287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64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87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70</v>
      </c>
      <c r="X200" s="268">
        <v>192</v>
      </c>
      <c r="Y200" s="269">
        <f>IFERROR(IF(X200="","",X200),"")</f>
        <v>192</v>
      </c>
      <c r="Z200" s="36">
        <f>IFERROR(IF(X200="","",X200*0.0155),"")</f>
        <v>2.976</v>
      </c>
      <c r="AA200" s="56"/>
      <c r="AB200" s="57"/>
      <c r="AC200" s="202" t="s">
        <v>290</v>
      </c>
      <c r="AG200" s="67"/>
      <c r="AJ200" s="71" t="s">
        <v>88</v>
      </c>
      <c r="AK200" s="71">
        <v>84</v>
      </c>
      <c r="BB200" s="203" t="s">
        <v>1</v>
      </c>
      <c r="BM200" s="67">
        <f>IFERROR(X200*I200,"0")</f>
        <v>1004.1600000000001</v>
      </c>
      <c r="BN200" s="67">
        <f>IFERROR(Y200*I200,"0")</f>
        <v>1004.1600000000001</v>
      </c>
      <c r="BO200" s="67">
        <f>IFERROR(X200/J200,"0")</f>
        <v>2.2857142857142856</v>
      </c>
      <c r="BP200" s="67">
        <f>IFERROR(Y200/J200,"0")</f>
        <v>2.2857142857142856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192</v>
      </c>
      <c r="Y201" s="270">
        <f>IFERROR(SUM(Y200:Y200),"0")</f>
        <v>192</v>
      </c>
      <c r="Z201" s="270">
        <f>IFERROR(IF(Z200="",0,Z200),"0")</f>
        <v>2.976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960</v>
      </c>
      <c r="Y202" s="270">
        <f>IFERROR(SUMPRODUCT(Y200:Y200*H200:H200),"0")</f>
        <v>960</v>
      </c>
      <c r="Z202" s="37"/>
      <c r="AA202" s="271"/>
      <c r="AB202" s="271"/>
      <c r="AC202" s="271"/>
    </row>
    <row r="203" spans="1:68" ht="16.5" customHeight="1" x14ac:dyDescent="0.25">
      <c r="A203" s="281" t="s">
        <v>291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302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64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70</v>
      </c>
      <c r="X216" s="268">
        <v>60</v>
      </c>
      <c r="Y216" s="269">
        <f>IFERROR(IF(X216="","",X216),"")</f>
        <v>60</v>
      </c>
      <c r="Z216" s="36">
        <f>IFERROR(IF(X216="","",X216*0.0155),"")</f>
        <v>0.92999999999999994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432.36</v>
      </c>
      <c r="BN216" s="67">
        <f>IFERROR(Y216*I216,"0")</f>
        <v>432.36</v>
      </c>
      <c r="BO216" s="67">
        <f>IFERROR(X216/J216,"0")</f>
        <v>0.7142857142857143</v>
      </c>
      <c r="BP216" s="67">
        <f>IFERROR(Y216/J216,"0")</f>
        <v>0.7142857142857143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68">
        <v>120</v>
      </c>
      <c r="Y217" s="269">
        <f>IFERROR(IF(X217="","",X217),"")</f>
        <v>120</v>
      </c>
      <c r="Z217" s="36">
        <f>IFERROR(IF(X217="","",X217*0.0155),"")</f>
        <v>1.8599999999999999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800.4</v>
      </c>
      <c r="BN217" s="67">
        <f>IFERROR(Y217*I217,"0")</f>
        <v>800.4</v>
      </c>
      <c r="BO217" s="67">
        <f>IFERROR(X217/J217,"0")</f>
        <v>1.4285714285714286</v>
      </c>
      <c r="BP217" s="67">
        <f>IFERROR(Y217/J217,"0")</f>
        <v>1.4285714285714286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180</v>
      </c>
      <c r="Y218" s="270">
        <f>IFERROR(SUM(Y216:Y217),"0")</f>
        <v>180</v>
      </c>
      <c r="Z218" s="270">
        <f>IFERROR(IF(Z216="",0,Z216),"0")+IFERROR(IF(Z217="",0,Z217),"0")</f>
        <v>2.79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1180.8</v>
      </c>
      <c r="Y219" s="270">
        <f>IFERROR(SUMPRODUCT(Y216:Y217*H216:H217),"0")</f>
        <v>1180.8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309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314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64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70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240</v>
      </c>
      <c r="AG229" s="67"/>
      <c r="AJ229" s="71" t="s">
        <v>83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318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319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325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64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70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336</v>
      </c>
      <c r="AG251" s="67"/>
      <c r="AJ251" s="71" t="s">
        <v>83</v>
      </c>
      <c r="AK251" s="71">
        <v>12</v>
      </c>
      <c r="BB251" s="231" t="s">
        <v>84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68</v>
      </c>
      <c r="M252" s="33" t="s">
        <v>69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72</v>
      </c>
      <c r="AK252" s="71">
        <v>1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81</v>
      </c>
      <c r="M256" s="33" t="s">
        <v>69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83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70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341</v>
      </c>
      <c r="AG257" s="67"/>
      <c r="AJ257" s="71" t="s">
        <v>83</v>
      </c>
      <c r="AK257" s="71">
        <v>12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81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70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341</v>
      </c>
      <c r="AG258" s="67"/>
      <c r="AJ258" s="71" t="s">
        <v>83</v>
      </c>
      <c r="AK258" s="71">
        <v>14</v>
      </c>
      <c r="BB258" s="239" t="s">
        <v>84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81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351</v>
      </c>
      <c r="AG263" s="67"/>
      <c r="AJ263" s="71" t="s">
        <v>83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81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70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348</v>
      </c>
      <c r="AG264" s="67"/>
      <c r="AJ264" s="71" t="s">
        <v>83</v>
      </c>
      <c r="AK264" s="71">
        <v>12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81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70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351</v>
      </c>
      <c r="AG265" s="67"/>
      <c r="AJ265" s="71" t="s">
        <v>83</v>
      </c>
      <c r="AK265" s="71">
        <v>14</v>
      </c>
      <c r="BB265" s="247" t="s">
        <v>84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81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70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348</v>
      </c>
      <c r="AG266" s="67"/>
      <c r="AJ266" s="71" t="s">
        <v>83</v>
      </c>
      <c r="AK266" s="71">
        <v>14</v>
      </c>
      <c r="BB266" s="249" t="s">
        <v>84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81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83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87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88</v>
      </c>
      <c r="AK268" s="71">
        <v>126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12060.48</v>
      </c>
      <c r="Y274" s="270">
        <f>IFERROR(Y24+Y31+Y38+Y46+Y51+Y55+Y60+Y66+Y72+Y77+Y83+Y93+Y99+Y111+Y115+Y119+Y125+Y131+Y137+Y142+Y147+Y152+Y157+Y164+Y172+Y176+Y182+Y189+Y197+Y202+Y207+Y213+Y219+Y225+Y231+Y237+Y241+Y249+Y254+Y260+Y273,"0")</f>
        <v>12060.48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13316.151200000002</v>
      </c>
      <c r="Y275" s="270">
        <f>IFERROR(SUM(BN22:BN271),"0")</f>
        <v>13316.151200000002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36</v>
      </c>
      <c r="Y276" s="38">
        <f>ROUNDUP(SUM(BP22:BP271),0)</f>
        <v>36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14216.151200000002</v>
      </c>
      <c r="Y277" s="270">
        <f>GrossWeightTotalR+PalletQtyTotalR*25</f>
        <v>14216.151200000002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2838</v>
      </c>
      <c r="Y278" s="270">
        <f>IFERROR(Y23+Y30+Y37+Y45+Y50+Y54+Y59+Y65+Y71+Y76+Y82+Y92+Y98+Y110+Y114+Y118+Y124+Y130+Y136+Y141+Y146+Y151+Y156+Y163+Y171+Y175+Y181+Y188+Y196+Y201+Y206+Y212+Y218+Y224+Y230+Y236+Y240+Y248+Y253+Y259+Y272,"0")</f>
        <v>2838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45.15659999999999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0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233</v>
      </c>
      <c r="V281" s="260" t="s">
        <v>241</v>
      </c>
      <c r="W281" s="274" t="s">
        <v>260</v>
      </c>
      <c r="X281" s="309"/>
      <c r="Y281" s="309"/>
      <c r="Z281" s="309"/>
      <c r="AA281" s="310"/>
      <c r="AB281" s="260" t="s">
        <v>308</v>
      </c>
      <c r="AC281" s="260" t="s">
        <v>313</v>
      </c>
      <c r="AD281" s="260" t="s">
        <v>317</v>
      </c>
      <c r="AE281" s="260" t="s">
        <v>325</v>
      </c>
      <c r="AF281" s="261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89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1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378</v>
      </c>
      <c r="D284" s="46">
        <f>IFERROR(X34*H34,"0")+IFERROR(X35*H35,"0")+IFERROR(X36*H36,"0")</f>
        <v>1747.1999999999998</v>
      </c>
      <c r="E284" s="46">
        <f>IFERROR(X41*H41,"0")+IFERROR(X42*H42,"0")+IFERROR(X43*H43,"0")+IFERROR(X44*H44,"0")</f>
        <v>756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0</v>
      </c>
      <c r="H284" s="46">
        <f>IFERROR(X75*H75,"0")</f>
        <v>201.6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917.28</v>
      </c>
      <c r="K284" s="46">
        <f>IFERROR(X96*H96,"0")+IFERROR(X97*H97,"0")</f>
        <v>151.20000000000002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2769.6</v>
      </c>
      <c r="M284" s="46">
        <f>IFERROR(X122*H122,"0")+IFERROR(X123*H123,"0")</f>
        <v>840</v>
      </c>
      <c r="N284" s="261"/>
      <c r="O284" s="46">
        <f>IFERROR(X128*H128,"0")+IFERROR(X129*H129,"0")</f>
        <v>378</v>
      </c>
      <c r="P284" s="46">
        <f>IFERROR(X134*H134,"0")+IFERROR(X135*H135,"0")</f>
        <v>201.6</v>
      </c>
      <c r="Q284" s="46">
        <f>IFERROR(X140*H140,"0")</f>
        <v>252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0</v>
      </c>
      <c r="V284" s="46">
        <f>IFERROR(X168*H168,"0")+IFERROR(X169*H169,"0")+IFERROR(X170*H170,"0")+IFERROR(X174*H174,"0")</f>
        <v>672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0</v>
      </c>
      <c r="Y284" s="46">
        <f>IFERROR(X200*H200,"0")</f>
        <v>960</v>
      </c>
      <c r="Z284" s="46">
        <f>IFERROR(X205*H205,"0")+IFERROR(X209*H209,"0")+IFERROR(X210*H210,"0")+IFERROR(X211*H211,"0")</f>
        <v>0</v>
      </c>
      <c r="AA284" s="46">
        <f>IFERROR(X216*H216,"0")+IFERROR(X217*H217,"0")</f>
        <v>1180.8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7413.6</v>
      </c>
      <c r="B287" s="60">
        <f>SUMPRODUCT(--(BB:BB="ПГП"),--(W:W="кор"),H:H,Y:Y)+SUMPRODUCT(--(BB:BB="ПГП"),--(W:W="кг"),Y:Y)</f>
        <v>4646.88</v>
      </c>
      <c r="C287" s="60">
        <f>SUMPRODUCT(--(BB:BB="КИЗ"),--(W:W="кор"),H:H,Y:Y)+SUMPRODUCT(--(BB:BB="КИЗ"),--(W:W="кг"),Y:Y)</f>
        <v>0</v>
      </c>
    </row>
  </sheetData>
  <sheetProtection algorithmName="SHA-512" hashValue="m86c45fNuSzsyMaTlQal1H/x/QwAKKqvjTvTZurpN6TVy0ESfj4CTZdVkCRRVpnoC7VGBk4fkGVPTTfFOKwVJA==" saltValue="YNnFFB9DvbEQvVyGe7i3B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72:V272"/>
    <mergeCell ref="D271:E271"/>
    <mergeCell ref="D282:D283"/>
    <mergeCell ref="D262:E262"/>
    <mergeCell ref="A39:Z39"/>
    <mergeCell ref="D239:E239"/>
    <mergeCell ref="P174:T174"/>
    <mergeCell ref="D266:E266"/>
    <mergeCell ref="D57:E57"/>
    <mergeCell ref="P163:V163"/>
    <mergeCell ref="A153:Z153"/>
    <mergeCell ref="D97:E97"/>
    <mergeCell ref="D268:E268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P197:V197"/>
    <mergeCell ref="A127:Z127"/>
    <mergeCell ref="D247:E247"/>
    <mergeCell ref="A191:Z191"/>
    <mergeCell ref="P262:T262"/>
    <mergeCell ref="D105:E105"/>
    <mergeCell ref="A178:Z178"/>
    <mergeCell ref="D170:E170"/>
    <mergeCell ref="A274:O279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D86:E86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P109:T109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36:T36"/>
    <mergeCell ref="P107:T107"/>
    <mergeCell ref="D150:E150"/>
    <mergeCell ref="P50:V50"/>
    <mergeCell ref="A233:Z233"/>
    <mergeCell ref="M17:M18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30:V30"/>
    <mergeCell ref="P152:V152"/>
    <mergeCell ref="D140:E140"/>
    <mergeCell ref="H10:M10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:Z19"/>
    <mergeCell ref="A68:Z68"/>
    <mergeCell ref="A190:Z190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D106:E106"/>
    <mergeCell ref="P185:T185"/>
    <mergeCell ref="A146:O147"/>
    <mergeCell ref="P195:T195"/>
    <mergeCell ref="C17:C18"/>
    <mergeCell ref="D103:E103"/>
    <mergeCell ref="A238:Z238"/>
    <mergeCell ref="D168:E16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P51:V51"/>
    <mergeCell ref="A17:A18"/>
    <mergeCell ref="K17:K18"/>
    <mergeCell ref="P277:V277"/>
    <mergeCell ref="P113:T113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P111:V111"/>
    <mergeCell ref="A234:Z234"/>
    <mergeCell ref="A244:Z244"/>
    <mergeCell ref="A100:Z100"/>
    <mergeCell ref="A165:Z165"/>
    <mergeCell ref="P125:V125"/>
    <mergeCell ref="P192:T192"/>
    <mergeCell ref="H1:Q1"/>
    <mergeCell ref="P38:V38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D1:F1"/>
    <mergeCell ref="P46:V46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35 X49 X53 X57:X58 X62:X64 X86 X88 X105 X108:X109 X113 X117 X128 X155 X161 X174 X184:X187 X192:X195 X205 X209:X211 X216:X217 X223 X235 X239 X245:X247 X252 X262 X269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1:X44 X69 X75 X80 X87 X90:X91 X96:X97 X102:X103 X106:X107 X122:X123 X134:X135 X140 X145 X150 X162 X169:X170 X180 X229 X251 X256:X258 X263:X267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9 X34 X36 X70 X81 X89 X104 X129 X168 X200 X268" xr:uid="{00000000-0002-0000-0000-000013000000}">
      <formula1>IF(AK29&gt;0,OR(X29=0,AND(IF(X29-AK29&gt;=0,TRUE,FALSE),X29&gt;0,IF(X29/J29=ROUND(X29/J29,0),TRUE,FALSE))),FALSE)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bxGII9ZeYkj00sm4Z4o30Gp2xl1wOkhaiTcOGtQVyyC5cnf10HBqNCiQprw+EU1KtatUGt0Vu/jp4zg3Gicg==" saltValue="2W3sVosidZjy8YR1PtgGe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2025-11-26T06:39:28Z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