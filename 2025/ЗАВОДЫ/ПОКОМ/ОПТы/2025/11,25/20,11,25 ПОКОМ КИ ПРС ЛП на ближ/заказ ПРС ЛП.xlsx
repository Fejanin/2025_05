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98088AC-0283-44BF-99C9-7183F0CFB2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Z109" i="1" s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H9" i="1"/>
  <c r="Y24" i="1"/>
  <c r="Y44" i="1"/>
  <c r="Y57" i="1"/>
  <c r="Z63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Z325" i="1" s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350" i="1"/>
  <c r="Z338" i="1"/>
  <c r="Z234" i="1"/>
  <c r="Y489" i="1"/>
  <c r="Z305" i="1"/>
  <c r="Z274" i="1"/>
  <c r="Z203" i="1"/>
  <c r="Z148" i="1"/>
  <c r="Z103" i="1"/>
  <c r="Z57" i="1"/>
  <c r="Z43" i="1"/>
  <c r="Z31" i="1"/>
  <c r="Y493" i="1"/>
  <c r="Y490" i="1"/>
  <c r="Z447" i="1"/>
  <c r="Z432" i="1"/>
  <c r="Z215" i="1"/>
  <c r="Z76" i="1"/>
  <c r="Y491" i="1"/>
  <c r="Z494" i="1"/>
  <c r="Y492" i="1" l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<sst xmlns="http://schemas.openxmlformats.org/spreadsheetml/2006/main" count="2337" uniqueCount="763">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</sst>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90</v>
      </c>
      <c r="Y29" s="542">
        <f>IFERROR(IF(X29="",0,CEILING((X29/$H29),1)*$H29),"")</f>
        <v>90</v>
      </c>
      <c r="Z29" s="36">
        <f>IFERROR(IF(Y29=0,"",ROUNDUP(Y29/H29,0)*0.00651),"")</f>
        <v>0.32550000000000001</v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159</v>
      </c>
      <c r="BN29" s="64">
        <f>IFERROR(Y29*I29/H29,"0")</f>
        <v>159</v>
      </c>
      <c r="BO29" s="64">
        <f>IFERROR(1/J29*(X29/H29),"0")</f>
        <v>0.27472527472527475</v>
      </c>
      <c r="BP29" s="64">
        <f>IFERROR(1/J29*(Y29/H29),"0")</f>
        <v>0.27472527472527475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50</v>
      </c>
      <c r="Y31" s="543">
        <f>IFERROR(Y26/H26,"0")+IFERROR(Y27/H27,"0")+IFERROR(Y28/H28,"0")+IFERROR(Y29/H29,"0")+IFERROR(Y30/H30,"0")</f>
        <v>50</v>
      </c>
      <c r="Z31" s="543">
        <f>IFERROR(IF(Z26="",0,Z26),"0")+IFERROR(IF(Z27="",0,Z27),"0")+IFERROR(IF(Z28="",0,Z28),"0")+IFERROR(IF(Z29="",0,Z29),"0")+IFERROR(IF(Z30="",0,Z30),"0")</f>
        <v>0.32550000000000001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90</v>
      </c>
      <c r="Y32" s="543">
        <f>IFERROR(SUM(Y26:Y30),"0")</f>
        <v>90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140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35</v>
      </c>
      <c r="Y43" s="543">
        <f>IFERROR(Y40/H40,"0")+IFERROR(Y41/H41,"0")+IFERROR(Y42/H42,"0")</f>
        <v>35</v>
      </c>
      <c r="Z43" s="543">
        <f>IFERROR(IF(Z40="",0,Z40),"0")+IFERROR(IF(Z41="",0,Z41),"0")+IFERROR(IF(Z42="",0,Z42),"0")</f>
        <v>0.31569999999999998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140</v>
      </c>
      <c r="Y44" s="543">
        <f>IFERROR(SUM(Y40:Y42),"0")</f>
        <v>140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105</v>
      </c>
      <c r="Y46" s="542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58.333333333333329</v>
      </c>
      <c r="Y47" s="543">
        <f>IFERROR(Y46/H46,"0")</f>
        <v>59</v>
      </c>
      <c r="Z47" s="543">
        <f>IFERROR(IF(Z46="",0,Z46),"0")</f>
        <v>0.38408999999999999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105</v>
      </c>
      <c r="Y48" s="543">
        <f>IFERROR(SUM(Y46:Y46),"0")</f>
        <v>106.2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157.5</v>
      </c>
      <c r="Y62" s="542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58.333333333333329</v>
      </c>
      <c r="Y63" s="543">
        <f>IFERROR(Y60/H60,"0")+IFERROR(Y61/H61,"0")+IFERROR(Y62/H62,"0")</f>
        <v>59</v>
      </c>
      <c r="Z63" s="543">
        <f>IFERROR(IF(Z60="",0,Z60),"0")+IFERROR(IF(Z61="",0,Z61),"0")+IFERROR(IF(Z62="",0,Z62),"0")</f>
        <v>0.38408999999999999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157.5</v>
      </c>
      <c r="Y64" s="543">
        <f>IFERROR(SUM(Y60:Y62),"0")</f>
        <v>159.30000000000001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105</v>
      </c>
      <c r="Y73" s="542">
        <f>IFERROR(IF(X73="",0,CEILING((X73/$H73),1)*$H73),"")</f>
        <v>106.2</v>
      </c>
      <c r="Z73" s="36">
        <f>IFERROR(IF(Y73=0,"",ROUNDUP(Y73/H73,0)*0.00651),"")</f>
        <v>0.38408999999999999</v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119.35</v>
      </c>
      <c r="BN73" s="64">
        <f>IFERROR(Y73*I73/H73,"0")</f>
        <v>120.71399999999998</v>
      </c>
      <c r="BO73" s="64">
        <f>IFERROR(1/J73*(X73/H73),"0")</f>
        <v>0.32051282051282048</v>
      </c>
      <c r="BP73" s="64">
        <f>IFERROR(1/J73*(Y73/H73),"0")</f>
        <v>0.32417582417582419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90</v>
      </c>
      <c r="Y75" s="542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108.33333333333333</v>
      </c>
      <c r="Y76" s="543">
        <f>IFERROR(Y72/H72,"0")+IFERROR(Y73/H73,"0")+IFERROR(Y74/H74,"0")+IFERROR(Y75/H75,"0")</f>
        <v>109</v>
      </c>
      <c r="Z76" s="543">
        <f>IFERROR(IF(Z72="",0,Z72),"0")+IFERROR(IF(Z73="",0,Z73),"0")+IFERROR(IF(Z74="",0,Z74),"0")+IFERROR(IF(Z75="",0,Z75),"0")</f>
        <v>0.70958999999999994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195</v>
      </c>
      <c r="Y77" s="543">
        <f>IFERROR(SUM(Y72:Y75),"0")</f>
        <v>196.2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120</v>
      </c>
      <c r="Y80" s="542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50</v>
      </c>
      <c r="Y81" s="543">
        <f>IFERROR(Y79/H79,"0")+IFERROR(Y80/H80,"0")</f>
        <v>50</v>
      </c>
      <c r="Z81" s="543">
        <f>IFERROR(IF(Z79="",0,Z79),"0")+IFERROR(IF(Z80="",0,Z80),"0")</f>
        <v>0.45100000000000001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120</v>
      </c>
      <c r="Y82" s="543">
        <f>IFERROR(SUM(Y79:Y80),"0")</f>
        <v>120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105</v>
      </c>
      <c r="Y115" s="542">
        <f>IFERROR(IF(X115="",0,CEILING((X115/$H115),1)*$H115),"")</f>
        <v>106.2</v>
      </c>
      <c r="Z115" s="36">
        <f>IFERROR(IF(Y115=0,"",ROUNDUP(Y115/H115,0)*0.00651),"")</f>
        <v>0.38408999999999999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115.5</v>
      </c>
      <c r="BN115" s="64">
        <f>IFERROR(Y115*I115/H115,"0")</f>
        <v>116.82000000000001</v>
      </c>
      <c r="BO115" s="64">
        <f>IFERROR(1/J115*(X115/H115),"0")</f>
        <v>0.32051282051282048</v>
      </c>
      <c r="BP115" s="64">
        <f>IFERROR(1/J115*(Y115/H115),"0")</f>
        <v>0.32417582417582419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58.333333333333329</v>
      </c>
      <c r="Y116" s="543">
        <f>IFERROR(Y112/H112,"0")+IFERROR(Y113/H113,"0")+IFERROR(Y114/H114,"0")+IFERROR(Y115/H115,"0")</f>
        <v>59</v>
      </c>
      <c r="Z116" s="543">
        <f>IFERROR(IF(Z112="",0,Z112),"0")+IFERROR(IF(Z113="",0,Z113),"0")+IFERROR(IF(Z114="",0,Z114),"0")+IFERROR(IF(Z115="",0,Z115),"0")</f>
        <v>0.38408999999999999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105</v>
      </c>
      <c r="Y117" s="543">
        <f>IFERROR(SUM(Y112:Y115),"0")</f>
        <v>106.2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125.4</v>
      </c>
      <c r="Y119" s="542">
        <f>IFERROR(IF(X119="",0,CEILING((X119/$H119),1)*$H119),"")</f>
        <v>126.72</v>
      </c>
      <c r="Z119" s="36">
        <f>IFERROR(IF(Y119=0,"",ROUNDUP(Y119/H119,0)*0.00651),"")</f>
        <v>0.41664000000000001</v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141.74</v>
      </c>
      <c r="BN119" s="64">
        <f>IFERROR(Y119*I119/H119,"0")</f>
        <v>143.232</v>
      </c>
      <c r="BO119" s="64">
        <f>IFERROR(1/J119*(X119/H119),"0")</f>
        <v>0.34798534798534803</v>
      </c>
      <c r="BP119" s="64">
        <f>IFERROR(1/J119*(Y119/H119),"0")</f>
        <v>0.35164835164835168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63.333333333333336</v>
      </c>
      <c r="Y120" s="543">
        <f>IFERROR(Y119/H119,"0")</f>
        <v>64</v>
      </c>
      <c r="Z120" s="543">
        <f>IFERROR(IF(Z119="",0,Z119),"0")</f>
        <v>0.41664000000000001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125.4</v>
      </c>
      <c r="Y121" s="543">
        <f>IFERROR(SUM(Y119:Y119),"0")</f>
        <v>126.72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160</v>
      </c>
      <c r="Y211" s="542">
        <f t="shared" si="15"/>
        <v>160.79999999999998</v>
      </c>
      <c r="Z211" s="36">
        <f t="shared" si="20"/>
        <v>0.43617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176.80000000000004</v>
      </c>
      <c r="BN211" s="64">
        <f t="shared" si="17"/>
        <v>177.684</v>
      </c>
      <c r="BO211" s="64">
        <f t="shared" si="18"/>
        <v>0.36630036630036633</v>
      </c>
      <c r="BP211" s="64">
        <f t="shared" si="19"/>
        <v>0.36813186813186816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140</v>
      </c>
      <c r="Y212" s="542">
        <f t="shared" si="15"/>
        <v>141.6</v>
      </c>
      <c r="Z212" s="36">
        <f t="shared" si="20"/>
        <v>0.38408999999999999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154.70000000000002</v>
      </c>
      <c r="BN212" s="64">
        <f t="shared" si="17"/>
        <v>156.46800000000002</v>
      </c>
      <c r="BO212" s="64">
        <f t="shared" si="18"/>
        <v>0.32051282051282054</v>
      </c>
      <c r="BP212" s="64">
        <f t="shared" si="19"/>
        <v>0.32417582417582419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125</v>
      </c>
      <c r="Y215" s="543">
        <f>IFERROR(Y206/H206,"0")+IFERROR(Y207/H207,"0")+IFERROR(Y208/H208,"0")+IFERROR(Y209/H209,"0")+IFERROR(Y210/H210,"0")+IFERROR(Y211/H211,"0")+IFERROR(Y212/H212,"0")+IFERROR(Y213/H213,"0")+IFERROR(Y214/H214,"0")</f>
        <v>126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0.82025999999999999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300</v>
      </c>
      <c r="Y216" s="543">
        <f>IFERROR(SUM(Y206:Y214),"0")</f>
        <v>302.39999999999998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120</v>
      </c>
      <c r="Y227" s="542">
        <f t="shared" si="21"/>
        <v>120</v>
      </c>
      <c r="Z227" s="36">
        <f>IFERROR(IF(Y227=0,"",ROUNDUP(Y227/H227,0)*0.00902),"")</f>
        <v>0.27060000000000001</v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125.70000000000002</v>
      </c>
      <c r="BN227" s="64">
        <f t="shared" si="23"/>
        <v>125.70000000000002</v>
      </c>
      <c r="BO227" s="64">
        <f t="shared" si="24"/>
        <v>0.22727272727272729</v>
      </c>
      <c r="BP227" s="64">
        <f t="shared" si="25"/>
        <v>0.22727272727272729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180</v>
      </c>
      <c r="Y232" s="542">
        <f t="shared" si="21"/>
        <v>180</v>
      </c>
      <c r="Z232" s="36">
        <f>IFERROR(IF(Y232=0,"",ROUNDUP(Y232/H232,0)*0.00902),"")</f>
        <v>0.40590000000000004</v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188.55</v>
      </c>
      <c r="BN232" s="64">
        <f t="shared" si="23"/>
        <v>188.55</v>
      </c>
      <c r="BO232" s="64">
        <f t="shared" si="24"/>
        <v>0.34090909090909094</v>
      </c>
      <c r="BP232" s="64">
        <f t="shared" si="25"/>
        <v>0.34090909090909094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75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75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0.6765000000000001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300</v>
      </c>
      <c r="Y235" s="543">
        <f>IFERROR(SUM(Y224:Y233),"0")</f>
        <v>300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120</v>
      </c>
      <c r="Y258" s="542">
        <f>IFERROR(IF(X258="",0,CEILING((X258/$H258),1)*$H258),"")</f>
        <v>120</v>
      </c>
      <c r="Z258" s="36">
        <f>IFERROR(IF(Y258=0,"",ROUNDUP(Y258/H258,0)*0.00902),"")</f>
        <v>0.27060000000000001</v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125.70000000000002</v>
      </c>
      <c r="BN258" s="64">
        <f>IFERROR(Y258*I258/H258,"0")</f>
        <v>125.70000000000002</v>
      </c>
      <c r="BO258" s="64">
        <f>IFERROR(1/J258*(X258/H258),"0")</f>
        <v>0.22727272727272729</v>
      </c>
      <c r="BP258" s="64">
        <f>IFERROR(1/J258*(Y258/H258),"0")</f>
        <v>0.22727272727272729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30</v>
      </c>
      <c r="Y259" s="543">
        <f>IFERROR(Y254/H254,"0")+IFERROR(Y255/H255,"0")+IFERROR(Y256/H256,"0")+IFERROR(Y257/H257,"0")+IFERROR(Y258/H258,"0")</f>
        <v>30</v>
      </c>
      <c r="Z259" s="543">
        <f>IFERROR(IF(Z254="",0,Z254),"0")+IFERROR(IF(Z255="",0,Z255),"0")+IFERROR(IF(Z256="",0,Z256),"0")+IFERROR(IF(Z257="",0,Z257),"0")+IFERROR(IF(Z258="",0,Z258),"0")</f>
        <v>0.27060000000000001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120</v>
      </c>
      <c r="Y260" s="543">
        <f>IFERROR(SUM(Y254:Y258),"0")</f>
        <v>120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120</v>
      </c>
      <c r="Y272" s="542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132.60000000000002</v>
      </c>
      <c r="BN272" s="64">
        <f>IFERROR(Y272*I272/H272,"0")</f>
        <v>132.60000000000002</v>
      </c>
      <c r="BO272" s="64">
        <f>IFERROR(1/J272*(X272/H272),"0")</f>
        <v>0.27472527472527475</v>
      </c>
      <c r="BP272" s="64">
        <f>IFERROR(1/J272*(Y272/H272),"0")</f>
        <v>0.27472527472527475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140</v>
      </c>
      <c r="Y273" s="542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108.33333333333334</v>
      </c>
      <c r="Y274" s="543">
        <f>IFERROR(Y271/H271,"0")+IFERROR(Y272/H272,"0")+IFERROR(Y273/H273,"0")</f>
        <v>109</v>
      </c>
      <c r="Z274" s="543">
        <f>IFERROR(IF(Z271="",0,Z271),"0")+IFERROR(IF(Z272="",0,Z272),"0")+IFERROR(IF(Z273="",0,Z273),"0")</f>
        <v>0.70958999999999994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260</v>
      </c>
      <c r="Y275" s="543">
        <f>IFERROR(SUM(Y271:Y273),"0")</f>
        <v>261.60000000000002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210</v>
      </c>
      <c r="Y283" s="542">
        <f>IFERROR(IF(X283="",0,CEILING((X283/$H283),1)*$H283),"")</f>
        <v>212.4</v>
      </c>
      <c r="Z283" s="36">
        <f>IFERROR(IF(Y283=0,"",ROUNDUP(Y283/H283,0)*0.00902),"")</f>
        <v>0.53217999999999999</v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221.08333333333331</v>
      </c>
      <c r="BN283" s="64">
        <f>IFERROR(Y283*I283/H283,"0")</f>
        <v>223.60999999999999</v>
      </c>
      <c r="BO283" s="64">
        <f>IFERROR(1/J283*(X283/H283),"0")</f>
        <v>0.44191919191919188</v>
      </c>
      <c r="BP283" s="64">
        <f>IFERROR(1/J283*(Y283/H283),"0")</f>
        <v>0.44696969696969696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58.333333333333329</v>
      </c>
      <c r="Y285" s="543">
        <f>IFERROR(Y283/H283,"0")+IFERROR(Y284/H284,"0")</f>
        <v>59</v>
      </c>
      <c r="Z285" s="543">
        <f>IFERROR(IF(Z283="",0,Z283),"0")+IFERROR(IF(Z284="",0,Z284),"0")</f>
        <v>0.53217999999999999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210</v>
      </c>
      <c r="Y286" s="543">
        <f>IFERROR(SUM(Y283:Y284),"0")</f>
        <v>212.4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120</v>
      </c>
      <c r="Y294" s="542">
        <f t="shared" si="26"/>
        <v>120</v>
      </c>
      <c r="Z294" s="36">
        <f>IFERROR(IF(Y294=0,"",ROUNDUP(Y294/H294,0)*0.00902),"")</f>
        <v>0.27060000000000001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125.70000000000002</v>
      </c>
      <c r="BN294" s="64">
        <f t="shared" si="28"/>
        <v>125.70000000000002</v>
      </c>
      <c r="BO294" s="64">
        <f t="shared" si="29"/>
        <v>0.22727272727272729</v>
      </c>
      <c r="BP294" s="64">
        <f t="shared" si="30"/>
        <v>0.22727272727272729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30</v>
      </c>
      <c r="Y295" s="543">
        <f>IFERROR(Y289/H289,"0")+IFERROR(Y290/H290,"0")+IFERROR(Y291/H291,"0")+IFERROR(Y292/H292,"0")+IFERROR(Y293/H293,"0")+IFERROR(Y294/H294,"0")</f>
        <v>30</v>
      </c>
      <c r="Z295" s="543">
        <f>IFERROR(IF(Z289="",0,Z289),"0")+IFERROR(IF(Z290="",0,Z290),"0")+IFERROR(IF(Z291="",0,Z291),"0")+IFERROR(IF(Z292="",0,Z292),"0")+IFERROR(IF(Z293="",0,Z293),"0")+IFERROR(IF(Z294="",0,Z294),"0")</f>
        <v>0.27060000000000001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120</v>
      </c>
      <c r="Y296" s="543">
        <f>IFERROR(SUM(Y289:Y294),"0")</f>
        <v>120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105</v>
      </c>
      <c r="Y302" s="542">
        <f t="shared" si="31"/>
        <v>105</v>
      </c>
      <c r="Z302" s="36">
        <f>IFERROR(IF(Y302=0,"",ROUNDUP(Y302/H302,0)*0.00502),"")</f>
        <v>0.251</v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110.00000000000001</v>
      </c>
      <c r="BN302" s="64">
        <f t="shared" si="33"/>
        <v>110.00000000000001</v>
      </c>
      <c r="BO302" s="64">
        <f t="shared" si="34"/>
        <v>0.21367521367521369</v>
      </c>
      <c r="BP302" s="64">
        <f t="shared" si="35"/>
        <v>0.21367521367521369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90</v>
      </c>
      <c r="Y304" s="542">
        <f t="shared" si="31"/>
        <v>90</v>
      </c>
      <c r="Z304" s="36">
        <f>IFERROR(IF(Y304=0,"",ROUNDUP(Y304/H304,0)*0.00651),"")</f>
        <v>0.32550000000000001</v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101.4</v>
      </c>
      <c r="BN304" s="64">
        <f t="shared" si="33"/>
        <v>101.4</v>
      </c>
      <c r="BO304" s="64">
        <f t="shared" si="34"/>
        <v>0.27472527472527475</v>
      </c>
      <c r="BP304" s="64">
        <f t="shared" si="35"/>
        <v>0.27472527472527475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100</v>
      </c>
      <c r="Y305" s="543">
        <f>IFERROR(Y298/H298,"0")+IFERROR(Y299/H299,"0")+IFERROR(Y300/H300,"0")+IFERROR(Y301/H301,"0")+IFERROR(Y302/H302,"0")+IFERROR(Y303/H303,"0")+IFERROR(Y304/H304,"0")</f>
        <v>100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0.57650000000000001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195</v>
      </c>
      <c r="Y306" s="543">
        <f>IFERROR(SUM(Y298:Y304),"0")</f>
        <v>195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38</v>
      </c>
      <c r="Y330" s="542">
        <f>IFERROR(IF(X330="",0,CEILING((X330/$H330),1)*$H330),"")</f>
        <v>38</v>
      </c>
      <c r="Z330" s="36">
        <f>IFERROR(IF(Y330=0,"",ROUNDUP(Y330/H330,0)*0.00474),"")</f>
        <v>9.0060000000000001E-2</v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42.56</v>
      </c>
      <c r="BN330" s="64">
        <f>IFERROR(Y330*I330/H330,"0")</f>
        <v>42.56</v>
      </c>
      <c r="BO330" s="64">
        <f>IFERROR(1/J330*(X330/H330),"0")</f>
        <v>7.9831932773109238E-2</v>
      </c>
      <c r="BP330" s="64">
        <f>IFERROR(1/J330*(Y330/H330),"0")</f>
        <v>7.9831932773109238E-2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19</v>
      </c>
      <c r="Y331" s="543">
        <f>IFERROR(Y328/H328,"0")+IFERROR(Y329/H329,"0")+IFERROR(Y330/H330,"0")</f>
        <v>19</v>
      </c>
      <c r="Z331" s="543">
        <f>IFERROR(IF(Z328="",0,Z328),"0")+IFERROR(IF(Z329="",0,Z329),"0")+IFERROR(IF(Z330="",0,Z330),"0")</f>
        <v>9.0060000000000001E-2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38</v>
      </c>
      <c r="Y332" s="543">
        <f>IFERROR(SUM(Y328:Y330),"0")</f>
        <v>38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105</v>
      </c>
      <c r="Y336" s="542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117.59999999999998</v>
      </c>
      <c r="BN336" s="64">
        <f>IFERROR(Y336*I336/H336,"0")</f>
        <v>117.59999999999998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122.5</v>
      </c>
      <c r="Y337" s="542">
        <f>IFERROR(IF(X337="",0,CEILING((X337/$H337),1)*$H337),"")</f>
        <v>123.9</v>
      </c>
      <c r="Z337" s="36">
        <f>IFERROR(IF(Y337=0,"",ROUNDUP(Y337/H337,0)*0.00651),"")</f>
        <v>0.38408999999999999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136.49999999999997</v>
      </c>
      <c r="BN337" s="64">
        <f>IFERROR(Y337*I337/H337,"0")</f>
        <v>138.06</v>
      </c>
      <c r="BO337" s="64">
        <f>IFERROR(1/J337*(X337/H337),"0")</f>
        <v>0.32051282051282048</v>
      </c>
      <c r="BP337" s="64">
        <f>IFERROR(1/J337*(Y337/H337),"0")</f>
        <v>0.32417582417582419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108.33333333333333</v>
      </c>
      <c r="Y338" s="543">
        <f>IFERROR(Y335/H335,"0")+IFERROR(Y336/H336,"0")+IFERROR(Y337/H337,"0")</f>
        <v>109</v>
      </c>
      <c r="Z338" s="543">
        <f>IFERROR(IF(Z335="",0,Z335),"0")+IFERROR(IF(Z336="",0,Z336),"0")+IFERROR(IF(Z337="",0,Z337),"0")</f>
        <v>0.70958999999999994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227.5</v>
      </c>
      <c r="Y339" s="543">
        <f>IFERROR(SUM(Y335:Y337),"0")</f>
        <v>228.9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175</v>
      </c>
      <c r="Y349" s="542">
        <f t="shared" si="36"/>
        <v>175</v>
      </c>
      <c r="Z349" s="36">
        <f>IFERROR(IF(Y349=0,"",ROUNDUP(Y349/H349,0)*0.00902),"")</f>
        <v>0.31569999999999998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181.65000000000003</v>
      </c>
      <c r="BN349" s="64">
        <f t="shared" si="38"/>
        <v>181.65000000000003</v>
      </c>
      <c r="BO349" s="64">
        <f t="shared" si="39"/>
        <v>0.26515151515151514</v>
      </c>
      <c r="BP349" s="64">
        <f t="shared" si="40"/>
        <v>0.26515151515151514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35</v>
      </c>
      <c r="Y350" s="543">
        <f>IFERROR(Y343/H343,"0")+IFERROR(Y344/H344,"0")+IFERROR(Y345/H345,"0")+IFERROR(Y346/H346,"0")+IFERROR(Y347/H347,"0")+IFERROR(Y348/H348,"0")+IFERROR(Y349/H349,"0")</f>
        <v>35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0.31569999999999998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175</v>
      </c>
      <c r="Y351" s="543">
        <f>IFERROR(SUM(Y343:Y349),"0")</f>
        <v>175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120</v>
      </c>
      <c r="Y354" s="542">
        <f>IFERROR(IF(X354="",0,CEILING((X354/$H354),1)*$H354),"")</f>
        <v>120</v>
      </c>
      <c r="Z354" s="36">
        <f>IFERROR(IF(Y354=0,"",ROUNDUP(Y354/H354,0)*0.00902),"")</f>
        <v>0.27060000000000001</v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125.70000000000002</v>
      </c>
      <c r="BN354" s="64">
        <f>IFERROR(Y354*I354/H354,"0")</f>
        <v>125.70000000000002</v>
      </c>
      <c r="BO354" s="64">
        <f>IFERROR(1/J354*(X354/H354),"0")</f>
        <v>0.22727272727272729</v>
      </c>
      <c r="BP354" s="64">
        <f>IFERROR(1/J354*(Y354/H354),"0")</f>
        <v>0.22727272727272729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30</v>
      </c>
      <c r="Y355" s="543">
        <f>IFERROR(Y353/H353,"0")+IFERROR(Y354/H354,"0")</f>
        <v>30</v>
      </c>
      <c r="Z355" s="543">
        <f>IFERROR(IF(Z353="",0,Z353),"0")+IFERROR(IF(Z354="",0,Z354),"0")</f>
        <v>0.27060000000000001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120</v>
      </c>
      <c r="Y356" s="543">
        <f>IFERROR(SUM(Y353:Y354),"0")</f>
        <v>120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105</v>
      </c>
      <c r="Y389" s="542">
        <f t="shared" si="41"/>
        <v>105</v>
      </c>
      <c r="Z389" s="36">
        <f t="shared" si="46"/>
        <v>0.251</v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111.5</v>
      </c>
      <c r="BN389" s="64">
        <f t="shared" si="43"/>
        <v>111.5</v>
      </c>
      <c r="BO389" s="64">
        <f t="shared" si="44"/>
        <v>0.21367521367521369</v>
      </c>
      <c r="BP389" s="64">
        <f t="shared" si="45"/>
        <v>0.21367521367521369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105</v>
      </c>
      <c r="Y390" s="542">
        <f t="shared" si="41"/>
        <v>105</v>
      </c>
      <c r="Z390" s="36">
        <f t="shared" si="46"/>
        <v>0.251</v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122.5</v>
      </c>
      <c r="Y392" s="542">
        <f t="shared" si="41"/>
        <v>123.9</v>
      </c>
      <c r="Z392" s="36">
        <f t="shared" si="46"/>
        <v>0.29618</v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130.08333333333334</v>
      </c>
      <c r="BN392" s="64">
        <f t="shared" si="43"/>
        <v>131.57</v>
      </c>
      <c r="BO392" s="64">
        <f t="shared" si="44"/>
        <v>0.2492877492877493</v>
      </c>
      <c r="BP392" s="64">
        <f t="shared" si="45"/>
        <v>0.25213675213675218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105</v>
      </c>
      <c r="Y393" s="542">
        <f t="shared" si="41"/>
        <v>105</v>
      </c>
      <c r="Z393" s="36">
        <f t="shared" si="46"/>
        <v>0.251</v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111.5</v>
      </c>
      <c r="BN393" s="64">
        <f t="shared" si="43"/>
        <v>111.5</v>
      </c>
      <c r="BO393" s="64">
        <f t="shared" si="44"/>
        <v>0.21367521367521369</v>
      </c>
      <c r="BP393" s="64">
        <f t="shared" si="45"/>
        <v>0.21367521367521369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208.33333333333331</v>
      </c>
      <c r="Y394" s="543">
        <f>IFERROR(Y385/H385,"0")+IFERROR(Y386/H386,"0")+IFERROR(Y387/H387,"0")+IFERROR(Y388/H388,"0")+IFERROR(Y389/H389,"0")+IFERROR(Y390/H390,"0")+IFERROR(Y391/H391,"0")+IFERROR(Y392/H392,"0")+IFERROR(Y393/H393,"0")</f>
        <v>209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1.04918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437.5</v>
      </c>
      <c r="Y395" s="543">
        <f>IFERROR(SUM(Y385:Y393),"0")</f>
        <v>438.9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240</v>
      </c>
      <c r="Y397" s="542">
        <f>IFERROR(IF(X397="",0,CEILING((X397/$H397),1)*$H397),"")</f>
        <v>240</v>
      </c>
      <c r="Z397" s="36">
        <f>IFERROR(IF(Y397=0,"",ROUNDUP(Y397/H397,0)*0.00902),"")</f>
        <v>0.90200000000000002</v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262.60000000000002</v>
      </c>
      <c r="BN397" s="64">
        <f>IFERROR(Y397*I397/H397,"0")</f>
        <v>262.60000000000002</v>
      </c>
      <c r="BO397" s="64">
        <f>IFERROR(1/J397*(X397/H397),"0")</f>
        <v>0.75757575757575757</v>
      </c>
      <c r="BP397" s="64">
        <f>IFERROR(1/J397*(Y397/H397),"0")</f>
        <v>0.75757575757575757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132</v>
      </c>
      <c r="Y398" s="542">
        <f>IFERROR(IF(X398="",0,CEILING((X398/$H398),1)*$H398),"")</f>
        <v>132.66</v>
      </c>
      <c r="Z398" s="36">
        <f>IFERROR(IF(Y398=0,"",ROUNDUP(Y398/H398,0)*0.00651),"")</f>
        <v>0.43617</v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149.19999999999999</v>
      </c>
      <c r="BN398" s="64">
        <f>IFERROR(Y398*I398/H398,"0")</f>
        <v>149.946</v>
      </c>
      <c r="BO398" s="64">
        <f>IFERROR(1/J398*(X398/H398),"0")</f>
        <v>0.36630036630036633</v>
      </c>
      <c r="BP398" s="64">
        <f>IFERROR(1/J398*(Y398/H398),"0")</f>
        <v>0.36813186813186816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166.66666666666669</v>
      </c>
      <c r="Y399" s="543">
        <f>IFERROR(Y397/H397,"0")+IFERROR(Y398/H398,"0")</f>
        <v>167</v>
      </c>
      <c r="Z399" s="543">
        <f>IFERROR(IF(Z397="",0,Z397),"0")+IFERROR(IF(Z398="",0,Z398),"0")</f>
        <v>1.3381700000000001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372</v>
      </c>
      <c r="Y400" s="543">
        <f>IFERROR(SUM(Y397:Y398),"0")</f>
        <v>372.65999999999997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150</v>
      </c>
      <c r="Y431" s="542">
        <f t="shared" si="47"/>
        <v>153.6</v>
      </c>
      <c r="Z431" s="36">
        <f>IFERROR(IF(Y431=0,"",ROUNDUP(Y431/H431,0)*0.00902),"")</f>
        <v>0.28864000000000001</v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215.9375</v>
      </c>
      <c r="BN431" s="64">
        <f t="shared" si="50"/>
        <v>221.12</v>
      </c>
      <c r="BO431" s="64">
        <f t="shared" si="51"/>
        <v>0.23674242424242425</v>
      </c>
      <c r="BP431" s="64">
        <f t="shared" si="52"/>
        <v>0.24242424242424243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31.25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0.28864000000000001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150</v>
      </c>
      <c r="Y433" s="543">
        <f>IFERROR(SUM(Y421:Y431),"0")</f>
        <v>153.6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4062.9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4083.08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4503.3041666666668</v>
      </c>
      <c r="Y490" s="543">
        <f>IFERROR(SUM(BN22:BN486),"0")</f>
        <v>4526.5940000000001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10</v>
      </c>
      <c r="Y491" s="38">
        <f>ROUNDUP(SUM(BP22:BP486),0)</f>
        <v>10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4753.3041666666668</v>
      </c>
      <c r="Y492" s="543">
        <f>GrossWeightTotalR+PalletQtyTotalR*25</f>
        <v>4776.5940000000001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1606.9166666666665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1615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11.288869999999999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90</v>
      </c>
      <c r="C499" s="46">
        <f>IFERROR(Y40*1,"0")+IFERROR(Y41*1,"0")+IFERROR(Y42*1,"0")+IFERROR(Y46*1,"0")</f>
        <v>246.2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475.5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232.92000000000002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302.39999999999998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300</v>
      </c>
      <c r="L499" s="46">
        <f>IFERROR(Y254*1,"0")+IFERROR(Y255*1,"0")+IFERROR(Y256*1,"0")+IFERROR(Y257*1,"0")+IFERROR(Y258*1,"0")</f>
        <v>120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261.60000000000002</v>
      </c>
      <c r="P499" s="46">
        <f>IFERROR(Y278*1,"0")+IFERROR(Y279*1,"0")+IFERROR(Y283*1,"0")+IFERROR(Y284*1,"0")</f>
        <v>212.4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353</v>
      </c>
      <c r="R499" s="46">
        <f>IFERROR(Y335*1,"0")+IFERROR(Y336*1,"0")+IFERROR(Y337*1,"0")</f>
        <v>228.9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811.56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153.6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