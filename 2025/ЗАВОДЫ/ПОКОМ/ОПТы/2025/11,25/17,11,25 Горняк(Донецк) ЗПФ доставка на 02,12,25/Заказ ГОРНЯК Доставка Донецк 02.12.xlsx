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2F1F72-4476-42D2-8D73-67045D86C8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<sst xmlns="http://schemas.openxmlformats.org/spreadsheetml/2006/main" count="165" uniqueCount="72">
  <si>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</si>
  <si>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</si>
  <si>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</si>
  <si>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</si>
  <si>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</si>
  <si>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</si>
  <si>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</si>
  <si>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</si>
  <si>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</si>
  <si>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</si>
  <si>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</si>
  <si>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</si>
  <si>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</si>
  <si>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</si>
  <si>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</si>
  <si>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</si>
  <si>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</si>
  <si>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</si>
  <si>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</si>
  <si>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</si>
  <si>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</si>
  <si>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</si>
  <si>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</si>
  <si>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</si>
  <si>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</si>
  <si>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</si>
  <si>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</si>
  <si>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</si>
  <si>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</si>
  <si>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</si>
  <si>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</si>
  <si>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</si>
  <si>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</si>
  <si>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</si>
  <si>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</si>
  <si>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</si>
  <si>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</si>
  <si>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</si>
  <si>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</si>
  <si>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</si>
  <si>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</si>
  <si>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</si>
  <si>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</si>
  <si>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</si>
  <si>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</si>
  <si>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</si>
  <si>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</si>
  <si>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</si>
  <si>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</si>
  <si>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</si>
  <si>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</si>
  <si>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</si>
  <si>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</si>
  <si>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</si>
  <si>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</si>
  <si>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</si>
  <si>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</si>
  <si>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</si>
  <si>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</si>
  <si>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</si>
  <si>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</si>
  <si>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</si>
  <si>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</si>
  <si>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</si>
  <si>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</si>
  <si>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</si>
  <si>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</si>
  <si>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</si>
  <si>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</si>
  <si>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</si>
  <si>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</si>
  <si>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02.12.25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</si>
</sst>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38" activePane="bottomRight" state="frozen"/>
      <selection pane="topRight" activeCell="F1" sqref="F1"/>
      <selection pane="bottomLeft" activeCell="A8" sqref="A8"/>
      <selection pane="bottomRight" activeCell="P43" sqref="P43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112</v>
      </c>
      <c r="J8" s="77">
        <f t="shared" ref="J8:J37" si="0">I8*$D8</f>
        <v>168</v>
      </c>
      <c r="K8" s="48">
        <f t="shared" ref="K8:K37" si="1">I8*$E8</f>
        <v>215.24160000000001</v>
      </c>
      <c r="L8" s="48">
        <f t="shared" ref="L8:L37" si="2">I8/$F8</f>
        <v>0.8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140</v>
      </c>
      <c r="J9" s="77">
        <f t="shared" si="0"/>
        <v>210</v>
      </c>
      <c r="K9" s="48">
        <f t="shared" si="1"/>
        <v>269.05200000000002</v>
      </c>
      <c r="L9" s="48">
        <f t="shared" si="2"/>
        <v>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84</v>
      </c>
      <c r="J10" s="77">
        <f t="shared" si="0"/>
        <v>470.4</v>
      </c>
      <c r="K10" s="48">
        <f t="shared" si="1"/>
        <v>493.08</v>
      </c>
      <c r="L10" s="48">
        <f t="shared" si="2"/>
        <v>1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120</v>
      </c>
      <c r="J12" s="77">
        <f t="shared" si="0"/>
        <v>672</v>
      </c>
      <c r="K12" s="48">
        <f t="shared" si="1"/>
        <v>704.4</v>
      </c>
      <c r="L12" s="48">
        <f t="shared" si="2"/>
        <v>1.4285714285714286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12</v>
      </c>
      <c r="J16" s="77">
        <f t="shared" si="0"/>
        <v>84</v>
      </c>
      <c r="K16" s="48">
        <f t="shared" si="1"/>
        <v>87.431999999999988</v>
      </c>
      <c r="L16" s="48">
        <f t="shared" si="2"/>
        <v>0.14285714285714285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0</v>
      </c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36</v>
      </c>
      <c r="J18" s="77">
        <f t="shared" si="0"/>
        <v>252</v>
      </c>
      <c r="K18" s="48">
        <f t="shared" si="1"/>
        <v>262.8</v>
      </c>
      <c r="L18" s="48">
        <f t="shared" si="2"/>
        <v>0.42857142857142855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60</v>
      </c>
      <c r="J20" s="77">
        <f t="shared" si="0"/>
        <v>300</v>
      </c>
      <c r="K20" s="48">
        <f t="shared" si="1"/>
        <v>312.79199999999997</v>
      </c>
      <c r="L20" s="48">
        <f t="shared" si="2"/>
        <v>0.41666666666666669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126</v>
      </c>
      <c r="J22" s="77">
        <f t="shared" si="0"/>
        <v>453.6</v>
      </c>
      <c r="K22" s="48">
        <f t="shared" si="1"/>
        <v>542.25360000000001</v>
      </c>
      <c r="L22" s="48">
        <f t="shared" si="2"/>
        <v>1.8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28</v>
      </c>
      <c r="J24" s="77">
        <f t="shared" si="0"/>
        <v>80.64</v>
      </c>
      <c r="K24" s="48">
        <f t="shared" si="1"/>
        <v>100.3408</v>
      </c>
      <c r="L24" s="48">
        <f t="shared" si="2"/>
        <v>0.4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70</v>
      </c>
      <c r="J25" s="77">
        <f t="shared" si="0"/>
        <v>201.6</v>
      </c>
      <c r="K25" s="48">
        <f t="shared" si="1"/>
        <v>250.852</v>
      </c>
      <c r="L25" s="48">
        <f t="shared" si="2"/>
        <v>1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14</v>
      </c>
      <c r="J26" s="77">
        <f t="shared" si="0"/>
        <v>40.32</v>
      </c>
      <c r="K26" s="48">
        <f t="shared" si="1"/>
        <v>50.170400000000001</v>
      </c>
      <c r="L26" s="48">
        <f t="shared" si="2"/>
        <v>0.2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70</v>
      </c>
      <c r="J27" s="77">
        <f t="shared" si="0"/>
        <v>201.6</v>
      </c>
      <c r="K27" s="48">
        <f t="shared" si="1"/>
        <v>250.852</v>
      </c>
      <c r="L27" s="48">
        <f t="shared" si="2"/>
        <v>1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70</v>
      </c>
      <c r="J28" s="77">
        <f t="shared" si="0"/>
        <v>268.8</v>
      </c>
      <c r="K28" s="48">
        <f t="shared" si="1"/>
        <v>311.416</v>
      </c>
      <c r="L28" s="48">
        <f t="shared" si="2"/>
        <v>1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42</v>
      </c>
      <c r="J29" s="77">
        <f t="shared" si="0"/>
        <v>176.4</v>
      </c>
      <c r="K29" s="48">
        <f t="shared" si="1"/>
        <v>190.22640000000001</v>
      </c>
      <c r="L29" s="48">
        <f t="shared" si="2"/>
        <v>0.6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96</v>
      </c>
      <c r="J30" s="77">
        <f t="shared" si="0"/>
        <v>614.40000000000009</v>
      </c>
      <c r="K30" s="48">
        <f t="shared" si="1"/>
        <v>645.08159999999998</v>
      </c>
      <c r="L30" s="48">
        <f t="shared" si="2"/>
        <v>1.1428571428571428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156</v>
      </c>
      <c r="J31" s="77">
        <f t="shared" si="0"/>
        <v>1092</v>
      </c>
      <c r="K31" s="48">
        <f t="shared" si="1"/>
        <v>1138.8</v>
      </c>
      <c r="L31" s="48">
        <f t="shared" si="2"/>
        <v>1.8571428571428572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84</v>
      </c>
      <c r="J32" s="77">
        <f t="shared" si="0"/>
        <v>537.6</v>
      </c>
      <c r="K32" s="48">
        <f t="shared" si="1"/>
        <v>564.44640000000004</v>
      </c>
      <c r="L32" s="48">
        <f t="shared" si="2"/>
        <v>1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48</v>
      </c>
      <c r="J33" s="77">
        <f t="shared" si="0"/>
        <v>336</v>
      </c>
      <c r="K33" s="48">
        <f t="shared" si="1"/>
        <v>350.4</v>
      </c>
      <c r="L33" s="48">
        <f t="shared" si="2"/>
        <v>0.5714285714285714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84</v>
      </c>
      <c r="J34" s="77">
        <f t="shared" si="0"/>
        <v>252</v>
      </c>
      <c r="K34" s="48">
        <f t="shared" si="1"/>
        <v>311.10239999999999</v>
      </c>
      <c r="L34" s="48">
        <f t="shared" si="2"/>
        <v>1.2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56</v>
      </c>
      <c r="J35" s="77">
        <f t="shared" si="0"/>
        <v>168</v>
      </c>
      <c r="K35" s="48">
        <f t="shared" si="1"/>
        <v>207.40159999999997</v>
      </c>
      <c r="L35" s="48">
        <f t="shared" si="2"/>
        <v>0.8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42</v>
      </c>
      <c r="J37" s="77">
        <f t="shared" si="0"/>
        <v>126</v>
      </c>
      <c r="K37" s="48">
        <f t="shared" si="1"/>
        <v>155.55119999999999</v>
      </c>
      <c r="L37" s="48">
        <f t="shared" si="2"/>
        <v>0.6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42</v>
      </c>
      <c r="J38" s="77">
        <f t="shared" ref="J38:J58" si="3">I38*$D38</f>
        <v>100.8</v>
      </c>
      <c r="K38" s="48">
        <f t="shared" ref="K38:K58" si="4">I38*$E38</f>
        <v>112.56</v>
      </c>
      <c r="L38" s="48">
        <f t="shared" ref="L38:L58" si="5">I38/$F38</f>
        <v>0.6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56</v>
      </c>
      <c r="J39" s="77">
        <f t="shared" si="3"/>
        <v>134.4</v>
      </c>
      <c r="K39" s="48">
        <f t="shared" si="4"/>
        <v>150.08000000000001</v>
      </c>
      <c r="L39" s="48">
        <f t="shared" si="5"/>
        <v>0.8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14</v>
      </c>
      <c r="J40" s="77">
        <f t="shared" si="3"/>
        <v>42</v>
      </c>
      <c r="K40" s="48">
        <f t="shared" si="4"/>
        <v>51.850399999999993</v>
      </c>
      <c r="L40" s="48">
        <f t="shared" si="5"/>
        <v>0.2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84</v>
      </c>
      <c r="J43" s="77">
        <f t="shared" si="3"/>
        <v>141.12</v>
      </c>
      <c r="K43" s="48">
        <f t="shared" si="4"/>
        <v>176.55119999999999</v>
      </c>
      <c r="L43" s="48">
        <f t="shared" si="5"/>
        <v>0.6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56</v>
      </c>
      <c r="J44" s="77">
        <f t="shared" si="3"/>
        <v>168</v>
      </c>
      <c r="K44" s="48">
        <f t="shared" si="4"/>
        <v>189.72800000000001</v>
      </c>
      <c r="L44" s="48">
        <f t="shared" si="5"/>
        <v>0.8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70</v>
      </c>
      <c r="J45" s="77">
        <f t="shared" si="3"/>
        <v>210</v>
      </c>
      <c r="K45" s="48">
        <f t="shared" si="4"/>
        <v>237.16</v>
      </c>
      <c r="L45" s="48">
        <f t="shared" si="5"/>
        <v>1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180</v>
      </c>
      <c r="J51" s="77">
        <f t="shared" si="3"/>
        <v>1080</v>
      </c>
      <c r="K51" s="48">
        <f t="shared" si="4"/>
        <v>1126.8</v>
      </c>
      <c r="L51" s="48">
        <f t="shared" si="5"/>
        <v>2.1428571428571428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504</v>
      </c>
      <c r="J53" s="77">
        <f t="shared" si="3"/>
        <v>1864.8000000000002</v>
      </c>
      <c r="K53" s="48">
        <f t="shared" si="4"/>
        <v>1961.568</v>
      </c>
      <c r="L53" s="48">
        <f t="shared" si="5"/>
        <v>4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120</v>
      </c>
      <c r="J54" s="77">
        <f t="shared" si="3"/>
        <v>660</v>
      </c>
      <c r="K54" s="48">
        <f t="shared" si="4"/>
        <v>688.2</v>
      </c>
      <c r="L54" s="48">
        <f t="shared" si="5"/>
        <v>1.4285714285714286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140</v>
      </c>
      <c r="J55" s="77">
        <f t="shared" si="3"/>
        <v>420</v>
      </c>
      <c r="K55" s="48">
        <f t="shared" si="4"/>
        <v>446.88</v>
      </c>
      <c r="L55" s="48">
        <f t="shared" si="5"/>
        <v>1.1111111111111112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0</v>
      </c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378</v>
      </c>
      <c r="J57" s="77">
        <f t="shared" si="3"/>
        <v>1398.6000000000001</v>
      </c>
      <c r="K57" s="48">
        <f t="shared" si="4"/>
        <v>1471.1759999999999</v>
      </c>
      <c r="L57" s="48">
        <f t="shared" si="5"/>
        <v>3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3304</v>
      </c>
      <c r="J59" s="30">
        <f>SUM(J8:J58)</f>
        <v>13345.08</v>
      </c>
      <c r="K59" s="30">
        <f>SUM(K8:K58)</f>
        <v>14518.438399999995</v>
      </c>
      <c r="L59" s="49">
        <f>SUM(L8:L58)</f>
        <v>35.613492063492068</v>
      </c>
      <c r="M59" s="47">
        <f>ROUNDUP(L59,0)</f>
        <v>36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15230.708241269836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2025-11-17T08:16:21Z</dcterms:modified>
</cp:coreProperties>
</file>