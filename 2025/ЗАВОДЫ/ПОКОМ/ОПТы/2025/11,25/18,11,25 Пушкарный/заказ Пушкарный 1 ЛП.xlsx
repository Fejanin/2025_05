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C3D86F1-CB2F-4C15-BCB1-FFCEE9F5DD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Z216" i="1" s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Z260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Z306" i="1" s="1"/>
  <c r="BP303" i="1"/>
  <c r="BN303" i="1"/>
  <c r="Z303" i="1"/>
  <c r="BP311" i="1"/>
  <c r="BN311" i="1"/>
  <c r="Z311" i="1"/>
  <c r="Y320" i="1"/>
  <c r="Z326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Z448" i="1" s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33" i="1" l="1"/>
  <c r="Z235" i="1"/>
  <c r="Y492" i="1"/>
  <c r="Z149" i="1"/>
  <c r="Z69" i="1"/>
  <c r="Y490" i="1"/>
  <c r="Z395" i="1"/>
  <c r="Z313" i="1"/>
  <c r="Z172" i="1"/>
  <c r="Z43" i="1"/>
  <c r="Z31" i="1"/>
  <c r="Z495" i="1" s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<sst xmlns="http://schemas.openxmlformats.org/spreadsheetml/2006/main" count="2349" uniqueCount="770">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</sst>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80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30</v>
      </c>
      <c r="Y51" s="544">
        <f t="shared" ref="Y51:Y56" si="0">IFERROR(IF(X51="",0,CEILING((X51/$H51),1)*$H51),"")</f>
        <v>33.599999999999994</v>
      </c>
      <c r="Z51" s="36">
        <f>IFERROR(IF(Y51=0,"",ROUNDUP(Y51/H51,0)*0.01898),"")</f>
        <v>5.6940000000000004E-2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31.098214285714285</v>
      </c>
      <c r="BN51" s="64">
        <f t="shared" ref="BN51:BN56" si="2">IFERROR(Y51*I51/H51,"0")</f>
        <v>34.829999999999991</v>
      </c>
      <c r="BO51" s="64">
        <f t="shared" ref="BO51:BO56" si="3">IFERROR(1/J51*(X51/H51),"0")</f>
        <v>4.1852678571428575E-2</v>
      </c>
      <c r="BP51" s="64">
        <f t="shared" ref="BP51:BP56" si="4">IFERROR(1/J51*(Y51/H51),"0")</f>
        <v>4.6874999999999993E-2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2.6785714285714288</v>
      </c>
      <c r="Y57" s="545">
        <f>IFERROR(Y51/H51,"0")+IFERROR(Y52/H52,"0")+IFERROR(Y53/H53,"0")+IFERROR(Y54/H54,"0")+IFERROR(Y55/H55,"0")+IFERROR(Y56/H56,"0")</f>
        <v>2.9999999999999996</v>
      </c>
      <c r="Z57" s="545">
        <f>IFERROR(IF(Z51="",0,Z51),"0")+IFERROR(IF(Z52="",0,Z52),"0")+IFERROR(IF(Z53="",0,Z53),"0")+IFERROR(IF(Z54="",0,Z54),"0")+IFERROR(IF(Z55="",0,Z55),"0")+IFERROR(IF(Z56="",0,Z56),"0")</f>
        <v>5.6940000000000004E-2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30</v>
      </c>
      <c r="Y58" s="545">
        <f>IFERROR(SUM(Y51:Y56),"0")</f>
        <v>33.599999999999994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750</v>
      </c>
      <c r="Y60" s="544">
        <f>IFERROR(IF(X60="",0,CEILING((X60/$H60),1)*$H60),"")</f>
        <v>756</v>
      </c>
      <c r="Z60" s="36">
        <f>IFERROR(IF(Y60=0,"",ROUNDUP(Y60/H60,0)*0.01898),"")</f>
        <v>1.3286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778.47222222222217</v>
      </c>
      <c r="BN60" s="64">
        <f>IFERROR(Y60*I60/H60,"0")</f>
        <v>784.69999999999993</v>
      </c>
      <c r="BO60" s="64">
        <f>IFERROR(1/J60*(X60/H60),"0")</f>
        <v>1.0850694444444444</v>
      </c>
      <c r="BP60" s="64">
        <f>IFERROR(1/J60*(Y60/H60),"0")</f>
        <v>1.09375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69.444444444444443</v>
      </c>
      <c r="Y63" s="545">
        <f>IFERROR(Y60/H60,"0")+IFERROR(Y61/H61,"0")+IFERROR(Y62/H62,"0")</f>
        <v>70</v>
      </c>
      <c r="Z63" s="545">
        <f>IFERROR(IF(Z60="",0,Z60),"0")+IFERROR(IF(Z61="",0,Z61),"0")+IFERROR(IF(Z62="",0,Z62),"0")</f>
        <v>1.3286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750</v>
      </c>
      <c r="Y64" s="545">
        <f>IFERROR(SUM(Y60:Y62),"0")</f>
        <v>756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24</v>
      </c>
      <c r="Y91" s="544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25.4637037037037</v>
      </c>
      <c r="BN91" s="64">
        <f>IFERROR(Y91*I91/H91,"0")</f>
        <v>25.781999999999996</v>
      </c>
      <c r="BO91" s="64">
        <f>IFERROR(1/J91*(X91/H91),"0")</f>
        <v>4.6296296296296301E-2</v>
      </c>
      <c r="BP91" s="64">
        <f>IFERROR(1/J91*(Y91/H91),"0")</f>
        <v>4.6875E-2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2.9629629629629632</v>
      </c>
      <c r="Y95" s="545">
        <f>IFERROR(Y91/H91,"0")+IFERROR(Y92/H92,"0")+IFERROR(Y93/H93,"0")+IFERROR(Y94/H94,"0")</f>
        <v>3</v>
      </c>
      <c r="Z95" s="545">
        <f>IFERROR(IF(Z91="",0,Z91),"0")+IFERROR(IF(Z92="",0,Z92),"0")+IFERROR(IF(Z93="",0,Z93),"0")+IFERROR(IF(Z94="",0,Z94),"0")</f>
        <v>5.6940000000000004E-2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24</v>
      </c>
      <c r="Y96" s="545">
        <f>IFERROR(SUM(Y91:Y94),"0")</f>
        <v>24.299999999999997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120</v>
      </c>
      <c r="Y112" s="544">
        <f>IFERROR(IF(X112="",0,CEILING((X112/$H112),1)*$H112),"")</f>
        <v>121.5</v>
      </c>
      <c r="Z112" s="36">
        <f>IFERROR(IF(Y112=0,"",ROUNDUP(Y112/H112,0)*0.01898),"")</f>
        <v>0.28470000000000001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127.22962962962963</v>
      </c>
      <c r="BN112" s="64">
        <f>IFERROR(Y112*I112/H112,"0")</f>
        <v>128.82</v>
      </c>
      <c r="BO112" s="64">
        <f>IFERROR(1/J112*(X112/H112),"0")</f>
        <v>0.23148148148148148</v>
      </c>
      <c r="BP112" s="64">
        <f>IFERROR(1/J112*(Y112/H112),"0")</f>
        <v>0.234375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14.814814814814815</v>
      </c>
      <c r="Y116" s="545">
        <f>IFERROR(Y112/H112,"0")+IFERROR(Y113/H113,"0")+IFERROR(Y114/H114,"0")+IFERROR(Y115/H115,"0")</f>
        <v>15</v>
      </c>
      <c r="Z116" s="545">
        <f>IFERROR(IF(Z112="",0,Z112),"0")+IFERROR(IF(Z113="",0,Z113),"0")+IFERROR(IF(Z114="",0,Z114),"0")+IFERROR(IF(Z115="",0,Z115),"0")</f>
        <v>0.28470000000000001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120</v>
      </c>
      <c r="Y117" s="545">
        <f>IFERROR(SUM(Y112:Y115),"0")</f>
        <v>121.5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118.4</v>
      </c>
      <c r="Y124" s="544">
        <f>IFERROR(IF(X124="",0,CEILING((X124/$H124),1)*$H124),"")</f>
        <v>118.4</v>
      </c>
      <c r="Z124" s="36">
        <f>IFERROR(IF(Y124=0,"",ROUNDUP(Y124/H124,0)*0.00651),"")</f>
        <v>0.24087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125.06</v>
      </c>
      <c r="BN124" s="64">
        <f>IFERROR(Y124*I124/H124,"0")</f>
        <v>125.06</v>
      </c>
      <c r="BO124" s="64">
        <f>IFERROR(1/J124*(X124/H124),"0")</f>
        <v>0.20329670329670332</v>
      </c>
      <c r="BP124" s="64">
        <f>IFERROR(1/J124*(Y124/H124),"0")</f>
        <v>0.20329670329670332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37</v>
      </c>
      <c r="Y126" s="545">
        <f>IFERROR(Y124/H124,"0")+IFERROR(Y125/H125,"0")</f>
        <v>37</v>
      </c>
      <c r="Z126" s="545">
        <f>IFERROR(IF(Z124="",0,Z124),"0")+IFERROR(IF(Z125="",0,Z125),"0")</f>
        <v>0.24087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118.4</v>
      </c>
      <c r="Y127" s="545">
        <f>IFERROR(SUM(Y124:Y125),"0")</f>
        <v>118.4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13</v>
      </c>
      <c r="Y134" s="544">
        <f>IFERROR(IF(X134="",0,CEILING((X134/$H134),1)*$H134),"")</f>
        <v>13.200000000000001</v>
      </c>
      <c r="Z134" s="36">
        <f>IFERROR(IF(Y134=0,"",ROUNDUP(Y134/H134,0)*0.00651),"")</f>
        <v>3.2550000000000003E-2</v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14.31969696969697</v>
      </c>
      <c r="BN134" s="64">
        <f>IFERROR(Y134*I134/H134,"0")</f>
        <v>14.540000000000001</v>
      </c>
      <c r="BO134" s="64">
        <f>IFERROR(1/J134*(X134/H134),"0")</f>
        <v>2.7056277056277056E-2</v>
      </c>
      <c r="BP134" s="64">
        <f>IFERROR(1/J134*(Y134/H134),"0")</f>
        <v>2.7472527472527476E-2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4.9242424242424239</v>
      </c>
      <c r="Y136" s="545">
        <f>IFERROR(Y134/H134,"0")+IFERROR(Y135/H135,"0")</f>
        <v>5</v>
      </c>
      <c r="Z136" s="545">
        <f>IFERROR(IF(Z134="",0,Z134),"0")+IFERROR(IF(Z135="",0,Z135),"0")</f>
        <v>3.2550000000000003E-2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13</v>
      </c>
      <c r="Y137" s="545">
        <f>IFERROR(SUM(Y134:Y135),"0")</f>
        <v>13.200000000000001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20</v>
      </c>
      <c r="Y163" s="544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21.19047619047619</v>
      </c>
      <c r="BN163" s="64">
        <f t="shared" si="7"/>
        <v>22.25</v>
      </c>
      <c r="BO163" s="64">
        <f t="shared" si="8"/>
        <v>3.6075036075036072E-2</v>
      </c>
      <c r="BP163" s="64">
        <f t="shared" si="9"/>
        <v>3.787878787878788E-2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70</v>
      </c>
      <c r="Y165" s="544">
        <f t="shared" si="5"/>
        <v>71.400000000000006</v>
      </c>
      <c r="Z165" s="36">
        <f>IFERROR(IF(Y165=0,"",ROUNDUP(Y165/H165,0)*0.00902),"")</f>
        <v>0.15334</v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73.166666666666657</v>
      </c>
      <c r="BN165" s="64">
        <f t="shared" si="7"/>
        <v>74.63000000000001</v>
      </c>
      <c r="BO165" s="64">
        <f t="shared" si="8"/>
        <v>0.12626262626262624</v>
      </c>
      <c r="BP165" s="64">
        <f t="shared" si="9"/>
        <v>0.12878787878787878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21.428571428571427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22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0.19844000000000001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90</v>
      </c>
      <c r="Y173" s="545">
        <f>IFERROR(SUM(Y162:Y171),"0")</f>
        <v>92.4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550</v>
      </c>
      <c r="Y196" s="544">
        <f t="shared" ref="Y196:Y203" si="10">IFERROR(IF(X196="",0,CEILING((X196/$H196),1)*$H196),"")</f>
        <v>550.80000000000007</v>
      </c>
      <c r="Z196" s="36">
        <f>IFERROR(IF(Y196=0,"",ROUNDUP(Y196/H196,0)*0.00902),"")</f>
        <v>0.92003999999999997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569.35185185185185</v>
      </c>
      <c r="BN196" s="64">
        <f t="shared" ref="BN196:BN203" si="12">IFERROR(Y196*I196/H196,"0")</f>
        <v>570.17999999999995</v>
      </c>
      <c r="BO196" s="64">
        <f t="shared" ref="BO196:BO203" si="13">IFERROR(1/J196*(X196/H196),"0")</f>
        <v>0.77160493827160492</v>
      </c>
      <c r="BP196" s="64">
        <f t="shared" ref="BP196:BP203" si="14">IFERROR(1/J196*(Y196/H196),"0")</f>
        <v>0.77272727272727271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400</v>
      </c>
      <c r="Y197" s="544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580</v>
      </c>
      <c r="Y198" s="544">
        <f t="shared" si="10"/>
        <v>583.20000000000005</v>
      </c>
      <c r="Z198" s="36">
        <f>IFERROR(IF(Y198=0,"",ROUNDUP(Y198/H198,0)*0.00902),"")</f>
        <v>0.97416000000000003</v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600.40740740740739</v>
      </c>
      <c r="BN198" s="64">
        <f t="shared" si="12"/>
        <v>603.72</v>
      </c>
      <c r="BO198" s="64">
        <f t="shared" si="13"/>
        <v>0.81369248035914699</v>
      </c>
      <c r="BP198" s="64">
        <f t="shared" si="14"/>
        <v>0.81818181818181823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630</v>
      </c>
      <c r="Y199" s="544">
        <f t="shared" si="10"/>
        <v>631.80000000000007</v>
      </c>
      <c r="Z199" s="36">
        <f>IFERROR(IF(Y199=0,"",ROUNDUP(Y199/H199,0)*0.00902),"")</f>
        <v>1.0553399999999999</v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652.16666666666663</v>
      </c>
      <c r="BN199" s="64">
        <f t="shared" si="12"/>
        <v>654.03</v>
      </c>
      <c r="BO199" s="64">
        <f t="shared" si="13"/>
        <v>0.88383838383838376</v>
      </c>
      <c r="BP199" s="64">
        <f t="shared" si="14"/>
        <v>0.88636363636363635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400</v>
      </c>
      <c r="Y204" s="545">
        <f>IFERROR(Y196/H196,"0")+IFERROR(Y197/H197,"0")+IFERROR(Y198/H198,"0")+IFERROR(Y199/H199,"0")+IFERROR(Y200/H200,"0")+IFERROR(Y201/H201,"0")+IFERROR(Y202/H202,"0")+IFERROR(Y203/H203,"0")</f>
        <v>402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3.6260399999999997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2160</v>
      </c>
      <c r="Y205" s="545">
        <f>IFERROR(SUM(Y196:Y203),"0")</f>
        <v>2170.8000000000002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20</v>
      </c>
      <c r="Y207" s="544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21.219753086419754</v>
      </c>
      <c r="BN207" s="64">
        <f t="shared" ref="BN207:BN215" si="17">IFERROR(Y207*I207/H207,"0")</f>
        <v>25.781999999999996</v>
      </c>
      <c r="BO207" s="64">
        <f t="shared" ref="BO207:BO215" si="18">IFERROR(1/J207*(X207/H207),"0")</f>
        <v>3.8580246913580252E-2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70</v>
      </c>
      <c r="Y209" s="544">
        <f t="shared" si="15"/>
        <v>78.3</v>
      </c>
      <c r="Z209" s="36">
        <f>IFERROR(IF(Y209=0,"",ROUNDUP(Y209/H209,0)*0.01898),"")</f>
        <v>0.17082</v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73.974712643678174</v>
      </c>
      <c r="BN209" s="64">
        <f t="shared" si="17"/>
        <v>82.746000000000009</v>
      </c>
      <c r="BO209" s="64">
        <f t="shared" si="18"/>
        <v>0.12571839080459771</v>
      </c>
      <c r="BP209" s="64">
        <f t="shared" si="19"/>
        <v>0.140625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72</v>
      </c>
      <c r="Y212" s="544">
        <f t="shared" si="15"/>
        <v>72</v>
      </c>
      <c r="Z212" s="36">
        <f t="shared" si="20"/>
        <v>0.1953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79.560000000000016</v>
      </c>
      <c r="BN212" s="64">
        <f t="shared" si="17"/>
        <v>79.560000000000016</v>
      </c>
      <c r="BO212" s="64">
        <f t="shared" si="18"/>
        <v>0.16483516483516486</v>
      </c>
      <c r="BP212" s="64">
        <f t="shared" si="19"/>
        <v>0.16483516483516486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72</v>
      </c>
      <c r="Y214" s="544">
        <f t="shared" si="15"/>
        <v>72</v>
      </c>
      <c r="Z214" s="36">
        <f t="shared" si="20"/>
        <v>0.1953</v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79.560000000000016</v>
      </c>
      <c r="BN214" s="64">
        <f t="shared" si="17"/>
        <v>79.560000000000016</v>
      </c>
      <c r="BO214" s="64">
        <f t="shared" si="18"/>
        <v>0.16483516483516486</v>
      </c>
      <c r="BP214" s="64">
        <f t="shared" si="19"/>
        <v>0.16483516483516486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96</v>
      </c>
      <c r="Y215" s="544">
        <f t="shared" si="15"/>
        <v>96</v>
      </c>
      <c r="Z215" s="36">
        <f t="shared" si="20"/>
        <v>0.26040000000000002</v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106.32000000000001</v>
      </c>
      <c r="BN215" s="64">
        <f t="shared" si="17"/>
        <v>106.32000000000001</v>
      </c>
      <c r="BO215" s="64">
        <f t="shared" si="18"/>
        <v>0.2197802197802198</v>
      </c>
      <c r="BP215" s="64">
        <f t="shared" si="19"/>
        <v>0.2197802197802198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110.51511281396338</v>
      </c>
      <c r="Y216" s="545">
        <f>IFERROR(Y207/H207,"0")+IFERROR(Y208/H208,"0")+IFERROR(Y209/H209,"0")+IFERROR(Y210/H210,"0")+IFERROR(Y211/H211,"0")+IFERROR(Y212/H212,"0")+IFERROR(Y213/H213,"0")+IFERROR(Y214/H214,"0")+IFERROR(Y215/H215,"0")</f>
        <v>112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0.87875999999999999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330</v>
      </c>
      <c r="Y217" s="545">
        <f>IFERROR(SUM(Y207:Y215),"0")</f>
        <v>342.6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80</v>
      </c>
      <c r="Y299" s="544">
        <f t="shared" ref="Y299:Y305" si="31">IFERROR(IF(X299="",0,CEILING((X299/$H299),1)*$H299),"")</f>
        <v>84</v>
      </c>
      <c r="Z299" s="36">
        <f>IFERROR(IF(Y299=0,"",ROUNDUP(Y299/H299,0)*0.00902),"")</f>
        <v>0.1804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84.761904761904759</v>
      </c>
      <c r="BN299" s="64">
        <f t="shared" ref="BN299:BN305" si="33">IFERROR(Y299*I299/H299,"0")</f>
        <v>89</v>
      </c>
      <c r="BO299" s="64">
        <f t="shared" ref="BO299:BO305" si="34">IFERROR(1/J299*(X299/H299),"0")</f>
        <v>0.14430014430014429</v>
      </c>
      <c r="BP299" s="64">
        <f t="shared" ref="BP299:BP305" si="35">IFERROR(1/J299*(Y299/H299),"0")</f>
        <v>0.15151515151515152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30</v>
      </c>
      <c r="Y300" s="544">
        <f t="shared" si="31"/>
        <v>33.6</v>
      </c>
      <c r="Z300" s="36">
        <f>IFERROR(IF(Y300=0,"",ROUNDUP(Y300/H300,0)*0.00902),"")</f>
        <v>7.2160000000000002E-2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31.785714285714285</v>
      </c>
      <c r="BN300" s="64">
        <f t="shared" si="33"/>
        <v>35.6</v>
      </c>
      <c r="BO300" s="64">
        <f t="shared" si="34"/>
        <v>5.4112554112554112E-2</v>
      </c>
      <c r="BP300" s="64">
        <f t="shared" si="35"/>
        <v>6.0606060606060608E-2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26.19047619047619</v>
      </c>
      <c r="Y306" s="545">
        <f>IFERROR(Y299/H299,"0")+IFERROR(Y300/H300,"0")+IFERROR(Y301/H301,"0")+IFERROR(Y302/H302,"0")+IFERROR(Y303/H303,"0")+IFERROR(Y304/H304,"0")+IFERROR(Y305/H305,"0")</f>
        <v>28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0.25256000000000001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110</v>
      </c>
      <c r="Y307" s="545">
        <f>IFERROR(SUM(Y299:Y305),"0")</f>
        <v>117.6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140</v>
      </c>
      <c r="Y316" s="544">
        <f>IFERROR(IF(X316="",0,CEILING((X316/$H316),1)*$H316),"")</f>
        <v>142.80000000000001</v>
      </c>
      <c r="Z316" s="36">
        <f>IFERROR(IF(Y316=0,"",ROUNDUP(Y316/H316,0)*0.01898),"")</f>
        <v>0.32266</v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148.23333333333335</v>
      </c>
      <c r="BN316" s="64">
        <f>IFERROR(Y316*I316/H316,"0")</f>
        <v>151.19800000000001</v>
      </c>
      <c r="BO316" s="64">
        <f>IFERROR(1/J316*(X316/H316),"0")</f>
        <v>0.26041666666666663</v>
      </c>
      <c r="BP316" s="64">
        <f>IFERROR(1/J316*(Y316/H316),"0")</f>
        <v>0.265625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230</v>
      </c>
      <c r="Y317" s="544">
        <f>IFERROR(IF(X317="",0,CEILING((X317/$H317),1)*$H317),"")</f>
        <v>234</v>
      </c>
      <c r="Z317" s="36">
        <f>IFERROR(IF(Y317=0,"",ROUNDUP(Y317/H317,0)*0.01898),"")</f>
        <v>0.56940000000000002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244.56666666666669</v>
      </c>
      <c r="BN317" s="64">
        <f>IFERROR(Y317*I317/H317,"0")</f>
        <v>248.82000000000002</v>
      </c>
      <c r="BO317" s="64">
        <f>IFERROR(1/J317*(X317/H317),"0")</f>
        <v>0.46073717948717952</v>
      </c>
      <c r="BP317" s="64">
        <f>IFERROR(1/J317*(Y317/H317),"0")</f>
        <v>0.46875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40</v>
      </c>
      <c r="Y318" s="544">
        <f>IFERROR(IF(X318="",0,CEILING((X318/$H318),1)*$H318),"")</f>
        <v>42</v>
      </c>
      <c r="Z318" s="36">
        <f>IFERROR(IF(Y318=0,"",ROUNDUP(Y318/H318,0)*0.01898),"")</f>
        <v>9.4899999999999998E-2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42.352380952380948</v>
      </c>
      <c r="BN318" s="64">
        <f>IFERROR(Y318*I318/H318,"0")</f>
        <v>44.47</v>
      </c>
      <c r="BO318" s="64">
        <f>IFERROR(1/J318*(X318/H318),"0")</f>
        <v>7.4404761904761904E-2</v>
      </c>
      <c r="BP318" s="64">
        <f>IFERROR(1/J318*(Y318/H318),"0")</f>
        <v>7.8125E-2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50.915750915750912</v>
      </c>
      <c r="Y319" s="545">
        <f>IFERROR(Y316/H316,"0")+IFERROR(Y317/H317,"0")+IFERROR(Y318/H318,"0")</f>
        <v>52</v>
      </c>
      <c r="Z319" s="545">
        <f>IFERROR(IF(Z316="",0,Z316),"0")+IFERROR(IF(Z317="",0,Z317),"0")+IFERROR(IF(Z318="",0,Z318),"0")</f>
        <v>0.98696000000000006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410</v>
      </c>
      <c r="Y320" s="545">
        <f>IFERROR(SUM(Y316:Y318),"0")</f>
        <v>418.8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60</v>
      </c>
      <c r="Y336" s="544">
        <f>IFERROR(IF(X336="",0,CEILING((X336/$H336),1)*$H336),"")</f>
        <v>64.8</v>
      </c>
      <c r="Z336" s="36">
        <f>IFERROR(IF(Y336=0,"",ROUNDUP(Y336/H336,0)*0.01898),"")</f>
        <v>0.15184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63.659259259259258</v>
      </c>
      <c r="BN336" s="64">
        <f>IFERROR(Y336*I336/H336,"0")</f>
        <v>68.751999999999995</v>
      </c>
      <c r="BO336" s="64">
        <f>IFERROR(1/J336*(X336/H336),"0")</f>
        <v>0.11574074074074074</v>
      </c>
      <c r="BP336" s="64">
        <f>IFERROR(1/J336*(Y336/H336),"0")</f>
        <v>0.125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7.4074074074074074</v>
      </c>
      <c r="Y339" s="545">
        <f>IFERROR(Y336/H336,"0")+IFERROR(Y337/H337,"0")+IFERROR(Y338/H338,"0")</f>
        <v>8</v>
      </c>
      <c r="Z339" s="545">
        <f>IFERROR(IF(Z336="",0,Z336),"0")+IFERROR(IF(Z337="",0,Z337),"0")+IFERROR(IF(Z338="",0,Z338),"0")</f>
        <v>0.15184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60</v>
      </c>
      <c r="Y340" s="545">
        <f>IFERROR(SUM(Y336:Y338),"0")</f>
        <v>64.8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1900</v>
      </c>
      <c r="Y344" s="544">
        <f t="shared" ref="Y344:Y350" si="36">IFERROR(IF(X344="",0,CEILING((X344/$H344),1)*$H344),"")</f>
        <v>1905</v>
      </c>
      <c r="Z344" s="36">
        <f>IFERROR(IF(Y344=0,"",ROUNDUP(Y344/H344,0)*0.02175),"")</f>
        <v>2.7622499999999999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1959.5333333333333</v>
      </c>
      <c r="BN344" s="64">
        <f t="shared" ref="BN344:BN350" si="38">IFERROR(Y344*I344/H344,"0")</f>
        <v>1964.69</v>
      </c>
      <c r="BO344" s="64">
        <f t="shared" ref="BO344:BO350" si="39">IFERROR(1/J344*(X344/H344),"0")</f>
        <v>2.6388888888888888</v>
      </c>
      <c r="BP344" s="64">
        <f t="shared" ref="BP344:BP350" si="40">IFERROR(1/J344*(Y344/H344),"0")</f>
        <v>2.645833333333333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1900</v>
      </c>
      <c r="Y345" s="544">
        <f t="shared" si="36"/>
        <v>1905</v>
      </c>
      <c r="Z345" s="36">
        <f>IFERROR(IF(Y345=0,"",ROUNDUP(Y345/H345,0)*0.02175),"")</f>
        <v>2.7622499999999999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1959.5333333333333</v>
      </c>
      <c r="BN345" s="64">
        <f t="shared" si="38"/>
        <v>1964.69</v>
      </c>
      <c r="BO345" s="64">
        <f t="shared" si="39"/>
        <v>2.6388888888888888</v>
      </c>
      <c r="BP345" s="64">
        <f t="shared" si="40"/>
        <v>2.645833333333333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3250</v>
      </c>
      <c r="Y347" s="544">
        <f t="shared" si="36"/>
        <v>3255</v>
      </c>
      <c r="Z347" s="36">
        <f>IFERROR(IF(Y347=0,"",ROUNDUP(Y347/H347,0)*0.02175),"")</f>
        <v>4.7197499999999994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3351.8333333333335</v>
      </c>
      <c r="BN347" s="64">
        <f t="shared" si="38"/>
        <v>3356.99</v>
      </c>
      <c r="BO347" s="64">
        <f t="shared" si="39"/>
        <v>4.5138888888888884</v>
      </c>
      <c r="BP347" s="64">
        <f t="shared" si="40"/>
        <v>4.520833333333333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470</v>
      </c>
      <c r="Y351" s="545">
        <f>IFERROR(Y344/H344,"0")+IFERROR(Y345/H345,"0")+IFERROR(Y346/H346,"0")+IFERROR(Y347/H347,"0")+IFERROR(Y348/H348,"0")+IFERROR(Y349/H349,"0")+IFERROR(Y350/H350,"0")</f>
        <v>471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10.244249999999999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7050</v>
      </c>
      <c r="Y352" s="545">
        <f>IFERROR(SUM(Y344:Y350),"0")</f>
        <v>7065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2500</v>
      </c>
      <c r="Y354" s="544">
        <f>IFERROR(IF(X354="",0,CEILING((X354/$H354),1)*$H354),"")</f>
        <v>2505</v>
      </c>
      <c r="Z354" s="36">
        <f>IFERROR(IF(Y354=0,"",ROUNDUP(Y354/H354,0)*0.02175),"")</f>
        <v>3.6322499999999995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2578.3333333333335</v>
      </c>
      <c r="BN354" s="64">
        <f>IFERROR(Y354*I354/H354,"0")</f>
        <v>2583.4899999999998</v>
      </c>
      <c r="BO354" s="64">
        <f>IFERROR(1/J354*(X354/H354),"0")</f>
        <v>3.4722222222222219</v>
      </c>
      <c r="BP354" s="64">
        <f>IFERROR(1/J354*(Y354/H354),"0")</f>
        <v>3.4791666666666665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166.66666666666666</v>
      </c>
      <c r="Y356" s="545">
        <f>IFERROR(Y354/H354,"0")+IFERROR(Y355/H355,"0")</f>
        <v>167</v>
      </c>
      <c r="Z356" s="545">
        <f>IFERROR(IF(Z354="",0,Z354),"0")+IFERROR(IF(Z355="",0,Z355),"0")</f>
        <v>3.6322499999999995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2500</v>
      </c>
      <c r="Y357" s="545">
        <f>IFERROR(SUM(Y354:Y355),"0")</f>
        <v>2505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1600</v>
      </c>
      <c r="Y359" s="544">
        <f>IFERROR(IF(X359="",0,CEILING((X359/$H359),1)*$H359),"")</f>
        <v>1602</v>
      </c>
      <c r="Z359" s="36">
        <f>IFERROR(IF(Y359=0,"",ROUNDUP(Y359/H359,0)*0.01898),"")</f>
        <v>3.3784399999999999</v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1688.8888888888889</v>
      </c>
      <c r="BN359" s="64">
        <f>IFERROR(Y359*I359/H359,"0")</f>
        <v>1691</v>
      </c>
      <c r="BO359" s="64">
        <f>IFERROR(1/J359*(X359/H359),"0")</f>
        <v>2.7777777777777777</v>
      </c>
      <c r="BP359" s="64">
        <f>IFERROR(1/J359*(Y359/H359),"0")</f>
        <v>2.78125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380</v>
      </c>
      <c r="Y360" s="544">
        <f>IFERROR(IF(X360="",0,CEILING((X360/$H360),1)*$H360),"")</f>
        <v>387</v>
      </c>
      <c r="Z360" s="36">
        <f>IFERROR(IF(Y360=0,"",ROUNDUP(Y360/H360,0)*0.01898),"")</f>
        <v>0.81613999999999998</v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400.85777777777776</v>
      </c>
      <c r="BN360" s="64">
        <f>IFERROR(Y360*I360/H360,"0")</f>
        <v>408.24199999999996</v>
      </c>
      <c r="BO360" s="64">
        <f>IFERROR(1/J360*(X360/H360),"0")</f>
        <v>0.65972222222222221</v>
      </c>
      <c r="BP360" s="64">
        <f>IFERROR(1/J360*(Y360/H360),"0")</f>
        <v>0.671875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220</v>
      </c>
      <c r="Y361" s="545">
        <f>IFERROR(Y359/H359,"0")+IFERROR(Y360/H360,"0")</f>
        <v>221</v>
      </c>
      <c r="Z361" s="545">
        <f>IFERROR(IF(Z359="",0,Z359),"0")+IFERROR(IF(Z360="",0,Z360),"0")</f>
        <v>4.1945800000000002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1980</v>
      </c>
      <c r="Y362" s="545">
        <f>IFERROR(SUM(Y359:Y360),"0")</f>
        <v>1989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320</v>
      </c>
      <c r="Y364" s="544">
        <f>IFERROR(IF(X364="",0,CEILING((X364/$H364),1)*$H364),"")</f>
        <v>324</v>
      </c>
      <c r="Z364" s="36">
        <f>IFERROR(IF(Y364=0,"",ROUNDUP(Y364/H364,0)*0.01898),"")</f>
        <v>0.68328</v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337.56444444444446</v>
      </c>
      <c r="BN364" s="64">
        <f>IFERROR(Y364*I364/H364,"0")</f>
        <v>341.78399999999999</v>
      </c>
      <c r="BO364" s="64">
        <f>IFERROR(1/J364*(X364/H364),"0")</f>
        <v>0.55555555555555558</v>
      </c>
      <c r="BP364" s="64">
        <f>IFERROR(1/J364*(Y364/H364),"0")</f>
        <v>0.5625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35.555555555555557</v>
      </c>
      <c r="Y365" s="545">
        <f>IFERROR(Y364/H364,"0")</f>
        <v>36</v>
      </c>
      <c r="Z365" s="545">
        <f>IFERROR(IF(Z364="",0,Z364),"0")</f>
        <v>0.68328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320</v>
      </c>
      <c r="Y366" s="545">
        <f>IFERROR(SUM(Y364:Y364),"0")</f>
        <v>324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36</v>
      </c>
      <c r="Y369" s="544">
        <f>IFERROR(IF(X369="",0,CEILING((X369/$H369),1)*$H369),"")</f>
        <v>36</v>
      </c>
      <c r="Z369" s="36">
        <f>IFERROR(IF(Y369=0,"",ROUNDUP(Y369/H369,0)*0.01898),"")</f>
        <v>5.6940000000000004E-2</v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37.229999999999997</v>
      </c>
      <c r="BN369" s="64">
        <f>IFERROR(Y369*I369/H369,"0")</f>
        <v>37.229999999999997</v>
      </c>
      <c r="BO369" s="64">
        <f>IFERROR(1/J369*(X369/H369),"0")</f>
        <v>4.6875E-2</v>
      </c>
      <c r="BP369" s="64">
        <f>IFERROR(1/J369*(Y369/H369),"0")</f>
        <v>4.6875E-2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3</v>
      </c>
      <c r="Y371" s="545">
        <f>IFERROR(Y369/H369,"0")+IFERROR(Y370/H370,"0")</f>
        <v>3</v>
      </c>
      <c r="Z371" s="545">
        <f>IFERROR(IF(Z369="",0,Z369),"0")+IFERROR(IF(Z370="",0,Z370),"0")</f>
        <v>5.6940000000000004E-2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36</v>
      </c>
      <c r="Y372" s="545">
        <f>IFERROR(SUM(Y369:Y370),"0")</f>
        <v>36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200</v>
      </c>
      <c r="Y374" s="544">
        <f>IFERROR(IF(X374="",0,CEILING((X374/$H374),1)*$H374),"")</f>
        <v>201.48</v>
      </c>
      <c r="Z374" s="36">
        <f>IFERROR(IF(Y374=0,"",ROUNDUP(Y374/H374,0)*0.00902),"")</f>
        <v>0.41492000000000001</v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211.41552511415526</v>
      </c>
      <c r="BN374" s="64">
        <f>IFERROR(Y374*I374/H374,"0")</f>
        <v>212.98</v>
      </c>
      <c r="BO374" s="64">
        <f>IFERROR(1/J374*(X374/H374),"0")</f>
        <v>0.34592500345925004</v>
      </c>
      <c r="BP374" s="64">
        <f>IFERROR(1/J374*(Y374/H374),"0")</f>
        <v>0.34848484848484851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45.662100456621005</v>
      </c>
      <c r="Y376" s="545">
        <f>IFERROR(Y374/H374,"0")+IFERROR(Y375/H375,"0")</f>
        <v>46</v>
      </c>
      <c r="Z376" s="545">
        <f>IFERROR(IF(Z374="",0,Z374),"0")+IFERROR(IF(Z375="",0,Z375),"0")</f>
        <v>0.41492000000000001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200</v>
      </c>
      <c r="Y377" s="545">
        <f>IFERROR(SUM(Y374:Y375),"0")</f>
        <v>201.48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270</v>
      </c>
      <c r="Y379" s="544">
        <f>IFERROR(IF(X379="",0,CEILING((X379/$H379),1)*$H379),"")</f>
        <v>270</v>
      </c>
      <c r="Z379" s="36">
        <f>IFERROR(IF(Y379=0,"",ROUNDUP(Y379/H379,0)*0.01898),"")</f>
        <v>0.56940000000000002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284.82</v>
      </c>
      <c r="BN379" s="64">
        <f>IFERROR(Y379*I379/H379,"0")</f>
        <v>284.82</v>
      </c>
      <c r="BO379" s="64">
        <f>IFERROR(1/J379*(X379/H379),"0")</f>
        <v>0.46875</v>
      </c>
      <c r="BP379" s="64">
        <f>IFERROR(1/J379*(Y379/H379),"0")</f>
        <v>0.46875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30</v>
      </c>
      <c r="Y381" s="545">
        <f>IFERROR(Y379/H379,"0")+IFERROR(Y380/H380,"0")</f>
        <v>30</v>
      </c>
      <c r="Z381" s="545">
        <f>IFERROR(IF(Z379="",0,Z379),"0")+IFERROR(IF(Z380="",0,Z380),"0")</f>
        <v>0.56940000000000002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270</v>
      </c>
      <c r="Y382" s="545">
        <f>IFERROR(SUM(Y379:Y380),"0")</f>
        <v>270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70</v>
      </c>
      <c r="Y386" s="544">
        <f t="shared" ref="Y386:Y394" si="41">IFERROR(IF(X386="",0,CEILING((X386/$H386),1)*$H386),"")</f>
        <v>70.2</v>
      </c>
      <c r="Z386" s="36">
        <f>IFERROR(IF(Y386=0,"",ROUNDUP(Y386/H386,0)*0.00902),"")</f>
        <v>0.11726</v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72.462962962962962</v>
      </c>
      <c r="BN386" s="64">
        <f t="shared" ref="BN386:BN394" si="43">IFERROR(Y386*I386/H386,"0")</f>
        <v>72.67</v>
      </c>
      <c r="BO386" s="64">
        <f t="shared" ref="BO386:BO394" si="44">IFERROR(1/J386*(X386/H386),"0")</f>
        <v>9.8204264870931535E-2</v>
      </c>
      <c r="BP386" s="64">
        <f t="shared" ref="BP386:BP394" si="45">IFERROR(1/J386*(Y386/H386),"0")</f>
        <v>9.8484848484848481E-2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40</v>
      </c>
      <c r="Y387" s="544">
        <f t="shared" si="41"/>
        <v>43.2</v>
      </c>
      <c r="Z387" s="36">
        <f>IFERROR(IF(Y387=0,"",ROUNDUP(Y387/H387,0)*0.00902),"")</f>
        <v>7.2160000000000002E-2</v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41.407407407407405</v>
      </c>
      <c r="BN387" s="64">
        <f t="shared" si="43"/>
        <v>44.72</v>
      </c>
      <c r="BO387" s="64">
        <f t="shared" si="44"/>
        <v>5.6116722783389444E-2</v>
      </c>
      <c r="BP387" s="64">
        <f t="shared" si="45"/>
        <v>6.0606060606060608E-2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20.370370370370367</v>
      </c>
      <c r="Y395" s="545">
        <f>IFERROR(Y386/H386,"0")+IFERROR(Y387/H387,"0")+IFERROR(Y388/H388,"0")+IFERROR(Y389/H389,"0")+IFERROR(Y390/H390,"0")+IFERROR(Y391/H391,"0")+IFERROR(Y392/H392,"0")+IFERROR(Y393/H393,"0")+IFERROR(Y394/H394,"0")</f>
        <v>21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0.18942000000000001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110</v>
      </c>
      <c r="Y396" s="545">
        <f>IFERROR(SUM(Y386:Y394),"0")</f>
        <v>113.4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120</v>
      </c>
      <c r="Y408" s="544">
        <f>IFERROR(IF(X408="",0,CEILING((X408/$H408),1)*$H408),"")</f>
        <v>124.2</v>
      </c>
      <c r="Z408" s="36">
        <f>IFERROR(IF(Y408=0,"",ROUNDUP(Y408/H408,0)*0.00902),"")</f>
        <v>0.20746000000000001</v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124.2222222222222</v>
      </c>
      <c r="BN408" s="64">
        <f>IFERROR(Y408*I408/H408,"0")</f>
        <v>128.57</v>
      </c>
      <c r="BO408" s="64">
        <f>IFERROR(1/J408*(X408/H408),"0")</f>
        <v>0.16835016835016836</v>
      </c>
      <c r="BP408" s="64">
        <f>IFERROR(1/J408*(Y408/H408),"0")</f>
        <v>0.17424242424242425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22.222222222222221</v>
      </c>
      <c r="Y412" s="545">
        <f>IFERROR(Y408/H408,"0")+IFERROR(Y409/H409,"0")+IFERROR(Y410/H410,"0")+IFERROR(Y411/H411,"0")</f>
        <v>23</v>
      </c>
      <c r="Z412" s="545">
        <f>IFERROR(IF(Z408="",0,Z408),"0")+IFERROR(IF(Z409="",0,Z409),"0")+IFERROR(IF(Z410="",0,Z410),"0")+IFERROR(IF(Z411="",0,Z411),"0")</f>
        <v>0.20746000000000001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120</v>
      </c>
      <c r="Y413" s="545">
        <f>IFERROR(SUM(Y408:Y411),"0")</f>
        <v>124.2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180</v>
      </c>
      <c r="Y425" s="544">
        <f t="shared" si="47"/>
        <v>184.8</v>
      </c>
      <c r="Z425" s="36">
        <f t="shared" si="48"/>
        <v>0.41860000000000003</v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191.93181818181816</v>
      </c>
      <c r="BN425" s="64">
        <f t="shared" si="50"/>
        <v>197.04999999999998</v>
      </c>
      <c r="BO425" s="64">
        <f t="shared" si="51"/>
        <v>0.32779720279720276</v>
      </c>
      <c r="BP425" s="64">
        <f t="shared" si="52"/>
        <v>0.33653846153846156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150</v>
      </c>
      <c r="Y427" s="544">
        <f t="shared" si="47"/>
        <v>153.12</v>
      </c>
      <c r="Z427" s="36">
        <f t="shared" si="48"/>
        <v>0.34683999999999998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159.94318181818181</v>
      </c>
      <c r="BN427" s="64">
        <f t="shared" si="50"/>
        <v>163.26999999999998</v>
      </c>
      <c r="BO427" s="64">
        <f t="shared" si="51"/>
        <v>0.27316433566433568</v>
      </c>
      <c r="BP427" s="64">
        <f t="shared" si="52"/>
        <v>0.27884615384615385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62.499999999999993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64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0.76544000000000001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330</v>
      </c>
      <c r="Y434" s="545">
        <f>IFERROR(SUM(Y422:Y432),"0")</f>
        <v>337.92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200</v>
      </c>
      <c r="Y436" s="544">
        <f>IFERROR(IF(X436="",0,CEILING((X436/$H436),1)*$H436),"")</f>
        <v>200.64000000000001</v>
      </c>
      <c r="Z436" s="36">
        <f>IFERROR(IF(Y436=0,"",ROUNDUP(Y436/H436,0)*0.01196),"")</f>
        <v>0.45448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213.25757575757575</v>
      </c>
      <c r="BN436" s="64">
        <f>IFERROR(Y436*I436/H436,"0")</f>
        <v>213.94</v>
      </c>
      <c r="BO436" s="64">
        <f>IFERROR(1/J436*(X436/H436),"0")</f>
        <v>0.36421911421911418</v>
      </c>
      <c r="BP436" s="64">
        <f>IFERROR(1/J436*(Y436/H436),"0")</f>
        <v>0.36538461538461542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37.878787878787875</v>
      </c>
      <c r="Y439" s="545">
        <f>IFERROR(Y436/H436,"0")+IFERROR(Y437/H437,"0")+IFERROR(Y438/H438,"0")</f>
        <v>38</v>
      </c>
      <c r="Z439" s="545">
        <f>IFERROR(IF(Z436="",0,Z436),"0")+IFERROR(IF(Z437="",0,Z437),"0")+IFERROR(IF(Z438="",0,Z438),"0")</f>
        <v>0.45448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200</v>
      </c>
      <c r="Y440" s="545">
        <f>IFERROR(SUM(Y436:Y438),"0")</f>
        <v>200.64000000000001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100</v>
      </c>
      <c r="Y442" s="544">
        <f t="shared" ref="Y442:Y447" si="53"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106.62878787878788</v>
      </c>
      <c r="BN442" s="64">
        <f t="shared" ref="BN442:BN447" si="55">IFERROR(Y442*I442/H442,"0")</f>
        <v>106.97</v>
      </c>
      <c r="BO442" s="64">
        <f t="shared" ref="BO442:BO447" si="56">IFERROR(1/J442*(X442/H442),"0")</f>
        <v>0.18210955710955709</v>
      </c>
      <c r="BP442" s="64">
        <f t="shared" ref="BP442:BP447" si="57">IFERROR(1/J442*(Y442/H442),"0")</f>
        <v>0.18269230769230771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60</v>
      </c>
      <c r="Y443" s="544">
        <f t="shared" si="53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63.977272727272727</v>
      </c>
      <c r="BN443" s="64">
        <f t="shared" si="55"/>
        <v>67.559999999999988</v>
      </c>
      <c r="BO443" s="64">
        <f t="shared" si="56"/>
        <v>0.10926573426573427</v>
      </c>
      <c r="BP443" s="64">
        <f t="shared" si="57"/>
        <v>0.11538461538461539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120</v>
      </c>
      <c r="Y444" s="544">
        <f t="shared" si="53"/>
        <v>121.44000000000001</v>
      </c>
      <c r="Z444" s="36">
        <f>IFERROR(IF(Y444=0,"",ROUNDUP(Y444/H444,0)*0.01196),"")</f>
        <v>0.27507999999999999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127.95454545454545</v>
      </c>
      <c r="BN444" s="64">
        <f t="shared" si="55"/>
        <v>129.49</v>
      </c>
      <c r="BO444" s="64">
        <f t="shared" si="56"/>
        <v>0.21853146853146854</v>
      </c>
      <c r="BP444" s="64">
        <f t="shared" si="57"/>
        <v>0.22115384615384617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53.030303030303031</v>
      </c>
      <c r="Y448" s="545">
        <f>IFERROR(Y442/H442,"0")+IFERROR(Y443/H443,"0")+IFERROR(Y444/H444,"0")+IFERROR(Y445/H445,"0")+IFERROR(Y446/H446,"0")+IFERROR(Y447/H447,"0")</f>
        <v>54</v>
      </c>
      <c r="Z448" s="545">
        <f>IFERROR(IF(Z442="",0,Z442),"0")+IFERROR(IF(Z443="",0,Z443),"0")+IFERROR(IF(Z444="",0,Z444),"0")+IFERROR(IF(Z445="",0,Z445),"0")+IFERROR(IF(Z446="",0,Z446),"0")+IFERROR(IF(Z447="",0,Z447),"0")</f>
        <v>0.64583999999999997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280</v>
      </c>
      <c r="Y449" s="545">
        <f>IFERROR(SUM(Y442:Y447),"0")</f>
        <v>285.12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120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124.10000000000001</v>
      </c>
      <c r="BN461" s="64">
        <f>IFERROR(Y461*I461/H461,"0")</f>
        <v>124.10000000000001</v>
      </c>
      <c r="BO461" s="64">
        <f>IFERROR(1/J461*(X461/H461),"0")</f>
        <v>0.15625</v>
      </c>
      <c r="BP461" s="64">
        <f>IFERROR(1/J461*(Y461/H461),"0")</f>
        <v>0.15625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10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120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70</v>
      </c>
      <c r="Y472" s="544">
        <f>IFERROR(IF(X472="",0,CEILING((X472/$H472),1)*$H472),"")</f>
        <v>71.400000000000006</v>
      </c>
      <c r="Z472" s="36">
        <f>IFERROR(IF(Y472=0,"",ROUNDUP(Y472/H472,0)*0.00902),"")</f>
        <v>0.15334</v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74.166666666666657</v>
      </c>
      <c r="BN472" s="64">
        <f>IFERROR(Y472*I472/H472,"0")</f>
        <v>75.650000000000006</v>
      </c>
      <c r="BO472" s="64">
        <f>IFERROR(1/J472*(X472/H472),"0")</f>
        <v>0.12626262626262624</v>
      </c>
      <c r="BP472" s="64">
        <f>IFERROR(1/J472*(Y472/H472),"0")</f>
        <v>0.12878787878787878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50</v>
      </c>
      <c r="Y473" s="544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28.571428571428569</v>
      </c>
      <c r="Y474" s="545">
        <f>IFERROR(Y472/H472,"0")+IFERROR(Y473/H473,"0")</f>
        <v>29</v>
      </c>
      <c r="Z474" s="545">
        <f>IFERROR(IF(Z472="",0,Z472),"0")+IFERROR(IF(Z473="",0,Z473),"0")</f>
        <v>0.26158000000000003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120</v>
      </c>
      <c r="Y475" s="545">
        <f>IFERROR(SUM(Y472:Y473),"0")</f>
        <v>121.80000000000001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17851.400000000001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17967.559999999998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18571.032935769701</v>
      </c>
      <c r="Y491" s="545">
        <f>IFERROR(SUM(BN22:BN487),"0")</f>
        <v>18692.906000000003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27</v>
      </c>
      <c r="Y492" s="38">
        <f>ROUNDUP(SUM(BP22:BP487),0)</f>
        <v>28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19246.032935769701</v>
      </c>
      <c r="Y493" s="545">
        <f>GrossWeightTotalR+PalletQtyTotalR*25</f>
        <v>19392.906000000003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1953.7397895831607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1970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30.604840000000003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789.6</v>
      </c>
      <c r="E500" s="46">
        <f>IFERROR(Y85*1,"0")+IFERROR(Y86*1,"0")+IFERROR(Y87*1,"0")+IFERROR(Y91*1,"0")+IFERROR(Y92*1,"0")+IFERROR(Y93*1,"0")+IFERROR(Y94*1,"0")</f>
        <v>24.299999999999997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121.5</v>
      </c>
      <c r="G500" s="46">
        <f>IFERROR(Y124*1,"0")+IFERROR(Y125*1,"0")+IFERROR(Y129*1,"0")+IFERROR(Y130*1,"0")+IFERROR(Y134*1,"0")+IFERROR(Y135*1,"0")</f>
        <v>131.6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92.4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2513.4000000000005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536.4</v>
      </c>
      <c r="R500" s="46">
        <f>IFERROR(Y336*1,"0")+IFERROR(Y337*1,"0")+IFERROR(Y338*1,"0")</f>
        <v>64.8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11883</v>
      </c>
      <c r="T500" s="46">
        <f>IFERROR(Y369*1,"0")+IFERROR(Y370*1,"0")+IFERROR(Y374*1,"0")+IFERROR(Y375*1,"0")+IFERROR(Y379*1,"0")+IFERROR(Y380*1,"0")</f>
        <v>507.48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113.4</v>
      </c>
      <c r="V500" s="46">
        <f>IFERROR(Y404*1,"0")+IFERROR(Y408*1,"0")+IFERROR(Y409*1,"0")+IFERROR(Y410*1,"0")+IFERROR(Y411*1,"0")</f>
        <v>124.2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823.68000000000018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241.8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