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0DDA5CB-BCB8-4CB2-8545-E7C8CE94B1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Z103" i="1" l="1"/>
  <c r="Z126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Z216" i="1" s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Z260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Z306" i="1" s="1"/>
  <c r="BP303" i="1"/>
  <c r="BN303" i="1"/>
  <c r="Z303" i="1"/>
  <c r="BP311" i="1"/>
  <c r="BN311" i="1"/>
  <c r="Z311" i="1"/>
  <c r="Y320" i="1"/>
  <c r="Z326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48" i="1" l="1"/>
  <c r="Z433" i="1"/>
  <c r="Z235" i="1"/>
  <c r="Y492" i="1"/>
  <c r="Z149" i="1"/>
  <c r="Z69" i="1"/>
  <c r="Y490" i="1"/>
  <c r="Z395" i="1"/>
  <c r="Z313" i="1"/>
  <c r="Z172" i="1"/>
  <c r="Z88" i="1"/>
  <c r="Z43" i="1"/>
  <c r="Z495" i="1" s="1"/>
  <c r="Z31" i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<sst xmlns="http://schemas.openxmlformats.org/spreadsheetml/2006/main" count="2349" uniqueCount="770">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</sst>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0</v>
      </c>
      <c r="Y306" s="545">
        <f>IFERROR(Y299/H299,"0")+IFERROR(Y300/H300,"0")+IFERROR(Y301/H301,"0")+IFERROR(Y302/H302,"0")+IFERROR(Y303/H303,"0")+IFERROR(Y304/H304,"0")+IFERROR(Y305/H305,"0")</f>
        <v>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0</v>
      </c>
      <c r="Y307" s="545">
        <f>IFERROR(SUM(Y299:Y305),"0")</f>
        <v>0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2500</v>
      </c>
      <c r="Y344" s="544">
        <f t="shared" ref="Y344:Y350" si="36">IFERROR(IF(X344="",0,CEILING((X344/$H344),1)*$H344),"")</f>
        <v>2505</v>
      </c>
      <c r="Z344" s="36">
        <f>IFERROR(IF(Y344=0,"",ROUNDUP(Y344/H344,0)*0.02175),"")</f>
        <v>3.6322499999999995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2578.3333333333335</v>
      </c>
      <c r="BN344" s="64">
        <f t="shared" ref="BN344:BN350" si="38">IFERROR(Y344*I344/H344,"0")</f>
        <v>2583.4899999999998</v>
      </c>
      <c r="BO344" s="64">
        <f t="shared" ref="BO344:BO350" si="39">IFERROR(1/J344*(X344/H344),"0")</f>
        <v>3.4722222222222219</v>
      </c>
      <c r="BP344" s="64">
        <f t="shared" ref="BP344:BP350" si="40">IFERROR(1/J344*(Y344/H344),"0")</f>
        <v>3.4791666666666665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1000</v>
      </c>
      <c r="Y345" s="544">
        <f t="shared" si="36"/>
        <v>1005</v>
      </c>
      <c r="Z345" s="36">
        <f>IFERROR(IF(Y345=0,"",ROUNDUP(Y345/H345,0)*0.02175),"")</f>
        <v>1.4572499999999999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1031.3333333333333</v>
      </c>
      <c r="BN345" s="64">
        <f t="shared" si="38"/>
        <v>1036.49</v>
      </c>
      <c r="BO345" s="64">
        <f t="shared" si="39"/>
        <v>1.3888888888888888</v>
      </c>
      <c r="BP345" s="64">
        <f t="shared" si="40"/>
        <v>1.3958333333333333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2500</v>
      </c>
      <c r="Y346" s="544">
        <f t="shared" si="36"/>
        <v>2505</v>
      </c>
      <c r="Z346" s="36">
        <f>IFERROR(IF(Y346=0,"",ROUNDUP(Y346/H346,0)*0.02175),"")</f>
        <v>3.6322499999999995</v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2578.3333333333335</v>
      </c>
      <c r="BN346" s="64">
        <f t="shared" si="38"/>
        <v>2583.4899999999998</v>
      </c>
      <c r="BO346" s="64">
        <f t="shared" si="39"/>
        <v>3.4722222222222219</v>
      </c>
      <c r="BP346" s="64">
        <f t="shared" si="40"/>
        <v>3.4791666666666665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400</v>
      </c>
      <c r="Y351" s="545">
        <f>IFERROR(Y344/H344,"0")+IFERROR(Y345/H345,"0")+IFERROR(Y346/H346,"0")+IFERROR(Y347/H347,"0")+IFERROR(Y348/H348,"0")+IFERROR(Y349/H349,"0")+IFERROR(Y350/H350,"0")</f>
        <v>401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8.7217499999999983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6000</v>
      </c>
      <c r="Y352" s="545">
        <f>IFERROR(SUM(Y344:Y350),"0")</f>
        <v>6015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1800</v>
      </c>
      <c r="Y354" s="544">
        <f>IFERROR(IF(X354="",0,CEILING((X354/$H354),1)*$H354),"")</f>
        <v>1800</v>
      </c>
      <c r="Z354" s="36">
        <f>IFERROR(IF(Y354=0,"",ROUNDUP(Y354/H354,0)*0.02175),"")</f>
        <v>2.61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1856.4</v>
      </c>
      <c r="BN354" s="64">
        <f>IFERROR(Y354*I354/H354,"0")</f>
        <v>1856.4</v>
      </c>
      <c r="BO354" s="64">
        <f>IFERROR(1/J354*(X354/H354),"0")</f>
        <v>2.5</v>
      </c>
      <c r="BP354" s="64">
        <f>IFERROR(1/J354*(Y354/H354),"0")</f>
        <v>2.5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120</v>
      </c>
      <c r="Y356" s="545">
        <f>IFERROR(Y354/H354,"0")+IFERROR(Y355/H355,"0")</f>
        <v>120</v>
      </c>
      <c r="Z356" s="545">
        <f>IFERROR(IF(Z354="",0,Z354),"0")+IFERROR(IF(Z355="",0,Z355),"0")</f>
        <v>2.61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1800</v>
      </c>
      <c r="Y357" s="545">
        <f>IFERROR(SUM(Y354:Y355),"0")</f>
        <v>1800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4000</v>
      </c>
      <c r="Y379" s="544">
        <f>IFERROR(IF(X379="",0,CEILING((X379/$H379),1)*$H379),"")</f>
        <v>4005</v>
      </c>
      <c r="Z379" s="36">
        <f>IFERROR(IF(Y379=0,"",ROUNDUP(Y379/H379,0)*0.01898),"")</f>
        <v>8.4460999999999995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4219.5555555555557</v>
      </c>
      <c r="BN379" s="64">
        <f>IFERROR(Y379*I379/H379,"0")</f>
        <v>4224.83</v>
      </c>
      <c r="BO379" s="64">
        <f>IFERROR(1/J379*(X379/H379),"0")</f>
        <v>6.9444444444444446</v>
      </c>
      <c r="BP379" s="64">
        <f>IFERROR(1/J379*(Y379/H379),"0")</f>
        <v>6.953125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444.44444444444446</v>
      </c>
      <c r="Y381" s="545">
        <f>IFERROR(Y379/H379,"0")+IFERROR(Y380/H380,"0")</f>
        <v>445</v>
      </c>
      <c r="Z381" s="545">
        <f>IFERROR(IF(Z379="",0,Z379),"0")+IFERROR(IF(Z380="",0,Z380),"0")</f>
        <v>8.4460999999999995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4000</v>
      </c>
      <c r="Y382" s="545">
        <f>IFERROR(SUM(Y379:Y380),"0")</f>
        <v>4005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2000</v>
      </c>
      <c r="Y424" s="544">
        <f t="shared" si="47"/>
        <v>2001.1200000000001</v>
      </c>
      <c r="Z424" s="36">
        <f t="shared" si="48"/>
        <v>4.5328400000000002</v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2132.5757575757575</v>
      </c>
      <c r="BN424" s="64">
        <f t="shared" si="50"/>
        <v>2133.77</v>
      </c>
      <c r="BO424" s="64">
        <f t="shared" si="51"/>
        <v>3.6421911421911419</v>
      </c>
      <c r="BP424" s="64">
        <f t="shared" si="52"/>
        <v>3.6442307692307696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378.78787878787875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379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4.5328400000000002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2000</v>
      </c>
      <c r="Y434" s="545">
        <f>IFERROR(SUM(Y422:Y432),"0")</f>
        <v>2001.1200000000001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13800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13821.12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14396.531313131314</v>
      </c>
      <c r="Y491" s="545">
        <f>IFERROR(SUM(BN22:BN487),"0")</f>
        <v>14418.47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22</v>
      </c>
      <c r="Y492" s="38">
        <f>ROUNDUP(SUM(BP22:BP487),0)</f>
        <v>22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14946.531313131314</v>
      </c>
      <c r="Y493" s="545">
        <f>GrossWeightTotalR+PalletQtyTotalR*25</f>
        <v>14968.47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1343.2323232323233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1345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24.310689999999997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7815</v>
      </c>
      <c r="T500" s="46">
        <f>IFERROR(Y369*1,"0")+IFERROR(Y370*1,"0")+IFERROR(Y374*1,"0")+IFERROR(Y375*1,"0")+IFERROR(Y379*1,"0")+IFERROR(Y380*1,"0")</f>
        <v>4005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2001.1200000000001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2025-11-14T09:32:07Z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