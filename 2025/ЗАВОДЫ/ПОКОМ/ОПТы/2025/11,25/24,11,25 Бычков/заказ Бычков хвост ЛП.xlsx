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Бычков\"/>
    </mc:Choice>
  </mc:AlternateContent>
  <xr:revisionPtr revIDLastSave="0" documentId="13_ncr:1_{06B87D99-2730-44B9-BE39-6600C5A2F1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42" i="1" l="1"/>
  <c r="Y31" i="1"/>
  <c r="Y43" i="1"/>
  <c r="Y493" i="1" s="1"/>
  <c r="Y58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Z177" i="1"/>
  <c r="BP175" i="1"/>
  <c r="BN175" i="1"/>
  <c r="Z175" i="1"/>
  <c r="BP196" i="1"/>
  <c r="BN196" i="1"/>
  <c r="Z196" i="1"/>
  <c r="Z203" i="1" s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Z325" i="1" s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338" i="1"/>
  <c r="Z234" i="1"/>
  <c r="Z305" i="1"/>
  <c r="Z274" i="1"/>
  <c r="Z148" i="1"/>
  <c r="Z438" i="1"/>
  <c r="Z447" i="1"/>
  <c r="Z432" i="1"/>
  <c r="Z350" i="1"/>
  <c r="Z215" i="1"/>
  <c r="Y489" i="1"/>
  <c r="Z103" i="1"/>
  <c r="Z494" i="1" s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<sst xmlns="http://schemas.openxmlformats.org/spreadsheetml/2006/main" count="2337" uniqueCount="763">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</sst>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3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800" t="s">
        <v>0</v>
      </c>
      <c r="E1" s="565"/>
      <c r="F1" s="565"/>
      <c r="G1" s="12" t="s">
        <v>1</v>
      </c>
      <c r="H1" s="800" t="s">
        <v>2</v>
      </c>
      <c r="I1" s="565"/>
      <c r="J1" s="565"/>
      <c r="K1" s="565"/>
      <c r="L1" s="565"/>
      <c r="M1" s="565"/>
      <c r="N1" s="565"/>
      <c r="O1" s="565"/>
      <c r="P1" s="565"/>
      <c r="Q1" s="565"/>
      <c r="R1" s="853" t="s">
        <v>3</v>
      </c>
      <c r="S1" s="565"/>
      <c r="T1" s="5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70" t="s">
        <v>8</v>
      </c>
      <c r="B5" s="625"/>
      <c r="C5" s="573"/>
      <c r="D5" s="656"/>
      <c r="E5" s="658"/>
      <c r="F5" s="607" t="s">
        <v>9</v>
      </c>
      <c r="G5" s="573"/>
      <c r="H5" s="656"/>
      <c r="I5" s="657"/>
      <c r="J5" s="657"/>
      <c r="K5" s="657"/>
      <c r="L5" s="657"/>
      <c r="M5" s="658"/>
      <c r="N5" s="58"/>
      <c r="P5" s="24" t="s">
        <v>10</v>
      </c>
      <c r="Q5" s="591">
        <v>45988</v>
      </c>
      <c r="R5" s="592"/>
      <c r="T5" s="728" t="s">
        <v>11</v>
      </c>
      <c r="U5" s="568"/>
      <c r="V5" s="730" t="s">
        <v>12</v>
      </c>
      <c r="W5" s="592"/>
      <c r="AB5" s="51"/>
      <c r="AC5" s="51"/>
      <c r="AD5" s="51"/>
      <c r="AE5" s="51"/>
    </row>
    <row r="6" spans="1:32" s="535" customFormat="1" ht="24" customHeight="1" x14ac:dyDescent="0.2">
      <c r="A6" s="770" t="s">
        <v>13</v>
      </c>
      <c r="B6" s="625"/>
      <c r="C6" s="573"/>
      <c r="D6" s="661" t="s">
        <v>14</v>
      </c>
      <c r="E6" s="662"/>
      <c r="F6" s="662"/>
      <c r="G6" s="662"/>
      <c r="H6" s="662"/>
      <c r="I6" s="662"/>
      <c r="J6" s="662"/>
      <c r="K6" s="662"/>
      <c r="L6" s="662"/>
      <c r="M6" s="592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Четверг</v>
      </c>
      <c r="R6" s="548"/>
      <c r="T6" s="735" t="s">
        <v>16</v>
      </c>
      <c r="U6" s="568"/>
      <c r="V6" s="714" t="s">
        <v>17</v>
      </c>
      <c r="W6" s="715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5" t="str">
        <f>IFERROR(VLOOKUP(DeliveryAddress,Table,3,0),1)</f>
        <v>1</v>
      </c>
      <c r="E7" s="816"/>
      <c r="F7" s="816"/>
      <c r="G7" s="816"/>
      <c r="H7" s="816"/>
      <c r="I7" s="816"/>
      <c r="J7" s="816"/>
      <c r="K7" s="816"/>
      <c r="L7" s="816"/>
      <c r="M7" s="732"/>
      <c r="N7" s="60"/>
      <c r="P7" s="24"/>
      <c r="Q7" s="42"/>
      <c r="R7" s="42"/>
      <c r="T7" s="557"/>
      <c r="U7" s="568"/>
      <c r="V7" s="716"/>
      <c r="W7" s="717"/>
      <c r="AB7" s="51"/>
      <c r="AC7" s="51"/>
      <c r="AD7" s="51"/>
      <c r="AE7" s="51"/>
    </row>
    <row r="8" spans="1:32" s="535" customFormat="1" ht="25.5" customHeight="1" x14ac:dyDescent="0.2">
      <c r="A8" s="552" t="s">
        <v>18</v>
      </c>
      <c r="B8" s="550"/>
      <c r="C8" s="551"/>
      <c r="D8" s="823" t="s">
        <v>19</v>
      </c>
      <c r="E8" s="824"/>
      <c r="F8" s="824"/>
      <c r="G8" s="824"/>
      <c r="H8" s="824"/>
      <c r="I8" s="824"/>
      <c r="J8" s="824"/>
      <c r="K8" s="824"/>
      <c r="L8" s="824"/>
      <c r="M8" s="825"/>
      <c r="N8" s="61"/>
      <c r="P8" s="24" t="s">
        <v>20</v>
      </c>
      <c r="Q8" s="731">
        <v>0.41666666666666669</v>
      </c>
      <c r="R8" s="732"/>
      <c r="T8" s="557"/>
      <c r="U8" s="568"/>
      <c r="V8" s="716"/>
      <c r="W8" s="717"/>
      <c r="AB8" s="51"/>
      <c r="AC8" s="51"/>
      <c r="AD8" s="51"/>
      <c r="AE8" s="51"/>
    </row>
    <row r="9" spans="1:32" s="535" customFormat="1" ht="39.950000000000003" customHeight="1" x14ac:dyDescent="0.2">
      <c r="A9" s="5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17"/>
      <c r="E9" s="618"/>
      <c r="F9" s="5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18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8"/>
      <c r="L9" s="618"/>
      <c r="M9" s="618"/>
      <c r="N9" s="533"/>
      <c r="P9" s="26" t="s">
        <v>21</v>
      </c>
      <c r="Q9" s="787"/>
      <c r="R9" s="611"/>
      <c r="T9" s="557"/>
      <c r="U9" s="568"/>
      <c r="V9" s="718"/>
      <c r="W9" s="71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17"/>
      <c r="E10" s="618"/>
      <c r="F10" s="5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76" t="str">
        <f>IFERROR(VLOOKUP($D$10,Proxy,2,FALSE),"")</f>
        <v/>
      </c>
      <c r="I10" s="557"/>
      <c r="J10" s="557"/>
      <c r="K10" s="557"/>
      <c r="L10" s="557"/>
      <c r="M10" s="557"/>
      <c r="N10" s="534"/>
      <c r="P10" s="26" t="s">
        <v>22</v>
      </c>
      <c r="Q10" s="736"/>
      <c r="R10" s="737"/>
      <c r="U10" s="24" t="s">
        <v>23</v>
      </c>
      <c r="V10" s="836" t="s">
        <v>24</v>
      </c>
      <c r="W10" s="715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8"/>
      <c r="R11" s="592"/>
      <c r="U11" s="24" t="s">
        <v>27</v>
      </c>
      <c r="V11" s="610" t="s">
        <v>28</v>
      </c>
      <c r="W11" s="611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39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573"/>
      <c r="N12" s="62"/>
      <c r="P12" s="24" t="s">
        <v>30</v>
      </c>
      <c r="Q12" s="731"/>
      <c r="R12" s="732"/>
      <c r="S12" s="23"/>
      <c r="U12" s="24"/>
      <c r="V12" s="565"/>
      <c r="W12" s="557"/>
      <c r="AB12" s="51"/>
      <c r="AC12" s="51"/>
      <c r="AD12" s="51"/>
      <c r="AE12" s="51"/>
    </row>
    <row r="13" spans="1:32" s="535" customFormat="1" ht="23.25" customHeight="1" x14ac:dyDescent="0.2">
      <c r="A13" s="739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573"/>
      <c r="N13" s="62"/>
      <c r="O13" s="26"/>
      <c r="P13" s="26" t="s">
        <v>32</v>
      </c>
      <c r="Q13" s="610"/>
      <c r="R13" s="61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39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50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573"/>
      <c r="N15" s="63"/>
      <c r="P15" s="761" t="s">
        <v>35</v>
      </c>
      <c r="Q15" s="565"/>
      <c r="R15" s="565"/>
      <c r="S15" s="565"/>
      <c r="T15" s="5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2"/>
      <c r="Q16" s="762"/>
      <c r="R16" s="762"/>
      <c r="S16" s="762"/>
      <c r="T16" s="7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45" t="s">
        <v>36</v>
      </c>
      <c r="B17" s="545" t="s">
        <v>37</v>
      </c>
      <c r="C17" s="774" t="s">
        <v>38</v>
      </c>
      <c r="D17" s="545" t="s">
        <v>39</v>
      </c>
      <c r="E17" s="578"/>
      <c r="F17" s="545" t="s">
        <v>40</v>
      </c>
      <c r="G17" s="545" t="s">
        <v>41</v>
      </c>
      <c r="H17" s="545" t="s">
        <v>42</v>
      </c>
      <c r="I17" s="545" t="s">
        <v>43</v>
      </c>
      <c r="J17" s="545" t="s">
        <v>44</v>
      </c>
      <c r="K17" s="545" t="s">
        <v>45</v>
      </c>
      <c r="L17" s="545" t="s">
        <v>46</v>
      </c>
      <c r="M17" s="545" t="s">
        <v>47</v>
      </c>
      <c r="N17" s="545" t="s">
        <v>48</v>
      </c>
      <c r="O17" s="545" t="s">
        <v>49</v>
      </c>
      <c r="P17" s="545" t="s">
        <v>50</v>
      </c>
      <c r="Q17" s="807"/>
      <c r="R17" s="807"/>
      <c r="S17" s="807"/>
      <c r="T17" s="578"/>
      <c r="U17" s="572" t="s">
        <v>51</v>
      </c>
      <c r="V17" s="573"/>
      <c r="W17" s="545" t="s">
        <v>52</v>
      </c>
      <c r="X17" s="545" t="s">
        <v>53</v>
      </c>
      <c r="Y17" s="576" t="s">
        <v>54</v>
      </c>
      <c r="Z17" s="685" t="s">
        <v>55</v>
      </c>
      <c r="AA17" s="601" t="s">
        <v>56</v>
      </c>
      <c r="AB17" s="601" t="s">
        <v>57</v>
      </c>
      <c r="AC17" s="601" t="s">
        <v>58</v>
      </c>
      <c r="AD17" s="601" t="s">
        <v>59</v>
      </c>
      <c r="AE17" s="602"/>
      <c r="AF17" s="603"/>
      <c r="AG17" s="66"/>
      <c r="BD17" s="65" t="s">
        <v>60</v>
      </c>
    </row>
    <row r="18" spans="1:68" ht="14.25" customHeight="1" x14ac:dyDescent="0.2">
      <c r="A18" s="546"/>
      <c r="B18" s="546"/>
      <c r="C18" s="546"/>
      <c r="D18" s="579"/>
      <c r="E18" s="580"/>
      <c r="F18" s="546"/>
      <c r="G18" s="546"/>
      <c r="H18" s="546"/>
      <c r="I18" s="546"/>
      <c r="J18" s="546"/>
      <c r="K18" s="546"/>
      <c r="L18" s="546"/>
      <c r="M18" s="546"/>
      <c r="N18" s="546"/>
      <c r="O18" s="546"/>
      <c r="P18" s="579"/>
      <c r="Q18" s="808"/>
      <c r="R18" s="808"/>
      <c r="S18" s="808"/>
      <c r="T18" s="580"/>
      <c r="U18" s="67" t="s">
        <v>61</v>
      </c>
      <c r="V18" s="67" t="s">
        <v>62</v>
      </c>
      <c r="W18" s="546"/>
      <c r="X18" s="546"/>
      <c r="Y18" s="577"/>
      <c r="Z18" s="686"/>
      <c r="AA18" s="655"/>
      <c r="AB18" s="655"/>
      <c r="AC18" s="655"/>
      <c r="AD18" s="604"/>
      <c r="AE18" s="605"/>
      <c r="AF18" s="606"/>
      <c r="AG18" s="66"/>
      <c r="BD18" s="65"/>
    </row>
    <row r="19" spans="1:68" ht="27.75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customHeight="1" x14ac:dyDescent="0.25">
      <c r="A20" s="562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6"/>
      <c r="AB20" s="536"/>
      <c r="AC20" s="536"/>
    </row>
    <row r="21" spans="1:68" ht="14.25" customHeight="1" x14ac:dyDescent="0.25">
      <c r="A21" s="560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6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8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60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4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4"/>
      <c r="R26" s="554"/>
      <c r="S26" s="554"/>
      <c r="T26" s="555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4"/>
      <c r="R27" s="554"/>
      <c r="S27" s="554"/>
      <c r="T27" s="555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4"/>
      <c r="R28" s="554"/>
      <c r="S28" s="554"/>
      <c r="T28" s="555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1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4"/>
      <c r="R30" s="554"/>
      <c r="S30" s="554"/>
      <c r="T30" s="555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60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5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5" t="s">
        <v>99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customHeight="1" x14ac:dyDescent="0.25">
      <c r="A38" s="562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6"/>
      <c r="AB38" s="536"/>
      <c r="AC38" s="536"/>
    </row>
    <row r="39" spans="1:68" ht="14.25" customHeight="1" x14ac:dyDescent="0.25">
      <c r="A39" s="560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60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62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6"/>
      <c r="AB49" s="536"/>
      <c r="AC49" s="536"/>
    </row>
    <row r="50" spans="1:68" ht="14.25" customHeight="1" x14ac:dyDescent="0.25">
      <c r="A50" s="560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9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60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1">
        <v>13.5</v>
      </c>
      <c r="Y62" s="542">
        <f>IFERROR(IF(X62="",0,CEILING((X62/$H62),1)*$H62),"")</f>
        <v>13.5</v>
      </c>
      <c r="Z62" s="36">
        <f>IFERROR(IF(Y62=0,"",ROUNDUP(Y62/H62,0)*0.00651),"")</f>
        <v>3.2550000000000003E-2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14.399999999999997</v>
      </c>
      <c r="BN62" s="64">
        <f>IFERROR(Y62*I62/H62,"0")</f>
        <v>14.399999999999997</v>
      </c>
      <c r="BO62" s="64">
        <f>IFERROR(1/J62*(X62/H62),"0")</f>
        <v>2.7472527472527476E-2</v>
      </c>
      <c r="BP62" s="64">
        <f>IFERROR(1/J62*(Y62/H62),"0")</f>
        <v>2.7472527472527476E-2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5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3.2550000000000003E-2</v>
      </c>
      <c r="AA63" s="544"/>
      <c r="AB63" s="544"/>
      <c r="AC63" s="544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13.5</v>
      </c>
      <c r="Y64" s="543">
        <f>IFERROR(SUM(Y60:Y62),"0")</f>
        <v>13.5</v>
      </c>
      <c r="Z64" s="37"/>
      <c r="AA64" s="544"/>
      <c r="AB64" s="544"/>
      <c r="AC64" s="544"/>
    </row>
    <row r="65" spans="1:68" ht="14.25" customHeight="1" x14ac:dyDescent="0.25">
      <c r="A65" s="560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6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8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60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6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49" t="s">
        <v>71</v>
      </c>
      <c r="Q76" s="550"/>
      <c r="R76" s="550"/>
      <c r="S76" s="550"/>
      <c r="T76" s="550"/>
      <c r="U76" s="550"/>
      <c r="V76" s="55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8"/>
      <c r="P77" s="549" t="s">
        <v>71</v>
      </c>
      <c r="Q77" s="550"/>
      <c r="R77" s="550"/>
      <c r="S77" s="550"/>
      <c r="T77" s="550"/>
      <c r="U77" s="550"/>
      <c r="V77" s="55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60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6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49" t="s">
        <v>71</v>
      </c>
      <c r="Q81" s="550"/>
      <c r="R81" s="550"/>
      <c r="S81" s="550"/>
      <c r="T81" s="550"/>
      <c r="U81" s="550"/>
      <c r="V81" s="55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8"/>
      <c r="P82" s="549" t="s">
        <v>71</v>
      </c>
      <c r="Q82" s="550"/>
      <c r="R82" s="550"/>
      <c r="S82" s="550"/>
      <c r="T82" s="550"/>
      <c r="U82" s="550"/>
      <c r="V82" s="55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62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6"/>
      <c r="AB83" s="536"/>
      <c r="AC83" s="536"/>
    </row>
    <row r="84" spans="1:68" ht="14.25" customHeight="1" x14ac:dyDescent="0.25">
      <c r="A84" s="560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1">
        <v>13.5</v>
      </c>
      <c r="Y87" s="542">
        <f>IFERROR(IF(X87="",0,CEILING((X87/$H87),1)*$H87),"")</f>
        <v>13.5</v>
      </c>
      <c r="Z87" s="36">
        <f>IFERROR(IF(Y87=0,"",ROUNDUP(Y87/H87,0)*0.00902),"")</f>
        <v>2.7060000000000001E-2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14.07</v>
      </c>
      <c r="BN87" s="64">
        <f>IFERROR(Y87*I87/H87,"0")</f>
        <v>14.07</v>
      </c>
      <c r="BO87" s="64">
        <f>IFERROR(1/J87*(X87/H87),"0")</f>
        <v>2.2727272727272728E-2</v>
      </c>
      <c r="BP87" s="64">
        <f>IFERROR(1/J87*(Y87/H87),"0")</f>
        <v>2.2727272727272728E-2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49" t="s">
        <v>71</v>
      </c>
      <c r="Q88" s="550"/>
      <c r="R88" s="550"/>
      <c r="S88" s="550"/>
      <c r="T88" s="550"/>
      <c r="U88" s="550"/>
      <c r="V88" s="551"/>
      <c r="W88" s="37" t="s">
        <v>72</v>
      </c>
      <c r="X88" s="543">
        <f>IFERROR(X85/H85,"0")+IFERROR(X86/H86,"0")+IFERROR(X87/H87,"0")</f>
        <v>3</v>
      </c>
      <c r="Y88" s="543">
        <f>IFERROR(Y85/H85,"0")+IFERROR(Y86/H86,"0")+IFERROR(Y87/H87,"0")</f>
        <v>3</v>
      </c>
      <c r="Z88" s="543">
        <f>IFERROR(IF(Z85="",0,Z85),"0")+IFERROR(IF(Z86="",0,Z86),"0")+IFERROR(IF(Z87="",0,Z87),"0")</f>
        <v>2.7060000000000001E-2</v>
      </c>
      <c r="AA88" s="544"/>
      <c r="AB88" s="544"/>
      <c r="AC88" s="544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49" t="s">
        <v>71</v>
      </c>
      <c r="Q89" s="550"/>
      <c r="R89" s="550"/>
      <c r="S89" s="550"/>
      <c r="T89" s="550"/>
      <c r="U89" s="550"/>
      <c r="V89" s="551"/>
      <c r="W89" s="37" t="s">
        <v>69</v>
      </c>
      <c r="X89" s="543">
        <f>IFERROR(SUM(X85:X87),"0")</f>
        <v>13.5</v>
      </c>
      <c r="Y89" s="543">
        <f>IFERROR(SUM(Y85:Y87),"0")</f>
        <v>13.5</v>
      </c>
      <c r="Z89" s="37"/>
      <c r="AA89" s="544"/>
      <c r="AB89" s="544"/>
      <c r="AC89" s="544"/>
    </row>
    <row r="90" spans="1:68" ht="14.25" customHeight="1" x14ac:dyDescent="0.25">
      <c r="A90" s="560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49" t="s">
        <v>71</v>
      </c>
      <c r="Q95" s="550"/>
      <c r="R95" s="550"/>
      <c r="S95" s="550"/>
      <c r="T95" s="550"/>
      <c r="U95" s="550"/>
      <c r="V95" s="551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49" t="s">
        <v>71</v>
      </c>
      <c r="Q96" s="550"/>
      <c r="R96" s="550"/>
      <c r="S96" s="550"/>
      <c r="T96" s="550"/>
      <c r="U96" s="550"/>
      <c r="V96" s="551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62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6"/>
      <c r="AB97" s="536"/>
      <c r="AC97" s="536"/>
    </row>
    <row r="98" spans="1:68" ht="14.25" customHeight="1" x14ac:dyDescent="0.25">
      <c r="A98" s="560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4"/>
      <c r="R100" s="554"/>
      <c r="S100" s="554"/>
      <c r="T100" s="555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5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7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58"/>
      <c r="P103" s="549" t="s">
        <v>71</v>
      </c>
      <c r="Q103" s="550"/>
      <c r="R103" s="550"/>
      <c r="S103" s="550"/>
      <c r="T103" s="550"/>
      <c r="U103" s="550"/>
      <c r="V103" s="551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49" t="s">
        <v>71</v>
      </c>
      <c r="Q104" s="550"/>
      <c r="R104" s="550"/>
      <c r="S104" s="550"/>
      <c r="T104" s="550"/>
      <c r="U104" s="550"/>
      <c r="V104" s="551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60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4"/>
      <c r="R106" s="554"/>
      <c r="S106" s="554"/>
      <c r="T106" s="555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6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58"/>
      <c r="P109" s="549" t="s">
        <v>71</v>
      </c>
      <c r="Q109" s="550"/>
      <c r="R109" s="550"/>
      <c r="S109" s="550"/>
      <c r="T109" s="550"/>
      <c r="U109" s="550"/>
      <c r="V109" s="55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58"/>
      <c r="P110" s="549" t="s">
        <v>71</v>
      </c>
      <c r="Q110" s="550"/>
      <c r="R110" s="550"/>
      <c r="S110" s="550"/>
      <c r="T110" s="550"/>
      <c r="U110" s="550"/>
      <c r="V110" s="55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60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4"/>
      <c r="R112" s="554"/>
      <c r="S112" s="554"/>
      <c r="T112" s="555"/>
      <c r="U112" s="34"/>
      <c r="V112" s="34"/>
      <c r="W112" s="35" t="s">
        <v>69</v>
      </c>
      <c r="X112" s="541">
        <v>20</v>
      </c>
      <c r="Y112" s="542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21.204938271604938</v>
      </c>
      <c r="BN112" s="64">
        <f>IFERROR(Y112*I112/H112,"0")</f>
        <v>25.763999999999996</v>
      </c>
      <c r="BO112" s="64">
        <f>IFERROR(1/J112*(X112/H112),"0")</f>
        <v>3.8580246913580252E-2</v>
      </c>
      <c r="BP112" s="64">
        <f>IFERROR(1/J112*(Y112/H112),"0")</f>
        <v>4.6875E-2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80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4"/>
      <c r="R113" s="554"/>
      <c r="S113" s="554"/>
      <c r="T113" s="555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1">
        <v>5.4</v>
      </c>
      <c r="Y114" s="542">
        <f>IFERROR(IF(X114="",0,CEILING((X114/$H114),1)*$H114),"")</f>
        <v>5.4</v>
      </c>
      <c r="Z114" s="36">
        <f>IFERROR(IF(Y114=0,"",ROUNDUP(Y114/H114,0)*0.00651),"")</f>
        <v>1.302E-2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5.9039999999999999</v>
      </c>
      <c r="BN114" s="64">
        <f>IFERROR(Y114*I114/H114,"0")</f>
        <v>5.9039999999999999</v>
      </c>
      <c r="BO114" s="64">
        <f>IFERROR(1/J114*(X114/H114),"0")</f>
        <v>1.098901098901099E-2</v>
      </c>
      <c r="BP114" s="64">
        <f>IFERROR(1/J114*(Y114/H114),"0")</f>
        <v>1.098901098901099E-2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58"/>
      <c r="P116" s="549" t="s">
        <v>71</v>
      </c>
      <c r="Q116" s="550"/>
      <c r="R116" s="550"/>
      <c r="S116" s="550"/>
      <c r="T116" s="550"/>
      <c r="U116" s="550"/>
      <c r="V116" s="551"/>
      <c r="W116" s="37" t="s">
        <v>72</v>
      </c>
      <c r="X116" s="543">
        <f>IFERROR(X112/H112,"0")+IFERROR(X113/H113,"0")+IFERROR(X114/H114,"0")+IFERROR(X115/H115,"0")</f>
        <v>4.4691358024691361</v>
      </c>
      <c r="Y116" s="543">
        <f>IFERROR(Y112/H112,"0")+IFERROR(Y113/H113,"0")+IFERROR(Y114/H114,"0")+IFERROR(Y115/H115,"0")</f>
        <v>5</v>
      </c>
      <c r="Z116" s="543">
        <f>IFERROR(IF(Z112="",0,Z112),"0")+IFERROR(IF(Z113="",0,Z113),"0")+IFERROR(IF(Z114="",0,Z114),"0")+IFERROR(IF(Z115="",0,Z115),"0")</f>
        <v>6.9960000000000008E-2</v>
      </c>
      <c r="AA116" s="544"/>
      <c r="AB116" s="544"/>
      <c r="AC116" s="544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8"/>
      <c r="P117" s="549" t="s">
        <v>71</v>
      </c>
      <c r="Q117" s="550"/>
      <c r="R117" s="550"/>
      <c r="S117" s="550"/>
      <c r="T117" s="550"/>
      <c r="U117" s="550"/>
      <c r="V117" s="551"/>
      <c r="W117" s="37" t="s">
        <v>69</v>
      </c>
      <c r="X117" s="543">
        <f>IFERROR(SUM(X112:X115),"0")</f>
        <v>25.4</v>
      </c>
      <c r="Y117" s="543">
        <f>IFERROR(SUM(Y112:Y115),"0")</f>
        <v>29.699999999999996</v>
      </c>
      <c r="Z117" s="37"/>
      <c r="AA117" s="544"/>
      <c r="AB117" s="544"/>
      <c r="AC117" s="544"/>
    </row>
    <row r="118" spans="1:68" ht="14.25" customHeight="1" x14ac:dyDescent="0.25">
      <c r="A118" s="560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7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4"/>
      <c r="R119" s="554"/>
      <c r="S119" s="554"/>
      <c r="T119" s="555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6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8"/>
      <c r="P120" s="549" t="s">
        <v>71</v>
      </c>
      <c r="Q120" s="550"/>
      <c r="R120" s="550"/>
      <c r="S120" s="550"/>
      <c r="T120" s="550"/>
      <c r="U120" s="550"/>
      <c r="V120" s="55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8"/>
      <c r="P121" s="549" t="s">
        <v>71</v>
      </c>
      <c r="Q121" s="550"/>
      <c r="R121" s="550"/>
      <c r="S121" s="550"/>
      <c r="T121" s="550"/>
      <c r="U121" s="550"/>
      <c r="V121" s="55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62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6"/>
      <c r="AB122" s="536"/>
      <c r="AC122" s="536"/>
    </row>
    <row r="123" spans="1:68" ht="14.25" customHeight="1" x14ac:dyDescent="0.25">
      <c r="A123" s="560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4"/>
      <c r="R124" s="554"/>
      <c r="S124" s="554"/>
      <c r="T124" s="555"/>
      <c r="U124" s="34"/>
      <c r="V124" s="34"/>
      <c r="W124" s="35" t="s">
        <v>69</v>
      </c>
      <c r="X124" s="541">
        <v>6.4</v>
      </c>
      <c r="Y124" s="542">
        <f>IFERROR(IF(X124="",0,CEILING((X124/$H124),1)*$H124),"")</f>
        <v>6.4</v>
      </c>
      <c r="Z124" s="36">
        <f>IFERROR(IF(Y124=0,"",ROUNDUP(Y124/H124,0)*0.00651),"")</f>
        <v>1.302E-2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6.76</v>
      </c>
      <c r="BN124" s="64">
        <f>IFERROR(Y124*I124/H124,"0")</f>
        <v>6.76</v>
      </c>
      <c r="BO124" s="64">
        <f>IFERROR(1/J124*(X124/H124),"0")</f>
        <v>1.098901098901099E-2</v>
      </c>
      <c r="BP124" s="64">
        <f>IFERROR(1/J124*(Y124/H124),"0")</f>
        <v>1.098901098901099E-2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4"/>
      <c r="R125" s="554"/>
      <c r="S125" s="554"/>
      <c r="T125" s="555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6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8"/>
      <c r="P126" s="549" t="s">
        <v>71</v>
      </c>
      <c r="Q126" s="550"/>
      <c r="R126" s="550"/>
      <c r="S126" s="550"/>
      <c r="T126" s="550"/>
      <c r="U126" s="550"/>
      <c r="V126" s="551"/>
      <c r="W126" s="37" t="s">
        <v>72</v>
      </c>
      <c r="X126" s="543">
        <f>IFERROR(X124/H124,"0")+IFERROR(X125/H125,"0")</f>
        <v>2</v>
      </c>
      <c r="Y126" s="543">
        <f>IFERROR(Y124/H124,"0")+IFERROR(Y125/H125,"0")</f>
        <v>2</v>
      </c>
      <c r="Z126" s="543">
        <f>IFERROR(IF(Z124="",0,Z124),"0")+IFERROR(IF(Z125="",0,Z125),"0")</f>
        <v>1.302E-2</v>
      </c>
      <c r="AA126" s="544"/>
      <c r="AB126" s="544"/>
      <c r="AC126" s="544"/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8"/>
      <c r="P127" s="549" t="s">
        <v>71</v>
      </c>
      <c r="Q127" s="550"/>
      <c r="R127" s="550"/>
      <c r="S127" s="550"/>
      <c r="T127" s="550"/>
      <c r="U127" s="550"/>
      <c r="V127" s="551"/>
      <c r="W127" s="37" t="s">
        <v>69</v>
      </c>
      <c r="X127" s="543">
        <f>IFERROR(SUM(X124:X125),"0")</f>
        <v>6.4</v>
      </c>
      <c r="Y127" s="543">
        <f>IFERROR(SUM(Y124:Y125),"0")</f>
        <v>6.4</v>
      </c>
      <c r="Z127" s="37"/>
      <c r="AA127" s="544"/>
      <c r="AB127" s="544"/>
      <c r="AC127" s="544"/>
    </row>
    <row r="128" spans="1:68" ht="14.25" customHeight="1" x14ac:dyDescent="0.25">
      <c r="A128" s="560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4"/>
      <c r="R129" s="554"/>
      <c r="S129" s="554"/>
      <c r="T129" s="555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4"/>
      <c r="R130" s="554"/>
      <c r="S130" s="554"/>
      <c r="T130" s="555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6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8"/>
      <c r="P131" s="549" t="s">
        <v>71</v>
      </c>
      <c r="Q131" s="550"/>
      <c r="R131" s="550"/>
      <c r="S131" s="550"/>
      <c r="T131" s="550"/>
      <c r="U131" s="550"/>
      <c r="V131" s="55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8"/>
      <c r="P132" s="549" t="s">
        <v>71</v>
      </c>
      <c r="Q132" s="550"/>
      <c r="R132" s="550"/>
      <c r="S132" s="550"/>
      <c r="T132" s="550"/>
      <c r="U132" s="550"/>
      <c r="V132" s="55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60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4"/>
      <c r="R134" s="554"/>
      <c r="S134" s="554"/>
      <c r="T134" s="555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4"/>
      <c r="R135" s="554"/>
      <c r="S135" s="554"/>
      <c r="T135" s="555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6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8"/>
      <c r="P136" s="549" t="s">
        <v>71</v>
      </c>
      <c r="Q136" s="550"/>
      <c r="R136" s="550"/>
      <c r="S136" s="550"/>
      <c r="T136" s="550"/>
      <c r="U136" s="550"/>
      <c r="V136" s="55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8"/>
      <c r="P137" s="549" t="s">
        <v>71</v>
      </c>
      <c r="Q137" s="550"/>
      <c r="R137" s="550"/>
      <c r="S137" s="550"/>
      <c r="T137" s="550"/>
      <c r="U137" s="550"/>
      <c r="V137" s="55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62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6"/>
      <c r="AB138" s="536"/>
      <c r="AC138" s="536"/>
    </row>
    <row r="139" spans="1:68" ht="14.25" customHeight="1" x14ac:dyDescent="0.25">
      <c r="A139" s="560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4"/>
      <c r="R140" s="554"/>
      <c r="S140" s="554"/>
      <c r="T140" s="555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4"/>
      <c r="R141" s="554"/>
      <c r="S141" s="554"/>
      <c r="T141" s="555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6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8"/>
      <c r="P142" s="549" t="s">
        <v>71</v>
      </c>
      <c r="Q142" s="550"/>
      <c r="R142" s="550"/>
      <c r="S142" s="550"/>
      <c r="T142" s="550"/>
      <c r="U142" s="550"/>
      <c r="V142" s="551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8"/>
      <c r="P143" s="549" t="s">
        <v>71</v>
      </c>
      <c r="Q143" s="550"/>
      <c r="R143" s="550"/>
      <c r="S143" s="550"/>
      <c r="T143" s="550"/>
      <c r="U143" s="550"/>
      <c r="V143" s="551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60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4"/>
      <c r="R145" s="554"/>
      <c r="S145" s="554"/>
      <c r="T145" s="555"/>
      <c r="U145" s="34"/>
      <c r="V145" s="34"/>
      <c r="W145" s="35" t="s">
        <v>69</v>
      </c>
      <c r="X145" s="541">
        <v>8</v>
      </c>
      <c r="Y145" s="542">
        <f>IFERROR(IF(X145="",0,CEILING((X145/$H145),1)*$H145),"")</f>
        <v>9</v>
      </c>
      <c r="Z145" s="36">
        <f>IFERROR(IF(Y145=0,"",ROUNDUP(Y145/H145,0)*0.01898),"")</f>
        <v>1.898E-2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8.4977777777777774</v>
      </c>
      <c r="BN145" s="64">
        <f>IFERROR(Y145*I145/H145,"0")</f>
        <v>9.56</v>
      </c>
      <c r="BO145" s="64">
        <f>IFERROR(1/J145*(X145/H145),"0")</f>
        <v>1.3888888888888888E-2</v>
      </c>
      <c r="BP145" s="64">
        <f>IFERROR(1/J145*(Y145/H145),"0")</f>
        <v>1.5625E-2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1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4"/>
      <c r="R146" s="554"/>
      <c r="S146" s="554"/>
      <c r="T146" s="555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83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1">
        <v>8</v>
      </c>
      <c r="Y147" s="542">
        <f>IFERROR(IF(X147="",0,CEILING((X147/$H147),1)*$H147),"")</f>
        <v>9</v>
      </c>
      <c r="Z147" s="36">
        <f>IFERROR(IF(Y147=0,"",ROUNDUP(Y147/H147,0)*0.01898),"")</f>
        <v>1.898E-2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8.4977777777777774</v>
      </c>
      <c r="BN147" s="64">
        <f>IFERROR(Y147*I147/H147,"0")</f>
        <v>9.56</v>
      </c>
      <c r="BO147" s="64">
        <f>IFERROR(1/J147*(X147/H147),"0")</f>
        <v>1.3888888888888888E-2</v>
      </c>
      <c r="BP147" s="64">
        <f>IFERROR(1/J147*(Y147/H147),"0")</f>
        <v>1.5625E-2</v>
      </c>
    </row>
    <row r="148" spans="1:68" x14ac:dyDescent="0.2">
      <c r="A148" s="556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8"/>
      <c r="P148" s="549" t="s">
        <v>71</v>
      </c>
      <c r="Q148" s="550"/>
      <c r="R148" s="550"/>
      <c r="S148" s="550"/>
      <c r="T148" s="550"/>
      <c r="U148" s="550"/>
      <c r="V148" s="551"/>
      <c r="W148" s="37" t="s">
        <v>72</v>
      </c>
      <c r="X148" s="543">
        <f>IFERROR(X145/H145,"0")+IFERROR(X146/H146,"0")+IFERROR(X147/H147,"0")</f>
        <v>1.7777777777777777</v>
      </c>
      <c r="Y148" s="543">
        <f>IFERROR(Y145/H145,"0")+IFERROR(Y146/H146,"0")+IFERROR(Y147/H147,"0")</f>
        <v>2</v>
      </c>
      <c r="Z148" s="543">
        <f>IFERROR(IF(Z145="",0,Z145),"0")+IFERROR(IF(Z146="",0,Z146),"0")+IFERROR(IF(Z147="",0,Z147),"0")</f>
        <v>3.7960000000000001E-2</v>
      </c>
      <c r="AA148" s="544"/>
      <c r="AB148" s="544"/>
      <c r="AC148" s="544"/>
    </row>
    <row r="149" spans="1:68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58"/>
      <c r="P149" s="549" t="s">
        <v>71</v>
      </c>
      <c r="Q149" s="550"/>
      <c r="R149" s="550"/>
      <c r="S149" s="550"/>
      <c r="T149" s="550"/>
      <c r="U149" s="550"/>
      <c r="V149" s="551"/>
      <c r="W149" s="37" t="s">
        <v>69</v>
      </c>
      <c r="X149" s="543">
        <f>IFERROR(SUM(X145:X147),"0")</f>
        <v>16</v>
      </c>
      <c r="Y149" s="543">
        <f>IFERROR(SUM(Y145:Y147),"0")</f>
        <v>18</v>
      </c>
      <c r="Z149" s="37"/>
      <c r="AA149" s="544"/>
      <c r="AB149" s="544"/>
      <c r="AC149" s="544"/>
    </row>
    <row r="150" spans="1:68" ht="14.25" customHeight="1" x14ac:dyDescent="0.25">
      <c r="A150" s="560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59" t="s">
        <v>249</v>
      </c>
      <c r="Q151" s="554"/>
      <c r="R151" s="554"/>
      <c r="S151" s="554"/>
      <c r="T151" s="555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6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8"/>
      <c r="P152" s="549" t="s">
        <v>71</v>
      </c>
      <c r="Q152" s="550"/>
      <c r="R152" s="550"/>
      <c r="S152" s="550"/>
      <c r="T152" s="550"/>
      <c r="U152" s="550"/>
      <c r="V152" s="551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49" t="s">
        <v>71</v>
      </c>
      <c r="Q153" s="550"/>
      <c r="R153" s="550"/>
      <c r="S153" s="550"/>
      <c r="T153" s="550"/>
      <c r="U153" s="550"/>
      <c r="V153" s="551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45" t="s">
        <v>251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48"/>
      <c r="AB154" s="48"/>
      <c r="AC154" s="48"/>
    </row>
    <row r="155" spans="1:68" ht="16.5" customHeight="1" x14ac:dyDescent="0.25">
      <c r="A155" s="562" t="s">
        <v>252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6"/>
      <c r="AB155" s="536"/>
      <c r="AC155" s="536"/>
    </row>
    <row r="156" spans="1:68" ht="14.25" customHeight="1" x14ac:dyDescent="0.25">
      <c r="A156" s="560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7">
        <v>4680115886223</v>
      </c>
      <c r="E157" s="548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4"/>
      <c r="R157" s="554"/>
      <c r="S157" s="554"/>
      <c r="T157" s="555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6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49" t="s">
        <v>71</v>
      </c>
      <c r="Q158" s="550"/>
      <c r="R158" s="550"/>
      <c r="S158" s="550"/>
      <c r="T158" s="550"/>
      <c r="U158" s="550"/>
      <c r="V158" s="551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8"/>
      <c r="P159" s="549" t="s">
        <v>71</v>
      </c>
      <c r="Q159" s="550"/>
      <c r="R159" s="550"/>
      <c r="S159" s="550"/>
      <c r="T159" s="550"/>
      <c r="U159" s="550"/>
      <c r="V159" s="551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60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7">
        <v>4680115880993</v>
      </c>
      <c r="E161" s="548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4"/>
      <c r="R161" s="554"/>
      <c r="S161" s="554"/>
      <c r="T161" s="555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7">
        <v>4680115881761</v>
      </c>
      <c r="E162" s="548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66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4"/>
      <c r="R162" s="554"/>
      <c r="S162" s="554"/>
      <c r="T162" s="555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7">
        <v>4680115881563</v>
      </c>
      <c r="E163" s="548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4"/>
      <c r="R163" s="554"/>
      <c r="S163" s="554"/>
      <c r="T163" s="555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7">
        <v>4680115880986</v>
      </c>
      <c r="E164" s="548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6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4"/>
      <c r="R164" s="554"/>
      <c r="S164" s="554"/>
      <c r="T164" s="555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7">
        <v>4680115887213</v>
      </c>
      <c r="E165" s="548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7" t="s">
        <v>270</v>
      </c>
      <c r="Q165" s="554"/>
      <c r="R165" s="554"/>
      <c r="S165" s="554"/>
      <c r="T165" s="555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7">
        <v>4680115881785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4"/>
      <c r="R166" s="554"/>
      <c r="S166" s="554"/>
      <c r="T166" s="555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7">
        <v>4680115886537</v>
      </c>
      <c r="E167" s="548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4"/>
      <c r="R167" s="554"/>
      <c r="S167" s="554"/>
      <c r="T167" s="555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7">
        <v>4680115881679</v>
      </c>
      <c r="E168" s="548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7">
        <v>4680115880191</v>
      </c>
      <c r="E169" s="548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7">
        <v>4680115883963</v>
      </c>
      <c r="E170" s="548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58"/>
      <c r="P171" s="549" t="s">
        <v>71</v>
      </c>
      <c r="Q171" s="550"/>
      <c r="R171" s="550"/>
      <c r="S171" s="550"/>
      <c r="T171" s="550"/>
      <c r="U171" s="550"/>
      <c r="V171" s="551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8"/>
      <c r="P172" s="549" t="s">
        <v>71</v>
      </c>
      <c r="Q172" s="550"/>
      <c r="R172" s="550"/>
      <c r="S172" s="550"/>
      <c r="T172" s="550"/>
      <c r="U172" s="550"/>
      <c r="V172" s="551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60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7">
        <v>4680115886780</v>
      </c>
      <c r="E174" s="548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7">
        <v>4680115886742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7">
        <v>4680115886766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6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8"/>
      <c r="P177" s="549" t="s">
        <v>71</v>
      </c>
      <c r="Q177" s="550"/>
      <c r="R177" s="550"/>
      <c r="S177" s="550"/>
      <c r="T177" s="550"/>
      <c r="U177" s="550"/>
      <c r="V177" s="551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8"/>
      <c r="P178" s="549" t="s">
        <v>71</v>
      </c>
      <c r="Q178" s="550"/>
      <c r="R178" s="550"/>
      <c r="S178" s="550"/>
      <c r="T178" s="550"/>
      <c r="U178" s="550"/>
      <c r="V178" s="551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60" t="s">
        <v>294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7">
        <v>4680115886797</v>
      </c>
      <c r="E180" s="548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4"/>
      <c r="R180" s="554"/>
      <c r="S180" s="554"/>
      <c r="T180" s="555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6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49" t="s">
        <v>71</v>
      </c>
      <c r="Q181" s="550"/>
      <c r="R181" s="550"/>
      <c r="S181" s="550"/>
      <c r="T181" s="550"/>
      <c r="U181" s="550"/>
      <c r="V181" s="551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8"/>
      <c r="P182" s="549" t="s">
        <v>71</v>
      </c>
      <c r="Q182" s="550"/>
      <c r="R182" s="550"/>
      <c r="S182" s="550"/>
      <c r="T182" s="550"/>
      <c r="U182" s="550"/>
      <c r="V182" s="551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62" t="s">
        <v>297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6"/>
      <c r="AB183" s="536"/>
      <c r="AC183" s="536"/>
    </row>
    <row r="184" spans="1:68" ht="14.25" customHeight="1" x14ac:dyDescent="0.25">
      <c r="A184" s="560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7">
        <v>4680115881402</v>
      </c>
      <c r="E185" s="548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7">
        <v>4680115881396</v>
      </c>
      <c r="E186" s="548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4"/>
      <c r="R186" s="554"/>
      <c r="S186" s="554"/>
      <c r="T186" s="555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6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49" t="s">
        <v>71</v>
      </c>
      <c r="Q187" s="550"/>
      <c r="R187" s="550"/>
      <c r="S187" s="550"/>
      <c r="T187" s="550"/>
      <c r="U187" s="550"/>
      <c r="V187" s="551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8"/>
      <c r="P188" s="549" t="s">
        <v>71</v>
      </c>
      <c r="Q188" s="550"/>
      <c r="R188" s="550"/>
      <c r="S188" s="550"/>
      <c r="T188" s="550"/>
      <c r="U188" s="550"/>
      <c r="V188" s="551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60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7">
        <v>4680115882935</v>
      </c>
      <c r="E190" s="548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4"/>
      <c r="R190" s="554"/>
      <c r="S190" s="554"/>
      <c r="T190" s="555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7">
        <v>4680115880764</v>
      </c>
      <c r="E191" s="548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4"/>
      <c r="R191" s="554"/>
      <c r="S191" s="554"/>
      <c r="T191" s="555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6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8"/>
      <c r="P192" s="549" t="s">
        <v>71</v>
      </c>
      <c r="Q192" s="550"/>
      <c r="R192" s="550"/>
      <c r="S192" s="550"/>
      <c r="T192" s="550"/>
      <c r="U192" s="550"/>
      <c r="V192" s="551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8"/>
      <c r="P193" s="549" t="s">
        <v>71</v>
      </c>
      <c r="Q193" s="550"/>
      <c r="R193" s="550"/>
      <c r="S193" s="550"/>
      <c r="T193" s="550"/>
      <c r="U193" s="550"/>
      <c r="V193" s="551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60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7">
        <v>4680115882683</v>
      </c>
      <c r="E195" s="548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4"/>
      <c r="R195" s="554"/>
      <c r="S195" s="554"/>
      <c r="T195" s="555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7">
        <v>4680115882690</v>
      </c>
      <c r="E196" s="548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4"/>
      <c r="R196" s="554"/>
      <c r="S196" s="554"/>
      <c r="T196" s="555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7">
        <v>4680115882669</v>
      </c>
      <c r="E197" s="548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7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4"/>
      <c r="R197" s="554"/>
      <c r="S197" s="554"/>
      <c r="T197" s="555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7">
        <v>4680115882676</v>
      </c>
      <c r="E198" s="548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7">
        <v>4680115884014</v>
      </c>
      <c r="E199" s="548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7">
        <v>4680115884007</v>
      </c>
      <c r="E200" s="548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5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4"/>
      <c r="R200" s="554"/>
      <c r="S200" s="554"/>
      <c r="T200" s="555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7">
        <v>4680115884038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4"/>
      <c r="R201" s="554"/>
      <c r="S201" s="554"/>
      <c r="T201" s="555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7">
        <v>4680115884021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5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4"/>
      <c r="R202" s="554"/>
      <c r="S202" s="554"/>
      <c r="T202" s="555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8"/>
      <c r="P203" s="549" t="s">
        <v>71</v>
      </c>
      <c r="Q203" s="550"/>
      <c r="R203" s="550"/>
      <c r="S203" s="550"/>
      <c r="T203" s="550"/>
      <c r="U203" s="550"/>
      <c r="V203" s="551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8"/>
      <c r="P204" s="549" t="s">
        <v>71</v>
      </c>
      <c r="Q204" s="550"/>
      <c r="R204" s="550"/>
      <c r="S204" s="550"/>
      <c r="T204" s="550"/>
      <c r="U204" s="550"/>
      <c r="V204" s="551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60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7">
        <v>4680115881594</v>
      </c>
      <c r="E206" s="548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7">
        <v>4680115881617</v>
      </c>
      <c r="E207" s="548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4"/>
      <c r="R207" s="554"/>
      <c r="S207" s="554"/>
      <c r="T207" s="555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7">
        <v>4680115880573</v>
      </c>
      <c r="E208" s="548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6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7">
        <v>4680115882195</v>
      </c>
      <c r="E209" s="548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7">
        <v>4680115882607</v>
      </c>
      <c r="E210" s="548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7">
        <v>4680115880092</v>
      </c>
      <c r="E211" s="548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1">
        <v>5.4</v>
      </c>
      <c r="Y211" s="542">
        <f t="shared" si="15"/>
        <v>7.1999999999999993</v>
      </c>
      <c r="Z211" s="36">
        <f t="shared" si="20"/>
        <v>1.9529999999999999E-2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5.9670000000000014</v>
      </c>
      <c r="BN211" s="64">
        <f t="shared" si="17"/>
        <v>7.9560000000000004</v>
      </c>
      <c r="BO211" s="64">
        <f t="shared" si="18"/>
        <v>1.2362637362637366E-2</v>
      </c>
      <c r="BP211" s="64">
        <f t="shared" si="19"/>
        <v>1.6483516483516484E-2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7">
        <v>4680115880221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4"/>
      <c r="R212" s="554"/>
      <c r="S212" s="554"/>
      <c r="T212" s="555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7">
        <v>4680115880504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4"/>
      <c r="R213" s="554"/>
      <c r="S213" s="554"/>
      <c r="T213" s="555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7">
        <v>4680115882164</v>
      </c>
      <c r="E214" s="548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6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58"/>
      <c r="P215" s="549" t="s">
        <v>71</v>
      </c>
      <c r="Q215" s="550"/>
      <c r="R215" s="550"/>
      <c r="S215" s="550"/>
      <c r="T215" s="550"/>
      <c r="U215" s="550"/>
      <c r="V215" s="551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2.2500000000000004</v>
      </c>
      <c r="Y215" s="543">
        <f>IFERROR(Y206/H206,"0")+IFERROR(Y207/H207,"0")+IFERROR(Y208/H208,"0")+IFERROR(Y209/H209,"0")+IFERROR(Y210/H210,"0")+IFERROR(Y211/H211,"0")+IFERROR(Y212/H212,"0")+IFERROR(Y213/H213,"0")+IFERROR(Y214/H214,"0")</f>
        <v>3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1.9529999999999999E-2</v>
      </c>
      <c r="AA215" s="544"/>
      <c r="AB215" s="544"/>
      <c r="AC215" s="544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58"/>
      <c r="P216" s="549" t="s">
        <v>71</v>
      </c>
      <c r="Q216" s="550"/>
      <c r="R216" s="550"/>
      <c r="S216" s="550"/>
      <c r="T216" s="550"/>
      <c r="U216" s="550"/>
      <c r="V216" s="551"/>
      <c r="W216" s="37" t="s">
        <v>69</v>
      </c>
      <c r="X216" s="543">
        <f>IFERROR(SUM(X206:X214),"0")</f>
        <v>5.4</v>
      </c>
      <c r="Y216" s="543">
        <f>IFERROR(SUM(Y206:Y214),"0")</f>
        <v>7.1999999999999993</v>
      </c>
      <c r="Z216" s="37"/>
      <c r="AA216" s="544"/>
      <c r="AB216" s="544"/>
      <c r="AC216" s="544"/>
    </row>
    <row r="217" spans="1:68" ht="14.25" customHeight="1" x14ac:dyDescent="0.25">
      <c r="A217" s="560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7">
        <v>4680115880818</v>
      </c>
      <c r="E218" s="548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7">
        <v>4680115880801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6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58"/>
      <c r="P220" s="549" t="s">
        <v>71</v>
      </c>
      <c r="Q220" s="550"/>
      <c r="R220" s="550"/>
      <c r="S220" s="550"/>
      <c r="T220" s="550"/>
      <c r="U220" s="550"/>
      <c r="V220" s="551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8"/>
      <c r="P221" s="549" t="s">
        <v>71</v>
      </c>
      <c r="Q221" s="550"/>
      <c r="R221" s="550"/>
      <c r="S221" s="550"/>
      <c r="T221" s="550"/>
      <c r="U221" s="550"/>
      <c r="V221" s="551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62" t="s">
        <v>356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6"/>
      <c r="AB222" s="536"/>
      <c r="AC222" s="536"/>
    </row>
    <row r="223" spans="1:68" ht="14.25" customHeight="1" x14ac:dyDescent="0.25">
      <c r="A223" s="560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7">
        <v>4680115884137</v>
      </c>
      <c r="E224" s="548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4"/>
      <c r="R224" s="554"/>
      <c r="S224" s="554"/>
      <c r="T224" s="555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7">
        <v>4680115884236</v>
      </c>
      <c r="E225" s="548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4"/>
      <c r="R225" s="554"/>
      <c r="S225" s="554"/>
      <c r="T225" s="555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7">
        <v>4680115884175</v>
      </c>
      <c r="E226" s="548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7">
        <v>4680115884144</v>
      </c>
      <c r="E227" s="548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7">
        <v>4680115886551</v>
      </c>
      <c r="E229" s="548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5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4"/>
      <c r="R229" s="554"/>
      <c r="S229" s="554"/>
      <c r="T229" s="555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7">
        <v>4680115884182</v>
      </c>
      <c r="E230" s="548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4"/>
      <c r="R230" s="554"/>
      <c r="S230" s="554"/>
      <c r="T230" s="555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7">
        <v>4680115887282</v>
      </c>
      <c r="E231" s="548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4"/>
      <c r="R231" s="554"/>
      <c r="S231" s="554"/>
      <c r="T231" s="555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7">
        <v>4680115884205</v>
      </c>
      <c r="E232" s="548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6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58"/>
      <c r="P234" s="549" t="s">
        <v>71</v>
      </c>
      <c r="Q234" s="550"/>
      <c r="R234" s="550"/>
      <c r="S234" s="550"/>
      <c r="T234" s="550"/>
      <c r="U234" s="550"/>
      <c r="V234" s="551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58"/>
      <c r="P235" s="549" t="s">
        <v>71</v>
      </c>
      <c r="Q235" s="550"/>
      <c r="R235" s="550"/>
      <c r="S235" s="550"/>
      <c r="T235" s="550"/>
      <c r="U235" s="550"/>
      <c r="V235" s="551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60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7">
        <v>4680115885981</v>
      </c>
      <c r="E237" s="548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6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58"/>
      <c r="P238" s="549" t="s">
        <v>71</v>
      </c>
      <c r="Q238" s="550"/>
      <c r="R238" s="550"/>
      <c r="S238" s="550"/>
      <c r="T238" s="550"/>
      <c r="U238" s="550"/>
      <c r="V238" s="551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8"/>
      <c r="P239" s="549" t="s">
        <v>71</v>
      </c>
      <c r="Q239" s="550"/>
      <c r="R239" s="550"/>
      <c r="S239" s="550"/>
      <c r="T239" s="550"/>
      <c r="U239" s="550"/>
      <c r="V239" s="551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60" t="s">
        <v>382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7">
        <v>4680115886803</v>
      </c>
      <c r="E241" s="548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49" t="s">
        <v>71</v>
      </c>
      <c r="Q242" s="550"/>
      <c r="R242" s="550"/>
      <c r="S242" s="550"/>
      <c r="T242" s="550"/>
      <c r="U242" s="550"/>
      <c r="V242" s="551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49" t="s">
        <v>71</v>
      </c>
      <c r="Q243" s="550"/>
      <c r="R243" s="550"/>
      <c r="S243" s="550"/>
      <c r="T243" s="550"/>
      <c r="U243" s="550"/>
      <c r="V243" s="551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60" t="s">
        <v>386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7">
        <v>4680115886704</v>
      </c>
      <c r="E245" s="548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7">
        <v>4680115886681</v>
      </c>
      <c r="E246" s="548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4"/>
      <c r="R246" s="554"/>
      <c r="S246" s="554"/>
      <c r="T246" s="555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7">
        <v>4680115886735</v>
      </c>
      <c r="E247" s="548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4"/>
      <c r="R247" s="554"/>
      <c r="S247" s="554"/>
      <c r="T247" s="555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7">
        <v>4680115886728</v>
      </c>
      <c r="E248" s="548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7">
        <v>4680115886711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49" t="s">
        <v>71</v>
      </c>
      <c r="Q250" s="550"/>
      <c r="R250" s="550"/>
      <c r="S250" s="550"/>
      <c r="T250" s="550"/>
      <c r="U250" s="550"/>
      <c r="V250" s="551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49" t="s">
        <v>71</v>
      </c>
      <c r="Q251" s="550"/>
      <c r="R251" s="550"/>
      <c r="S251" s="550"/>
      <c r="T251" s="550"/>
      <c r="U251" s="550"/>
      <c r="V251" s="551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62" t="s">
        <v>398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6"/>
      <c r="AB252" s="536"/>
      <c r="AC252" s="536"/>
    </row>
    <row r="253" spans="1:68" ht="14.25" customHeight="1" x14ac:dyDescent="0.25">
      <c r="A253" s="560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7">
        <v>4680115885837</v>
      </c>
      <c r="E254" s="548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7">
        <v>4680115885851</v>
      </c>
      <c r="E255" s="548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7">
        <v>4680115885806</v>
      </c>
      <c r="E256" s="548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1">
        <v>30</v>
      </c>
      <c r="Y256" s="542">
        <f>IFERROR(IF(X256="",0,CEILING((X256/$H256),1)*$H256),"")</f>
        <v>32.400000000000006</v>
      </c>
      <c r="Z256" s="36">
        <f>IFERROR(IF(Y256=0,"",ROUNDUP(Y256/H256,0)*0.01898),"")</f>
        <v>5.6940000000000004E-2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31.138888888888889</v>
      </c>
      <c r="BN256" s="64">
        <f>IFERROR(Y256*I256/H256,"0")</f>
        <v>33.630000000000003</v>
      </c>
      <c r="BO256" s="64">
        <f>IFERROR(1/J256*(X256/H256),"0")</f>
        <v>4.3402777777777776E-2</v>
      </c>
      <c r="BP256" s="64">
        <f>IFERROR(1/J256*(Y256/H256),"0")</f>
        <v>4.6875000000000007E-2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7">
        <v>4680115885844</v>
      </c>
      <c r="E257" s="548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7">
        <v>4680115885820</v>
      </c>
      <c r="E258" s="548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4"/>
      <c r="R258" s="554"/>
      <c r="S258" s="554"/>
      <c r="T258" s="555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6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49" t="s">
        <v>71</v>
      </c>
      <c r="Q259" s="550"/>
      <c r="R259" s="550"/>
      <c r="S259" s="550"/>
      <c r="T259" s="550"/>
      <c r="U259" s="550"/>
      <c r="V259" s="551"/>
      <c r="W259" s="37" t="s">
        <v>72</v>
      </c>
      <c r="X259" s="543">
        <f>IFERROR(X254/H254,"0")+IFERROR(X255/H255,"0")+IFERROR(X256/H256,"0")+IFERROR(X257/H257,"0")+IFERROR(X258/H258,"0")</f>
        <v>2.7777777777777777</v>
      </c>
      <c r="Y259" s="543">
        <f>IFERROR(Y254/H254,"0")+IFERROR(Y255/H255,"0")+IFERROR(Y256/H256,"0")+IFERROR(Y257/H257,"0")+IFERROR(Y258/H258,"0")</f>
        <v>3.0000000000000004</v>
      </c>
      <c r="Z259" s="543">
        <f>IFERROR(IF(Z254="",0,Z254),"0")+IFERROR(IF(Z255="",0,Z255),"0")+IFERROR(IF(Z256="",0,Z256),"0")+IFERROR(IF(Z257="",0,Z257),"0")+IFERROR(IF(Z258="",0,Z258),"0")</f>
        <v>5.6940000000000004E-2</v>
      </c>
      <c r="AA259" s="544"/>
      <c r="AB259" s="544"/>
      <c r="AC259" s="544"/>
    </row>
    <row r="260" spans="1:68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8"/>
      <c r="P260" s="549" t="s">
        <v>71</v>
      </c>
      <c r="Q260" s="550"/>
      <c r="R260" s="550"/>
      <c r="S260" s="550"/>
      <c r="T260" s="550"/>
      <c r="U260" s="550"/>
      <c r="V260" s="551"/>
      <c r="W260" s="37" t="s">
        <v>69</v>
      </c>
      <c r="X260" s="543">
        <f>IFERROR(SUM(X254:X258),"0")</f>
        <v>30</v>
      </c>
      <c r="Y260" s="543">
        <f>IFERROR(SUM(Y254:Y258),"0")</f>
        <v>32.400000000000006</v>
      </c>
      <c r="Z260" s="37"/>
      <c r="AA260" s="544"/>
      <c r="AB260" s="544"/>
      <c r="AC260" s="544"/>
    </row>
    <row r="261" spans="1:68" ht="16.5" customHeight="1" x14ac:dyDescent="0.25">
      <c r="A261" s="562" t="s">
        <v>414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6"/>
      <c r="AB261" s="536"/>
      <c r="AC261" s="536"/>
    </row>
    <row r="262" spans="1:68" ht="14.25" customHeight="1" x14ac:dyDescent="0.25">
      <c r="A262" s="560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7">
        <v>4607091383423</v>
      </c>
      <c r="E263" s="548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4"/>
      <c r="R263" s="554"/>
      <c r="S263" s="554"/>
      <c r="T263" s="555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7">
        <v>4680115886957</v>
      </c>
      <c r="E264" s="548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9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7">
        <v>4680115885660</v>
      </c>
      <c r="E265" s="548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7">
        <v>4680115886773</v>
      </c>
      <c r="E266" s="548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2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49" t="s">
        <v>71</v>
      </c>
      <c r="Q267" s="550"/>
      <c r="R267" s="550"/>
      <c r="S267" s="550"/>
      <c r="T267" s="550"/>
      <c r="U267" s="550"/>
      <c r="V267" s="551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49" t="s">
        <v>71</v>
      </c>
      <c r="Q268" s="550"/>
      <c r="R268" s="550"/>
      <c r="S268" s="550"/>
      <c r="T268" s="550"/>
      <c r="U268" s="550"/>
      <c r="V268" s="551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62" t="s">
        <v>425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6"/>
      <c r="AB269" s="536"/>
      <c r="AC269" s="536"/>
    </row>
    <row r="270" spans="1:68" ht="14.25" customHeight="1" x14ac:dyDescent="0.25">
      <c r="A270" s="560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7">
        <v>4680115886186</v>
      </c>
      <c r="E271" s="548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7">
        <v>4680115881228</v>
      </c>
      <c r="E272" s="548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7">
        <v>4680115881211</v>
      </c>
      <c r="E273" s="548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4"/>
      <c r="R273" s="554"/>
      <c r="S273" s="554"/>
      <c r="T273" s="555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6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8"/>
      <c r="P274" s="549" t="s">
        <v>71</v>
      </c>
      <c r="Q274" s="550"/>
      <c r="R274" s="550"/>
      <c r="S274" s="550"/>
      <c r="T274" s="550"/>
      <c r="U274" s="550"/>
      <c r="V274" s="551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49" t="s">
        <v>71</v>
      </c>
      <c r="Q275" s="550"/>
      <c r="R275" s="550"/>
      <c r="S275" s="550"/>
      <c r="T275" s="550"/>
      <c r="U275" s="550"/>
      <c r="V275" s="551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62" t="s">
        <v>434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6"/>
      <c r="AB276" s="536"/>
      <c r="AC276" s="536"/>
    </row>
    <row r="277" spans="1:68" ht="14.25" customHeight="1" x14ac:dyDescent="0.25">
      <c r="A277" s="560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7">
        <v>4680115880344</v>
      </c>
      <c r="E278" s="548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4"/>
      <c r="R278" s="554"/>
      <c r="S278" s="554"/>
      <c r="T278" s="555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7">
        <v>4680115886919</v>
      </c>
      <c r="E279" s="548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7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6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8"/>
      <c r="P280" s="549" t="s">
        <v>71</v>
      </c>
      <c r="Q280" s="550"/>
      <c r="R280" s="550"/>
      <c r="S280" s="550"/>
      <c r="T280" s="550"/>
      <c r="U280" s="550"/>
      <c r="V280" s="551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8"/>
      <c r="P281" s="549" t="s">
        <v>71</v>
      </c>
      <c r="Q281" s="550"/>
      <c r="R281" s="550"/>
      <c r="S281" s="550"/>
      <c r="T281" s="550"/>
      <c r="U281" s="550"/>
      <c r="V281" s="551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60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7">
        <v>4680115884618</v>
      </c>
      <c r="E283" s="548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4"/>
      <c r="R283" s="554"/>
      <c r="S283" s="554"/>
      <c r="T283" s="555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7">
        <v>4680115887114</v>
      </c>
      <c r="E284" s="548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805" t="s">
        <v>446</v>
      </c>
      <c r="Q284" s="554"/>
      <c r="R284" s="554"/>
      <c r="S284" s="554"/>
      <c r="T284" s="555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6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8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8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62" t="s">
        <v>448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6"/>
      <c r="AB287" s="536"/>
      <c r="AC287" s="536"/>
    </row>
    <row r="288" spans="1:68" ht="14.25" customHeight="1" x14ac:dyDescent="0.25">
      <c r="A288" s="560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7">
        <v>4607091386004</v>
      </c>
      <c r="E289" s="548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4"/>
      <c r="R289" s="554"/>
      <c r="S289" s="554"/>
      <c r="T289" s="555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7">
        <v>4680115885615</v>
      </c>
      <c r="E290" s="548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1">
        <v>30</v>
      </c>
      <c r="Y290" s="542">
        <f t="shared" si="26"/>
        <v>32.400000000000006</v>
      </c>
      <c r="Z290" s="36">
        <f>IFERROR(IF(Y290=0,"",ROUNDUP(Y290/H290,0)*0.01898),"")</f>
        <v>5.6940000000000004E-2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31.138888888888889</v>
      </c>
      <c r="BN290" s="64">
        <f t="shared" si="28"/>
        <v>33.630000000000003</v>
      </c>
      <c r="BO290" s="64">
        <f t="shared" si="29"/>
        <v>4.3402777777777776E-2</v>
      </c>
      <c r="BP290" s="64">
        <f t="shared" si="30"/>
        <v>4.6875000000000007E-2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7">
        <v>4680115885646</v>
      </c>
      <c r="E291" s="548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9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1">
        <v>30</v>
      </c>
      <c r="Y291" s="542">
        <f t="shared" si="26"/>
        <v>32.400000000000006</v>
      </c>
      <c r="Z291" s="36">
        <f>IFERROR(IF(Y291=0,"",ROUNDUP(Y291/H291,0)*0.01898),"")</f>
        <v>5.6940000000000004E-2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31.138888888888889</v>
      </c>
      <c r="BN291" s="64">
        <f t="shared" si="28"/>
        <v>33.630000000000003</v>
      </c>
      <c r="BO291" s="64">
        <f t="shared" si="29"/>
        <v>4.3402777777777776E-2</v>
      </c>
      <c r="BP291" s="64">
        <f t="shared" si="30"/>
        <v>4.6875000000000007E-2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7">
        <v>4680115885554</v>
      </c>
      <c r="E292" s="548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7">
        <v>4680115885622</v>
      </c>
      <c r="E293" s="548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4"/>
      <c r="R293" s="554"/>
      <c r="S293" s="554"/>
      <c r="T293" s="555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7">
        <v>4680115885608</v>
      </c>
      <c r="E294" s="548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4"/>
      <c r="R294" s="554"/>
      <c r="S294" s="554"/>
      <c r="T294" s="555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6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8"/>
      <c r="P295" s="549" t="s">
        <v>71</v>
      </c>
      <c r="Q295" s="550"/>
      <c r="R295" s="550"/>
      <c r="S295" s="550"/>
      <c r="T295" s="550"/>
      <c r="U295" s="550"/>
      <c r="V295" s="551"/>
      <c r="W295" s="37" t="s">
        <v>72</v>
      </c>
      <c r="X295" s="543">
        <f>IFERROR(X289/H289,"0")+IFERROR(X290/H290,"0")+IFERROR(X291/H291,"0")+IFERROR(X292/H292,"0")+IFERROR(X293/H293,"0")+IFERROR(X294/H294,"0")</f>
        <v>5.5555555555555554</v>
      </c>
      <c r="Y295" s="543">
        <f>IFERROR(Y289/H289,"0")+IFERROR(Y290/H290,"0")+IFERROR(Y291/H291,"0")+IFERROR(Y292/H292,"0")+IFERROR(Y293/H293,"0")+IFERROR(Y294/H294,"0")</f>
        <v>6.0000000000000009</v>
      </c>
      <c r="Z295" s="543">
        <f>IFERROR(IF(Z289="",0,Z289),"0")+IFERROR(IF(Z290="",0,Z290),"0")+IFERROR(IF(Z291="",0,Z291),"0")+IFERROR(IF(Z292="",0,Z292),"0")+IFERROR(IF(Z293="",0,Z293),"0")+IFERROR(IF(Z294="",0,Z294),"0")</f>
        <v>0.11388000000000001</v>
      </c>
      <c r="AA295" s="544"/>
      <c r="AB295" s="544"/>
      <c r="AC295" s="544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8"/>
      <c r="P296" s="549" t="s">
        <v>71</v>
      </c>
      <c r="Q296" s="550"/>
      <c r="R296" s="550"/>
      <c r="S296" s="550"/>
      <c r="T296" s="550"/>
      <c r="U296" s="550"/>
      <c r="V296" s="551"/>
      <c r="W296" s="37" t="s">
        <v>69</v>
      </c>
      <c r="X296" s="543">
        <f>IFERROR(SUM(X289:X294),"0")</f>
        <v>60</v>
      </c>
      <c r="Y296" s="543">
        <f>IFERROR(SUM(Y289:Y294),"0")</f>
        <v>64.800000000000011</v>
      </c>
      <c r="Z296" s="37"/>
      <c r="AA296" s="544"/>
      <c r="AB296" s="544"/>
      <c r="AC296" s="544"/>
    </row>
    <row r="297" spans="1:68" ht="14.25" customHeight="1" x14ac:dyDescent="0.25">
      <c r="A297" s="560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7">
        <v>4607091387193</v>
      </c>
      <c r="E298" s="548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2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4"/>
      <c r="R298" s="554"/>
      <c r="S298" s="554"/>
      <c r="T298" s="555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7">
        <v>4607091387230</v>
      </c>
      <c r="E299" s="548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0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4"/>
      <c r="R299" s="554"/>
      <c r="S299" s="554"/>
      <c r="T299" s="555"/>
      <c r="U299" s="34"/>
      <c r="V299" s="34"/>
      <c r="W299" s="35" t="s">
        <v>69</v>
      </c>
      <c r="X299" s="541">
        <v>60</v>
      </c>
      <c r="Y299" s="542">
        <f t="shared" si="31"/>
        <v>63</v>
      </c>
      <c r="Z299" s="36">
        <f>IFERROR(IF(Y299=0,"",ROUNDUP(Y299/H299,0)*0.00902),"")</f>
        <v>0.1353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63.571428571428569</v>
      </c>
      <c r="BN299" s="64">
        <f t="shared" si="33"/>
        <v>66.75</v>
      </c>
      <c r="BO299" s="64">
        <f t="shared" si="34"/>
        <v>0.10822510822510822</v>
      </c>
      <c r="BP299" s="64">
        <f t="shared" si="35"/>
        <v>0.11363636363636365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7">
        <v>4607091387292</v>
      </c>
      <c r="E300" s="548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4"/>
      <c r="R300" s="554"/>
      <c r="S300" s="554"/>
      <c r="T300" s="555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7">
        <v>4607091387285</v>
      </c>
      <c r="E301" s="548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4"/>
      <c r="R301" s="554"/>
      <c r="S301" s="554"/>
      <c r="T301" s="555"/>
      <c r="U301" s="34"/>
      <c r="V301" s="34"/>
      <c r="W301" s="35" t="s">
        <v>69</v>
      </c>
      <c r="X301" s="541">
        <v>10.5</v>
      </c>
      <c r="Y301" s="542">
        <f t="shared" si="31"/>
        <v>10.5</v>
      </c>
      <c r="Z301" s="36">
        <f>IFERROR(IF(Y301=0,"",ROUNDUP(Y301/H301,0)*0.00502),"")</f>
        <v>2.5100000000000001E-2</v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11.149999999999999</v>
      </c>
      <c r="BN301" s="64">
        <f t="shared" si="33"/>
        <v>11.149999999999999</v>
      </c>
      <c r="BO301" s="64">
        <f t="shared" si="34"/>
        <v>2.1367521367521368E-2</v>
      </c>
      <c r="BP301" s="64">
        <f t="shared" si="35"/>
        <v>2.1367521367521368E-2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7">
        <v>4607091389845</v>
      </c>
      <c r="E302" s="548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8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4"/>
      <c r="R302" s="554"/>
      <c r="S302" s="554"/>
      <c r="T302" s="555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7">
        <v>4680115882881</v>
      </c>
      <c r="E303" s="548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8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4"/>
      <c r="R303" s="554"/>
      <c r="S303" s="554"/>
      <c r="T303" s="555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7">
        <v>4607091383836</v>
      </c>
      <c r="E304" s="548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1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4"/>
      <c r="R304" s="554"/>
      <c r="S304" s="554"/>
      <c r="T304" s="555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8"/>
      <c r="P305" s="549" t="s">
        <v>71</v>
      </c>
      <c r="Q305" s="550"/>
      <c r="R305" s="550"/>
      <c r="S305" s="550"/>
      <c r="T305" s="550"/>
      <c r="U305" s="550"/>
      <c r="V305" s="55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19.285714285714285</v>
      </c>
      <c r="Y305" s="543">
        <f>IFERROR(Y298/H298,"0")+IFERROR(Y299/H299,"0")+IFERROR(Y300/H300,"0")+IFERROR(Y301/H301,"0")+IFERROR(Y302/H302,"0")+IFERROR(Y303/H303,"0")+IFERROR(Y304/H304,"0")</f>
        <v>20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0.16040000000000001</v>
      </c>
      <c r="AA305" s="544"/>
      <c r="AB305" s="544"/>
      <c r="AC305" s="544"/>
    </row>
    <row r="306" spans="1:68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8"/>
      <c r="P306" s="549" t="s">
        <v>71</v>
      </c>
      <c r="Q306" s="550"/>
      <c r="R306" s="550"/>
      <c r="S306" s="550"/>
      <c r="T306" s="550"/>
      <c r="U306" s="550"/>
      <c r="V306" s="551"/>
      <c r="W306" s="37" t="s">
        <v>69</v>
      </c>
      <c r="X306" s="543">
        <f>IFERROR(SUM(X298:X304),"0")</f>
        <v>70.5</v>
      </c>
      <c r="Y306" s="543">
        <f>IFERROR(SUM(Y298:Y304),"0")</f>
        <v>73.5</v>
      </c>
      <c r="Z306" s="37"/>
      <c r="AA306" s="544"/>
      <c r="AB306" s="544"/>
      <c r="AC306" s="544"/>
    </row>
    <row r="307" spans="1:68" ht="14.25" customHeight="1" x14ac:dyDescent="0.25">
      <c r="A307" s="560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7">
        <v>4607091387766</v>
      </c>
      <c r="E308" s="548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4"/>
      <c r="R308" s="554"/>
      <c r="S308" s="554"/>
      <c r="T308" s="555"/>
      <c r="U308" s="34"/>
      <c r="V308" s="34"/>
      <c r="W308" s="35" t="s">
        <v>69</v>
      </c>
      <c r="X308" s="541">
        <v>600</v>
      </c>
      <c r="Y308" s="542">
        <f>IFERROR(IF(X308="",0,CEILING((X308/$H308),1)*$H308),"")</f>
        <v>600.6</v>
      </c>
      <c r="Z308" s="36">
        <f>IFERROR(IF(Y308=0,"",ROUNDUP(Y308/H308,0)*0.01898),"")</f>
        <v>1.46146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637.53846153846155</v>
      </c>
      <c r="BN308" s="64">
        <f>IFERROR(Y308*I308/H308,"0")</f>
        <v>638.17600000000004</v>
      </c>
      <c r="BO308" s="64">
        <f>IFERROR(1/J308*(X308/H308),"0")</f>
        <v>1.2019230769230769</v>
      </c>
      <c r="BP308" s="64">
        <f>IFERROR(1/J308*(Y308/H308),"0")</f>
        <v>1.203125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7">
        <v>4607091387957</v>
      </c>
      <c r="E309" s="548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7">
        <v>4607091387964</v>
      </c>
      <c r="E310" s="548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7">
        <v>4680115884588</v>
      </c>
      <c r="E311" s="548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4"/>
      <c r="R311" s="554"/>
      <c r="S311" s="554"/>
      <c r="T311" s="555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6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IFERROR(X308/H308,"0")+IFERROR(X309/H309,"0")+IFERROR(X310/H310,"0")+IFERROR(X311/H311,"0")</f>
        <v>76.92307692307692</v>
      </c>
      <c r="Y312" s="543">
        <f>IFERROR(Y308/H308,"0")+IFERROR(Y309/H309,"0")+IFERROR(Y310/H310,"0")+IFERROR(Y311/H311,"0")</f>
        <v>77</v>
      </c>
      <c r="Z312" s="543">
        <f>IFERROR(IF(Z308="",0,Z308),"0")+IFERROR(IF(Z309="",0,Z309),"0")+IFERROR(IF(Z310="",0,Z310),"0")+IFERROR(IF(Z311="",0,Z311),"0")</f>
        <v>1.46146</v>
      </c>
      <c r="AA312" s="544"/>
      <c r="AB312" s="544"/>
      <c r="AC312" s="544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8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IFERROR(SUM(X308:X311),"0")</f>
        <v>600</v>
      </c>
      <c r="Y313" s="543">
        <f>IFERROR(SUM(Y308:Y311),"0")</f>
        <v>600.6</v>
      </c>
      <c r="Z313" s="37"/>
      <c r="AA313" s="544"/>
      <c r="AB313" s="544"/>
      <c r="AC313" s="544"/>
    </row>
    <row r="314" spans="1:68" ht="14.25" customHeight="1" x14ac:dyDescent="0.25">
      <c r="A314" s="560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4"/>
      <c r="R315" s="554"/>
      <c r="S315" s="554"/>
      <c r="T315" s="555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4"/>
      <c r="R316" s="554"/>
      <c r="S316" s="554"/>
      <c r="T316" s="555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60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6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4"/>
      <c r="R321" s="554"/>
      <c r="S321" s="554"/>
      <c r="T321" s="555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4"/>
      <c r="R322" s="554"/>
      <c r="S322" s="554"/>
      <c r="T322" s="555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4"/>
      <c r="R323" s="554"/>
      <c r="S323" s="554"/>
      <c r="T323" s="555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4"/>
      <c r="R324" s="554"/>
      <c r="S324" s="554"/>
      <c r="T324" s="555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6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8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60" t="s">
        <v>516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8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4"/>
      <c r="R328" s="554"/>
      <c r="S328" s="554"/>
      <c r="T328" s="555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8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4"/>
      <c r="R329" s="554"/>
      <c r="S329" s="554"/>
      <c r="T329" s="555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62" t="s">
        <v>525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6"/>
      <c r="AB333" s="536"/>
      <c r="AC333" s="536"/>
    </row>
    <row r="334" spans="1:68" ht="14.25" customHeight="1" x14ac:dyDescent="0.25">
      <c r="A334" s="560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4"/>
      <c r="R335" s="554"/>
      <c r="S335" s="554"/>
      <c r="T335" s="555"/>
      <c r="U335" s="34"/>
      <c r="V335" s="34"/>
      <c r="W335" s="35" t="s">
        <v>69</v>
      </c>
      <c r="X335" s="541">
        <v>20</v>
      </c>
      <c r="Y335" s="542">
        <f>IFERROR(IF(X335="",0,CEILING((X335/$H335),1)*$H335),"")</f>
        <v>24.299999999999997</v>
      </c>
      <c r="Z335" s="36">
        <f>IFERROR(IF(Y335=0,"",ROUNDUP(Y335/H335,0)*0.01898),"")</f>
        <v>5.6940000000000004E-2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21.219753086419754</v>
      </c>
      <c r="BN335" s="64">
        <f>IFERROR(Y335*I335/H335,"0")</f>
        <v>25.781999999999996</v>
      </c>
      <c r="BO335" s="64">
        <f>IFERROR(1/J335*(X335/H335),"0")</f>
        <v>3.8580246913580252E-2</v>
      </c>
      <c r="BP335" s="64">
        <f>IFERROR(1/J335*(Y335/H335),"0")</f>
        <v>4.6875E-2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4"/>
      <c r="R336" s="554"/>
      <c r="S336" s="554"/>
      <c r="T336" s="555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4"/>
      <c r="R337" s="554"/>
      <c r="S337" s="554"/>
      <c r="T337" s="555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6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2.4691358024691361</v>
      </c>
      <c r="Y338" s="543">
        <f>IFERROR(Y335/H335,"0")+IFERROR(Y336/H336,"0")+IFERROR(Y337/H337,"0")</f>
        <v>3</v>
      </c>
      <c r="Z338" s="543">
        <f>IFERROR(IF(Z335="",0,Z335),"0")+IFERROR(IF(Z336="",0,Z336),"0")+IFERROR(IF(Z337="",0,Z337),"0")</f>
        <v>5.6940000000000004E-2</v>
      </c>
      <c r="AA338" s="544"/>
      <c r="AB338" s="544"/>
      <c r="AC338" s="544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8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20</v>
      </c>
      <c r="Y339" s="543">
        <f>IFERROR(SUM(Y335:Y337),"0")</f>
        <v>24.299999999999997</v>
      </c>
      <c r="Z339" s="37"/>
      <c r="AA339" s="544"/>
      <c r="AB339" s="544"/>
      <c r="AC339" s="544"/>
    </row>
    <row r="340" spans="1:68" ht="27.75" customHeight="1" x14ac:dyDescent="0.2">
      <c r="A340" s="645" t="s">
        <v>535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48"/>
      <c r="AB340" s="48"/>
      <c r="AC340" s="48"/>
    </row>
    <row r="341" spans="1:68" ht="16.5" customHeight="1" x14ac:dyDescent="0.25">
      <c r="A341" s="562" t="s">
        <v>536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6"/>
      <c r="AB341" s="536"/>
      <c r="AC341" s="536"/>
    </row>
    <row r="342" spans="1:68" ht="14.25" customHeight="1" x14ac:dyDescent="0.25">
      <c r="A342" s="560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8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4"/>
      <c r="R343" s="554"/>
      <c r="S343" s="554"/>
      <c r="T343" s="555"/>
      <c r="U343" s="34"/>
      <c r="V343" s="34"/>
      <c r="W343" s="35" t="s">
        <v>69</v>
      </c>
      <c r="X343" s="541">
        <v>30</v>
      </c>
      <c r="Y343" s="542">
        <f t="shared" ref="Y343:Y349" si="36">IFERROR(IF(X343="",0,CEILING((X343/$H343),1)*$H343),"")</f>
        <v>30</v>
      </c>
      <c r="Z343" s="36">
        <f>IFERROR(IF(Y343=0,"",ROUNDUP(Y343/H343,0)*0.02175),"")</f>
        <v>4.3499999999999997E-2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30.94</v>
      </c>
      <c r="BN343" s="64">
        <f t="shared" ref="BN343:BN349" si="38">IFERROR(Y343*I343/H343,"0")</f>
        <v>30.94</v>
      </c>
      <c r="BO343" s="64">
        <f t="shared" ref="BO343:BO349" si="39">IFERROR(1/J343*(X343/H343),"0")</f>
        <v>4.1666666666666664E-2</v>
      </c>
      <c r="BP343" s="64">
        <f t="shared" ref="BP343:BP349" si="40">IFERROR(1/J343*(Y343/H343),"0")</f>
        <v>4.1666666666666664E-2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4"/>
      <c r="R344" s="554"/>
      <c r="S344" s="554"/>
      <c r="T344" s="555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7">
        <v>4680115884830</v>
      </c>
      <c r="E345" s="548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4"/>
      <c r="R345" s="554"/>
      <c r="S345" s="554"/>
      <c r="T345" s="555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7">
        <v>4680115887046</v>
      </c>
      <c r="E346" s="548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4"/>
      <c r="R346" s="554"/>
      <c r="S346" s="554"/>
      <c r="T346" s="555"/>
      <c r="U346" s="34"/>
      <c r="V346" s="34"/>
      <c r="W346" s="35" t="s">
        <v>69</v>
      </c>
      <c r="X346" s="541">
        <v>200</v>
      </c>
      <c r="Y346" s="542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4"/>
      <c r="R347" s="554"/>
      <c r="S347" s="554"/>
      <c r="T347" s="555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4"/>
      <c r="R348" s="554"/>
      <c r="S348" s="554"/>
      <c r="T348" s="555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8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22</v>
      </c>
      <c r="Y350" s="543">
        <f>IFERROR(Y343/H343,"0")+IFERROR(Y344/H344,"0")+IFERROR(Y345/H345,"0")+IFERROR(Y346/H346,"0")+IFERROR(Y347/H347,"0")+IFERROR(Y348/H348,"0")+IFERROR(Y349/H349,"0")</f>
        <v>23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0.50024999999999997</v>
      </c>
      <c r="AA350" s="544"/>
      <c r="AB350" s="544"/>
      <c r="AC350" s="544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8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330</v>
      </c>
      <c r="Y351" s="543">
        <f>IFERROR(SUM(Y343:Y349),"0")</f>
        <v>345</v>
      </c>
      <c r="Z351" s="37"/>
      <c r="AA351" s="544"/>
      <c r="AB351" s="544"/>
      <c r="AC351" s="544"/>
    </row>
    <row r="352" spans="1:68" ht="14.25" customHeight="1" x14ac:dyDescent="0.25">
      <c r="A352" s="560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4"/>
      <c r="R353" s="554"/>
      <c r="S353" s="554"/>
      <c r="T353" s="555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4"/>
      <c r="R354" s="554"/>
      <c r="S354" s="554"/>
      <c r="T354" s="555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8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customHeight="1" x14ac:dyDescent="0.25">
      <c r="A357" s="560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4"/>
      <c r="R358" s="554"/>
      <c r="S358" s="554"/>
      <c r="T358" s="555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4"/>
      <c r="R359" s="554"/>
      <c r="S359" s="554"/>
      <c r="T359" s="555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6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8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60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4"/>
      <c r="R363" s="554"/>
      <c r="S363" s="554"/>
      <c r="T363" s="555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6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8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8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62" t="s">
        <v>570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6"/>
      <c r="AB366" s="536"/>
      <c r="AC366" s="536"/>
    </row>
    <row r="367" spans="1:68" ht="14.25" customHeight="1" x14ac:dyDescent="0.25">
      <c r="A367" s="560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4"/>
      <c r="R368" s="554"/>
      <c r="S368" s="554"/>
      <c r="T368" s="555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60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4"/>
      <c r="R373" s="554"/>
      <c r="S373" s="554"/>
      <c r="T373" s="555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6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8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60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4"/>
      <c r="R378" s="554"/>
      <c r="S378" s="554"/>
      <c r="T378" s="555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6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8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45" t="s">
        <v>586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customHeight="1" x14ac:dyDescent="0.25">
      <c r="A383" s="562" t="s">
        <v>587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6"/>
      <c r="AB383" s="536"/>
      <c r="AC383" s="536"/>
    </row>
    <row r="384" spans="1:68" ht="14.25" customHeight="1" x14ac:dyDescent="0.25">
      <c r="A384" s="560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4"/>
      <c r="R385" s="554"/>
      <c r="S385" s="554"/>
      <c r="T385" s="555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4"/>
      <c r="R386" s="554"/>
      <c r="S386" s="554"/>
      <c r="T386" s="555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4"/>
      <c r="R387" s="554"/>
      <c r="S387" s="554"/>
      <c r="T387" s="555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4"/>
      <c r="R388" s="554"/>
      <c r="S388" s="554"/>
      <c r="T388" s="555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4"/>
      <c r="R389" s="554"/>
      <c r="S389" s="554"/>
      <c r="T389" s="555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4"/>
      <c r="R390" s="554"/>
      <c r="S390" s="554"/>
      <c r="T390" s="555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4"/>
      <c r="R391" s="554"/>
      <c r="S391" s="554"/>
      <c r="T391" s="555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4"/>
      <c r="R392" s="554"/>
      <c r="S392" s="554"/>
      <c r="T392" s="555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4"/>
      <c r="R393" s="554"/>
      <c r="S393" s="554"/>
      <c r="T393" s="555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6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8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8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60" t="s">
        <v>73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4"/>
      <c r="R398" s="554"/>
      <c r="S398" s="554"/>
      <c r="T398" s="555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6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8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8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62" t="s">
        <v>618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6"/>
      <c r="AB401" s="536"/>
      <c r="AC401" s="536"/>
    </row>
    <row r="402" spans="1:68" ht="14.25" customHeight="1" x14ac:dyDescent="0.25">
      <c r="A402" s="560" t="s">
        <v>136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4"/>
      <c r="R403" s="554"/>
      <c r="S403" s="554"/>
      <c r="T403" s="555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6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8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8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60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4"/>
      <c r="R407" s="554"/>
      <c r="S407" s="554"/>
      <c r="T407" s="555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4"/>
      <c r="R408" s="554"/>
      <c r="S408" s="554"/>
      <c r="T408" s="555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4"/>
      <c r="R409" s="554"/>
      <c r="S409" s="554"/>
      <c r="T409" s="555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4"/>
      <c r="R410" s="554"/>
      <c r="S410" s="554"/>
      <c r="T410" s="555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62" t="s">
        <v>633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6"/>
      <c r="AB413" s="536"/>
      <c r="AC413" s="536"/>
    </row>
    <row r="414" spans="1:68" ht="14.25" customHeight="1" x14ac:dyDescent="0.25">
      <c r="A414" s="560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6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8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8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5" t="s">
        <v>637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customHeight="1" x14ac:dyDescent="0.25">
      <c r="A419" s="562" t="s">
        <v>637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6"/>
      <c r="AB419" s="536"/>
      <c r="AC419" s="536"/>
    </row>
    <row r="420" spans="1:68" ht="14.25" customHeight="1" x14ac:dyDescent="0.25">
      <c r="A420" s="560" t="s">
        <v>101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4"/>
      <c r="R421" s="554"/>
      <c r="S421" s="554"/>
      <c r="T421" s="555"/>
      <c r="U421" s="34"/>
      <c r="V421" s="34"/>
      <c r="W421" s="35" t="s">
        <v>69</v>
      </c>
      <c r="X421" s="541">
        <v>5</v>
      </c>
      <c r="Y421" s="542">
        <f t="shared" ref="Y421:Y431" si="47">IFERROR(IF(X421="",0,CEILING((X421/$H421),1)*$H421),"")</f>
        <v>5.28</v>
      </c>
      <c r="Z421" s="36">
        <f t="shared" ref="Z421:Z426" si="48">IFERROR(IF(Y421=0,"",ROUNDUP(Y421/H421,0)*0.01196),"")</f>
        <v>1.196E-2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5.3314393939393936</v>
      </c>
      <c r="BN421" s="64">
        <f t="shared" ref="BN421:BN431" si="50">IFERROR(Y421*I421/H421,"0")</f>
        <v>5.63</v>
      </c>
      <c r="BO421" s="64">
        <f t="shared" ref="BO421:BO431" si="51">IFERROR(1/J421*(X421/H421),"0")</f>
        <v>9.1054778554778559E-3</v>
      </c>
      <c r="BP421" s="64">
        <f t="shared" ref="BP421:BP431" si="52">IFERROR(1/J421*(Y421/H421),"0")</f>
        <v>9.6153846153846159E-3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7">
        <v>4607091383522</v>
      </c>
      <c r="E422" s="548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79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4"/>
      <c r="R422" s="554"/>
      <c r="S422" s="554"/>
      <c r="T422" s="555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4"/>
      <c r="R423" s="554"/>
      <c r="S423" s="554"/>
      <c r="T423" s="555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4"/>
      <c r="R424" s="554"/>
      <c r="S424" s="554"/>
      <c r="T424" s="555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4"/>
      <c r="R425" s="554"/>
      <c r="S425" s="554"/>
      <c r="T425" s="555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4"/>
      <c r="R426" s="554"/>
      <c r="S426" s="554"/>
      <c r="T426" s="555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4"/>
      <c r="R427" s="554"/>
      <c r="S427" s="554"/>
      <c r="T427" s="555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4"/>
      <c r="R428" s="554"/>
      <c r="S428" s="554"/>
      <c r="T428" s="555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4"/>
      <c r="R429" s="554"/>
      <c r="S429" s="554"/>
      <c r="T429" s="555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4"/>
      <c r="R430" s="554"/>
      <c r="S430" s="554"/>
      <c r="T430" s="555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8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0.94696969696969691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1.196E-2</v>
      </c>
      <c r="AA432" s="544"/>
      <c r="AB432" s="544"/>
      <c r="AC432" s="544"/>
    </row>
    <row r="433" spans="1:68" x14ac:dyDescent="0.2">
      <c r="A433" s="55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8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5</v>
      </c>
      <c r="Y433" s="543">
        <f>IFERROR(SUM(Y421:Y431),"0")</f>
        <v>5.28</v>
      </c>
      <c r="Z433" s="37"/>
      <c r="AA433" s="544"/>
      <c r="AB433" s="544"/>
      <c r="AC433" s="544"/>
    </row>
    <row r="434" spans="1:68" ht="14.25" customHeight="1" x14ac:dyDescent="0.25">
      <c r="A434" s="560" t="s">
        <v>136</v>
      </c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  <c r="Z434" s="557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4"/>
      <c r="R435" s="554"/>
      <c r="S435" s="554"/>
      <c r="T435" s="555"/>
      <c r="U435" s="34"/>
      <c r="V435" s="34"/>
      <c r="W435" s="35" t="s">
        <v>69</v>
      </c>
      <c r="X435" s="541">
        <v>5</v>
      </c>
      <c r="Y435" s="542">
        <f>IFERROR(IF(X435="",0,CEILING((X435/$H435),1)*$H435),"")</f>
        <v>5.28</v>
      </c>
      <c r="Z435" s="36">
        <f>IFERROR(IF(Y435=0,"",ROUNDUP(Y435/H435,0)*0.01196),"")</f>
        <v>1.196E-2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5.3314393939393936</v>
      </c>
      <c r="BN435" s="64">
        <f>IFERROR(Y435*I435/H435,"0")</f>
        <v>5.63</v>
      </c>
      <c r="BO435" s="64">
        <f>IFERROR(1/J435*(X435/H435),"0")</f>
        <v>9.1054778554778559E-3</v>
      </c>
      <c r="BP435" s="64">
        <f>IFERROR(1/J435*(Y435/H435),"0")</f>
        <v>9.6153846153846159E-3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6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4"/>
      <c r="R436" s="554"/>
      <c r="S436" s="554"/>
      <c r="T436" s="555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8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0.94696969696969691</v>
      </c>
      <c r="Y438" s="543">
        <f>IFERROR(Y435/H435,"0")+IFERROR(Y436/H436,"0")+IFERROR(Y437/H437,"0")</f>
        <v>1</v>
      </c>
      <c r="Z438" s="543">
        <f>IFERROR(IF(Z435="",0,Z435),"0")+IFERROR(IF(Z436="",0,Z436),"0")+IFERROR(IF(Z437="",0,Z437),"0")</f>
        <v>1.196E-2</v>
      </c>
      <c r="AA438" s="544"/>
      <c r="AB438" s="544"/>
      <c r="AC438" s="544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8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5</v>
      </c>
      <c r="Y439" s="543">
        <f>IFERROR(SUM(Y435:Y437),"0")</f>
        <v>5.28</v>
      </c>
      <c r="Z439" s="37"/>
      <c r="AA439" s="544"/>
      <c r="AB439" s="544"/>
      <c r="AC439" s="544"/>
    </row>
    <row r="440" spans="1:68" ht="14.25" customHeight="1" x14ac:dyDescent="0.25">
      <c r="A440" s="560" t="s">
        <v>64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4"/>
      <c r="R441" s="554"/>
      <c r="S441" s="554"/>
      <c r="T441" s="555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4"/>
      <c r="R442" s="554"/>
      <c r="S442" s="554"/>
      <c r="T442" s="555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4"/>
      <c r="R443" s="554"/>
      <c r="S443" s="554"/>
      <c r="T443" s="555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4"/>
      <c r="R444" s="554"/>
      <c r="S444" s="554"/>
      <c r="T444" s="555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4"/>
      <c r="R445" s="554"/>
      <c r="S445" s="554"/>
      <c r="T445" s="555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4"/>
      <c r="R446" s="554"/>
      <c r="S446" s="554"/>
      <c r="T446" s="555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8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60" t="s">
        <v>73</v>
      </c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  <c r="Z449" s="557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4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6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8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8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5" t="s">
        <v>697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customHeight="1" x14ac:dyDescent="0.25">
      <c r="A456" s="562" t="s">
        <v>697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36"/>
      <c r="AB456" s="536"/>
      <c r="AC456" s="536"/>
    </row>
    <row r="457" spans="1:68" ht="14.25" customHeight="1" x14ac:dyDescent="0.25">
      <c r="A457" s="560" t="s">
        <v>101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4"/>
      <c r="R458" s="554"/>
      <c r="S458" s="554"/>
      <c r="T458" s="555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69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4"/>
      <c r="R459" s="554"/>
      <c r="S459" s="554"/>
      <c r="T459" s="555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4"/>
      <c r="R460" s="554"/>
      <c r="S460" s="554"/>
      <c r="T460" s="555"/>
      <c r="U460" s="34"/>
      <c r="V460" s="34"/>
      <c r="W460" s="35" t="s">
        <v>69</v>
      </c>
      <c r="X460" s="541">
        <v>100</v>
      </c>
      <c r="Y460" s="542">
        <f>IFERROR(IF(X460="",0,CEILING((X460/$H460),1)*$H460),"")</f>
        <v>108</v>
      </c>
      <c r="Z460" s="36">
        <f>IFERROR(IF(Y460=0,"",ROUNDUP(Y460/H460,0)*0.01898),"")</f>
        <v>0.17082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103.41666666666667</v>
      </c>
      <c r="BN460" s="64">
        <f>IFERROR(Y460*I460/H460,"0")</f>
        <v>111.69</v>
      </c>
      <c r="BO460" s="64">
        <f>IFERROR(1/J460*(X460/H460),"0")</f>
        <v>0.13020833333333334</v>
      </c>
      <c r="BP460" s="64">
        <f>IFERROR(1/J460*(Y460/H460),"0")</f>
        <v>0.140625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4"/>
      <c r="R461" s="554"/>
      <c r="S461" s="554"/>
      <c r="T461" s="555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6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8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8.3333333333333339</v>
      </c>
      <c r="Y462" s="543">
        <f>IFERROR(Y458/H458,"0")+IFERROR(Y459/H459,"0")+IFERROR(Y460/H460,"0")+IFERROR(Y461/H461,"0")</f>
        <v>9</v>
      </c>
      <c r="Z462" s="543">
        <f>IFERROR(IF(Z458="",0,Z458),"0")+IFERROR(IF(Z459="",0,Z459),"0")+IFERROR(IF(Z460="",0,Z460),"0")+IFERROR(IF(Z461="",0,Z461),"0")</f>
        <v>0.17082</v>
      </c>
      <c r="AA462" s="544"/>
      <c r="AB462" s="544"/>
      <c r="AC462" s="544"/>
    </row>
    <row r="463" spans="1:68" x14ac:dyDescent="0.2">
      <c r="A463" s="55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8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100</v>
      </c>
      <c r="Y463" s="543">
        <f>IFERROR(SUM(Y458:Y461),"0")</f>
        <v>108</v>
      </c>
      <c r="Z463" s="37"/>
      <c r="AA463" s="544"/>
      <c r="AB463" s="544"/>
      <c r="AC463" s="544"/>
    </row>
    <row r="464" spans="1:68" ht="14.25" customHeight="1" x14ac:dyDescent="0.25">
      <c r="A464" s="560" t="s">
        <v>136</v>
      </c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  <c r="Z464" s="557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4"/>
      <c r="R465" s="554"/>
      <c r="S465" s="554"/>
      <c r="T465" s="555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4"/>
      <c r="R466" s="554"/>
      <c r="S466" s="554"/>
      <c r="T466" s="555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60" t="s">
        <v>64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4"/>
      <c r="R471" s="554"/>
      <c r="S471" s="554"/>
      <c r="T471" s="555"/>
      <c r="U471" s="34"/>
      <c r="V471" s="34"/>
      <c r="W471" s="35" t="s">
        <v>69</v>
      </c>
      <c r="X471" s="541">
        <v>30</v>
      </c>
      <c r="Y471" s="542">
        <f>IFERROR(IF(X471="",0,CEILING((X471/$H471),1)*$H471),"")</f>
        <v>33.6</v>
      </c>
      <c r="Z471" s="36">
        <f>IFERROR(IF(Y471=0,"",ROUNDUP(Y471/H471,0)*0.00902),"")</f>
        <v>7.2160000000000002E-2</v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31.785714285714285</v>
      </c>
      <c r="BN471" s="64">
        <f>IFERROR(Y471*I471/H471,"0")</f>
        <v>35.6</v>
      </c>
      <c r="BO471" s="64">
        <f>IFERROR(1/J471*(X471/H471),"0")</f>
        <v>5.4112554112554112E-2</v>
      </c>
      <c r="BP471" s="64">
        <f>IFERROR(1/J471*(Y471/H471),"0")</f>
        <v>6.0606060606060608E-2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7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4"/>
      <c r="R472" s="554"/>
      <c r="S472" s="554"/>
      <c r="T472" s="555"/>
      <c r="U472" s="34"/>
      <c r="V472" s="34"/>
      <c r="W472" s="35" t="s">
        <v>69</v>
      </c>
      <c r="X472" s="541">
        <v>30</v>
      </c>
      <c r="Y472" s="542">
        <f>IFERROR(IF(X472="",0,CEILING((X472/$H472),1)*$H472),"")</f>
        <v>33.6</v>
      </c>
      <c r="Z472" s="36">
        <f>IFERROR(IF(Y472=0,"",ROUNDUP(Y472/H472,0)*0.00902),"")</f>
        <v>7.2160000000000002E-2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31.785714285714285</v>
      </c>
      <c r="BN472" s="64">
        <f>IFERROR(Y472*I472/H472,"0")</f>
        <v>35.6</v>
      </c>
      <c r="BO472" s="64">
        <f>IFERROR(1/J472*(X472/H472),"0")</f>
        <v>5.4112554112554112E-2</v>
      </c>
      <c r="BP472" s="64">
        <f>IFERROR(1/J472*(Y472/H472),"0")</f>
        <v>6.0606060606060608E-2</v>
      </c>
    </row>
    <row r="473" spans="1:68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14.285714285714285</v>
      </c>
      <c r="Y473" s="543">
        <f>IFERROR(Y471/H471,"0")+IFERROR(Y472/H472,"0")</f>
        <v>16</v>
      </c>
      <c r="Z473" s="543">
        <f>IFERROR(IF(Z471="",0,Z471),"0")+IFERROR(IF(Z472="",0,Z472),"0")</f>
        <v>0.14432</v>
      </c>
      <c r="AA473" s="544"/>
      <c r="AB473" s="544"/>
      <c r="AC473" s="544"/>
    </row>
    <row r="474" spans="1:68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60</v>
      </c>
      <c r="Y474" s="543">
        <f>IFERROR(SUM(Y471:Y472),"0")</f>
        <v>67.2</v>
      </c>
      <c r="Z474" s="37"/>
      <c r="AA474" s="544"/>
      <c r="AB474" s="544"/>
      <c r="AC474" s="544"/>
    </row>
    <row r="475" spans="1:68" ht="14.25" customHeight="1" x14ac:dyDescent="0.25">
      <c r="A475" s="560" t="s">
        <v>73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60" t="s">
        <v>164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4"/>
      <c r="R481" s="554"/>
      <c r="S481" s="554"/>
      <c r="T481" s="555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6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8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62" t="s">
        <v>733</v>
      </c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  <c r="Z484" s="557"/>
      <c r="AA484" s="536"/>
      <c r="AB484" s="536"/>
      <c r="AC484" s="536"/>
    </row>
    <row r="485" spans="1:68" ht="14.25" customHeight="1" x14ac:dyDescent="0.25">
      <c r="A485" s="560" t="s">
        <v>136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4"/>
      <c r="R486" s="554"/>
      <c r="S486" s="554"/>
      <c r="T486" s="555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6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8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624" t="s">
        <v>737</v>
      </c>
      <c r="Q489" s="625"/>
      <c r="R489" s="625"/>
      <c r="S489" s="625"/>
      <c r="T489" s="625"/>
      <c r="U489" s="625"/>
      <c r="V489" s="573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1360.7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1414.66</v>
      </c>
      <c r="Z489" s="37"/>
      <c r="AA489" s="544"/>
      <c r="AB489" s="544"/>
      <c r="AC489" s="544"/>
    </row>
    <row r="490" spans="1:68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624" t="s">
        <v>738</v>
      </c>
      <c r="Q490" s="625"/>
      <c r="R490" s="625"/>
      <c r="S490" s="625"/>
      <c r="T490" s="625"/>
      <c r="U490" s="625"/>
      <c r="V490" s="573"/>
      <c r="W490" s="37" t="s">
        <v>69</v>
      </c>
      <c r="X490" s="543">
        <f>IFERROR(SUM(BM22:BM486),"0")</f>
        <v>1430.1887777161112</v>
      </c>
      <c r="Y490" s="543">
        <f>IFERROR(SUM(BN22:BN486),"0")</f>
        <v>1486.6820000000002</v>
      </c>
      <c r="Z490" s="37"/>
      <c r="AA490" s="544"/>
      <c r="AB490" s="544"/>
      <c r="AC490" s="544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8"/>
      <c r="P491" s="624" t="s">
        <v>739</v>
      </c>
      <c r="Q491" s="625"/>
      <c r="R491" s="625"/>
      <c r="S491" s="625"/>
      <c r="T491" s="625"/>
      <c r="U491" s="625"/>
      <c r="V491" s="573"/>
      <c r="W491" s="37" t="s">
        <v>740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68"/>
      <c r="P492" s="624" t="s">
        <v>741</v>
      </c>
      <c r="Q492" s="625"/>
      <c r="R492" s="625"/>
      <c r="S492" s="625"/>
      <c r="T492" s="625"/>
      <c r="U492" s="625"/>
      <c r="V492" s="573"/>
      <c r="W492" s="37" t="s">
        <v>69</v>
      </c>
      <c r="X492" s="543">
        <f>GrossWeightTotal+PalletQtyTotal*25</f>
        <v>1505.1887777161112</v>
      </c>
      <c r="Y492" s="543">
        <f>GrossWeightTotalR+PalletQtyTotalR*25</f>
        <v>1561.6820000000002</v>
      </c>
      <c r="Z492" s="37"/>
      <c r="AA492" s="544"/>
      <c r="AB492" s="544"/>
      <c r="AC492" s="544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68"/>
      <c r="P493" s="624" t="s">
        <v>742</v>
      </c>
      <c r="Q493" s="625"/>
      <c r="R493" s="625"/>
      <c r="S493" s="625"/>
      <c r="T493" s="625"/>
      <c r="U493" s="625"/>
      <c r="V493" s="573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172.0211609378276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179</v>
      </c>
      <c r="Z493" s="37"/>
      <c r="AA493" s="544"/>
      <c r="AB493" s="544"/>
      <c r="AC493" s="544"/>
    </row>
    <row r="494" spans="1:68" ht="14.25" customHeight="1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68"/>
      <c r="P494" s="624" t="s">
        <v>743</v>
      </c>
      <c r="Q494" s="625"/>
      <c r="R494" s="625"/>
      <c r="S494" s="625"/>
      <c r="T494" s="625"/>
      <c r="U494" s="625"/>
      <c r="V494" s="573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2.8890100000000003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81" t="s">
        <v>99</v>
      </c>
      <c r="D496" s="615"/>
      <c r="E496" s="615"/>
      <c r="F496" s="615"/>
      <c r="G496" s="615"/>
      <c r="H496" s="616"/>
      <c r="I496" s="581" t="s">
        <v>251</v>
      </c>
      <c r="J496" s="615"/>
      <c r="K496" s="615"/>
      <c r="L496" s="615"/>
      <c r="M496" s="615"/>
      <c r="N496" s="615"/>
      <c r="O496" s="615"/>
      <c r="P496" s="615"/>
      <c r="Q496" s="615"/>
      <c r="R496" s="616"/>
      <c r="S496" s="581" t="s">
        <v>535</v>
      </c>
      <c r="T496" s="616"/>
      <c r="U496" s="581" t="s">
        <v>586</v>
      </c>
      <c r="V496" s="615"/>
      <c r="W496" s="616"/>
      <c r="X496" s="538" t="s">
        <v>637</v>
      </c>
      <c r="Y496" s="581" t="s">
        <v>697</v>
      </c>
      <c r="Z496" s="616"/>
      <c r="AB496" s="52"/>
      <c r="AC496" s="52"/>
      <c r="AF496" s="539"/>
    </row>
    <row r="497" spans="1:32" ht="14.25" customHeight="1" thickTop="1" x14ac:dyDescent="0.2">
      <c r="A497" s="587" t="s">
        <v>746</v>
      </c>
      <c r="B497" s="581" t="s">
        <v>63</v>
      </c>
      <c r="C497" s="581" t="s">
        <v>100</v>
      </c>
      <c r="D497" s="581" t="s">
        <v>117</v>
      </c>
      <c r="E497" s="581" t="s">
        <v>171</v>
      </c>
      <c r="F497" s="581" t="s">
        <v>190</v>
      </c>
      <c r="G497" s="581" t="s">
        <v>220</v>
      </c>
      <c r="H497" s="581" t="s">
        <v>99</v>
      </c>
      <c r="I497" s="581" t="s">
        <v>252</v>
      </c>
      <c r="J497" s="581" t="s">
        <v>297</v>
      </c>
      <c r="K497" s="581" t="s">
        <v>356</v>
      </c>
      <c r="L497" s="581" t="s">
        <v>398</v>
      </c>
      <c r="M497" s="581" t="s">
        <v>414</v>
      </c>
      <c r="N497" s="539"/>
      <c r="O497" s="581" t="s">
        <v>425</v>
      </c>
      <c r="P497" s="581" t="s">
        <v>434</v>
      </c>
      <c r="Q497" s="581" t="s">
        <v>448</v>
      </c>
      <c r="R497" s="581" t="s">
        <v>525</v>
      </c>
      <c r="S497" s="581" t="s">
        <v>536</v>
      </c>
      <c r="T497" s="581" t="s">
        <v>570</v>
      </c>
      <c r="U497" s="581" t="s">
        <v>587</v>
      </c>
      <c r="V497" s="581" t="s">
        <v>618</v>
      </c>
      <c r="W497" s="581" t="s">
        <v>633</v>
      </c>
      <c r="X497" s="581" t="s">
        <v>637</v>
      </c>
      <c r="Y497" s="581" t="s">
        <v>697</v>
      </c>
      <c r="Z497" s="581" t="s">
        <v>733</v>
      </c>
      <c r="AB497" s="52"/>
      <c r="AC497" s="52"/>
      <c r="AF497" s="539"/>
    </row>
    <row r="498" spans="1:32" ht="13.5" customHeight="1" thickBot="1" x14ac:dyDescent="0.25">
      <c r="A498" s="588"/>
      <c r="B498" s="582"/>
      <c r="C498" s="582"/>
      <c r="D498" s="582"/>
      <c r="E498" s="582"/>
      <c r="F498" s="582"/>
      <c r="G498" s="582"/>
      <c r="H498" s="582"/>
      <c r="I498" s="582"/>
      <c r="J498" s="582"/>
      <c r="K498" s="582"/>
      <c r="L498" s="582"/>
      <c r="M498" s="582"/>
      <c r="N498" s="539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13.5</v>
      </c>
      <c r="E499" s="46">
        <f>IFERROR(Y85*1,"0")+IFERROR(Y86*1,"0")+IFERROR(Y87*1,"0")+IFERROR(Y91*1,"0")+IFERROR(Y92*1,"0")+IFERROR(Y93*1,"0")+IFERROR(Y94*1,"0")</f>
        <v>13.5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29.699999999999996</v>
      </c>
      <c r="G499" s="46">
        <f>IFERROR(Y124*1,"0")+IFERROR(Y125*1,"0")+IFERROR(Y129*1,"0")+IFERROR(Y130*1,"0")+IFERROR(Y134*1,"0")+IFERROR(Y135*1,"0")</f>
        <v>6.4</v>
      </c>
      <c r="H499" s="46">
        <f>IFERROR(Y140*1,"0")+IFERROR(Y141*1,"0")+IFERROR(Y145*1,"0")+IFERROR(Y146*1,"0")+IFERROR(Y147*1,"0")+IFERROR(Y151*1,"0")</f>
        <v>18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7.1999999999999993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32.400000000000006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738.90000000000009</v>
      </c>
      <c r="R499" s="46">
        <f>IFERROR(Y335*1,"0")+IFERROR(Y336*1,"0")+IFERROR(Y337*1,"0")</f>
        <v>24.299999999999997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345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10.56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175.2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