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1,11,25 Пушкарный\"/>
    </mc:Choice>
  </mc:AlternateContent>
  <xr:revisionPtr revIDLastSave="0" documentId="13_ncr:1_{7F0BA77E-CC56-413F-ACAE-C8D8F0C3C68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P378" i="1"/>
  <c r="BO378" i="1"/>
  <c r="BN378" i="1"/>
  <c r="BM378" i="1"/>
  <c r="Z378" i="1"/>
  <c r="Y378" i="1"/>
  <c r="Y380" i="1" s="1"/>
  <c r="P378" i="1"/>
  <c r="X376" i="1"/>
  <c r="X375" i="1"/>
  <c r="BP374" i="1"/>
  <c r="BO374" i="1"/>
  <c r="BN374" i="1"/>
  <c r="BM374" i="1"/>
  <c r="Z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X365" i="1"/>
  <c r="Y364" i="1"/>
  <c r="X364" i="1"/>
  <c r="BP363" i="1"/>
  <c r="BO363" i="1"/>
  <c r="BN363" i="1"/>
  <c r="BM363" i="1"/>
  <c r="Z363" i="1"/>
  <c r="Z364" i="1" s="1"/>
  <c r="Y363" i="1"/>
  <c r="Y365" i="1" s="1"/>
  <c r="P363" i="1"/>
  <c r="X361" i="1"/>
  <c r="Y360" i="1"/>
  <c r="X360" i="1"/>
  <c r="BP359" i="1"/>
  <c r="BO359" i="1"/>
  <c r="BN359" i="1"/>
  <c r="BM359" i="1"/>
  <c r="Z359" i="1"/>
  <c r="Y359" i="1"/>
  <c r="P359" i="1"/>
  <c r="BO358" i="1"/>
  <c r="BM358" i="1"/>
  <c r="Y358" i="1"/>
  <c r="P358" i="1"/>
  <c r="X356" i="1"/>
  <c r="X355" i="1"/>
  <c r="BO354" i="1"/>
  <c r="BN354" i="1"/>
  <c r="BM354" i="1"/>
  <c r="Z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P348" i="1"/>
  <c r="BO348" i="1"/>
  <c r="BN348" i="1"/>
  <c r="BM348" i="1"/>
  <c r="Z348" i="1"/>
  <c r="Y348" i="1"/>
  <c r="P348" i="1"/>
  <c r="BO347" i="1"/>
  <c r="BM347" i="1"/>
  <c r="Y347" i="1"/>
  <c r="P347" i="1"/>
  <c r="BP346" i="1"/>
  <c r="BO346" i="1"/>
  <c r="BN346" i="1"/>
  <c r="BM346" i="1"/>
  <c r="Z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X319" i="1"/>
  <c r="Y318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P315" i="1"/>
  <c r="BO315" i="1"/>
  <c r="BN315" i="1"/>
  <c r="BM315" i="1"/>
  <c r="Z315" i="1"/>
  <c r="Y315" i="1"/>
  <c r="Y319" i="1" s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Y284" i="1"/>
  <c r="BP283" i="1"/>
  <c r="BO283" i="1"/>
  <c r="BN283" i="1"/>
  <c r="BM283" i="1"/>
  <c r="Z283" i="1"/>
  <c r="Z285" i="1" s="1"/>
  <c r="Y283" i="1"/>
  <c r="Y286" i="1" s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Y192" i="1" s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Y171" i="1" s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BO145" i="1"/>
  <c r="BM145" i="1"/>
  <c r="Y145" i="1"/>
  <c r="P145" i="1"/>
  <c r="X143" i="1"/>
  <c r="X142" i="1"/>
  <c r="BO141" i="1"/>
  <c r="BM141" i="1"/>
  <c r="Y141" i="1"/>
  <c r="P141" i="1"/>
  <c r="BP140" i="1"/>
  <c r="BO140" i="1"/>
  <c r="BN140" i="1"/>
  <c r="BM140" i="1"/>
  <c r="Z140" i="1"/>
  <c r="Y140" i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P129" i="1"/>
  <c r="BO129" i="1"/>
  <c r="BN129" i="1"/>
  <c r="BM129" i="1"/>
  <c r="Z129" i="1"/>
  <c r="Y129" i="1"/>
  <c r="P129" i="1"/>
  <c r="X127" i="1"/>
  <c r="Y126" i="1"/>
  <c r="X126" i="1"/>
  <c r="BP125" i="1"/>
  <c r="BO125" i="1"/>
  <c r="BN125" i="1"/>
  <c r="BM125" i="1"/>
  <c r="Z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P112" i="1"/>
  <c r="X110" i="1"/>
  <c r="Y109" i="1"/>
  <c r="X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Y110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P93" i="1"/>
  <c r="BO93" i="1"/>
  <c r="BN93" i="1"/>
  <c r="BM93" i="1"/>
  <c r="Z93" i="1"/>
  <c r="Y93" i="1"/>
  <c r="P93" i="1"/>
  <c r="BO92" i="1"/>
  <c r="BM92" i="1"/>
  <c r="Y92" i="1"/>
  <c r="Y96" i="1" s="1"/>
  <c r="P92" i="1"/>
  <c r="BP91" i="1"/>
  <c r="BO91" i="1"/>
  <c r="BN91" i="1"/>
  <c r="BM91" i="1"/>
  <c r="Z91" i="1"/>
  <c r="Y91" i="1"/>
  <c r="P91" i="1"/>
  <c r="X89" i="1"/>
  <c r="Y88" i="1"/>
  <c r="X88" i="1"/>
  <c r="BP87" i="1"/>
  <c r="BO87" i="1"/>
  <c r="BN87" i="1"/>
  <c r="BM87" i="1"/>
  <c r="Z87" i="1"/>
  <c r="Y87" i="1"/>
  <c r="P87" i="1"/>
  <c r="BO86" i="1"/>
  <c r="BM86" i="1"/>
  <c r="Y86" i="1"/>
  <c r="P86" i="1"/>
  <c r="BP85" i="1"/>
  <c r="BO85" i="1"/>
  <c r="BN85" i="1"/>
  <c r="BM85" i="1"/>
  <c r="Z85" i="1"/>
  <c r="Y85" i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1" i="1" s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P72" i="1"/>
  <c r="BO72" i="1"/>
  <c r="BN72" i="1"/>
  <c r="BM72" i="1"/>
  <c r="Z72" i="1"/>
  <c r="Y72" i="1"/>
  <c r="Y76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Y69" i="1" s="1"/>
  <c r="P67" i="1"/>
  <c r="BP66" i="1"/>
  <c r="BO66" i="1"/>
  <c r="BN66" i="1"/>
  <c r="BM66" i="1"/>
  <c r="Z66" i="1"/>
  <c r="Y66" i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Y63" i="1" s="1"/>
  <c r="P61" i="1"/>
  <c r="BP60" i="1"/>
  <c r="BO60" i="1"/>
  <c r="BN60" i="1"/>
  <c r="BM60" i="1"/>
  <c r="Z60" i="1"/>
  <c r="Y60" i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2" i="1" s="1"/>
  <c r="P26" i="1"/>
  <c r="X24" i="1"/>
  <c r="X23" i="1"/>
  <c r="X493" i="1" s="1"/>
  <c r="BO22" i="1"/>
  <c r="X491" i="1" s="1"/>
  <c r="BM22" i="1"/>
  <c r="X490" i="1" s="1"/>
  <c r="X492" i="1" s="1"/>
  <c r="Y22" i="1"/>
  <c r="B499" i="1" s="1"/>
  <c r="P22" i="1"/>
  <c r="H10" i="1"/>
  <c r="A9" i="1"/>
  <c r="A10" i="1" s="1"/>
  <c r="D7" i="1"/>
  <c r="Q6" i="1"/>
  <c r="P2" i="1"/>
  <c r="F9" i="1" l="1"/>
  <c r="J9" i="1"/>
  <c r="F10" i="1"/>
  <c r="Z22" i="1"/>
  <c r="Z23" i="1" s="1"/>
  <c r="BN22" i="1"/>
  <c r="BP22" i="1"/>
  <c r="Y23" i="1"/>
  <c r="X489" i="1"/>
  <c r="Z26" i="1"/>
  <c r="BN26" i="1"/>
  <c r="BP26" i="1"/>
  <c r="Z28" i="1"/>
  <c r="BN28" i="1"/>
  <c r="Z30" i="1"/>
  <c r="BN30" i="1"/>
  <c r="Y31" i="1"/>
  <c r="Z34" i="1"/>
  <c r="Z35" i="1" s="1"/>
  <c r="BN34" i="1"/>
  <c r="BP34" i="1"/>
  <c r="Y35" i="1"/>
  <c r="Z40" i="1"/>
  <c r="BN40" i="1"/>
  <c r="BP40" i="1"/>
  <c r="Z42" i="1"/>
  <c r="BN42" i="1"/>
  <c r="Y43" i="1"/>
  <c r="Z46" i="1"/>
  <c r="Z47" i="1" s="1"/>
  <c r="BN46" i="1"/>
  <c r="BP46" i="1"/>
  <c r="Y47" i="1"/>
  <c r="Z51" i="1"/>
  <c r="BN51" i="1"/>
  <c r="BP51" i="1"/>
  <c r="Z53" i="1"/>
  <c r="BN53" i="1"/>
  <c r="Z55" i="1"/>
  <c r="BN55" i="1"/>
  <c r="Y58" i="1"/>
  <c r="Y64" i="1"/>
  <c r="Z61" i="1"/>
  <c r="BN61" i="1"/>
  <c r="BP61" i="1"/>
  <c r="Y70" i="1"/>
  <c r="BP73" i="1"/>
  <c r="BN73" i="1"/>
  <c r="Z73" i="1"/>
  <c r="BP86" i="1"/>
  <c r="BN86" i="1"/>
  <c r="Z86" i="1"/>
  <c r="Z88" i="1" s="1"/>
  <c r="Y95" i="1"/>
  <c r="BP94" i="1"/>
  <c r="BN94" i="1"/>
  <c r="Z94" i="1"/>
  <c r="F499" i="1"/>
  <c r="Y104" i="1"/>
  <c r="BP99" i="1"/>
  <c r="BN99" i="1"/>
  <c r="Z99" i="1"/>
  <c r="Y103" i="1"/>
  <c r="BP107" i="1"/>
  <c r="BN107" i="1"/>
  <c r="Z107" i="1"/>
  <c r="Z109" i="1" s="1"/>
  <c r="Y116" i="1"/>
  <c r="BP115" i="1"/>
  <c r="BN115" i="1"/>
  <c r="Z115" i="1"/>
  <c r="Y120" i="1"/>
  <c r="BP119" i="1"/>
  <c r="BN119" i="1"/>
  <c r="Z119" i="1"/>
  <c r="Z120" i="1" s="1"/>
  <c r="Y121" i="1"/>
  <c r="G499" i="1"/>
  <c r="Y127" i="1"/>
  <c r="BP124" i="1"/>
  <c r="BN124" i="1"/>
  <c r="Z124" i="1"/>
  <c r="Z126" i="1" s="1"/>
  <c r="Y131" i="1"/>
  <c r="BP141" i="1"/>
  <c r="BN141" i="1"/>
  <c r="Z141" i="1"/>
  <c r="Z142" i="1" s="1"/>
  <c r="Y143" i="1"/>
  <c r="Y148" i="1"/>
  <c r="BP145" i="1"/>
  <c r="BN145" i="1"/>
  <c r="Z145" i="1"/>
  <c r="Y172" i="1"/>
  <c r="BP164" i="1"/>
  <c r="BN164" i="1"/>
  <c r="Z164" i="1"/>
  <c r="BP167" i="1"/>
  <c r="BN167" i="1"/>
  <c r="Z167" i="1"/>
  <c r="BP175" i="1"/>
  <c r="BN175" i="1"/>
  <c r="Z175" i="1"/>
  <c r="Z177" i="1" s="1"/>
  <c r="BP196" i="1"/>
  <c r="BN196" i="1"/>
  <c r="Z196" i="1"/>
  <c r="BP200" i="1"/>
  <c r="BN200" i="1"/>
  <c r="Z200" i="1"/>
  <c r="BP208" i="1"/>
  <c r="BN208" i="1"/>
  <c r="Z208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H9" i="1"/>
  <c r="Y24" i="1"/>
  <c r="Y44" i="1"/>
  <c r="Y57" i="1"/>
  <c r="Z63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Z81" i="1" s="1"/>
  <c r="BP92" i="1"/>
  <c r="BN92" i="1"/>
  <c r="Z92" i="1"/>
  <c r="Z95" i="1" s="1"/>
  <c r="BP101" i="1"/>
  <c r="BN101" i="1"/>
  <c r="Z101" i="1"/>
  <c r="BP113" i="1"/>
  <c r="BN113" i="1"/>
  <c r="Z113" i="1"/>
  <c r="Z116" i="1" s="1"/>
  <c r="BP130" i="1"/>
  <c r="BN130" i="1"/>
  <c r="Z130" i="1"/>
  <c r="Z131" i="1" s="1"/>
  <c r="Y132" i="1"/>
  <c r="Y137" i="1"/>
  <c r="BP134" i="1"/>
  <c r="BN134" i="1"/>
  <c r="Z134" i="1"/>
  <c r="Z136" i="1" s="1"/>
  <c r="BP147" i="1"/>
  <c r="BN147" i="1"/>
  <c r="Z147" i="1"/>
  <c r="Y149" i="1"/>
  <c r="BP162" i="1"/>
  <c r="BN162" i="1"/>
  <c r="Z162" i="1"/>
  <c r="BP165" i="1"/>
  <c r="BN165" i="1"/>
  <c r="Z165" i="1"/>
  <c r="Z171" i="1" s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1" i="1"/>
  <c r="BN211" i="1"/>
  <c r="Z211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2" i="1"/>
  <c r="BN322" i="1"/>
  <c r="Z322" i="1"/>
  <c r="Y326" i="1"/>
  <c r="BP330" i="1"/>
  <c r="BN330" i="1"/>
  <c r="Z330" i="1"/>
  <c r="Y332" i="1"/>
  <c r="R499" i="1"/>
  <c r="Y338" i="1"/>
  <c r="BP335" i="1"/>
  <c r="BN335" i="1"/>
  <c r="Z335" i="1"/>
  <c r="Y339" i="1"/>
  <c r="BP345" i="1"/>
  <c r="BN345" i="1"/>
  <c r="Z345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U499" i="1"/>
  <c r="BP391" i="1"/>
  <c r="BN391" i="1"/>
  <c r="Z391" i="1"/>
  <c r="BP408" i="1"/>
  <c r="BN408" i="1"/>
  <c r="Z408" i="1"/>
  <c r="Y412" i="1"/>
  <c r="BP423" i="1"/>
  <c r="BN423" i="1"/>
  <c r="Z423" i="1"/>
  <c r="E499" i="1"/>
  <c r="Y89" i="1"/>
  <c r="H499" i="1"/>
  <c r="Y142" i="1"/>
  <c r="I499" i="1"/>
  <c r="Y159" i="1"/>
  <c r="J499" i="1"/>
  <c r="Y187" i="1"/>
  <c r="BP209" i="1"/>
  <c r="BN209" i="1"/>
  <c r="Z209" i="1"/>
  <c r="BP213" i="1"/>
  <c r="BN213" i="1"/>
  <c r="Z213" i="1"/>
  <c r="Y220" i="1"/>
  <c r="BP226" i="1"/>
  <c r="BN226" i="1"/>
  <c r="Z226" i="1"/>
  <c r="BP230" i="1"/>
  <c r="BN230" i="1"/>
  <c r="Z230" i="1"/>
  <c r="BP246" i="1"/>
  <c r="BN246" i="1"/>
  <c r="Z246" i="1"/>
  <c r="Z250" i="1" s="1"/>
  <c r="Y250" i="1"/>
  <c r="Z259" i="1"/>
  <c r="BP255" i="1"/>
  <c r="BN255" i="1"/>
  <c r="Z255" i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Q499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2" i="1" s="1"/>
  <c r="Y312" i="1"/>
  <c r="BP316" i="1"/>
  <c r="BN316" i="1"/>
  <c r="Z316" i="1"/>
  <c r="Z318" i="1" s="1"/>
  <c r="Y325" i="1"/>
  <c r="BP324" i="1"/>
  <c r="BN324" i="1"/>
  <c r="Z324" i="1"/>
  <c r="Z325" i="1" s="1"/>
  <c r="Y331" i="1"/>
  <c r="BP328" i="1"/>
  <c r="BN328" i="1"/>
  <c r="Z328" i="1"/>
  <c r="Z331" i="1" s="1"/>
  <c r="BP337" i="1"/>
  <c r="BN337" i="1"/>
  <c r="Z337" i="1"/>
  <c r="S499" i="1"/>
  <c r="Y350" i="1"/>
  <c r="BP343" i="1"/>
  <c r="BN343" i="1"/>
  <c r="Z343" i="1"/>
  <c r="Z350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Z375" i="1" s="1"/>
  <c r="Y375" i="1"/>
  <c r="L499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M499" i="1"/>
  <c r="Y267" i="1"/>
  <c r="Y295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Z411" i="1" s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Z438" i="1" s="1"/>
  <c r="BP443" i="1"/>
  <c r="BN443" i="1"/>
  <c r="Z443" i="1"/>
  <c r="Z453" i="1"/>
  <c r="BP451" i="1"/>
  <c r="BN451" i="1"/>
  <c r="Z451" i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Z447" i="1" l="1"/>
  <c r="Z394" i="1"/>
  <c r="Z338" i="1"/>
  <c r="Z234" i="1"/>
  <c r="Y489" i="1"/>
  <c r="Z305" i="1"/>
  <c r="Z274" i="1"/>
  <c r="Z203" i="1"/>
  <c r="Z148" i="1"/>
  <c r="Z103" i="1"/>
  <c r="Z57" i="1"/>
  <c r="Z43" i="1"/>
  <c r="Z31" i="1"/>
  <c r="Y493" i="1"/>
  <c r="Y490" i="1"/>
  <c r="Z432" i="1"/>
  <c r="Z215" i="1"/>
  <c r="Z494" i="1" s="1"/>
  <c r="Z76" i="1"/>
  <c r="Y491" i="1"/>
  <c r="Y492" i="1" l="1"/>
</calcChain>
</file>

<file path=xl/sharedStrings.xml><?xml version="1.0" encoding="utf-8"?>
<sst xmlns="http://schemas.openxmlformats.org/spreadsheetml/2006/main" count="2337" uniqueCount="763">
  <si>
    <t xml:space="preserve">  БЛАНК ЗАКАЗА </t>
  </si>
  <si>
    <t>КИ</t>
  </si>
  <si>
    <t>на отгрузку продукции с ООО Трейд-Сервис с</t>
  </si>
  <si>
    <t>24.11.2025</t>
  </si>
  <si>
    <t>бланк создан</t>
  </si>
  <si>
    <t>19.11.2025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</si>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</sst>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6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3" t="s">
        <v>0</v>
      </c>
      <c r="E1" s="573"/>
      <c r="F1" s="573"/>
      <c r="G1" s="12" t="s">
        <v>1</v>
      </c>
      <c r="H1" s="613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2" t="s">
        <v>8</v>
      </c>
      <c r="B5" s="628"/>
      <c r="C5" s="629"/>
      <c r="D5" s="616"/>
      <c r="E5" s="617"/>
      <c r="F5" s="825" t="s">
        <v>9</v>
      </c>
      <c r="G5" s="629"/>
      <c r="H5" s="616"/>
      <c r="I5" s="763"/>
      <c r="J5" s="763"/>
      <c r="K5" s="763"/>
      <c r="L5" s="763"/>
      <c r="M5" s="617"/>
      <c r="N5" s="58"/>
      <c r="P5" s="24" t="s">
        <v>10</v>
      </c>
      <c r="Q5" s="839">
        <v>45988</v>
      </c>
      <c r="R5" s="651"/>
      <c r="T5" s="699" t="s">
        <v>11</v>
      </c>
      <c r="U5" s="700"/>
      <c r="V5" s="702" t="s">
        <v>12</v>
      </c>
      <c r="W5" s="651"/>
      <c r="AB5" s="51"/>
      <c r="AC5" s="51"/>
      <c r="AD5" s="51"/>
      <c r="AE5" s="51"/>
    </row>
    <row r="6" spans="1:32" s="535" customFormat="1" ht="24" customHeight="1" x14ac:dyDescent="0.2">
      <c r="A6" s="652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1"/>
      <c r="N6" s="59"/>
      <c r="P6" s="24" t="s">
        <v>15</v>
      </c>
      <c r="Q6" s="845" t="str">
        <f>IF(Q5=0," ",CHOOSE(WEEKDAY(Q5,2),"Понедельник","Вторник","Среда","Четверг","Пятница","Суббота","Воскресенье"))</f>
        <v>Четверг</v>
      </c>
      <c r="R6" s="549"/>
      <c r="T6" s="706" t="s">
        <v>16</v>
      </c>
      <c r="U6" s="700"/>
      <c r="V6" s="751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0"/>
      <c r="V7" s="752"/>
      <c r="W7" s="753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7" t="s">
        <v>19</v>
      </c>
      <c r="E8" s="608"/>
      <c r="F8" s="608"/>
      <c r="G8" s="608"/>
      <c r="H8" s="608"/>
      <c r="I8" s="608"/>
      <c r="J8" s="608"/>
      <c r="K8" s="608"/>
      <c r="L8" s="608"/>
      <c r="M8" s="609"/>
      <c r="N8" s="61"/>
      <c r="P8" s="24" t="s">
        <v>20</v>
      </c>
      <c r="Q8" s="660">
        <v>0.41666666666666669</v>
      </c>
      <c r="R8" s="599"/>
      <c r="T8" s="555"/>
      <c r="U8" s="700"/>
      <c r="V8" s="752"/>
      <c r="W8" s="753"/>
      <c r="AB8" s="51"/>
      <c r="AC8" s="51"/>
      <c r="AD8" s="51"/>
      <c r="AE8" s="51"/>
    </row>
    <row r="9" spans="1:32" s="535" customFormat="1" ht="39.950000000000003" customHeight="1" x14ac:dyDescent="0.2">
      <c r="A9" s="6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2"/>
      <c r="E9" s="561"/>
      <c r="F9" s="6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8"/>
      <c r="R9" s="649"/>
      <c r="T9" s="555"/>
      <c r="U9" s="700"/>
      <c r="V9" s="754"/>
      <c r="W9" s="755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2"/>
      <c r="E10" s="561"/>
      <c r="F10" s="6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4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0"/>
      <c r="R11" s="651"/>
      <c r="U11" s="24" t="s">
        <v>27</v>
      </c>
      <c r="V11" s="790" t="s">
        <v>28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3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0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3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3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1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3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69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1" t="s">
        <v>55</v>
      </c>
      <c r="AA17" s="742" t="s">
        <v>56</v>
      </c>
      <c r="AB17" s="742" t="s">
        <v>57</v>
      </c>
      <c r="AC17" s="742" t="s">
        <v>58</v>
      </c>
      <c r="AD17" s="742" t="s">
        <v>59</v>
      </c>
      <c r="AE17" s="820"/>
      <c r="AF17" s="821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2"/>
      <c r="AA18" s="743"/>
      <c r="AB18" s="743"/>
      <c r="AC18" s="743"/>
      <c r="AD18" s="822"/>
      <c r="AE18" s="823"/>
      <c r="AF18" s="824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9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8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8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8" t="s">
        <v>93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99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9" t="s">
        <v>100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8" t="s">
        <v>101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5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8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8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9" t="s">
        <v>117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8" t="s">
        <v>101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1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5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8" t="s">
        <v>136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1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8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7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8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153</v>
      </c>
      <c r="B72" s="54" t="s">
        <v>154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156</v>
      </c>
      <c r="B73" s="54" t="s">
        <v>157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159</v>
      </c>
      <c r="B74" s="54" t="s">
        <v>160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2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8" t="s">
        <v>164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165</v>
      </c>
      <c r="B79" s="54" t="s">
        <v>166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168</v>
      </c>
      <c r="B80" s="54" t="s">
        <v>169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6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9" t="s">
        <v>171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8" t="s">
        <v>101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172</v>
      </c>
      <c r="B85" s="54" t="s">
        <v>173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175</v>
      </c>
      <c r="B86" s="54" t="s">
        <v>176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8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4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182</v>
      </c>
      <c r="B92" s="54" t="s">
        <v>183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0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9" t="s">
        <v>190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8" t="s">
        <v>101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194</v>
      </c>
      <c r="B100" s="54" t="s">
        <v>195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0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196</v>
      </c>
      <c r="B101" s="54" t="s">
        <v>197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8" t="s">
        <v>136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200</v>
      </c>
      <c r="B106" s="54" t="s">
        <v>201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73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203</v>
      </c>
      <c r="B107" s="54" t="s">
        <v>204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4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8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210</v>
      </c>
      <c r="B113" s="54" t="s">
        <v>211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2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8" t="s">
        <v>164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9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8" t="s">
        <v>101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8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7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8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4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1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9" t="s">
        <v>99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8" t="s">
        <v>101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2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8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104</v>
      </c>
      <c r="L145" s="32" t="s">
        <v>105</v>
      </c>
      <c r="M145" s="33" t="s">
        <v>106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 t="s">
        <v>90</v>
      </c>
      <c r="AK145" s="68">
        <v>72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104</v>
      </c>
      <c r="L147" s="32" t="s">
        <v>105</v>
      </c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8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">
        <v>249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250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251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9" t="s">
        <v>252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8" t="s">
        <v>136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253</v>
      </c>
      <c r="B157" s="54" t="s">
        <v>254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255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8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256</v>
      </c>
      <c r="B161" s="54" t="s">
        <v>257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110</v>
      </c>
      <c r="L161" s="32" t="s">
        <v>111</v>
      </c>
      <c r="M161" s="33" t="s">
        <v>68</v>
      </c>
      <c r="N161" s="33"/>
      <c r="O161" s="32">
        <v>40</v>
      </c>
      <c r="P161" s="7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258</v>
      </c>
      <c r="AG161" s="64"/>
      <c r="AJ161" s="68" t="s">
        <v>90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259</v>
      </c>
      <c r="B162" s="54" t="s">
        <v>260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/>
      <c r="M162" s="33" t="s">
        <v>68</v>
      </c>
      <c r="N162" s="33"/>
      <c r="O162" s="32">
        <v>40</v>
      </c>
      <c r="P162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262</v>
      </c>
      <c r="B163" s="54" t="s">
        <v>263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267</v>
      </c>
      <c r="M164" s="33" t="s">
        <v>68</v>
      </c>
      <c r="N164" s="33"/>
      <c r="O164" s="32">
        <v>40</v>
      </c>
      <c r="P164" s="7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258</v>
      </c>
      <c r="AG164" s="64"/>
      <c r="AJ164" s="68" t="s">
        <v>90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270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271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272</v>
      </c>
      <c r="B166" s="54" t="s">
        <v>273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267</v>
      </c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261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267</v>
      </c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264</v>
      </c>
      <c r="AG168" s="64"/>
      <c r="AJ168" s="68" t="s">
        <v>90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279</v>
      </c>
      <c r="B169" s="54" t="s">
        <v>280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264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281</v>
      </c>
      <c r="B170" s="54" t="s">
        <v>282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8" t="s">
        <v>93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284</v>
      </c>
      <c r="B174" s="54" t="s">
        <v>285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289</v>
      </c>
      <c r="B175" s="54" t="s">
        <v>290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292</v>
      </c>
      <c r="B176" s="54" t="s">
        <v>293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8" t="s">
        <v>294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295</v>
      </c>
      <c r="B180" s="54" t="s">
        <v>296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9" t="s">
        <v>297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8" t="s">
        <v>101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16.5" customHeight="1" x14ac:dyDescent="0.25">
      <c r="A185" s="54" t="s">
        <v>298</v>
      </c>
      <c r="B185" s="54" t="s">
        <v>299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301</v>
      </c>
      <c r="B186" s="54" t="s">
        <v>302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 t="s">
        <v>88</v>
      </c>
      <c r="M186" s="33" t="s">
        <v>106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 t="s">
        <v>90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8" t="s">
        <v>136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303</v>
      </c>
      <c r="B190" s="54" t="s">
        <v>304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7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306</v>
      </c>
      <c r="B191" s="54" t="s">
        <v>307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1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8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308</v>
      </c>
      <c r="B195" s="54" t="s">
        <v>309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111</v>
      </c>
      <c r="M195" s="33" t="s">
        <v>68</v>
      </c>
      <c r="N195" s="33"/>
      <c r="O195" s="32">
        <v>40</v>
      </c>
      <c r="P195" s="6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90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311</v>
      </c>
      <c r="B196" s="54" t="s">
        <v>312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90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314</v>
      </c>
      <c r="B197" s="54" t="s">
        <v>315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1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319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320</v>
      </c>
      <c r="B199" s="54" t="s">
        <v>321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267</v>
      </c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90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267</v>
      </c>
      <c r="M200" s="33" t="s">
        <v>68</v>
      </c>
      <c r="N200" s="33"/>
      <c r="O200" s="32">
        <v>40</v>
      </c>
      <c r="P200" s="84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324</v>
      </c>
      <c r="B201" s="54" t="s">
        <v>325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326</v>
      </c>
      <c r="B202" s="54" t="s">
        <v>327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267</v>
      </c>
      <c r="M202" s="33" t="s">
        <v>68</v>
      </c>
      <c r="N202" s="33"/>
      <c r="O202" s="32">
        <v>40</v>
      </c>
      <c r="P202" s="86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90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8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328</v>
      </c>
      <c r="B206" s="54" t="s">
        <v>329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77</v>
      </c>
      <c r="N206" s="33"/>
      <c r="O206" s="32">
        <v>40</v>
      </c>
      <c r="P206" s="72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331</v>
      </c>
      <c r="B207" s="54" t="s">
        <v>332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3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334</v>
      </c>
      <c r="B208" s="54" t="s">
        <v>335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77</v>
      </c>
      <c r="N208" s="33"/>
      <c r="O208" s="32">
        <v>45</v>
      </c>
      <c r="P208" s="6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90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337</v>
      </c>
      <c r="B209" s="54" t="s">
        <v>338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88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90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 t="s">
        <v>88</v>
      </c>
      <c r="M210" s="33" t="s">
        <v>84</v>
      </c>
      <c r="N210" s="33"/>
      <c r="O210" s="32">
        <v>45</v>
      </c>
      <c r="P210" s="68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336</v>
      </c>
      <c r="AG210" s="64"/>
      <c r="AJ210" s="68" t="s">
        <v>90</v>
      </c>
      <c r="AK210" s="68">
        <v>25.2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341</v>
      </c>
      <c r="B211" s="54" t="s">
        <v>342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88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336</v>
      </c>
      <c r="AG211" s="64"/>
      <c r="AJ211" s="68" t="s">
        <v>90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4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345</v>
      </c>
      <c r="B213" s="54" t="s">
        <v>346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88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347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348</v>
      </c>
      <c r="B214" s="54" t="s">
        <v>349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88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333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8" t="s">
        <v>164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350</v>
      </c>
      <c r="B218" s="54" t="s">
        <v>351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88</v>
      </c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352</v>
      </c>
      <c r="AG218" s="64"/>
      <c r="AJ218" s="68" t="s">
        <v>90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353</v>
      </c>
      <c r="B219" s="54" t="s">
        <v>354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9" t="s">
        <v>356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8" t="s">
        <v>101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357</v>
      </c>
      <c r="B224" s="54" t="s">
        <v>358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359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360</v>
      </c>
      <c r="B225" s="54" t="s">
        <v>361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6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 t="s">
        <v>111</v>
      </c>
      <c r="M227" s="33" t="s">
        <v>106</v>
      </c>
      <c r="N227" s="33"/>
      <c r="O227" s="32">
        <v>55</v>
      </c>
      <c r="P227" s="77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359</v>
      </c>
      <c r="AG227" s="64"/>
      <c r="AJ227" s="68" t="s">
        <v>90</v>
      </c>
      <c r="AK227" s="68">
        <v>48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366</v>
      </c>
      <c r="B228" s="54" t="s">
        <v>368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359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370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362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374</v>
      </c>
      <c r="B231" s="54" t="s">
        <v>375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362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376</v>
      </c>
      <c r="B232" s="54" t="s">
        <v>377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111</v>
      </c>
      <c r="M232" s="33" t="s">
        <v>106</v>
      </c>
      <c r="N232" s="33"/>
      <c r="O232" s="32">
        <v>55</v>
      </c>
      <c r="P232" s="7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365</v>
      </c>
      <c r="AG232" s="64"/>
      <c r="AJ232" s="68" t="s">
        <v>90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376</v>
      </c>
      <c r="B233" s="54" t="s">
        <v>378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8" t="s">
        <v>136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379</v>
      </c>
      <c r="B237" s="54" t="s">
        <v>380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381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8" t="s">
        <v>382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383</v>
      </c>
      <c r="B241" s="54" t="s">
        <v>384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385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8" t="s">
        <v>386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387</v>
      </c>
      <c r="B245" s="54" t="s">
        <v>388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389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390</v>
      </c>
      <c r="B246" s="54" t="s">
        <v>391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389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392</v>
      </c>
      <c r="B247" s="54" t="s">
        <v>393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389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394</v>
      </c>
      <c r="B248" s="54" t="s">
        <v>395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389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389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9" t="s">
        <v>398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8" t="s">
        <v>101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399</v>
      </c>
      <c r="B254" s="54" t="s">
        <v>400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 t="s">
        <v>105</v>
      </c>
      <c r="M254" s="33" t="s">
        <v>106</v>
      </c>
      <c r="N254" s="33"/>
      <c r="O254" s="32">
        <v>55</v>
      </c>
      <c r="P254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401</v>
      </c>
      <c r="AG254" s="64"/>
      <c r="AJ254" s="68" t="s">
        <v>90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402</v>
      </c>
      <c r="B255" s="54" t="s">
        <v>403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405</v>
      </c>
      <c r="B256" s="54" t="s">
        <v>406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 t="s">
        <v>105</v>
      </c>
      <c r="M256" s="33" t="s">
        <v>106</v>
      </c>
      <c r="N256" s="33"/>
      <c r="O256" s="32">
        <v>55</v>
      </c>
      <c r="P256" s="75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 t="s">
        <v>90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410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411</v>
      </c>
      <c r="B258" s="54" t="s">
        <v>412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 t="s">
        <v>111</v>
      </c>
      <c r="M258" s="33" t="s">
        <v>106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 t="s">
        <v>90</v>
      </c>
      <c r="AK258" s="68">
        <v>48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9" t="s">
        <v>414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8" t="s">
        <v>101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415</v>
      </c>
      <c r="B263" s="54" t="s">
        <v>416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77</v>
      </c>
      <c r="N263" s="33"/>
      <c r="O263" s="32">
        <v>35</v>
      </c>
      <c r="P263" s="84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417</v>
      </c>
      <c r="B264" s="54" t="s">
        <v>418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30</v>
      </c>
      <c r="P264" s="67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419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35</v>
      </c>
      <c r="P265" s="6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365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422</v>
      </c>
      <c r="B266" s="54" t="s">
        <v>423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1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424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9" t="s">
        <v>425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8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426</v>
      </c>
      <c r="B271" s="54" t="s">
        <v>427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428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429</v>
      </c>
      <c r="B272" s="54" t="s">
        <v>430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/>
      <c r="M272" s="33" t="s">
        <v>84</v>
      </c>
      <c r="N272" s="33"/>
      <c r="O272" s="32">
        <v>40</v>
      </c>
      <c r="P272" s="68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88</v>
      </c>
      <c r="M273" s="33" t="s">
        <v>77</v>
      </c>
      <c r="N273" s="33"/>
      <c r="O273" s="32">
        <v>45</v>
      </c>
      <c r="P273" s="62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428</v>
      </c>
      <c r="AG273" s="64"/>
      <c r="AJ273" s="68" t="s">
        <v>90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9" t="s">
        <v>434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8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435</v>
      </c>
      <c r="B278" s="54" t="s">
        <v>436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437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438</v>
      </c>
      <c r="B279" s="54" t="s">
        <v>439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8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441</v>
      </c>
      <c r="B283" s="54" t="s">
        <v>442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 t="s">
        <v>111</v>
      </c>
      <c r="M283" s="33" t="s">
        <v>77</v>
      </c>
      <c r="N283" s="33"/>
      <c r="O283" s="32">
        <v>45</v>
      </c>
      <c r="P283" s="69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443</v>
      </c>
      <c r="AG283" s="64"/>
      <c r="AJ283" s="68" t="s">
        <v>90</v>
      </c>
      <c r="AK283" s="68">
        <v>43.2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444</v>
      </c>
      <c r="B284" s="54" t="s">
        <v>445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35" t="s">
        <v>446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447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9" t="s">
        <v>448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8" t="s">
        <v>101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449</v>
      </c>
      <c r="B289" s="54" t="s">
        <v>450</v>
      </c>
      <c r="C289" s="31">
        <v>4301012126</v>
      </c>
      <c r="D289" s="548">
        <v>4607091386004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452</v>
      </c>
      <c r="B290" s="54" t="s">
        <v>453</v>
      </c>
      <c r="C290" s="31">
        <v>4301012024</v>
      </c>
      <c r="D290" s="548">
        <v>4680115885615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455</v>
      </c>
      <c r="B291" s="54" t="s">
        <v>456</v>
      </c>
      <c r="C291" s="31">
        <v>4301011858</v>
      </c>
      <c r="D291" s="548">
        <v>4680115885646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457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customHeight="1" x14ac:dyDescent="0.25">
      <c r="A292" s="54" t="s">
        <v>458</v>
      </c>
      <c r="B292" s="54" t="s">
        <v>459</v>
      </c>
      <c r="C292" s="31">
        <v>4301012016</v>
      </c>
      <c r="D292" s="548">
        <v>4680115885554</v>
      </c>
      <c r="E292" s="549"/>
      <c r="F292" s="540">
        <v>1.35</v>
      </c>
      <c r="G292" s="32">
        <v>8</v>
      </c>
      <c r="H292" s="540">
        <v>10.8</v>
      </c>
      <c r="I292" s="540">
        <v>11.21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460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461</v>
      </c>
      <c r="B293" s="54" t="s">
        <v>462</v>
      </c>
      <c r="C293" s="31">
        <v>4301011857</v>
      </c>
      <c r="D293" s="548">
        <v>4680115885622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4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454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customHeight="1" x14ac:dyDescent="0.25">
      <c r="A294" s="54" t="s">
        <v>463</v>
      </c>
      <c r="B294" s="54" t="s">
        <v>464</v>
      </c>
      <c r="C294" s="31">
        <v>4301011859</v>
      </c>
      <c r="D294" s="548">
        <v>4680115885608</v>
      </c>
      <c r="E294" s="549"/>
      <c r="F294" s="540">
        <v>0.4</v>
      </c>
      <c r="G294" s="32">
        <v>10</v>
      </c>
      <c r="H294" s="540">
        <v>4</v>
      </c>
      <c r="I294" s="540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46"/>
      <c r="R294" s="546"/>
      <c r="S294" s="546"/>
      <c r="T294" s="547"/>
      <c r="U294" s="34"/>
      <c r="V294" s="34"/>
      <c r="W294" s="35" t="s">
        <v>69</v>
      </c>
      <c r="X294" s="541">
        <v>0</v>
      </c>
      <c r="Y294" s="542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465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x14ac:dyDescent="0.2">
      <c r="A295" s="554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3">
        <f>IFERROR(X289/H289,"0")+IFERROR(X290/H290,"0")+IFERROR(X291/H291,"0")+IFERROR(X292/H292,"0")+IFERROR(X293/H293,"0")+IFERROR(X294/H294,"0")</f>
        <v>0</v>
      </c>
      <c r="Y295" s="543">
        <f>IFERROR(Y289/H289,"0")+IFERROR(Y290/H290,"0")+IFERROR(Y291/H291,"0")+IFERROR(Y292/H292,"0")+IFERROR(Y293/H293,"0")+IFERROR(Y294/H294,"0")</f>
        <v>0</v>
      </c>
      <c r="Z295" s="543">
        <f>IFERROR(IF(Z289="",0,Z289),"0")+IFERROR(IF(Z290="",0,Z290),"0")+IFERROR(IF(Z291="",0,Z291),"0")+IFERROR(IF(Z292="",0,Z292),"0")+IFERROR(IF(Z293="",0,Z293),"0")+IFERROR(IF(Z294="",0,Z294),"0")</f>
        <v>0</v>
      </c>
      <c r="AA295" s="544"/>
      <c r="AB295" s="544"/>
      <c r="AC295" s="544"/>
    </row>
    <row r="296" spans="1:68" x14ac:dyDescent="0.2">
      <c r="A296" s="555"/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6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3">
        <f>IFERROR(SUM(X289:X294),"0")</f>
        <v>0</v>
      </c>
      <c r="Y296" s="543">
        <f>IFERROR(SUM(Y289:Y294),"0")</f>
        <v>0</v>
      </c>
      <c r="Z296" s="37"/>
      <c r="AA296" s="544"/>
      <c r="AB296" s="544"/>
      <c r="AC296" s="544"/>
    </row>
    <row r="297" spans="1:68" ht="14.25" customHeight="1" x14ac:dyDescent="0.25">
      <c r="A297" s="558" t="s">
        <v>64</v>
      </c>
      <c r="B297" s="555"/>
      <c r="C297" s="555"/>
      <c r="D297" s="555"/>
      <c r="E297" s="555"/>
      <c r="F297" s="555"/>
      <c r="G297" s="555"/>
      <c r="H297" s="555"/>
      <c r="I297" s="555"/>
      <c r="J297" s="555"/>
      <c r="K297" s="555"/>
      <c r="L297" s="555"/>
      <c r="M297" s="555"/>
      <c r="N297" s="555"/>
      <c r="O297" s="555"/>
      <c r="P297" s="555"/>
      <c r="Q297" s="555"/>
      <c r="R297" s="555"/>
      <c r="S297" s="555"/>
      <c r="T297" s="555"/>
      <c r="U297" s="555"/>
      <c r="V297" s="555"/>
      <c r="W297" s="555"/>
      <c r="X297" s="555"/>
      <c r="Y297" s="555"/>
      <c r="Z297" s="555"/>
      <c r="AA297" s="537"/>
      <c r="AB297" s="537"/>
      <c r="AC297" s="537"/>
    </row>
    <row r="298" spans="1:68" ht="27" customHeight="1" x14ac:dyDescent="0.25">
      <c r="A298" s="54" t="s">
        <v>466</v>
      </c>
      <c r="B298" s="54" t="s">
        <v>467</v>
      </c>
      <c r="C298" s="31">
        <v>4301030878</v>
      </c>
      <c r="D298" s="548">
        <v>4607091387193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1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ref="Y298:Y304" si="31">IFERROR(IF(X298="",0,CEILING((X298/$H298),1)*$H298),"")</f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0</v>
      </c>
      <c r="BN298" s="64">
        <f t="shared" ref="BN298:BN304" si="33">IFERROR(Y298*I298/H298,"0")</f>
        <v>0</v>
      </c>
      <c r="BO298" s="64">
        <f t="shared" ref="BO298:BO304" si="34">IFERROR(1/J298*(X298/H298),"0")</f>
        <v>0</v>
      </c>
      <c r="BP298" s="64">
        <f t="shared" ref="BP298:BP304" si="35">IFERROR(1/J298*(Y298/H298),"0")</f>
        <v>0</v>
      </c>
    </row>
    <row r="299" spans="1:68" ht="27" customHeight="1" x14ac:dyDescent="0.25">
      <c r="A299" s="54" t="s">
        <v>469</v>
      </c>
      <c r="B299" s="54" t="s">
        <v>470</v>
      </c>
      <c r="C299" s="31">
        <v>4301031153</v>
      </c>
      <c r="D299" s="548">
        <v>4607091387230</v>
      </c>
      <c r="E299" s="549"/>
      <c r="F299" s="540">
        <v>0.7</v>
      </c>
      <c r="G299" s="32">
        <v>6</v>
      </c>
      <c r="H299" s="540">
        <v>4.2</v>
      </c>
      <c r="I299" s="540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471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customHeight="1" x14ac:dyDescent="0.25">
      <c r="A300" s="54" t="s">
        <v>472</v>
      </c>
      <c r="B300" s="54" t="s">
        <v>473</v>
      </c>
      <c r="C300" s="31">
        <v>4301031154</v>
      </c>
      <c r="D300" s="548">
        <v>4607091387292</v>
      </c>
      <c r="E300" s="549"/>
      <c r="F300" s="540">
        <v>0.73</v>
      </c>
      <c r="G300" s="32">
        <v>6</v>
      </c>
      <c r="H300" s="540">
        <v>4.38</v>
      </c>
      <c r="I300" s="540">
        <v>4.63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474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475</v>
      </c>
      <c r="B301" s="54" t="s">
        <v>476</v>
      </c>
      <c r="C301" s="31">
        <v>4301031152</v>
      </c>
      <c r="D301" s="548">
        <v>4607091387285</v>
      </c>
      <c r="E301" s="549"/>
      <c r="F301" s="540">
        <v>0.35</v>
      </c>
      <c r="G301" s="32">
        <v>6</v>
      </c>
      <c r="H301" s="540">
        <v>2.1</v>
      </c>
      <c r="I301" s="540">
        <v>2.23</v>
      </c>
      <c r="J301" s="32">
        <v>234</v>
      </c>
      <c r="K301" s="32" t="s">
        <v>67</v>
      </c>
      <c r="L301" s="32" t="s">
        <v>267</v>
      </c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471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customHeight="1" x14ac:dyDescent="0.25">
      <c r="A302" s="54" t="s">
        <v>477</v>
      </c>
      <c r="B302" s="54" t="s">
        <v>478</v>
      </c>
      <c r="C302" s="31">
        <v>4301031305</v>
      </c>
      <c r="D302" s="548">
        <v>4607091389845</v>
      </c>
      <c r="E302" s="549"/>
      <c r="F302" s="540">
        <v>0.35</v>
      </c>
      <c r="G302" s="32">
        <v>6</v>
      </c>
      <c r="H302" s="540">
        <v>2.1</v>
      </c>
      <c r="I302" s="540">
        <v>2.2000000000000002</v>
      </c>
      <c r="J302" s="32">
        <v>234</v>
      </c>
      <c r="K302" s="32" t="s">
        <v>67</v>
      </c>
      <c r="L302" s="32" t="s">
        <v>267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customHeight="1" x14ac:dyDescent="0.25">
      <c r="A303" s="54" t="s">
        <v>480</v>
      </c>
      <c r="B303" s="54" t="s">
        <v>481</v>
      </c>
      <c r="C303" s="31">
        <v>4301031306</v>
      </c>
      <c r="D303" s="548">
        <v>4680115882881</v>
      </c>
      <c r="E303" s="549"/>
      <c r="F303" s="540">
        <v>0.28000000000000003</v>
      </c>
      <c r="G303" s="32">
        <v>6</v>
      </c>
      <c r="H303" s="540">
        <v>1.68</v>
      </c>
      <c r="I303" s="540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8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482</v>
      </c>
      <c r="B304" s="54" t="s">
        <v>483</v>
      </c>
      <c r="C304" s="31">
        <v>4301031066</v>
      </c>
      <c r="D304" s="548">
        <v>4607091383836</v>
      </c>
      <c r="E304" s="549"/>
      <c r="F304" s="540">
        <v>0.3</v>
      </c>
      <c r="G304" s="32">
        <v>6</v>
      </c>
      <c r="H304" s="540">
        <v>1.8</v>
      </c>
      <c r="I304" s="540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46"/>
      <c r="R304" s="546"/>
      <c r="S304" s="546"/>
      <c r="T304" s="547"/>
      <c r="U304" s="34"/>
      <c r="V304" s="34"/>
      <c r="W304" s="35" t="s">
        <v>69</v>
      </c>
      <c r="X304" s="541">
        <v>0</v>
      </c>
      <c r="Y304" s="542">
        <f t="shared" si="31"/>
        <v>0</v>
      </c>
      <c r="Z304" s="36" t="str">
        <f>IFERROR(IF(Y304=0,"",ROUNDUP(Y304/H304,0)*0.00651),"")</f>
        <v/>
      </c>
      <c r="AA304" s="56"/>
      <c r="AB304" s="57"/>
      <c r="AC304" s="355" t="s">
        <v>484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x14ac:dyDescent="0.2">
      <c r="A305" s="554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3">
        <f>IFERROR(X298/H298,"0")+IFERROR(X299/H299,"0")+IFERROR(X300/H300,"0")+IFERROR(X301/H301,"0")+IFERROR(X302/H302,"0")+IFERROR(X303/H303,"0")+IFERROR(X304/H304,"0")</f>
        <v>0</v>
      </c>
      <c r="Y305" s="543">
        <f>IFERROR(Y298/H298,"0")+IFERROR(Y299/H299,"0")+IFERROR(Y300/H300,"0")+IFERROR(Y301/H301,"0")+IFERROR(Y302/H302,"0")+IFERROR(Y303/H303,"0")+IFERROR(Y304/H304,"0")</f>
        <v>0</v>
      </c>
      <c r="Z305" s="5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544"/>
      <c r="AB305" s="544"/>
      <c r="AC305" s="544"/>
    </row>
    <row r="306" spans="1:68" x14ac:dyDescent="0.2">
      <c r="A306" s="555"/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6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3">
        <f>IFERROR(SUM(X298:X304),"0")</f>
        <v>0</v>
      </c>
      <c r="Y306" s="543">
        <f>IFERROR(SUM(Y298:Y304),"0")</f>
        <v>0</v>
      </c>
      <c r="Z306" s="37"/>
      <c r="AA306" s="544"/>
      <c r="AB306" s="544"/>
      <c r="AC306" s="544"/>
    </row>
    <row r="307" spans="1:68" ht="14.25" customHeight="1" x14ac:dyDescent="0.25">
      <c r="A307" s="558" t="s">
        <v>73</v>
      </c>
      <c r="B307" s="555"/>
      <c r="C307" s="555"/>
      <c r="D307" s="555"/>
      <c r="E307" s="555"/>
      <c r="F307" s="555"/>
      <c r="G307" s="555"/>
      <c r="H307" s="555"/>
      <c r="I307" s="555"/>
      <c r="J307" s="555"/>
      <c r="K307" s="555"/>
      <c r="L307" s="555"/>
      <c r="M307" s="555"/>
      <c r="N307" s="555"/>
      <c r="O307" s="555"/>
      <c r="P307" s="555"/>
      <c r="Q307" s="555"/>
      <c r="R307" s="555"/>
      <c r="S307" s="555"/>
      <c r="T307" s="555"/>
      <c r="U307" s="555"/>
      <c r="V307" s="555"/>
      <c r="W307" s="555"/>
      <c r="X307" s="555"/>
      <c r="Y307" s="555"/>
      <c r="Z307" s="555"/>
      <c r="AA307" s="537"/>
      <c r="AB307" s="537"/>
      <c r="AC307" s="537"/>
    </row>
    <row r="308" spans="1:68" ht="27" customHeight="1" x14ac:dyDescent="0.25">
      <c r="A308" s="54" t="s">
        <v>485</v>
      </c>
      <c r="B308" s="54" t="s">
        <v>486</v>
      </c>
      <c r="C308" s="31">
        <v>4301051100</v>
      </c>
      <c r="D308" s="548">
        <v>4607091387766</v>
      </c>
      <c r="E308" s="549"/>
      <c r="F308" s="540">
        <v>1.3</v>
      </c>
      <c r="G308" s="32">
        <v>6</v>
      </c>
      <c r="H308" s="540">
        <v>7.8</v>
      </c>
      <c r="I308" s="540">
        <v>8.2880000000000003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488</v>
      </c>
      <c r="B309" s="54" t="s">
        <v>489</v>
      </c>
      <c r="C309" s="31">
        <v>4301051818</v>
      </c>
      <c r="D309" s="548">
        <v>4607091387957</v>
      </c>
      <c r="E309" s="549"/>
      <c r="F309" s="540">
        <v>1.3</v>
      </c>
      <c r="G309" s="32">
        <v>6</v>
      </c>
      <c r="H309" s="540">
        <v>7.8</v>
      </c>
      <c r="I309" s="540">
        <v>8.2940000000000005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491</v>
      </c>
      <c r="B310" s="54" t="s">
        <v>492</v>
      </c>
      <c r="C310" s="31">
        <v>4301051819</v>
      </c>
      <c r="D310" s="548">
        <v>4607091387964</v>
      </c>
      <c r="E310" s="549"/>
      <c r="F310" s="540">
        <v>1.35</v>
      </c>
      <c r="G310" s="32">
        <v>6</v>
      </c>
      <c r="H310" s="540">
        <v>8.1</v>
      </c>
      <c r="I310" s="540">
        <v>8.5760000000000005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6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493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494</v>
      </c>
      <c r="B311" s="54" t="s">
        <v>495</v>
      </c>
      <c r="C311" s="31">
        <v>4301051734</v>
      </c>
      <c r="D311" s="548">
        <v>4680115884588</v>
      </c>
      <c r="E311" s="549"/>
      <c r="F311" s="540">
        <v>0.5</v>
      </c>
      <c r="G311" s="32">
        <v>6</v>
      </c>
      <c r="H311" s="540">
        <v>3</v>
      </c>
      <c r="I311" s="540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0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46"/>
      <c r="R311" s="546"/>
      <c r="S311" s="546"/>
      <c r="T311" s="547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496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554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72</v>
      </c>
      <c r="X312" s="543">
        <f>IFERROR(X308/H308,"0")+IFERROR(X309/H309,"0")+IFERROR(X310/H310,"0")+IFERROR(X311/H311,"0")</f>
        <v>0</v>
      </c>
      <c r="Y312" s="543">
        <f>IFERROR(Y308/H308,"0")+IFERROR(Y309/H309,"0")+IFERROR(Y310/H310,"0")+IFERROR(Y311/H311,"0")</f>
        <v>0</v>
      </c>
      <c r="Z312" s="543">
        <f>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x14ac:dyDescent="0.2">
      <c r="A313" s="555"/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6"/>
      <c r="P313" s="562" t="s">
        <v>71</v>
      </c>
      <c r="Q313" s="563"/>
      <c r="R313" s="563"/>
      <c r="S313" s="563"/>
      <c r="T313" s="563"/>
      <c r="U313" s="563"/>
      <c r="V313" s="564"/>
      <c r="W313" s="37" t="s">
        <v>69</v>
      </c>
      <c r="X313" s="543">
        <f>IFERROR(SUM(X308:X311),"0")</f>
        <v>0</v>
      </c>
      <c r="Y313" s="543">
        <f>IFERROR(SUM(Y308:Y311),"0")</f>
        <v>0</v>
      </c>
      <c r="Z313" s="37"/>
      <c r="AA313" s="544"/>
      <c r="AB313" s="544"/>
      <c r="AC313" s="544"/>
    </row>
    <row r="314" spans="1:68" ht="14.25" customHeight="1" x14ac:dyDescent="0.25">
      <c r="A314" s="558" t="s">
        <v>164</v>
      </c>
      <c r="B314" s="555"/>
      <c r="C314" s="555"/>
      <c r="D314" s="555"/>
      <c r="E314" s="555"/>
      <c r="F314" s="555"/>
      <c r="G314" s="555"/>
      <c r="H314" s="555"/>
      <c r="I314" s="555"/>
      <c r="J314" s="555"/>
      <c r="K314" s="555"/>
      <c r="L314" s="555"/>
      <c r="M314" s="555"/>
      <c r="N314" s="555"/>
      <c r="O314" s="555"/>
      <c r="P314" s="555"/>
      <c r="Q314" s="555"/>
      <c r="R314" s="555"/>
      <c r="S314" s="555"/>
      <c r="T314" s="555"/>
      <c r="U314" s="555"/>
      <c r="V314" s="555"/>
      <c r="W314" s="555"/>
      <c r="X314" s="555"/>
      <c r="Y314" s="555"/>
      <c r="Z314" s="555"/>
      <c r="AA314" s="537"/>
      <c r="AB314" s="537"/>
      <c r="AC314" s="537"/>
    </row>
    <row r="315" spans="1:68" ht="27" customHeight="1" x14ac:dyDescent="0.25">
      <c r="A315" s="54" t="s">
        <v>497</v>
      </c>
      <c r="B315" s="54" t="s">
        <v>498</v>
      </c>
      <c r="C315" s="31">
        <v>4301060387</v>
      </c>
      <c r="D315" s="548">
        <v>4607091380880</v>
      </c>
      <c r="E315" s="549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499</v>
      </c>
      <c r="AG315" s="64"/>
      <c r="AJ315" s="68" t="s">
        <v>90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500</v>
      </c>
      <c r="B316" s="54" t="s">
        <v>501</v>
      </c>
      <c r="C316" s="31">
        <v>4301060406</v>
      </c>
      <c r="D316" s="548">
        <v>4607091384482</v>
      </c>
      <c r="E316" s="549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8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90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customHeight="1" x14ac:dyDescent="0.25">
      <c r="A317" s="54" t="s">
        <v>503</v>
      </c>
      <c r="B317" s="54" t="s">
        <v>504</v>
      </c>
      <c r="C317" s="31">
        <v>4301060484</v>
      </c>
      <c r="D317" s="548">
        <v>4607091380897</v>
      </c>
      <c r="E317" s="549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 t="s">
        <v>105</v>
      </c>
      <c r="M317" s="33" t="s">
        <v>84</v>
      </c>
      <c r="N317" s="33"/>
      <c r="O317" s="32">
        <v>30</v>
      </c>
      <c r="P317" s="83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6"/>
      <c r="R317" s="546"/>
      <c r="S317" s="546"/>
      <c r="T317" s="547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505</v>
      </c>
      <c r="AG317" s="64"/>
      <c r="AJ317" s="68" t="s">
        <v>90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4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72</v>
      </c>
      <c r="X318" s="543">
        <f>IFERROR(X315/H315,"0")+IFERROR(X316/H316,"0")+IFERROR(X317/H317,"0")</f>
        <v>0</v>
      </c>
      <c r="Y318" s="543">
        <f>IFERROR(Y315/H315,"0")+IFERROR(Y316/H316,"0")+IFERROR(Y317/H317,"0")</f>
        <v>0</v>
      </c>
      <c r="Z318" s="543">
        <f>IFERROR(IF(Z315="",0,Z315),"0")+IFERROR(IF(Z316="",0,Z316),"0")+IFERROR(IF(Z317="",0,Z317),"0")</f>
        <v>0</v>
      </c>
      <c r="AA318" s="544"/>
      <c r="AB318" s="544"/>
      <c r="AC318" s="544"/>
    </row>
    <row r="319" spans="1:68" x14ac:dyDescent="0.2">
      <c r="A319" s="555"/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6"/>
      <c r="P319" s="562" t="s">
        <v>71</v>
      </c>
      <c r="Q319" s="563"/>
      <c r="R319" s="563"/>
      <c r="S319" s="563"/>
      <c r="T319" s="563"/>
      <c r="U319" s="563"/>
      <c r="V319" s="564"/>
      <c r="W319" s="37" t="s">
        <v>69</v>
      </c>
      <c r="X319" s="543">
        <f>IFERROR(SUM(X315:X317),"0")</f>
        <v>0</v>
      </c>
      <c r="Y319" s="543">
        <f>IFERROR(SUM(Y315:Y317),"0")</f>
        <v>0</v>
      </c>
      <c r="Z319" s="37"/>
      <c r="AA319" s="544"/>
      <c r="AB319" s="544"/>
      <c r="AC319" s="544"/>
    </row>
    <row r="320" spans="1:68" ht="14.25" customHeight="1" x14ac:dyDescent="0.25">
      <c r="A320" s="558" t="s">
        <v>93</v>
      </c>
      <c r="B320" s="555"/>
      <c r="C320" s="555"/>
      <c r="D320" s="555"/>
      <c r="E320" s="555"/>
      <c r="F320" s="555"/>
      <c r="G320" s="555"/>
      <c r="H320" s="555"/>
      <c r="I320" s="555"/>
      <c r="J320" s="555"/>
      <c r="K320" s="555"/>
      <c r="L320" s="555"/>
      <c r="M320" s="555"/>
      <c r="N320" s="555"/>
      <c r="O320" s="555"/>
      <c r="P320" s="555"/>
      <c r="Q320" s="555"/>
      <c r="R320" s="555"/>
      <c r="S320" s="555"/>
      <c r="T320" s="555"/>
      <c r="U320" s="555"/>
      <c r="V320" s="555"/>
      <c r="W320" s="555"/>
      <c r="X320" s="555"/>
      <c r="Y320" s="555"/>
      <c r="Z320" s="555"/>
      <c r="AA320" s="537"/>
      <c r="AB320" s="537"/>
      <c r="AC320" s="537"/>
    </row>
    <row r="321" spans="1:68" ht="27" customHeight="1" x14ac:dyDescent="0.25">
      <c r="A321" s="54" t="s">
        <v>506</v>
      </c>
      <c r="B321" s="54" t="s">
        <v>507</v>
      </c>
      <c r="C321" s="31">
        <v>4301030235</v>
      </c>
      <c r="D321" s="548">
        <v>4607091388381</v>
      </c>
      <c r="E321" s="549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508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509</v>
      </c>
      <c r="B322" s="54" t="s">
        <v>510</v>
      </c>
      <c r="C322" s="31">
        <v>4301030232</v>
      </c>
      <c r="D322" s="548">
        <v>4607091388374</v>
      </c>
      <c r="E322" s="549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4301032015</v>
      </c>
      <c r="D323" s="548">
        <v>4607091383102</v>
      </c>
      <c r="E323" s="549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/>
      <c r="M323" s="33" t="s">
        <v>96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4301030233</v>
      </c>
      <c r="D324" s="548">
        <v>4607091388404</v>
      </c>
      <c r="E324" s="549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 t="s">
        <v>88</v>
      </c>
      <c r="M324" s="33" t="s">
        <v>96</v>
      </c>
      <c r="N324" s="33"/>
      <c r="O324" s="32">
        <v>180</v>
      </c>
      <c r="P324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6"/>
      <c r="R324" s="546"/>
      <c r="S324" s="546"/>
      <c r="T324" s="547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508</v>
      </c>
      <c r="AG324" s="64"/>
      <c r="AJ324" s="68" t="s">
        <v>90</v>
      </c>
      <c r="AK324" s="68">
        <v>35.700000000000003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54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x14ac:dyDescent="0.2">
      <c r="A326" s="555"/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6"/>
      <c r="P326" s="562" t="s">
        <v>71</v>
      </c>
      <c r="Q326" s="563"/>
      <c r="R326" s="563"/>
      <c r="S326" s="563"/>
      <c r="T326" s="563"/>
      <c r="U326" s="563"/>
      <c r="V326" s="564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customHeight="1" x14ac:dyDescent="0.25">
      <c r="A327" s="558" t="s">
        <v>516</v>
      </c>
      <c r="B327" s="555"/>
      <c r="C327" s="555"/>
      <c r="D327" s="555"/>
      <c r="E327" s="555"/>
      <c r="F327" s="555"/>
      <c r="G327" s="555"/>
      <c r="H327" s="555"/>
      <c r="I327" s="555"/>
      <c r="J327" s="555"/>
      <c r="K327" s="555"/>
      <c r="L327" s="555"/>
      <c r="M327" s="555"/>
      <c r="N327" s="555"/>
      <c r="O327" s="555"/>
      <c r="P327" s="555"/>
      <c r="Q327" s="555"/>
      <c r="R327" s="555"/>
      <c r="S327" s="555"/>
      <c r="T327" s="555"/>
      <c r="U327" s="555"/>
      <c r="V327" s="555"/>
      <c r="W327" s="555"/>
      <c r="X327" s="555"/>
      <c r="Y327" s="555"/>
      <c r="Z327" s="555"/>
      <c r="AA327" s="537"/>
      <c r="AB327" s="537"/>
      <c r="AC327" s="537"/>
    </row>
    <row r="328" spans="1:68" ht="16.5" customHeight="1" x14ac:dyDescent="0.25">
      <c r="A328" s="54" t="s">
        <v>517</v>
      </c>
      <c r="B328" s="54" t="s">
        <v>518</v>
      </c>
      <c r="C328" s="31">
        <v>4301180007</v>
      </c>
      <c r="D328" s="548">
        <v>4680115881808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519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520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521</v>
      </c>
      <c r="B329" s="54" t="s">
        <v>522</v>
      </c>
      <c r="C329" s="31">
        <v>4301180006</v>
      </c>
      <c r="D329" s="548">
        <v>4680115881822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519</v>
      </c>
      <c r="N329" s="33"/>
      <c r="O329" s="32">
        <v>730</v>
      </c>
      <c r="P329" s="6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520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523</v>
      </c>
      <c r="B330" s="54" t="s">
        <v>524</v>
      </c>
      <c r="C330" s="31">
        <v>4301180001</v>
      </c>
      <c r="D330" s="548">
        <v>4680115880016</v>
      </c>
      <c r="E330" s="549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519</v>
      </c>
      <c r="N330" s="33"/>
      <c r="O330" s="32">
        <v>730</v>
      </c>
      <c r="P330" s="73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6"/>
      <c r="R330" s="546"/>
      <c r="S330" s="546"/>
      <c r="T330" s="547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520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54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x14ac:dyDescent="0.2">
      <c r="A332" s="555"/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6"/>
      <c r="P332" s="562" t="s">
        <v>71</v>
      </c>
      <c r="Q332" s="563"/>
      <c r="R332" s="563"/>
      <c r="S332" s="563"/>
      <c r="T332" s="563"/>
      <c r="U332" s="563"/>
      <c r="V332" s="564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customHeight="1" x14ac:dyDescent="0.25">
      <c r="A333" s="559" t="s">
        <v>525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6"/>
      <c r="AB333" s="536"/>
      <c r="AC333" s="536"/>
    </row>
    <row r="334" spans="1:68" ht="14.25" customHeight="1" x14ac:dyDescent="0.25">
      <c r="A334" s="558" t="s">
        <v>73</v>
      </c>
      <c r="B334" s="555"/>
      <c r="C334" s="555"/>
      <c r="D334" s="555"/>
      <c r="E334" s="555"/>
      <c r="F334" s="555"/>
      <c r="G334" s="555"/>
      <c r="H334" s="555"/>
      <c r="I334" s="555"/>
      <c r="J334" s="555"/>
      <c r="K334" s="555"/>
      <c r="L334" s="555"/>
      <c r="M334" s="555"/>
      <c r="N334" s="555"/>
      <c r="O334" s="555"/>
      <c r="P334" s="555"/>
      <c r="Q334" s="555"/>
      <c r="R334" s="555"/>
      <c r="S334" s="555"/>
      <c r="T334" s="555"/>
      <c r="U334" s="555"/>
      <c r="V334" s="555"/>
      <c r="W334" s="555"/>
      <c r="X334" s="555"/>
      <c r="Y334" s="555"/>
      <c r="Z334" s="555"/>
      <c r="AA334" s="537"/>
      <c r="AB334" s="537"/>
      <c r="AC334" s="537"/>
    </row>
    <row r="335" spans="1:68" ht="27" customHeight="1" x14ac:dyDescent="0.25">
      <c r="A335" s="54" t="s">
        <v>526</v>
      </c>
      <c r="B335" s="54" t="s">
        <v>527</v>
      </c>
      <c r="C335" s="31">
        <v>4301051489</v>
      </c>
      <c r="D335" s="548">
        <v>4607091387919</v>
      </c>
      <c r="E335" s="549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 t="s">
        <v>105</v>
      </c>
      <c r="M335" s="33" t="s">
        <v>84</v>
      </c>
      <c r="N335" s="33"/>
      <c r="O335" s="32">
        <v>45</v>
      </c>
      <c r="P335" s="77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528</v>
      </c>
      <c r="AG335" s="64"/>
      <c r="AJ335" s="68" t="s">
        <v>90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529</v>
      </c>
      <c r="B336" s="54" t="s">
        <v>530</v>
      </c>
      <c r="C336" s="31">
        <v>4301051461</v>
      </c>
      <c r="D336" s="548">
        <v>4680115883604</v>
      </c>
      <c r="E336" s="549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88</v>
      </c>
      <c r="M336" s="33" t="s">
        <v>77</v>
      </c>
      <c r="N336" s="33"/>
      <c r="O336" s="32">
        <v>45</v>
      </c>
      <c r="P336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4301051864</v>
      </c>
      <c r="D337" s="548">
        <v>4680115883567</v>
      </c>
      <c r="E337" s="549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88</v>
      </c>
      <c r="M337" s="33" t="s">
        <v>84</v>
      </c>
      <c r="N337" s="33"/>
      <c r="O337" s="32">
        <v>40</v>
      </c>
      <c r="P337" s="62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6"/>
      <c r="R337" s="546"/>
      <c r="S337" s="546"/>
      <c r="T337" s="547"/>
      <c r="U337" s="34"/>
      <c r="V337" s="34"/>
      <c r="W337" s="35" t="s">
        <v>69</v>
      </c>
      <c r="X337" s="541">
        <v>0</v>
      </c>
      <c r="Y337" s="5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54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72</v>
      </c>
      <c r="X338" s="543">
        <f>IFERROR(X335/H335,"0")+IFERROR(X336/H336,"0")+IFERROR(X337/H337,"0")</f>
        <v>0</v>
      </c>
      <c r="Y338" s="543">
        <f>IFERROR(Y335/H335,"0")+IFERROR(Y336/H336,"0")+IFERROR(Y337/H337,"0")</f>
        <v>0</v>
      </c>
      <c r="Z338" s="543">
        <f>IFERROR(IF(Z335="",0,Z335),"0")+IFERROR(IF(Z336="",0,Z336),"0")+IFERROR(IF(Z337="",0,Z337),"0")</f>
        <v>0</v>
      </c>
      <c r="AA338" s="544"/>
      <c r="AB338" s="544"/>
      <c r="AC338" s="544"/>
    </row>
    <row r="339" spans="1:68" x14ac:dyDescent="0.2">
      <c r="A339" s="555"/>
      <c r="B339" s="555"/>
      <c r="C339" s="555"/>
      <c r="D339" s="555"/>
      <c r="E339" s="555"/>
      <c r="F339" s="555"/>
      <c r="G339" s="555"/>
      <c r="H339" s="555"/>
      <c r="I339" s="555"/>
      <c r="J339" s="555"/>
      <c r="K339" s="555"/>
      <c r="L339" s="555"/>
      <c r="M339" s="555"/>
      <c r="N339" s="555"/>
      <c r="O339" s="556"/>
      <c r="P339" s="562" t="s">
        <v>71</v>
      </c>
      <c r="Q339" s="563"/>
      <c r="R339" s="563"/>
      <c r="S339" s="563"/>
      <c r="T339" s="563"/>
      <c r="U339" s="563"/>
      <c r="V339" s="564"/>
      <c r="W339" s="37" t="s">
        <v>69</v>
      </c>
      <c r="X339" s="543">
        <f>IFERROR(SUM(X335:X337),"0")</f>
        <v>0</v>
      </c>
      <c r="Y339" s="543">
        <f>IFERROR(SUM(Y335:Y337),"0")</f>
        <v>0</v>
      </c>
      <c r="Z339" s="37"/>
      <c r="AA339" s="544"/>
      <c r="AB339" s="544"/>
      <c r="AC339" s="544"/>
    </row>
    <row r="340" spans="1:68" ht="27.75" customHeight="1" x14ac:dyDescent="0.2">
      <c r="A340" s="632" t="s">
        <v>535</v>
      </c>
      <c r="B340" s="633"/>
      <c r="C340" s="633"/>
      <c r="D340" s="633"/>
      <c r="E340" s="633"/>
      <c r="F340" s="633"/>
      <c r="G340" s="633"/>
      <c r="H340" s="633"/>
      <c r="I340" s="633"/>
      <c r="J340" s="633"/>
      <c r="K340" s="633"/>
      <c r="L340" s="633"/>
      <c r="M340" s="633"/>
      <c r="N340" s="633"/>
      <c r="O340" s="633"/>
      <c r="P340" s="633"/>
      <c r="Q340" s="633"/>
      <c r="R340" s="633"/>
      <c r="S340" s="633"/>
      <c r="T340" s="633"/>
      <c r="U340" s="633"/>
      <c r="V340" s="633"/>
      <c r="W340" s="633"/>
      <c r="X340" s="633"/>
      <c r="Y340" s="633"/>
      <c r="Z340" s="633"/>
      <c r="AA340" s="48"/>
      <c r="AB340" s="48"/>
      <c r="AC340" s="48"/>
    </row>
    <row r="341" spans="1:68" ht="16.5" customHeight="1" x14ac:dyDescent="0.25">
      <c r="A341" s="559" t="s">
        <v>536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6"/>
      <c r="AB341" s="536"/>
      <c r="AC341" s="536"/>
    </row>
    <row r="342" spans="1:68" ht="14.25" customHeight="1" x14ac:dyDescent="0.25">
      <c r="A342" s="558" t="s">
        <v>101</v>
      </c>
      <c r="B342" s="555"/>
      <c r="C342" s="555"/>
      <c r="D342" s="555"/>
      <c r="E342" s="555"/>
      <c r="F342" s="555"/>
      <c r="G342" s="555"/>
      <c r="H342" s="555"/>
      <c r="I342" s="555"/>
      <c r="J342" s="555"/>
      <c r="K342" s="555"/>
      <c r="L342" s="555"/>
      <c r="M342" s="555"/>
      <c r="N342" s="555"/>
      <c r="O342" s="555"/>
      <c r="P342" s="555"/>
      <c r="Q342" s="555"/>
      <c r="R342" s="555"/>
      <c r="S342" s="555"/>
      <c r="T342" s="555"/>
      <c r="U342" s="555"/>
      <c r="V342" s="555"/>
      <c r="W342" s="555"/>
      <c r="X342" s="555"/>
      <c r="Y342" s="555"/>
      <c r="Z342" s="555"/>
      <c r="AA342" s="537"/>
      <c r="AB342" s="537"/>
      <c r="AC342" s="537"/>
    </row>
    <row r="343" spans="1:68" ht="37.5" customHeight="1" x14ac:dyDescent="0.25">
      <c r="A343" s="54" t="s">
        <v>537</v>
      </c>
      <c r="B343" s="54" t="s">
        <v>538</v>
      </c>
      <c r="C343" s="31">
        <v>4301011869</v>
      </c>
      <c r="D343" s="548">
        <v>4680115884847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/>
      <c r="M343" s="33" t="s">
        <v>68</v>
      </c>
      <c r="N343" s="33"/>
      <c r="O343" s="32">
        <v>60</v>
      </c>
      <c r="P343" s="7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8000</v>
      </c>
      <c r="Y343" s="542">
        <f t="shared" ref="Y343:Y349" si="36">IFERROR(IF(X343="",0,CEILING((X343/$H343),1)*$H343),"")</f>
        <v>8010</v>
      </c>
      <c r="Z343" s="36">
        <f>IFERROR(IF(Y343=0,"",ROUNDUP(Y343/H343,0)*0.02175),"")</f>
        <v>11.6145</v>
      </c>
      <c r="AA343" s="56"/>
      <c r="AB343" s="57"/>
      <c r="AC343" s="391" t="s">
        <v>539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8250.6666666666661</v>
      </c>
      <c r="BN343" s="64">
        <f t="shared" ref="BN343:BN349" si="38">IFERROR(Y343*I343/H343,"0")</f>
        <v>8260.9800000000014</v>
      </c>
      <c r="BO343" s="64">
        <f t="shared" ref="BO343:BO349" si="39">IFERROR(1/J343*(X343/H343),"0")</f>
        <v>11.111111111111111</v>
      </c>
      <c r="BP343" s="64">
        <f t="shared" ref="BP343:BP349" si="40">IFERROR(1/J343*(Y343/H343),"0")</f>
        <v>11.125</v>
      </c>
    </row>
    <row r="344" spans="1:68" ht="27" customHeight="1" x14ac:dyDescent="0.25">
      <c r="A344" s="54" t="s">
        <v>540</v>
      </c>
      <c r="B344" s="54" t="s">
        <v>541</v>
      </c>
      <c r="C344" s="31">
        <v>4301011870</v>
      </c>
      <c r="D344" s="548">
        <v>4680115884854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4000</v>
      </c>
      <c r="Y344" s="542">
        <f t="shared" si="36"/>
        <v>4005</v>
      </c>
      <c r="Z344" s="36">
        <f>IFERROR(IF(Y344=0,"",ROUNDUP(Y344/H344,0)*0.02175),"")</f>
        <v>5.8072499999999998</v>
      </c>
      <c r="AA344" s="56"/>
      <c r="AB344" s="57"/>
      <c r="AC344" s="393" t="s">
        <v>542</v>
      </c>
      <c r="AG344" s="64"/>
      <c r="AJ344" s="68"/>
      <c r="AK344" s="68">
        <v>0</v>
      </c>
      <c r="BB344" s="394" t="s">
        <v>1</v>
      </c>
      <c r="BM344" s="64">
        <f t="shared" si="37"/>
        <v>4125.333333333333</v>
      </c>
      <c r="BN344" s="64">
        <f t="shared" si="38"/>
        <v>4130.4900000000007</v>
      </c>
      <c r="BO344" s="64">
        <f t="shared" si="39"/>
        <v>5.5555555555555554</v>
      </c>
      <c r="BP344" s="64">
        <f t="shared" si="40"/>
        <v>5.5625</v>
      </c>
    </row>
    <row r="345" spans="1:68" ht="37.5" customHeight="1" x14ac:dyDescent="0.25">
      <c r="A345" s="54" t="s">
        <v>543</v>
      </c>
      <c r="B345" s="54" t="s">
        <v>544</v>
      </c>
      <c r="C345" s="31">
        <v>4301011867</v>
      </c>
      <c r="D345" s="548">
        <v>4680115884830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5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4301012215</v>
      </c>
      <c r="D346" s="548">
        <v>4680115887046</v>
      </c>
      <c r="E346" s="549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84</v>
      </c>
      <c r="N346" s="33"/>
      <c r="O346" s="32">
        <v>60</v>
      </c>
      <c r="P346" s="784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6000</v>
      </c>
      <c r="Y346" s="542">
        <f t="shared" si="36"/>
        <v>6000</v>
      </c>
      <c r="Z346" s="36">
        <f>IFERROR(IF(Y346=0,"",ROUNDUP(Y346/H346,0)*0.02175),"")</f>
        <v>8.6999999999999993</v>
      </c>
      <c r="AA346" s="56"/>
      <c r="AB346" s="57"/>
      <c r="AC346" s="397" t="s">
        <v>548</v>
      </c>
      <c r="AG346" s="64"/>
      <c r="AJ346" s="68"/>
      <c r="AK346" s="68">
        <v>0</v>
      </c>
      <c r="BB346" s="398" t="s">
        <v>1</v>
      </c>
      <c r="BM346" s="64">
        <f t="shared" si="37"/>
        <v>6188</v>
      </c>
      <c r="BN346" s="64">
        <f t="shared" si="38"/>
        <v>6188</v>
      </c>
      <c r="BO346" s="64">
        <f t="shared" si="39"/>
        <v>8.3333333333333321</v>
      </c>
      <c r="BP346" s="64">
        <f t="shared" si="40"/>
        <v>8.3333333333333321</v>
      </c>
    </row>
    <row r="347" spans="1:68" ht="27" customHeight="1" x14ac:dyDescent="0.25">
      <c r="A347" s="54" t="s">
        <v>549</v>
      </c>
      <c r="B347" s="54" t="s">
        <v>550</v>
      </c>
      <c r="C347" s="31">
        <v>4301011433</v>
      </c>
      <c r="D347" s="548">
        <v>4680115882638</v>
      </c>
      <c r="E347" s="549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551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customHeight="1" x14ac:dyDescent="0.25">
      <c r="A348" s="54" t="s">
        <v>552</v>
      </c>
      <c r="B348" s="54" t="s">
        <v>553</v>
      </c>
      <c r="C348" s="31">
        <v>4301011952</v>
      </c>
      <c r="D348" s="548">
        <v>4680115884922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542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customHeight="1" x14ac:dyDescent="0.25">
      <c r="A349" s="54" t="s">
        <v>554</v>
      </c>
      <c r="B349" s="54" t="s">
        <v>555</v>
      </c>
      <c r="C349" s="31">
        <v>4301011868</v>
      </c>
      <c r="D349" s="548">
        <v>4680115884861</v>
      </c>
      <c r="E349" s="549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 t="s">
        <v>111</v>
      </c>
      <c r="M349" s="33" t="s">
        <v>68</v>
      </c>
      <c r="N349" s="33"/>
      <c r="O349" s="32">
        <v>60</v>
      </c>
      <c r="P349" s="81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6"/>
      <c r="R349" s="546"/>
      <c r="S349" s="546"/>
      <c r="T349" s="547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545</v>
      </c>
      <c r="AG349" s="64"/>
      <c r="AJ349" s="68" t="s">
        <v>90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4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1200</v>
      </c>
      <c r="Y350" s="543">
        <f>IFERROR(Y343/H343,"0")+IFERROR(Y344/H344,"0")+IFERROR(Y345/H345,"0")+IFERROR(Y346/H346,"0")+IFERROR(Y347/H347,"0")+IFERROR(Y348/H348,"0")+IFERROR(Y349/H349,"0")</f>
        <v>1201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26.121749999999999</v>
      </c>
      <c r="AA350" s="544"/>
      <c r="AB350" s="544"/>
      <c r="AC350" s="544"/>
    </row>
    <row r="351" spans="1:68" x14ac:dyDescent="0.2">
      <c r="A351" s="555"/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6"/>
      <c r="P351" s="562" t="s">
        <v>71</v>
      </c>
      <c r="Q351" s="563"/>
      <c r="R351" s="563"/>
      <c r="S351" s="563"/>
      <c r="T351" s="563"/>
      <c r="U351" s="563"/>
      <c r="V351" s="564"/>
      <c r="W351" s="37" t="s">
        <v>69</v>
      </c>
      <c r="X351" s="543">
        <f>IFERROR(SUM(X343:X349),"0")</f>
        <v>18000</v>
      </c>
      <c r="Y351" s="543">
        <f>IFERROR(SUM(Y343:Y349),"0")</f>
        <v>18015</v>
      </c>
      <c r="Z351" s="37"/>
      <c r="AA351" s="544"/>
      <c r="AB351" s="544"/>
      <c r="AC351" s="544"/>
    </row>
    <row r="352" spans="1:68" ht="14.25" customHeight="1" x14ac:dyDescent="0.25">
      <c r="A352" s="558" t="s">
        <v>136</v>
      </c>
      <c r="B352" s="555"/>
      <c r="C352" s="555"/>
      <c r="D352" s="555"/>
      <c r="E352" s="555"/>
      <c r="F352" s="555"/>
      <c r="G352" s="555"/>
      <c r="H352" s="555"/>
      <c r="I352" s="555"/>
      <c r="J352" s="555"/>
      <c r="K352" s="555"/>
      <c r="L352" s="555"/>
      <c r="M352" s="555"/>
      <c r="N352" s="555"/>
      <c r="O352" s="555"/>
      <c r="P352" s="555"/>
      <c r="Q352" s="555"/>
      <c r="R352" s="555"/>
      <c r="S352" s="555"/>
      <c r="T352" s="555"/>
      <c r="U352" s="555"/>
      <c r="V352" s="555"/>
      <c r="W352" s="555"/>
      <c r="X352" s="555"/>
      <c r="Y352" s="555"/>
      <c r="Z352" s="555"/>
      <c r="AA352" s="537"/>
      <c r="AB352" s="537"/>
      <c r="AC352" s="537"/>
    </row>
    <row r="353" spans="1:68" ht="27" customHeight="1" x14ac:dyDescent="0.25">
      <c r="A353" s="54" t="s">
        <v>556</v>
      </c>
      <c r="B353" s="54" t="s">
        <v>557</v>
      </c>
      <c r="C353" s="31">
        <v>4301020178</v>
      </c>
      <c r="D353" s="548">
        <v>4607091383980</v>
      </c>
      <c r="E353" s="549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/>
      <c r="M353" s="33" t="s">
        <v>106</v>
      </c>
      <c r="N353" s="33"/>
      <c r="O353" s="32">
        <v>50</v>
      </c>
      <c r="P353" s="68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IFERROR(IF(Y353=0,"",ROUNDUP(Y353/H353,0)*0.02175),"")</f>
        <v/>
      </c>
      <c r="AA353" s="56"/>
      <c r="AB353" s="57"/>
      <c r="AC353" s="405" t="s">
        <v>558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t="16.5" customHeight="1" x14ac:dyDescent="0.25">
      <c r="A354" s="54" t="s">
        <v>559</v>
      </c>
      <c r="B354" s="54" t="s">
        <v>560</v>
      </c>
      <c r="C354" s="31">
        <v>4301020179</v>
      </c>
      <c r="D354" s="548">
        <v>4607091384178</v>
      </c>
      <c r="E354" s="549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6"/>
      <c r="R354" s="546"/>
      <c r="S354" s="546"/>
      <c r="T354" s="547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558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4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72</v>
      </c>
      <c r="X355" s="543">
        <f>IFERROR(X353/H353,"0")+IFERROR(X354/H354,"0")</f>
        <v>0</v>
      </c>
      <c r="Y355" s="543">
        <f>IFERROR(Y353/H353,"0")+IFERROR(Y354/H354,"0")</f>
        <v>0</v>
      </c>
      <c r="Z355" s="543">
        <f>IFERROR(IF(Z353="",0,Z353),"0")+IFERROR(IF(Z354="",0,Z354),"0")</f>
        <v>0</v>
      </c>
      <c r="AA355" s="544"/>
      <c r="AB355" s="544"/>
      <c r="AC355" s="544"/>
    </row>
    <row r="356" spans="1:68" x14ac:dyDescent="0.2">
      <c r="A356" s="555"/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6"/>
      <c r="P356" s="562" t="s">
        <v>71</v>
      </c>
      <c r="Q356" s="563"/>
      <c r="R356" s="563"/>
      <c r="S356" s="563"/>
      <c r="T356" s="563"/>
      <c r="U356" s="563"/>
      <c r="V356" s="564"/>
      <c r="W356" s="37" t="s">
        <v>69</v>
      </c>
      <c r="X356" s="543">
        <f>IFERROR(SUM(X353:X354),"0")</f>
        <v>0</v>
      </c>
      <c r="Y356" s="543">
        <f>IFERROR(SUM(Y353:Y354),"0")</f>
        <v>0</v>
      </c>
      <c r="Z356" s="37"/>
      <c r="AA356" s="544"/>
      <c r="AB356" s="544"/>
      <c r="AC356" s="544"/>
    </row>
    <row r="357" spans="1:68" ht="14.25" customHeight="1" x14ac:dyDescent="0.25">
      <c r="A357" s="558" t="s">
        <v>73</v>
      </c>
      <c r="B357" s="555"/>
      <c r="C357" s="555"/>
      <c r="D357" s="555"/>
      <c r="E357" s="555"/>
      <c r="F357" s="555"/>
      <c r="G357" s="555"/>
      <c r="H357" s="555"/>
      <c r="I357" s="555"/>
      <c r="J357" s="555"/>
      <c r="K357" s="555"/>
      <c r="L357" s="555"/>
      <c r="M357" s="555"/>
      <c r="N357" s="555"/>
      <c r="O357" s="555"/>
      <c r="P357" s="555"/>
      <c r="Q357" s="555"/>
      <c r="R357" s="555"/>
      <c r="S357" s="555"/>
      <c r="T357" s="555"/>
      <c r="U357" s="555"/>
      <c r="V357" s="555"/>
      <c r="W357" s="555"/>
      <c r="X357" s="555"/>
      <c r="Y357" s="555"/>
      <c r="Z357" s="555"/>
      <c r="AA357" s="537"/>
      <c r="AB357" s="537"/>
      <c r="AC357" s="537"/>
    </row>
    <row r="358" spans="1:68" ht="27" customHeight="1" x14ac:dyDescent="0.25">
      <c r="A358" s="54" t="s">
        <v>561</v>
      </c>
      <c r="B358" s="54" t="s">
        <v>562</v>
      </c>
      <c r="C358" s="31">
        <v>4301051903</v>
      </c>
      <c r="D358" s="548">
        <v>4607091383928</v>
      </c>
      <c r="E358" s="549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 t="s">
        <v>105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90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customHeight="1" x14ac:dyDescent="0.25">
      <c r="A359" s="54" t="s">
        <v>564</v>
      </c>
      <c r="B359" s="54" t="s">
        <v>565</v>
      </c>
      <c r="C359" s="31">
        <v>4301051897</v>
      </c>
      <c r="D359" s="548">
        <v>4607091384260</v>
      </c>
      <c r="E359" s="549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8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6"/>
      <c r="R359" s="546"/>
      <c r="S359" s="546"/>
      <c r="T359" s="547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54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x14ac:dyDescent="0.2">
      <c r="A361" s="555"/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6"/>
      <c r="P361" s="562" t="s">
        <v>71</v>
      </c>
      <c r="Q361" s="563"/>
      <c r="R361" s="563"/>
      <c r="S361" s="563"/>
      <c r="T361" s="563"/>
      <c r="U361" s="563"/>
      <c r="V361" s="564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customHeight="1" x14ac:dyDescent="0.25">
      <c r="A362" s="558" t="s">
        <v>164</v>
      </c>
      <c r="B362" s="555"/>
      <c r="C362" s="555"/>
      <c r="D362" s="555"/>
      <c r="E362" s="555"/>
      <c r="F362" s="555"/>
      <c r="G362" s="555"/>
      <c r="H362" s="555"/>
      <c r="I362" s="555"/>
      <c r="J362" s="555"/>
      <c r="K362" s="555"/>
      <c r="L362" s="555"/>
      <c r="M362" s="555"/>
      <c r="N362" s="555"/>
      <c r="O362" s="555"/>
      <c r="P362" s="555"/>
      <c r="Q362" s="555"/>
      <c r="R362" s="555"/>
      <c r="S362" s="555"/>
      <c r="T362" s="555"/>
      <c r="U362" s="555"/>
      <c r="V362" s="555"/>
      <c r="W362" s="555"/>
      <c r="X362" s="555"/>
      <c r="Y362" s="555"/>
      <c r="Z362" s="555"/>
      <c r="AA362" s="537"/>
      <c r="AB362" s="537"/>
      <c r="AC362" s="537"/>
    </row>
    <row r="363" spans="1:68" ht="16.5" customHeight="1" x14ac:dyDescent="0.25">
      <c r="A363" s="54" t="s">
        <v>567</v>
      </c>
      <c r="B363" s="54" t="s">
        <v>568</v>
      </c>
      <c r="C363" s="31">
        <v>4301060524</v>
      </c>
      <c r="D363" s="548">
        <v>4607091384673</v>
      </c>
      <c r="E363" s="549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77</v>
      </c>
      <c r="N363" s="33"/>
      <c r="O363" s="32">
        <v>40</v>
      </c>
      <c r="P363" s="86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6"/>
      <c r="R363" s="546"/>
      <c r="S363" s="546"/>
      <c r="T363" s="547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554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x14ac:dyDescent="0.2">
      <c r="A365" s="555"/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6"/>
      <c r="P365" s="562" t="s">
        <v>71</v>
      </c>
      <c r="Q365" s="563"/>
      <c r="R365" s="563"/>
      <c r="S365" s="563"/>
      <c r="T365" s="563"/>
      <c r="U365" s="563"/>
      <c r="V365" s="564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customHeight="1" x14ac:dyDescent="0.25">
      <c r="A366" s="559" t="s">
        <v>570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6"/>
      <c r="AB366" s="536"/>
      <c r="AC366" s="536"/>
    </row>
    <row r="367" spans="1:68" ht="14.25" customHeight="1" x14ac:dyDescent="0.25">
      <c r="A367" s="558" t="s">
        <v>101</v>
      </c>
      <c r="B367" s="555"/>
      <c r="C367" s="555"/>
      <c r="D367" s="555"/>
      <c r="E367" s="555"/>
      <c r="F367" s="555"/>
      <c r="G367" s="555"/>
      <c r="H367" s="555"/>
      <c r="I367" s="555"/>
      <c r="J367" s="555"/>
      <c r="K367" s="555"/>
      <c r="L367" s="555"/>
      <c r="M367" s="555"/>
      <c r="N367" s="555"/>
      <c r="O367" s="555"/>
      <c r="P367" s="555"/>
      <c r="Q367" s="555"/>
      <c r="R367" s="555"/>
      <c r="S367" s="555"/>
      <c r="T367" s="555"/>
      <c r="U367" s="555"/>
      <c r="V367" s="555"/>
      <c r="W367" s="555"/>
      <c r="X367" s="555"/>
      <c r="Y367" s="555"/>
      <c r="Z367" s="555"/>
      <c r="AA367" s="537"/>
      <c r="AB367" s="537"/>
      <c r="AC367" s="537"/>
    </row>
    <row r="368" spans="1:68" ht="37.5" customHeight="1" x14ac:dyDescent="0.25">
      <c r="A368" s="54" t="s">
        <v>571</v>
      </c>
      <c r="B368" s="54" t="s">
        <v>572</v>
      </c>
      <c r="C368" s="31">
        <v>4301011875</v>
      </c>
      <c r="D368" s="548">
        <v>4680115884885</v>
      </c>
      <c r="E368" s="549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 t="s">
        <v>105</v>
      </c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90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customHeight="1" x14ac:dyDescent="0.25">
      <c r="A369" s="54" t="s">
        <v>574</v>
      </c>
      <c r="B369" s="54" t="s">
        <v>575</v>
      </c>
      <c r="C369" s="31">
        <v>4301011871</v>
      </c>
      <c r="D369" s="548">
        <v>4680115884908</v>
      </c>
      <c r="E369" s="549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 t="s">
        <v>111</v>
      </c>
      <c r="M369" s="33" t="s">
        <v>68</v>
      </c>
      <c r="N369" s="33"/>
      <c r="O369" s="32">
        <v>60</v>
      </c>
      <c r="P369" s="81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6"/>
      <c r="R369" s="546"/>
      <c r="S369" s="546"/>
      <c r="T369" s="547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90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54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x14ac:dyDescent="0.2">
      <c r="A371" s="555"/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6"/>
      <c r="P371" s="562" t="s">
        <v>71</v>
      </c>
      <c r="Q371" s="563"/>
      <c r="R371" s="563"/>
      <c r="S371" s="563"/>
      <c r="T371" s="563"/>
      <c r="U371" s="563"/>
      <c r="V371" s="564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customHeight="1" x14ac:dyDescent="0.25">
      <c r="A372" s="558" t="s">
        <v>64</v>
      </c>
      <c r="B372" s="555"/>
      <c r="C372" s="555"/>
      <c r="D372" s="555"/>
      <c r="E372" s="555"/>
      <c r="F372" s="555"/>
      <c r="G372" s="555"/>
      <c r="H372" s="555"/>
      <c r="I372" s="555"/>
      <c r="J372" s="555"/>
      <c r="K372" s="555"/>
      <c r="L372" s="555"/>
      <c r="M372" s="555"/>
      <c r="N372" s="555"/>
      <c r="O372" s="555"/>
      <c r="P372" s="555"/>
      <c r="Q372" s="555"/>
      <c r="R372" s="555"/>
      <c r="S372" s="555"/>
      <c r="T372" s="555"/>
      <c r="U372" s="555"/>
      <c r="V372" s="555"/>
      <c r="W372" s="555"/>
      <c r="X372" s="555"/>
      <c r="Y372" s="555"/>
      <c r="Z372" s="555"/>
      <c r="AA372" s="537"/>
      <c r="AB372" s="537"/>
      <c r="AC372" s="537"/>
    </row>
    <row r="373" spans="1:68" ht="27" customHeight="1" x14ac:dyDescent="0.25">
      <c r="A373" s="54" t="s">
        <v>576</v>
      </c>
      <c r="B373" s="54" t="s">
        <v>577</v>
      </c>
      <c r="C373" s="31">
        <v>4301031303</v>
      </c>
      <c r="D373" s="548">
        <v>4607091384802</v>
      </c>
      <c r="E373" s="549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 t="s">
        <v>111</v>
      </c>
      <c r="M373" s="33" t="s">
        <v>68</v>
      </c>
      <c r="N373" s="33"/>
      <c r="O373" s="32">
        <v>35</v>
      </c>
      <c r="P373" s="866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90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customHeight="1" x14ac:dyDescent="0.25">
      <c r="A374" s="54" t="s">
        <v>576</v>
      </c>
      <c r="B374" s="54" t="s">
        <v>579</v>
      </c>
      <c r="C374" s="31">
        <v>4301031457</v>
      </c>
      <c r="D374" s="548">
        <v>4607091384802</v>
      </c>
      <c r="E374" s="549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6"/>
      <c r="R374" s="546"/>
      <c r="S374" s="546"/>
      <c r="T374" s="547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54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x14ac:dyDescent="0.2">
      <c r="A376" s="555"/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6"/>
      <c r="P376" s="562" t="s">
        <v>71</v>
      </c>
      <c r="Q376" s="563"/>
      <c r="R376" s="563"/>
      <c r="S376" s="563"/>
      <c r="T376" s="563"/>
      <c r="U376" s="563"/>
      <c r="V376" s="564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customHeight="1" x14ac:dyDescent="0.25">
      <c r="A377" s="558" t="s">
        <v>73</v>
      </c>
      <c r="B377" s="555"/>
      <c r="C377" s="555"/>
      <c r="D377" s="555"/>
      <c r="E377" s="555"/>
      <c r="F377" s="555"/>
      <c r="G377" s="555"/>
      <c r="H377" s="555"/>
      <c r="I377" s="555"/>
      <c r="J377" s="555"/>
      <c r="K377" s="555"/>
      <c r="L377" s="555"/>
      <c r="M377" s="555"/>
      <c r="N377" s="555"/>
      <c r="O377" s="555"/>
      <c r="P377" s="555"/>
      <c r="Q377" s="555"/>
      <c r="R377" s="555"/>
      <c r="S377" s="555"/>
      <c r="T377" s="555"/>
      <c r="U377" s="555"/>
      <c r="V377" s="555"/>
      <c r="W377" s="555"/>
      <c r="X377" s="555"/>
      <c r="Y377" s="555"/>
      <c r="Z377" s="555"/>
      <c r="AA377" s="537"/>
      <c r="AB377" s="537"/>
      <c r="AC377" s="537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8">
        <v>4607091384246</v>
      </c>
      <c r="E378" s="549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 t="s">
        <v>105</v>
      </c>
      <c r="M378" s="33" t="s">
        <v>77</v>
      </c>
      <c r="N378" s="33"/>
      <c r="O378" s="32">
        <v>40</v>
      </c>
      <c r="P378" s="65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583</v>
      </c>
      <c r="AG378" s="64"/>
      <c r="AJ378" s="68" t="s">
        <v>90</v>
      </c>
      <c r="AK378" s="68">
        <v>72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584</v>
      </c>
      <c r="B379" s="54" t="s">
        <v>585</v>
      </c>
      <c r="C379" s="31">
        <v>4301051660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 t="s">
        <v>88</v>
      </c>
      <c r="M379" s="33" t="s">
        <v>77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90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586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9" t="s">
        <v>587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8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588</v>
      </c>
      <c r="B385" s="54" t="s">
        <v>589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 t="s">
        <v>111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41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590</v>
      </c>
      <c r="AG385" s="64"/>
      <c r="AJ385" s="68" t="s">
        <v>90</v>
      </c>
      <c r="AK385" s="68">
        <v>64.8</v>
      </c>
      <c r="BB385" s="428" t="s">
        <v>1</v>
      </c>
      <c r="BM385" s="64">
        <f t="shared" ref="BM385:BM393" si="42">IFERROR(X385*I385/H385,"0")</f>
        <v>0</v>
      </c>
      <c r="BN385" s="64">
        <f t="shared" ref="BN385:BN393" si="43">IFERROR(Y385*I385/H385,"0")</f>
        <v>0</v>
      </c>
      <c r="BO385" s="64">
        <f t="shared" ref="BO385:BO393" si="44">IFERROR(1/J385*(X385/H385),"0")</f>
        <v>0</v>
      </c>
      <c r="BP385" s="64">
        <f t="shared" ref="BP385:BP393" si="45">IFERROR(1/J385*(Y385/H385),"0")</f>
        <v>0</v>
      </c>
    </row>
    <row r="386" spans="1:68" ht="27" customHeight="1" x14ac:dyDescent="0.25">
      <c r="A386" s="54" t="s">
        <v>591</v>
      </c>
      <c r="B386" s="54" t="s">
        <v>592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 t="s">
        <v>111</v>
      </c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 t="s">
        <v>90</v>
      </c>
      <c r="AK387" s="68">
        <v>64.8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590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599</v>
      </c>
      <c r="B389" s="54" t="s">
        <v>600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590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customHeight="1" x14ac:dyDescent="0.25">
      <c r="A390" s="54" t="s">
        <v>601</v>
      </c>
      <c r="B390" s="54" t="s">
        <v>602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603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customHeight="1" x14ac:dyDescent="0.25">
      <c r="A391" s="54" t="s">
        <v>604</v>
      </c>
      <c r="B391" s="54" t="s">
        <v>605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customHeight="1" x14ac:dyDescent="0.25">
      <c r="A393" s="54" t="s">
        <v>610</v>
      </c>
      <c r="B393" s="54" t="s">
        <v>611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606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8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612</v>
      </c>
      <c r="B397" s="54" t="s">
        <v>613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 t="s">
        <v>111</v>
      </c>
      <c r="M397" s="33" t="s">
        <v>77</v>
      </c>
      <c r="N397" s="33"/>
      <c r="O397" s="32">
        <v>45</v>
      </c>
      <c r="P397" s="6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614</v>
      </c>
      <c r="AG397" s="64"/>
      <c r="AJ397" s="68" t="s">
        <v>90</v>
      </c>
      <c r="AK397" s="68">
        <v>28.8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615</v>
      </c>
      <c r="B398" s="54" t="s">
        <v>616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 t="s">
        <v>88</v>
      </c>
      <c r="M398" s="33" t="s">
        <v>77</v>
      </c>
      <c r="N398" s="33"/>
      <c r="O398" s="32">
        <v>45</v>
      </c>
      <c r="P398" s="77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27.72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9" t="s">
        <v>618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8" t="s">
        <v>136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619</v>
      </c>
      <c r="B403" s="54" t="s">
        <v>620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621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8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622</v>
      </c>
      <c r="B407" s="54" t="s">
        <v>623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 t="s">
        <v>111</v>
      </c>
      <c r="M407" s="33" t="s">
        <v>106</v>
      </c>
      <c r="N407" s="33"/>
      <c r="O407" s="32">
        <v>50</v>
      </c>
      <c r="P407" s="6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624</v>
      </c>
      <c r="AG407" s="64"/>
      <c r="AJ407" s="68" t="s">
        <v>90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625</v>
      </c>
      <c r="B408" s="54" t="s">
        <v>626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627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630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9" t="s">
        <v>633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8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634</v>
      </c>
      <c r="B415" s="54" t="s">
        <v>635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636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637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9" t="s">
        <v>637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8" t="s">
        <v>101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638</v>
      </c>
      <c r="B421" s="54" t="s">
        <v>639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7">IFERROR(IF(X421="",0,CEILING((X421/$H421),1)*$H421),"")</f>
        <v>0</v>
      </c>
      <c r="Z421" s="36" t="str">
        <f t="shared" ref="Z421:Z426" si="48">IFERROR(IF(Y421=0,"",ROUNDUP(Y421/H421,0)*0.01196),"")</f>
        <v/>
      </c>
      <c r="AA421" s="56"/>
      <c r="AB421" s="57"/>
      <c r="AC421" s="461" t="s">
        <v>107</v>
      </c>
      <c r="AG421" s="64"/>
      <c r="AJ421" s="68" t="s">
        <v>90</v>
      </c>
      <c r="AK421" s="68">
        <v>42.24</v>
      </c>
      <c r="BB421" s="462" t="s">
        <v>1</v>
      </c>
      <c r="BM421" s="64">
        <f t="shared" ref="BM421:BM431" si="49">IFERROR(X421*I421/H421,"0")</f>
        <v>0</v>
      </c>
      <c r="BN421" s="64">
        <f t="shared" ref="BN421:BN431" si="50">IFERROR(Y421*I421/H421,"0")</f>
        <v>0</v>
      </c>
      <c r="BO421" s="64">
        <f t="shared" ref="BO421:BO431" si="51">IFERROR(1/J421*(X421/H421),"0")</f>
        <v>0</v>
      </c>
      <c r="BP421" s="64">
        <f t="shared" ref="BP421:BP431" si="52">IFERROR(1/J421*(Y421/H421),"0")</f>
        <v>0</v>
      </c>
    </row>
    <row r="422" spans="1:68" ht="27" customHeight="1" x14ac:dyDescent="0.25">
      <c r="A422" s="54" t="s">
        <v>640</v>
      </c>
      <c r="B422" s="54" t="s">
        <v>641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642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69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customHeight="1" x14ac:dyDescent="0.25">
      <c r="A425" s="54" t="s">
        <v>649</v>
      </c>
      <c r="B425" s="54" t="s">
        <v>650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customHeight="1" x14ac:dyDescent="0.25">
      <c r="A426" s="54" t="s">
        <v>652</v>
      </c>
      <c r="B426" s="54" t="s">
        <v>653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 t="s">
        <v>90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customHeight="1" x14ac:dyDescent="0.25">
      <c r="A428" s="54" t="s">
        <v>657</v>
      </c>
      <c r="B428" s="54" t="s">
        <v>658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659</v>
      </c>
      <c r="B429" s="54" t="s">
        <v>660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645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662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6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654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8" t="s">
        <v>136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666</v>
      </c>
      <c r="B435" s="54" t="s">
        <v>667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 t="s">
        <v>105</v>
      </c>
      <c r="M435" s="33" t="s">
        <v>77</v>
      </c>
      <c r="N435" s="33"/>
      <c r="O435" s="32">
        <v>70</v>
      </c>
      <c r="P435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668</v>
      </c>
      <c r="AG435" s="64"/>
      <c r="AJ435" s="68" t="s">
        <v>90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669</v>
      </c>
      <c r="B436" s="54" t="s">
        <v>670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668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671</v>
      </c>
      <c r="B437" s="54" t="s">
        <v>672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668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8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673</v>
      </c>
      <c r="B441" s="54" t="s">
        <v>674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 t="s">
        <v>105</v>
      </c>
      <c r="M441" s="33" t="s">
        <v>106</v>
      </c>
      <c r="N441" s="33"/>
      <c r="O441" s="32">
        <v>70</v>
      </c>
      <c r="P441" s="72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675</v>
      </c>
      <c r="AG441" s="64"/>
      <c r="AJ441" s="68" t="s">
        <v>90</v>
      </c>
      <c r="AK441" s="68">
        <v>42.24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676</v>
      </c>
      <c r="B442" s="54" t="s">
        <v>677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6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53"/>
        <v>0</v>
      </c>
      <c r="Z442" s="36" t="str">
        <f>IFERROR(IF(Y442=0,"",ROUNDUP(Y442/H442,0)*0.01196),"")</f>
        <v/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si="54"/>
        <v>0</v>
      </c>
      <c r="BN442" s="64">
        <f t="shared" si="55"/>
        <v>0</v>
      </c>
      <c r="BO442" s="64">
        <f t="shared" si="56"/>
        <v>0</v>
      </c>
      <c r="BP442" s="64">
        <f t="shared" si="57"/>
        <v>0</v>
      </c>
    </row>
    <row r="443" spans="1:68" ht="27" customHeight="1" x14ac:dyDescent="0.25">
      <c r="A443" s="54" t="s">
        <v>679</v>
      </c>
      <c r="B443" s="54" t="s">
        <v>680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customHeight="1" x14ac:dyDescent="0.25">
      <c r="A444" s="54" t="s">
        <v>682</v>
      </c>
      <c r="B444" s="54" t="s">
        <v>683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675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customHeight="1" x14ac:dyDescent="0.25">
      <c r="A445" s="54" t="s">
        <v>684</v>
      </c>
      <c r="B445" s="54" t="s">
        <v>685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customHeight="1" x14ac:dyDescent="0.25">
      <c r="A446" s="54" t="s">
        <v>686</v>
      </c>
      <c r="B446" s="54" t="s">
        <v>687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8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688</v>
      </c>
      <c r="B450" s="54" t="s">
        <v>689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77</v>
      </c>
      <c r="N450" s="33"/>
      <c r="O450" s="32">
        <v>45</v>
      </c>
      <c r="P450" s="68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690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691</v>
      </c>
      <c r="B451" s="54" t="s">
        <v>692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694</v>
      </c>
      <c r="B452" s="54" t="s">
        <v>695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697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9" t="s">
        <v>697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8" t="s">
        <v>101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698</v>
      </c>
      <c r="B458" s="54" t="s">
        <v>699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77</v>
      </c>
      <c r="N458" s="33"/>
      <c r="O458" s="32">
        <v>55</v>
      </c>
      <c r="P458" s="60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700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701</v>
      </c>
      <c r="B459" s="54" t="s">
        <v>702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73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 t="s">
        <v>105</v>
      </c>
      <c r="M460" s="33" t="s">
        <v>106</v>
      </c>
      <c r="N460" s="33"/>
      <c r="O460" s="32">
        <v>50</v>
      </c>
      <c r="P460" s="77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 t="s">
        <v>90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77</v>
      </c>
      <c r="N461" s="33"/>
      <c r="O461" s="32">
        <v>55</v>
      </c>
      <c r="P461" s="76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700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8" t="s">
        <v>136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709</v>
      </c>
      <c r="B465" s="54" t="s">
        <v>710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712</v>
      </c>
      <c r="B466" s="54" t="s">
        <v>713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62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8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718</v>
      </c>
      <c r="B471" s="54" t="s">
        <v>719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 t="s">
        <v>111</v>
      </c>
      <c r="M471" s="33" t="s">
        <v>68</v>
      </c>
      <c r="N471" s="33"/>
      <c r="O471" s="32">
        <v>40</v>
      </c>
      <c r="P471" s="619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720</v>
      </c>
      <c r="AG471" s="64"/>
      <c r="AJ471" s="68" t="s">
        <v>90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721</v>
      </c>
      <c r="B472" s="54" t="s">
        <v>722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4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8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724</v>
      </c>
      <c r="B476" s="54" t="s">
        <v>725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 t="s">
        <v>105</v>
      </c>
      <c r="M476" s="33" t="s">
        <v>84</v>
      </c>
      <c r="N476" s="33"/>
      <c r="O476" s="32">
        <v>45</v>
      </c>
      <c r="P476" s="61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726</v>
      </c>
      <c r="AG476" s="64"/>
      <c r="AJ476" s="68" t="s">
        <v>90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8" t="s">
        <v>164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727</v>
      </c>
      <c r="B480" s="54" t="s">
        <v>728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77</v>
      </c>
      <c r="N480" s="33"/>
      <c r="O480" s="32">
        <v>40</v>
      </c>
      <c r="P480" s="65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729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730</v>
      </c>
      <c r="B481" s="54" t="s">
        <v>731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9" t="s">
        <v>733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8" t="s">
        <v>136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734</v>
      </c>
      <c r="B486" s="54" t="s">
        <v>735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736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0"/>
      <c r="P489" s="627" t="s">
        <v>737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296+X306+X313+X319+X326+X332+X339+X351+X356+X361+X365+X371+X376+X381+X395+X400+X405+X412+X417+X433+X439+X448+X454+X463+X469+X474+X478+X483+X488,"0")</f>
        <v>18000</v>
      </c>
      <c r="Y489" s="543">
        <f>IFERROR(Y24+Y32+Y36+Y44+Y48+Y58+Y64+Y70+Y77+Y82+Y89+Y96+Y104+Y110+Y117+Y121+Y127+Y132+Y137+Y143+Y149+Y153+Y159+Y172+Y178+Y182+Y188+Y193+Y204+Y216+Y221+Y235+Y239+Y243+Y251+Y260+Y268+Y275+Y281+Y286+Y296+Y306+Y313+Y319+Y326+Y332+Y339+Y351+Y356+Y361+Y365+Y371+Y376+Y381+Y395+Y400+Y405+Y412+Y417+Y433+Y439+Y448+Y454+Y463+Y469+Y474+Y478+Y483+Y488,"0")</f>
        <v>18015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0"/>
      <c r="P490" s="627" t="s">
        <v>738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18564</v>
      </c>
      <c r="Y490" s="543">
        <f>IFERROR(SUM(BN22:BN486),"0")</f>
        <v>18579.47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0"/>
      <c r="P491" s="627" t="s">
        <v>739</v>
      </c>
      <c r="Q491" s="628"/>
      <c r="R491" s="628"/>
      <c r="S491" s="628"/>
      <c r="T491" s="628"/>
      <c r="U491" s="628"/>
      <c r="V491" s="629"/>
      <c r="W491" s="37" t="s">
        <v>740</v>
      </c>
      <c r="X491" s="38">
        <f>ROUNDUP(SUM(BO22:BO486),0)</f>
        <v>25</v>
      </c>
      <c r="Y491" s="38">
        <f>ROUNDUP(SUM(BP22:BP486),0)</f>
        <v>26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0"/>
      <c r="P492" s="627" t="s">
        <v>741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19189</v>
      </c>
      <c r="Y492" s="543">
        <f>GrossWeightTotalR+PalletQtyTotalR*25</f>
        <v>19229.47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0"/>
      <c r="P493" s="627" t="s">
        <v>742</v>
      </c>
      <c r="Q493" s="628"/>
      <c r="R493" s="628"/>
      <c r="S493" s="628"/>
      <c r="T493" s="628"/>
      <c r="U493" s="628"/>
      <c r="V493" s="629"/>
      <c r="W493" s="37" t="s">
        <v>740</v>
      </c>
      <c r="X493" s="543">
        <f>IFERROR(X23+X31+X35+X43+X47+X57+X63+X69+X76+X81+X88+X95+X103+X109+X116+X120+X126+X131+X136+X142+X148+X152+X158+X171+X177+X181+X187+X192+X203+X215+X220+X234+X238+X242+X250+X259+X267+X274+X280+X285+X295+X305+X312+X318+X325+X331+X338+X350+X355+X360+X364+X370+X375+X380+X394+X399+X404+X411+X416+X432+X438+X447+X453+X462+X468+X473+X477+X482+X487,"0")</f>
        <v>1200</v>
      </c>
      <c r="Y493" s="543">
        <f>IFERROR(Y23+Y31+Y35+Y43+Y47+Y57+Y63+Y69+Y76+Y81+Y88+Y95+Y103+Y109+Y116+Y120+Y126+Y131+Y136+Y142+Y148+Y152+Y158+Y171+Y177+Y181+Y187+Y192+Y203+Y215+Y220+Y234+Y238+Y242+Y250+Y259+Y267+Y274+Y280+Y285+Y295+Y305+Y312+Y318+Y325+Y331+Y338+Y350+Y355+Y360+Y364+Y370+Y375+Y380+Y394+Y399+Y404+Y411+Y416+Y432+Y438+Y447+Y453+Y462+Y468+Y473+Y477+Y482+Y487,"0")</f>
        <v>1201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0"/>
      <c r="P494" s="627" t="s">
        <v>743</v>
      </c>
      <c r="Q494" s="628"/>
      <c r="R494" s="628"/>
      <c r="S494" s="628"/>
      <c r="T494" s="628"/>
      <c r="U494" s="628"/>
      <c r="V494" s="629"/>
      <c r="W494" s="39" t="s">
        <v>744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295+Z305+Z312+Z318+Z325+Z331+Z338+Z350+Z355+Z360+Z364+Z370+Z375+Z380+Z394+Z399+Z404+Z411+Z416+Z432+Z438+Z447+Z453+Z462+Z468+Z473+Z477+Z482+Z487,"0")</f>
        <v>26.121749999999999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745</v>
      </c>
      <c r="B496" s="538" t="s">
        <v>63</v>
      </c>
      <c r="C496" s="592" t="s">
        <v>99</v>
      </c>
      <c r="D496" s="653"/>
      <c r="E496" s="653"/>
      <c r="F496" s="653"/>
      <c r="G496" s="653"/>
      <c r="H496" s="621"/>
      <c r="I496" s="592" t="s">
        <v>251</v>
      </c>
      <c r="J496" s="653"/>
      <c r="K496" s="653"/>
      <c r="L496" s="653"/>
      <c r="M496" s="653"/>
      <c r="N496" s="653"/>
      <c r="O496" s="653"/>
      <c r="P496" s="653"/>
      <c r="Q496" s="653"/>
      <c r="R496" s="621"/>
      <c r="S496" s="592" t="s">
        <v>535</v>
      </c>
      <c r="T496" s="621"/>
      <c r="U496" s="592" t="s">
        <v>586</v>
      </c>
      <c r="V496" s="653"/>
      <c r="W496" s="621"/>
      <c r="X496" s="538" t="s">
        <v>637</v>
      </c>
      <c r="Y496" s="592" t="s">
        <v>697</v>
      </c>
      <c r="Z496" s="621"/>
      <c r="AB496" s="52"/>
      <c r="AC496" s="52"/>
      <c r="AF496" s="539"/>
    </row>
    <row r="497" spans="1:32" ht="14.25" customHeight="1" thickTop="1" x14ac:dyDescent="0.2">
      <c r="A497" s="835" t="s">
        <v>746</v>
      </c>
      <c r="B497" s="592" t="s">
        <v>63</v>
      </c>
      <c r="C497" s="592" t="s">
        <v>100</v>
      </c>
      <c r="D497" s="592" t="s">
        <v>117</v>
      </c>
      <c r="E497" s="592" t="s">
        <v>171</v>
      </c>
      <c r="F497" s="592" t="s">
        <v>190</v>
      </c>
      <c r="G497" s="592" t="s">
        <v>220</v>
      </c>
      <c r="H497" s="592" t="s">
        <v>99</v>
      </c>
      <c r="I497" s="592" t="s">
        <v>252</v>
      </c>
      <c r="J497" s="592" t="s">
        <v>297</v>
      </c>
      <c r="K497" s="592" t="s">
        <v>356</v>
      </c>
      <c r="L497" s="592" t="s">
        <v>398</v>
      </c>
      <c r="M497" s="592" t="s">
        <v>414</v>
      </c>
      <c r="N497" s="539"/>
      <c r="O497" s="592" t="s">
        <v>425</v>
      </c>
      <c r="P497" s="592" t="s">
        <v>434</v>
      </c>
      <c r="Q497" s="592" t="s">
        <v>448</v>
      </c>
      <c r="R497" s="592" t="s">
        <v>525</v>
      </c>
      <c r="S497" s="592" t="s">
        <v>536</v>
      </c>
      <c r="T497" s="592" t="s">
        <v>570</v>
      </c>
      <c r="U497" s="592" t="s">
        <v>587</v>
      </c>
      <c r="V497" s="592" t="s">
        <v>618</v>
      </c>
      <c r="W497" s="592" t="s">
        <v>633</v>
      </c>
      <c r="X497" s="592" t="s">
        <v>637</v>
      </c>
      <c r="Y497" s="592" t="s">
        <v>697</v>
      </c>
      <c r="Z497" s="592" t="s">
        <v>733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747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0</v>
      </c>
      <c r="R499" s="46">
        <f>IFERROR(Y335*1,"0")+IFERROR(Y336*1,"0")+IFERROR(Y337*1,"0")</f>
        <v>0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18015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NjhFMacLMi0AVFjGZRa+SZP76Rb5C31Y081Tyz5obz3cCvz/gvKe/ledQpFZd3mH3Bl2MfOkdInM9gcE4LVQ2w==" saltValue="zfU5jkX3/jVTN/5R86Nu5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X17:X18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A10:C10"/>
    <mergeCell ref="P361:V361"/>
    <mergeCell ref="A413:Z413"/>
    <mergeCell ref="A217:Z217"/>
    <mergeCell ref="P218:T218"/>
    <mergeCell ref="P69:V69"/>
    <mergeCell ref="A21:Z21"/>
    <mergeCell ref="P438:V438"/>
    <mergeCell ref="A355:O356"/>
    <mergeCell ref="A194:Z194"/>
    <mergeCell ref="P296:V296"/>
    <mergeCell ref="P356:V356"/>
    <mergeCell ref="A468:O469"/>
    <mergeCell ref="P363:T363"/>
    <mergeCell ref="D344:E344"/>
    <mergeCell ref="D42:E42"/>
    <mergeCell ref="D471:E471"/>
    <mergeCell ref="V12:W12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D291:E291"/>
    <mergeCell ref="D266:E266"/>
    <mergeCell ref="P174:T174"/>
    <mergeCell ref="U17:V17"/>
    <mergeCell ref="P410:T410"/>
    <mergeCell ref="P385:T385"/>
    <mergeCell ref="Y17:Y18"/>
    <mergeCell ref="A484:Z484"/>
    <mergeCell ref="A479:Z479"/>
    <mergeCell ref="D17:E18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294:T294"/>
    <mergeCell ref="P381:V381"/>
    <mergeCell ref="A262:Z262"/>
    <mergeCell ref="A333:Z333"/>
    <mergeCell ref="D54:E54"/>
    <mergeCell ref="D271:E271"/>
    <mergeCell ref="Q497:Q498"/>
    <mergeCell ref="G497:G498"/>
    <mergeCell ref="I497:I498"/>
    <mergeCell ref="P373:T373"/>
    <mergeCell ref="P202:T202"/>
    <mergeCell ref="P444:T444"/>
    <mergeCell ref="D421:E421"/>
    <mergeCell ref="A497:A498"/>
    <mergeCell ref="D170:E170"/>
    <mergeCell ref="P132:V132"/>
    <mergeCell ref="P72:T72"/>
    <mergeCell ref="A31:O32"/>
    <mergeCell ref="N17:N18"/>
    <mergeCell ref="P199:T199"/>
    <mergeCell ref="F17:F18"/>
    <mergeCell ref="Q5:R5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36:E336"/>
    <mergeCell ref="P293:T293"/>
    <mergeCell ref="D407:E407"/>
    <mergeCell ref="A447:O448"/>
    <mergeCell ref="Q6:R6"/>
    <mergeCell ref="P200:T200"/>
    <mergeCell ref="P134:T134"/>
    <mergeCell ref="AD17:AF18"/>
    <mergeCell ref="P142:V142"/>
    <mergeCell ref="D101:E101"/>
    <mergeCell ref="P117:V117"/>
    <mergeCell ref="F5:G5"/>
    <mergeCell ref="P365:V36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P146:T146"/>
    <mergeCell ref="A192:O193"/>
    <mergeCell ref="D279:E279"/>
    <mergeCell ref="A136:O137"/>
    <mergeCell ref="I496:R49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P465:T465"/>
    <mergeCell ref="D386:E386"/>
    <mergeCell ref="P250:V250"/>
    <mergeCell ref="A364:O365"/>
    <mergeCell ref="B497:B498"/>
    <mergeCell ref="P492:V492"/>
    <mergeCell ref="A103:O104"/>
    <mergeCell ref="S496:T496"/>
    <mergeCell ref="P415:T415"/>
    <mergeCell ref="P286:V286"/>
    <mergeCell ref="P336:T336"/>
    <mergeCell ref="P131:V131"/>
    <mergeCell ref="P187:V187"/>
    <mergeCell ref="A453:O454"/>
    <mergeCell ref="P494:V494"/>
    <mergeCell ref="P430:T430"/>
    <mergeCell ref="P350:V350"/>
    <mergeCell ref="A297:Z297"/>
    <mergeCell ref="P196:T196"/>
    <mergeCell ref="P281:V281"/>
    <mergeCell ref="P354:T354"/>
    <mergeCell ref="D226:E226"/>
    <mergeCell ref="D164:E164"/>
    <mergeCell ref="U497:U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C496:H496"/>
    <mergeCell ref="P112:T112"/>
    <mergeCell ref="D294:E294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32:V32"/>
    <mergeCell ref="P474:V474"/>
    <mergeCell ref="P103:V103"/>
    <mergeCell ref="A155:Z155"/>
    <mergeCell ref="P268:V268"/>
    <mergeCell ref="Q13:R13"/>
    <mergeCell ref="P339:V339"/>
    <mergeCell ref="AB17:AB18"/>
    <mergeCell ref="A90:Z90"/>
    <mergeCell ref="D446:E446"/>
    <mergeCell ref="A277:Z277"/>
    <mergeCell ref="P44:V44"/>
    <mergeCell ref="H5:M5"/>
    <mergeCell ref="P31:V31"/>
    <mergeCell ref="P473:V473"/>
    <mergeCell ref="P158:V158"/>
    <mergeCell ref="A154:Z154"/>
    <mergeCell ref="D212:E212"/>
    <mergeCell ref="D317:E317"/>
    <mergeCell ref="A456:Z456"/>
    <mergeCell ref="A341:Z341"/>
    <mergeCell ref="P225:T225"/>
    <mergeCell ref="D146:E146"/>
    <mergeCell ref="P461:T461"/>
    <mergeCell ref="D304:E304"/>
    <mergeCell ref="D6:M6"/>
    <mergeCell ref="P175:T175"/>
    <mergeCell ref="P95:V95"/>
    <mergeCell ref="P162:T162"/>
    <mergeCell ref="P331:V331"/>
    <mergeCell ref="P460:T460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D441:E441"/>
    <mergeCell ref="P398:T398"/>
    <mergeCell ref="P227:T227"/>
    <mergeCell ref="D368:E368"/>
    <mergeCell ref="P106:T106"/>
    <mergeCell ref="D481:E481"/>
    <mergeCell ref="P226:T226"/>
    <mergeCell ref="P335:T335"/>
    <mergeCell ref="D256:E256"/>
    <mergeCell ref="D207:E207"/>
    <mergeCell ref="P164:T164"/>
    <mergeCell ref="P120:V120"/>
    <mergeCell ref="P93:T93"/>
    <mergeCell ref="D85:E85"/>
    <mergeCell ref="D299:E299"/>
    <mergeCell ref="AA17:AA18"/>
    <mergeCell ref="A377:Z377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P483:V483"/>
    <mergeCell ref="D298:E298"/>
    <mergeCell ref="P91:T91"/>
    <mergeCell ref="P404:V404"/>
    <mergeCell ref="D273:E273"/>
    <mergeCell ref="P468:V468"/>
    <mergeCell ref="A464:Z464"/>
    <mergeCell ref="A160:Z160"/>
    <mergeCell ref="P212:T212"/>
    <mergeCell ref="P405:V405"/>
    <mergeCell ref="A401:Z401"/>
    <mergeCell ref="A152:O153"/>
    <mergeCell ref="P171:V171"/>
    <mergeCell ref="P242:V242"/>
    <mergeCell ref="P121:V121"/>
    <mergeCell ref="D459:E459"/>
    <mergeCell ref="P148:V148"/>
    <mergeCell ref="P130:T130"/>
    <mergeCell ref="P190:T190"/>
    <mergeCell ref="P482:V482"/>
    <mergeCell ref="D225:E225"/>
    <mergeCell ref="P409:T409"/>
    <mergeCell ref="A399:O400"/>
    <mergeCell ref="D461:E461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P57:V57"/>
    <mergeCell ref="A81:O82"/>
    <mergeCell ref="D80:E80"/>
    <mergeCell ref="P46:T46"/>
    <mergeCell ref="P61:T61"/>
    <mergeCell ref="D200:E200"/>
    <mergeCell ref="P359:T359"/>
    <mergeCell ref="D436:E436"/>
    <mergeCell ref="A305:O306"/>
    <mergeCell ref="P346:T346"/>
    <mergeCell ref="D292:E292"/>
    <mergeCell ref="D227:E227"/>
    <mergeCell ref="P321:T321"/>
    <mergeCell ref="C497:C498"/>
    <mergeCell ref="D176:E176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221:V221"/>
    <mergeCell ref="P326:V326"/>
    <mergeCell ref="P215:V215"/>
    <mergeCell ref="P393:T393"/>
    <mergeCell ref="D374:E374"/>
    <mergeCell ref="P232:T232"/>
    <mergeCell ref="P152:V152"/>
    <mergeCell ref="P330:T330"/>
    <mergeCell ref="D140:E1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P304:T304"/>
    <mergeCell ref="A38:Z38"/>
    <mergeCell ref="A340:Z340"/>
    <mergeCell ref="D425:E425"/>
    <mergeCell ref="D359:E359"/>
    <mergeCell ref="H17:H18"/>
    <mergeCell ref="A220:O221"/>
    <mergeCell ref="P161:T161"/>
    <mergeCell ref="P388:T388"/>
    <mergeCell ref="V6:W9"/>
    <mergeCell ref="G17:G18"/>
    <mergeCell ref="P125:T125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A285:O286"/>
    <mergeCell ref="P211:T211"/>
    <mergeCell ref="P309:T309"/>
    <mergeCell ref="P324:T32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T5:U5"/>
    <mergeCell ref="D119:E119"/>
    <mergeCell ref="D190:E190"/>
    <mergeCell ref="P374:T374"/>
    <mergeCell ref="D246:E246"/>
    <mergeCell ref="D46:E46"/>
    <mergeCell ref="V5:W5"/>
    <mergeCell ref="D40:E40"/>
    <mergeCell ref="A295:O296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A139:Z139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D422:E422"/>
    <mergeCell ref="P360:V360"/>
    <mergeCell ref="D74:E74"/>
    <mergeCell ref="D130:E130"/>
    <mergeCell ref="P87:T87"/>
    <mergeCell ref="P451:T451"/>
    <mergeCell ref="D335:E335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P51:T51"/>
    <mergeCell ref="P26:T26"/>
    <mergeCell ref="P58:V58"/>
    <mergeCell ref="A13:M13"/>
    <mergeCell ref="D61:E61"/>
    <mergeCell ref="A15:M15"/>
    <mergeCell ref="P229:T229"/>
    <mergeCell ref="A133:Z133"/>
    <mergeCell ref="D125:E125"/>
    <mergeCell ref="P201:T201"/>
    <mergeCell ref="A35:O36"/>
    <mergeCell ref="D22:E22"/>
    <mergeCell ref="P34:T34"/>
    <mergeCell ref="P63:V63"/>
    <mergeCell ref="M17:M18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A69:O70"/>
    <mergeCell ref="P185:T185"/>
    <mergeCell ref="D106:E106"/>
    <mergeCell ref="P427:T427"/>
    <mergeCell ref="P283:T283"/>
    <mergeCell ref="D264:E264"/>
    <mergeCell ref="D93:E93"/>
    <mergeCell ref="D391:E391"/>
    <mergeCell ref="P370:V370"/>
    <mergeCell ref="A394:O395"/>
    <mergeCell ref="D328:E328"/>
    <mergeCell ref="D157:E157"/>
    <mergeCell ref="P136:V136"/>
    <mergeCell ref="A253:Z253"/>
    <mergeCell ref="A419:Z419"/>
    <mergeCell ref="P446:T446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O17:O18"/>
    <mergeCell ref="P102:T102"/>
    <mergeCell ref="P62:T62"/>
    <mergeCell ref="P436:T436"/>
    <mergeCell ref="P292:T292"/>
    <mergeCell ref="A360:O361"/>
    <mergeCell ref="D102:E102"/>
    <mergeCell ref="P23:V23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D403:E403"/>
    <mergeCell ref="D232:E232"/>
    <mergeCell ref="Z497:Z498"/>
    <mergeCell ref="P497:P498"/>
    <mergeCell ref="A402:Z402"/>
    <mergeCell ref="D229:E229"/>
    <mergeCell ref="R497:R498"/>
    <mergeCell ref="D108:E108"/>
    <mergeCell ref="P429:T429"/>
    <mergeCell ref="P258:T258"/>
    <mergeCell ref="D369:E369"/>
    <mergeCell ref="P423:T423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161:E161"/>
    <mergeCell ref="P238:V238"/>
    <mergeCell ref="P264:T264"/>
    <mergeCell ref="A312:O313"/>
    <mergeCell ref="P353:T353"/>
    <mergeCell ref="D169:E169"/>
    <mergeCell ref="D1:F1"/>
    <mergeCell ref="P466:T466"/>
    <mergeCell ref="A71:Z71"/>
    <mergeCell ref="P488:V488"/>
    <mergeCell ref="A307:Z307"/>
    <mergeCell ref="J17:J18"/>
    <mergeCell ref="L17:L18"/>
    <mergeCell ref="A184:Z184"/>
    <mergeCell ref="A244:Z244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A482:O483"/>
    <mergeCell ref="A416:O417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P337:T337"/>
    <mergeCell ref="D209:E209"/>
    <mergeCell ref="A282:Z282"/>
    <mergeCell ref="P188:V188"/>
    <mergeCell ref="A187:O188"/>
    <mergeCell ref="D445:E445"/>
    <mergeCell ref="D245:E245"/>
    <mergeCell ref="D301:E301"/>
    <mergeCell ref="P166:T166"/>
    <mergeCell ref="D147:E147"/>
    <mergeCell ref="D224:E224"/>
    <mergeCell ref="P230:T230"/>
    <mergeCell ref="D211:E211"/>
    <mergeCell ref="P168:T168"/>
    <mergeCell ref="P490:V490"/>
    <mergeCell ref="D329:E329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354:E354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P182:V182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449:Z449"/>
    <mergeCell ref="P325:V325"/>
    <mergeCell ref="A150:Z150"/>
    <mergeCell ref="D378:E378"/>
    <mergeCell ref="P458:T458"/>
    <mergeCell ref="P487:V487"/>
    <mergeCell ref="P476:T476"/>
    <mergeCell ref="P407:T407"/>
    <mergeCell ref="P471:T471"/>
    <mergeCell ref="X497:X498"/>
    <mergeCell ref="A475:Z475"/>
    <mergeCell ref="V10:W10"/>
    <mergeCell ref="D431:E431"/>
    <mergeCell ref="P99:T99"/>
    <mergeCell ref="P170:T170"/>
    <mergeCell ref="P316:T316"/>
    <mergeCell ref="P145:T145"/>
    <mergeCell ref="D66:E66"/>
    <mergeCell ref="P443:T443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D316:E316"/>
    <mergeCell ref="P273:T273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462:V462"/>
    <mergeCell ref="A105:Z105"/>
    <mergeCell ref="P52:T52"/>
    <mergeCell ref="I17:I18"/>
    <mergeCell ref="D72:E72"/>
    <mergeCell ref="P68:T68"/>
    <mergeCell ref="P204:V204"/>
    <mergeCell ref="P82:V82"/>
    <mergeCell ref="P303:T303"/>
    <mergeCell ref="A357:Z357"/>
    <mergeCell ref="D330:E330"/>
    <mergeCell ref="P181:V181"/>
    <mergeCell ref="A98:Z98"/>
    <mergeCell ref="A396:Z396"/>
    <mergeCell ref="D486:E486"/>
    <mergeCell ref="P86:T86"/>
    <mergeCell ref="P328:T328"/>
    <mergeCell ref="P213:T213"/>
    <mergeCell ref="P157:T157"/>
    <mergeCell ref="D134:E134"/>
    <mergeCell ref="P249:T249"/>
    <mergeCell ref="D363:E363"/>
    <mergeCell ref="R1:T1"/>
    <mergeCell ref="A158:O159"/>
    <mergeCell ref="P28:T28"/>
    <mergeCell ref="P392:T392"/>
    <mergeCell ref="P386:T386"/>
    <mergeCell ref="P165:T165"/>
    <mergeCell ref="P400:V400"/>
    <mergeCell ref="D73:E73"/>
    <mergeCell ref="P77:V77"/>
    <mergeCell ref="P30:T30"/>
    <mergeCell ref="A76:O77"/>
    <mergeCell ref="P375:V375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A65:Z65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D426:E426"/>
    <mergeCell ref="A63:O64"/>
    <mergeCell ref="P306:V306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5 X147 X161 X163:X164 X166 X168 X186 X195:X200 X202 X208:X214 X218 X227 X232 X254 X256 X258 X273 X283 X290:X291 X293:X294 X298:X299 X301:X302 X304 X308 X311 X315:X317 X324 X335:X337 X349 X358:X359 X368:X369 X373 X378:X379 X385 X387 X397:X398 X407 X421 X423:X424 X426 X435 X441:X443 X460 X471:X472 X476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748</v>
      </c>
      <c r="H1" s="52"/>
    </row>
    <row r="3" spans="2:8" x14ac:dyDescent="0.2">
      <c r="B3" s="47" t="s">
        <v>749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750</v>
      </c>
      <c r="D6" s="47" t="s">
        <v>751</v>
      </c>
      <c r="E6" s="47"/>
    </row>
    <row r="8" spans="2:8" x14ac:dyDescent="0.2">
      <c r="B8" s="47" t="s">
        <v>19</v>
      </c>
      <c r="C8" s="47" t="s">
        <v>750</v>
      </c>
      <c r="D8" s="47"/>
      <c r="E8" s="47"/>
    </row>
    <row r="10" spans="2:8" x14ac:dyDescent="0.2">
      <c r="B10" s="47" t="s">
        <v>752</v>
      </c>
      <c r="C10" s="47"/>
      <c r="D10" s="47"/>
      <c r="E10" s="47"/>
    </row>
    <row r="11" spans="2:8" x14ac:dyDescent="0.2">
      <c r="B11" s="47" t="s">
        <v>753</v>
      </c>
      <c r="C11" s="47"/>
      <c r="D11" s="47"/>
      <c r="E11" s="47"/>
    </row>
    <row r="12" spans="2:8" x14ac:dyDescent="0.2">
      <c r="B12" s="47" t="s">
        <v>754</v>
      </c>
      <c r="C12" s="47"/>
      <c r="D12" s="47"/>
      <c r="E12" s="47"/>
    </row>
    <row r="13" spans="2:8" x14ac:dyDescent="0.2">
      <c r="B13" s="47" t="s">
        <v>755</v>
      </c>
      <c r="C13" s="47"/>
      <c r="D13" s="47"/>
      <c r="E13" s="47"/>
    </row>
    <row r="14" spans="2:8" x14ac:dyDescent="0.2">
      <c r="B14" s="47" t="s">
        <v>756</v>
      </c>
      <c r="C14" s="47"/>
      <c r="D14" s="47"/>
      <c r="E14" s="47"/>
    </row>
    <row r="15" spans="2:8" x14ac:dyDescent="0.2">
      <c r="B15" s="47" t="s">
        <v>757</v>
      </c>
      <c r="C15" s="47"/>
      <c r="D15" s="47"/>
      <c r="E15" s="47"/>
    </row>
    <row r="16" spans="2:8" x14ac:dyDescent="0.2">
      <c r="B16" s="47" t="s">
        <v>758</v>
      </c>
      <c r="C16" s="47"/>
      <c r="D16" s="47"/>
      <c r="E16" s="47"/>
    </row>
    <row r="17" spans="2:5" x14ac:dyDescent="0.2">
      <c r="B17" s="47" t="s">
        <v>759</v>
      </c>
      <c r="C17" s="47"/>
      <c r="D17" s="47"/>
      <c r="E17" s="47"/>
    </row>
    <row r="18" spans="2:5" x14ac:dyDescent="0.2">
      <c r="B18" s="47" t="s">
        <v>760</v>
      </c>
      <c r="C18" s="47"/>
      <c r="D18" s="47"/>
      <c r="E18" s="47"/>
    </row>
    <row r="19" spans="2:5" x14ac:dyDescent="0.2">
      <c r="B19" s="47" t="s">
        <v>761</v>
      </c>
      <c r="C19" s="47"/>
      <c r="D19" s="47"/>
      <c r="E19" s="47"/>
    </row>
    <row r="20" spans="2:5" x14ac:dyDescent="0.2">
      <c r="B20" s="47" t="s">
        <v>762</v>
      </c>
      <c r="C20" s="47"/>
      <c r="D20" s="47"/>
      <c r="E20" s="47"/>
    </row>
  </sheetData>
  <sheetProtection algorithmName="SHA-512" hashValue="NvGA1ffhtuTHDBr1gTaPeBNals08gBHrJnT+1rugpBzaNS7JgQ5aJK5LofGyOWT3UTo00B4doQxzch74YseIEw==" saltValue="IqqHN+MglwBB/YjfUeR2v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2025-11-21T07:43:33Z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