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52CE781-0FA6-4756-9714-BBC5D59E4F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P146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Y70" i="1"/>
  <c r="Y69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Z109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3" i="1" s="1"/>
  <c r="Y150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BP329" i="1"/>
  <c r="BN329" i="1"/>
  <c r="Z329" i="1"/>
  <c r="Z331" i="1" s="1"/>
  <c r="Y331" i="1"/>
  <c r="D499" i="1"/>
  <c r="H9" i="1"/>
  <c r="Y24" i="1"/>
  <c r="Y44" i="1"/>
  <c r="Z69" i="1"/>
  <c r="BP67" i="1"/>
  <c r="BN67" i="1"/>
  <c r="Z67" i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Z149" i="1" s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BP198" i="1"/>
  <c r="BN198" i="1"/>
  <c r="Z198" i="1"/>
  <c r="BP202" i="1"/>
  <c r="BN202" i="1"/>
  <c r="Z202" i="1"/>
  <c r="BP210" i="1"/>
  <c r="BN210" i="1"/>
  <c r="Z210" i="1"/>
  <c r="Z216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Y489" i="1"/>
  <c r="Z204" i="1"/>
  <c r="Z178" i="1"/>
  <c r="Z103" i="1"/>
  <c r="Z57" i="1"/>
  <c r="Z43" i="1"/>
  <c r="Z31" i="1"/>
  <c r="Y491" i="1"/>
  <c r="Z432" i="1"/>
  <c r="Z312" i="1"/>
  <c r="Z268" i="1"/>
  <c r="Z260" i="1"/>
  <c r="Z251" i="1"/>
  <c r="Z76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<sst xmlns="http://schemas.openxmlformats.org/spreadsheetml/2006/main" count="2258" uniqueCount="767">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</sst>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64.8</v>
      </c>
      <c r="Y91" s="542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68.751999999999995</v>
      </c>
      <c r="BN91" s="64">
        <f>IFERROR(Y91*I91/H91,"0")</f>
        <v>68.751999999999995</v>
      </c>
      <c r="BO91" s="64">
        <f>IFERROR(1/J91*(X91/H91),"0")</f>
        <v>0.125</v>
      </c>
      <c r="BP91" s="64">
        <f>IFERROR(1/J91*(Y91/H91),"0")</f>
        <v>0.125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8</v>
      </c>
      <c r="Y95" s="543">
        <f>IFERROR(Y91/H91,"0")+IFERROR(Y92/H92,"0")+IFERROR(Y93/H93,"0")+IFERROR(Y94/H94,"0")</f>
        <v>8</v>
      </c>
      <c r="Z95" s="543">
        <f>IFERROR(IF(Z91="",0,Z91),"0")+IFERROR(IF(Z92="",0,Z92),"0")+IFERROR(IF(Z93="",0,Z93),"0")+IFERROR(IF(Z94="",0,Z94),"0")</f>
        <v>0.15184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64.8</v>
      </c>
      <c r="Y96" s="543">
        <f>IFERROR(SUM(Y91:Y94),"0")</f>
        <v>64.8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86.4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89.68</v>
      </c>
      <c r="BN99" s="64">
        <f>IFERROR(Y99*I99/H99,"0")</f>
        <v>89.68</v>
      </c>
      <c r="BO99" s="64">
        <f>IFERROR(1/J99*(X99/H99),"0")</f>
        <v>0.125</v>
      </c>
      <c r="BP99" s="64">
        <f>IFERROR(1/J99*(Y99/H99),"0")</f>
        <v>0.125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8</v>
      </c>
      <c r="Y103" s="543">
        <f>IFERROR(Y99/H99,"0")+IFERROR(Y100/H100,"0")+IFERROR(Y101/H101,"0")+IFERROR(Y102/H102,"0")</f>
        <v>8</v>
      </c>
      <c r="Z103" s="543">
        <f>IFERROR(IF(Z99="",0,Z99),"0")+IFERROR(IF(Z100="",0,Z100),"0")+IFERROR(IF(Z101="",0,Z101),"0")+IFERROR(IF(Z102="",0,Z102),"0")</f>
        <v>0.15184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86.4</v>
      </c>
      <c r="Y104" s="543">
        <f>IFERROR(SUM(Y99:Y102),"0")</f>
        <v>86.4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64.8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68.703999999999994</v>
      </c>
      <c r="BN112" s="64">
        <f>IFERROR(Y112*I112/H112,"0")</f>
        <v>68.703999999999994</v>
      </c>
      <c r="BO112" s="64">
        <f>IFERROR(1/J112*(X112/H112),"0")</f>
        <v>0.125</v>
      </c>
      <c r="BP112" s="64">
        <f>IFERROR(1/J112*(Y112/H112),"0")</f>
        <v>0.125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8</v>
      </c>
      <c r="Y116" s="543">
        <f>IFERROR(Y112/H112,"0")+IFERROR(Y113/H113,"0")+IFERROR(Y114/H114,"0")+IFERROR(Y115/H115,"0")</f>
        <v>8</v>
      </c>
      <c r="Z116" s="543">
        <f>IFERROR(IF(Z112="",0,Z112),"0")+IFERROR(IF(Z113="",0,Z113),"0")+IFERROR(IF(Z114="",0,Z114),"0")+IFERROR(IF(Z115="",0,Z115),"0")</f>
        <v>0.15184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64.8</v>
      </c>
      <c r="Y117" s="543">
        <f>IFERROR(SUM(Y112:Y115),"0")</f>
        <v>64.8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0</v>
      </c>
      <c r="Y216" s="543">
        <f>IFERROR(Y207/H207,"0")+IFERROR(Y208/H208,"0")+IFERROR(Y209/H209,"0")+IFERROR(Y210/H210,"0")+IFERROR(Y211/H211,"0")+IFERROR(Y212/H212,"0")+IFERROR(Y213/H213,"0")+IFERROR(Y214/H214,"0")+IFERROR(Y215/H215,"0")</f>
        <v>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0</v>
      </c>
      <c r="Y217" s="543">
        <f>IFERROR(SUM(Y207:Y215),"0")</f>
        <v>0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67.2</v>
      </c>
      <c r="Y315" s="542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71.152000000000001</v>
      </c>
      <c r="BN315" s="64">
        <f>IFERROR(Y315*I315/H315,"0")</f>
        <v>71.152000000000001</v>
      </c>
      <c r="BO315" s="64">
        <f>IFERROR(1/J315*(X315/H315),"0")</f>
        <v>0.125</v>
      </c>
      <c r="BP315" s="64">
        <f>IFERROR(1/J315*(Y315/H315),"0")</f>
        <v>0.125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62.4</v>
      </c>
      <c r="Y316" s="542">
        <f>IFERROR(IF(X316="",0,CEILING((X316/$H316),1)*$H316),"")</f>
        <v>62.4</v>
      </c>
      <c r="Z316" s="36">
        <f>IFERROR(IF(Y316=0,"",ROUNDUP(Y316/H316,0)*0.01898),"")</f>
        <v>0.15184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66.352000000000004</v>
      </c>
      <c r="BN316" s="64">
        <f>IFERROR(Y316*I316/H316,"0")</f>
        <v>66.352000000000004</v>
      </c>
      <c r="BO316" s="64">
        <f>IFERROR(1/J316*(X316/H316),"0")</f>
        <v>0.125</v>
      </c>
      <c r="BP316" s="64">
        <f>IFERROR(1/J316*(Y316/H316),"0")</f>
        <v>0.125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16</v>
      </c>
      <c r="Y318" s="543">
        <f>IFERROR(Y315/H315,"0")+IFERROR(Y316/H316,"0")+IFERROR(Y317/H317,"0")</f>
        <v>16</v>
      </c>
      <c r="Z318" s="543">
        <f>IFERROR(IF(Z315="",0,Z315),"0")+IFERROR(IF(Z316="",0,Z316),"0")+IFERROR(IF(Z317="",0,Z317),"0")</f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129.6</v>
      </c>
      <c r="Y319" s="543">
        <f>IFERROR(SUM(Y315:Y317),"0")</f>
        <v>129.6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64.8</v>
      </c>
      <c r="Y335" s="542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68.751999999999995</v>
      </c>
      <c r="BN335" s="64">
        <f>IFERROR(Y335*I335/H335,"0")</f>
        <v>68.751999999999995</v>
      </c>
      <c r="BO335" s="64">
        <f>IFERROR(1/J335*(X335/H335),"0")</f>
        <v>0.125</v>
      </c>
      <c r="BP335" s="64">
        <f>IFERROR(1/J335*(Y335/H335),"0")</f>
        <v>0.125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8</v>
      </c>
      <c r="Y338" s="543">
        <f>IFERROR(Y335/H335,"0")+IFERROR(Y336/H336,"0")+IFERROR(Y337/H337,"0")</f>
        <v>8</v>
      </c>
      <c r="Z338" s="543">
        <f>IFERROR(IF(Z335="",0,Z335),"0")+IFERROR(IF(Z336="",0,Z336),"0")+IFERROR(IF(Z337="",0,Z337),"0")</f>
        <v>0.15184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64.8</v>
      </c>
      <c r="Y339" s="543">
        <f>IFERROR(SUM(Y335:Y337),"0")</f>
        <v>64.8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</v>
      </c>
      <c r="Y344" s="542">
        <f t="shared" si="31"/>
        <v>120</v>
      </c>
      <c r="Z344" s="36">
        <f>IFERROR(IF(Y344=0,"",ROUNDUP(Y344/H344,0)*0.02175),"")</f>
        <v>0.17399999999999999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123.76</v>
      </c>
      <c r="BN344" s="64">
        <f t="shared" si="33"/>
        <v>123.76</v>
      </c>
      <c r="BO344" s="64">
        <f t="shared" si="34"/>
        <v>0.16666666666666666</v>
      </c>
      <c r="BP344" s="64">
        <f t="shared" si="35"/>
        <v>0.16666666666666666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8</v>
      </c>
      <c r="Y350" s="543">
        <f>IFERROR(Y343/H343,"0")+IFERROR(Y344/H344,"0")+IFERROR(Y345/H345,"0")+IFERROR(Y346/H346,"0")+IFERROR(Y347/H347,"0")+IFERROR(Y348/H348,"0")+IFERROR(Y349/H349,"0")</f>
        <v>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0.17399999999999999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120</v>
      </c>
      <c r="Y351" s="543">
        <f>IFERROR(SUM(Y343:Y349),"0")</f>
        <v>120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120</v>
      </c>
      <c r="Y353" s="542">
        <f>IFERROR(IF(X353="",0,CEILING((X353/$H353),1)*$H353),"")</f>
        <v>120</v>
      </c>
      <c r="Z353" s="36">
        <f>IFERROR(IF(Y353=0,"",ROUNDUP(Y353/H353,0)*0.02175),"")</f>
        <v>0.17399999999999999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123.76</v>
      </c>
      <c r="BN353" s="64">
        <f>IFERROR(Y353*I353/H353,"0")</f>
        <v>123.76</v>
      </c>
      <c r="BO353" s="64">
        <f>IFERROR(1/J353*(X353/H353),"0")</f>
        <v>0.16666666666666666</v>
      </c>
      <c r="BP353" s="64">
        <f>IFERROR(1/J353*(Y353/H353),"0")</f>
        <v>0.16666666666666666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8</v>
      </c>
      <c r="Y355" s="543">
        <f>IFERROR(Y353/H353,"0")+IFERROR(Y354/H354,"0")</f>
        <v>8</v>
      </c>
      <c r="Z355" s="543">
        <f>IFERROR(IF(Z353="",0,Z353),"0")+IFERROR(IF(Z354="",0,Z354),"0")</f>
        <v>0.17399999999999999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120</v>
      </c>
      <c r="Y356" s="543">
        <f>IFERROR(SUM(Y353:Y354),"0")</f>
        <v>120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72</v>
      </c>
      <c r="Y378" s="542">
        <f>IFERROR(IF(X378="",0,CEILING((X378/$H378),1)*$H378),"")</f>
        <v>72</v>
      </c>
      <c r="Z378" s="36">
        <f>IFERROR(IF(Y378=0,"",ROUNDUP(Y378/H378,0)*0.01898),"")</f>
        <v>0.15184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75.951999999999998</v>
      </c>
      <c r="BN378" s="64">
        <f>IFERROR(Y378*I378/H378,"0")</f>
        <v>75.951999999999998</v>
      </c>
      <c r="BO378" s="64">
        <f>IFERROR(1/J378*(X378/H378),"0")</f>
        <v>0.125</v>
      </c>
      <c r="BP378" s="64">
        <f>IFERROR(1/J378*(Y378/H378),"0")</f>
        <v>0.125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8</v>
      </c>
      <c r="Y380" s="543">
        <f>IFERROR(Y378/H378,"0")+IFERROR(Y379/H379,"0")</f>
        <v>8</v>
      </c>
      <c r="Z380" s="543">
        <f>IFERROR(IF(Z378="",0,Z378),"0")+IFERROR(IF(Z379="",0,Z379),"0")</f>
        <v>0.15184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72</v>
      </c>
      <c r="Y381" s="543">
        <f>IFERROR(SUM(Y378:Y379),"0")</f>
        <v>72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42.24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45.04</v>
      </c>
      <c r="BN423" s="64">
        <f t="shared" si="45"/>
        <v>45.04</v>
      </c>
      <c r="BO423" s="64">
        <f t="shared" si="46"/>
        <v>7.6923076923076927E-2</v>
      </c>
      <c r="BP423" s="64">
        <f t="shared" si="47"/>
        <v>7.6923076923076927E-2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84.48</v>
      </c>
      <c r="Y426" s="542">
        <f t="shared" si="42"/>
        <v>84.48</v>
      </c>
      <c r="Z426" s="36">
        <f t="shared" si="43"/>
        <v>0.19136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90.08</v>
      </c>
      <c r="BN426" s="64">
        <f t="shared" si="45"/>
        <v>90.08</v>
      </c>
      <c r="BO426" s="64">
        <f t="shared" si="46"/>
        <v>0.15384615384615385</v>
      </c>
      <c r="BP426" s="64">
        <f t="shared" si="47"/>
        <v>0.15384615384615385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0.28704000000000002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126.72</v>
      </c>
      <c r="Y433" s="543">
        <f>IFERROR(SUM(Y421:Y431),"0")</f>
        <v>126.72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42.24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45.04</v>
      </c>
      <c r="BN441" s="64">
        <f t="shared" ref="BN441:BN446" si="50">IFERROR(Y441*I441/H441,"0")</f>
        <v>45.04</v>
      </c>
      <c r="BO441" s="64">
        <f t="shared" ref="BO441:BO446" si="51">IFERROR(1/J441*(X441/H441),"0")</f>
        <v>7.6923076923076927E-2</v>
      </c>
      <c r="BP441" s="64">
        <f t="shared" ref="BP441:BP446" si="52">IFERROR(1/J441*(Y441/H441),"0")</f>
        <v>7.6923076923076927E-2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8</v>
      </c>
      <c r="Y447" s="543">
        <f>IFERROR(Y441/H441,"0")+IFERROR(Y442/H442,"0")+IFERROR(Y443/H443,"0")+IFERROR(Y444/H444,"0")+IFERROR(Y445/H445,"0")+IFERROR(Y446/H446,"0")</f>
        <v>8</v>
      </c>
      <c r="Z447" s="543">
        <f>IFERROR(IF(Z441="",0,Z441),"0")+IFERROR(IF(Z442="",0,Z442),"0")+IFERROR(IF(Z443="",0,Z443),"0")+IFERROR(IF(Z444="",0,Z444),"0")+IFERROR(IF(Z445="",0,Z445),"0")+IFERROR(IF(Z446="",0,Z446),"0")</f>
        <v>9.5680000000000001E-2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42.24</v>
      </c>
      <c r="Y448" s="543">
        <f>IFERROR(SUM(Y441:Y446),"0")</f>
        <v>42.24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891.36000000000013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891.36000000000013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937.024</v>
      </c>
      <c r="Y490" s="543">
        <f>IFERROR(SUM(BN22:BN486),"0")</f>
        <v>937.024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987.024</v>
      </c>
      <c r="Y492" s="543">
        <f>GrossWeightTotalR+PalletQtyTotalR*25</f>
        <v>987.024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104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104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1.7935999999999999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64.8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151.19999999999999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129.6</v>
      </c>
      <c r="R499" s="46">
        <f>IFERROR(Y335*1,"0")+IFERROR(Y336*1,"0")+IFERROR(Y337*1,"0")</f>
        <v>64.8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46">
        <f>IFERROR(Y368*1,"0")+IFERROR(Y369*1,"0")+IFERROR(Y373*1,"0")+IFERROR(Y374*1,"0")+IFERROR(Y378*1,"0")+IFERROR(Y379*1,"0")</f>
        <v>72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168.96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2025-11-20T05:44:32Z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