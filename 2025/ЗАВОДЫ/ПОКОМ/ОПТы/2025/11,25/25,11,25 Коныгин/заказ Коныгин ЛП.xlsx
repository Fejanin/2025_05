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ECBE79D8-5BA7-4D54-8E66-7E582BFE0D3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BP66" i="1"/>
  <c r="BO66" i="1"/>
  <c r="BN66" i="1"/>
  <c r="BM66" i="1"/>
  <c r="Z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93" i="1" s="1"/>
  <c r="Y43" i="1"/>
  <c r="Y58" i="1"/>
  <c r="BP73" i="1"/>
  <c r="BN73" i="1"/>
  <c r="Z73" i="1"/>
  <c r="Z76" i="1" s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Z109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Z142" i="1" s="1"/>
  <c r="Y143" i="1"/>
  <c r="Y148" i="1"/>
  <c r="BP145" i="1"/>
  <c r="BN145" i="1"/>
  <c r="Z145" i="1"/>
  <c r="BP164" i="1"/>
  <c r="BN164" i="1"/>
  <c r="Z164" i="1"/>
  <c r="BP167" i="1"/>
  <c r="BN167" i="1"/>
  <c r="Z167" i="1"/>
  <c r="Y171" i="1"/>
  <c r="BP175" i="1"/>
  <c r="BN175" i="1"/>
  <c r="Z175" i="1"/>
  <c r="Z177" i="1" s="1"/>
  <c r="BP196" i="1"/>
  <c r="BN196" i="1"/>
  <c r="Z196" i="1"/>
  <c r="Z203" i="1" s="1"/>
  <c r="BP200" i="1"/>
  <c r="BN200" i="1"/>
  <c r="Z200" i="1"/>
  <c r="BP208" i="1"/>
  <c r="BN208" i="1"/>
  <c r="Z208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D499" i="1"/>
  <c r="H9" i="1"/>
  <c r="B499" i="1"/>
  <c r="X490" i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Y63" i="1"/>
  <c r="Z69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BP165" i="1"/>
  <c r="BN165" i="1"/>
  <c r="Z165" i="1"/>
  <c r="Z171" i="1" s="1"/>
  <c r="BP169" i="1"/>
  <c r="BN169" i="1"/>
  <c r="Z169" i="1"/>
  <c r="Y178" i="1"/>
  <c r="Y177" i="1"/>
  <c r="BP186" i="1"/>
  <c r="BN186" i="1"/>
  <c r="Z186" i="1"/>
  <c r="Z187" i="1" s="1"/>
  <c r="Y188" i="1"/>
  <c r="Y193" i="1"/>
  <c r="BP190" i="1"/>
  <c r="BN190" i="1"/>
  <c r="Z190" i="1"/>
  <c r="Z192" i="1" s="1"/>
  <c r="Y203" i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2" i="1"/>
  <c r="BN322" i="1"/>
  <c r="Z322" i="1"/>
  <c r="Z325" i="1" s="1"/>
  <c r="Y326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Z25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2" i="1" s="1"/>
  <c r="Y312" i="1"/>
  <c r="Z318" i="1"/>
  <c r="BP316" i="1"/>
  <c r="BN316" i="1"/>
  <c r="Z316" i="1"/>
  <c r="Y325" i="1"/>
  <c r="BP324" i="1"/>
  <c r="BN324" i="1"/>
  <c r="Z324" i="1"/>
  <c r="Y331" i="1"/>
  <c r="BP328" i="1"/>
  <c r="BN328" i="1"/>
  <c r="Z328" i="1"/>
  <c r="Z331" i="1" s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M499" i="1"/>
  <c r="Y267" i="1"/>
  <c r="Y295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394" i="1"/>
  <c r="Z338" i="1"/>
  <c r="Z234" i="1"/>
  <c r="X492" i="1"/>
  <c r="Z305" i="1"/>
  <c r="Z274" i="1"/>
  <c r="Z148" i="1"/>
  <c r="Z447" i="1"/>
  <c r="Z432" i="1"/>
  <c r="Z350" i="1"/>
  <c r="Z215" i="1"/>
  <c r="Y489" i="1"/>
  <c r="Z103" i="1"/>
  <c r="Z494" i="1" s="1"/>
</calcChain>
</file>

<file path=xl/sharedStrings.xml><?xml version="1.0" encoding="utf-8"?>
<sst xmlns="http://schemas.openxmlformats.org/spreadsheetml/2006/main" count="2337" uniqueCount="763">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</sst>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7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5" xfId="0" applyBorder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613" t="s">
        <v>0</v>
      </c>
      <c r="E1" s="573"/>
      <c r="F1" s="573"/>
      <c r="G1" s="12" t="s">
        <v>1</v>
      </c>
      <c r="H1" s="613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652" t="s">
        <v>8</v>
      </c>
      <c r="B5" s="630"/>
      <c r="C5" s="631"/>
      <c r="D5" s="616"/>
      <c r="E5" s="617"/>
      <c r="F5" s="825" t="s">
        <v>9</v>
      </c>
      <c r="G5" s="631"/>
      <c r="H5" s="616"/>
      <c r="I5" s="763"/>
      <c r="J5" s="763"/>
      <c r="K5" s="763"/>
      <c r="L5" s="763"/>
      <c r="M5" s="617"/>
      <c r="N5" s="58"/>
      <c r="P5" s="24" t="s">
        <v>10</v>
      </c>
      <c r="Q5" s="838">
        <v>45988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8" customFormat="1" ht="24" customHeight="1" x14ac:dyDescent="0.2">
      <c r="A6" s="652" t="s">
        <v>13</v>
      </c>
      <c r="B6" s="630"/>
      <c r="C6" s="631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Четверг</v>
      </c>
      <c r="R6" s="549"/>
      <c r="T6" s="706" t="s">
        <v>16</v>
      </c>
      <c r="U6" s="700"/>
      <c r="V6" s="750" t="s">
        <v>17</v>
      </c>
      <c r="W6" s="585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6"/>
      <c r="U7" s="700"/>
      <c r="V7" s="751"/>
      <c r="W7" s="752"/>
      <c r="AB7" s="51"/>
      <c r="AC7" s="51"/>
      <c r="AD7" s="51"/>
      <c r="AE7" s="51"/>
    </row>
    <row r="8" spans="1:32" s="538" customFormat="1" ht="25.5" customHeight="1" x14ac:dyDescent="0.2">
      <c r="A8" s="861" t="s">
        <v>18</v>
      </c>
      <c r="B8" s="563"/>
      <c r="C8" s="564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60">
        <v>0.41666666666666669</v>
      </c>
      <c r="R8" s="599"/>
      <c r="T8" s="556"/>
      <c r="U8" s="700"/>
      <c r="V8" s="751"/>
      <c r="W8" s="752"/>
      <c r="AB8" s="51"/>
      <c r="AC8" s="51"/>
      <c r="AD8" s="51"/>
      <c r="AE8" s="51"/>
    </row>
    <row r="9" spans="1:32" s="538" customFormat="1" ht="39.950000000000003" customHeight="1" x14ac:dyDescent="0.2">
      <c r="A9" s="6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72"/>
      <c r="E9" s="561"/>
      <c r="F9" s="6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9"/>
      <c r="P9" s="26" t="s">
        <v>21</v>
      </c>
      <c r="Q9" s="648"/>
      <c r="R9" s="649"/>
      <c r="T9" s="556"/>
      <c r="U9" s="700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6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72"/>
      <c r="E10" s="561"/>
      <c r="F10" s="6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41" t="str">
        <f>IFERROR(VLOOKUP($D$10,Proxy,2,FALSE),"")</f>
        <v/>
      </c>
      <c r="I10" s="556"/>
      <c r="J10" s="556"/>
      <c r="K10" s="556"/>
      <c r="L10" s="556"/>
      <c r="M10" s="556"/>
      <c r="N10" s="537"/>
      <c r="P10" s="26" t="s">
        <v>22</v>
      </c>
      <c r="Q10" s="707"/>
      <c r="R10" s="708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90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693" t="s">
        <v>29</v>
      </c>
      <c r="B12" s="630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1"/>
      <c r="N12" s="62"/>
      <c r="P12" s="24" t="s">
        <v>30</v>
      </c>
      <c r="Q12" s="660"/>
      <c r="R12" s="599"/>
      <c r="S12" s="23"/>
      <c r="U12" s="24"/>
      <c r="V12" s="573"/>
      <c r="W12" s="556"/>
      <c r="AB12" s="51"/>
      <c r="AC12" s="51"/>
      <c r="AD12" s="51"/>
      <c r="AE12" s="51"/>
    </row>
    <row r="13" spans="1:32" s="538" customFormat="1" ht="23.25" customHeight="1" x14ac:dyDescent="0.2">
      <c r="A13" s="693" t="s">
        <v>31</v>
      </c>
      <c r="B13" s="630"/>
      <c r="C13" s="630"/>
      <c r="D13" s="630"/>
      <c r="E13" s="630"/>
      <c r="F13" s="630"/>
      <c r="G13" s="630"/>
      <c r="H13" s="630"/>
      <c r="I13" s="630"/>
      <c r="J13" s="630"/>
      <c r="K13" s="630"/>
      <c r="L13" s="630"/>
      <c r="M13" s="631"/>
      <c r="N13" s="62"/>
      <c r="O13" s="26"/>
      <c r="P13" s="26" t="s">
        <v>32</v>
      </c>
      <c r="Q13" s="790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693" t="s">
        <v>33</v>
      </c>
      <c r="B14" s="630"/>
      <c r="C14" s="630"/>
      <c r="D14" s="630"/>
      <c r="E14" s="630"/>
      <c r="F14" s="630"/>
      <c r="G14" s="630"/>
      <c r="H14" s="630"/>
      <c r="I14" s="630"/>
      <c r="J14" s="630"/>
      <c r="K14" s="630"/>
      <c r="L14" s="630"/>
      <c r="M14" s="63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721" t="s">
        <v>34</v>
      </c>
      <c r="B15" s="630"/>
      <c r="C15" s="630"/>
      <c r="D15" s="630"/>
      <c r="E15" s="630"/>
      <c r="F15" s="630"/>
      <c r="G15" s="630"/>
      <c r="H15" s="630"/>
      <c r="I15" s="630"/>
      <c r="J15" s="630"/>
      <c r="K15" s="630"/>
      <c r="L15" s="630"/>
      <c r="M15" s="631"/>
      <c r="N15" s="63"/>
      <c r="P15" s="683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6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31"/>
      <c r="W17" s="581" t="s">
        <v>52</v>
      </c>
      <c r="X17" s="581" t="s">
        <v>53</v>
      </c>
      <c r="Y17" s="857" t="s">
        <v>54</v>
      </c>
      <c r="Z17" s="761" t="s">
        <v>55</v>
      </c>
      <c r="AA17" s="742" t="s">
        <v>56</v>
      </c>
      <c r="AB17" s="742" t="s">
        <v>57</v>
      </c>
      <c r="AC17" s="742" t="s">
        <v>58</v>
      </c>
      <c r="AD17" s="742" t="s">
        <v>59</v>
      </c>
      <c r="AE17" s="820"/>
      <c r="AF17" s="821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58"/>
      <c r="Z18" s="762"/>
      <c r="AA18" s="743"/>
      <c r="AB18" s="743"/>
      <c r="AC18" s="743"/>
      <c r="AD18" s="822"/>
      <c r="AE18" s="823"/>
      <c r="AF18" s="824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9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6"/>
      <c r="AB20" s="536"/>
      <c r="AC20" s="536"/>
    </row>
    <row r="21" spans="1:68" ht="14.25" customHeight="1" x14ac:dyDescent="0.25">
      <c r="A21" s="558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5"/>
      <c r="B23" s="556"/>
      <c r="C23" s="556"/>
      <c r="D23" s="556"/>
      <c r="E23" s="556"/>
      <c r="F23" s="556"/>
      <c r="G23" s="556"/>
      <c r="H23" s="556"/>
      <c r="I23" s="556"/>
      <c r="J23" s="556"/>
      <c r="K23" s="556"/>
      <c r="L23" s="556"/>
      <c r="M23" s="556"/>
      <c r="N23" s="556"/>
      <c r="O23" s="557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6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7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556"/>
      <c r="U25" s="556"/>
      <c r="V25" s="556"/>
      <c r="W25" s="556"/>
      <c r="X25" s="556"/>
      <c r="Y25" s="556"/>
      <c r="Z25" s="556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5"/>
      <c r="B31" s="556"/>
      <c r="C31" s="556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57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6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7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6"/>
      <c r="P33" s="556"/>
      <c r="Q33" s="556"/>
      <c r="R33" s="556"/>
      <c r="S33" s="556"/>
      <c r="T33" s="556"/>
      <c r="U33" s="556"/>
      <c r="V33" s="556"/>
      <c r="W33" s="556"/>
      <c r="X33" s="556"/>
      <c r="Y33" s="556"/>
      <c r="Z33" s="556"/>
      <c r="AA33" s="535"/>
      <c r="AB33" s="535"/>
      <c r="AC33" s="535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5"/>
      <c r="B35" s="556"/>
      <c r="C35" s="556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57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6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7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99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9" t="s">
        <v>100</v>
      </c>
      <c r="B38" s="556"/>
      <c r="C38" s="556"/>
      <c r="D38" s="556"/>
      <c r="E38" s="556"/>
      <c r="F38" s="556"/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/>
      <c r="Y38" s="556"/>
      <c r="Z38" s="556"/>
      <c r="AA38" s="536"/>
      <c r="AB38" s="536"/>
      <c r="AC38" s="536"/>
    </row>
    <row r="39" spans="1:68" ht="14.25" customHeight="1" x14ac:dyDescent="0.25">
      <c r="A39" s="558" t="s">
        <v>101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5"/>
      <c r="AB39" s="535"/>
      <c r="AC39" s="53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5"/>
      <c r="B43" s="556"/>
      <c r="C43" s="556"/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57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6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7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35"/>
      <c r="AB45" s="535"/>
      <c r="AC45" s="535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8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5"/>
      <c r="B47" s="556"/>
      <c r="C47" s="556"/>
      <c r="D47" s="556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57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6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7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36"/>
      <c r="AB49" s="536"/>
      <c r="AC49" s="536"/>
    </row>
    <row r="50" spans="1:68" ht="14.25" customHeight="1" x14ac:dyDescent="0.25">
      <c r="A50" s="558" t="s">
        <v>101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5"/>
      <c r="AB50" s="535"/>
      <c r="AC50" s="535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80</v>
      </c>
      <c r="Y52" s="542">
        <f t="shared" si="0"/>
        <v>86.4</v>
      </c>
      <c r="Z52" s="36">
        <f>IFERROR(IF(Y52=0,"",ROUNDUP(Y52/H52,0)*0.01898),"")</f>
        <v>0.15184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83.037037037037038</v>
      </c>
      <c r="BN52" s="64">
        <f t="shared" si="2"/>
        <v>89.68</v>
      </c>
      <c r="BO52" s="64">
        <f t="shared" si="3"/>
        <v>0.11574074074074073</v>
      </c>
      <c r="BP52" s="64">
        <f t="shared" si="4"/>
        <v>0.125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5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5"/>
      <c r="B57" s="556"/>
      <c r="C57" s="556"/>
      <c r="D57" s="556"/>
      <c r="E57" s="556"/>
      <c r="F57" s="556"/>
      <c r="G57" s="556"/>
      <c r="H57" s="556"/>
      <c r="I57" s="556"/>
      <c r="J57" s="556"/>
      <c r="K57" s="556"/>
      <c r="L57" s="556"/>
      <c r="M57" s="556"/>
      <c r="N57" s="556"/>
      <c r="O57" s="557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7.4074074074074066</v>
      </c>
      <c r="Y57" s="543">
        <f>IFERROR(Y51/H51,"0")+IFERROR(Y52/H52,"0")+IFERROR(Y53/H53,"0")+IFERROR(Y54/H54,"0")+IFERROR(Y55/H55,"0")+IFERROR(Y56/H56,"0")</f>
        <v>8</v>
      </c>
      <c r="Z57" s="543">
        <f>IFERROR(IF(Z51="",0,Z51),"0")+IFERROR(IF(Z52="",0,Z52),"0")+IFERROR(IF(Z53="",0,Z53),"0")+IFERROR(IF(Z54="",0,Z54),"0")+IFERROR(IF(Z55="",0,Z55),"0")+IFERROR(IF(Z56="",0,Z56),"0")</f>
        <v>0.15184</v>
      </c>
      <c r="AA57" s="544"/>
      <c r="AB57" s="544"/>
      <c r="AC57" s="544"/>
    </row>
    <row r="58" spans="1:68" x14ac:dyDescent="0.2">
      <c r="A58" s="556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57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80</v>
      </c>
      <c r="Y58" s="543">
        <f>IFERROR(SUM(Y51:Y56),"0")</f>
        <v>86.4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200</v>
      </c>
      <c r="Y60" s="542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5"/>
      <c r="B63" s="556"/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556"/>
      <c r="O63" s="557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18.518518518518519</v>
      </c>
      <c r="Y63" s="543">
        <f>IFERROR(Y60/H60,"0")+IFERROR(Y61/H61,"0")+IFERROR(Y62/H62,"0")</f>
        <v>19</v>
      </c>
      <c r="Z63" s="543">
        <f>IFERROR(IF(Z60="",0,Z60),"0")+IFERROR(IF(Z61="",0,Z61),"0")+IFERROR(IF(Z62="",0,Z62),"0")</f>
        <v>0.36062</v>
      </c>
      <c r="AA63" s="544"/>
      <c r="AB63" s="544"/>
      <c r="AC63" s="544"/>
    </row>
    <row r="64" spans="1:68" x14ac:dyDescent="0.2">
      <c r="A64" s="556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7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200</v>
      </c>
      <c r="Y64" s="543">
        <f>IFERROR(SUM(Y60:Y62),"0")</f>
        <v>205.20000000000002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535"/>
      <c r="AB65" s="535"/>
      <c r="AC65" s="535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5"/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7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6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7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35"/>
      <c r="AB71" s="535"/>
      <c r="AC71" s="535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5"/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7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6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7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6"/>
      <c r="P78" s="556"/>
      <c r="Q78" s="556"/>
      <c r="R78" s="556"/>
      <c r="S78" s="556"/>
      <c r="T78" s="556"/>
      <c r="U78" s="556"/>
      <c r="V78" s="556"/>
      <c r="W78" s="556"/>
      <c r="X78" s="556"/>
      <c r="Y78" s="556"/>
      <c r="Z78" s="556"/>
      <c r="AA78" s="535"/>
      <c r="AB78" s="535"/>
      <c r="AC78" s="535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5"/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7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6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7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6"/>
      <c r="P83" s="556"/>
      <c r="Q83" s="556"/>
      <c r="R83" s="556"/>
      <c r="S83" s="556"/>
      <c r="T83" s="556"/>
      <c r="U83" s="556"/>
      <c r="V83" s="556"/>
      <c r="W83" s="556"/>
      <c r="X83" s="556"/>
      <c r="Y83" s="556"/>
      <c r="Z83" s="556"/>
      <c r="AA83" s="536"/>
      <c r="AB83" s="536"/>
      <c r="AC83" s="536"/>
    </row>
    <row r="84" spans="1:68" ht="14.25" customHeight="1" x14ac:dyDescent="0.25">
      <c r="A84" s="558" t="s">
        <v>101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35"/>
      <c r="AB84" s="535"/>
      <c r="AC84" s="535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110</v>
      </c>
      <c r="Y85" s="542">
        <f>IFERROR(IF(X85="",0,CEILING((X85/$H85),1)*$H85),"")</f>
        <v>118.80000000000001</v>
      </c>
      <c r="Z85" s="36">
        <f>IFERROR(IF(Y85=0,"",ROUNDUP(Y85/H85,0)*0.01898),"")</f>
        <v>0.20877999999999999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114.17592592592594</v>
      </c>
      <c r="BN85" s="64">
        <f>IFERROR(Y85*I85/H85,"0")</f>
        <v>123.31000000000002</v>
      </c>
      <c r="BO85" s="64">
        <f>IFERROR(1/J85*(X85/H85),"0")</f>
        <v>0.15914351851851852</v>
      </c>
      <c r="BP85" s="64">
        <f>IFERROR(1/J85*(Y85/H85),"0")</f>
        <v>0.171875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5"/>
      <c r="B88" s="556"/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57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10.185185185185185</v>
      </c>
      <c r="Y88" s="543">
        <f>IFERROR(Y85/H85,"0")+IFERROR(Y86/H86,"0")+IFERROR(Y87/H87,"0")</f>
        <v>11</v>
      </c>
      <c r="Z88" s="543">
        <f>IFERROR(IF(Z85="",0,Z85),"0")+IFERROR(IF(Z86="",0,Z86),"0")+IFERROR(IF(Z87="",0,Z87),"0")</f>
        <v>0.20877999999999999</v>
      </c>
      <c r="AA88" s="544"/>
      <c r="AB88" s="544"/>
      <c r="AC88" s="544"/>
    </row>
    <row r="89" spans="1:68" x14ac:dyDescent="0.2">
      <c r="A89" s="556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7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110</v>
      </c>
      <c r="Y89" s="543">
        <f>IFERROR(SUM(Y85:Y87),"0")</f>
        <v>118.80000000000001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6"/>
      <c r="P90" s="556"/>
      <c r="Q90" s="556"/>
      <c r="R90" s="556"/>
      <c r="S90" s="556"/>
      <c r="T90" s="556"/>
      <c r="U90" s="556"/>
      <c r="V90" s="556"/>
      <c r="W90" s="556"/>
      <c r="X90" s="556"/>
      <c r="Y90" s="556"/>
      <c r="Z90" s="556"/>
      <c r="AA90" s="535"/>
      <c r="AB90" s="535"/>
      <c r="AC90" s="53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60</v>
      </c>
      <c r="Y91" s="542">
        <f>IFERROR(IF(X91="",0,CEILING((X91/$H91),1)*$H91),"")</f>
        <v>64.8</v>
      </c>
      <c r="Z91" s="36">
        <f>IFERROR(IF(Y91=0,"",ROUNDUP(Y91/H91,0)*0.01898),"")</f>
        <v>0.15184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63.659259259259258</v>
      </c>
      <c r="BN91" s="64">
        <f>IFERROR(Y91*I91/H91,"0")</f>
        <v>68.751999999999995</v>
      </c>
      <c r="BO91" s="64">
        <f>IFERROR(1/J91*(X91/H91),"0")</f>
        <v>0.11574074074074074</v>
      </c>
      <c r="BP91" s="64">
        <f>IFERROR(1/J91*(Y91/H91),"0")</f>
        <v>0.125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5"/>
      <c r="B95" s="556"/>
      <c r="C95" s="556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57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7.4074074074074074</v>
      </c>
      <c r="Y95" s="543">
        <f>IFERROR(Y91/H91,"0")+IFERROR(Y92/H92,"0")+IFERROR(Y93/H93,"0")+IFERROR(Y94/H94,"0")</f>
        <v>8</v>
      </c>
      <c r="Z95" s="543">
        <f>IFERROR(IF(Z91="",0,Z91),"0")+IFERROR(IF(Z92="",0,Z92),"0")+IFERROR(IF(Z93="",0,Z93),"0")+IFERROR(IF(Z94="",0,Z94),"0")</f>
        <v>0.15184</v>
      </c>
      <c r="AA95" s="544"/>
      <c r="AB95" s="544"/>
      <c r="AC95" s="544"/>
    </row>
    <row r="96" spans="1:68" x14ac:dyDescent="0.2">
      <c r="A96" s="556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7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60</v>
      </c>
      <c r="Y96" s="543">
        <f>IFERROR(SUM(Y91:Y94),"0")</f>
        <v>64.8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6"/>
      <c r="P97" s="556"/>
      <c r="Q97" s="556"/>
      <c r="R97" s="556"/>
      <c r="S97" s="556"/>
      <c r="T97" s="556"/>
      <c r="U97" s="556"/>
      <c r="V97" s="556"/>
      <c r="W97" s="556"/>
      <c r="X97" s="556"/>
      <c r="Y97" s="556"/>
      <c r="Z97" s="556"/>
      <c r="AA97" s="536"/>
      <c r="AB97" s="536"/>
      <c r="AC97" s="536"/>
    </row>
    <row r="98" spans="1:68" ht="14.25" customHeight="1" x14ac:dyDescent="0.25">
      <c r="A98" s="558" t="s">
        <v>101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5"/>
      <c r="B103" s="556"/>
      <c r="C103" s="556"/>
      <c r="D103" s="556"/>
      <c r="E103" s="556"/>
      <c r="F103" s="556"/>
      <c r="G103" s="556"/>
      <c r="H103" s="556"/>
      <c r="I103" s="556"/>
      <c r="J103" s="556"/>
      <c r="K103" s="556"/>
      <c r="L103" s="556"/>
      <c r="M103" s="556"/>
      <c r="N103" s="556"/>
      <c r="O103" s="557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6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57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6"/>
      <c r="P105" s="556"/>
      <c r="Q105" s="556"/>
      <c r="R105" s="556"/>
      <c r="S105" s="556"/>
      <c r="T105" s="556"/>
      <c r="U105" s="556"/>
      <c r="V105" s="556"/>
      <c r="W105" s="556"/>
      <c r="X105" s="556"/>
      <c r="Y105" s="556"/>
      <c r="Z105" s="556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5"/>
      <c r="B109" s="556"/>
      <c r="C109" s="556"/>
      <c r="D109" s="556"/>
      <c r="E109" s="556"/>
      <c r="F109" s="556"/>
      <c r="G109" s="556"/>
      <c r="H109" s="556"/>
      <c r="I109" s="556"/>
      <c r="J109" s="556"/>
      <c r="K109" s="556"/>
      <c r="L109" s="556"/>
      <c r="M109" s="556"/>
      <c r="N109" s="556"/>
      <c r="O109" s="557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6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57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56"/>
      <c r="P111" s="556"/>
      <c r="Q111" s="556"/>
      <c r="R111" s="556"/>
      <c r="S111" s="556"/>
      <c r="T111" s="556"/>
      <c r="U111" s="556"/>
      <c r="V111" s="556"/>
      <c r="W111" s="556"/>
      <c r="X111" s="556"/>
      <c r="Y111" s="556"/>
      <c r="Z111" s="556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100</v>
      </c>
      <c r="Y112" s="542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106.0246913580247</v>
      </c>
      <c r="BN112" s="64">
        <f>IFERROR(Y112*I112/H112,"0")</f>
        <v>111.64399999999999</v>
      </c>
      <c r="BO112" s="64">
        <f>IFERROR(1/J112*(X112/H112),"0")</f>
        <v>0.19290123456790123</v>
      </c>
      <c r="BP112" s="64">
        <f>IFERROR(1/J112*(Y112/H112),"0")</f>
        <v>0.203125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5"/>
      <c r="B116" s="556"/>
      <c r="C116" s="556"/>
      <c r="D116" s="556"/>
      <c r="E116" s="556"/>
      <c r="F116" s="556"/>
      <c r="G116" s="556"/>
      <c r="H116" s="556"/>
      <c r="I116" s="556"/>
      <c r="J116" s="556"/>
      <c r="K116" s="556"/>
      <c r="L116" s="556"/>
      <c r="M116" s="556"/>
      <c r="N116" s="556"/>
      <c r="O116" s="557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12.345679012345679</v>
      </c>
      <c r="Y116" s="543">
        <f>IFERROR(Y112/H112,"0")+IFERROR(Y113/H113,"0")+IFERROR(Y114/H114,"0")+IFERROR(Y115/H115,"0")</f>
        <v>13</v>
      </c>
      <c r="Z116" s="543">
        <f>IFERROR(IF(Z112="",0,Z112),"0")+IFERROR(IF(Z113="",0,Z113),"0")+IFERROR(IF(Z114="",0,Z114),"0")+IFERROR(IF(Z115="",0,Z115),"0")</f>
        <v>0.24674000000000001</v>
      </c>
      <c r="AA116" s="544"/>
      <c r="AB116" s="544"/>
      <c r="AC116" s="544"/>
    </row>
    <row r="117" spans="1:68" x14ac:dyDescent="0.2">
      <c r="A117" s="556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57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100</v>
      </c>
      <c r="Y117" s="543">
        <f>IFERROR(SUM(Y112:Y115),"0")</f>
        <v>105.3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56"/>
      <c r="P118" s="556"/>
      <c r="Q118" s="556"/>
      <c r="R118" s="556"/>
      <c r="S118" s="556"/>
      <c r="T118" s="556"/>
      <c r="U118" s="556"/>
      <c r="V118" s="556"/>
      <c r="W118" s="556"/>
      <c r="X118" s="556"/>
      <c r="Y118" s="556"/>
      <c r="Z118" s="556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5"/>
      <c r="B120" s="556"/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556"/>
      <c r="O120" s="557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6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57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56"/>
      <c r="P122" s="556"/>
      <c r="Q122" s="556"/>
      <c r="R122" s="556"/>
      <c r="S122" s="556"/>
      <c r="T122" s="556"/>
      <c r="U122" s="556"/>
      <c r="V122" s="556"/>
      <c r="W122" s="556"/>
      <c r="X122" s="556"/>
      <c r="Y122" s="556"/>
      <c r="Z122" s="556"/>
      <c r="AA122" s="536"/>
      <c r="AB122" s="536"/>
      <c r="AC122" s="536"/>
    </row>
    <row r="123" spans="1:68" ht="14.25" customHeight="1" x14ac:dyDescent="0.25">
      <c r="A123" s="558" t="s">
        <v>101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5"/>
      <c r="B126" s="556"/>
      <c r="C126" s="556"/>
      <c r="D126" s="556"/>
      <c r="E126" s="556"/>
      <c r="F126" s="556"/>
      <c r="G126" s="556"/>
      <c r="H126" s="556"/>
      <c r="I126" s="556"/>
      <c r="J126" s="556"/>
      <c r="K126" s="556"/>
      <c r="L126" s="556"/>
      <c r="M126" s="556"/>
      <c r="N126" s="556"/>
      <c r="O126" s="557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6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7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56"/>
      <c r="P128" s="556"/>
      <c r="Q128" s="556"/>
      <c r="R128" s="556"/>
      <c r="S128" s="556"/>
      <c r="T128" s="556"/>
      <c r="U128" s="556"/>
      <c r="V128" s="556"/>
      <c r="W128" s="556"/>
      <c r="X128" s="556"/>
      <c r="Y128" s="556"/>
      <c r="Z128" s="556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5"/>
      <c r="B131" s="556"/>
      <c r="C131" s="556"/>
      <c r="D131" s="556"/>
      <c r="E131" s="556"/>
      <c r="F131" s="556"/>
      <c r="G131" s="556"/>
      <c r="H131" s="556"/>
      <c r="I131" s="556"/>
      <c r="J131" s="556"/>
      <c r="K131" s="556"/>
      <c r="L131" s="556"/>
      <c r="M131" s="556"/>
      <c r="N131" s="556"/>
      <c r="O131" s="557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6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57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56"/>
      <c r="P133" s="556"/>
      <c r="Q133" s="556"/>
      <c r="R133" s="556"/>
      <c r="S133" s="556"/>
      <c r="T133" s="556"/>
      <c r="U133" s="556"/>
      <c r="V133" s="556"/>
      <c r="W133" s="556"/>
      <c r="X133" s="556"/>
      <c r="Y133" s="556"/>
      <c r="Z133" s="556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5"/>
      <c r="B136" s="556"/>
      <c r="C136" s="556"/>
      <c r="D136" s="556"/>
      <c r="E136" s="556"/>
      <c r="F136" s="556"/>
      <c r="G136" s="556"/>
      <c r="H136" s="556"/>
      <c r="I136" s="556"/>
      <c r="J136" s="556"/>
      <c r="K136" s="556"/>
      <c r="L136" s="556"/>
      <c r="M136" s="556"/>
      <c r="N136" s="556"/>
      <c r="O136" s="557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6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57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56"/>
      <c r="P138" s="556"/>
      <c r="Q138" s="556"/>
      <c r="R138" s="556"/>
      <c r="S138" s="556"/>
      <c r="T138" s="556"/>
      <c r="U138" s="556"/>
      <c r="V138" s="556"/>
      <c r="W138" s="556"/>
      <c r="X138" s="556"/>
      <c r="Y138" s="556"/>
      <c r="Z138" s="556"/>
      <c r="AA138" s="536"/>
      <c r="AB138" s="536"/>
      <c r="AC138" s="536"/>
    </row>
    <row r="139" spans="1:68" ht="14.25" customHeight="1" x14ac:dyDescent="0.25">
      <c r="A139" s="558" t="s">
        <v>101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5"/>
      <c r="B142" s="556"/>
      <c r="C142" s="556"/>
      <c r="D142" s="556"/>
      <c r="E142" s="556"/>
      <c r="F142" s="556"/>
      <c r="G142" s="556"/>
      <c r="H142" s="556"/>
      <c r="I142" s="556"/>
      <c r="J142" s="556"/>
      <c r="K142" s="556"/>
      <c r="L142" s="556"/>
      <c r="M142" s="556"/>
      <c r="N142" s="556"/>
      <c r="O142" s="557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6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57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8" t="s">
        <v>64</v>
      </c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56"/>
      <c r="P144" s="556"/>
      <c r="Q144" s="556"/>
      <c r="R144" s="556"/>
      <c r="S144" s="556"/>
      <c r="T144" s="556"/>
      <c r="U144" s="556"/>
      <c r="V144" s="556"/>
      <c r="W144" s="556"/>
      <c r="X144" s="556"/>
      <c r="Y144" s="556"/>
      <c r="Z144" s="556"/>
      <c r="AA144" s="535"/>
      <c r="AB144" s="535"/>
      <c r="AC144" s="535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5"/>
      <c r="B148" s="556"/>
      <c r="C148" s="556"/>
      <c r="D148" s="556"/>
      <c r="E148" s="556"/>
      <c r="F148" s="556"/>
      <c r="G148" s="556"/>
      <c r="H148" s="556"/>
      <c r="I148" s="556"/>
      <c r="J148" s="556"/>
      <c r="K148" s="556"/>
      <c r="L148" s="556"/>
      <c r="M148" s="556"/>
      <c r="N148" s="556"/>
      <c r="O148" s="557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6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57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8" t="s">
        <v>73</v>
      </c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56"/>
      <c r="P150" s="556"/>
      <c r="Q150" s="556"/>
      <c r="R150" s="556"/>
      <c r="S150" s="556"/>
      <c r="T150" s="556"/>
      <c r="U150" s="556"/>
      <c r="V150" s="556"/>
      <c r="W150" s="556"/>
      <c r="X150" s="556"/>
      <c r="Y150" s="556"/>
      <c r="Z150" s="556"/>
      <c r="AA150" s="535"/>
      <c r="AB150" s="535"/>
      <c r="AC150" s="535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">
        <v>249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5"/>
      <c r="B152" s="556"/>
      <c r="C152" s="556"/>
      <c r="D152" s="556"/>
      <c r="E152" s="556"/>
      <c r="F152" s="556"/>
      <c r="G152" s="556"/>
      <c r="H152" s="556"/>
      <c r="I152" s="556"/>
      <c r="J152" s="556"/>
      <c r="K152" s="556"/>
      <c r="L152" s="556"/>
      <c r="M152" s="556"/>
      <c r="N152" s="556"/>
      <c r="O152" s="557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6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7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251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9" t="s">
        <v>252</v>
      </c>
      <c r="B155" s="556"/>
      <c r="C155" s="556"/>
      <c r="D155" s="556"/>
      <c r="E155" s="556"/>
      <c r="F155" s="556"/>
      <c r="G155" s="556"/>
      <c r="H155" s="556"/>
      <c r="I155" s="556"/>
      <c r="J155" s="556"/>
      <c r="K155" s="556"/>
      <c r="L155" s="556"/>
      <c r="M155" s="556"/>
      <c r="N155" s="556"/>
      <c r="O155" s="556"/>
      <c r="P155" s="556"/>
      <c r="Q155" s="556"/>
      <c r="R155" s="556"/>
      <c r="S155" s="556"/>
      <c r="T155" s="556"/>
      <c r="U155" s="556"/>
      <c r="V155" s="556"/>
      <c r="W155" s="556"/>
      <c r="X155" s="556"/>
      <c r="Y155" s="556"/>
      <c r="Z155" s="556"/>
      <c r="AA155" s="536"/>
      <c r="AB155" s="536"/>
      <c r="AC155" s="536"/>
    </row>
    <row r="156" spans="1:68" ht="14.25" customHeight="1" x14ac:dyDescent="0.25">
      <c r="A156" s="558" t="s">
        <v>136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35"/>
      <c r="AB156" s="535"/>
      <c r="AC156" s="535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5"/>
      <c r="B158" s="556"/>
      <c r="C158" s="556"/>
      <c r="D158" s="556"/>
      <c r="E158" s="556"/>
      <c r="F158" s="556"/>
      <c r="G158" s="556"/>
      <c r="H158" s="556"/>
      <c r="I158" s="556"/>
      <c r="J158" s="556"/>
      <c r="K158" s="556"/>
      <c r="L158" s="556"/>
      <c r="M158" s="556"/>
      <c r="N158" s="556"/>
      <c r="O158" s="557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6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7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8" t="s">
        <v>64</v>
      </c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56"/>
      <c r="P160" s="556"/>
      <c r="Q160" s="556"/>
      <c r="R160" s="556"/>
      <c r="S160" s="556"/>
      <c r="T160" s="556"/>
      <c r="U160" s="556"/>
      <c r="V160" s="556"/>
      <c r="W160" s="556"/>
      <c r="X160" s="556"/>
      <c r="Y160" s="556"/>
      <c r="Z160" s="556"/>
      <c r="AA160" s="535"/>
      <c r="AB160" s="535"/>
      <c r="AC160" s="535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270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5"/>
      <c r="B171" s="556"/>
      <c r="C171" s="556"/>
      <c r="D171" s="556"/>
      <c r="E171" s="556"/>
      <c r="F171" s="556"/>
      <c r="G171" s="556"/>
      <c r="H171" s="556"/>
      <c r="I171" s="556"/>
      <c r="J171" s="556"/>
      <c r="K171" s="556"/>
      <c r="L171" s="556"/>
      <c r="M171" s="556"/>
      <c r="N171" s="556"/>
      <c r="O171" s="557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56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57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56"/>
      <c r="P173" s="556"/>
      <c r="Q173" s="556"/>
      <c r="R173" s="556"/>
      <c r="S173" s="556"/>
      <c r="T173" s="556"/>
      <c r="U173" s="556"/>
      <c r="V173" s="556"/>
      <c r="W173" s="556"/>
      <c r="X173" s="556"/>
      <c r="Y173" s="556"/>
      <c r="Z173" s="556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5"/>
      <c r="B177" s="556"/>
      <c r="C177" s="556"/>
      <c r="D177" s="556"/>
      <c r="E177" s="556"/>
      <c r="F177" s="556"/>
      <c r="G177" s="556"/>
      <c r="H177" s="556"/>
      <c r="I177" s="556"/>
      <c r="J177" s="556"/>
      <c r="K177" s="556"/>
      <c r="L177" s="556"/>
      <c r="M177" s="556"/>
      <c r="N177" s="556"/>
      <c r="O177" s="557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6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57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6"/>
      <c r="P179" s="556"/>
      <c r="Q179" s="556"/>
      <c r="R179" s="556"/>
      <c r="S179" s="556"/>
      <c r="T179" s="556"/>
      <c r="U179" s="556"/>
      <c r="V179" s="556"/>
      <c r="W179" s="556"/>
      <c r="X179" s="556"/>
      <c r="Y179" s="556"/>
      <c r="Z179" s="556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5"/>
      <c r="B181" s="556"/>
      <c r="C181" s="556"/>
      <c r="D181" s="556"/>
      <c r="E181" s="556"/>
      <c r="F181" s="556"/>
      <c r="G181" s="556"/>
      <c r="H181" s="556"/>
      <c r="I181" s="556"/>
      <c r="J181" s="556"/>
      <c r="K181" s="556"/>
      <c r="L181" s="556"/>
      <c r="M181" s="556"/>
      <c r="N181" s="556"/>
      <c r="O181" s="557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6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57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56"/>
      <c r="P183" s="556"/>
      <c r="Q183" s="556"/>
      <c r="R183" s="556"/>
      <c r="S183" s="556"/>
      <c r="T183" s="556"/>
      <c r="U183" s="556"/>
      <c r="V183" s="556"/>
      <c r="W183" s="556"/>
      <c r="X183" s="556"/>
      <c r="Y183" s="556"/>
      <c r="Z183" s="556"/>
      <c r="AA183" s="536"/>
      <c r="AB183" s="536"/>
      <c r="AC183" s="536"/>
    </row>
    <row r="184" spans="1:68" ht="14.25" customHeight="1" x14ac:dyDescent="0.25">
      <c r="A184" s="558" t="s">
        <v>101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5"/>
      <c r="B187" s="556"/>
      <c r="C187" s="556"/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57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6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57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6"/>
      <c r="P189" s="556"/>
      <c r="Q189" s="556"/>
      <c r="R189" s="556"/>
      <c r="S189" s="556"/>
      <c r="T189" s="556"/>
      <c r="U189" s="556"/>
      <c r="V189" s="556"/>
      <c r="W189" s="556"/>
      <c r="X189" s="556"/>
      <c r="Y189" s="556"/>
      <c r="Z189" s="556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5"/>
      <c r="B192" s="556"/>
      <c r="C192" s="556"/>
      <c r="D192" s="556"/>
      <c r="E192" s="556"/>
      <c r="F192" s="556"/>
      <c r="G192" s="556"/>
      <c r="H192" s="556"/>
      <c r="I192" s="556"/>
      <c r="J192" s="556"/>
      <c r="K192" s="556"/>
      <c r="L192" s="556"/>
      <c r="M192" s="556"/>
      <c r="N192" s="556"/>
      <c r="O192" s="557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6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57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56"/>
      <c r="P194" s="556"/>
      <c r="Q194" s="556"/>
      <c r="R194" s="556"/>
      <c r="S194" s="556"/>
      <c r="T194" s="556"/>
      <c r="U194" s="556"/>
      <c r="V194" s="556"/>
      <c r="W194" s="556"/>
      <c r="X194" s="556"/>
      <c r="Y194" s="556"/>
      <c r="Z194" s="556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3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6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5"/>
      <c r="B203" s="556"/>
      <c r="C203" s="556"/>
      <c r="D203" s="556"/>
      <c r="E203" s="556"/>
      <c r="F203" s="556"/>
      <c r="G203" s="556"/>
      <c r="H203" s="556"/>
      <c r="I203" s="556"/>
      <c r="J203" s="556"/>
      <c r="K203" s="556"/>
      <c r="L203" s="556"/>
      <c r="M203" s="556"/>
      <c r="N203" s="556"/>
      <c r="O203" s="557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x14ac:dyDescent="0.2">
      <c r="A204" s="556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57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56"/>
      <c r="P205" s="556"/>
      <c r="Q205" s="556"/>
      <c r="R205" s="556"/>
      <c r="S205" s="556"/>
      <c r="T205" s="556"/>
      <c r="U205" s="556"/>
      <c r="V205" s="556"/>
      <c r="W205" s="556"/>
      <c r="X205" s="556"/>
      <c r="Y205" s="556"/>
      <c r="Z205" s="556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5"/>
      <c r="B215" s="556"/>
      <c r="C215" s="556"/>
      <c r="D215" s="556"/>
      <c r="E215" s="556"/>
      <c r="F215" s="556"/>
      <c r="G215" s="556"/>
      <c r="H215" s="556"/>
      <c r="I215" s="556"/>
      <c r="J215" s="556"/>
      <c r="K215" s="556"/>
      <c r="L215" s="556"/>
      <c r="M215" s="556"/>
      <c r="N215" s="556"/>
      <c r="O215" s="557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x14ac:dyDescent="0.2">
      <c r="A216" s="556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57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56"/>
      <c r="P217" s="556"/>
      <c r="Q217" s="556"/>
      <c r="R217" s="556"/>
      <c r="S217" s="556"/>
      <c r="T217" s="556"/>
      <c r="U217" s="556"/>
      <c r="V217" s="556"/>
      <c r="W217" s="556"/>
      <c r="X217" s="556"/>
      <c r="Y217" s="556"/>
      <c r="Z217" s="556"/>
      <c r="AA217" s="535"/>
      <c r="AB217" s="535"/>
      <c r="AC217" s="535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5"/>
      <c r="B220" s="556"/>
      <c r="C220" s="556"/>
      <c r="D220" s="556"/>
      <c r="E220" s="556"/>
      <c r="F220" s="556"/>
      <c r="G220" s="556"/>
      <c r="H220" s="556"/>
      <c r="I220" s="556"/>
      <c r="J220" s="556"/>
      <c r="K220" s="556"/>
      <c r="L220" s="556"/>
      <c r="M220" s="556"/>
      <c r="N220" s="556"/>
      <c r="O220" s="557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6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57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9" t="s">
        <v>356</v>
      </c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56"/>
      <c r="P222" s="556"/>
      <c r="Q222" s="556"/>
      <c r="R222" s="556"/>
      <c r="S222" s="556"/>
      <c r="T222" s="556"/>
      <c r="U222" s="556"/>
      <c r="V222" s="556"/>
      <c r="W222" s="556"/>
      <c r="X222" s="556"/>
      <c r="Y222" s="556"/>
      <c r="Z222" s="556"/>
      <c r="AA222" s="536"/>
      <c r="AB222" s="536"/>
      <c r="AC222" s="536"/>
    </row>
    <row r="223" spans="1:68" ht="14.25" customHeight="1" x14ac:dyDescent="0.25">
      <c r="A223" s="558" t="s">
        <v>101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35"/>
      <c r="AB223" s="535"/>
      <c r="AC223" s="535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5"/>
      <c r="B234" s="556"/>
      <c r="C234" s="556"/>
      <c r="D234" s="556"/>
      <c r="E234" s="556"/>
      <c r="F234" s="556"/>
      <c r="G234" s="556"/>
      <c r="H234" s="556"/>
      <c r="I234" s="556"/>
      <c r="J234" s="556"/>
      <c r="K234" s="556"/>
      <c r="L234" s="556"/>
      <c r="M234" s="556"/>
      <c r="N234" s="556"/>
      <c r="O234" s="557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6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57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56"/>
      <c r="P236" s="556"/>
      <c r="Q236" s="556"/>
      <c r="R236" s="556"/>
      <c r="S236" s="556"/>
      <c r="T236" s="556"/>
      <c r="U236" s="556"/>
      <c r="V236" s="556"/>
      <c r="W236" s="556"/>
      <c r="X236" s="556"/>
      <c r="Y236" s="556"/>
      <c r="Z236" s="556"/>
      <c r="AA236" s="535"/>
      <c r="AB236" s="535"/>
      <c r="AC236" s="535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5"/>
      <c r="B238" s="556"/>
      <c r="C238" s="556"/>
      <c r="D238" s="556"/>
      <c r="E238" s="556"/>
      <c r="F238" s="556"/>
      <c r="G238" s="556"/>
      <c r="H238" s="556"/>
      <c r="I238" s="556"/>
      <c r="J238" s="556"/>
      <c r="K238" s="556"/>
      <c r="L238" s="556"/>
      <c r="M238" s="556"/>
      <c r="N238" s="556"/>
      <c r="O238" s="557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6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57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382</v>
      </c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56"/>
      <c r="P240" s="556"/>
      <c r="Q240" s="556"/>
      <c r="R240" s="556"/>
      <c r="S240" s="556"/>
      <c r="T240" s="556"/>
      <c r="U240" s="556"/>
      <c r="V240" s="556"/>
      <c r="W240" s="556"/>
      <c r="X240" s="556"/>
      <c r="Y240" s="556"/>
      <c r="Z240" s="556"/>
      <c r="AA240" s="535"/>
      <c r="AB240" s="535"/>
      <c r="AC240" s="535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5"/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7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6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57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8" t="s">
        <v>386</v>
      </c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56"/>
      <c r="P244" s="556"/>
      <c r="Q244" s="556"/>
      <c r="R244" s="556"/>
      <c r="S244" s="556"/>
      <c r="T244" s="556"/>
      <c r="U244" s="556"/>
      <c r="V244" s="556"/>
      <c r="W244" s="556"/>
      <c r="X244" s="556"/>
      <c r="Y244" s="556"/>
      <c r="Z244" s="556"/>
      <c r="AA244" s="535"/>
      <c r="AB244" s="535"/>
      <c r="AC244" s="535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5"/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7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6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57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9" t="s">
        <v>398</v>
      </c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56"/>
      <c r="P252" s="556"/>
      <c r="Q252" s="556"/>
      <c r="R252" s="556"/>
      <c r="S252" s="556"/>
      <c r="T252" s="556"/>
      <c r="U252" s="556"/>
      <c r="V252" s="556"/>
      <c r="W252" s="556"/>
      <c r="X252" s="556"/>
      <c r="Y252" s="556"/>
      <c r="Z252" s="556"/>
      <c r="AA252" s="536"/>
      <c r="AB252" s="536"/>
      <c r="AC252" s="536"/>
    </row>
    <row r="253" spans="1:68" ht="14.25" customHeight="1" x14ac:dyDescent="0.25">
      <c r="A253" s="558" t="s">
        <v>101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35"/>
      <c r="AB253" s="535"/>
      <c r="AC253" s="535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2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5"/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7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6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7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9" t="s">
        <v>414</v>
      </c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56"/>
      <c r="P261" s="556"/>
      <c r="Q261" s="556"/>
      <c r="R261" s="556"/>
      <c r="S261" s="556"/>
      <c r="T261" s="556"/>
      <c r="U261" s="556"/>
      <c r="V261" s="556"/>
      <c r="W261" s="556"/>
      <c r="X261" s="556"/>
      <c r="Y261" s="556"/>
      <c r="Z261" s="556"/>
      <c r="AA261" s="536"/>
      <c r="AB261" s="536"/>
      <c r="AC261" s="536"/>
    </row>
    <row r="262" spans="1:68" ht="14.25" customHeight="1" x14ac:dyDescent="0.25">
      <c r="A262" s="558" t="s">
        <v>101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35"/>
      <c r="AB262" s="535"/>
      <c r="AC262" s="535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5"/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7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6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7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425</v>
      </c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56"/>
      <c r="P269" s="556"/>
      <c r="Q269" s="556"/>
      <c r="R269" s="556"/>
      <c r="S269" s="556"/>
      <c r="T269" s="556"/>
      <c r="U269" s="556"/>
      <c r="V269" s="556"/>
      <c r="W269" s="556"/>
      <c r="X269" s="556"/>
      <c r="Y269" s="556"/>
      <c r="Z269" s="556"/>
      <c r="AA269" s="536"/>
      <c r="AB269" s="536"/>
      <c r="AC269" s="536"/>
    </row>
    <row r="270" spans="1:68" ht="14.25" customHeight="1" x14ac:dyDescent="0.25">
      <c r="A270" s="558" t="s">
        <v>73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35"/>
      <c r="AB270" s="535"/>
      <c r="AC270" s="535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5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57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6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7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9" t="s">
        <v>434</v>
      </c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36"/>
      <c r="AB276" s="536"/>
      <c r="AC276" s="536"/>
    </row>
    <row r="277" spans="1:68" ht="14.25" customHeight="1" x14ac:dyDescent="0.25">
      <c r="A277" s="558" t="s">
        <v>64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35"/>
      <c r="AB277" s="535"/>
      <c r="AC277" s="535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5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57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6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7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35"/>
      <c r="AB282" s="535"/>
      <c r="AC282" s="535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5" t="s">
        <v>446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5"/>
      <c r="B285" s="556"/>
      <c r="C285" s="556"/>
      <c r="D285" s="556"/>
      <c r="E285" s="556"/>
      <c r="F285" s="556"/>
      <c r="G285" s="556"/>
      <c r="H285" s="556"/>
      <c r="I285" s="556"/>
      <c r="J285" s="556"/>
      <c r="K285" s="556"/>
      <c r="L285" s="556"/>
      <c r="M285" s="556"/>
      <c r="N285" s="556"/>
      <c r="O285" s="557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6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57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9" t="s">
        <v>448</v>
      </c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6"/>
      <c r="P287" s="556"/>
      <c r="Q287" s="556"/>
      <c r="R287" s="556"/>
      <c r="S287" s="556"/>
      <c r="T287" s="556"/>
      <c r="U287" s="556"/>
      <c r="V287" s="556"/>
      <c r="W287" s="556"/>
      <c r="X287" s="556"/>
      <c r="Y287" s="556"/>
      <c r="Z287" s="556"/>
      <c r="AA287" s="536"/>
      <c r="AB287" s="536"/>
      <c r="AC287" s="536"/>
    </row>
    <row r="288" spans="1:68" ht="14.25" customHeight="1" x14ac:dyDescent="0.25">
      <c r="A288" s="558" t="s">
        <v>101</v>
      </c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535"/>
      <c r="AB288" s="535"/>
      <c r="AC288" s="535"/>
    </row>
    <row r="289" spans="1:68" ht="27" customHeight="1" x14ac:dyDescent="0.25">
      <c r="A289" s="54" t="s">
        <v>449</v>
      </c>
      <c r="B289" s="54" t="s">
        <v>450</v>
      </c>
      <c r="C289" s="31">
        <v>4301012126</v>
      </c>
      <c r="D289" s="548">
        <v>4607091386004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455</v>
      </c>
      <c r="B291" s="54" t="s">
        <v>456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280</v>
      </c>
      <c r="Y292" s="542">
        <f t="shared" si="26"/>
        <v>280.8</v>
      </c>
      <c r="Z292" s="36">
        <f>IFERROR(IF(Y292=0,"",ROUNDUP(Y292/H292,0)*0.01898),"")</f>
        <v>0.49348000000000003</v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290.62962962962962</v>
      </c>
      <c r="BN292" s="64">
        <f t="shared" si="28"/>
        <v>291.46000000000004</v>
      </c>
      <c r="BO292" s="64">
        <f t="shared" si="29"/>
        <v>0.40509259259259256</v>
      </c>
      <c r="BP292" s="64">
        <f t="shared" si="30"/>
        <v>0.40625</v>
      </c>
    </row>
    <row r="293" spans="1:68" ht="27" customHeight="1" x14ac:dyDescent="0.25">
      <c r="A293" s="54" t="s">
        <v>461</v>
      </c>
      <c r="B293" s="54" t="s">
        <v>462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463</v>
      </c>
      <c r="B294" s="54" t="s">
        <v>464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5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57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IFERROR(X289/H289,"0")+IFERROR(X290/H290,"0")+IFERROR(X291/H291,"0")+IFERROR(X292/H292,"0")+IFERROR(X293/H293,"0")+IFERROR(X294/H294,"0")</f>
        <v>25.925925925925924</v>
      </c>
      <c r="Y295" s="543">
        <f>IFERROR(Y289/H289,"0")+IFERROR(Y290/H290,"0")+IFERROR(Y291/H291,"0")+IFERROR(Y292/H292,"0")+IFERROR(Y293/H293,"0")+IFERROR(Y294/H294,"0")</f>
        <v>26</v>
      </c>
      <c r="Z295" s="543">
        <f>IFERROR(IF(Z289="",0,Z289),"0")+IFERROR(IF(Z290="",0,Z290),"0")+IFERROR(IF(Z291="",0,Z291),"0")+IFERROR(IF(Z292="",0,Z292),"0")+IFERROR(IF(Z293="",0,Z293),"0")+IFERROR(IF(Z294="",0,Z294),"0")</f>
        <v>0.49348000000000003</v>
      </c>
      <c r="AA295" s="544"/>
      <c r="AB295" s="544"/>
      <c r="AC295" s="544"/>
    </row>
    <row r="296" spans="1:68" x14ac:dyDescent="0.2">
      <c r="A296" s="556"/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57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IFERROR(SUM(X289:X294),"0")</f>
        <v>280</v>
      </c>
      <c r="Y296" s="543">
        <f>IFERROR(SUM(Y289:Y294),"0")</f>
        <v>280.8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6"/>
      <c r="C297" s="556"/>
      <c r="D297" s="556"/>
      <c r="E297" s="556"/>
      <c r="F297" s="556"/>
      <c r="G297" s="556"/>
      <c r="H297" s="556"/>
      <c r="I297" s="556"/>
      <c r="J297" s="556"/>
      <c r="K297" s="556"/>
      <c r="L297" s="556"/>
      <c r="M297" s="556"/>
      <c r="N297" s="556"/>
      <c r="O297" s="556"/>
      <c r="P297" s="556"/>
      <c r="Q297" s="556"/>
      <c r="R297" s="556"/>
      <c r="S297" s="556"/>
      <c r="T297" s="556"/>
      <c r="U297" s="556"/>
      <c r="V297" s="556"/>
      <c r="W297" s="556"/>
      <c r="X297" s="556"/>
      <c r="Y297" s="556"/>
      <c r="Z297" s="556"/>
      <c r="AA297" s="535"/>
      <c r="AB297" s="535"/>
      <c r="AC297" s="535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50</v>
      </c>
      <c r="Y298" s="542">
        <f t="shared" ref="Y298:Y304" si="31">IFERROR(IF(X298="",0,CEILING((X298/$H298),1)*$H298),"")</f>
        <v>50.400000000000006</v>
      </c>
      <c r="Z298" s="36">
        <f>IFERROR(IF(Y298=0,"",ROUNDUP(Y298/H298,0)*0.00902),"")</f>
        <v>0.10824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52.976190476190474</v>
      </c>
      <c r="BN298" s="64">
        <f t="shared" ref="BN298:BN304" si="33">IFERROR(Y298*I298/H298,"0")</f>
        <v>53.400000000000006</v>
      </c>
      <c r="BO298" s="64">
        <f t="shared" ref="BO298:BO304" si="34">IFERROR(1/J298*(X298/H298),"0")</f>
        <v>9.0187590187590191E-2</v>
      </c>
      <c r="BP298" s="64">
        <f t="shared" ref="BP298:BP304" si="35">IFERROR(1/J298*(Y298/H298),"0")</f>
        <v>9.0909090909090912E-2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100</v>
      </c>
      <c r="Y299" s="542">
        <f t="shared" si="31"/>
        <v>100.80000000000001</v>
      </c>
      <c r="Z299" s="36">
        <f>IFERROR(IF(Y299=0,"",ROUNDUP(Y299/H299,0)*0.00902),"")</f>
        <v>0.21648000000000001</v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105.95238095238095</v>
      </c>
      <c r="BN299" s="64">
        <f t="shared" si="33"/>
        <v>106.80000000000001</v>
      </c>
      <c r="BO299" s="64">
        <f t="shared" si="34"/>
        <v>0.18037518037518038</v>
      </c>
      <c r="BP299" s="64">
        <f t="shared" si="35"/>
        <v>0.18181818181818182</v>
      </c>
    </row>
    <row r="300" spans="1:68" ht="27" customHeight="1" x14ac:dyDescent="0.25">
      <c r="A300" s="54" t="s">
        <v>472</v>
      </c>
      <c r="B300" s="54" t="s">
        <v>473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6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475</v>
      </c>
      <c r="B301" s="54" t="s">
        <v>476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5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480</v>
      </c>
      <c r="B303" s="54" t="s">
        <v>481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482</v>
      </c>
      <c r="B304" s="54" t="s">
        <v>483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5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57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35.714285714285715</v>
      </c>
      <c r="Y305" s="543">
        <f>IFERROR(Y298/H298,"0")+IFERROR(Y299/H299,"0")+IFERROR(Y300/H300,"0")+IFERROR(Y301/H301,"0")+IFERROR(Y302/H302,"0")+IFERROR(Y303/H303,"0")+IFERROR(Y304/H304,"0")</f>
        <v>36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0.32472000000000001</v>
      </c>
      <c r="AA305" s="544"/>
      <c r="AB305" s="544"/>
      <c r="AC305" s="544"/>
    </row>
    <row r="306" spans="1:68" x14ac:dyDescent="0.2">
      <c r="A306" s="556"/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7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150</v>
      </c>
      <c r="Y306" s="543">
        <f>IFERROR(SUM(Y298:Y304),"0")</f>
        <v>151.20000000000002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6"/>
      <c r="C307" s="556"/>
      <c r="D307" s="556"/>
      <c r="E307" s="556"/>
      <c r="F307" s="556"/>
      <c r="G307" s="556"/>
      <c r="H307" s="556"/>
      <c r="I307" s="556"/>
      <c r="J307" s="556"/>
      <c r="K307" s="556"/>
      <c r="L307" s="556"/>
      <c r="M307" s="556"/>
      <c r="N307" s="556"/>
      <c r="O307" s="556"/>
      <c r="P307" s="556"/>
      <c r="Q307" s="556"/>
      <c r="R307" s="556"/>
      <c r="S307" s="556"/>
      <c r="T307" s="556"/>
      <c r="U307" s="556"/>
      <c r="V307" s="556"/>
      <c r="W307" s="556"/>
      <c r="X307" s="556"/>
      <c r="Y307" s="556"/>
      <c r="Z307" s="556"/>
      <c r="AA307" s="535"/>
      <c r="AB307" s="535"/>
      <c r="AC307" s="535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1100</v>
      </c>
      <c r="Y308" s="542">
        <f>IFERROR(IF(X308="",0,CEILING((X308/$H308),1)*$H308),"")</f>
        <v>1107.5999999999999</v>
      </c>
      <c r="Z308" s="36">
        <f>IFERROR(IF(Y308=0,"",ROUNDUP(Y308/H308,0)*0.01898),"")</f>
        <v>2.69516</v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1168.8205128205129</v>
      </c>
      <c r="BN308" s="64">
        <f>IFERROR(Y308*I308/H308,"0")</f>
        <v>1176.896</v>
      </c>
      <c r="BO308" s="64">
        <f>IFERROR(1/J308*(X308/H308),"0")</f>
        <v>2.203525641025641</v>
      </c>
      <c r="BP308" s="64">
        <f>IFERROR(1/J308*(Y308/H308),"0")</f>
        <v>2.21875</v>
      </c>
    </row>
    <row r="309" spans="1:68" ht="27" customHeight="1" x14ac:dyDescent="0.25">
      <c r="A309" s="54" t="s">
        <v>488</v>
      </c>
      <c r="B309" s="54" t="s">
        <v>489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0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5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7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141.02564102564102</v>
      </c>
      <c r="Y312" s="543">
        <f>IFERROR(Y308/H308,"0")+IFERROR(Y309/H309,"0")+IFERROR(Y310/H310,"0")+IFERROR(Y311/H311,"0")</f>
        <v>142</v>
      </c>
      <c r="Z312" s="543">
        <f>IFERROR(IF(Z308="",0,Z308),"0")+IFERROR(IF(Z309="",0,Z309),"0")+IFERROR(IF(Z310="",0,Z310),"0")+IFERROR(IF(Z311="",0,Z311),"0")</f>
        <v>2.69516</v>
      </c>
      <c r="AA312" s="544"/>
      <c r="AB312" s="544"/>
      <c r="AC312" s="544"/>
    </row>
    <row r="313" spans="1:68" x14ac:dyDescent="0.2">
      <c r="A313" s="556"/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7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1100</v>
      </c>
      <c r="Y313" s="543">
        <f>IFERROR(SUM(Y308:Y311),"0")</f>
        <v>1107.5999999999999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6"/>
      <c r="C314" s="556"/>
      <c r="D314" s="556"/>
      <c r="E314" s="556"/>
      <c r="F314" s="556"/>
      <c r="G314" s="556"/>
      <c r="H314" s="556"/>
      <c r="I314" s="556"/>
      <c r="J314" s="556"/>
      <c r="K314" s="556"/>
      <c r="L314" s="556"/>
      <c r="M314" s="556"/>
      <c r="N314" s="556"/>
      <c r="O314" s="556"/>
      <c r="P314" s="556"/>
      <c r="Q314" s="556"/>
      <c r="R314" s="556"/>
      <c r="S314" s="556"/>
      <c r="T314" s="556"/>
      <c r="U314" s="556"/>
      <c r="V314" s="556"/>
      <c r="W314" s="556"/>
      <c r="X314" s="556"/>
      <c r="Y314" s="556"/>
      <c r="Z314" s="556"/>
      <c r="AA314" s="535"/>
      <c r="AB314" s="535"/>
      <c r="AC314" s="535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5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7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x14ac:dyDescent="0.2">
      <c r="A319" s="556"/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7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6"/>
      <c r="C320" s="556"/>
      <c r="D320" s="556"/>
      <c r="E320" s="556"/>
      <c r="F320" s="556"/>
      <c r="G320" s="556"/>
      <c r="H320" s="556"/>
      <c r="I320" s="556"/>
      <c r="J320" s="556"/>
      <c r="K320" s="556"/>
      <c r="L320" s="556"/>
      <c r="M320" s="556"/>
      <c r="N320" s="556"/>
      <c r="O320" s="556"/>
      <c r="P320" s="556"/>
      <c r="Q320" s="556"/>
      <c r="R320" s="556"/>
      <c r="S320" s="556"/>
      <c r="T320" s="556"/>
      <c r="U320" s="556"/>
      <c r="V320" s="556"/>
      <c r="W320" s="556"/>
      <c r="X320" s="556"/>
      <c r="Y320" s="556"/>
      <c r="Z320" s="556"/>
      <c r="AA320" s="535"/>
      <c r="AB320" s="535"/>
      <c r="AC320" s="535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6</v>
      </c>
      <c r="Y321" s="542">
        <f>IFERROR(IF(X321="",0,CEILING((X321/$H321),1)*$H321),"")</f>
        <v>6.08</v>
      </c>
      <c r="Z321" s="36">
        <f>IFERROR(IF(Y321=0,"",ROUNDUP(Y321/H321,0)*0.00902),"")</f>
        <v>1.804E-2</v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6.5328947368421053</v>
      </c>
      <c r="BN321" s="64">
        <f>IFERROR(Y321*I321/H321,"0")</f>
        <v>6.62</v>
      </c>
      <c r="BO321" s="64">
        <f>IFERROR(1/J321*(X321/H321),"0")</f>
        <v>1.4952153110047847E-2</v>
      </c>
      <c r="BP321" s="64">
        <f>IFERROR(1/J321*(Y321/H321),"0")</f>
        <v>1.5151515151515152E-2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5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7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1.9736842105263157</v>
      </c>
      <c r="Y325" s="543">
        <f>IFERROR(Y321/H321,"0")+IFERROR(Y322/H322,"0")+IFERROR(Y323/H323,"0")+IFERROR(Y324/H324,"0")</f>
        <v>2</v>
      </c>
      <c r="Z325" s="543">
        <f>IFERROR(IF(Z321="",0,Z321),"0")+IFERROR(IF(Z322="",0,Z322),"0")+IFERROR(IF(Z323="",0,Z323),"0")+IFERROR(IF(Z324="",0,Z324),"0")</f>
        <v>1.804E-2</v>
      </c>
      <c r="AA325" s="544"/>
      <c r="AB325" s="544"/>
      <c r="AC325" s="544"/>
    </row>
    <row r="326" spans="1:68" x14ac:dyDescent="0.2">
      <c r="A326" s="556"/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7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6</v>
      </c>
      <c r="Y326" s="543">
        <f>IFERROR(SUM(Y321:Y324),"0")</f>
        <v>6.08</v>
      </c>
      <c r="Z326" s="37"/>
      <c r="AA326" s="544"/>
      <c r="AB326" s="544"/>
      <c r="AC326" s="544"/>
    </row>
    <row r="327" spans="1:68" ht="14.25" customHeight="1" x14ac:dyDescent="0.25">
      <c r="A327" s="558" t="s">
        <v>516</v>
      </c>
      <c r="B327" s="556"/>
      <c r="C327" s="556"/>
      <c r="D327" s="556"/>
      <c r="E327" s="556"/>
      <c r="F327" s="556"/>
      <c r="G327" s="556"/>
      <c r="H327" s="556"/>
      <c r="I327" s="556"/>
      <c r="J327" s="556"/>
      <c r="K327" s="556"/>
      <c r="L327" s="556"/>
      <c r="M327" s="556"/>
      <c r="N327" s="556"/>
      <c r="O327" s="556"/>
      <c r="P327" s="556"/>
      <c r="Q327" s="556"/>
      <c r="R327" s="556"/>
      <c r="S327" s="556"/>
      <c r="T327" s="556"/>
      <c r="U327" s="556"/>
      <c r="V327" s="556"/>
      <c r="W327" s="556"/>
      <c r="X327" s="556"/>
      <c r="Y327" s="556"/>
      <c r="Z327" s="556"/>
      <c r="AA327" s="535"/>
      <c r="AB327" s="535"/>
      <c r="AC327" s="535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7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5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7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6"/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7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525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36"/>
      <c r="AB333" s="536"/>
      <c r="AC333" s="536"/>
    </row>
    <row r="334" spans="1:68" ht="14.25" customHeight="1" x14ac:dyDescent="0.25">
      <c r="A334" s="558" t="s">
        <v>73</v>
      </c>
      <c r="B334" s="556"/>
      <c r="C334" s="556"/>
      <c r="D334" s="556"/>
      <c r="E334" s="556"/>
      <c r="F334" s="556"/>
      <c r="G334" s="556"/>
      <c r="H334" s="556"/>
      <c r="I334" s="556"/>
      <c r="J334" s="556"/>
      <c r="K334" s="556"/>
      <c r="L334" s="556"/>
      <c r="M334" s="556"/>
      <c r="N334" s="556"/>
      <c r="O334" s="556"/>
      <c r="P334" s="556"/>
      <c r="Q334" s="556"/>
      <c r="R334" s="556"/>
      <c r="S334" s="556"/>
      <c r="T334" s="556"/>
      <c r="U334" s="556"/>
      <c r="V334" s="556"/>
      <c r="W334" s="556"/>
      <c r="X334" s="556"/>
      <c r="Y334" s="556"/>
      <c r="Z334" s="556"/>
      <c r="AA334" s="535"/>
      <c r="AB334" s="535"/>
      <c r="AC334" s="535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50</v>
      </c>
      <c r="Y335" s="542">
        <f>IFERROR(IF(X335="",0,CEILING((X335/$H335),1)*$H335),"")</f>
        <v>56.699999999999996</v>
      </c>
      <c r="Z335" s="36">
        <f>IFERROR(IF(Y335=0,"",ROUNDUP(Y335/H335,0)*0.01898),"")</f>
        <v>0.13286000000000001</v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53.049382716049386</v>
      </c>
      <c r="BN335" s="64">
        <f>IFERROR(Y335*I335/H335,"0")</f>
        <v>60.157999999999994</v>
      </c>
      <c r="BO335" s="64">
        <f>IFERROR(1/J335*(X335/H335),"0")</f>
        <v>9.6450617283950615E-2</v>
      </c>
      <c r="BP335" s="64">
        <f>IFERROR(1/J335*(Y335/H335),"0")</f>
        <v>0.109375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5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7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6.1728395061728394</v>
      </c>
      <c r="Y338" s="543">
        <f>IFERROR(Y335/H335,"0")+IFERROR(Y336/H336,"0")+IFERROR(Y337/H337,"0")</f>
        <v>7</v>
      </c>
      <c r="Z338" s="543">
        <f>IFERROR(IF(Z335="",0,Z335),"0")+IFERROR(IF(Z336="",0,Z336),"0")+IFERROR(IF(Z337="",0,Z337),"0")</f>
        <v>0.13286000000000001</v>
      </c>
      <c r="AA338" s="544"/>
      <c r="AB338" s="544"/>
      <c r="AC338" s="544"/>
    </row>
    <row r="339" spans="1:68" x14ac:dyDescent="0.2">
      <c r="A339" s="556"/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7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50</v>
      </c>
      <c r="Y339" s="543">
        <f>IFERROR(SUM(Y335:Y337),"0")</f>
        <v>56.699999999999996</v>
      </c>
      <c r="Z339" s="37"/>
      <c r="AA339" s="544"/>
      <c r="AB339" s="544"/>
      <c r="AC339" s="544"/>
    </row>
    <row r="340" spans="1:68" ht="27.75" customHeight="1" x14ac:dyDescent="0.2">
      <c r="A340" s="632" t="s">
        <v>535</v>
      </c>
      <c r="B340" s="633"/>
      <c r="C340" s="633"/>
      <c r="D340" s="633"/>
      <c r="E340" s="633"/>
      <c r="F340" s="633"/>
      <c r="G340" s="633"/>
      <c r="H340" s="633"/>
      <c r="I340" s="633"/>
      <c r="J340" s="633"/>
      <c r="K340" s="633"/>
      <c r="L340" s="633"/>
      <c r="M340" s="633"/>
      <c r="N340" s="633"/>
      <c r="O340" s="633"/>
      <c r="P340" s="633"/>
      <c r="Q340" s="633"/>
      <c r="R340" s="633"/>
      <c r="S340" s="633"/>
      <c r="T340" s="633"/>
      <c r="U340" s="633"/>
      <c r="V340" s="633"/>
      <c r="W340" s="633"/>
      <c r="X340" s="633"/>
      <c r="Y340" s="633"/>
      <c r="Z340" s="633"/>
      <c r="AA340" s="48"/>
      <c r="AB340" s="48"/>
      <c r="AC340" s="48"/>
    </row>
    <row r="341" spans="1:68" ht="16.5" customHeight="1" x14ac:dyDescent="0.25">
      <c r="A341" s="559" t="s">
        <v>536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36"/>
      <c r="AB341" s="536"/>
      <c r="AC341" s="536"/>
    </row>
    <row r="342" spans="1:68" ht="14.25" customHeight="1" x14ac:dyDescent="0.25">
      <c r="A342" s="558" t="s">
        <v>101</v>
      </c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56"/>
      <c r="P342" s="556"/>
      <c r="Q342" s="556"/>
      <c r="R342" s="556"/>
      <c r="S342" s="556"/>
      <c r="T342" s="556"/>
      <c r="U342" s="556"/>
      <c r="V342" s="556"/>
      <c r="W342" s="556"/>
      <c r="X342" s="556"/>
      <c r="Y342" s="556"/>
      <c r="Z342" s="556"/>
      <c r="AA342" s="535"/>
      <c r="AB342" s="535"/>
      <c r="AC342" s="535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60</v>
      </c>
      <c r="Y343" s="542">
        <f t="shared" ref="Y343:Y349" si="36">IFERROR(IF(X343="",0,CEILING((X343/$H343),1)*$H343),"")</f>
        <v>60</v>
      </c>
      <c r="Z343" s="36">
        <f>IFERROR(IF(Y343=0,"",ROUNDUP(Y343/H343,0)*0.02175),"")</f>
        <v>8.6999999999999994E-2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61.88</v>
      </c>
      <c r="BN343" s="64">
        <f t="shared" ref="BN343:BN349" si="38">IFERROR(Y343*I343/H343,"0")</f>
        <v>61.88</v>
      </c>
      <c r="BO343" s="64">
        <f t="shared" ref="BO343:BO349" si="39">IFERROR(1/J343*(X343/H343),"0")</f>
        <v>8.3333333333333329E-2</v>
      </c>
      <c r="BP343" s="64">
        <f t="shared" ref="BP343:BP349" si="40">IFERROR(1/J343*(Y343/H343),"0")</f>
        <v>8.3333333333333329E-2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30</v>
      </c>
      <c r="Y344" s="542">
        <f t="shared" si="36"/>
        <v>30</v>
      </c>
      <c r="Z344" s="36">
        <f>IFERROR(IF(Y344=0,"",ROUNDUP(Y344/H344,0)*0.02175),"")</f>
        <v>4.3499999999999997E-2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30.94</v>
      </c>
      <c r="BN344" s="64">
        <f t="shared" si="38"/>
        <v>30.94</v>
      </c>
      <c r="BO344" s="64">
        <f t="shared" si="39"/>
        <v>4.1666666666666664E-2</v>
      </c>
      <c r="BP344" s="64">
        <f t="shared" si="40"/>
        <v>4.1666666666666664E-2</v>
      </c>
    </row>
    <row r="345" spans="1:68" ht="37.5" customHeight="1" x14ac:dyDescent="0.25">
      <c r="A345" s="54" t="s">
        <v>543</v>
      </c>
      <c r="B345" s="54" t="s">
        <v>544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5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8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600</v>
      </c>
      <c r="Y346" s="542">
        <f t="shared" si="36"/>
        <v>600</v>
      </c>
      <c r="Z346" s="36">
        <f>IFERROR(IF(Y346=0,"",ROUNDUP(Y346/H346,0)*0.02175),"")</f>
        <v>0.86999999999999988</v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618.79999999999995</v>
      </c>
      <c r="BN346" s="64">
        <f t="shared" si="38"/>
        <v>618.79999999999995</v>
      </c>
      <c r="BO346" s="64">
        <f t="shared" si="39"/>
        <v>0.83333333333333326</v>
      </c>
      <c r="BP346" s="64">
        <f t="shared" si="40"/>
        <v>0.83333333333333326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5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57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46</v>
      </c>
      <c r="Y350" s="543">
        <f>IFERROR(Y343/H343,"0")+IFERROR(Y344/H344,"0")+IFERROR(Y345/H345,"0")+IFERROR(Y346/H346,"0")+IFERROR(Y347/H347,"0")+IFERROR(Y348/H348,"0")+IFERROR(Y349/H349,"0")</f>
        <v>46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1.0004999999999999</v>
      </c>
      <c r="AA350" s="544"/>
      <c r="AB350" s="544"/>
      <c r="AC350" s="544"/>
    </row>
    <row r="351" spans="1:68" x14ac:dyDescent="0.2">
      <c r="A351" s="556"/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7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690</v>
      </c>
      <c r="Y351" s="543">
        <f>IFERROR(SUM(Y343:Y349),"0")</f>
        <v>690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6"/>
      <c r="C352" s="556"/>
      <c r="D352" s="556"/>
      <c r="E352" s="556"/>
      <c r="F352" s="556"/>
      <c r="G352" s="556"/>
      <c r="H352" s="556"/>
      <c r="I352" s="556"/>
      <c r="J352" s="556"/>
      <c r="K352" s="556"/>
      <c r="L352" s="556"/>
      <c r="M352" s="556"/>
      <c r="N352" s="556"/>
      <c r="O352" s="556"/>
      <c r="P352" s="556"/>
      <c r="Q352" s="556"/>
      <c r="R352" s="556"/>
      <c r="S352" s="556"/>
      <c r="T352" s="556"/>
      <c r="U352" s="556"/>
      <c r="V352" s="556"/>
      <c r="W352" s="556"/>
      <c r="X352" s="556"/>
      <c r="Y352" s="556"/>
      <c r="Z352" s="556"/>
      <c r="AA352" s="535"/>
      <c r="AB352" s="535"/>
      <c r="AC352" s="535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300</v>
      </c>
      <c r="Y353" s="542">
        <f>IFERROR(IF(X353="",0,CEILING((X353/$H353),1)*$H353),"")</f>
        <v>300</v>
      </c>
      <c r="Z353" s="36">
        <f>IFERROR(IF(Y353=0,"",ROUNDUP(Y353/H353,0)*0.02175),"")</f>
        <v>0.43499999999999994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309.39999999999998</v>
      </c>
      <c r="BN353" s="64">
        <f>IFERROR(Y353*I353/H353,"0")</f>
        <v>309.39999999999998</v>
      </c>
      <c r="BO353" s="64">
        <f>IFERROR(1/J353*(X353/H353),"0")</f>
        <v>0.41666666666666663</v>
      </c>
      <c r="BP353" s="64">
        <f>IFERROR(1/J353*(Y353/H353),"0")</f>
        <v>0.41666666666666663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5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7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20</v>
      </c>
      <c r="Y355" s="543">
        <f>IFERROR(Y353/H353,"0")+IFERROR(Y354/H354,"0")</f>
        <v>20</v>
      </c>
      <c r="Z355" s="543">
        <f>IFERROR(IF(Z353="",0,Z353),"0")+IFERROR(IF(Z354="",0,Z354),"0")</f>
        <v>0.43499999999999994</v>
      </c>
      <c r="AA355" s="544"/>
      <c r="AB355" s="544"/>
      <c r="AC355" s="544"/>
    </row>
    <row r="356" spans="1:68" x14ac:dyDescent="0.2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7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300</v>
      </c>
      <c r="Y356" s="543">
        <f>IFERROR(SUM(Y353:Y354),"0")</f>
        <v>300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35"/>
      <c r="AB357" s="535"/>
      <c r="AC357" s="535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8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5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7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7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35"/>
      <c r="AB362" s="535"/>
      <c r="AC362" s="535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5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57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7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570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6"/>
      <c r="AB366" s="536"/>
      <c r="AC366" s="536"/>
    </row>
    <row r="367" spans="1:68" ht="14.25" customHeight="1" x14ac:dyDescent="0.25">
      <c r="A367" s="558" t="s">
        <v>101</v>
      </c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35"/>
      <c r="AB367" s="535"/>
      <c r="AC367" s="535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5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7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6"/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7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35"/>
      <c r="AB372" s="535"/>
      <c r="AC372" s="535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5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7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7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35"/>
      <c r="AB377" s="535"/>
      <c r="AC377" s="535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470</v>
      </c>
      <c r="Y378" s="542">
        <f>IFERROR(IF(X378="",0,CEILING((X378/$H378),1)*$H378),"")</f>
        <v>477</v>
      </c>
      <c r="Z378" s="36">
        <f>IFERROR(IF(Y378=0,"",ROUNDUP(Y378/H378,0)*0.01898),"")</f>
        <v>1.0059400000000001</v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495.79777777777781</v>
      </c>
      <c r="BN378" s="64">
        <f>IFERROR(Y378*I378/H378,"0")</f>
        <v>503.18200000000002</v>
      </c>
      <c r="BO378" s="64">
        <f>IFERROR(1/J378*(X378/H378),"0")</f>
        <v>0.81597222222222221</v>
      </c>
      <c r="BP378" s="64">
        <f>IFERROR(1/J378*(Y378/H378),"0")</f>
        <v>0.828125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5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7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52.222222222222221</v>
      </c>
      <c r="Y380" s="543">
        <f>IFERROR(Y378/H378,"0")+IFERROR(Y379/H379,"0")</f>
        <v>53</v>
      </c>
      <c r="Z380" s="543">
        <f>IFERROR(IF(Z378="",0,Z378),"0")+IFERROR(IF(Z379="",0,Z379),"0")</f>
        <v>1.0059400000000001</v>
      </c>
      <c r="AA380" s="544"/>
      <c r="AB380" s="544"/>
      <c r="AC380" s="544"/>
    </row>
    <row r="381" spans="1:68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7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470</v>
      </c>
      <c r="Y381" s="543">
        <f>IFERROR(SUM(Y378:Y379),"0")</f>
        <v>477</v>
      </c>
      <c r="Z381" s="37"/>
      <c r="AA381" s="544"/>
      <c r="AB381" s="544"/>
      <c r="AC381" s="544"/>
    </row>
    <row r="382" spans="1:68" ht="27.75" customHeight="1" x14ac:dyDescent="0.2">
      <c r="A382" s="632" t="s">
        <v>586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9" t="s">
        <v>587</v>
      </c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36"/>
      <c r="AB383" s="536"/>
      <c r="AC383" s="536"/>
    </row>
    <row r="384" spans="1:68" ht="14.25" customHeight="1" x14ac:dyDescent="0.25">
      <c r="A384" s="558" t="s">
        <v>64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35"/>
      <c r="AB384" s="535"/>
      <c r="AC384" s="535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28</v>
      </c>
      <c r="Y386" s="542">
        <f t="shared" si="41"/>
        <v>32.400000000000006</v>
      </c>
      <c r="Z386" s="36">
        <f>IFERROR(IF(Y386=0,"",ROUNDUP(Y386/H386,0)*0.00902),"")</f>
        <v>5.4120000000000001E-2</v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28.985185185185181</v>
      </c>
      <c r="BN386" s="64">
        <f t="shared" si="43"/>
        <v>33.54</v>
      </c>
      <c r="BO386" s="64">
        <f t="shared" si="44"/>
        <v>3.9281705948372617E-2</v>
      </c>
      <c r="BP386" s="64">
        <f t="shared" si="45"/>
        <v>4.5454545454545463E-2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40</v>
      </c>
      <c r="Y387" s="542">
        <f t="shared" si="41"/>
        <v>43.2</v>
      </c>
      <c r="Z387" s="36">
        <f>IFERROR(IF(Y387=0,"",ROUNDUP(Y387/H387,0)*0.00902),"")</f>
        <v>7.2160000000000002E-2</v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41.407407407407405</v>
      </c>
      <c r="BN387" s="64">
        <f t="shared" si="43"/>
        <v>44.72</v>
      </c>
      <c r="BO387" s="64">
        <f t="shared" si="44"/>
        <v>5.6116722783389444E-2</v>
      </c>
      <c r="BP387" s="64">
        <f t="shared" si="45"/>
        <v>6.0606060606060608E-2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5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57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12.592592592592592</v>
      </c>
      <c r="Y394" s="543">
        <f>IFERROR(Y385/H385,"0")+IFERROR(Y386/H386,"0")+IFERROR(Y387/H387,"0")+IFERROR(Y388/H388,"0")+IFERROR(Y389/H389,"0")+IFERROR(Y390/H390,"0")+IFERROR(Y391/H391,"0")+IFERROR(Y392/H392,"0")+IFERROR(Y393/H393,"0")</f>
        <v>14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0.12628</v>
      </c>
      <c r="AA394" s="544"/>
      <c r="AB394" s="544"/>
      <c r="AC394" s="544"/>
    </row>
    <row r="395" spans="1:68" x14ac:dyDescent="0.2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57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68</v>
      </c>
      <c r="Y395" s="543">
        <f>IFERROR(SUM(Y385:Y393),"0")</f>
        <v>75.600000000000009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35"/>
      <c r="AB396" s="535"/>
      <c r="AC396" s="535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5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57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7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618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6"/>
      <c r="AB401" s="536"/>
      <c r="AC401" s="536"/>
    </row>
    <row r="402" spans="1:68" ht="14.25" customHeight="1" x14ac:dyDescent="0.25">
      <c r="A402" s="558" t="s">
        <v>136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35"/>
      <c r="AB402" s="535"/>
      <c r="AC402" s="535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5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57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7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5"/>
      <c r="AB406" s="535"/>
      <c r="AC406" s="535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100</v>
      </c>
      <c r="Y407" s="542">
        <f>IFERROR(IF(X407="",0,CEILING((X407/$H407),1)*$H407),"")</f>
        <v>102.60000000000001</v>
      </c>
      <c r="Z407" s="36">
        <f>IFERROR(IF(Y407=0,"",ROUNDUP(Y407/H407,0)*0.00902),"")</f>
        <v>0.17138</v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103.5185185185185</v>
      </c>
      <c r="BN407" s="64">
        <f>IFERROR(Y407*I407/H407,"0")</f>
        <v>106.21</v>
      </c>
      <c r="BO407" s="64">
        <f>IFERROR(1/J407*(X407/H407),"0")</f>
        <v>0.14029180695847362</v>
      </c>
      <c r="BP407" s="64">
        <f>IFERROR(1/J407*(Y407/H407),"0")</f>
        <v>0.14393939393939395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5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57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18.518518518518519</v>
      </c>
      <c r="Y411" s="543">
        <f>IFERROR(Y407/H407,"0")+IFERROR(Y408/H408,"0")+IFERROR(Y409/H409,"0")+IFERROR(Y410/H410,"0")</f>
        <v>19</v>
      </c>
      <c r="Z411" s="543">
        <f>IFERROR(IF(Z407="",0,Z407),"0")+IFERROR(IF(Z408="",0,Z408),"0")+IFERROR(IF(Z409="",0,Z409),"0")+IFERROR(IF(Z410="",0,Z410),"0")</f>
        <v>0.17138</v>
      </c>
      <c r="AA411" s="544"/>
      <c r="AB411" s="544"/>
      <c r="AC411" s="544"/>
    </row>
    <row r="412" spans="1:68" x14ac:dyDescent="0.2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57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100</v>
      </c>
      <c r="Y412" s="543">
        <f>IFERROR(SUM(Y407:Y410),"0")</f>
        <v>102.60000000000001</v>
      </c>
      <c r="Z412" s="37"/>
      <c r="AA412" s="544"/>
      <c r="AB412" s="544"/>
      <c r="AC412" s="544"/>
    </row>
    <row r="413" spans="1:68" ht="16.5" customHeight="1" x14ac:dyDescent="0.25">
      <c r="A413" s="559" t="s">
        <v>633</v>
      </c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36"/>
      <c r="AB413" s="536"/>
      <c r="AC413" s="536"/>
    </row>
    <row r="414" spans="1:68" ht="14.25" customHeight="1" x14ac:dyDescent="0.25">
      <c r="A414" s="558" t="s">
        <v>64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35"/>
      <c r="AB414" s="535"/>
      <c r="AC414" s="535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5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57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7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637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9" t="s">
        <v>637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6"/>
      <c r="AB419" s="536"/>
      <c r="AC419" s="536"/>
    </row>
    <row r="420" spans="1:68" ht="14.25" customHeight="1" x14ac:dyDescent="0.25">
      <c r="A420" s="558" t="s">
        <v>101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35"/>
      <c r="AB420" s="535"/>
      <c r="AC420" s="535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20</v>
      </c>
      <c r="Y424" s="542">
        <f t="shared" si="47"/>
        <v>21.12</v>
      </c>
      <c r="Z424" s="36">
        <f t="shared" si="48"/>
        <v>4.7840000000000001E-2</v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21.325757575757574</v>
      </c>
      <c r="BN424" s="64">
        <f t="shared" si="50"/>
        <v>22.52</v>
      </c>
      <c r="BO424" s="64">
        <f t="shared" si="51"/>
        <v>3.6421911421911424E-2</v>
      </c>
      <c r="BP424" s="64">
        <f t="shared" si="52"/>
        <v>3.8461538461538464E-2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2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80</v>
      </c>
      <c r="Y426" s="542">
        <f t="shared" si="47"/>
        <v>84.48</v>
      </c>
      <c r="Z426" s="36">
        <f t="shared" si="48"/>
        <v>0.19136</v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85.303030303030297</v>
      </c>
      <c r="BN426" s="64">
        <f t="shared" si="50"/>
        <v>90.08</v>
      </c>
      <c r="BO426" s="64">
        <f t="shared" si="51"/>
        <v>0.14568764568764569</v>
      </c>
      <c r="BP426" s="64">
        <f t="shared" si="52"/>
        <v>0.15384615384615385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5"/>
      <c r="B432" s="556"/>
      <c r="C432" s="556"/>
      <c r="D432" s="556"/>
      <c r="E432" s="556"/>
      <c r="F432" s="556"/>
      <c r="G432" s="556"/>
      <c r="H432" s="556"/>
      <c r="I432" s="556"/>
      <c r="J432" s="556"/>
      <c r="K432" s="556"/>
      <c r="L432" s="556"/>
      <c r="M432" s="556"/>
      <c r="N432" s="556"/>
      <c r="O432" s="557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18.939393939393938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0.2392</v>
      </c>
      <c r="AA432" s="544"/>
      <c r="AB432" s="544"/>
      <c r="AC432" s="544"/>
    </row>
    <row r="433" spans="1:68" x14ac:dyDescent="0.2">
      <c r="A433" s="556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57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100</v>
      </c>
      <c r="Y433" s="543">
        <f>IFERROR(SUM(Y421:Y431),"0")</f>
        <v>105.60000000000001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56"/>
      <c r="P434" s="556"/>
      <c r="Q434" s="556"/>
      <c r="R434" s="556"/>
      <c r="S434" s="556"/>
      <c r="T434" s="556"/>
      <c r="U434" s="556"/>
      <c r="V434" s="556"/>
      <c r="W434" s="556"/>
      <c r="X434" s="556"/>
      <c r="Y434" s="556"/>
      <c r="Z434" s="556"/>
      <c r="AA434" s="535"/>
      <c r="AB434" s="535"/>
      <c r="AC434" s="535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180</v>
      </c>
      <c r="Y435" s="542">
        <f>IFERROR(IF(X435="",0,CEILING((X435/$H435),1)*$H435),"")</f>
        <v>184.8</v>
      </c>
      <c r="Z435" s="36">
        <f>IFERROR(IF(Y435=0,"",ROUNDUP(Y435/H435,0)*0.01196),"")</f>
        <v>0.41860000000000003</v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191.93181818181816</v>
      </c>
      <c r="BN435" s="64">
        <f>IFERROR(Y435*I435/H435,"0")</f>
        <v>197.04999999999998</v>
      </c>
      <c r="BO435" s="64">
        <f>IFERROR(1/J435*(X435/H435),"0")</f>
        <v>0.32779720279720276</v>
      </c>
      <c r="BP435" s="64">
        <f>IFERROR(1/J435*(Y435/H435),"0")</f>
        <v>0.33653846153846156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5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57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34.090909090909086</v>
      </c>
      <c r="Y438" s="543">
        <f>IFERROR(Y435/H435,"0")+IFERROR(Y436/H436,"0")+IFERROR(Y437/H437,"0")</f>
        <v>35</v>
      </c>
      <c r="Z438" s="543">
        <f>IFERROR(IF(Z435="",0,Z435),"0")+IFERROR(IF(Z436="",0,Z436),"0")+IFERROR(IF(Z437="",0,Z437),"0")</f>
        <v>0.41860000000000003</v>
      </c>
      <c r="AA438" s="544"/>
      <c r="AB438" s="544"/>
      <c r="AC438" s="544"/>
    </row>
    <row r="439" spans="1:68" x14ac:dyDescent="0.2">
      <c r="A439" s="556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7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180</v>
      </c>
      <c r="Y439" s="543">
        <f>IFERROR(SUM(Y435:Y437),"0")</f>
        <v>184.8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6"/>
      <c r="P440" s="556"/>
      <c r="Q440" s="556"/>
      <c r="R440" s="556"/>
      <c r="S440" s="556"/>
      <c r="T440" s="556"/>
      <c r="U440" s="556"/>
      <c r="V440" s="556"/>
      <c r="W440" s="556"/>
      <c r="X440" s="556"/>
      <c r="Y440" s="556"/>
      <c r="Z440" s="556"/>
      <c r="AA440" s="535"/>
      <c r="AB440" s="535"/>
      <c r="AC440" s="535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40</v>
      </c>
      <c r="Y442" s="542">
        <f t="shared" si="53"/>
        <v>42.24</v>
      </c>
      <c r="Z442" s="36">
        <f>IFERROR(IF(Y442=0,"",ROUNDUP(Y442/H442,0)*0.01196),"")</f>
        <v>9.5680000000000001E-2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42.651515151515149</v>
      </c>
      <c r="BN442" s="64">
        <f t="shared" si="55"/>
        <v>45.04</v>
      </c>
      <c r="BO442" s="64">
        <f t="shared" si="56"/>
        <v>7.2843822843822847E-2</v>
      </c>
      <c r="BP442" s="64">
        <f t="shared" si="57"/>
        <v>7.6923076923076927E-2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5"/>
      <c r="B447" s="556"/>
      <c r="C447" s="556"/>
      <c r="D447" s="556"/>
      <c r="E447" s="556"/>
      <c r="F447" s="556"/>
      <c r="G447" s="556"/>
      <c r="H447" s="556"/>
      <c r="I447" s="556"/>
      <c r="J447" s="556"/>
      <c r="K447" s="556"/>
      <c r="L447" s="556"/>
      <c r="M447" s="556"/>
      <c r="N447" s="556"/>
      <c r="O447" s="557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7.5757575757575752</v>
      </c>
      <c r="Y447" s="543">
        <f>IFERROR(Y441/H441,"0")+IFERROR(Y442/H442,"0")+IFERROR(Y443/H443,"0")+IFERROR(Y444/H444,"0")+IFERROR(Y445/H445,"0")+IFERROR(Y446/H446,"0")</f>
        <v>8</v>
      </c>
      <c r="Z447" s="543">
        <f>IFERROR(IF(Z441="",0,Z441),"0")+IFERROR(IF(Z442="",0,Z442),"0")+IFERROR(IF(Z443="",0,Z443),"0")+IFERROR(IF(Z444="",0,Z444),"0")+IFERROR(IF(Z445="",0,Z445),"0")+IFERROR(IF(Z446="",0,Z446),"0")</f>
        <v>9.5680000000000001E-2</v>
      </c>
      <c r="AA447" s="544"/>
      <c r="AB447" s="544"/>
      <c r="AC447" s="544"/>
    </row>
    <row r="448" spans="1:68" x14ac:dyDescent="0.2">
      <c r="A448" s="556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57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40</v>
      </c>
      <c r="Y448" s="543">
        <f>IFERROR(SUM(Y441:Y446),"0")</f>
        <v>42.24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56"/>
      <c r="P449" s="556"/>
      <c r="Q449" s="556"/>
      <c r="R449" s="556"/>
      <c r="S449" s="556"/>
      <c r="T449" s="556"/>
      <c r="U449" s="556"/>
      <c r="V449" s="556"/>
      <c r="W449" s="556"/>
      <c r="X449" s="556"/>
      <c r="Y449" s="556"/>
      <c r="Z449" s="556"/>
      <c r="AA449" s="535"/>
      <c r="AB449" s="535"/>
      <c r="AC449" s="535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5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57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6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57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697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9" t="s">
        <v>697</v>
      </c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36"/>
      <c r="AB456" s="536"/>
      <c r="AC456" s="536"/>
    </row>
    <row r="457" spans="1:68" ht="14.25" customHeight="1" x14ac:dyDescent="0.25">
      <c r="A457" s="558" t="s">
        <v>101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5"/>
      <c r="AB457" s="535"/>
      <c r="AC457" s="535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7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6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5"/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57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6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57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56"/>
      <c r="P464" s="556"/>
      <c r="Q464" s="556"/>
      <c r="R464" s="556"/>
      <c r="S464" s="556"/>
      <c r="T464" s="556"/>
      <c r="U464" s="556"/>
      <c r="V464" s="556"/>
      <c r="W464" s="556"/>
      <c r="X464" s="556"/>
      <c r="Y464" s="556"/>
      <c r="Z464" s="556"/>
      <c r="AA464" s="535"/>
      <c r="AB464" s="535"/>
      <c r="AC464" s="535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5"/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57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6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57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56"/>
      <c r="P470" s="556"/>
      <c r="Q470" s="556"/>
      <c r="R470" s="556"/>
      <c r="S470" s="556"/>
      <c r="T470" s="556"/>
      <c r="U470" s="556"/>
      <c r="V470" s="556"/>
      <c r="W470" s="556"/>
      <c r="X470" s="556"/>
      <c r="Y470" s="556"/>
      <c r="Z470" s="556"/>
      <c r="AA470" s="535"/>
      <c r="AB470" s="535"/>
      <c r="AC470" s="535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60</v>
      </c>
      <c r="Y472" s="542">
        <f>IFERROR(IF(X472="",0,CEILING((X472/$H472),1)*$H472),"")</f>
        <v>63</v>
      </c>
      <c r="Z472" s="36">
        <f>IFERROR(IF(Y472=0,"",ROUNDUP(Y472/H472,0)*0.00902),"")</f>
        <v>0.1353</v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63.571428571428569</v>
      </c>
      <c r="BN472" s="64">
        <f>IFERROR(Y472*I472/H472,"0")</f>
        <v>66.75</v>
      </c>
      <c r="BO472" s="64">
        <f>IFERROR(1/J472*(X472/H472),"0")</f>
        <v>0.10822510822510822</v>
      </c>
      <c r="BP472" s="64">
        <f>IFERROR(1/J472*(Y472/H472),"0")</f>
        <v>0.11363636363636365</v>
      </c>
    </row>
    <row r="473" spans="1:68" x14ac:dyDescent="0.2">
      <c r="A473" s="555"/>
      <c r="B473" s="556"/>
      <c r="C473" s="556"/>
      <c r="D473" s="556"/>
      <c r="E473" s="556"/>
      <c r="F473" s="556"/>
      <c r="G473" s="556"/>
      <c r="H473" s="556"/>
      <c r="I473" s="556"/>
      <c r="J473" s="556"/>
      <c r="K473" s="556"/>
      <c r="L473" s="556"/>
      <c r="M473" s="556"/>
      <c r="N473" s="556"/>
      <c r="O473" s="557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14.285714285714285</v>
      </c>
      <c r="Y473" s="543">
        <f>IFERROR(Y471/H471,"0")+IFERROR(Y472/H472,"0")</f>
        <v>15</v>
      </c>
      <c r="Z473" s="543">
        <f>IFERROR(IF(Z471="",0,Z471),"0")+IFERROR(IF(Z472="",0,Z472),"0")</f>
        <v>0.1353</v>
      </c>
      <c r="AA473" s="544"/>
      <c r="AB473" s="544"/>
      <c r="AC473" s="544"/>
    </row>
    <row r="474" spans="1:68" x14ac:dyDescent="0.2">
      <c r="A474" s="556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57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60</v>
      </c>
      <c r="Y474" s="543">
        <f>IFERROR(SUM(Y471:Y472),"0")</f>
        <v>63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56"/>
      <c r="P475" s="556"/>
      <c r="Q475" s="556"/>
      <c r="R475" s="556"/>
      <c r="S475" s="556"/>
      <c r="T475" s="556"/>
      <c r="U475" s="556"/>
      <c r="V475" s="556"/>
      <c r="W475" s="556"/>
      <c r="X475" s="556"/>
      <c r="Y475" s="556"/>
      <c r="Z475" s="556"/>
      <c r="AA475" s="535"/>
      <c r="AB475" s="535"/>
      <c r="AC475" s="535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16</v>
      </c>
      <c r="Y476" s="542">
        <f>IFERROR(IF(X476="",0,CEILING((X476/$H476),1)*$H476),"")</f>
        <v>18</v>
      </c>
      <c r="Z476" s="36">
        <f>IFERROR(IF(Y476=0,"",ROUNDUP(Y476/H476,0)*0.01898),"")</f>
        <v>3.7960000000000001E-2</v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16.87822222222222</v>
      </c>
      <c r="BN476" s="64">
        <f>IFERROR(Y476*I476/H476,"0")</f>
        <v>18.988</v>
      </c>
      <c r="BO476" s="64">
        <f>IFERROR(1/J476*(X476/H476),"0")</f>
        <v>2.7777777777777776E-2</v>
      </c>
      <c r="BP476" s="64">
        <f>IFERROR(1/J476*(Y476/H476),"0")</f>
        <v>3.125E-2</v>
      </c>
    </row>
    <row r="477" spans="1:68" x14ac:dyDescent="0.2">
      <c r="A477" s="555"/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7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1.7777777777777777</v>
      </c>
      <c r="Y477" s="543">
        <f>IFERROR(Y476/H476,"0")</f>
        <v>2</v>
      </c>
      <c r="Z477" s="543">
        <f>IFERROR(IF(Z476="",0,Z476),"0")</f>
        <v>3.7960000000000001E-2</v>
      </c>
      <c r="AA477" s="544"/>
      <c r="AB477" s="544"/>
      <c r="AC477" s="544"/>
    </row>
    <row r="478" spans="1:68" x14ac:dyDescent="0.2">
      <c r="A478" s="556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57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16</v>
      </c>
      <c r="Y478" s="543">
        <f>IFERROR(SUM(Y476:Y476),"0")</f>
        <v>18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56"/>
      <c r="P479" s="556"/>
      <c r="Q479" s="556"/>
      <c r="R479" s="556"/>
      <c r="S479" s="556"/>
      <c r="T479" s="556"/>
      <c r="U479" s="556"/>
      <c r="V479" s="556"/>
      <c r="W479" s="556"/>
      <c r="X479" s="556"/>
      <c r="Y479" s="556"/>
      <c r="Z479" s="556"/>
      <c r="AA479" s="535"/>
      <c r="AB479" s="535"/>
      <c r="AC479" s="535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5"/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7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6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57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733</v>
      </c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56"/>
      <c r="P484" s="556"/>
      <c r="Q484" s="556"/>
      <c r="R484" s="556"/>
      <c r="S484" s="556"/>
      <c r="T484" s="556"/>
      <c r="U484" s="556"/>
      <c r="V484" s="556"/>
      <c r="W484" s="556"/>
      <c r="X484" s="556"/>
      <c r="Y484" s="556"/>
      <c r="Z484" s="556"/>
      <c r="AA484" s="536"/>
      <c r="AB484" s="536"/>
      <c r="AC484" s="536"/>
    </row>
    <row r="485" spans="1:68" ht="14.25" customHeight="1" x14ac:dyDescent="0.25">
      <c r="A485" s="558" t="s">
        <v>136</v>
      </c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35"/>
      <c r="AB485" s="535"/>
      <c r="AC485" s="535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5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7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6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57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700"/>
      <c r="P489" s="629" t="s">
        <v>737</v>
      </c>
      <c r="Q489" s="630"/>
      <c r="R489" s="630"/>
      <c r="S489" s="630"/>
      <c r="T489" s="630"/>
      <c r="U489" s="630"/>
      <c r="V489" s="631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4160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4241.7199999999993</v>
      </c>
      <c r="Z489" s="37"/>
      <c r="AA489" s="544"/>
      <c r="AB489" s="544"/>
      <c r="AC489" s="544"/>
    </row>
    <row r="490" spans="1:68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700"/>
      <c r="P490" s="629" t="s">
        <v>738</v>
      </c>
      <c r="Q490" s="630"/>
      <c r="R490" s="630"/>
      <c r="S490" s="630"/>
      <c r="T490" s="630"/>
      <c r="U490" s="630"/>
      <c r="V490" s="631"/>
      <c r="W490" s="37" t="s">
        <v>69</v>
      </c>
      <c r="X490" s="543">
        <f>IFERROR(SUM(BM22:BM486),"0")</f>
        <v>4364.8411583991065</v>
      </c>
      <c r="Y490" s="543">
        <f>IFERROR(SUM(BN22:BN486),"0")</f>
        <v>4450.8100000000004</v>
      </c>
      <c r="Z490" s="37"/>
      <c r="AA490" s="544"/>
      <c r="AB490" s="544"/>
      <c r="AC490" s="544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700"/>
      <c r="P491" s="629" t="s">
        <v>739</v>
      </c>
      <c r="Q491" s="630"/>
      <c r="R491" s="630"/>
      <c r="S491" s="630"/>
      <c r="T491" s="630"/>
      <c r="U491" s="630"/>
      <c r="V491" s="631"/>
      <c r="W491" s="37" t="s">
        <v>740</v>
      </c>
      <c r="X491" s="38">
        <f>ROUNDUP(SUM(BO22:BO486),0)</f>
        <v>8</v>
      </c>
      <c r="Y491" s="38">
        <f>ROUNDUP(SUM(BP22:BP486),0)</f>
        <v>8</v>
      </c>
      <c r="Z491" s="37"/>
      <c r="AA491" s="544"/>
      <c r="AB491" s="544"/>
      <c r="AC491" s="544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700"/>
      <c r="P492" s="629" t="s">
        <v>741</v>
      </c>
      <c r="Q492" s="630"/>
      <c r="R492" s="630"/>
      <c r="S492" s="630"/>
      <c r="T492" s="630"/>
      <c r="U492" s="630"/>
      <c r="V492" s="631"/>
      <c r="W492" s="37" t="s">
        <v>69</v>
      </c>
      <c r="X492" s="543">
        <f>GrossWeightTotal+PalletQtyTotal*25</f>
        <v>4564.8411583991065</v>
      </c>
      <c r="Y492" s="543">
        <f>GrossWeightTotalR+PalletQtyTotalR*25</f>
        <v>4650.8100000000004</v>
      </c>
      <c r="Z492" s="37"/>
      <c r="AA492" s="544"/>
      <c r="AB492" s="544"/>
      <c r="AC492" s="544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700"/>
      <c r="P493" s="629" t="s">
        <v>742</v>
      </c>
      <c r="Q493" s="630"/>
      <c r="R493" s="630"/>
      <c r="S493" s="630"/>
      <c r="T493" s="630"/>
      <c r="U493" s="630"/>
      <c r="V493" s="631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492.67945991630199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504</v>
      </c>
      <c r="Z493" s="37"/>
      <c r="AA493" s="544"/>
      <c r="AB493" s="544"/>
      <c r="AC493" s="544"/>
    </row>
    <row r="494" spans="1:68" ht="14.25" customHeight="1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700"/>
      <c r="P494" s="629" t="s">
        <v>743</v>
      </c>
      <c r="Q494" s="630"/>
      <c r="R494" s="630"/>
      <c r="S494" s="630"/>
      <c r="T494" s="630"/>
      <c r="U494" s="630"/>
      <c r="V494" s="631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8.4499200000000005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3" t="s">
        <v>63</v>
      </c>
      <c r="C496" s="592" t="s">
        <v>99</v>
      </c>
      <c r="D496" s="653"/>
      <c r="E496" s="653"/>
      <c r="F496" s="653"/>
      <c r="G496" s="653"/>
      <c r="H496" s="621"/>
      <c r="I496" s="592" t="s">
        <v>251</v>
      </c>
      <c r="J496" s="653"/>
      <c r="K496" s="653"/>
      <c r="L496" s="653"/>
      <c r="M496" s="653"/>
      <c r="N496" s="653"/>
      <c r="O496" s="653"/>
      <c r="P496" s="653"/>
      <c r="Q496" s="653"/>
      <c r="R496" s="621"/>
      <c r="S496" s="592" t="s">
        <v>535</v>
      </c>
      <c r="T496" s="621"/>
      <c r="U496" s="592" t="s">
        <v>586</v>
      </c>
      <c r="V496" s="653"/>
      <c r="W496" s="621"/>
      <c r="X496" s="533" t="s">
        <v>637</v>
      </c>
      <c r="Y496" s="592" t="s">
        <v>697</v>
      </c>
      <c r="Z496" s="621"/>
      <c r="AB496" s="52"/>
      <c r="AC496" s="52"/>
      <c r="AF496" s="534"/>
    </row>
    <row r="497" spans="1:32" ht="14.25" customHeight="1" thickTop="1" x14ac:dyDescent="0.2">
      <c r="A497" s="835" t="s">
        <v>746</v>
      </c>
      <c r="B497" s="592" t="s">
        <v>63</v>
      </c>
      <c r="C497" s="592" t="s">
        <v>100</v>
      </c>
      <c r="D497" s="592" t="s">
        <v>117</v>
      </c>
      <c r="E497" s="592" t="s">
        <v>171</v>
      </c>
      <c r="F497" s="592" t="s">
        <v>190</v>
      </c>
      <c r="G497" s="592" t="s">
        <v>220</v>
      </c>
      <c r="H497" s="592" t="s">
        <v>99</v>
      </c>
      <c r="I497" s="592" t="s">
        <v>252</v>
      </c>
      <c r="J497" s="592" t="s">
        <v>297</v>
      </c>
      <c r="K497" s="592" t="s">
        <v>356</v>
      </c>
      <c r="L497" s="592" t="s">
        <v>398</v>
      </c>
      <c r="M497" s="592" t="s">
        <v>414</v>
      </c>
      <c r="N497" s="534"/>
      <c r="O497" s="592" t="s">
        <v>425</v>
      </c>
      <c r="P497" s="592" t="s">
        <v>434</v>
      </c>
      <c r="Q497" s="592" t="s">
        <v>448</v>
      </c>
      <c r="R497" s="592" t="s">
        <v>525</v>
      </c>
      <c r="S497" s="592" t="s">
        <v>536</v>
      </c>
      <c r="T497" s="592" t="s">
        <v>570</v>
      </c>
      <c r="U497" s="592" t="s">
        <v>587</v>
      </c>
      <c r="V497" s="592" t="s">
        <v>618</v>
      </c>
      <c r="W497" s="592" t="s">
        <v>633</v>
      </c>
      <c r="X497" s="592" t="s">
        <v>637</v>
      </c>
      <c r="Y497" s="592" t="s">
        <v>697</v>
      </c>
      <c r="Z497" s="592" t="s">
        <v>733</v>
      </c>
      <c r="AB497" s="52"/>
      <c r="AC497" s="52"/>
      <c r="AF497" s="534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4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4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291.60000000000002</v>
      </c>
      <c r="E499" s="46">
        <f>IFERROR(Y85*1,"0")+IFERROR(Y86*1,"0")+IFERROR(Y87*1,"0")+IFERROR(Y91*1,"0")+IFERROR(Y92*1,"0")+IFERROR(Y93*1,"0")+IFERROR(Y94*1,"0")</f>
        <v>183.60000000000002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105.3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1545.6799999999998</v>
      </c>
      <c r="R499" s="46">
        <f>IFERROR(Y335*1,"0")+IFERROR(Y336*1,"0")+IFERROR(Y337*1,"0")</f>
        <v>56.699999999999996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990</v>
      </c>
      <c r="T499" s="46">
        <f>IFERROR(Y368*1,"0")+IFERROR(Y369*1,"0")+IFERROR(Y373*1,"0")+IFERROR(Y374*1,"0")+IFERROR(Y378*1,"0")+IFERROR(Y379*1,"0")</f>
        <v>477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75.600000000000009</v>
      </c>
      <c r="V499" s="46">
        <f>IFERROR(Y403*1,"0")+IFERROR(Y407*1,"0")+IFERROR(Y408*1,"0")+IFERROR(Y409*1,"0")+IFERROR(Y410*1,"0")</f>
        <v>102.60000000000001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332.64000000000004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81</v>
      </c>
      <c r="Z499" s="46">
        <f>IFERROR(Y486*1,"0")</f>
        <v>0</v>
      </c>
      <c r="AB499" s="52"/>
      <c r="AC499" s="52"/>
      <c r="AF499" s="534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79:Z479"/>
    <mergeCell ref="D471:E471"/>
    <mergeCell ref="I497:I498"/>
    <mergeCell ref="X17:X18"/>
    <mergeCell ref="P202:T202"/>
    <mergeCell ref="P373:T373"/>
    <mergeCell ref="D421:E421"/>
    <mergeCell ref="P444:T444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D42:E42"/>
    <mergeCell ref="P356:V356"/>
    <mergeCell ref="P363:T363"/>
    <mergeCell ref="A468:O469"/>
    <mergeCell ref="D17:E18"/>
    <mergeCell ref="D344:E344"/>
    <mergeCell ref="P23:V23"/>
    <mergeCell ref="P381:V381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P85:T85"/>
    <mergeCell ref="A142:O143"/>
    <mergeCell ref="P60:T60"/>
    <mergeCell ref="D291:E291"/>
    <mergeCell ref="P174:T174"/>
    <mergeCell ref="D266:E266"/>
    <mergeCell ref="U17:V17"/>
    <mergeCell ref="Y17:Y18"/>
    <mergeCell ref="Q5:R5"/>
    <mergeCell ref="F17:F18"/>
    <mergeCell ref="P132:V132"/>
    <mergeCell ref="P199:T199"/>
    <mergeCell ref="P435:T435"/>
    <mergeCell ref="D107:E107"/>
    <mergeCell ref="D163:E163"/>
    <mergeCell ref="D278:E278"/>
    <mergeCell ref="P291:T291"/>
    <mergeCell ref="P263:T263"/>
    <mergeCell ref="P305:V305"/>
    <mergeCell ref="P228:T228"/>
    <mergeCell ref="P293:T293"/>
    <mergeCell ref="D336:E336"/>
    <mergeCell ref="D407:E407"/>
    <mergeCell ref="Q6:R6"/>
    <mergeCell ref="P200:T200"/>
    <mergeCell ref="P134:T134"/>
    <mergeCell ref="P292:T292"/>
    <mergeCell ref="A360:O361"/>
    <mergeCell ref="D102:E102"/>
    <mergeCell ref="P81:V81"/>
    <mergeCell ref="A33:Z33"/>
    <mergeCell ref="D196:E196"/>
    <mergeCell ref="AD17:AF18"/>
    <mergeCell ref="D101:E101"/>
    <mergeCell ref="P142:V142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P317:T317"/>
    <mergeCell ref="A136:O137"/>
    <mergeCell ref="A192:O193"/>
    <mergeCell ref="D279:E279"/>
    <mergeCell ref="D323:E323"/>
    <mergeCell ref="W497:W498"/>
    <mergeCell ref="D10:E10"/>
    <mergeCell ref="A23:O24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D265:E265"/>
    <mergeCell ref="P344:T344"/>
    <mergeCell ref="A20:Z20"/>
    <mergeCell ref="P371:V371"/>
    <mergeCell ref="D452:E452"/>
    <mergeCell ref="P493:V493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D170:E170"/>
    <mergeCell ref="M17:M18"/>
    <mergeCell ref="O17:O18"/>
    <mergeCell ref="P336:T336"/>
    <mergeCell ref="P131:V131"/>
    <mergeCell ref="P187:V187"/>
    <mergeCell ref="A453:O454"/>
    <mergeCell ref="P430:T430"/>
    <mergeCell ref="P494:V494"/>
    <mergeCell ref="P350:V350"/>
    <mergeCell ref="A297:Z297"/>
    <mergeCell ref="P102:T102"/>
    <mergeCell ref="P196:T196"/>
    <mergeCell ref="P281:V281"/>
    <mergeCell ref="D226:E226"/>
    <mergeCell ref="P354:T354"/>
    <mergeCell ref="D164:E164"/>
    <mergeCell ref="P62:T62"/>
    <mergeCell ref="A31:O32"/>
    <mergeCell ref="N17:N18"/>
    <mergeCell ref="P72:T72"/>
    <mergeCell ref="A447:O448"/>
    <mergeCell ref="P436:T436"/>
    <mergeCell ref="A487:O488"/>
    <mergeCell ref="A269:Z269"/>
    <mergeCell ref="D386:E386"/>
    <mergeCell ref="P465:T465"/>
    <mergeCell ref="P250:V250"/>
    <mergeCell ref="A364:O365"/>
    <mergeCell ref="P492:V492"/>
    <mergeCell ref="B497:B498"/>
    <mergeCell ref="A103:O104"/>
    <mergeCell ref="P286:V286"/>
    <mergeCell ref="P415:T415"/>
    <mergeCell ref="S496:T496"/>
    <mergeCell ref="U497:U498"/>
    <mergeCell ref="I496:R496"/>
    <mergeCell ref="A497:A498"/>
    <mergeCell ref="T497:T498"/>
    <mergeCell ref="A440:Z440"/>
    <mergeCell ref="V497:V498"/>
    <mergeCell ref="A126:O127"/>
    <mergeCell ref="P294:T294"/>
    <mergeCell ref="A489:O494"/>
    <mergeCell ref="P385:T385"/>
    <mergeCell ref="P410:T410"/>
    <mergeCell ref="A484:Z484"/>
    <mergeCell ref="G497:G498"/>
    <mergeCell ref="Q497:Q498"/>
    <mergeCell ref="L497:L498"/>
    <mergeCell ref="A318:O319"/>
    <mergeCell ref="P47:V47"/>
    <mergeCell ref="P176:T176"/>
    <mergeCell ref="P114:T114"/>
    <mergeCell ref="P247:T247"/>
    <mergeCell ref="P241:T241"/>
    <mergeCell ref="P41:T41"/>
    <mergeCell ref="D22:E22"/>
    <mergeCell ref="A35:O36"/>
    <mergeCell ref="A455:Z455"/>
    <mergeCell ref="A222:Z222"/>
    <mergeCell ref="P301:T301"/>
    <mergeCell ref="D385:E385"/>
    <mergeCell ref="P34:T34"/>
    <mergeCell ref="D86:E86"/>
    <mergeCell ref="P214:T214"/>
    <mergeCell ref="D257:E257"/>
    <mergeCell ref="D213:E213"/>
    <mergeCell ref="D151:E151"/>
    <mergeCell ref="P192:V192"/>
    <mergeCell ref="A457:Z457"/>
    <mergeCell ref="P107:T107"/>
    <mergeCell ref="P278:T278"/>
    <mergeCell ref="A9:C9"/>
    <mergeCell ref="P125:T125"/>
    <mergeCell ref="P321:T321"/>
    <mergeCell ref="D202:E202"/>
    <mergeCell ref="D373:E373"/>
    <mergeCell ref="A242:O243"/>
    <mergeCell ref="P112:T112"/>
    <mergeCell ref="A179:Z179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156:Z156"/>
    <mergeCell ref="A327:Z327"/>
    <mergeCell ref="P116:V116"/>
    <mergeCell ref="P32:V32"/>
    <mergeCell ref="P474:V474"/>
    <mergeCell ref="P103:V103"/>
    <mergeCell ref="Q13:R13"/>
    <mergeCell ref="A155:Z155"/>
    <mergeCell ref="H5:M5"/>
    <mergeCell ref="P31:V31"/>
    <mergeCell ref="P473:V473"/>
    <mergeCell ref="P158:V158"/>
    <mergeCell ref="A154:Z154"/>
    <mergeCell ref="D212:E212"/>
    <mergeCell ref="D146:E146"/>
    <mergeCell ref="P225:T225"/>
    <mergeCell ref="D317:E317"/>
    <mergeCell ref="D6:M6"/>
    <mergeCell ref="A341:Z341"/>
    <mergeCell ref="A456:Z456"/>
    <mergeCell ref="D304:E304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P93:T93"/>
    <mergeCell ref="P226:T226"/>
    <mergeCell ref="D85:E85"/>
    <mergeCell ref="P164:T164"/>
    <mergeCell ref="D207:E207"/>
    <mergeCell ref="P120:V120"/>
    <mergeCell ref="D256:E256"/>
    <mergeCell ref="P335:T335"/>
    <mergeCell ref="D481:E481"/>
    <mergeCell ref="D299:E299"/>
    <mergeCell ref="P405:V405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A401:Z401"/>
    <mergeCell ref="G17:G18"/>
    <mergeCell ref="P57:V57"/>
    <mergeCell ref="A81:O82"/>
    <mergeCell ref="A152:O153"/>
    <mergeCell ref="P171:V171"/>
    <mergeCell ref="P242:V242"/>
    <mergeCell ref="D80:E80"/>
    <mergeCell ref="P121:V121"/>
    <mergeCell ref="P148:V148"/>
    <mergeCell ref="P130:T130"/>
    <mergeCell ref="P190:T190"/>
    <mergeCell ref="H10:M10"/>
    <mergeCell ref="AA17:AA18"/>
    <mergeCell ref="P212:T212"/>
    <mergeCell ref="AC17:AC18"/>
    <mergeCell ref="A377:Z377"/>
    <mergeCell ref="A122:Z122"/>
    <mergeCell ref="P108:T108"/>
    <mergeCell ref="P279:T279"/>
    <mergeCell ref="D393:E393"/>
    <mergeCell ref="P254:T254"/>
    <mergeCell ref="P343:T343"/>
    <mergeCell ref="A288:Z288"/>
    <mergeCell ref="P46:T46"/>
    <mergeCell ref="D225:E225"/>
    <mergeCell ref="P61:T61"/>
    <mergeCell ref="D200:E200"/>
    <mergeCell ref="P359:T359"/>
    <mergeCell ref="D292:E292"/>
    <mergeCell ref="A305:O306"/>
    <mergeCell ref="P346:T346"/>
    <mergeCell ref="D227:E227"/>
    <mergeCell ref="P268:V268"/>
    <mergeCell ref="P339:V339"/>
    <mergeCell ref="P201:T201"/>
    <mergeCell ref="D427:E427"/>
    <mergeCell ref="P27:T27"/>
    <mergeCell ref="D75:E75"/>
    <mergeCell ref="D206:E206"/>
    <mergeCell ref="P390:T390"/>
    <mergeCell ref="P483:V483"/>
    <mergeCell ref="D298:E298"/>
    <mergeCell ref="P91:T91"/>
    <mergeCell ref="P404:V404"/>
    <mergeCell ref="D273:E273"/>
    <mergeCell ref="P468:V468"/>
    <mergeCell ref="A160:Z160"/>
    <mergeCell ref="A464:Z464"/>
    <mergeCell ref="A420:Z420"/>
    <mergeCell ref="P472:T472"/>
    <mergeCell ref="A462:O463"/>
    <mergeCell ref="D459:E459"/>
    <mergeCell ref="P482:V482"/>
    <mergeCell ref="P409:T409"/>
    <mergeCell ref="A399:O400"/>
    <mergeCell ref="D461:E461"/>
    <mergeCell ref="D436:E436"/>
    <mergeCell ref="D389:E389"/>
    <mergeCell ref="D321:E321"/>
    <mergeCell ref="C497:C498"/>
    <mergeCell ref="E497:E498"/>
    <mergeCell ref="P220:V220"/>
    <mergeCell ref="P248:T248"/>
    <mergeCell ref="P441:T441"/>
    <mergeCell ref="D51:E51"/>
    <mergeCell ref="D349:E349"/>
    <mergeCell ref="D476:E476"/>
    <mergeCell ref="A38:Z38"/>
    <mergeCell ref="P207:T207"/>
    <mergeCell ref="A131:O132"/>
    <mergeCell ref="A372:Z372"/>
    <mergeCell ref="P172:V172"/>
    <mergeCell ref="P299:T299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140:E140"/>
    <mergeCell ref="A340:Z340"/>
    <mergeCell ref="J9:M9"/>
    <mergeCell ref="D112:E112"/>
    <mergeCell ref="D283:E283"/>
    <mergeCell ref="A418:Z418"/>
    <mergeCell ref="D348:E348"/>
    <mergeCell ref="D62:E62"/>
    <mergeCell ref="P141:T141"/>
    <mergeCell ref="P454:V454"/>
    <mergeCell ref="D56:E56"/>
    <mergeCell ref="P206:T206"/>
    <mergeCell ref="P233:T233"/>
    <mergeCell ref="D176:E176"/>
    <mergeCell ref="P304:T304"/>
    <mergeCell ref="D114:E114"/>
    <mergeCell ref="D347:E347"/>
    <mergeCell ref="D425:E425"/>
    <mergeCell ref="D359:E359"/>
    <mergeCell ref="H17:H18"/>
    <mergeCell ref="A220:O221"/>
    <mergeCell ref="P161:T161"/>
    <mergeCell ref="P388:T388"/>
    <mergeCell ref="D198:E198"/>
    <mergeCell ref="P104:V104"/>
    <mergeCell ref="A252:Z252"/>
    <mergeCell ref="P451:T451"/>
    <mergeCell ref="P126:V126"/>
    <mergeCell ref="A470:Z470"/>
    <mergeCell ref="D424:E424"/>
    <mergeCell ref="P224:T224"/>
    <mergeCell ref="A285:O286"/>
    <mergeCell ref="P322:T322"/>
    <mergeCell ref="P211:T211"/>
    <mergeCell ref="P309:T309"/>
    <mergeCell ref="P324:T324"/>
    <mergeCell ref="A261:Z261"/>
    <mergeCell ref="P338:V338"/>
    <mergeCell ref="P313:V313"/>
    <mergeCell ref="A138:Z138"/>
    <mergeCell ref="D254:E254"/>
    <mergeCell ref="A367:Z367"/>
    <mergeCell ref="A183:Z183"/>
    <mergeCell ref="D346:E346"/>
    <mergeCell ref="P229:T229"/>
    <mergeCell ref="A419:Z419"/>
    <mergeCell ref="A133:Z133"/>
    <mergeCell ref="P446:T446"/>
    <mergeCell ref="P459:T459"/>
    <mergeCell ref="D465:E465"/>
    <mergeCell ref="T5:U5"/>
    <mergeCell ref="D119:E119"/>
    <mergeCell ref="V5:W5"/>
    <mergeCell ref="D190:E190"/>
    <mergeCell ref="D46:E46"/>
    <mergeCell ref="D246:E246"/>
    <mergeCell ref="P374:T374"/>
    <mergeCell ref="D40:E40"/>
    <mergeCell ref="D233:E233"/>
    <mergeCell ref="A295:O296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39:Z139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D201:E201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335:E335"/>
    <mergeCell ref="A375:O376"/>
    <mergeCell ref="P245:T245"/>
    <mergeCell ref="P51:T51"/>
    <mergeCell ref="P26:T26"/>
    <mergeCell ref="P58:V58"/>
    <mergeCell ref="A13:M13"/>
    <mergeCell ref="D61:E61"/>
    <mergeCell ref="P115:T115"/>
    <mergeCell ref="A15:M15"/>
    <mergeCell ref="A88:O89"/>
    <mergeCell ref="D125:E125"/>
    <mergeCell ref="P275:V275"/>
    <mergeCell ref="P63:V63"/>
    <mergeCell ref="P101:T101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D91:E91"/>
    <mergeCell ref="P219:T219"/>
    <mergeCell ref="D162:E162"/>
    <mergeCell ref="A69:O70"/>
    <mergeCell ref="P272:T272"/>
    <mergeCell ref="P210:T210"/>
    <mergeCell ref="D398:E398"/>
    <mergeCell ref="P439:V439"/>
    <mergeCell ref="A267:O268"/>
    <mergeCell ref="P308:T308"/>
    <mergeCell ref="P433:V433"/>
    <mergeCell ref="A438:O439"/>
    <mergeCell ref="D106:E106"/>
    <mergeCell ref="P185:T185"/>
    <mergeCell ref="P427:T427"/>
    <mergeCell ref="P283:T283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181:V181"/>
    <mergeCell ref="A98:Z98"/>
    <mergeCell ref="A396:Z396"/>
    <mergeCell ref="P306:V306"/>
    <mergeCell ref="D460:E460"/>
    <mergeCell ref="D93:E93"/>
    <mergeCell ref="D264:E264"/>
    <mergeCell ref="D391:E391"/>
    <mergeCell ref="P370:V370"/>
    <mergeCell ref="A394:O395"/>
    <mergeCell ref="D157:E157"/>
    <mergeCell ref="D328:E328"/>
    <mergeCell ref="P491:V491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U496:W496"/>
    <mergeCell ref="P180:T180"/>
    <mergeCell ref="P167:T167"/>
    <mergeCell ref="D26:E26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A203:O204"/>
    <mergeCell ref="P169:T169"/>
    <mergeCell ref="A274:O275"/>
    <mergeCell ref="D388:E388"/>
    <mergeCell ref="P442:T442"/>
    <mergeCell ref="P467:T467"/>
    <mergeCell ref="P489:V489"/>
    <mergeCell ref="P119:T119"/>
    <mergeCell ref="A43:O44"/>
    <mergeCell ref="P246:T246"/>
    <mergeCell ref="P127:V127"/>
    <mergeCell ref="P497:P498"/>
    <mergeCell ref="D229:E229"/>
    <mergeCell ref="A402:Z402"/>
    <mergeCell ref="R497:R498"/>
    <mergeCell ref="D108:E108"/>
    <mergeCell ref="P258:T258"/>
    <mergeCell ref="P429:T429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267:V267"/>
    <mergeCell ref="P463:V463"/>
    <mergeCell ref="D451:E451"/>
    <mergeCell ref="D255:E255"/>
    <mergeCell ref="P478:V478"/>
    <mergeCell ref="D322:E322"/>
    <mergeCell ref="O497:O498"/>
    <mergeCell ref="D309:E309"/>
    <mergeCell ref="P490:V490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D329:E329"/>
    <mergeCell ref="P52:T52"/>
    <mergeCell ref="I17:I18"/>
    <mergeCell ref="D72:E72"/>
    <mergeCell ref="P36:V36"/>
    <mergeCell ref="A97:Z97"/>
    <mergeCell ref="D113:E113"/>
    <mergeCell ref="A123:Z123"/>
    <mergeCell ref="D390:E390"/>
    <mergeCell ref="P197:T197"/>
    <mergeCell ref="P53:T53"/>
    <mergeCell ref="D167:E167"/>
    <mergeCell ref="D445:E445"/>
    <mergeCell ref="D224:E224"/>
    <mergeCell ref="P230:T230"/>
    <mergeCell ref="P168:T168"/>
    <mergeCell ref="D211:E211"/>
    <mergeCell ref="D1:F1"/>
    <mergeCell ref="P466:T466"/>
    <mergeCell ref="A71:Z71"/>
    <mergeCell ref="P488:V488"/>
    <mergeCell ref="A307:Z307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A6:C6"/>
    <mergeCell ref="Q12:R12"/>
    <mergeCell ref="F9:G9"/>
    <mergeCell ref="D161:E161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D145:E145"/>
    <mergeCell ref="P273:T273"/>
    <mergeCell ref="D316:E316"/>
    <mergeCell ref="D272:E272"/>
    <mergeCell ref="D387:E387"/>
    <mergeCell ref="D210:E210"/>
    <mergeCell ref="D443:E443"/>
    <mergeCell ref="A250:O251"/>
    <mergeCell ref="Y496:Z496"/>
    <mergeCell ref="D308:E308"/>
    <mergeCell ref="D87:E87"/>
    <mergeCell ref="P166:T166"/>
    <mergeCell ref="D147:E147"/>
    <mergeCell ref="P188:V188"/>
    <mergeCell ref="A187:O188"/>
    <mergeCell ref="H1:Q1"/>
    <mergeCell ref="P109:V109"/>
    <mergeCell ref="P280:V280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209:E209"/>
    <mergeCell ref="D7:M7"/>
    <mergeCell ref="D129:E129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100:T100"/>
    <mergeCell ref="P271:T271"/>
    <mergeCell ref="P94:T94"/>
    <mergeCell ref="P265:T265"/>
    <mergeCell ref="D208:E208"/>
    <mergeCell ref="D8:M8"/>
    <mergeCell ref="D379:E379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J497:J498"/>
    <mergeCell ref="P395:V395"/>
    <mergeCell ref="P209:T209"/>
    <mergeCell ref="P147:T147"/>
    <mergeCell ref="P445:T445"/>
    <mergeCell ref="W17:W18"/>
    <mergeCell ref="A50:Z50"/>
    <mergeCell ref="P96:V96"/>
    <mergeCell ref="A434:Z434"/>
    <mergeCell ref="P332:V332"/>
    <mergeCell ref="A331:O332"/>
    <mergeCell ref="A384:Z384"/>
    <mergeCell ref="A449:Z449"/>
    <mergeCell ref="P325:V325"/>
    <mergeCell ref="A150:Z150"/>
    <mergeCell ref="A144:Z144"/>
    <mergeCell ref="A120:O121"/>
    <mergeCell ref="D378:E378"/>
    <mergeCell ref="P458:T458"/>
    <mergeCell ref="P487:V487"/>
    <mergeCell ref="P182:V182"/>
    <mergeCell ref="P476:T476"/>
    <mergeCell ref="P407:T407"/>
    <mergeCell ref="P477:V477"/>
    <mergeCell ref="D124:E124"/>
    <mergeCell ref="P56:T56"/>
    <mergeCell ref="V10:W10"/>
    <mergeCell ref="D195:E195"/>
    <mergeCell ref="P379:T379"/>
    <mergeCell ref="D431:E431"/>
    <mergeCell ref="P99:T99"/>
    <mergeCell ref="P170:T170"/>
    <mergeCell ref="D66:E66"/>
    <mergeCell ref="P145:T145"/>
    <mergeCell ref="P316:T316"/>
    <mergeCell ref="P443:T443"/>
    <mergeCell ref="D197:E197"/>
    <mergeCell ref="D53:E53"/>
    <mergeCell ref="A84:Z84"/>
    <mergeCell ref="P159:V159"/>
    <mergeCell ref="D289:E289"/>
    <mergeCell ref="A473:O474"/>
    <mergeCell ref="P471:T471"/>
    <mergeCell ref="D245:E245"/>
    <mergeCell ref="A282:Z282"/>
    <mergeCell ref="D301:E301"/>
    <mergeCell ref="P337:T337"/>
    <mergeCell ref="D486:E486"/>
    <mergeCell ref="P86:T86"/>
    <mergeCell ref="P157:T157"/>
    <mergeCell ref="D134:E134"/>
    <mergeCell ref="P213:T213"/>
    <mergeCell ref="P328:T328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P30:T30"/>
    <mergeCell ref="D73:E73"/>
    <mergeCell ref="P77:V77"/>
    <mergeCell ref="A76:O77"/>
    <mergeCell ref="P375:V375"/>
    <mergeCell ref="P290:T290"/>
    <mergeCell ref="P452:T452"/>
    <mergeCell ref="P448:V448"/>
    <mergeCell ref="A63:O64"/>
    <mergeCell ref="D472:E472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P88:V88"/>
    <mergeCell ref="P259:V259"/>
    <mergeCell ref="A78:Z78"/>
    <mergeCell ref="P153:V153"/>
    <mergeCell ref="A205:Z205"/>
    <mergeCell ref="A350:O351"/>
    <mergeCell ref="D263:E263"/>
    <mergeCell ref="A65:Z65"/>
    <mergeCell ref="P391:T391"/>
    <mergeCell ref="D426:E426"/>
    <mergeCell ref="A234:O235"/>
    <mergeCell ref="B17:B18"/>
    <mergeCell ref="P143:V143"/>
    <mergeCell ref="P79:T79"/>
    <mergeCell ref="D60:E60"/>
    <mergeCell ref="P73:T73"/>
    <mergeCell ref="P315:T315"/>
    <mergeCell ref="P437:T437"/>
    <mergeCell ref="P231:T231"/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A171:O172"/>
    <mergeCell ref="P235:V235"/>
    <mergeCell ref="D258:E258"/>
    <mergeCell ref="A105:Z105"/>
    <mergeCell ref="P289:T289"/>
    <mergeCell ref="D232:E232"/>
    <mergeCell ref="D403:E403"/>
    <mergeCell ref="P422:T422"/>
    <mergeCell ref="P136:V136"/>
    <mergeCell ref="A253:Z25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2025-11-25T08:44:57Z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