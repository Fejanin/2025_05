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572C6C1E-C0CB-4E6F-AAF5-AE210FC847B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Лист1!$B$3:$I$59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60" i="1" l="1"/>
  <c r="I56" i="1"/>
  <c r="I55" i="1"/>
  <c r="I51" i="1"/>
  <c r="I50" i="1"/>
  <c r="I49" i="1"/>
  <c r="I48" i="1"/>
  <c r="I45" i="1"/>
  <c r="I44" i="1"/>
  <c r="I43" i="1"/>
  <c r="I42" i="1"/>
  <c r="I41" i="1"/>
  <c r="I40" i="1"/>
  <c r="I39" i="1"/>
  <c r="I38" i="1"/>
  <c r="I31" i="1"/>
  <c r="I30" i="1"/>
  <c r="I29" i="1"/>
  <c r="I28" i="1"/>
  <c r="I27" i="1"/>
  <c r="I26" i="1"/>
  <c r="I25" i="1"/>
  <c r="I21" i="1"/>
  <c r="I14" i="1"/>
  <c r="I13" i="1"/>
  <c r="I6" i="1"/>
  <c r="I5" i="1"/>
  <c r="I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4" i="1"/>
  <c r="K5" i="1" l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4" i="1"/>
  <c r="F59" i="1"/>
  <c r="E59" i="1"/>
  <c r="K59" i="1" l="1"/>
  <c r="J59" i="1"/>
</calcChain>
</file>

<file path=xl/sharedStrings.xml><?xml version="1.0" encoding="utf-8"?>
<sst xmlns="http://schemas.openxmlformats.org/spreadsheetml/2006/main" count="64" uniqueCount="62">
  <si>
    <t>кг/шт</t>
  </si>
  <si>
    <t>Банк</t>
  </si>
  <si>
    <t>Ветчина*****Нежн Особ Славн бол батон 2,5кг /15кг</t>
  </si>
  <si>
    <t>Молочная*****Особая Славница бол бат 2,5кг /15кг</t>
  </si>
  <si>
    <t>Нежная*****Славница вар Стародв 1,35кг / 10кг</t>
  </si>
  <si>
    <t>Особая*****со шпиком Славн бол.бат. 2,5кг / 16кг</t>
  </si>
  <si>
    <t>Сосис*****Сливушки Сливоч Вяз. мгу Стар.1,5 /9кг</t>
  </si>
  <si>
    <t>Вязанка*****СО ШПИКОМ Стародвор. 1.3кг/10кг</t>
  </si>
  <si>
    <t>Сосиски*****Молочные  Вязанка "Молокуши" 1.3кг/8кг</t>
  </si>
  <si>
    <t>Баварушка*****БАЛЫКБУРГСКАЯ с копч. Балыком 0.7кг</t>
  </si>
  <si>
    <t>Баварушка*****ФИЛЕЙБУРГСКАЯ  Соч. окор. 0.7кг</t>
  </si>
  <si>
    <t>Докторская*****Оригинальная Славница  1 кг/12кг</t>
  </si>
  <si>
    <t>Молочная*****ДУГУШКА Стародв колб 0,8кг / 5кг</t>
  </si>
  <si>
    <t>Салями*****ФИЛЕЙБУРГСКАЯ Зер.вес. Стар.0.7кг/4,2кг</t>
  </si>
  <si>
    <t>Сервелат*****Запеченый Дугушка 0.8кг/5кг</t>
  </si>
  <si>
    <t>Сосиски*****Датские мгу Стародворье 1,3кг / 9кг</t>
  </si>
  <si>
    <t>Нал</t>
  </si>
  <si>
    <t>Ветчина*****ДУГУШКА Стародв колб 0,8кг / 5кг</t>
  </si>
  <si>
    <t>Докторская*****ГОСТ вяз п/о Стародворские Колбасы</t>
  </si>
  <si>
    <t>Рубленая*****ДУГУШКА запеч в/к Стародв  0,8кг/5кг</t>
  </si>
  <si>
    <t>Салями*****Запеч ДУГУШКА Стародвор 0,8кг / 5кг</t>
  </si>
  <si>
    <t>Сервелат*****МЯСОРУБСКИЙ с мелкоруб. окорок. Стар.</t>
  </si>
  <si>
    <t>Сосиски*****Сливочные по Стародворски 1.3кг/8кг</t>
  </si>
  <si>
    <t>Сосис*****баварские 0,42</t>
  </si>
  <si>
    <t>Cосис****баварские с сыром 0,42</t>
  </si>
  <si>
    <t>Сосиски ШТ *****СОЧИНКИ по Баварски 400гр Стар</t>
  </si>
  <si>
    <t>Сосиски*****Ганноверские Амилюкс Стародвор 1,3кг</t>
  </si>
  <si>
    <t>Сочинка*****Зернист с сочн. Грудинкой Стар 0,9/5.2</t>
  </si>
  <si>
    <t>Сочинка*****рубл. с соч. окор. Стар. 0,9/5.2кг</t>
  </si>
  <si>
    <t>Сардельки*****н/о Говяжьи Стародв 1,3кг /8кг</t>
  </si>
  <si>
    <t>Сосис*****Сливушки Сливоч Вяз. мгу Стар.0,45 /6 шт</t>
  </si>
  <si>
    <t>Сосиски*****Молочные  Вязанка "Молокуши" 0,45 /6 шт</t>
  </si>
  <si>
    <t>Докторская*****ДУГУШКА гост Стародв колб 0,8кг / 5кг</t>
  </si>
  <si>
    <t>Сосиски*****Сочинки Молочные вес Стародворье 1 кг</t>
  </si>
  <si>
    <t>Салями*****Мясорубская с рурбл. шпик Старод 0,7 кг</t>
  </si>
  <si>
    <t>МЯСОРУБСКАЯ*****рубл. груд вар. Бордо Стар 0,7 кг</t>
  </si>
  <si>
    <t>Сервелат Зернистый в/к в/у</t>
  </si>
  <si>
    <t>Сосиски*****Молочные ДЛЯ ЗАВТРАКА 1.3кг/8кг</t>
  </si>
  <si>
    <t>Сосиски ШТ *****Сочинки Молочные 0,4 Стародворье</t>
  </si>
  <si>
    <t>Сосиски ШТ *****СОЧИНКИ по Баварски С СЫРОМ 400г</t>
  </si>
  <si>
    <t>Сосиски ШТ *****Сочинки Сливочные 0,4 Стародворье</t>
  </si>
  <si>
    <t>Филедворская*****по-Стародворски п/а Стародворье</t>
  </si>
  <si>
    <t>Филедворская со шпиком по-стародворски п/а</t>
  </si>
  <si>
    <t>Сочинка*****по-Европ. с соч грудинк Стар 0,9/5.2кг</t>
  </si>
  <si>
    <t>Сочинка*****по-фински с соч. окор. Стар. 0,9/5.2кг</t>
  </si>
  <si>
    <t>Вязанка ветчина Филейская*****Стародв 1,3кг/10кг</t>
  </si>
  <si>
    <t>Вязанка*****Филейская Стародворье 1,3кг /11кг</t>
  </si>
  <si>
    <t>Дугушка стародворская*****0,8кг / 5кг</t>
  </si>
  <si>
    <t>Сосиски*****Сочинки Сливочные вес Старовдорье 1кг</t>
  </si>
  <si>
    <t>Вязанка ветчина Филейская*****450гр. Стародв 1/6</t>
  </si>
  <si>
    <t xml:space="preserve">Вязанка Филейская*****450г.Стародв /10шт </t>
  </si>
  <si>
    <t>Вязанка Молокуша (450гр)*****Стар /10шт пак</t>
  </si>
  <si>
    <t>Вязанка Молокуша*****Стародв колб 1,3кг / 10кг</t>
  </si>
  <si>
    <t>Дугушка стародворская со шпиком*****0,8кг / 5кг</t>
  </si>
  <si>
    <t>Сосиски ШТ *****СОЧИНКИ с грудинкой 400гр Стар</t>
  </si>
  <si>
    <t>Докторская особ рецепт Филейная п/а*****2.5кг/16кг</t>
  </si>
  <si>
    <t xml:space="preserve"> </t>
  </si>
  <si>
    <t>Заказ на 19.11 Стародв. Колбасы</t>
  </si>
  <si>
    <t>ИТОГО</t>
  </si>
  <si>
    <t>ВЕС</t>
  </si>
  <si>
    <t>кг</t>
  </si>
  <si>
    <t>кооф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</si>
</sst>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Arial"/>
      <family val="2"/>
      <charset val="1"/>
    </font>
    <font>
      <b/>
      <sz val="11"/>
      <name val="Arial"/>
      <family val="2"/>
      <charset val="1"/>
    </font>
    <font>
      <b/>
      <sz val="2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0"/>
      <name val="Arial"/>
      <family val="2"/>
      <charset val="1"/>
    </font>
    <font>
      <b/>
      <sz val="10"/>
      <color theme="1"/>
      <name val="Calibri"/>
      <family val="2"/>
      <charset val="204"/>
      <scheme val="minor"/>
    </font>
    <font>
      <b/>
      <sz val="12"/>
      <name val="Arial"/>
      <family val="2"/>
      <charset val="1"/>
    </font>
    <font>
      <b/>
      <sz val="12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0" tint="-0.249977111117893"/>
      <name val="Arial"/>
      <family val="2"/>
      <charset val="1"/>
    </font>
    <font>
      <b/>
      <sz val="20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color rgb="FFFF0000"/>
      <name val="Arial"/>
      <family val="2"/>
      <charset val="1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NumberFormat="1" applyAlignment="1">
      <alignment horizontal="center" vertical="top"/>
    </xf>
    <xf numFmtId="0" fontId="6" fillId="0" borderId="1" xfId="1" applyNumberFormat="1" applyFont="1" applyBorder="1" applyAlignment="1">
      <alignment horizontal="center" vertical="top"/>
    </xf>
    <xf numFmtId="0" fontId="7" fillId="0" borderId="0" xfId="0" applyFont="1"/>
    <xf numFmtId="2" fontId="3" fillId="0" borderId="1" xfId="1" applyNumberFormat="1" applyFont="1" applyBorder="1" applyAlignment="1">
      <alignment horizontal="center" vertical="center"/>
    </xf>
    <xf numFmtId="0" fontId="8" fillId="2" borderId="1" xfId="1" applyNumberFormat="1" applyFont="1" applyFill="1" applyBorder="1" applyAlignment="1">
      <alignment horizontal="center" vertical="top"/>
    </xf>
    <xf numFmtId="0" fontId="9" fillId="0" borderId="1" xfId="0" applyNumberFormat="1" applyFont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1" fillId="2" borderId="1" xfId="1" applyNumberFormat="1" applyFont="1" applyFill="1" applyBorder="1" applyAlignment="1">
      <alignment horizontal="left" vertical="top" wrapText="1" indent="1"/>
    </xf>
    <xf numFmtId="0" fontId="6" fillId="0" borderId="1" xfId="1" applyNumberFormat="1" applyFont="1" applyBorder="1" applyAlignment="1">
      <alignment horizontal="left" vertical="top"/>
    </xf>
    <xf numFmtId="0" fontId="12" fillId="2" borderId="1" xfId="1" applyNumberFormat="1" applyFont="1" applyFill="1" applyBorder="1" applyAlignment="1">
      <alignment horizontal="left" vertical="top" wrapText="1" indent="1"/>
    </xf>
    <xf numFmtId="0" fontId="5" fillId="2" borderId="1" xfId="1" applyNumberFormat="1" applyFont="1" applyFill="1" applyBorder="1" applyAlignment="1">
      <alignment vertical="top" wrapText="1"/>
    </xf>
    <xf numFmtId="0" fontId="8" fillId="2" borderId="1" xfId="1" applyNumberFormat="1" applyFont="1" applyFill="1" applyBorder="1" applyAlignment="1">
      <alignment horizontal="center" vertical="center" wrapText="1"/>
    </xf>
    <xf numFmtId="0" fontId="8" fillId="2" borderId="1" xfId="1" applyNumberFormat="1" applyFont="1" applyFill="1" applyBorder="1" applyAlignment="1">
      <alignment horizontal="center" vertical="center"/>
    </xf>
    <xf numFmtId="0" fontId="13" fillId="2" borderId="1" xfId="1" applyNumberFormat="1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right"/>
    </xf>
    <xf numFmtId="0" fontId="16" fillId="3" borderId="1" xfId="1" applyNumberFormat="1" applyFont="1" applyFill="1" applyBorder="1" applyAlignment="1">
      <alignment horizontal="left" vertical="top" wrapText="1" indent="1"/>
    </xf>
    <xf numFmtId="0" fontId="15" fillId="3" borderId="0" xfId="0" applyFont="1" applyFill="1"/>
    <xf numFmtId="0" fontId="16" fillId="3" borderId="1" xfId="1" applyNumberFormat="1" applyFont="1" applyFill="1" applyBorder="1" applyAlignment="1">
      <alignment horizontal="right" vertical="top" wrapText="1" indent="1"/>
    </xf>
    <xf numFmtId="0" fontId="17" fillId="3" borderId="1" xfId="1" applyNumberFormat="1" applyFont="1" applyFill="1" applyBorder="1" applyAlignment="1">
      <alignment vertical="top" wrapText="1"/>
    </xf>
    <xf numFmtId="2" fontId="3" fillId="4" borderId="1" xfId="1" applyNumberFormat="1" applyFont="1" applyFill="1" applyBorder="1" applyAlignment="1">
      <alignment horizontal="center" vertical="center"/>
    </xf>
    <xf numFmtId="0" fontId="6" fillId="4" borderId="1" xfId="1" applyNumberFormat="1" applyFont="1" applyFill="1" applyBorder="1" applyAlignment="1">
      <alignment horizontal="center" vertical="top"/>
    </xf>
    <xf numFmtId="0" fontId="8" fillId="4" borderId="1" xfId="1" applyNumberFormat="1" applyFont="1" applyFill="1" applyBorder="1" applyAlignment="1">
      <alignment horizontal="center" vertical="center" wrapText="1"/>
    </xf>
    <xf numFmtId="0" fontId="9" fillId="4" borderId="1" xfId="0" applyNumberFormat="1" applyFont="1" applyFill="1" applyBorder="1" applyAlignment="1">
      <alignment horizontal="center" vertical="top"/>
    </xf>
    <xf numFmtId="0" fontId="0" fillId="4" borderId="0" xfId="0" applyNumberFormat="1" applyFill="1" applyAlignment="1">
      <alignment horizontal="center" vertical="top"/>
    </xf>
    <xf numFmtId="0" fontId="9" fillId="4" borderId="3" xfId="0" applyNumberFormat="1" applyFont="1" applyFill="1" applyBorder="1" applyAlignment="1">
      <alignment horizontal="center" vertical="top"/>
    </xf>
    <xf numFmtId="0" fontId="8" fillId="4" borderId="2" xfId="1" applyNumberFormat="1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B2:K60"/>
  <sheetViews>
    <sheetView tabSelected="1" zoomScale="85" zoomScaleNormal="85" workbookViewId="0">
      <selection activeCell="Q41" sqref="Q41"/>
    </sheetView>
  </sheetViews>
  <sheetFormatPr defaultRowHeight="15" customHeight="1" x14ac:dyDescent="0.25"/>
  <cols>
    <col min="1" max="1" width="3.140625" customWidth="1"/>
    <col min="2" max="2" width="62.28515625" customWidth="1"/>
    <col min="3" max="3" width="2.5703125" style="25" hidden="1" customWidth="1"/>
    <col min="4" max="4" width="7.85546875" customWidth="1"/>
    <col min="5" max="5" width="6.5703125" bestFit="1" customWidth="1"/>
    <col min="6" max="6" width="6.140625" style="2" bestFit="1" customWidth="1"/>
    <col min="7" max="9" width="9.85546875" style="32" customWidth="1"/>
    <col min="10" max="10" width="9.140625" style="11"/>
  </cols>
  <sheetData>
    <row r="2" spans="2:11" ht="30" customHeight="1" x14ac:dyDescent="0.25">
      <c r="B2" s="21" t="s">
        <v>57</v>
      </c>
      <c r="C2" s="22"/>
      <c r="D2" s="21"/>
      <c r="E2" s="8" t="s">
        <v>16</v>
      </c>
      <c r="F2" s="5" t="s">
        <v>1</v>
      </c>
      <c r="G2" s="28" t="s">
        <v>58</v>
      </c>
      <c r="H2" s="28" t="s">
        <v>61</v>
      </c>
      <c r="I2" s="28" t="s">
        <v>59</v>
      </c>
    </row>
    <row r="3" spans="2:11" s="4" customFormat="1" ht="15" customHeight="1" x14ac:dyDescent="0.2">
      <c r="B3" s="14"/>
      <c r="C3" s="24"/>
      <c r="D3" s="15"/>
      <c r="E3" s="3" t="s">
        <v>0</v>
      </c>
      <c r="F3" s="3" t="s">
        <v>0</v>
      </c>
      <c r="G3" s="29" t="s">
        <v>0</v>
      </c>
      <c r="H3" s="29"/>
      <c r="I3" s="29" t="s">
        <v>60</v>
      </c>
      <c r="J3" s="12"/>
    </row>
    <row r="4" spans="2:11" s="4" customFormat="1" ht="15" customHeight="1" x14ac:dyDescent="0.2">
      <c r="B4" s="16" t="s">
        <v>9</v>
      </c>
      <c r="C4" s="24">
        <v>290</v>
      </c>
      <c r="D4" s="17">
        <v>308</v>
      </c>
      <c r="E4" s="6">
        <v>20</v>
      </c>
      <c r="F4" s="18">
        <v>15</v>
      </c>
      <c r="G4" s="30">
        <f>F4+E4</f>
        <v>35</v>
      </c>
      <c r="H4" s="30">
        <v>1</v>
      </c>
      <c r="I4" s="30">
        <f>H4*G4</f>
        <v>35</v>
      </c>
      <c r="J4" s="12">
        <f t="shared" ref="J4:J35" si="0">E4*D4</f>
        <v>6160</v>
      </c>
      <c r="K4" s="4">
        <f>D4*F4</f>
        <v>4620</v>
      </c>
    </row>
    <row r="5" spans="2:11" s="4" customFormat="1" ht="15" customHeight="1" x14ac:dyDescent="0.2">
      <c r="B5" s="16" t="s">
        <v>10</v>
      </c>
      <c r="C5" s="24">
        <v>290</v>
      </c>
      <c r="D5" s="17">
        <v>298</v>
      </c>
      <c r="E5" s="19">
        <v>10</v>
      </c>
      <c r="F5" s="18">
        <v>5</v>
      </c>
      <c r="G5" s="30">
        <f t="shared" ref="G5:G58" si="1">F5+E5</f>
        <v>15</v>
      </c>
      <c r="H5" s="30">
        <v>1</v>
      </c>
      <c r="I5" s="30">
        <f t="shared" ref="I5:I6" si="2">H5*G5</f>
        <v>15</v>
      </c>
      <c r="J5" s="12">
        <f t="shared" si="0"/>
        <v>2980</v>
      </c>
      <c r="K5" s="4">
        <f t="shared" ref="K5:K58" si="3">D5*F5</f>
        <v>1490</v>
      </c>
    </row>
    <row r="6" spans="2:11" s="4" customFormat="1" ht="15" customHeight="1" x14ac:dyDescent="0.2">
      <c r="B6" s="14" t="s">
        <v>17</v>
      </c>
      <c r="C6" s="24">
        <v>240</v>
      </c>
      <c r="D6" s="17">
        <v>247</v>
      </c>
      <c r="E6" s="19">
        <v>80</v>
      </c>
      <c r="F6" s="18">
        <v>70</v>
      </c>
      <c r="G6" s="30">
        <f t="shared" si="1"/>
        <v>150</v>
      </c>
      <c r="H6" s="30">
        <v>1</v>
      </c>
      <c r="I6" s="30">
        <f t="shared" si="2"/>
        <v>150</v>
      </c>
      <c r="J6" s="12">
        <f t="shared" si="0"/>
        <v>19760</v>
      </c>
      <c r="K6" s="4">
        <f t="shared" si="3"/>
        <v>17290</v>
      </c>
    </row>
    <row r="7" spans="2:11" s="4" customFormat="1" ht="15" hidden="1" customHeight="1" x14ac:dyDescent="0.2">
      <c r="B7" s="16" t="s">
        <v>2</v>
      </c>
      <c r="C7" s="24">
        <v>210</v>
      </c>
      <c r="D7" s="17">
        <v>218</v>
      </c>
      <c r="E7" s="18"/>
      <c r="F7" s="18"/>
      <c r="G7" s="30">
        <f t="shared" si="1"/>
        <v>0</v>
      </c>
      <c r="H7" s="30"/>
      <c r="I7" s="30"/>
      <c r="J7" s="12">
        <f t="shared" si="0"/>
        <v>0</v>
      </c>
      <c r="K7" s="4">
        <f t="shared" si="3"/>
        <v>0</v>
      </c>
    </row>
    <row r="8" spans="2:11" s="4" customFormat="1" ht="15" hidden="1" customHeight="1" x14ac:dyDescent="0.2">
      <c r="B8" s="16" t="s">
        <v>45</v>
      </c>
      <c r="C8" s="24">
        <v>255</v>
      </c>
      <c r="D8" s="17">
        <v>263</v>
      </c>
      <c r="E8" s="18"/>
      <c r="F8" s="18"/>
      <c r="G8" s="30">
        <f t="shared" si="1"/>
        <v>0</v>
      </c>
      <c r="H8" s="30"/>
      <c r="I8" s="30"/>
      <c r="J8" s="12">
        <f t="shared" si="0"/>
        <v>0</v>
      </c>
      <c r="K8" s="4">
        <f t="shared" si="3"/>
        <v>0</v>
      </c>
    </row>
    <row r="9" spans="2:11" s="4" customFormat="1" ht="15" hidden="1" customHeight="1" x14ac:dyDescent="0.2">
      <c r="B9" s="16" t="s">
        <v>52</v>
      </c>
      <c r="C9" s="24">
        <v>235</v>
      </c>
      <c r="D9" s="17">
        <v>240</v>
      </c>
      <c r="E9" s="18"/>
      <c r="F9" s="18"/>
      <c r="G9" s="30">
        <f t="shared" si="1"/>
        <v>0</v>
      </c>
      <c r="H9" s="30"/>
      <c r="I9" s="30"/>
      <c r="J9" s="12">
        <f t="shared" si="0"/>
        <v>0</v>
      </c>
      <c r="K9" s="4">
        <f t="shared" si="3"/>
        <v>0</v>
      </c>
    </row>
    <row r="10" spans="2:11" s="4" customFormat="1" ht="15" hidden="1" customHeight="1" x14ac:dyDescent="0.2">
      <c r="B10" s="20" t="s">
        <v>7</v>
      </c>
      <c r="C10" s="24">
        <v>252</v>
      </c>
      <c r="D10" s="17">
        <v>263</v>
      </c>
      <c r="E10" s="19"/>
      <c r="F10" s="18"/>
      <c r="G10" s="30">
        <f t="shared" si="1"/>
        <v>0</v>
      </c>
      <c r="H10" s="30"/>
      <c r="I10" s="30"/>
      <c r="J10" s="12">
        <f t="shared" si="0"/>
        <v>0</v>
      </c>
      <c r="K10" s="4">
        <f t="shared" si="3"/>
        <v>0</v>
      </c>
    </row>
    <row r="11" spans="2:11" s="4" customFormat="1" ht="15" hidden="1" customHeight="1" x14ac:dyDescent="0.2">
      <c r="B11" s="16" t="s">
        <v>46</v>
      </c>
      <c r="C11" s="24">
        <v>235</v>
      </c>
      <c r="D11" s="17">
        <v>243</v>
      </c>
      <c r="E11" s="19"/>
      <c r="F11" s="18"/>
      <c r="G11" s="30">
        <f t="shared" si="1"/>
        <v>0</v>
      </c>
      <c r="H11" s="30"/>
      <c r="I11" s="30"/>
      <c r="J11" s="12">
        <f t="shared" si="0"/>
        <v>0</v>
      </c>
      <c r="K11" s="4">
        <f t="shared" si="3"/>
        <v>0</v>
      </c>
    </row>
    <row r="12" spans="2:11" s="4" customFormat="1" ht="15" hidden="1" customHeight="1" x14ac:dyDescent="0.2">
      <c r="B12" s="16" t="s">
        <v>55</v>
      </c>
      <c r="C12" s="24">
        <v>150</v>
      </c>
      <c r="D12" s="17">
        <v>154</v>
      </c>
      <c r="E12" s="19"/>
      <c r="F12" s="18"/>
      <c r="G12" s="30">
        <f t="shared" si="1"/>
        <v>0</v>
      </c>
      <c r="H12" s="30"/>
      <c r="I12" s="30"/>
      <c r="J12" s="12">
        <f t="shared" si="0"/>
        <v>0</v>
      </c>
      <c r="K12" s="4">
        <f t="shared" si="3"/>
        <v>0</v>
      </c>
    </row>
    <row r="13" spans="2:11" s="4" customFormat="1" ht="15" customHeight="1" x14ac:dyDescent="0.2">
      <c r="B13" s="16" t="s">
        <v>18</v>
      </c>
      <c r="C13" s="24">
        <v>270</v>
      </c>
      <c r="D13" s="17">
        <v>280</v>
      </c>
      <c r="E13" s="19">
        <v>30</v>
      </c>
      <c r="F13" s="18">
        <v>20</v>
      </c>
      <c r="G13" s="30">
        <f t="shared" si="1"/>
        <v>50</v>
      </c>
      <c r="H13" s="30">
        <v>1</v>
      </c>
      <c r="I13" s="30">
        <f t="shared" ref="I13:I14" si="4">H13*G13</f>
        <v>50</v>
      </c>
      <c r="J13" s="12">
        <f t="shared" si="0"/>
        <v>8400</v>
      </c>
      <c r="K13" s="4">
        <f t="shared" si="3"/>
        <v>5600</v>
      </c>
    </row>
    <row r="14" spans="2:11" s="4" customFormat="1" ht="15" customHeight="1" x14ac:dyDescent="0.2">
      <c r="B14" s="14" t="s">
        <v>32</v>
      </c>
      <c r="C14" s="24">
        <v>265</v>
      </c>
      <c r="D14" s="17">
        <v>276</v>
      </c>
      <c r="E14" s="19">
        <v>15</v>
      </c>
      <c r="F14" s="18">
        <v>10</v>
      </c>
      <c r="G14" s="30">
        <f t="shared" si="1"/>
        <v>25</v>
      </c>
      <c r="H14" s="30">
        <v>1</v>
      </c>
      <c r="I14" s="30">
        <f t="shared" si="4"/>
        <v>25</v>
      </c>
      <c r="J14" s="12">
        <f t="shared" si="0"/>
        <v>4140</v>
      </c>
      <c r="K14" s="4">
        <f t="shared" si="3"/>
        <v>2760</v>
      </c>
    </row>
    <row r="15" spans="2:11" s="4" customFormat="1" ht="15" hidden="1" customHeight="1" x14ac:dyDescent="0.2">
      <c r="B15" s="16" t="s">
        <v>11</v>
      </c>
      <c r="C15" s="24">
        <v>175</v>
      </c>
      <c r="D15" s="17">
        <v>175</v>
      </c>
      <c r="E15" s="19"/>
      <c r="F15" s="18"/>
      <c r="G15" s="30">
        <f t="shared" si="1"/>
        <v>0</v>
      </c>
      <c r="H15" s="30"/>
      <c r="I15" s="30"/>
      <c r="J15" s="12">
        <f t="shared" si="0"/>
        <v>0</v>
      </c>
      <c r="K15" s="4">
        <f t="shared" si="3"/>
        <v>0</v>
      </c>
    </row>
    <row r="16" spans="2:11" s="4" customFormat="1" ht="15" hidden="1" customHeight="1" x14ac:dyDescent="0.2">
      <c r="B16" s="16" t="s">
        <v>47</v>
      </c>
      <c r="C16" s="24">
        <v>205</v>
      </c>
      <c r="D16" s="17">
        <v>215</v>
      </c>
      <c r="E16" s="18"/>
      <c r="F16" s="18"/>
      <c r="G16" s="30">
        <f t="shared" si="1"/>
        <v>0</v>
      </c>
      <c r="H16" s="30"/>
      <c r="I16" s="30"/>
      <c r="J16" s="12">
        <f t="shared" si="0"/>
        <v>0</v>
      </c>
      <c r="K16" s="4">
        <f t="shared" si="3"/>
        <v>0</v>
      </c>
    </row>
    <row r="17" spans="2:11" s="4" customFormat="1" ht="15" hidden="1" customHeight="1" x14ac:dyDescent="0.2">
      <c r="B17" s="16" t="s">
        <v>53</v>
      </c>
      <c r="C17" s="24">
        <v>235</v>
      </c>
      <c r="D17" s="17">
        <v>235</v>
      </c>
      <c r="E17" s="18"/>
      <c r="F17" s="18"/>
      <c r="G17" s="30">
        <f t="shared" si="1"/>
        <v>0</v>
      </c>
      <c r="H17" s="30"/>
      <c r="I17" s="30"/>
      <c r="J17" s="12">
        <f t="shared" si="0"/>
        <v>0</v>
      </c>
      <c r="K17" s="4">
        <f t="shared" si="3"/>
        <v>0</v>
      </c>
    </row>
    <row r="18" spans="2:11" s="4" customFormat="1" ht="15" hidden="1" customHeight="1" x14ac:dyDescent="0.2">
      <c r="B18" s="14" t="s">
        <v>12</v>
      </c>
      <c r="C18" s="24">
        <v>205</v>
      </c>
      <c r="D18" s="17">
        <v>214</v>
      </c>
      <c r="E18" s="18"/>
      <c r="F18" s="18"/>
      <c r="G18" s="30">
        <f t="shared" si="1"/>
        <v>0</v>
      </c>
      <c r="H18" s="30"/>
      <c r="I18" s="30"/>
      <c r="J18" s="12">
        <f t="shared" si="0"/>
        <v>0</v>
      </c>
      <c r="K18" s="4">
        <f t="shared" si="3"/>
        <v>0</v>
      </c>
    </row>
    <row r="19" spans="2:11" s="4" customFormat="1" ht="15" hidden="1" customHeight="1" x14ac:dyDescent="0.2">
      <c r="B19" s="14" t="s">
        <v>3</v>
      </c>
      <c r="C19" s="24">
        <v>150</v>
      </c>
      <c r="D19" s="17">
        <v>154</v>
      </c>
      <c r="E19" s="18"/>
      <c r="F19" s="18"/>
      <c r="G19" s="30">
        <f t="shared" si="1"/>
        <v>0</v>
      </c>
      <c r="H19" s="30"/>
      <c r="I19" s="30"/>
      <c r="J19" s="12">
        <f t="shared" si="0"/>
        <v>0</v>
      </c>
      <c r="K19" s="4">
        <f t="shared" si="3"/>
        <v>0</v>
      </c>
    </row>
    <row r="20" spans="2:11" s="4" customFormat="1" ht="15" hidden="1" customHeight="1" x14ac:dyDescent="0.2">
      <c r="B20" s="20" t="s">
        <v>35</v>
      </c>
      <c r="C20" s="24"/>
      <c r="D20" s="17"/>
      <c r="E20" s="19"/>
      <c r="F20" s="18"/>
      <c r="G20" s="30">
        <f t="shared" si="1"/>
        <v>0</v>
      </c>
      <c r="H20" s="30"/>
      <c r="I20" s="30"/>
      <c r="J20" s="12">
        <f t="shared" si="0"/>
        <v>0</v>
      </c>
      <c r="K20" s="4">
        <f t="shared" si="3"/>
        <v>0</v>
      </c>
    </row>
    <row r="21" spans="2:11" s="4" customFormat="1" ht="15" customHeight="1" x14ac:dyDescent="0.2">
      <c r="B21" s="16" t="s">
        <v>4</v>
      </c>
      <c r="C21" s="24">
        <v>150</v>
      </c>
      <c r="D21" s="17">
        <v>154</v>
      </c>
      <c r="E21" s="19">
        <v>10</v>
      </c>
      <c r="F21" s="18">
        <v>10</v>
      </c>
      <c r="G21" s="30">
        <f t="shared" si="1"/>
        <v>20</v>
      </c>
      <c r="H21" s="30">
        <v>1</v>
      </c>
      <c r="I21" s="30">
        <f>H21*G21</f>
        <v>20</v>
      </c>
      <c r="J21" s="12">
        <f t="shared" si="0"/>
        <v>1540</v>
      </c>
      <c r="K21" s="4">
        <f t="shared" si="3"/>
        <v>1540</v>
      </c>
    </row>
    <row r="22" spans="2:11" s="4" customFormat="1" ht="15" hidden="1" customHeight="1" x14ac:dyDescent="0.2">
      <c r="B22" s="16" t="s">
        <v>5</v>
      </c>
      <c r="C22" s="24">
        <v>150</v>
      </c>
      <c r="D22" s="17">
        <v>154</v>
      </c>
      <c r="E22" s="19"/>
      <c r="F22" s="18"/>
      <c r="G22" s="30">
        <f t="shared" si="1"/>
        <v>0</v>
      </c>
      <c r="H22" s="30"/>
      <c r="I22" s="30"/>
      <c r="J22" s="12">
        <f t="shared" si="0"/>
        <v>0</v>
      </c>
      <c r="K22" s="4">
        <f t="shared" si="3"/>
        <v>0</v>
      </c>
    </row>
    <row r="23" spans="2:11" s="4" customFormat="1" ht="15" hidden="1" customHeight="1" x14ac:dyDescent="0.2">
      <c r="B23" s="14" t="s">
        <v>19</v>
      </c>
      <c r="C23" s="24">
        <v>270</v>
      </c>
      <c r="D23" s="17">
        <v>271</v>
      </c>
      <c r="E23" s="19"/>
      <c r="F23" s="18"/>
      <c r="G23" s="30">
        <f t="shared" si="1"/>
        <v>0</v>
      </c>
      <c r="H23" s="30"/>
      <c r="I23" s="30"/>
      <c r="J23" s="12">
        <f t="shared" si="0"/>
        <v>0</v>
      </c>
      <c r="K23" s="4">
        <f t="shared" si="3"/>
        <v>0</v>
      </c>
    </row>
    <row r="24" spans="2:11" s="4" customFormat="1" ht="15" hidden="1" customHeight="1" x14ac:dyDescent="0.2">
      <c r="B24" s="14" t="s">
        <v>20</v>
      </c>
      <c r="C24" s="24">
        <v>265</v>
      </c>
      <c r="D24" s="17">
        <v>270</v>
      </c>
      <c r="E24" s="19"/>
      <c r="F24" s="18"/>
      <c r="G24" s="30">
        <f t="shared" si="1"/>
        <v>0</v>
      </c>
      <c r="H24" s="30"/>
      <c r="I24" s="30"/>
      <c r="J24" s="12">
        <f t="shared" si="0"/>
        <v>0</v>
      </c>
      <c r="K24" s="4">
        <f t="shared" si="3"/>
        <v>0</v>
      </c>
    </row>
    <row r="25" spans="2:11" s="4" customFormat="1" ht="15" customHeight="1" x14ac:dyDescent="0.2">
      <c r="B25" s="14" t="s">
        <v>34</v>
      </c>
      <c r="C25" s="24"/>
      <c r="D25" s="17">
        <v>280</v>
      </c>
      <c r="E25" s="19"/>
      <c r="F25" s="18">
        <v>10</v>
      </c>
      <c r="G25" s="30">
        <f t="shared" si="1"/>
        <v>10</v>
      </c>
      <c r="H25" s="30">
        <v>1</v>
      </c>
      <c r="I25" s="30">
        <f t="shared" ref="I25:I31" si="5">H25*G25</f>
        <v>10</v>
      </c>
      <c r="J25" s="12">
        <f t="shared" si="0"/>
        <v>0</v>
      </c>
      <c r="K25" s="4">
        <f t="shared" si="3"/>
        <v>2800</v>
      </c>
    </row>
    <row r="26" spans="2:11" s="4" customFormat="1" ht="15" customHeight="1" x14ac:dyDescent="0.2">
      <c r="B26" s="16" t="s">
        <v>13</v>
      </c>
      <c r="C26" s="24">
        <v>315</v>
      </c>
      <c r="D26" s="17">
        <v>315</v>
      </c>
      <c r="E26" s="19">
        <v>15</v>
      </c>
      <c r="F26" s="18">
        <v>15</v>
      </c>
      <c r="G26" s="30">
        <f t="shared" si="1"/>
        <v>30</v>
      </c>
      <c r="H26" s="30">
        <v>1</v>
      </c>
      <c r="I26" s="30">
        <f t="shared" si="5"/>
        <v>30</v>
      </c>
      <c r="J26" s="12">
        <f t="shared" si="0"/>
        <v>4725</v>
      </c>
      <c r="K26" s="4">
        <f t="shared" si="3"/>
        <v>4725</v>
      </c>
    </row>
    <row r="27" spans="2:11" s="4" customFormat="1" ht="15" customHeight="1" x14ac:dyDescent="0.2">
      <c r="B27" s="14" t="s">
        <v>29</v>
      </c>
      <c r="C27" s="24">
        <v>210</v>
      </c>
      <c r="D27" s="17">
        <v>219</v>
      </c>
      <c r="E27" s="19">
        <v>15</v>
      </c>
      <c r="F27" s="18">
        <v>10</v>
      </c>
      <c r="G27" s="30">
        <f t="shared" si="1"/>
        <v>25</v>
      </c>
      <c r="H27" s="30">
        <v>1</v>
      </c>
      <c r="I27" s="30">
        <f t="shared" si="5"/>
        <v>25</v>
      </c>
      <c r="J27" s="12">
        <f t="shared" si="0"/>
        <v>3285</v>
      </c>
      <c r="K27" s="4">
        <f t="shared" si="3"/>
        <v>2190</v>
      </c>
    </row>
    <row r="28" spans="2:11" s="4" customFormat="1" ht="15" customHeight="1" x14ac:dyDescent="0.2">
      <c r="B28" s="14" t="s">
        <v>36</v>
      </c>
      <c r="C28" s="24">
        <v>275</v>
      </c>
      <c r="D28" s="17">
        <v>275</v>
      </c>
      <c r="E28" s="19">
        <v>15</v>
      </c>
      <c r="F28" s="18">
        <v>10</v>
      </c>
      <c r="G28" s="30">
        <f t="shared" si="1"/>
        <v>25</v>
      </c>
      <c r="H28" s="30">
        <v>1</v>
      </c>
      <c r="I28" s="30">
        <f t="shared" si="5"/>
        <v>25</v>
      </c>
      <c r="J28" s="12">
        <f t="shared" si="0"/>
        <v>4125</v>
      </c>
      <c r="K28" s="4">
        <f t="shared" si="3"/>
        <v>2750</v>
      </c>
    </row>
    <row r="29" spans="2:11" s="4" customFormat="1" ht="15" customHeight="1" x14ac:dyDescent="0.2">
      <c r="B29" s="16" t="s">
        <v>14</v>
      </c>
      <c r="C29" s="24">
        <v>255</v>
      </c>
      <c r="D29" s="17">
        <v>266</v>
      </c>
      <c r="E29" s="19">
        <v>15</v>
      </c>
      <c r="F29" s="18">
        <v>10</v>
      </c>
      <c r="G29" s="30">
        <f t="shared" si="1"/>
        <v>25</v>
      </c>
      <c r="H29" s="30">
        <v>1</v>
      </c>
      <c r="I29" s="30">
        <f t="shared" si="5"/>
        <v>25</v>
      </c>
      <c r="J29" s="12">
        <f t="shared" si="0"/>
        <v>3990</v>
      </c>
      <c r="K29" s="4">
        <f t="shared" si="3"/>
        <v>2660</v>
      </c>
    </row>
    <row r="30" spans="2:11" s="4" customFormat="1" ht="15" customHeight="1" x14ac:dyDescent="0.2">
      <c r="B30" s="14" t="s">
        <v>21</v>
      </c>
      <c r="C30" s="24"/>
      <c r="D30" s="17">
        <v>281</v>
      </c>
      <c r="E30" s="18">
        <v>15</v>
      </c>
      <c r="F30" s="18">
        <v>10</v>
      </c>
      <c r="G30" s="30">
        <f t="shared" si="1"/>
        <v>25</v>
      </c>
      <c r="H30" s="30">
        <v>1</v>
      </c>
      <c r="I30" s="30">
        <f t="shared" si="5"/>
        <v>25</v>
      </c>
      <c r="J30" s="12">
        <f t="shared" si="0"/>
        <v>4215</v>
      </c>
      <c r="K30" s="4">
        <f t="shared" si="3"/>
        <v>2810</v>
      </c>
    </row>
    <row r="31" spans="2:11" s="4" customFormat="1" ht="15" customHeight="1" x14ac:dyDescent="0.2">
      <c r="B31" s="14" t="s">
        <v>6</v>
      </c>
      <c r="C31" s="24">
        <v>260</v>
      </c>
      <c r="D31" s="17">
        <v>268</v>
      </c>
      <c r="E31" s="18">
        <v>20</v>
      </c>
      <c r="F31" s="18">
        <v>20</v>
      </c>
      <c r="G31" s="30">
        <f t="shared" si="1"/>
        <v>40</v>
      </c>
      <c r="H31" s="30">
        <v>1</v>
      </c>
      <c r="I31" s="30">
        <f t="shared" si="5"/>
        <v>40</v>
      </c>
      <c r="J31" s="12">
        <f t="shared" si="0"/>
        <v>5360</v>
      </c>
      <c r="K31" s="4">
        <f t="shared" si="3"/>
        <v>5360</v>
      </c>
    </row>
    <row r="32" spans="2:11" s="4" customFormat="1" ht="15" hidden="1" customHeight="1" x14ac:dyDescent="0.2">
      <c r="B32" s="20" t="s">
        <v>26</v>
      </c>
      <c r="C32" s="24"/>
      <c r="D32" s="17">
        <v>200</v>
      </c>
      <c r="E32" s="18"/>
      <c r="F32" s="18"/>
      <c r="G32" s="30">
        <f t="shared" si="1"/>
        <v>0</v>
      </c>
      <c r="H32" s="30"/>
      <c r="I32" s="30"/>
      <c r="J32" s="12">
        <f t="shared" si="0"/>
        <v>0</v>
      </c>
      <c r="K32" s="4">
        <f t="shared" si="3"/>
        <v>0</v>
      </c>
    </row>
    <row r="33" spans="2:11" s="4" customFormat="1" ht="15" hidden="1" customHeight="1" x14ac:dyDescent="0.2">
      <c r="B33" s="16" t="s">
        <v>15</v>
      </c>
      <c r="C33" s="24">
        <v>150</v>
      </c>
      <c r="D33" s="17">
        <v>153</v>
      </c>
      <c r="E33" s="18"/>
      <c r="F33" s="18"/>
      <c r="G33" s="30">
        <f t="shared" si="1"/>
        <v>0</v>
      </c>
      <c r="H33" s="30"/>
      <c r="I33" s="30"/>
      <c r="J33" s="12">
        <f t="shared" si="0"/>
        <v>0</v>
      </c>
      <c r="K33" s="4">
        <f t="shared" si="3"/>
        <v>0</v>
      </c>
    </row>
    <row r="34" spans="2:11" s="4" customFormat="1" ht="15" hidden="1" customHeight="1" x14ac:dyDescent="0.2">
      <c r="B34" s="16" t="s">
        <v>8</v>
      </c>
      <c r="C34" s="24">
        <v>245</v>
      </c>
      <c r="D34" s="17">
        <v>254</v>
      </c>
      <c r="E34" s="18"/>
      <c r="F34" s="18"/>
      <c r="G34" s="30">
        <f t="shared" si="1"/>
        <v>0</v>
      </c>
      <c r="H34" s="30"/>
      <c r="I34" s="30"/>
      <c r="J34" s="12">
        <f t="shared" si="0"/>
        <v>0</v>
      </c>
      <c r="K34" s="4">
        <f t="shared" si="3"/>
        <v>0</v>
      </c>
    </row>
    <row r="35" spans="2:11" s="4" customFormat="1" ht="15" hidden="1" customHeight="1" x14ac:dyDescent="0.2">
      <c r="B35" s="16" t="s">
        <v>37</v>
      </c>
      <c r="C35" s="24"/>
      <c r="D35" s="17">
        <v>190</v>
      </c>
      <c r="E35" s="18"/>
      <c r="F35" s="18"/>
      <c r="G35" s="30">
        <f t="shared" si="1"/>
        <v>0</v>
      </c>
      <c r="H35" s="30"/>
      <c r="I35" s="30"/>
      <c r="J35" s="12">
        <f t="shared" si="0"/>
        <v>0</v>
      </c>
      <c r="K35" s="4">
        <f t="shared" si="3"/>
        <v>0</v>
      </c>
    </row>
    <row r="36" spans="2:11" s="4" customFormat="1" ht="15" hidden="1" customHeight="1" x14ac:dyDescent="0.2">
      <c r="B36" s="16" t="s">
        <v>56</v>
      </c>
      <c r="C36" s="24"/>
      <c r="D36" s="17"/>
      <c r="E36" s="19"/>
      <c r="F36" s="18"/>
      <c r="G36" s="30">
        <f t="shared" si="1"/>
        <v>0</v>
      </c>
      <c r="H36" s="30"/>
      <c r="I36" s="30"/>
      <c r="J36" s="12">
        <f t="shared" ref="J36:J58" si="6">E36*D36</f>
        <v>0</v>
      </c>
      <c r="K36" s="4">
        <f t="shared" si="3"/>
        <v>0</v>
      </c>
    </row>
    <row r="37" spans="2:11" s="4" customFormat="1" ht="15" hidden="1" customHeight="1" x14ac:dyDescent="0.2">
      <c r="B37" s="16" t="s">
        <v>22</v>
      </c>
      <c r="C37" s="24"/>
      <c r="D37" s="17"/>
      <c r="E37" s="19"/>
      <c r="F37" s="18"/>
      <c r="G37" s="30">
        <f t="shared" si="1"/>
        <v>0</v>
      </c>
      <c r="H37" s="30"/>
      <c r="I37" s="30"/>
      <c r="J37" s="12">
        <f t="shared" si="6"/>
        <v>0</v>
      </c>
      <c r="K37" s="4">
        <f t="shared" si="3"/>
        <v>0</v>
      </c>
    </row>
    <row r="38" spans="2:11" s="4" customFormat="1" ht="15" customHeight="1" x14ac:dyDescent="0.2">
      <c r="B38" s="16" t="s">
        <v>33</v>
      </c>
      <c r="C38" s="24">
        <v>210</v>
      </c>
      <c r="D38" s="17">
        <v>217</v>
      </c>
      <c r="E38" s="19">
        <v>10</v>
      </c>
      <c r="F38" s="18">
        <v>10</v>
      </c>
      <c r="G38" s="30">
        <f t="shared" si="1"/>
        <v>20</v>
      </c>
      <c r="H38" s="30">
        <v>1</v>
      </c>
      <c r="I38" s="30">
        <f t="shared" ref="I38:I45" si="7">H38*G38</f>
        <v>20</v>
      </c>
      <c r="J38" s="12">
        <f t="shared" si="6"/>
        <v>2170</v>
      </c>
      <c r="K38" s="4">
        <f t="shared" si="3"/>
        <v>2170</v>
      </c>
    </row>
    <row r="39" spans="2:11" s="4" customFormat="1" ht="15" customHeight="1" x14ac:dyDescent="0.2">
      <c r="B39" s="16" t="s">
        <v>48</v>
      </c>
      <c r="C39" s="24"/>
      <c r="D39" s="27">
        <v>220</v>
      </c>
      <c r="E39" s="19">
        <v>10</v>
      </c>
      <c r="F39" s="18">
        <v>10</v>
      </c>
      <c r="G39" s="30">
        <f t="shared" si="1"/>
        <v>20</v>
      </c>
      <c r="H39" s="30">
        <v>1</v>
      </c>
      <c r="I39" s="30">
        <f t="shared" si="7"/>
        <v>20</v>
      </c>
      <c r="J39" s="12">
        <f t="shared" si="6"/>
        <v>2200</v>
      </c>
      <c r="K39" s="4">
        <f t="shared" si="3"/>
        <v>2200</v>
      </c>
    </row>
    <row r="40" spans="2:11" s="4" customFormat="1" ht="15" customHeight="1" x14ac:dyDescent="0.2">
      <c r="B40" s="16" t="s">
        <v>27</v>
      </c>
      <c r="C40" s="24"/>
      <c r="D40" s="17">
        <v>240</v>
      </c>
      <c r="E40" s="19">
        <v>80</v>
      </c>
      <c r="F40" s="18">
        <v>70</v>
      </c>
      <c r="G40" s="30">
        <f t="shared" si="1"/>
        <v>150</v>
      </c>
      <c r="H40" s="30">
        <v>1</v>
      </c>
      <c r="I40" s="30">
        <f t="shared" si="7"/>
        <v>150</v>
      </c>
      <c r="J40" s="12">
        <f t="shared" si="6"/>
        <v>19200</v>
      </c>
      <c r="K40" s="4">
        <f t="shared" si="3"/>
        <v>16800</v>
      </c>
    </row>
    <row r="41" spans="2:11" s="4" customFormat="1" ht="15" customHeight="1" x14ac:dyDescent="0.2">
      <c r="B41" s="16" t="s">
        <v>43</v>
      </c>
      <c r="C41" s="24">
        <v>240</v>
      </c>
      <c r="D41" s="17">
        <v>248</v>
      </c>
      <c r="E41" s="19">
        <v>40</v>
      </c>
      <c r="F41" s="18">
        <v>30</v>
      </c>
      <c r="G41" s="30">
        <f t="shared" si="1"/>
        <v>70</v>
      </c>
      <c r="H41" s="30">
        <v>1</v>
      </c>
      <c r="I41" s="30">
        <f t="shared" si="7"/>
        <v>70</v>
      </c>
      <c r="J41" s="12">
        <f t="shared" si="6"/>
        <v>9920</v>
      </c>
      <c r="K41" s="4">
        <f t="shared" si="3"/>
        <v>7440</v>
      </c>
    </row>
    <row r="42" spans="2:11" s="4" customFormat="1" ht="15" customHeight="1" x14ac:dyDescent="0.2">
      <c r="B42" s="16" t="s">
        <v>44</v>
      </c>
      <c r="C42" s="24">
        <v>255</v>
      </c>
      <c r="D42" s="17">
        <v>260</v>
      </c>
      <c r="E42" s="19">
        <v>20</v>
      </c>
      <c r="F42" s="18">
        <v>20</v>
      </c>
      <c r="G42" s="30">
        <f t="shared" si="1"/>
        <v>40</v>
      </c>
      <c r="H42" s="30">
        <v>1</v>
      </c>
      <c r="I42" s="30">
        <f t="shared" si="7"/>
        <v>40</v>
      </c>
      <c r="J42" s="12">
        <f t="shared" si="6"/>
        <v>5200</v>
      </c>
      <c r="K42" s="4">
        <f t="shared" si="3"/>
        <v>5200</v>
      </c>
    </row>
    <row r="43" spans="2:11" s="4" customFormat="1" ht="15" customHeight="1" x14ac:dyDescent="0.2">
      <c r="B43" s="16" t="s">
        <v>28</v>
      </c>
      <c r="C43" s="24">
        <v>240</v>
      </c>
      <c r="D43" s="17">
        <v>244</v>
      </c>
      <c r="E43" s="19">
        <v>70</v>
      </c>
      <c r="F43" s="18">
        <v>50</v>
      </c>
      <c r="G43" s="30">
        <f t="shared" si="1"/>
        <v>120</v>
      </c>
      <c r="H43" s="30">
        <v>1</v>
      </c>
      <c r="I43" s="30">
        <f t="shared" si="7"/>
        <v>120</v>
      </c>
      <c r="J43" s="12">
        <f t="shared" si="6"/>
        <v>17080</v>
      </c>
      <c r="K43" s="4">
        <f t="shared" si="3"/>
        <v>12200</v>
      </c>
    </row>
    <row r="44" spans="2:11" s="4" customFormat="1" ht="15" customHeight="1" x14ac:dyDescent="0.2">
      <c r="B44" s="16" t="s">
        <v>41</v>
      </c>
      <c r="C44" s="24">
        <v>185</v>
      </c>
      <c r="D44" s="17">
        <v>185</v>
      </c>
      <c r="E44" s="19">
        <v>10</v>
      </c>
      <c r="F44" s="18">
        <v>10</v>
      </c>
      <c r="G44" s="30">
        <f t="shared" si="1"/>
        <v>20</v>
      </c>
      <c r="H44" s="30">
        <v>1</v>
      </c>
      <c r="I44" s="30">
        <f t="shared" si="7"/>
        <v>20</v>
      </c>
      <c r="J44" s="12">
        <f t="shared" si="6"/>
        <v>1850</v>
      </c>
      <c r="K44" s="4">
        <f t="shared" si="3"/>
        <v>1850</v>
      </c>
    </row>
    <row r="45" spans="2:11" s="4" customFormat="1" ht="15" customHeight="1" x14ac:dyDescent="0.2">
      <c r="B45" s="16" t="s">
        <v>42</v>
      </c>
      <c r="C45" s="24"/>
      <c r="D45" s="17">
        <v>188</v>
      </c>
      <c r="E45" s="19">
        <v>10</v>
      </c>
      <c r="F45" s="18">
        <v>10</v>
      </c>
      <c r="G45" s="30">
        <f t="shared" si="1"/>
        <v>20</v>
      </c>
      <c r="H45" s="30">
        <v>1</v>
      </c>
      <c r="I45" s="30">
        <f t="shared" si="7"/>
        <v>20</v>
      </c>
      <c r="J45" s="12">
        <f t="shared" si="6"/>
        <v>1880</v>
      </c>
      <c r="K45" s="4">
        <f t="shared" si="3"/>
        <v>1880</v>
      </c>
    </row>
    <row r="46" spans="2:11" s="4" customFormat="1" ht="15" hidden="1" customHeight="1" x14ac:dyDescent="0.2">
      <c r="B46" s="16"/>
      <c r="C46" s="24"/>
      <c r="D46" s="17"/>
      <c r="E46" s="19"/>
      <c r="F46" s="18"/>
      <c r="G46" s="30">
        <f t="shared" si="1"/>
        <v>0</v>
      </c>
      <c r="H46" s="30"/>
      <c r="I46" s="30"/>
      <c r="J46" s="12">
        <f t="shared" si="6"/>
        <v>0</v>
      </c>
      <c r="K46" s="4">
        <f t="shared" si="3"/>
        <v>0</v>
      </c>
    </row>
    <row r="47" spans="2:11" s="4" customFormat="1" ht="15" hidden="1" customHeight="1" x14ac:dyDescent="0.2">
      <c r="B47" s="20" t="s">
        <v>49</v>
      </c>
      <c r="C47" s="24"/>
      <c r="D47" s="17"/>
      <c r="E47" s="19"/>
      <c r="F47" s="18"/>
      <c r="G47" s="30">
        <f t="shared" si="1"/>
        <v>0</v>
      </c>
      <c r="H47" s="30"/>
      <c r="I47" s="30"/>
      <c r="J47" s="12">
        <f t="shared" si="6"/>
        <v>0</v>
      </c>
      <c r="K47" s="4">
        <f t="shared" si="3"/>
        <v>0</v>
      </c>
    </row>
    <row r="48" spans="2:11" s="4" customFormat="1" ht="15" customHeight="1" x14ac:dyDescent="0.2">
      <c r="B48" s="16" t="s">
        <v>51</v>
      </c>
      <c r="C48" s="24">
        <v>125</v>
      </c>
      <c r="D48" s="17">
        <v>127</v>
      </c>
      <c r="E48" s="19">
        <v>60</v>
      </c>
      <c r="F48" s="18">
        <v>40</v>
      </c>
      <c r="G48" s="30">
        <f t="shared" si="1"/>
        <v>100</v>
      </c>
      <c r="H48" s="30">
        <v>0.45</v>
      </c>
      <c r="I48" s="30">
        <f t="shared" ref="I48:I51" si="8">H48*G48</f>
        <v>45</v>
      </c>
      <c r="J48" s="12">
        <f t="shared" si="6"/>
        <v>7620</v>
      </c>
      <c r="K48" s="4">
        <f t="shared" si="3"/>
        <v>5080</v>
      </c>
    </row>
    <row r="49" spans="2:11" s="4" customFormat="1" ht="15" customHeight="1" x14ac:dyDescent="0.2">
      <c r="B49" s="16" t="s">
        <v>50</v>
      </c>
      <c r="C49" s="26">
        <v>125</v>
      </c>
      <c r="D49" s="17">
        <v>127</v>
      </c>
      <c r="E49" s="19">
        <v>60</v>
      </c>
      <c r="F49" s="18">
        <v>40</v>
      </c>
      <c r="G49" s="30">
        <f t="shared" si="1"/>
        <v>100</v>
      </c>
      <c r="H49" s="30">
        <v>0.45</v>
      </c>
      <c r="I49" s="30">
        <f t="shared" si="8"/>
        <v>45</v>
      </c>
      <c r="J49" s="12">
        <f t="shared" si="6"/>
        <v>7620</v>
      </c>
      <c r="K49" s="4">
        <f t="shared" si="3"/>
        <v>5080</v>
      </c>
    </row>
    <row r="50" spans="2:11" s="4" customFormat="1" ht="15" customHeight="1" x14ac:dyDescent="0.2">
      <c r="B50" s="16" t="s">
        <v>24</v>
      </c>
      <c r="C50" s="26">
        <v>80</v>
      </c>
      <c r="D50" s="17">
        <v>82</v>
      </c>
      <c r="E50" s="19">
        <v>6</v>
      </c>
      <c r="F50" s="18">
        <v>6</v>
      </c>
      <c r="G50" s="30">
        <f t="shared" si="1"/>
        <v>12</v>
      </c>
      <c r="H50" s="30">
        <v>0.35</v>
      </c>
      <c r="I50" s="30">
        <f t="shared" si="8"/>
        <v>4.1999999999999993</v>
      </c>
      <c r="J50" s="12">
        <f t="shared" si="6"/>
        <v>492</v>
      </c>
      <c r="K50" s="4">
        <f t="shared" si="3"/>
        <v>492</v>
      </c>
    </row>
    <row r="51" spans="2:11" s="4" customFormat="1" ht="15" customHeight="1" x14ac:dyDescent="0.2">
      <c r="B51" s="16" t="s">
        <v>23</v>
      </c>
      <c r="C51" s="26">
        <v>75</v>
      </c>
      <c r="D51" s="17">
        <v>77</v>
      </c>
      <c r="E51" s="19">
        <v>18</v>
      </c>
      <c r="F51" s="18">
        <v>12</v>
      </c>
      <c r="G51" s="30">
        <f t="shared" si="1"/>
        <v>30</v>
      </c>
      <c r="H51" s="30">
        <v>0.35</v>
      </c>
      <c r="I51" s="30">
        <f t="shared" si="8"/>
        <v>10.5</v>
      </c>
      <c r="J51" s="12">
        <f t="shared" si="6"/>
        <v>1386</v>
      </c>
      <c r="K51" s="4">
        <f t="shared" si="3"/>
        <v>924</v>
      </c>
    </row>
    <row r="52" spans="2:11" s="4" customFormat="1" ht="15" hidden="1" customHeight="1" x14ac:dyDescent="0.2">
      <c r="B52" s="16" t="s">
        <v>30</v>
      </c>
      <c r="C52" s="26">
        <v>133</v>
      </c>
      <c r="D52" s="17">
        <v>136</v>
      </c>
      <c r="E52" s="19"/>
      <c r="F52" s="18"/>
      <c r="G52" s="30">
        <f t="shared" si="1"/>
        <v>0</v>
      </c>
      <c r="H52" s="30"/>
      <c r="I52" s="30"/>
      <c r="J52" s="12">
        <f t="shared" si="6"/>
        <v>0</v>
      </c>
      <c r="K52" s="4">
        <f t="shared" si="3"/>
        <v>0</v>
      </c>
    </row>
    <row r="53" spans="2:11" s="4" customFormat="1" ht="15" hidden="1" customHeight="1" x14ac:dyDescent="0.2">
      <c r="B53" s="16" t="s">
        <v>38</v>
      </c>
      <c r="C53" s="26">
        <v>90</v>
      </c>
      <c r="D53" s="17">
        <v>90</v>
      </c>
      <c r="E53" s="19"/>
      <c r="F53" s="18"/>
      <c r="G53" s="30">
        <f t="shared" si="1"/>
        <v>0</v>
      </c>
      <c r="H53" s="30"/>
      <c r="I53" s="30"/>
      <c r="J53" s="12">
        <f t="shared" si="6"/>
        <v>0</v>
      </c>
      <c r="K53" s="4">
        <f t="shared" si="3"/>
        <v>0</v>
      </c>
    </row>
    <row r="54" spans="2:11" s="4" customFormat="1" ht="15" hidden="1" customHeight="1" x14ac:dyDescent="0.2">
      <c r="B54" s="16" t="s">
        <v>25</v>
      </c>
      <c r="C54" s="26"/>
      <c r="D54" s="17"/>
      <c r="E54" s="19"/>
      <c r="F54" s="18"/>
      <c r="G54" s="30">
        <f t="shared" si="1"/>
        <v>0</v>
      </c>
      <c r="H54" s="30"/>
      <c r="I54" s="30"/>
      <c r="J54" s="12">
        <f t="shared" si="6"/>
        <v>0</v>
      </c>
      <c r="K54" s="4">
        <f t="shared" si="3"/>
        <v>0</v>
      </c>
    </row>
    <row r="55" spans="2:11" s="4" customFormat="1" ht="15" customHeight="1" x14ac:dyDescent="0.2">
      <c r="B55" s="16" t="s">
        <v>31</v>
      </c>
      <c r="C55" s="26">
        <v>133</v>
      </c>
      <c r="D55" s="17">
        <v>136</v>
      </c>
      <c r="E55" s="19">
        <v>12</v>
      </c>
      <c r="F55" s="18">
        <v>6</v>
      </c>
      <c r="G55" s="30">
        <f t="shared" si="1"/>
        <v>18</v>
      </c>
      <c r="H55" s="30">
        <v>0.45</v>
      </c>
      <c r="I55" s="30">
        <f t="shared" ref="I55:I56" si="9">H55*G55</f>
        <v>8.1</v>
      </c>
      <c r="J55" s="12">
        <f t="shared" si="6"/>
        <v>1632</v>
      </c>
      <c r="K55" s="4">
        <f t="shared" si="3"/>
        <v>816</v>
      </c>
    </row>
    <row r="56" spans="2:11" s="4" customFormat="1" ht="15" customHeight="1" thickBot="1" x14ac:dyDescent="0.25">
      <c r="B56" s="16" t="s">
        <v>54</v>
      </c>
      <c r="C56" s="26">
        <v>90</v>
      </c>
      <c r="D56" s="17">
        <v>94</v>
      </c>
      <c r="E56" s="19">
        <v>18</v>
      </c>
      <c r="F56" s="18">
        <v>12</v>
      </c>
      <c r="G56" s="30">
        <f t="shared" si="1"/>
        <v>30</v>
      </c>
      <c r="H56" s="30">
        <v>0.4</v>
      </c>
      <c r="I56" s="30">
        <f t="shared" si="9"/>
        <v>12</v>
      </c>
      <c r="J56" s="12">
        <f t="shared" si="6"/>
        <v>1692</v>
      </c>
      <c r="K56" s="4">
        <f t="shared" si="3"/>
        <v>1128</v>
      </c>
    </row>
    <row r="57" spans="2:11" s="4" customFormat="1" ht="15" hidden="1" customHeight="1" x14ac:dyDescent="0.2">
      <c r="B57" s="16" t="s">
        <v>39</v>
      </c>
      <c r="C57" s="26"/>
      <c r="D57" s="17"/>
      <c r="E57" s="19"/>
      <c r="F57" s="18"/>
      <c r="G57" s="30">
        <f t="shared" si="1"/>
        <v>0</v>
      </c>
      <c r="H57" s="30"/>
      <c r="I57" s="30"/>
      <c r="J57" s="12">
        <f t="shared" si="6"/>
        <v>0</v>
      </c>
      <c r="K57" s="4">
        <f t="shared" si="3"/>
        <v>0</v>
      </c>
    </row>
    <row r="58" spans="2:11" s="4" customFormat="1" ht="15" hidden="1" customHeight="1" x14ac:dyDescent="0.2">
      <c r="B58" s="16" t="s">
        <v>40</v>
      </c>
      <c r="C58" s="26"/>
      <c r="D58" s="17"/>
      <c r="E58" s="19"/>
      <c r="F58" s="18"/>
      <c r="G58" s="30">
        <f t="shared" si="1"/>
        <v>0</v>
      </c>
      <c r="H58" s="30"/>
      <c r="I58" s="30"/>
      <c r="J58" s="12">
        <f t="shared" si="6"/>
        <v>0</v>
      </c>
      <c r="K58" s="4">
        <f t="shared" si="3"/>
        <v>0</v>
      </c>
    </row>
    <row r="59" spans="2:11" s="1" customFormat="1" ht="15" hidden="1" customHeight="1" x14ac:dyDescent="0.25">
      <c r="B59" s="10"/>
      <c r="C59" s="23"/>
      <c r="D59" s="9"/>
      <c r="E59" s="7">
        <f>SUM(E4:E58)</f>
        <v>684</v>
      </c>
      <c r="F59" s="7">
        <f>SUM(F4:F58)</f>
        <v>541</v>
      </c>
      <c r="G59" s="31"/>
      <c r="H59" s="31"/>
      <c r="I59" s="33"/>
      <c r="J59" s="13">
        <f>SUM(J4:J58)</f>
        <v>148622</v>
      </c>
      <c r="K59" s="1">
        <f>SUM(K4:K58)</f>
        <v>119855</v>
      </c>
    </row>
    <row r="60" spans="2:11" ht="15" customHeight="1" thickBot="1" x14ac:dyDescent="0.3">
      <c r="I60" s="34">
        <f>SUBTOTAL(9,I4:I59)</f>
        <v>1059.8</v>
      </c>
    </row>
  </sheetData>
  <autoFilter ref="B3:I59" xr:uid="{231A58E8-023A-4E4E-B5C7-6573D20E184A}">
    <filterColumn colId="5">
      <filters>
        <filter val="10"/>
        <filter val="100"/>
        <filter val="12"/>
        <filter val="120"/>
        <filter val="15"/>
        <filter val="150"/>
        <filter val="18"/>
        <filter val="20"/>
        <filter val="25"/>
        <filter val="30"/>
        <filter val="35"/>
        <filter val="40"/>
        <filter val="50"/>
        <filter val="70"/>
      </filters>
    </filterColumn>
  </autoFilter>
  <pageMargins left="0.41666666666666669" right="0.29166666666666669" top="0.24" bottom="0.43" header="0.12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2025-11-13T07:14:16Z</dcterms:modified>
</cp:coreProperties>
</file>