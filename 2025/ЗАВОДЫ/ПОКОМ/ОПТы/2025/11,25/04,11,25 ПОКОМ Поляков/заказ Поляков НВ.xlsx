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Поляков\"/>
    </mc:Choice>
  </mc:AlternateContent>
  <xr:revisionPtr revIDLastSave="0" documentId="13_ncr:1_{7F4C9885-9DAE-4009-96CD-8B9F81174A0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Y481" i="1" s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X468" i="1"/>
  <c r="Y467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Y453" i="1" s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Y438" i="1" s="1"/>
  <c r="P434" i="1"/>
  <c r="X432" i="1"/>
  <c r="X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Y431" i="1" s="1"/>
  <c r="P421" i="1"/>
  <c r="BP420" i="1"/>
  <c r="BO420" i="1"/>
  <c r="BN420" i="1"/>
  <c r="BM420" i="1"/>
  <c r="Z420" i="1"/>
  <c r="Y420" i="1"/>
  <c r="P420" i="1"/>
  <c r="X416" i="1"/>
  <c r="X415" i="1"/>
  <c r="BO414" i="1"/>
  <c r="BM414" i="1"/>
  <c r="Y414" i="1"/>
  <c r="Y415" i="1" s="1"/>
  <c r="P414" i="1"/>
  <c r="X411" i="1"/>
  <c r="X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BP407" i="1" s="1"/>
  <c r="P407" i="1"/>
  <c r="BP406" i="1"/>
  <c r="BO406" i="1"/>
  <c r="BN406" i="1"/>
  <c r="BM406" i="1"/>
  <c r="Z406" i="1"/>
  <c r="Y406" i="1"/>
  <c r="Y411" i="1" s="1"/>
  <c r="P406" i="1"/>
  <c r="X404" i="1"/>
  <c r="Y403" i="1"/>
  <c r="X403" i="1"/>
  <c r="BP402" i="1"/>
  <c r="BO402" i="1"/>
  <c r="BN402" i="1"/>
  <c r="BM402" i="1"/>
  <c r="Z402" i="1"/>
  <c r="Z403" i="1" s="1"/>
  <c r="Y402" i="1"/>
  <c r="V498" i="1" s="1"/>
  <c r="P402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U498" i="1" s="1"/>
  <c r="P384" i="1"/>
  <c r="X380" i="1"/>
  <c r="X379" i="1"/>
  <c r="BO378" i="1"/>
  <c r="BM378" i="1"/>
  <c r="Y378" i="1"/>
  <c r="Y380" i="1" s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Y370" i="1" s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Y355" i="1" s="1"/>
  <c r="P353" i="1"/>
  <c r="BP352" i="1"/>
  <c r="BO352" i="1"/>
  <c r="BN352" i="1"/>
  <c r="BM352" i="1"/>
  <c r="Z352" i="1"/>
  <c r="Y352" i="1"/>
  <c r="Y354" i="1" s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BP345" i="1" s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S498" i="1" s="1"/>
  <c r="P342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R498" i="1" s="1"/>
  <c r="P334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X325" i="1"/>
  <c r="X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BO320" i="1"/>
  <c r="BM320" i="1"/>
  <c r="Y320" i="1"/>
  <c r="Y325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Y318" i="1" s="1"/>
  <c r="P314" i="1"/>
  <c r="X312" i="1"/>
  <c r="X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Y312" i="1" s="1"/>
  <c r="P306" i="1"/>
  <c r="X304" i="1"/>
  <c r="X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BP298" i="1" s="1"/>
  <c r="P298" i="1"/>
  <c r="BP297" i="1"/>
  <c r="BO297" i="1"/>
  <c r="BN297" i="1"/>
  <c r="BM297" i="1"/>
  <c r="Z297" i="1"/>
  <c r="Y297" i="1"/>
  <c r="P297" i="1"/>
  <c r="BO296" i="1"/>
  <c r="BM296" i="1"/>
  <c r="Y296" i="1"/>
  <c r="Y304" i="1" s="1"/>
  <c r="P296" i="1"/>
  <c r="X294" i="1"/>
  <c r="X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Q498" i="1" s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Y267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L498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6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4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1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H498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Y127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8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X492" i="1" s="1"/>
  <c r="BP22" i="1"/>
  <c r="BO22" i="1"/>
  <c r="BN22" i="1"/>
  <c r="BM22" i="1"/>
  <c r="Z22" i="1"/>
  <c r="Z23" i="1" s="1"/>
  <c r="Y22" i="1"/>
  <c r="P22" i="1"/>
  <c r="H10" i="1"/>
  <c r="A9" i="1"/>
  <c r="F10" i="1" s="1"/>
  <c r="D7" i="1"/>
  <c r="Q6" i="1"/>
  <c r="P2" i="1"/>
  <c r="H9" i="1" l="1"/>
  <c r="A10" i="1"/>
  <c r="B498" i="1"/>
  <c r="X489" i="1"/>
  <c r="X490" i="1"/>
  <c r="Y24" i="1"/>
  <c r="Z27" i="1"/>
  <c r="Z31" i="1" s="1"/>
  <c r="BN27" i="1"/>
  <c r="BP27" i="1"/>
  <c r="Z29" i="1"/>
  <c r="BN29" i="1"/>
  <c r="C498" i="1"/>
  <c r="Z41" i="1"/>
  <c r="Z43" i="1" s="1"/>
  <c r="BN41" i="1"/>
  <c r="BP41" i="1"/>
  <c r="Y44" i="1"/>
  <c r="D498" i="1"/>
  <c r="Z52" i="1"/>
  <c r="Z57" i="1" s="1"/>
  <c r="BN52" i="1"/>
  <c r="BP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Y96" i="1"/>
  <c r="F498" i="1"/>
  <c r="Z100" i="1"/>
  <c r="Z103" i="1" s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BN140" i="1"/>
  <c r="BP140" i="1"/>
  <c r="Z142" i="1"/>
  <c r="BN142" i="1"/>
  <c r="Y143" i="1"/>
  <c r="Z146" i="1"/>
  <c r="BN146" i="1"/>
  <c r="BP146" i="1"/>
  <c r="Z148" i="1"/>
  <c r="BN148" i="1"/>
  <c r="Y149" i="1"/>
  <c r="I498" i="1"/>
  <c r="Y160" i="1"/>
  <c r="Z163" i="1"/>
  <c r="Z171" i="1" s="1"/>
  <c r="BN163" i="1"/>
  <c r="Z165" i="1"/>
  <c r="BN165" i="1"/>
  <c r="Z167" i="1"/>
  <c r="BN167" i="1"/>
  <c r="Z169" i="1"/>
  <c r="BN169" i="1"/>
  <c r="Y172" i="1"/>
  <c r="Z175" i="1"/>
  <c r="Z177" i="1" s="1"/>
  <c r="BN175" i="1"/>
  <c r="BP175" i="1"/>
  <c r="J498" i="1"/>
  <c r="Z186" i="1"/>
  <c r="Z187" i="1" s="1"/>
  <c r="BN186" i="1"/>
  <c r="BP186" i="1"/>
  <c r="Y187" i="1"/>
  <c r="Z190" i="1"/>
  <c r="Z192" i="1" s="1"/>
  <c r="BN190" i="1"/>
  <c r="BP190" i="1"/>
  <c r="Y193" i="1"/>
  <c r="Z196" i="1"/>
  <c r="Z203" i="1" s="1"/>
  <c r="BN196" i="1"/>
  <c r="BP196" i="1"/>
  <c r="Z198" i="1"/>
  <c r="BN198" i="1"/>
  <c r="Z200" i="1"/>
  <c r="BN200" i="1"/>
  <c r="Z202" i="1"/>
  <c r="BN202" i="1"/>
  <c r="Z206" i="1"/>
  <c r="Z215" i="1" s="1"/>
  <c r="BN206" i="1"/>
  <c r="BP206" i="1"/>
  <c r="Y490" i="1" s="1"/>
  <c r="Z208" i="1"/>
  <c r="BN208" i="1"/>
  <c r="Z210" i="1"/>
  <c r="BN210" i="1"/>
  <c r="Z212" i="1"/>
  <c r="BN212" i="1"/>
  <c r="Z214" i="1"/>
  <c r="BN214" i="1"/>
  <c r="Y215" i="1"/>
  <c r="Z218" i="1"/>
  <c r="Z220" i="1" s="1"/>
  <c r="BN218" i="1"/>
  <c r="BP218" i="1"/>
  <c r="Y221" i="1"/>
  <c r="K498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Z250" i="1" s="1"/>
  <c r="BN245" i="1"/>
  <c r="BP245" i="1"/>
  <c r="Z247" i="1"/>
  <c r="BN247" i="1"/>
  <c r="Z249" i="1"/>
  <c r="BN249" i="1"/>
  <c r="Y250" i="1"/>
  <c r="Z254" i="1"/>
  <c r="Z259" i="1" s="1"/>
  <c r="BN254" i="1"/>
  <c r="BP254" i="1"/>
  <c r="Z256" i="1"/>
  <c r="BN256" i="1"/>
  <c r="Z258" i="1"/>
  <c r="BN258" i="1"/>
  <c r="Y259" i="1"/>
  <c r="Z263" i="1"/>
  <c r="Z267" i="1" s="1"/>
  <c r="BP272" i="1"/>
  <c r="BN272" i="1"/>
  <c r="Z272" i="1"/>
  <c r="Z274" i="1" s="1"/>
  <c r="F9" i="1"/>
  <c r="J9" i="1"/>
  <c r="Y89" i="1"/>
  <c r="Y144" i="1"/>
  <c r="Y235" i="1"/>
  <c r="Y260" i="1"/>
  <c r="M498" i="1"/>
  <c r="Y268" i="1"/>
  <c r="BP263" i="1"/>
  <c r="BN263" i="1"/>
  <c r="Y489" i="1" s="1"/>
  <c r="Y491" i="1" s="1"/>
  <c r="BP265" i="1"/>
  <c r="BN265" i="1"/>
  <c r="Z265" i="1"/>
  <c r="Y281" i="1"/>
  <c r="BP279" i="1"/>
  <c r="BN279" i="1"/>
  <c r="Z279" i="1"/>
  <c r="Z280" i="1" s="1"/>
  <c r="Z354" i="1"/>
  <c r="Z379" i="1"/>
  <c r="O498" i="1"/>
  <c r="Y275" i="1"/>
  <c r="P498" i="1"/>
  <c r="Y280" i="1"/>
  <c r="Y492" i="1" s="1"/>
  <c r="Z283" i="1"/>
  <c r="Z284" i="1" s="1"/>
  <c r="BN283" i="1"/>
  <c r="BP283" i="1"/>
  <c r="Y284" i="1"/>
  <c r="Z288" i="1"/>
  <c r="BN288" i="1"/>
  <c r="BP288" i="1"/>
  <c r="Z290" i="1"/>
  <c r="BN290" i="1"/>
  <c r="Z292" i="1"/>
  <c r="BN292" i="1"/>
  <c r="Y293" i="1"/>
  <c r="Z296" i="1"/>
  <c r="BN296" i="1"/>
  <c r="BP296" i="1"/>
  <c r="Z298" i="1"/>
  <c r="BN298" i="1"/>
  <c r="Z300" i="1"/>
  <c r="BN300" i="1"/>
  <c r="Z302" i="1"/>
  <c r="BN302" i="1"/>
  <c r="Y303" i="1"/>
  <c r="Z306" i="1"/>
  <c r="BN306" i="1"/>
  <c r="BP306" i="1"/>
  <c r="Z308" i="1"/>
  <c r="BN308" i="1"/>
  <c r="Z310" i="1"/>
  <c r="BN310" i="1"/>
  <c r="Y311" i="1"/>
  <c r="Z314" i="1"/>
  <c r="BN314" i="1"/>
  <c r="BP314" i="1"/>
  <c r="Z316" i="1"/>
  <c r="BN316" i="1"/>
  <c r="Y317" i="1"/>
  <c r="Z320" i="1"/>
  <c r="BN320" i="1"/>
  <c r="BP320" i="1"/>
  <c r="Z321" i="1"/>
  <c r="BN321" i="1"/>
  <c r="Z323" i="1"/>
  <c r="BN323" i="1"/>
  <c r="Y324" i="1"/>
  <c r="Z327" i="1"/>
  <c r="BN327" i="1"/>
  <c r="BP327" i="1"/>
  <c r="Z329" i="1"/>
  <c r="BN329" i="1"/>
  <c r="Y330" i="1"/>
  <c r="Z334" i="1"/>
  <c r="BN334" i="1"/>
  <c r="BP334" i="1"/>
  <c r="Z336" i="1"/>
  <c r="BN336" i="1"/>
  <c r="Y337" i="1"/>
  <c r="Z342" i="1"/>
  <c r="BN342" i="1"/>
  <c r="BP342" i="1"/>
  <c r="Z344" i="1"/>
  <c r="BN344" i="1"/>
  <c r="Z345" i="1"/>
  <c r="BN345" i="1"/>
  <c r="Z347" i="1"/>
  <c r="BN347" i="1"/>
  <c r="Y350" i="1"/>
  <c r="Z353" i="1"/>
  <c r="BN353" i="1"/>
  <c r="BP353" i="1"/>
  <c r="Z357" i="1"/>
  <c r="Z359" i="1" s="1"/>
  <c r="BN357" i="1"/>
  <c r="BP357" i="1"/>
  <c r="Y360" i="1"/>
  <c r="T498" i="1"/>
  <c r="Z368" i="1"/>
  <c r="Z369" i="1" s="1"/>
  <c r="BN368" i="1"/>
  <c r="BP368" i="1"/>
  <c r="Y369" i="1"/>
  <c r="Z372" i="1"/>
  <c r="Z374" i="1" s="1"/>
  <c r="BN372" i="1"/>
  <c r="BP372" i="1"/>
  <c r="Y375" i="1"/>
  <c r="Z378" i="1"/>
  <c r="BN378" i="1"/>
  <c r="BP378" i="1"/>
  <c r="Z384" i="1"/>
  <c r="Z393" i="1" s="1"/>
  <c r="BN384" i="1"/>
  <c r="BP384" i="1"/>
  <c r="Z386" i="1"/>
  <c r="BN386" i="1"/>
  <c r="Z388" i="1"/>
  <c r="BN388" i="1"/>
  <c r="Z390" i="1"/>
  <c r="BN390" i="1"/>
  <c r="Z392" i="1"/>
  <c r="BN392" i="1"/>
  <c r="Y393" i="1"/>
  <c r="Z396" i="1"/>
  <c r="Z398" i="1" s="1"/>
  <c r="BN396" i="1"/>
  <c r="BP396" i="1"/>
  <c r="Y399" i="1"/>
  <c r="Y404" i="1"/>
  <c r="Z407" i="1"/>
  <c r="Z410" i="1" s="1"/>
  <c r="BN407" i="1"/>
  <c r="Z409" i="1"/>
  <c r="BN409" i="1"/>
  <c r="Y410" i="1"/>
  <c r="Z414" i="1"/>
  <c r="Z415" i="1" s="1"/>
  <c r="BN414" i="1"/>
  <c r="BP414" i="1"/>
  <c r="X498" i="1"/>
  <c r="BP423" i="1"/>
  <c r="BN423" i="1"/>
  <c r="Z423" i="1"/>
  <c r="BP427" i="1"/>
  <c r="BN427" i="1"/>
  <c r="Z427" i="1"/>
  <c r="Z437" i="1"/>
  <c r="BP435" i="1"/>
  <c r="BN435" i="1"/>
  <c r="Z435" i="1"/>
  <c r="Y446" i="1"/>
  <c r="BP443" i="1"/>
  <c r="BN443" i="1"/>
  <c r="Z443" i="1"/>
  <c r="BP451" i="1"/>
  <c r="BN451" i="1"/>
  <c r="Z451" i="1"/>
  <c r="Y498" i="1"/>
  <c r="Y462" i="1"/>
  <c r="BP457" i="1"/>
  <c r="BN457" i="1"/>
  <c r="Z457" i="1"/>
  <c r="Y461" i="1"/>
  <c r="BP465" i="1"/>
  <c r="BN465" i="1"/>
  <c r="Z465" i="1"/>
  <c r="Z467" i="1" s="1"/>
  <c r="Y472" i="1"/>
  <c r="Y294" i="1"/>
  <c r="Y338" i="1"/>
  <c r="Y349" i="1"/>
  <c r="Y394" i="1"/>
  <c r="W498" i="1"/>
  <c r="Y416" i="1"/>
  <c r="BP421" i="1"/>
  <c r="BN421" i="1"/>
  <c r="Z421" i="1"/>
  <c r="BP425" i="1"/>
  <c r="BN425" i="1"/>
  <c r="Z425" i="1"/>
  <c r="Z431" i="1" s="1"/>
  <c r="BP429" i="1"/>
  <c r="BN429" i="1"/>
  <c r="Z429" i="1"/>
  <c r="BP441" i="1"/>
  <c r="BN441" i="1"/>
  <c r="Z441" i="1"/>
  <c r="Z446" i="1" s="1"/>
  <c r="BP445" i="1"/>
  <c r="BN445" i="1"/>
  <c r="Z445" i="1"/>
  <c r="Y447" i="1"/>
  <c r="Y452" i="1"/>
  <c r="BP449" i="1"/>
  <c r="BN449" i="1"/>
  <c r="Z449" i="1"/>
  <c r="Z452" i="1" s="1"/>
  <c r="BP459" i="1"/>
  <c r="BN459" i="1"/>
  <c r="Z459" i="1"/>
  <c r="BP471" i="1"/>
  <c r="BN471" i="1"/>
  <c r="Z471" i="1"/>
  <c r="Z472" i="1" s="1"/>
  <c r="Y473" i="1"/>
  <c r="Y476" i="1"/>
  <c r="BP475" i="1"/>
  <c r="BN475" i="1"/>
  <c r="Z475" i="1"/>
  <c r="Z476" i="1" s="1"/>
  <c r="Y477" i="1"/>
  <c r="Y432" i="1"/>
  <c r="Z479" i="1"/>
  <c r="Z481" i="1" s="1"/>
  <c r="BN479" i="1"/>
  <c r="BP479" i="1"/>
  <c r="Y482" i="1"/>
  <c r="Y487" i="1"/>
  <c r="Z480" i="1"/>
  <c r="BN480" i="1"/>
  <c r="Z485" i="1"/>
  <c r="Z486" i="1" s="1"/>
  <c r="BN485" i="1"/>
  <c r="BP485" i="1"/>
  <c r="Y486" i="1"/>
  <c r="Z149" i="1" l="1"/>
  <c r="Z143" i="1"/>
  <c r="Z116" i="1"/>
  <c r="Z109" i="1"/>
  <c r="Z76" i="1"/>
  <c r="Z69" i="1"/>
  <c r="Z63" i="1"/>
  <c r="Z493" i="1" s="1"/>
  <c r="Y488" i="1"/>
  <c r="X491" i="1"/>
  <c r="Z461" i="1"/>
  <c r="Z349" i="1"/>
  <c r="Z337" i="1"/>
  <c r="Z330" i="1"/>
  <c r="Z324" i="1"/>
  <c r="Z317" i="1"/>
  <c r="Z311" i="1"/>
  <c r="Z303" i="1"/>
  <c r="Z293" i="1"/>
</calcChain>
</file>

<file path=xl/sharedStrings.xml><?xml version="1.0" encoding="utf-8"?>
<sst xmlns="http://schemas.openxmlformats.org/spreadsheetml/2006/main" count="2311" uniqueCount="762">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</sst>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50</v>
      </c>
      <c r="Y40" s="540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4.6296296296296298</v>
      </c>
      <c r="Y43" s="541">
        <f>IFERROR(Y40/H40,"0")+IFERROR(Y41/H41,"0")+IFERROR(Y42/H42,"0")</f>
        <v>5</v>
      </c>
      <c r="Z43" s="541">
        <f>IFERROR(IF(Z40="",0,Z40),"0")+IFERROR(IF(Z41="",0,Z41),"0")+IFERROR(IF(Z42="",0,Z42),"0")</f>
        <v>9.4899999999999998E-2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50</v>
      </c>
      <c r="Y44" s="541">
        <f>IFERROR(SUM(Y40:Y42),"0")</f>
        <v>54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150</v>
      </c>
      <c r="Y52" s="540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13.888888888888888</v>
      </c>
      <c r="Y57" s="541">
        <f>IFERROR(Y51/H51,"0")+IFERROR(Y52/H52,"0")+IFERROR(Y53/H53,"0")+IFERROR(Y54/H54,"0")+IFERROR(Y55/H55,"0")+IFERROR(Y56/H56,"0")</f>
        <v>14</v>
      </c>
      <c r="Z57" s="541">
        <f>IFERROR(IF(Z51="",0,Z51),"0")+IFERROR(IF(Z52="",0,Z52),"0")+IFERROR(IF(Z53="",0,Z53),"0")+IFERROR(IF(Z54="",0,Z54),"0")+IFERROR(IF(Z55="",0,Z55),"0")+IFERROR(IF(Z56="",0,Z56),"0")</f>
        <v>0.26572000000000001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150</v>
      </c>
      <c r="Y58" s="541">
        <f>IFERROR(SUM(Y51:Y56),"0")</f>
        <v>151.20000000000002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50</v>
      </c>
      <c r="Y60" s="540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4.6296296296296298</v>
      </c>
      <c r="Y63" s="541">
        <f>IFERROR(Y60/H60,"0")+IFERROR(Y61/H61,"0")+IFERROR(Y62/H62,"0")</f>
        <v>5</v>
      </c>
      <c r="Z63" s="541">
        <f>IFERROR(IF(Z60="",0,Z60),"0")+IFERROR(IF(Z61="",0,Z61),"0")+IFERROR(IF(Z62="",0,Z62),"0")</f>
        <v>9.4899999999999998E-2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50</v>
      </c>
      <c r="Y64" s="541">
        <f>IFERROR(SUM(Y60:Y62),"0")</f>
        <v>54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9.2592592592592595</v>
      </c>
      <c r="Y88" s="541">
        <f>IFERROR(Y85/H85,"0")+IFERROR(Y86/H86,"0")+IFERROR(Y87/H87,"0")</f>
        <v>10</v>
      </c>
      <c r="Z88" s="541">
        <f>IFERROR(IF(Z85="",0,Z85),"0")+IFERROR(IF(Z86="",0,Z86),"0")+IFERROR(IF(Z87="",0,Z87),"0")</f>
        <v>0.1898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100</v>
      </c>
      <c r="Y89" s="541">
        <f>IFERROR(SUM(Y85:Y87),"0")</f>
        <v>108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350</v>
      </c>
      <c r="Y91" s="540">
        <f>IFERROR(IF(X91="",0,CEILING((X91/$H91),1)*$H91),"")</f>
        <v>356.4</v>
      </c>
      <c r="Z91" s="36">
        <f>IFERROR(IF(Y91=0,"",ROUNDUP(Y91/H91,0)*0.01898),"")</f>
        <v>0.83511999999999997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371.34567901234567</v>
      </c>
      <c r="BN91" s="64">
        <f>IFERROR(Y91*I91/H91,"0")</f>
        <v>378.13599999999997</v>
      </c>
      <c r="BO91" s="64">
        <f>IFERROR(1/J91*(X91/H91),"0")</f>
        <v>0.67515432098765438</v>
      </c>
      <c r="BP91" s="64">
        <f>IFERROR(1/J91*(Y91/H91),"0")</f>
        <v>0.6875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43.20987654320988</v>
      </c>
      <c r="Y95" s="541">
        <f>IFERROR(Y91/H91,"0")+IFERROR(Y92/H92,"0")+IFERROR(Y93/H93,"0")+IFERROR(Y94/H94,"0")</f>
        <v>44</v>
      </c>
      <c r="Z95" s="541">
        <f>IFERROR(IF(Z91="",0,Z91),"0")+IFERROR(IF(Z92="",0,Z92),"0")+IFERROR(IF(Z93="",0,Z93),"0")+IFERROR(IF(Z94="",0,Z94),"0")</f>
        <v>0.83511999999999997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350</v>
      </c>
      <c r="Y96" s="541">
        <f>IFERROR(SUM(Y91:Y94),"0")</f>
        <v>356.4</v>
      </c>
      <c r="Z96" s="37"/>
      <c r="AA96" s="542"/>
      <c r="AB96" s="542"/>
      <c r="AC96" s="542"/>
    </row>
    <row r="97" spans="1:68" ht="16.5" customHeight="1" x14ac:dyDescent="0.25">
      <c r="A97" s="552" t="s">
        <v>190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4.6296296296296298</v>
      </c>
      <c r="Y103" s="541">
        <f>IFERROR(Y99/H99,"0")+IFERROR(Y100/H100,"0")+IFERROR(Y101/H101,"0")+IFERROR(Y102/H102,"0")</f>
        <v>5</v>
      </c>
      <c r="Z103" s="541">
        <f>IFERROR(IF(Z99="",0,Z99),"0")+IFERROR(IF(Z100="",0,Z100),"0")+IFERROR(IF(Z101="",0,Z101),"0")+IFERROR(IF(Z102="",0,Z102),"0")</f>
        <v>9.4899999999999998E-2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50</v>
      </c>
      <c r="Y104" s="541">
        <f>IFERROR(SUM(Y99:Y102),"0")</f>
        <v>54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32.4</v>
      </c>
      <c r="Y114" s="540">
        <f>IFERROR(IF(X114="",0,CEILING((X114/$H114),1)*$H114),"")</f>
        <v>32.400000000000006</v>
      </c>
      <c r="Z114" s="36">
        <f>IFERROR(IF(Y114=0,"",ROUNDUP(Y114/H114,0)*0.00651),"")</f>
        <v>7.8119999999999995E-2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35.423999999999992</v>
      </c>
      <c r="BN114" s="64">
        <f>IFERROR(Y114*I114/H114,"0")</f>
        <v>35.424000000000007</v>
      </c>
      <c r="BO114" s="64">
        <f>IFERROR(1/J114*(X114/H114),"0")</f>
        <v>6.5934065934065936E-2</v>
      </c>
      <c r="BP114" s="64">
        <f>IFERROR(1/J114*(Y114/H114),"0")</f>
        <v>6.593406593406595E-2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11.999999999999998</v>
      </c>
      <c r="Y116" s="541">
        <f>IFERROR(Y112/H112,"0")+IFERROR(Y113/H113,"0")+IFERROR(Y114/H114,"0")+IFERROR(Y115/H115,"0")</f>
        <v>12.000000000000002</v>
      </c>
      <c r="Z116" s="541">
        <f>IFERROR(IF(Z112="",0,Z112),"0")+IFERROR(IF(Z113="",0,Z113),"0")+IFERROR(IF(Z114="",0,Z114),"0")+IFERROR(IF(Z115="",0,Z115),"0")</f>
        <v>7.8119999999999995E-2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32.4</v>
      </c>
      <c r="Y117" s="541">
        <f>IFERROR(SUM(Y112:Y115),"0")</f>
        <v>32.400000000000006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150</v>
      </c>
      <c r="Y162" s="540">
        <f t="shared" ref="Y162:Y170" si="5">IFERROR(IF(X162="",0,CEILING((X162/$H162),1)*$H162),"")</f>
        <v>151.20000000000002</v>
      </c>
      <c r="Z162" s="36">
        <f>IFERROR(IF(Y162=0,"",ROUNDUP(Y162/H162,0)*0.00902),"")</f>
        <v>0.32472000000000001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158.92857142857142</v>
      </c>
      <c r="BN162" s="64">
        <f t="shared" ref="BN162:BN170" si="7">IFERROR(Y162*I162/H162,"0")</f>
        <v>160.20000000000002</v>
      </c>
      <c r="BO162" s="64">
        <f t="shared" ref="BO162:BO170" si="8">IFERROR(1/J162*(X162/H162),"0")</f>
        <v>0.27056277056277056</v>
      </c>
      <c r="BP162" s="64">
        <f t="shared" ref="BP162:BP170" si="9">IFERROR(1/J162*(Y162/H162),"0")</f>
        <v>0.27272727272727271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35.714285714285715</v>
      </c>
      <c r="Y171" s="541">
        <f>IFERROR(Y162/H162,"0")+IFERROR(Y163/H163,"0")+IFERROR(Y164/H164,"0")+IFERROR(Y165/H165,"0")+IFERROR(Y166/H166,"0")+IFERROR(Y167/H167,"0")+IFERROR(Y168/H168,"0")+IFERROR(Y169/H169,"0")+IFERROR(Y170/H170,"0")</f>
        <v>36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0.32472000000000001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150</v>
      </c>
      <c r="Y172" s="541">
        <f>IFERROR(SUM(Y162:Y170),"0")</f>
        <v>151.20000000000002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120</v>
      </c>
      <c r="Y296" s="540">
        <f t="shared" ref="Y296:Y302" si="26">IFERROR(IF(X296="",0,CEILING((X296/$H296),1)*$H296),"")</f>
        <v>121.80000000000001</v>
      </c>
      <c r="Z296" s="36">
        <f>IFERROR(IF(Y296=0,"",ROUNDUP(Y296/H296,0)*0.00902),"")</f>
        <v>0.26158000000000003</v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127.14285714285714</v>
      </c>
      <c r="BN296" s="64">
        <f t="shared" ref="BN296:BN302" si="28">IFERROR(Y296*I296/H296,"0")</f>
        <v>129.05000000000001</v>
      </c>
      <c r="BO296" s="64">
        <f t="shared" ref="BO296:BO302" si="29">IFERROR(1/J296*(X296/H296),"0")</f>
        <v>0.21645021645021645</v>
      </c>
      <c r="BP296" s="64">
        <f t="shared" ref="BP296:BP302" si="30">IFERROR(1/J296*(Y296/H296),"0")</f>
        <v>0.2196969696969697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28.571428571428569</v>
      </c>
      <c r="Y303" s="541">
        <f>IFERROR(Y296/H296,"0")+IFERROR(Y297/H297,"0")+IFERROR(Y298/H298,"0")+IFERROR(Y299/H299,"0")+IFERROR(Y300/H300,"0")+IFERROR(Y301/H301,"0")+IFERROR(Y302/H302,"0")</f>
        <v>29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0.26158000000000003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120</v>
      </c>
      <c r="Y304" s="541">
        <f>IFERROR(SUM(Y296:Y302),"0")</f>
        <v>121.80000000000001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 t="s">
        <v>186</v>
      </c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106</v>
      </c>
      <c r="AK310" s="68">
        <v>37.799999999999997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100</v>
      </c>
      <c r="Y314" s="540">
        <f>IFERROR(IF(X314="",0,CEILING((X314/$H314),1)*$H314),"")</f>
        <v>100.80000000000001</v>
      </c>
      <c r="Z314" s="36">
        <f>IFERROR(IF(Y314=0,"",ROUNDUP(Y314/H314,0)*0.01898),"")</f>
        <v>0.22776000000000002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105.88095238095238</v>
      </c>
      <c r="BN314" s="64">
        <f>IFERROR(Y314*I314/H314,"0")</f>
        <v>106.72800000000001</v>
      </c>
      <c r="BO314" s="64">
        <f>IFERROR(1/J314*(X314/H314),"0")</f>
        <v>0.18601190476190477</v>
      </c>
      <c r="BP314" s="64">
        <f>IFERROR(1/J314*(Y314/H314),"0")</f>
        <v>0.1875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11.904761904761905</v>
      </c>
      <c r="Y317" s="541">
        <f>IFERROR(Y314/H314,"0")+IFERROR(Y315/H315,"0")+IFERROR(Y316/H316,"0")</f>
        <v>12</v>
      </c>
      <c r="Z317" s="541">
        <f>IFERROR(IF(Z314="",0,Z314),"0")+IFERROR(IF(Z315="",0,Z315),"0")+IFERROR(IF(Z316="",0,Z316),"0")</f>
        <v>0.22776000000000002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100</v>
      </c>
      <c r="Y318" s="541">
        <f>IFERROR(SUM(Y314:Y316),"0")</f>
        <v>100.80000000000001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186</v>
      </c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186</v>
      </c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2500</v>
      </c>
      <c r="Y342" s="540">
        <f t="shared" ref="Y342:Y348" si="31">IFERROR(IF(X342="",0,CEILING((X342/$H342),1)*$H342),"")</f>
        <v>2505</v>
      </c>
      <c r="Z342" s="36">
        <f>IFERROR(IF(Y342=0,"",ROUNDUP(Y342/H342,0)*0.02175),"")</f>
        <v>3.6322499999999995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2578.3333333333335</v>
      </c>
      <c r="BN342" s="64">
        <f t="shared" ref="BN342:BN348" si="33">IFERROR(Y342*I342/H342,"0")</f>
        <v>2583.4899999999998</v>
      </c>
      <c r="BO342" s="64">
        <f t="shared" ref="BO342:BO348" si="34">IFERROR(1/J342*(X342/H342),"0")</f>
        <v>3.4722222222222219</v>
      </c>
      <c r="BP342" s="64">
        <f t="shared" ref="BP342:BP348" si="35">IFERROR(1/J342*(Y342/H342),"0")</f>
        <v>3.4791666666666665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1000</v>
      </c>
      <c r="Y344" s="540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300</v>
      </c>
      <c r="Y349" s="541">
        <f>IFERROR(Y342/H342,"0")+IFERROR(Y343/H343,"0")+IFERROR(Y344/H344,"0")+IFERROR(Y345/H345,"0")+IFERROR(Y346/H346,"0")+IFERROR(Y347/H347,"0")+IFERROR(Y348/H348,"0")</f>
        <v>301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6.5467499999999994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4500</v>
      </c>
      <c r="Y350" s="541">
        <f>IFERROR(SUM(Y342:Y348),"0")</f>
        <v>4515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2500</v>
      </c>
      <c r="Y352" s="540">
        <f>IFERROR(IF(X352="",0,CEILING((X352/$H352),1)*$H352),"")</f>
        <v>2505</v>
      </c>
      <c r="Z352" s="36">
        <f>IFERROR(IF(Y352=0,"",ROUNDUP(Y352/H352,0)*0.02175),"")</f>
        <v>3.6322499999999995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2578.3333333333335</v>
      </c>
      <c r="BN352" s="64">
        <f>IFERROR(Y352*I352/H352,"0")</f>
        <v>2583.4899999999998</v>
      </c>
      <c r="BO352" s="64">
        <f>IFERROR(1/J352*(X352/H352),"0")</f>
        <v>3.4722222222222219</v>
      </c>
      <c r="BP352" s="64">
        <f>IFERROR(1/J352*(Y352/H352),"0")</f>
        <v>3.4791666666666665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166.66666666666666</v>
      </c>
      <c r="Y354" s="541">
        <f>IFERROR(Y352/H352,"0")+IFERROR(Y353/H353,"0")</f>
        <v>167</v>
      </c>
      <c r="Z354" s="541">
        <f>IFERROR(IF(Z352="",0,Z352),"0")+IFERROR(IF(Z353="",0,Z353),"0")</f>
        <v>3.6322499999999995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2500</v>
      </c>
      <c r="Y355" s="541">
        <f>IFERROR(SUM(Y352:Y353),"0")</f>
        <v>2505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330</v>
      </c>
      <c r="Y358" s="540">
        <f>IFERROR(IF(X358="",0,CEILING((X358/$H358),1)*$H358),"")</f>
        <v>333</v>
      </c>
      <c r="Z358" s="36">
        <f>IFERROR(IF(Y358=0,"",ROUNDUP(Y358/H358,0)*0.01898),"")</f>
        <v>0.70226</v>
      </c>
      <c r="AA358" s="56"/>
      <c r="AB358" s="57"/>
      <c r="AC358" s="409" t="s">
        <v>565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348.11333333333334</v>
      </c>
      <c r="BN358" s="64">
        <f>IFERROR(Y358*I358/H358,"0")</f>
        <v>351.27800000000002</v>
      </c>
      <c r="BO358" s="64">
        <f>IFERROR(1/J358*(X358/H358),"0")</f>
        <v>0.57291666666666663</v>
      </c>
      <c r="BP358" s="64">
        <f>IFERROR(1/J358*(Y358/H358),"0")</f>
        <v>0.578125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36.666666666666664</v>
      </c>
      <c r="Y359" s="541">
        <f>IFERROR(Y357/H357,"0")+IFERROR(Y358/H358,"0")</f>
        <v>37</v>
      </c>
      <c r="Z359" s="541">
        <f>IFERROR(IF(Z357="",0,Z357),"0")+IFERROR(IF(Z358="",0,Z358),"0")</f>
        <v>0.70226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330</v>
      </c>
      <c r="Y360" s="541">
        <f>IFERROR(SUM(Y357:Y358),"0")</f>
        <v>333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480</v>
      </c>
      <c r="Y362" s="540">
        <f>IFERROR(IF(X362="",0,CEILING((X362/$H362),1)*$H362),"")</f>
        <v>486</v>
      </c>
      <c r="Z362" s="36">
        <f>IFERROR(IF(Y362=0,"",ROUNDUP(Y362/H362,0)*0.01898),"")</f>
        <v>1.0249200000000001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506.34666666666664</v>
      </c>
      <c r="BN362" s="64">
        <f>IFERROR(Y362*I362/H362,"0")</f>
        <v>512.67599999999993</v>
      </c>
      <c r="BO362" s="64">
        <f>IFERROR(1/J362*(X362/H362),"0")</f>
        <v>0.83333333333333337</v>
      </c>
      <c r="BP362" s="64">
        <f>IFERROR(1/J362*(Y362/H362),"0")</f>
        <v>0.84375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53.333333333333336</v>
      </c>
      <c r="Y363" s="541">
        <f>IFERROR(Y362/H362,"0")</f>
        <v>54</v>
      </c>
      <c r="Z363" s="541">
        <f>IFERROR(IF(Z362="",0,Z362),"0")</f>
        <v>1.0249200000000001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480</v>
      </c>
      <c r="Y364" s="541">
        <f>IFERROR(SUM(Y362:Y362),"0")</f>
        <v>486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110</v>
      </c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200</v>
      </c>
      <c r="Y384" s="540">
        <f t="shared" ref="Y384:Y392" si="36">IFERROR(IF(X384="",0,CEILING((X384/$H384),1)*$H384),"")</f>
        <v>205.20000000000002</v>
      </c>
      <c r="Z384" s="36">
        <f>IFERROR(IF(Y384=0,"",ROUNDUP(Y384/H384,0)*0.00902),"")</f>
        <v>0.34276000000000001</v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207.03703703703701</v>
      </c>
      <c r="BN384" s="64">
        <f t="shared" ref="BN384:BN392" si="38">IFERROR(Y384*I384/H384,"0")</f>
        <v>212.42</v>
      </c>
      <c r="BO384" s="64">
        <f t="shared" ref="BO384:BO392" si="39">IFERROR(1/J384*(X384/H384),"0")</f>
        <v>0.28058361391694725</v>
      </c>
      <c r="BP384" s="64">
        <f t="shared" ref="BP384:BP392" si="40">IFERROR(1/J384*(Y384/H384),"0")</f>
        <v>0.2878787878787879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75</v>
      </c>
      <c r="Y385" s="540">
        <f t="shared" si="36"/>
        <v>75.600000000000009</v>
      </c>
      <c r="Z385" s="36">
        <f>IFERROR(IF(Y385=0,"",ROUNDUP(Y385/H385,0)*0.00902),"")</f>
        <v>0.12628</v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77.638888888888886</v>
      </c>
      <c r="BN385" s="64">
        <f t="shared" si="38"/>
        <v>78.260000000000005</v>
      </c>
      <c r="BO385" s="64">
        <f t="shared" si="39"/>
        <v>0.10521885521885521</v>
      </c>
      <c r="BP385" s="64">
        <f t="shared" si="40"/>
        <v>0.10606060606060606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180</v>
      </c>
      <c r="Y386" s="540">
        <f t="shared" si="36"/>
        <v>183.60000000000002</v>
      </c>
      <c r="Z386" s="36">
        <f>IFERROR(IF(Y386=0,"",ROUNDUP(Y386/H386,0)*0.00902),"")</f>
        <v>0.30668000000000001</v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186.33333333333331</v>
      </c>
      <c r="BN386" s="64">
        <f t="shared" si="38"/>
        <v>190.06</v>
      </c>
      <c r="BO386" s="64">
        <f t="shared" si="39"/>
        <v>0.25252525252525249</v>
      </c>
      <c r="BP386" s="64">
        <f t="shared" si="40"/>
        <v>0.25757575757575757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16.8</v>
      </c>
      <c r="Y389" s="540">
        <f t="shared" si="36"/>
        <v>16.8</v>
      </c>
      <c r="Z389" s="36">
        <f t="shared" si="41"/>
        <v>4.0160000000000001E-2</v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17.84</v>
      </c>
      <c r="BN389" s="64">
        <f t="shared" si="38"/>
        <v>17.84</v>
      </c>
      <c r="BO389" s="64">
        <f t="shared" si="39"/>
        <v>3.4188034188034191E-2</v>
      </c>
      <c r="BP389" s="64">
        <f t="shared" si="40"/>
        <v>3.4188034188034191E-2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271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21</v>
      </c>
      <c r="Y392" s="540">
        <f t="shared" si="36"/>
        <v>21</v>
      </c>
      <c r="Z392" s="36">
        <f t="shared" si="41"/>
        <v>5.0200000000000002E-2</v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22.299999999999997</v>
      </c>
      <c r="BN392" s="64">
        <f t="shared" si="38"/>
        <v>22.299999999999997</v>
      </c>
      <c r="BO392" s="64">
        <f t="shared" si="39"/>
        <v>4.2735042735042736E-2</v>
      </c>
      <c r="BP392" s="64">
        <f t="shared" si="40"/>
        <v>4.2735042735042736E-2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102.25925925925925</v>
      </c>
      <c r="Y393" s="541">
        <f>IFERROR(Y384/H384,"0")+IFERROR(Y385/H385,"0")+IFERROR(Y386/H386,"0")+IFERROR(Y387/H387,"0")+IFERROR(Y388/H388,"0")+IFERROR(Y389/H389,"0")+IFERROR(Y390/H390,"0")+IFERROR(Y391/H391,"0")+IFERROR(Y392/H392,"0")</f>
        <v>104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0.86607999999999996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492.8</v>
      </c>
      <c r="Y394" s="541">
        <f>IFERROR(SUM(Y384:Y392),"0")</f>
        <v>502.20000000000005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110</v>
      </c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450</v>
      </c>
      <c r="Y406" s="540">
        <f>IFERROR(IF(X406="",0,CEILING((X406/$H406),1)*$H406),"")</f>
        <v>453.6</v>
      </c>
      <c r="Z406" s="36">
        <f>IFERROR(IF(Y406=0,"",ROUNDUP(Y406/H406,0)*0.00902),"")</f>
        <v>0.75768000000000002</v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465.83333333333331</v>
      </c>
      <c r="BN406" s="64">
        <f>IFERROR(Y406*I406/H406,"0")</f>
        <v>469.56</v>
      </c>
      <c r="BO406" s="64">
        <f>IFERROR(1/J406*(X406/H406),"0")</f>
        <v>0.63131313131313127</v>
      </c>
      <c r="BP406" s="64">
        <f>IFERROR(1/J406*(Y406/H406),"0")</f>
        <v>0.63636363636363635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25.2</v>
      </c>
      <c r="Y409" s="540">
        <f>IFERROR(IF(X409="",0,CEILING((X409/$H409),1)*$H409),"")</f>
        <v>25.200000000000003</v>
      </c>
      <c r="Z409" s="36">
        <f>IFERROR(IF(Y409=0,"",ROUNDUP(Y409/H409,0)*0.00502),"")</f>
        <v>6.0240000000000002E-2</v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26.759999999999998</v>
      </c>
      <c r="BN409" s="64">
        <f>IFERROR(Y409*I409/H409,"0")</f>
        <v>26.76</v>
      </c>
      <c r="BO409" s="64">
        <f>IFERROR(1/J409*(X409/H409),"0")</f>
        <v>5.1282051282051287E-2</v>
      </c>
      <c r="BP409" s="64">
        <f>IFERROR(1/J409*(Y409/H409),"0")</f>
        <v>5.1282051282051287E-2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95.333333333333329</v>
      </c>
      <c r="Y410" s="541">
        <f>IFERROR(Y406/H406,"0")+IFERROR(Y407/H407,"0")+IFERROR(Y408/H408,"0")+IFERROR(Y409/H409,"0")</f>
        <v>96</v>
      </c>
      <c r="Z410" s="541">
        <f>IFERROR(IF(Z406="",0,Z406),"0")+IFERROR(IF(Z407="",0,Z407),"0")+IFERROR(IF(Z408="",0,Z408),"0")+IFERROR(IF(Z409="",0,Z409),"0")</f>
        <v>0.81791999999999998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475.2</v>
      </c>
      <c r="Y411" s="541">
        <f>IFERROR(SUM(Y406:Y409),"0")</f>
        <v>478.8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30</v>
      </c>
      <c r="Y421" s="540">
        <f t="shared" si="42"/>
        <v>31.68</v>
      </c>
      <c r="Z421" s="36">
        <f t="shared" si="43"/>
        <v>7.1760000000000004E-2</v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31.988636363636363</v>
      </c>
      <c r="BN421" s="64">
        <f t="shared" si="45"/>
        <v>33.779999999999994</v>
      </c>
      <c r="BO421" s="64">
        <f t="shared" si="46"/>
        <v>5.4632867132867136E-2</v>
      </c>
      <c r="BP421" s="64">
        <f t="shared" si="47"/>
        <v>5.7692307692307696E-2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300</v>
      </c>
      <c r="Y425" s="540">
        <f t="shared" si="42"/>
        <v>300.96000000000004</v>
      </c>
      <c r="Z425" s="36">
        <f t="shared" si="43"/>
        <v>0.68171999999999999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319.88636363636363</v>
      </c>
      <c r="BN425" s="64">
        <f t="shared" si="45"/>
        <v>320.91000000000003</v>
      </c>
      <c r="BO425" s="64">
        <f t="shared" si="46"/>
        <v>0.54632867132867136</v>
      </c>
      <c r="BP425" s="64">
        <f t="shared" si="47"/>
        <v>0.54807692307692313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 t="s">
        <v>110</v>
      </c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 t="s">
        <v>106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62.499999999999993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63.000000000000007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0.75348000000000004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330</v>
      </c>
      <c r="Y432" s="541">
        <f>IFERROR(SUM(Y420:Y430),"0")</f>
        <v>332.64000000000004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300</v>
      </c>
      <c r="Y434" s="540">
        <f>IFERROR(IF(X434="",0,CEILING((X434/$H434),1)*$H434),"")</f>
        <v>300.96000000000004</v>
      </c>
      <c r="Z434" s="36">
        <f>IFERROR(IF(Y434=0,"",ROUNDUP(Y434/H434,0)*0.01196),"")</f>
        <v>0.68171999999999999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319.88636363636363</v>
      </c>
      <c r="BN434" s="64">
        <f>IFERROR(Y434*I434/H434,"0")</f>
        <v>320.91000000000003</v>
      </c>
      <c r="BO434" s="64">
        <f>IFERROR(1/J434*(X434/H434),"0")</f>
        <v>0.54632867132867136</v>
      </c>
      <c r="BP434" s="64">
        <f>IFERROR(1/J434*(Y434/H434),"0")</f>
        <v>0.54807692307692313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56.818181818181813</v>
      </c>
      <c r="Y437" s="541">
        <f>IFERROR(Y434/H434,"0")+IFERROR(Y435/H435,"0")+IFERROR(Y436/H436,"0")</f>
        <v>57.000000000000007</v>
      </c>
      <c r="Z437" s="541">
        <f>IFERROR(IF(Z434="",0,Z434),"0")+IFERROR(IF(Z435="",0,Z435),"0")+IFERROR(IF(Z436="",0,Z436),"0")</f>
        <v>0.68171999999999999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300</v>
      </c>
      <c r="Y438" s="541">
        <f>IFERROR(SUM(Y434:Y436),"0")</f>
        <v>300.96000000000004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50</v>
      </c>
      <c r="Y440" s="540">
        <f t="shared" ref="Y440:Y445" si="48">IFERROR(IF(X440="",0,CEILING((X440/$H440),1)*$H440),"")</f>
        <v>52.800000000000004</v>
      </c>
      <c r="Z440" s="36">
        <f>IFERROR(IF(Y440=0,"",ROUNDUP(Y440/H440,0)*0.01196),"")</f>
        <v>0.1196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53.314393939393938</v>
      </c>
      <c r="BN440" s="64">
        <f t="shared" ref="BN440:BN445" si="50">IFERROR(Y440*I440/H440,"0")</f>
        <v>56.3</v>
      </c>
      <c r="BO440" s="64">
        <f t="shared" ref="BO440:BO445" si="51">IFERROR(1/J440*(X440/H440),"0")</f>
        <v>9.1054778554778545E-2</v>
      </c>
      <c r="BP440" s="64">
        <f t="shared" ref="BP440:BP445" si="52">IFERROR(1/J440*(Y440/H440),"0")</f>
        <v>9.6153846153846159E-2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150</v>
      </c>
      <c r="Y441" s="540">
        <f t="shared" si="48"/>
        <v>153.12</v>
      </c>
      <c r="Z441" s="36">
        <f>IFERROR(IF(Y441=0,"",ROUNDUP(Y441/H441,0)*0.01196),"")</f>
        <v>0.34683999999999998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159.94318181818181</v>
      </c>
      <c r="BN441" s="64">
        <f t="shared" si="50"/>
        <v>163.26999999999998</v>
      </c>
      <c r="BO441" s="64">
        <f t="shared" si="51"/>
        <v>0.27316433566433568</v>
      </c>
      <c r="BP441" s="64">
        <f t="shared" si="52"/>
        <v>0.27884615384615385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150</v>
      </c>
      <c r="Y442" s="540">
        <f t="shared" si="48"/>
        <v>153.12</v>
      </c>
      <c r="Z442" s="36">
        <f>IFERROR(IF(Y442=0,"",ROUNDUP(Y442/H442,0)*0.01196),"")</f>
        <v>0.34683999999999998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159.94318181818181</v>
      </c>
      <c r="BN442" s="64">
        <f t="shared" si="50"/>
        <v>163.26999999999998</v>
      </c>
      <c r="BO442" s="64">
        <f t="shared" si="51"/>
        <v>0.27316433566433568</v>
      </c>
      <c r="BP442" s="64">
        <f t="shared" si="52"/>
        <v>0.27884615384615385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66.287878787878782</v>
      </c>
      <c r="Y446" s="541">
        <f>IFERROR(Y440/H440,"0")+IFERROR(Y441/H441,"0")+IFERROR(Y442/H442,"0")+IFERROR(Y443/H443,"0")+IFERROR(Y444/H444,"0")+IFERROR(Y445/H445,"0")</f>
        <v>68</v>
      </c>
      <c r="Z446" s="541">
        <f>IFERROR(IF(Z440="",0,Z440),"0")+IFERROR(IF(Z441="",0,Z441),"0")+IFERROR(IF(Z442="",0,Z442),"0")+IFERROR(IF(Z443="",0,Z443),"0")+IFERROR(IF(Z444="",0,Z444),"0")+IFERROR(IF(Z445="",0,Z445),"0")</f>
        <v>0.81328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350</v>
      </c>
      <c r="Y447" s="541">
        <f>IFERROR(SUM(Y440:Y445),"0")</f>
        <v>359.04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110</v>
      </c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120</v>
      </c>
      <c r="Y470" s="540">
        <f>IFERROR(IF(X470="",0,CEILING((X470/$H470),1)*$H470),"")</f>
        <v>121.80000000000001</v>
      </c>
      <c r="Z470" s="36">
        <f>IFERROR(IF(Y470=0,"",ROUNDUP(Y470/H470,0)*0.00902),"")</f>
        <v>0.26158000000000003</v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127.14285714285714</v>
      </c>
      <c r="BN470" s="64">
        <f>IFERROR(Y470*I470/H470,"0")</f>
        <v>129.05000000000001</v>
      </c>
      <c r="BO470" s="64">
        <f>IFERROR(1/J470*(X470/H470),"0")</f>
        <v>0.21645021645021645</v>
      </c>
      <c r="BP470" s="64">
        <f>IFERROR(1/J470*(Y470/H470),"0")</f>
        <v>0.2196969696969697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50</v>
      </c>
      <c r="Y471" s="540">
        <f>IFERROR(IF(X471="",0,CEILING((X471/$H471),1)*$H471),"")</f>
        <v>50.400000000000006</v>
      </c>
      <c r="Z471" s="36">
        <f>IFERROR(IF(Y471=0,"",ROUNDUP(Y471/H471,0)*0.00902),"")</f>
        <v>0.10824</v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52.976190476190474</v>
      </c>
      <c r="BN471" s="64">
        <f>IFERROR(Y471*I471/H471,"0")</f>
        <v>53.400000000000006</v>
      </c>
      <c r="BO471" s="64">
        <f>IFERROR(1/J471*(X471/H471),"0")</f>
        <v>9.0187590187590191E-2</v>
      </c>
      <c r="BP471" s="64">
        <f>IFERROR(1/J471*(Y471/H471),"0")</f>
        <v>9.0909090909090912E-2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40.476190476190474</v>
      </c>
      <c r="Y472" s="541">
        <f>IFERROR(Y470/H470,"0")+IFERROR(Y471/H471,"0")</f>
        <v>41</v>
      </c>
      <c r="Z472" s="541">
        <f>IFERROR(IF(Z470="",0,Z470),"0")+IFERROR(IF(Z471="",0,Z471),"0")</f>
        <v>0.36982000000000004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170</v>
      </c>
      <c r="Y473" s="541">
        <f>IFERROR(SUM(Y470:Y471),"0")</f>
        <v>172.20000000000002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11080.4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11168.64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11516.524339907006</v>
      </c>
      <c r="Y489" s="541">
        <f>IFERROR(SUM(BN22:BN485),"0")</f>
        <v>11608.731999999996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17</v>
      </c>
      <c r="Y490" s="38">
        <f>ROUNDUP(SUM(BP22:BP485),0)</f>
        <v>17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11941.524339907006</v>
      </c>
      <c r="Y491" s="541">
        <f>GrossWeightTotalR+PalletQtyTotalR*25</f>
        <v>12033.731999999996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1148.7789001122333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1160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18.675999999999998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190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54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205.20000000000002</v>
      </c>
      <c r="E498" s="46">
        <f>IFERROR(Y85*1,"0")+IFERROR(Y86*1,"0")+IFERROR(Y87*1,"0")+IFERROR(Y91*1,"0")+IFERROR(Y92*1,"0")+IFERROR(Y93*1,"0")+IFERROR(Y94*1,"0")</f>
        <v>464.4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86.4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151.20000000000002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222.60000000000002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7839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502.20000000000005</v>
      </c>
      <c r="V498" s="46">
        <f>IFERROR(Y402*1,"0")+IFERROR(Y406*1,"0")+IFERROR(Y407*1,"0")+IFERROR(Y408*1,"0")+IFERROR(Y409*1,"0")</f>
        <v>478.8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992.6400000000001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172.20000000000002</v>
      </c>
      <c r="Z498" s="46">
        <f>IFERROR(Y485*1,"0")</f>
        <v>0</v>
      </c>
      <c r="AB498" s="52"/>
      <c r="AC498" s="52"/>
      <c r="AF498" s="537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2 X164:X165 X167:X168 X191 X195:X200 X202 X206:X209 X211:X214 X218:X219 X224 X254 X272:X273 X297 X300 X306 X310 X314:X316 X322:X323 X327 X329 X334:X336 X342:X344 X352 X358 X367 X372 X377:X378 X384 X386 X391 X406 X420:X422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2025-11-07T06:06:44Z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