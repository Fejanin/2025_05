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AA56D12A-23A4-4794-936B-76BA8BE0448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1" l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Z271" i="1" s="1"/>
  <c r="Y261" i="1"/>
  <c r="P261" i="1"/>
  <c r="X259" i="1"/>
  <c r="X258" i="1"/>
  <c r="BO257" i="1"/>
  <c r="BM257" i="1"/>
  <c r="Z257" i="1"/>
  <c r="Y257" i="1"/>
  <c r="P257" i="1"/>
  <c r="BP256" i="1"/>
  <c r="BO256" i="1"/>
  <c r="BN256" i="1"/>
  <c r="BM256" i="1"/>
  <c r="Z256" i="1"/>
  <c r="Z258" i="1" s="1"/>
  <c r="Y256" i="1"/>
  <c r="P256" i="1"/>
  <c r="BO255" i="1"/>
  <c r="BM255" i="1"/>
  <c r="Z255" i="1"/>
  <c r="Y255" i="1"/>
  <c r="P255" i="1"/>
  <c r="Y253" i="1"/>
  <c r="X253" i="1"/>
  <c r="Z252" i="1"/>
  <c r="X252" i="1"/>
  <c r="BO251" i="1"/>
  <c r="BM251" i="1"/>
  <c r="Z251" i="1"/>
  <c r="Y251" i="1"/>
  <c r="P251" i="1"/>
  <c r="BP250" i="1"/>
  <c r="BO250" i="1"/>
  <c r="BN250" i="1"/>
  <c r="BM250" i="1"/>
  <c r="Z250" i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BP244" i="1"/>
  <c r="BO244" i="1"/>
  <c r="BN244" i="1"/>
  <c r="BM244" i="1"/>
  <c r="Z244" i="1"/>
  <c r="Z247" i="1" s="1"/>
  <c r="Y244" i="1"/>
  <c r="Y248" i="1" s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Z217" i="1" s="1"/>
  <c r="Y215" i="1"/>
  <c r="P215" i="1"/>
  <c r="X212" i="1"/>
  <c r="X211" i="1"/>
  <c r="BO210" i="1"/>
  <c r="BM210" i="1"/>
  <c r="Z210" i="1"/>
  <c r="Y210" i="1"/>
  <c r="P210" i="1"/>
  <c r="BP209" i="1"/>
  <c r="BO209" i="1"/>
  <c r="BN209" i="1"/>
  <c r="BM209" i="1"/>
  <c r="Z209" i="1"/>
  <c r="Z211" i="1" s="1"/>
  <c r="Y209" i="1"/>
  <c r="P209" i="1"/>
  <c r="BO208" i="1"/>
  <c r="BM208" i="1"/>
  <c r="Z208" i="1"/>
  <c r="Y208" i="1"/>
  <c r="P208" i="1"/>
  <c r="Y206" i="1"/>
  <c r="X206" i="1"/>
  <c r="Z205" i="1"/>
  <c r="X205" i="1"/>
  <c r="BO204" i="1"/>
  <c r="BM204" i="1"/>
  <c r="Z204" i="1"/>
  <c r="Y204" i="1"/>
  <c r="P204" i="1"/>
  <c r="X201" i="1"/>
  <c r="Z200" i="1"/>
  <c r="X200" i="1"/>
  <c r="BO199" i="1"/>
  <c r="BM199" i="1"/>
  <c r="Z199" i="1"/>
  <c r="Y199" i="1"/>
  <c r="P199" i="1"/>
  <c r="Y196" i="1"/>
  <c r="X196" i="1"/>
  <c r="Z195" i="1"/>
  <c r="X195" i="1"/>
  <c r="BO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Y192" i="1"/>
  <c r="P192" i="1"/>
  <c r="BP191" i="1"/>
  <c r="BO191" i="1"/>
  <c r="BN191" i="1"/>
  <c r="BM191" i="1"/>
  <c r="Z191" i="1"/>
  <c r="Y191" i="1"/>
  <c r="Y195" i="1" s="1"/>
  <c r="P191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Z187" i="1" s="1"/>
  <c r="Y183" i="1"/>
  <c r="Y188" i="1" s="1"/>
  <c r="P183" i="1"/>
  <c r="X181" i="1"/>
  <c r="Y180" i="1"/>
  <c r="X180" i="1"/>
  <c r="BP179" i="1"/>
  <c r="BO179" i="1"/>
  <c r="BN179" i="1"/>
  <c r="BM179" i="1"/>
  <c r="Z179" i="1"/>
  <c r="Z180" i="1" s="1"/>
  <c r="Y179" i="1"/>
  <c r="Y181" i="1" s="1"/>
  <c r="P179" i="1"/>
  <c r="X175" i="1"/>
  <c r="Y174" i="1"/>
  <c r="X174" i="1"/>
  <c r="BP173" i="1"/>
  <c r="BO173" i="1"/>
  <c r="BN173" i="1"/>
  <c r="BM173" i="1"/>
  <c r="Z173" i="1"/>
  <c r="Z174" i="1" s="1"/>
  <c r="Y173" i="1"/>
  <c r="Y175" i="1" s="1"/>
  <c r="X171" i="1"/>
  <c r="X170" i="1"/>
  <c r="BO169" i="1"/>
  <c r="BM169" i="1"/>
  <c r="Z169" i="1"/>
  <c r="Y169" i="1"/>
  <c r="P169" i="1"/>
  <c r="BP168" i="1"/>
  <c r="BO168" i="1"/>
  <c r="BN168" i="1"/>
  <c r="BM168" i="1"/>
  <c r="Z168" i="1"/>
  <c r="Z170" i="1" s="1"/>
  <c r="Y168" i="1"/>
  <c r="P168" i="1"/>
  <c r="BO167" i="1"/>
  <c r="BM167" i="1"/>
  <c r="Z167" i="1"/>
  <c r="Y167" i="1"/>
  <c r="P167" i="1"/>
  <c r="Y163" i="1"/>
  <c r="X163" i="1"/>
  <c r="Z162" i="1"/>
  <c r="X162" i="1"/>
  <c r="BO161" i="1"/>
  <c r="BM161" i="1"/>
  <c r="Z161" i="1"/>
  <c r="Y161" i="1"/>
  <c r="P161" i="1"/>
  <c r="BP160" i="1"/>
  <c r="BO160" i="1"/>
  <c r="BN160" i="1"/>
  <c r="BM160" i="1"/>
  <c r="Z160" i="1"/>
  <c r="Y160" i="1"/>
  <c r="Y162" i="1" s="1"/>
  <c r="P160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1" i="1"/>
  <c r="Y150" i="1"/>
  <c r="X150" i="1"/>
  <c r="BP149" i="1"/>
  <c r="BO149" i="1"/>
  <c r="BN149" i="1"/>
  <c r="BM149" i="1"/>
  <c r="Z149" i="1"/>
  <c r="Z150" i="1" s="1"/>
  <c r="Y149" i="1"/>
  <c r="Y151" i="1" s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P133" i="1"/>
  <c r="X130" i="1"/>
  <c r="X129" i="1"/>
  <c r="BO128" i="1"/>
  <c r="BM128" i="1"/>
  <c r="Z128" i="1"/>
  <c r="Y128" i="1"/>
  <c r="BP128" i="1" s="1"/>
  <c r="P128" i="1"/>
  <c r="BP127" i="1"/>
  <c r="BO127" i="1"/>
  <c r="BN127" i="1"/>
  <c r="BM127" i="1"/>
  <c r="Z127" i="1"/>
  <c r="Z129" i="1" s="1"/>
  <c r="Y127" i="1"/>
  <c r="Y129" i="1" s="1"/>
  <c r="P127" i="1"/>
  <c r="X124" i="1"/>
  <c r="X123" i="1"/>
  <c r="BP122" i="1"/>
  <c r="BO122" i="1"/>
  <c r="BN122" i="1"/>
  <c r="BM122" i="1"/>
  <c r="Z122" i="1"/>
  <c r="Y122" i="1"/>
  <c r="P122" i="1"/>
  <c r="BO121" i="1"/>
  <c r="BM121" i="1"/>
  <c r="Z121" i="1"/>
  <c r="Z123" i="1" s="1"/>
  <c r="Y121" i="1"/>
  <c r="Y124" i="1" s="1"/>
  <c r="P121" i="1"/>
  <c r="X118" i="1"/>
  <c r="Z117" i="1"/>
  <c r="X117" i="1"/>
  <c r="BO116" i="1"/>
  <c r="BM116" i="1"/>
  <c r="Z116" i="1"/>
  <c r="Y116" i="1"/>
  <c r="Y117" i="1" s="1"/>
  <c r="P116" i="1"/>
  <c r="X114" i="1"/>
  <c r="Z113" i="1"/>
  <c r="X113" i="1"/>
  <c r="BO112" i="1"/>
  <c r="BM112" i="1"/>
  <c r="Z112" i="1"/>
  <c r="Y112" i="1"/>
  <c r="Y113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X274" i="1" s="1"/>
  <c r="X276" i="1" s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3" i="1" s="1"/>
  <c r="Y23" i="1"/>
  <c r="X23" i="1"/>
  <c r="X277" i="1" s="1"/>
  <c r="BP22" i="1"/>
  <c r="BO22" i="1"/>
  <c r="X275" i="1" s="1"/>
  <c r="BN22" i="1"/>
  <c r="BM22" i="1"/>
  <c r="Z22" i="1"/>
  <c r="Z23" i="1" s="1"/>
  <c r="Z278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1" i="1" l="1"/>
  <c r="Y273" i="1" s="1"/>
  <c r="Y38" i="1"/>
  <c r="Y45" i="1"/>
  <c r="Y277" i="1" s="1"/>
  <c r="Y60" i="1"/>
  <c r="Y66" i="1"/>
  <c r="Y71" i="1"/>
  <c r="Y83" i="1"/>
  <c r="Y92" i="1"/>
  <c r="Y99" i="1"/>
  <c r="Y110" i="1"/>
  <c r="Y114" i="1"/>
  <c r="Y118" i="1"/>
  <c r="Y123" i="1"/>
  <c r="Y130" i="1"/>
  <c r="Y136" i="1"/>
  <c r="BP133" i="1"/>
  <c r="Y170" i="1"/>
  <c r="BP167" i="1"/>
  <c r="BN167" i="1"/>
  <c r="BP169" i="1"/>
  <c r="BN169" i="1"/>
  <c r="Y200" i="1"/>
  <c r="BP199" i="1"/>
  <c r="BN199" i="1"/>
  <c r="Y211" i="1"/>
  <c r="BP208" i="1"/>
  <c r="BN208" i="1"/>
  <c r="BP210" i="1"/>
  <c r="BN210" i="1"/>
  <c r="Y258" i="1"/>
  <c r="BP255" i="1"/>
  <c r="BN255" i="1"/>
  <c r="BP257" i="1"/>
  <c r="BN257" i="1"/>
  <c r="H9" i="1"/>
  <c r="BN29" i="1"/>
  <c r="Y274" i="1" s="1"/>
  <c r="BN34" i="1"/>
  <c r="BP34" i="1"/>
  <c r="Y275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Y135" i="1"/>
  <c r="BP161" i="1"/>
  <c r="BN161" i="1"/>
  <c r="Y171" i="1"/>
  <c r="BP185" i="1"/>
  <c r="BN185" i="1"/>
  <c r="Y187" i="1"/>
  <c r="BP192" i="1"/>
  <c r="BN192" i="1"/>
  <c r="BP194" i="1"/>
  <c r="BN194" i="1"/>
  <c r="Y201" i="1"/>
  <c r="Y205" i="1"/>
  <c r="BP204" i="1"/>
  <c r="BN204" i="1"/>
  <c r="Y212" i="1"/>
  <c r="Y218" i="1"/>
  <c r="BP215" i="1"/>
  <c r="BN215" i="1"/>
  <c r="Y217" i="1"/>
  <c r="BP245" i="1"/>
  <c r="BN245" i="1"/>
  <c r="Y247" i="1"/>
  <c r="BP251" i="1"/>
  <c r="BN251" i="1"/>
  <c r="Y259" i="1"/>
  <c r="Y272" i="1"/>
  <c r="BP261" i="1"/>
  <c r="BN261" i="1"/>
  <c r="BP263" i="1"/>
  <c r="BN263" i="1"/>
  <c r="BP265" i="1"/>
  <c r="BN265" i="1"/>
  <c r="BP267" i="1"/>
  <c r="BN267" i="1"/>
  <c r="BP269" i="1"/>
  <c r="BN269" i="1"/>
  <c r="Y271" i="1"/>
  <c r="C286" i="1" l="1"/>
  <c r="Y276" i="1"/>
  <c r="B286" i="1"/>
  <c r="A286" i="1"/>
</calcChain>
</file>

<file path=xl/sharedStrings.xml><?xml version="1.0" encoding="utf-8"?>
<sst xmlns="http://schemas.openxmlformats.org/spreadsheetml/2006/main" count="1220" uniqueCount="393">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</sst>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8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23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10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6"/>
  <sheetViews>
    <sheetView showGridLines="0" tabSelected="1" topLeftCell="A265" zoomScaleNormal="100" zoomScaleSheetLayoutView="100" workbookViewId="0">
      <selection activeCell="AA279" sqref="AA279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319" t="s">
        <v>0</v>
      </c>
      <c r="E1" s="289"/>
      <c r="F1" s="289"/>
      <c r="G1" s="12" t="s">
        <v>1</v>
      </c>
      <c r="H1" s="319" t="s">
        <v>2</v>
      </c>
      <c r="I1" s="289"/>
      <c r="J1" s="289"/>
      <c r="K1" s="289"/>
      <c r="L1" s="289"/>
      <c r="M1" s="289"/>
      <c r="N1" s="289"/>
      <c r="O1" s="289"/>
      <c r="P1" s="289"/>
      <c r="Q1" s="289"/>
      <c r="R1" s="288" t="s">
        <v>3</v>
      </c>
      <c r="S1" s="289"/>
      <c r="T1" s="2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346" t="s">
        <v>7</v>
      </c>
      <c r="B5" s="321"/>
      <c r="C5" s="322"/>
      <c r="D5" s="324"/>
      <c r="E5" s="325"/>
      <c r="F5" s="436" t="s">
        <v>8</v>
      </c>
      <c r="G5" s="322"/>
      <c r="H5" s="324"/>
      <c r="I5" s="404"/>
      <c r="J5" s="404"/>
      <c r="K5" s="404"/>
      <c r="L5" s="404"/>
      <c r="M5" s="325"/>
      <c r="N5" s="61"/>
      <c r="P5" s="24" t="s">
        <v>9</v>
      </c>
      <c r="Q5" s="442">
        <v>45985</v>
      </c>
      <c r="R5" s="345"/>
      <c r="T5" s="364" t="s">
        <v>10</v>
      </c>
      <c r="U5" s="293"/>
      <c r="V5" s="365" t="s">
        <v>11</v>
      </c>
      <c r="W5" s="345"/>
      <c r="AB5" s="51"/>
      <c r="AC5" s="51"/>
      <c r="AD5" s="51"/>
      <c r="AE5" s="51"/>
    </row>
    <row r="6" spans="1:32" s="263" customFormat="1" ht="24" customHeight="1" x14ac:dyDescent="0.2">
      <c r="A6" s="346" t="s">
        <v>12</v>
      </c>
      <c r="B6" s="321"/>
      <c r="C6" s="322"/>
      <c r="D6" s="405" t="s">
        <v>13</v>
      </c>
      <c r="E6" s="406"/>
      <c r="F6" s="406"/>
      <c r="G6" s="406"/>
      <c r="H6" s="406"/>
      <c r="I6" s="406"/>
      <c r="J6" s="406"/>
      <c r="K6" s="406"/>
      <c r="L6" s="406"/>
      <c r="M6" s="345"/>
      <c r="N6" s="62"/>
      <c r="P6" s="24" t="s">
        <v>14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68" t="s">
        <v>15</v>
      </c>
      <c r="U6" s="293"/>
      <c r="V6" s="391" t="s">
        <v>16</v>
      </c>
      <c r="W6" s="302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0"/>
      <c r="U7" s="293"/>
      <c r="V7" s="392"/>
      <c r="W7" s="393"/>
      <c r="AB7" s="51"/>
      <c r="AC7" s="51"/>
      <c r="AD7" s="51"/>
      <c r="AE7" s="51"/>
    </row>
    <row r="8" spans="1:32" s="263" customFormat="1" ht="25.5" customHeight="1" x14ac:dyDescent="0.2">
      <c r="A8" s="453" t="s">
        <v>17</v>
      </c>
      <c r="B8" s="277"/>
      <c r="C8" s="278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48">
        <v>0.41666666666666669</v>
      </c>
      <c r="R8" s="308"/>
      <c r="T8" s="280"/>
      <c r="U8" s="293"/>
      <c r="V8" s="392"/>
      <c r="W8" s="393"/>
      <c r="AB8" s="51"/>
      <c r="AC8" s="51"/>
      <c r="AD8" s="51"/>
      <c r="AE8" s="51"/>
    </row>
    <row r="9" spans="1:32" s="263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2"/>
      <c r="E9" s="275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4"/>
      <c r="P9" s="26" t="s">
        <v>20</v>
      </c>
      <c r="Q9" s="342"/>
      <c r="R9" s="343"/>
      <c r="T9" s="280"/>
      <c r="U9" s="293"/>
      <c r="V9" s="394"/>
      <c r="W9" s="395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2"/>
      <c r="E10" s="275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86" t="str">
        <f>IFERROR(VLOOKUP($D$10,Proxy,2,FALSE),"")</f>
        <v/>
      </c>
      <c r="I10" s="280"/>
      <c r="J10" s="280"/>
      <c r="K10" s="280"/>
      <c r="L10" s="280"/>
      <c r="M10" s="280"/>
      <c r="N10" s="262"/>
      <c r="P10" s="26" t="s">
        <v>21</v>
      </c>
      <c r="Q10" s="369"/>
      <c r="R10" s="370"/>
      <c r="U10" s="24" t="s">
        <v>22</v>
      </c>
      <c r="V10" s="301" t="s">
        <v>23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4"/>
      <c r="R11" s="345"/>
      <c r="U11" s="24" t="s">
        <v>26</v>
      </c>
      <c r="V11" s="411" t="s">
        <v>27</v>
      </c>
      <c r="W11" s="343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63" t="s">
        <v>28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29</v>
      </c>
      <c r="Q12" s="348"/>
      <c r="R12" s="308"/>
      <c r="S12" s="23"/>
      <c r="U12" s="24"/>
      <c r="V12" s="289"/>
      <c r="W12" s="280"/>
      <c r="AB12" s="51"/>
      <c r="AC12" s="51"/>
      <c r="AD12" s="51"/>
      <c r="AE12" s="51"/>
    </row>
    <row r="13" spans="1:32" s="263" customFormat="1" ht="23.25" customHeight="1" x14ac:dyDescent="0.2">
      <c r="A13" s="363" t="s">
        <v>30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31</v>
      </c>
      <c r="Q13" s="411"/>
      <c r="R13" s="3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63" t="s">
        <v>32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76" t="s">
        <v>33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7" t="s">
        <v>34</v>
      </c>
      <c r="Q15" s="289"/>
      <c r="R15" s="289"/>
      <c r="S15" s="289"/>
      <c r="T15" s="2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8"/>
      <c r="Q16" s="358"/>
      <c r="R16" s="358"/>
      <c r="S16" s="358"/>
      <c r="T16" s="35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5" t="s">
        <v>35</v>
      </c>
      <c r="B17" s="295" t="s">
        <v>36</v>
      </c>
      <c r="C17" s="351" t="s">
        <v>37</v>
      </c>
      <c r="D17" s="295" t="s">
        <v>38</v>
      </c>
      <c r="E17" s="335"/>
      <c r="F17" s="295" t="s">
        <v>39</v>
      </c>
      <c r="G17" s="295" t="s">
        <v>40</v>
      </c>
      <c r="H17" s="295" t="s">
        <v>41</v>
      </c>
      <c r="I17" s="295" t="s">
        <v>42</v>
      </c>
      <c r="J17" s="295" t="s">
        <v>43</v>
      </c>
      <c r="K17" s="295" t="s">
        <v>44</v>
      </c>
      <c r="L17" s="295" t="s">
        <v>45</v>
      </c>
      <c r="M17" s="295" t="s">
        <v>46</v>
      </c>
      <c r="N17" s="295" t="s">
        <v>47</v>
      </c>
      <c r="O17" s="295" t="s">
        <v>48</v>
      </c>
      <c r="P17" s="295" t="s">
        <v>49</v>
      </c>
      <c r="Q17" s="334"/>
      <c r="R17" s="334"/>
      <c r="S17" s="334"/>
      <c r="T17" s="335"/>
      <c r="U17" s="450" t="s">
        <v>50</v>
      </c>
      <c r="V17" s="322"/>
      <c r="W17" s="295" t="s">
        <v>51</v>
      </c>
      <c r="X17" s="295" t="s">
        <v>52</v>
      </c>
      <c r="Y17" s="451" t="s">
        <v>53</v>
      </c>
      <c r="Z17" s="402" t="s">
        <v>54</v>
      </c>
      <c r="AA17" s="387" t="s">
        <v>55</v>
      </c>
      <c r="AB17" s="387" t="s">
        <v>56</v>
      </c>
      <c r="AC17" s="387" t="s">
        <v>57</v>
      </c>
      <c r="AD17" s="387" t="s">
        <v>58</v>
      </c>
      <c r="AE17" s="431"/>
      <c r="AF17" s="432"/>
      <c r="AG17" s="69"/>
      <c r="BD17" s="68" t="s">
        <v>59</v>
      </c>
    </row>
    <row r="18" spans="1:68" ht="14.25" customHeight="1" x14ac:dyDescent="0.2">
      <c r="A18" s="296"/>
      <c r="B18" s="296"/>
      <c r="C18" s="296"/>
      <c r="D18" s="336"/>
      <c r="E18" s="338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6"/>
      <c r="X18" s="296"/>
      <c r="Y18" s="452"/>
      <c r="Z18" s="403"/>
      <c r="AA18" s="388"/>
      <c r="AB18" s="388"/>
      <c r="AC18" s="388"/>
      <c r="AD18" s="433"/>
      <c r="AE18" s="434"/>
      <c r="AF18" s="435"/>
      <c r="AG18" s="69"/>
      <c r="BD18" s="68"/>
    </row>
    <row r="19" spans="1:68" ht="27.75" customHeight="1" x14ac:dyDescent="0.2">
      <c r="A19" s="316" t="s">
        <v>62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48"/>
      <c r="AB19" s="48"/>
      <c r="AC19" s="48"/>
    </row>
    <row r="20" spans="1:68" ht="16.5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1"/>
      <c r="AB20" s="261"/>
      <c r="AC20" s="261"/>
    </row>
    <row r="21" spans="1:68" ht="14.25" customHeight="1" x14ac:dyDescent="0.25">
      <c r="A21" s="299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0"/>
      <c r="AB21" s="260"/>
      <c r="AC21" s="260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1">
        <v>4607111035752</v>
      </c>
      <c r="E22" s="282"/>
      <c r="F22" s="265">
        <v>0.43</v>
      </c>
      <c r="G22" s="32">
        <v>16</v>
      </c>
      <c r="H22" s="265">
        <v>6.88</v>
      </c>
      <c r="I22" s="26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98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1"/>
      <c r="R22" s="271"/>
      <c r="S22" s="271"/>
      <c r="T22" s="272"/>
      <c r="U22" s="34"/>
      <c r="V22" s="34"/>
      <c r="W22" s="35" t="s">
        <v>69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5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6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68">
        <f>IFERROR(SUM(X22:X22),"0")</f>
        <v>0</v>
      </c>
      <c r="Y23" s="268">
        <f>IFERROR(SUM(Y22:Y22),"0")</f>
        <v>0</v>
      </c>
      <c r="Z23" s="268">
        <f>IFERROR(IF(Z22="",0,Z22),"0")</f>
        <v>0</v>
      </c>
      <c r="AA23" s="269"/>
      <c r="AB23" s="269"/>
      <c r="AC23" s="269"/>
    </row>
    <row r="24" spans="1:68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6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68">
        <f>IFERROR(SUMPRODUCT(X22:X22*H22:H22),"0")</f>
        <v>0</v>
      </c>
      <c r="Y24" s="268">
        <f>IFERROR(SUMPRODUCT(Y22:Y22*H22:H22),"0")</f>
        <v>0</v>
      </c>
      <c r="Z24" s="37"/>
      <c r="AA24" s="269"/>
      <c r="AB24" s="269"/>
      <c r="AC24" s="269"/>
    </row>
    <row r="25" spans="1:68" ht="27.75" customHeight="1" x14ac:dyDescent="0.2">
      <c r="A25" s="316" t="s">
        <v>74</v>
      </c>
      <c r="B25" s="317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48"/>
      <c r="AB25" s="48"/>
      <c r="AC25" s="48"/>
    </row>
    <row r="26" spans="1:68" ht="16.5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1"/>
      <c r="AB26" s="261"/>
      <c r="AC26" s="261"/>
    </row>
    <row r="27" spans="1:68" ht="14.25" customHeight="1" x14ac:dyDescent="0.25">
      <c r="A27" s="299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0"/>
      <c r="AB27" s="260"/>
      <c r="AC27" s="260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1">
        <v>4607111036537</v>
      </c>
      <c r="E28" s="282"/>
      <c r="F28" s="265">
        <v>0.25</v>
      </c>
      <c r="G28" s="32">
        <v>6</v>
      </c>
      <c r="H28" s="265">
        <v>1.5</v>
      </c>
      <c r="I28" s="265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1"/>
      <c r="R28" s="271"/>
      <c r="S28" s="271"/>
      <c r="T28" s="272"/>
      <c r="U28" s="34"/>
      <c r="V28" s="34"/>
      <c r="W28" s="35" t="s">
        <v>69</v>
      </c>
      <c r="X28" s="266">
        <v>140</v>
      </c>
      <c r="Y28" s="267">
        <f>IFERROR(IF(X28="","",X28),"")</f>
        <v>140</v>
      </c>
      <c r="Z28" s="36">
        <f>IFERROR(IF(X28="","",X28*0.00941),"")</f>
        <v>1.3173999999999999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269.05200000000002</v>
      </c>
      <c r="BN28" s="67">
        <f>IFERROR(Y28*I28,"0")</f>
        <v>269.05200000000002</v>
      </c>
      <c r="BO28" s="67">
        <f>IFERROR(X28/J28,"0")</f>
        <v>1</v>
      </c>
      <c r="BP28" s="67">
        <f>IFERROR(Y28/J28,"0")</f>
        <v>1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1">
        <v>4607111036605</v>
      </c>
      <c r="E29" s="282"/>
      <c r="F29" s="265">
        <v>0.25</v>
      </c>
      <c r="G29" s="32">
        <v>6</v>
      </c>
      <c r="H29" s="265">
        <v>1.5</v>
      </c>
      <c r="I29" s="265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1"/>
      <c r="R29" s="271"/>
      <c r="S29" s="271"/>
      <c r="T29" s="272"/>
      <c r="U29" s="34"/>
      <c r="V29" s="34"/>
      <c r="W29" s="35" t="s">
        <v>69</v>
      </c>
      <c r="X29" s="266">
        <v>98</v>
      </c>
      <c r="Y29" s="267">
        <f>IFERROR(IF(X29="","",X29),"")</f>
        <v>98</v>
      </c>
      <c r="Z29" s="36">
        <f>IFERROR(IF(X29="","",X29*0.00941),"")</f>
        <v>0.92218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188.3364</v>
      </c>
      <c r="BN29" s="67">
        <f>IFERROR(Y29*I29,"0")</f>
        <v>188.3364</v>
      </c>
      <c r="BO29" s="67">
        <f>IFERROR(X29/J29,"0")</f>
        <v>0.7</v>
      </c>
      <c r="BP29" s="67">
        <f>IFERROR(Y29/J29,"0")</f>
        <v>0.7</v>
      </c>
    </row>
    <row r="30" spans="1:68" x14ac:dyDescent="0.2">
      <c r="A30" s="285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6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68">
        <f>IFERROR(SUM(X28:X29),"0")</f>
        <v>238</v>
      </c>
      <c r="Y30" s="268">
        <f>IFERROR(SUM(Y28:Y29),"0")</f>
        <v>238</v>
      </c>
      <c r="Z30" s="268">
        <f>IFERROR(IF(Z28="",0,Z28),"0")+IFERROR(IF(Z29="",0,Z29),"0")</f>
        <v>2.2395800000000001</v>
      </c>
      <c r="AA30" s="269"/>
      <c r="AB30" s="269"/>
      <c r="AC30" s="269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6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68">
        <f>IFERROR(SUMPRODUCT(X28:X29*H28:H29),"0")</f>
        <v>357</v>
      </c>
      <c r="Y31" s="268">
        <f>IFERROR(SUMPRODUCT(Y28:Y29*H28:H29),"0")</f>
        <v>357</v>
      </c>
      <c r="Z31" s="37"/>
      <c r="AA31" s="269"/>
      <c r="AB31" s="269"/>
      <c r="AC31" s="269"/>
    </row>
    <row r="32" spans="1:68" ht="16.5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1"/>
      <c r="AB32" s="261"/>
      <c r="AC32" s="261"/>
    </row>
    <row r="33" spans="1:68" ht="14.25" customHeight="1" x14ac:dyDescent="0.25">
      <c r="A33" s="299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0"/>
      <c r="AB33" s="260"/>
      <c r="AC33" s="260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1">
        <v>4620207490075</v>
      </c>
      <c r="E34" s="282"/>
      <c r="F34" s="265">
        <v>0.7</v>
      </c>
      <c r="G34" s="32">
        <v>8</v>
      </c>
      <c r="H34" s="265">
        <v>5.6</v>
      </c>
      <c r="I34" s="265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1"/>
      <c r="R34" s="271"/>
      <c r="S34" s="271"/>
      <c r="T34" s="272"/>
      <c r="U34" s="34"/>
      <c r="V34" s="34"/>
      <c r="W34" s="35" t="s">
        <v>69</v>
      </c>
      <c r="X34" s="266">
        <v>108</v>
      </c>
      <c r="Y34" s="267">
        <f>IFERROR(IF(X34="","",X34),"")</f>
        <v>108</v>
      </c>
      <c r="Z34" s="36">
        <f>IFERROR(IF(X34="","",X34*0.0155),"")</f>
        <v>1.6739999999999999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633.96</v>
      </c>
      <c r="BN34" s="67">
        <f>IFERROR(Y34*I34,"0")</f>
        <v>633.96</v>
      </c>
      <c r="BO34" s="67">
        <f>IFERROR(X34/J34,"0")</f>
        <v>1.2857142857142858</v>
      </c>
      <c r="BP34" s="67">
        <f>IFERROR(Y34/J34,"0")</f>
        <v>1.2857142857142858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1">
        <v>4620207490174</v>
      </c>
      <c r="E35" s="282"/>
      <c r="F35" s="265">
        <v>0.7</v>
      </c>
      <c r="G35" s="32">
        <v>8</v>
      </c>
      <c r="H35" s="265">
        <v>5.6</v>
      </c>
      <c r="I35" s="265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0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1"/>
      <c r="R35" s="271"/>
      <c r="S35" s="271"/>
      <c r="T35" s="272"/>
      <c r="U35" s="34"/>
      <c r="V35" s="34"/>
      <c r="W35" s="35" t="s">
        <v>69</v>
      </c>
      <c r="X35" s="266">
        <v>12</v>
      </c>
      <c r="Y35" s="267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1">
        <v>4620207490044</v>
      </c>
      <c r="E36" s="282"/>
      <c r="F36" s="265">
        <v>0.7</v>
      </c>
      <c r="G36" s="32">
        <v>8</v>
      </c>
      <c r="H36" s="265">
        <v>5.6</v>
      </c>
      <c r="I36" s="265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1"/>
      <c r="R36" s="271"/>
      <c r="S36" s="271"/>
      <c r="T36" s="272"/>
      <c r="U36" s="34"/>
      <c r="V36" s="34"/>
      <c r="W36" s="35" t="s">
        <v>69</v>
      </c>
      <c r="X36" s="266">
        <v>84</v>
      </c>
      <c r="Y36" s="267">
        <f>IFERROR(IF(X36="","",X36),"")</f>
        <v>84</v>
      </c>
      <c r="Z36" s="36">
        <f>IFERROR(IF(X36="","",X36*0.0155),"")</f>
        <v>1.302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493.08</v>
      </c>
      <c r="BN36" s="67">
        <f>IFERROR(Y36*I36,"0")</f>
        <v>493.08</v>
      </c>
      <c r="BO36" s="67">
        <f>IFERROR(X36/J36,"0")</f>
        <v>1</v>
      </c>
      <c r="BP36" s="67">
        <f>IFERROR(Y36/J36,"0")</f>
        <v>1</v>
      </c>
    </row>
    <row r="37" spans="1:68" x14ac:dyDescent="0.2">
      <c r="A37" s="285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6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68">
        <f>IFERROR(SUM(X34:X36),"0")</f>
        <v>204</v>
      </c>
      <c r="Y37" s="268">
        <f>IFERROR(SUM(Y34:Y36),"0")</f>
        <v>204</v>
      </c>
      <c r="Z37" s="268">
        <f>IFERROR(IF(Z34="",0,Z34),"0")+IFERROR(IF(Z35="",0,Z35),"0")+IFERROR(IF(Z36="",0,Z36),"0")</f>
        <v>3.1619999999999999</v>
      </c>
      <c r="AA37" s="269"/>
      <c r="AB37" s="269"/>
      <c r="AC37" s="269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6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68">
        <f>IFERROR(SUMPRODUCT(X34:X36*H34:H36),"0")</f>
        <v>1142.4000000000001</v>
      </c>
      <c r="Y38" s="268">
        <f>IFERROR(SUMPRODUCT(Y34:Y36*H34:H36),"0")</f>
        <v>1142.4000000000001</v>
      </c>
      <c r="Z38" s="37"/>
      <c r="AA38" s="269"/>
      <c r="AB38" s="269"/>
      <c r="AC38" s="269"/>
    </row>
    <row r="39" spans="1:68" ht="16.5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1"/>
      <c r="AB39" s="261"/>
      <c r="AC39" s="261"/>
    </row>
    <row r="40" spans="1:68" ht="14.25" customHeight="1" x14ac:dyDescent="0.25">
      <c r="A40" s="299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0"/>
      <c r="AB40" s="260"/>
      <c r="AC40" s="260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1">
        <v>4607111039385</v>
      </c>
      <c r="E41" s="282"/>
      <c r="F41" s="265">
        <v>0.7</v>
      </c>
      <c r="G41" s="32">
        <v>10</v>
      </c>
      <c r="H41" s="265">
        <v>7</v>
      </c>
      <c r="I41" s="265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1"/>
      <c r="R41" s="271"/>
      <c r="S41" s="271"/>
      <c r="T41" s="272"/>
      <c r="U41" s="34"/>
      <c r="V41" s="34"/>
      <c r="W41" s="35" t="s">
        <v>69</v>
      </c>
      <c r="X41" s="266">
        <v>0</v>
      </c>
      <c r="Y41" s="267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1">
        <v>4607111038982</v>
      </c>
      <c r="E42" s="282"/>
      <c r="F42" s="265">
        <v>0.7</v>
      </c>
      <c r="G42" s="32">
        <v>10</v>
      </c>
      <c r="H42" s="265">
        <v>7</v>
      </c>
      <c r="I42" s="265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1"/>
      <c r="R42" s="271"/>
      <c r="S42" s="271"/>
      <c r="T42" s="272"/>
      <c r="U42" s="34"/>
      <c r="V42" s="34"/>
      <c r="W42" s="35" t="s">
        <v>69</v>
      </c>
      <c r="X42" s="266">
        <v>0</v>
      </c>
      <c r="Y42" s="267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1">
        <v>4607111039354</v>
      </c>
      <c r="E43" s="282"/>
      <c r="F43" s="265">
        <v>0.4</v>
      </c>
      <c r="G43" s="32">
        <v>16</v>
      </c>
      <c r="H43" s="265">
        <v>6.4</v>
      </c>
      <c r="I43" s="265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1"/>
      <c r="R43" s="271"/>
      <c r="S43" s="271"/>
      <c r="T43" s="272"/>
      <c r="U43" s="34"/>
      <c r="V43" s="34"/>
      <c r="W43" s="35" t="s">
        <v>69</v>
      </c>
      <c r="X43" s="266">
        <v>36</v>
      </c>
      <c r="Y43" s="267">
        <f>IFERROR(IF(X43="","",X43),"")</f>
        <v>36</v>
      </c>
      <c r="Z43" s="36">
        <f>IFERROR(IF(X43="","",X43*0.0155),"")</f>
        <v>0.55800000000000005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241.90559999999999</v>
      </c>
      <c r="BN43" s="67">
        <f>IFERROR(Y43*I43,"0")</f>
        <v>241.90559999999999</v>
      </c>
      <c r="BO43" s="67">
        <f>IFERROR(X43/J43,"0")</f>
        <v>0.42857142857142855</v>
      </c>
      <c r="BP43" s="67">
        <f>IFERROR(Y43/J43,"0")</f>
        <v>0.42857142857142855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1">
        <v>4607111039330</v>
      </c>
      <c r="E44" s="282"/>
      <c r="F44" s="265">
        <v>0.7</v>
      </c>
      <c r="G44" s="32">
        <v>10</v>
      </c>
      <c r="H44" s="265">
        <v>7</v>
      </c>
      <c r="I44" s="265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1"/>
      <c r="R44" s="271"/>
      <c r="S44" s="271"/>
      <c r="T44" s="272"/>
      <c r="U44" s="34"/>
      <c r="V44" s="34"/>
      <c r="W44" s="35" t="s">
        <v>69</v>
      </c>
      <c r="X44" s="266">
        <v>36</v>
      </c>
      <c r="Y44" s="267">
        <f>IFERROR(IF(X44="","",X44),"")</f>
        <v>36</v>
      </c>
      <c r="Z44" s="36">
        <f>IFERROR(IF(X44="","",X44*0.0155),"")</f>
        <v>0.55800000000000005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262.8</v>
      </c>
      <c r="BN44" s="67">
        <f>IFERROR(Y44*I44,"0")</f>
        <v>262.8</v>
      </c>
      <c r="BO44" s="67">
        <f>IFERROR(X44/J44,"0")</f>
        <v>0.42857142857142855</v>
      </c>
      <c r="BP44" s="67">
        <f>IFERROR(Y44/J44,"0")</f>
        <v>0.42857142857142855</v>
      </c>
    </row>
    <row r="45" spans="1:68" x14ac:dyDescent="0.2">
      <c r="A45" s="285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6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68">
        <f>IFERROR(SUM(X41:X44),"0")</f>
        <v>72</v>
      </c>
      <c r="Y45" s="268">
        <f>IFERROR(SUM(Y41:Y44),"0")</f>
        <v>72</v>
      </c>
      <c r="Z45" s="268">
        <f>IFERROR(IF(Z41="",0,Z41),"0")+IFERROR(IF(Z42="",0,Z42),"0")+IFERROR(IF(Z43="",0,Z43),"0")+IFERROR(IF(Z44="",0,Z44),"0")</f>
        <v>1.1160000000000001</v>
      </c>
      <c r="AA45" s="269"/>
      <c r="AB45" s="269"/>
      <c r="AC45" s="269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6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68">
        <f>IFERROR(SUMPRODUCT(X41:X44*H41:H44),"0")</f>
        <v>482.4</v>
      </c>
      <c r="Y46" s="268">
        <f>IFERROR(SUMPRODUCT(Y41:Y44*H41:H44),"0")</f>
        <v>482.4</v>
      </c>
      <c r="Z46" s="37"/>
      <c r="AA46" s="269"/>
      <c r="AB46" s="269"/>
      <c r="AC46" s="269"/>
    </row>
    <row r="47" spans="1:68" ht="16.5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1"/>
      <c r="AB47" s="261"/>
      <c r="AC47" s="261"/>
    </row>
    <row r="48" spans="1:68" ht="14.25" customHeight="1" x14ac:dyDescent="0.25">
      <c r="A48" s="299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0"/>
      <c r="AB48" s="260"/>
      <c r="AC48" s="260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1">
        <v>4620207490822</v>
      </c>
      <c r="E49" s="282"/>
      <c r="F49" s="265">
        <v>0.43</v>
      </c>
      <c r="G49" s="32">
        <v>8</v>
      </c>
      <c r="H49" s="265">
        <v>3.44</v>
      </c>
      <c r="I49" s="265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1"/>
      <c r="R49" s="271"/>
      <c r="S49" s="271"/>
      <c r="T49" s="272"/>
      <c r="U49" s="34"/>
      <c r="V49" s="34"/>
      <c r="W49" s="35" t="s">
        <v>69</v>
      </c>
      <c r="X49" s="266">
        <v>0</v>
      </c>
      <c r="Y49" s="267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5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6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68">
        <f>IFERROR(SUM(X49:X49),"0")</f>
        <v>0</v>
      </c>
      <c r="Y50" s="268">
        <f>IFERROR(SUM(Y49:Y49),"0")</f>
        <v>0</v>
      </c>
      <c r="Z50" s="268">
        <f>IFERROR(IF(Z49="",0,Z49),"0")</f>
        <v>0</v>
      </c>
      <c r="AA50" s="269"/>
      <c r="AB50" s="269"/>
      <c r="AC50" s="269"/>
    </row>
    <row r="51" spans="1:68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6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68">
        <f>IFERROR(SUMPRODUCT(X49:X49*H49:H49),"0")</f>
        <v>0</v>
      </c>
      <c r="Y51" s="268">
        <f>IFERROR(SUMPRODUCT(Y49:Y49*H49:H49),"0")</f>
        <v>0</v>
      </c>
      <c r="Z51" s="37"/>
      <c r="AA51" s="269"/>
      <c r="AB51" s="269"/>
      <c r="AC51" s="269"/>
    </row>
    <row r="52" spans="1:68" ht="14.25" customHeight="1" x14ac:dyDescent="0.25">
      <c r="A52" s="299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0"/>
      <c r="AB52" s="260"/>
      <c r="AC52" s="260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1">
        <v>4607111039712</v>
      </c>
      <c r="E53" s="282"/>
      <c r="F53" s="265">
        <v>0.2</v>
      </c>
      <c r="G53" s="32">
        <v>6</v>
      </c>
      <c r="H53" s="265">
        <v>1.2</v>
      </c>
      <c r="I53" s="265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1"/>
      <c r="R53" s="271"/>
      <c r="S53" s="271"/>
      <c r="T53" s="272"/>
      <c r="U53" s="34"/>
      <c r="V53" s="34"/>
      <c r="W53" s="35" t="s">
        <v>69</v>
      </c>
      <c r="X53" s="266">
        <v>0</v>
      </c>
      <c r="Y53" s="267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5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6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68">
        <f>IFERROR(SUM(X53:X53),"0")</f>
        <v>0</v>
      </c>
      <c r="Y54" s="268">
        <f>IFERROR(SUM(Y53:Y53),"0")</f>
        <v>0</v>
      </c>
      <c r="Z54" s="268">
        <f>IFERROR(IF(Z53="",0,Z53),"0")</f>
        <v>0</v>
      </c>
      <c r="AA54" s="269"/>
      <c r="AB54" s="269"/>
      <c r="AC54" s="269"/>
    </row>
    <row r="55" spans="1:68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6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68">
        <f>IFERROR(SUMPRODUCT(X53:X53*H53:H53),"0")</f>
        <v>0</v>
      </c>
      <c r="Y55" s="268">
        <f>IFERROR(SUMPRODUCT(Y53:Y53*H53:H53),"0")</f>
        <v>0</v>
      </c>
      <c r="Z55" s="37"/>
      <c r="AA55" s="269"/>
      <c r="AB55" s="269"/>
      <c r="AC55" s="269"/>
    </row>
    <row r="56" spans="1:68" ht="14.25" customHeight="1" x14ac:dyDescent="0.25">
      <c r="A56" s="299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0"/>
      <c r="AB56" s="260"/>
      <c r="AC56" s="260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1">
        <v>4607111037008</v>
      </c>
      <c r="E57" s="282"/>
      <c r="F57" s="265">
        <v>0.36</v>
      </c>
      <c r="G57" s="32">
        <v>4</v>
      </c>
      <c r="H57" s="265">
        <v>1.44</v>
      </c>
      <c r="I57" s="265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3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1"/>
      <c r="R57" s="271"/>
      <c r="S57" s="271"/>
      <c r="T57" s="272"/>
      <c r="U57" s="34"/>
      <c r="V57" s="34"/>
      <c r="W57" s="35" t="s">
        <v>69</v>
      </c>
      <c r="X57" s="266">
        <v>0</v>
      </c>
      <c r="Y57" s="267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1">
        <v>4607111037398</v>
      </c>
      <c r="E58" s="282"/>
      <c r="F58" s="265">
        <v>0.09</v>
      </c>
      <c r="G58" s="32">
        <v>24</v>
      </c>
      <c r="H58" s="265">
        <v>2.16</v>
      </c>
      <c r="I58" s="265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1"/>
      <c r="R58" s="271"/>
      <c r="S58" s="271"/>
      <c r="T58" s="272"/>
      <c r="U58" s="34"/>
      <c r="V58" s="34"/>
      <c r="W58" s="35" t="s">
        <v>69</v>
      </c>
      <c r="X58" s="266">
        <v>0</v>
      </c>
      <c r="Y58" s="267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5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6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68">
        <f>IFERROR(SUM(X57:X58),"0")</f>
        <v>0</v>
      </c>
      <c r="Y59" s="268">
        <f>IFERROR(SUM(Y57:Y58),"0")</f>
        <v>0</v>
      </c>
      <c r="Z59" s="268">
        <f>IFERROR(IF(Z57="",0,Z57),"0")+IFERROR(IF(Z58="",0,Z58),"0")</f>
        <v>0</v>
      </c>
      <c r="AA59" s="269"/>
      <c r="AB59" s="269"/>
      <c r="AC59" s="269"/>
    </row>
    <row r="60" spans="1:68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6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68">
        <f>IFERROR(SUMPRODUCT(X57:X58*H57:H58),"0")</f>
        <v>0</v>
      </c>
      <c r="Y60" s="268">
        <f>IFERROR(SUMPRODUCT(Y57:Y58*H57:H58),"0")</f>
        <v>0</v>
      </c>
      <c r="Z60" s="37"/>
      <c r="AA60" s="269"/>
      <c r="AB60" s="269"/>
      <c r="AC60" s="269"/>
    </row>
    <row r="61" spans="1:68" ht="14.25" customHeight="1" x14ac:dyDescent="0.25">
      <c r="A61" s="299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0"/>
      <c r="AB61" s="260"/>
      <c r="AC61" s="260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1">
        <v>4607111039705</v>
      </c>
      <c r="E62" s="282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1"/>
      <c r="R62" s="271"/>
      <c r="S62" s="271"/>
      <c r="T62" s="272"/>
      <c r="U62" s="34"/>
      <c r="V62" s="34"/>
      <c r="W62" s="35" t="s">
        <v>69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1">
        <v>4607111039729</v>
      </c>
      <c r="E63" s="282"/>
      <c r="F63" s="265">
        <v>0.2</v>
      </c>
      <c r="G63" s="32">
        <v>6</v>
      </c>
      <c r="H63" s="265">
        <v>1.2</v>
      </c>
      <c r="I63" s="26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1"/>
      <c r="R63" s="271"/>
      <c r="S63" s="271"/>
      <c r="T63" s="272"/>
      <c r="U63" s="34"/>
      <c r="V63" s="34"/>
      <c r="W63" s="35" t="s">
        <v>69</v>
      </c>
      <c r="X63" s="266">
        <v>0</v>
      </c>
      <c r="Y63" s="267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1">
        <v>4620207490228</v>
      </c>
      <c r="E64" s="282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69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5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6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68">
        <f>IFERROR(SUM(X62:X64),"0")</f>
        <v>0</v>
      </c>
      <c r="Y65" s="268">
        <f>IFERROR(SUM(Y62:Y64),"0")</f>
        <v>0</v>
      </c>
      <c r="Z65" s="268">
        <f>IFERROR(IF(Z62="",0,Z62),"0")+IFERROR(IF(Z63="",0,Z63),"0")+IFERROR(IF(Z64="",0,Z64),"0")</f>
        <v>0</v>
      </c>
      <c r="AA65" s="269"/>
      <c r="AB65" s="269"/>
      <c r="AC65" s="269"/>
    </row>
    <row r="66" spans="1:68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6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68">
        <f>IFERROR(SUMPRODUCT(X62:X64*H62:H64),"0")</f>
        <v>0</v>
      </c>
      <c r="Y66" s="268">
        <f>IFERROR(SUMPRODUCT(Y62:Y64*H62:H64),"0")</f>
        <v>0</v>
      </c>
      <c r="Z66" s="37"/>
      <c r="AA66" s="269"/>
      <c r="AB66" s="269"/>
      <c r="AC66" s="269"/>
    </row>
    <row r="67" spans="1:68" ht="16.5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1"/>
      <c r="AB67" s="261"/>
      <c r="AC67" s="261"/>
    </row>
    <row r="68" spans="1:68" ht="14.25" customHeight="1" x14ac:dyDescent="0.25">
      <c r="A68" s="299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0"/>
      <c r="AB68" s="260"/>
      <c r="AC68" s="260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1">
        <v>4607111037411</v>
      </c>
      <c r="E69" s="282"/>
      <c r="F69" s="265">
        <v>2.7</v>
      </c>
      <c r="G69" s="32">
        <v>1</v>
      </c>
      <c r="H69" s="265">
        <v>2.7</v>
      </c>
      <c r="I69" s="265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1"/>
      <c r="R69" s="271"/>
      <c r="S69" s="271"/>
      <c r="T69" s="272"/>
      <c r="U69" s="34"/>
      <c r="V69" s="34"/>
      <c r="W69" s="35" t="s">
        <v>69</v>
      </c>
      <c r="X69" s="266">
        <v>108</v>
      </c>
      <c r="Y69" s="267">
        <f>IFERROR(IF(X69="","",X69),"")</f>
        <v>108</v>
      </c>
      <c r="Z69" s="36">
        <f>IFERROR(IF(X69="","",X69*0.00502),"")</f>
        <v>0.54215999999999998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303.82560000000001</v>
      </c>
      <c r="BN69" s="67">
        <f>IFERROR(Y69*I69,"0")</f>
        <v>303.82560000000001</v>
      </c>
      <c r="BO69" s="67">
        <f>IFERROR(X69/J69,"0")</f>
        <v>0.46153846153846156</v>
      </c>
      <c r="BP69" s="67">
        <f>IFERROR(Y69/J69,"0")</f>
        <v>0.46153846153846156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1">
        <v>4607111036728</v>
      </c>
      <c r="E70" s="282"/>
      <c r="F70" s="265">
        <v>5</v>
      </c>
      <c r="G70" s="32">
        <v>1</v>
      </c>
      <c r="H70" s="265">
        <v>5</v>
      </c>
      <c r="I70" s="265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1"/>
      <c r="R70" s="271"/>
      <c r="S70" s="271"/>
      <c r="T70" s="272"/>
      <c r="U70" s="34"/>
      <c r="V70" s="34"/>
      <c r="W70" s="35" t="s">
        <v>69</v>
      </c>
      <c r="X70" s="266">
        <v>48</v>
      </c>
      <c r="Y70" s="267">
        <f>IFERROR(IF(X70="","",X70),"")</f>
        <v>48</v>
      </c>
      <c r="Z70" s="36">
        <f>IFERROR(IF(X70="","",X70*0.00866),"")</f>
        <v>0.41567999999999994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250.23359999999997</v>
      </c>
      <c r="BN70" s="67">
        <f>IFERROR(Y70*I70,"0")</f>
        <v>250.23359999999997</v>
      </c>
      <c r="BO70" s="67">
        <f>IFERROR(X70/J70,"0")</f>
        <v>0.33333333333333331</v>
      </c>
      <c r="BP70" s="67">
        <f>IFERROR(Y70/J70,"0")</f>
        <v>0.33333333333333331</v>
      </c>
    </row>
    <row r="71" spans="1:68" x14ac:dyDescent="0.2">
      <c r="A71" s="285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6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68">
        <f>IFERROR(SUM(X69:X70),"0")</f>
        <v>156</v>
      </c>
      <c r="Y71" s="268">
        <f>IFERROR(SUM(Y69:Y70),"0")</f>
        <v>156</v>
      </c>
      <c r="Z71" s="268">
        <f>IFERROR(IF(Z69="",0,Z69),"0")+IFERROR(IF(Z70="",0,Z70),"0")</f>
        <v>0.95783999999999991</v>
      </c>
      <c r="AA71" s="269"/>
      <c r="AB71" s="269"/>
      <c r="AC71" s="269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6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68">
        <f>IFERROR(SUMPRODUCT(X69:X70*H69:H70),"0")</f>
        <v>531.6</v>
      </c>
      <c r="Y72" s="268">
        <f>IFERROR(SUMPRODUCT(Y69:Y70*H69:H70),"0")</f>
        <v>531.6</v>
      </c>
      <c r="Z72" s="37"/>
      <c r="AA72" s="269"/>
      <c r="AB72" s="269"/>
      <c r="AC72" s="269"/>
    </row>
    <row r="73" spans="1:68" ht="16.5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1"/>
      <c r="AB73" s="261"/>
      <c r="AC73" s="261"/>
    </row>
    <row r="74" spans="1:68" ht="14.25" customHeight="1" x14ac:dyDescent="0.25">
      <c r="A74" s="299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0"/>
      <c r="AB74" s="260"/>
      <c r="AC74" s="260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1">
        <v>4607111033659</v>
      </c>
      <c r="E75" s="282"/>
      <c r="F75" s="265">
        <v>0.3</v>
      </c>
      <c r="G75" s="32">
        <v>12</v>
      </c>
      <c r="H75" s="265">
        <v>3.6</v>
      </c>
      <c r="I75" s="265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3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1"/>
      <c r="R75" s="271"/>
      <c r="S75" s="271"/>
      <c r="T75" s="272"/>
      <c r="U75" s="34"/>
      <c r="V75" s="34"/>
      <c r="W75" s="35" t="s">
        <v>69</v>
      </c>
      <c r="X75" s="266">
        <v>14</v>
      </c>
      <c r="Y75" s="267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5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6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68">
        <f>IFERROR(SUM(X75:X75),"0")</f>
        <v>14</v>
      </c>
      <c r="Y76" s="268">
        <f>IFERROR(SUM(Y75:Y75),"0")</f>
        <v>14</v>
      </c>
      <c r="Z76" s="268">
        <f>IFERROR(IF(Z75="",0,Z75),"0")</f>
        <v>0.25031999999999999</v>
      </c>
      <c r="AA76" s="269"/>
      <c r="AB76" s="269"/>
      <c r="AC76" s="269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6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68">
        <f>IFERROR(SUMPRODUCT(X75:X75*H75:H75),"0")</f>
        <v>50.4</v>
      </c>
      <c r="Y77" s="268">
        <f>IFERROR(SUMPRODUCT(Y75:Y75*H75:H75),"0")</f>
        <v>50.4</v>
      </c>
      <c r="Z77" s="37"/>
      <c r="AA77" s="269"/>
      <c r="AB77" s="269"/>
      <c r="AC77" s="269"/>
    </row>
    <row r="78" spans="1:68" ht="16.5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1"/>
      <c r="AB78" s="261"/>
      <c r="AC78" s="261"/>
    </row>
    <row r="79" spans="1:68" ht="14.25" customHeight="1" x14ac:dyDescent="0.25">
      <c r="A79" s="299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0"/>
      <c r="AB79" s="260"/>
      <c r="AC79" s="260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1">
        <v>4607111034120</v>
      </c>
      <c r="E80" s="282"/>
      <c r="F80" s="265">
        <v>0.3</v>
      </c>
      <c r="G80" s="32">
        <v>12</v>
      </c>
      <c r="H80" s="265">
        <v>3.6</v>
      </c>
      <c r="I80" s="265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1"/>
      <c r="R80" s="271"/>
      <c r="S80" s="271"/>
      <c r="T80" s="272"/>
      <c r="U80" s="34"/>
      <c r="V80" s="34"/>
      <c r="W80" s="35" t="s">
        <v>69</v>
      </c>
      <c r="X80" s="266">
        <v>140</v>
      </c>
      <c r="Y80" s="267">
        <f>IFERROR(IF(X80="","",X80),"")</f>
        <v>140</v>
      </c>
      <c r="Z80" s="36">
        <f>IFERROR(IF(X80="","",X80*0.01788),"")</f>
        <v>2.5032000000000001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602.50400000000002</v>
      </c>
      <c r="BN80" s="67">
        <f>IFERROR(Y80*I80,"0")</f>
        <v>602.50400000000002</v>
      </c>
      <c r="BO80" s="67">
        <f>IFERROR(X80/J80,"0")</f>
        <v>2</v>
      </c>
      <c r="BP80" s="67">
        <f>IFERROR(Y80/J80,"0")</f>
        <v>2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1">
        <v>4607111034137</v>
      </c>
      <c r="E81" s="282"/>
      <c r="F81" s="265">
        <v>0.3</v>
      </c>
      <c r="G81" s="32">
        <v>12</v>
      </c>
      <c r="H81" s="265">
        <v>3.6</v>
      </c>
      <c r="I81" s="265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1"/>
      <c r="R81" s="271"/>
      <c r="S81" s="271"/>
      <c r="T81" s="272"/>
      <c r="U81" s="34"/>
      <c r="V81" s="34"/>
      <c r="W81" s="35" t="s">
        <v>69</v>
      </c>
      <c r="X81" s="266">
        <v>70</v>
      </c>
      <c r="Y81" s="267">
        <f>IFERROR(IF(X81="","",X81),"")</f>
        <v>70</v>
      </c>
      <c r="Z81" s="36">
        <f>IFERROR(IF(X81="","",X81*0.01788),"")</f>
        <v>1.2516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301.25200000000001</v>
      </c>
      <c r="BN81" s="67">
        <f>IFERROR(Y81*I81,"0")</f>
        <v>301.25200000000001</v>
      </c>
      <c r="BO81" s="67">
        <f>IFERROR(X81/J81,"0")</f>
        <v>1</v>
      </c>
      <c r="BP81" s="67">
        <f>IFERROR(Y81/J81,"0")</f>
        <v>1</v>
      </c>
    </row>
    <row r="82" spans="1:68" x14ac:dyDescent="0.2">
      <c r="A82" s="285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6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68">
        <f>IFERROR(SUM(X80:X81),"0")</f>
        <v>210</v>
      </c>
      <c r="Y82" s="268">
        <f>IFERROR(SUM(Y80:Y81),"0")</f>
        <v>210</v>
      </c>
      <c r="Z82" s="268">
        <f>IFERROR(IF(Z80="",0,Z80),"0")+IFERROR(IF(Z81="",0,Z81),"0")</f>
        <v>3.7548000000000004</v>
      </c>
      <c r="AA82" s="269"/>
      <c r="AB82" s="269"/>
      <c r="AC82" s="269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6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68">
        <f>IFERROR(SUMPRODUCT(X80:X81*H80:H81),"0")</f>
        <v>756</v>
      </c>
      <c r="Y83" s="268">
        <f>IFERROR(SUMPRODUCT(Y80:Y81*H80:H81),"0")</f>
        <v>756</v>
      </c>
      <c r="Z83" s="37"/>
      <c r="AA83" s="269"/>
      <c r="AB83" s="269"/>
      <c r="AC83" s="269"/>
    </row>
    <row r="84" spans="1:68" ht="16.5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1"/>
      <c r="AB84" s="261"/>
      <c r="AC84" s="261"/>
    </row>
    <row r="85" spans="1:68" ht="14.25" customHeight="1" x14ac:dyDescent="0.25">
      <c r="A85" s="299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0"/>
      <c r="AB85" s="260"/>
      <c r="AC85" s="260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1">
        <v>4620207491027</v>
      </c>
      <c r="E86" s="282"/>
      <c r="F86" s="265">
        <v>0.24</v>
      </c>
      <c r="G86" s="32">
        <v>12</v>
      </c>
      <c r="H86" s="265">
        <v>2.88</v>
      </c>
      <c r="I86" s="265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1"/>
      <c r="R86" s="271"/>
      <c r="S86" s="271"/>
      <c r="T86" s="272"/>
      <c r="U86" s="34"/>
      <c r="V86" s="34"/>
      <c r="W86" s="35" t="s">
        <v>69</v>
      </c>
      <c r="X86" s="266">
        <v>42</v>
      </c>
      <c r="Y86" s="267">
        <f t="shared" ref="Y86:Y91" si="0">IFERROR(IF(X86="","",X86),"")</f>
        <v>42</v>
      </c>
      <c r="Z86" s="36">
        <f t="shared" ref="Z86:Z91" si="1">IFERROR(IF(X86="","",X86*0.01788),"")</f>
        <v>0.75095999999999996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150.5112</v>
      </c>
      <c r="BN86" s="67">
        <f t="shared" ref="BN86:BN91" si="3">IFERROR(Y86*I86,"0")</f>
        <v>150.5112</v>
      </c>
      <c r="BO86" s="67">
        <f t="shared" ref="BO86:BO91" si="4">IFERROR(X86/J86,"0")</f>
        <v>0.6</v>
      </c>
      <c r="BP86" s="67">
        <f t="shared" ref="BP86:BP91" si="5">IFERROR(Y86/J86,"0")</f>
        <v>0.6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1">
        <v>4620207491003</v>
      </c>
      <c r="E87" s="282"/>
      <c r="F87" s="265">
        <v>0.24</v>
      </c>
      <c r="G87" s="32">
        <v>12</v>
      </c>
      <c r="H87" s="265">
        <v>2.88</v>
      </c>
      <c r="I87" s="265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1"/>
      <c r="R87" s="271"/>
      <c r="S87" s="271"/>
      <c r="T87" s="272"/>
      <c r="U87" s="34"/>
      <c r="V87" s="34"/>
      <c r="W87" s="35" t="s">
        <v>69</v>
      </c>
      <c r="X87" s="266">
        <v>42</v>
      </c>
      <c r="Y87" s="267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1">
        <v>4620207491034</v>
      </c>
      <c r="E88" s="282"/>
      <c r="F88" s="265">
        <v>0.24</v>
      </c>
      <c r="G88" s="32">
        <v>12</v>
      </c>
      <c r="H88" s="265">
        <v>2.88</v>
      </c>
      <c r="I88" s="265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1"/>
      <c r="R88" s="271"/>
      <c r="S88" s="271"/>
      <c r="T88" s="272"/>
      <c r="U88" s="34"/>
      <c r="V88" s="34"/>
      <c r="W88" s="35" t="s">
        <v>69</v>
      </c>
      <c r="X88" s="266">
        <v>0</v>
      </c>
      <c r="Y88" s="267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1">
        <v>4620207491010</v>
      </c>
      <c r="E89" s="282"/>
      <c r="F89" s="265">
        <v>0.24</v>
      </c>
      <c r="G89" s="32">
        <v>12</v>
      </c>
      <c r="H89" s="265">
        <v>2.88</v>
      </c>
      <c r="I89" s="265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1"/>
      <c r="R89" s="271"/>
      <c r="S89" s="271"/>
      <c r="T89" s="272"/>
      <c r="U89" s="34"/>
      <c r="V89" s="34"/>
      <c r="W89" s="35" t="s">
        <v>69</v>
      </c>
      <c r="X89" s="266">
        <v>126</v>
      </c>
      <c r="Y89" s="267">
        <f t="shared" si="0"/>
        <v>126</v>
      </c>
      <c r="Z89" s="36">
        <f t="shared" si="1"/>
        <v>2.2528800000000002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451.53360000000004</v>
      </c>
      <c r="BN89" s="67">
        <f t="shared" si="3"/>
        <v>451.53360000000004</v>
      </c>
      <c r="BO89" s="67">
        <f t="shared" si="4"/>
        <v>1.8</v>
      </c>
      <c r="BP89" s="67">
        <f t="shared" si="5"/>
        <v>1.8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1">
        <v>4607111035028</v>
      </c>
      <c r="E90" s="282"/>
      <c r="F90" s="265">
        <v>0.48</v>
      </c>
      <c r="G90" s="32">
        <v>8</v>
      </c>
      <c r="H90" s="265">
        <v>3.84</v>
      </c>
      <c r="I90" s="265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1"/>
      <c r="R90" s="271"/>
      <c r="S90" s="271"/>
      <c r="T90" s="272"/>
      <c r="U90" s="34"/>
      <c r="V90" s="34"/>
      <c r="W90" s="35" t="s">
        <v>69</v>
      </c>
      <c r="X90" s="266">
        <v>28</v>
      </c>
      <c r="Y90" s="267">
        <f t="shared" si="0"/>
        <v>28</v>
      </c>
      <c r="Z90" s="36">
        <f t="shared" si="1"/>
        <v>0.50063999999999997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124.56640000000002</v>
      </c>
      <c r="BN90" s="67">
        <f t="shared" si="3"/>
        <v>124.56640000000002</v>
      </c>
      <c r="BO90" s="67">
        <f t="shared" si="4"/>
        <v>0.4</v>
      </c>
      <c r="BP90" s="67">
        <f t="shared" si="5"/>
        <v>0.4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1">
        <v>4607111036407</v>
      </c>
      <c r="E91" s="282"/>
      <c r="F91" s="265">
        <v>0.3</v>
      </c>
      <c r="G91" s="32">
        <v>14</v>
      </c>
      <c r="H91" s="265">
        <v>4.2</v>
      </c>
      <c r="I91" s="265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1"/>
      <c r="R91" s="271"/>
      <c r="S91" s="271"/>
      <c r="T91" s="272"/>
      <c r="U91" s="34"/>
      <c r="V91" s="34"/>
      <c r="W91" s="35" t="s">
        <v>69</v>
      </c>
      <c r="X91" s="266">
        <v>0</v>
      </c>
      <c r="Y91" s="267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5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6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68">
        <f>IFERROR(SUM(X86:X91),"0")</f>
        <v>238</v>
      </c>
      <c r="Y92" s="268">
        <f>IFERROR(SUM(Y86:Y91),"0")</f>
        <v>238</v>
      </c>
      <c r="Z92" s="268">
        <f>IFERROR(IF(Z86="",0,Z86),"0")+IFERROR(IF(Z87="",0,Z87),"0")+IFERROR(IF(Z88="",0,Z88),"0")+IFERROR(IF(Z89="",0,Z89),"0")+IFERROR(IF(Z90="",0,Z90),"0")+IFERROR(IF(Z91="",0,Z91),"0")</f>
        <v>4.2554400000000001</v>
      </c>
      <c r="AA92" s="269"/>
      <c r="AB92" s="269"/>
      <c r="AC92" s="269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6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68">
        <f>IFERROR(SUMPRODUCT(X86:X91*H86:H91),"0")</f>
        <v>712.31999999999994</v>
      </c>
      <c r="Y93" s="268">
        <f>IFERROR(SUMPRODUCT(Y86:Y91*H86:H91),"0")</f>
        <v>712.31999999999994</v>
      </c>
      <c r="Z93" s="37"/>
      <c r="AA93" s="269"/>
      <c r="AB93" s="269"/>
      <c r="AC93" s="269"/>
    </row>
    <row r="94" spans="1:68" ht="16.5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1"/>
      <c r="AB94" s="261"/>
      <c r="AC94" s="261"/>
    </row>
    <row r="95" spans="1:68" ht="14.25" customHeight="1" x14ac:dyDescent="0.25">
      <c r="A95" s="299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0"/>
      <c r="AB95" s="260"/>
      <c r="AC95" s="260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1">
        <v>4607025784012</v>
      </c>
      <c r="E96" s="282"/>
      <c r="F96" s="265">
        <v>0.09</v>
      </c>
      <c r="G96" s="32">
        <v>24</v>
      </c>
      <c r="H96" s="265">
        <v>2.16</v>
      </c>
      <c r="I96" s="265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1"/>
      <c r="R96" s="271"/>
      <c r="S96" s="271"/>
      <c r="T96" s="272"/>
      <c r="U96" s="34"/>
      <c r="V96" s="34"/>
      <c r="W96" s="35" t="s">
        <v>69</v>
      </c>
      <c r="X96" s="266">
        <v>0</v>
      </c>
      <c r="Y96" s="267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1">
        <v>4607025784319</v>
      </c>
      <c r="E97" s="282"/>
      <c r="F97" s="265">
        <v>0.36</v>
      </c>
      <c r="G97" s="32">
        <v>10</v>
      </c>
      <c r="H97" s="265">
        <v>3.6</v>
      </c>
      <c r="I97" s="265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2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1"/>
      <c r="R97" s="271"/>
      <c r="S97" s="271"/>
      <c r="T97" s="272"/>
      <c r="U97" s="34"/>
      <c r="V97" s="34"/>
      <c r="W97" s="35" t="s">
        <v>69</v>
      </c>
      <c r="X97" s="266">
        <v>0</v>
      </c>
      <c r="Y97" s="267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5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6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68">
        <f>IFERROR(SUM(X96:X97),"0")</f>
        <v>0</v>
      </c>
      <c r="Y98" s="268">
        <f>IFERROR(SUM(Y96:Y97),"0")</f>
        <v>0</v>
      </c>
      <c r="Z98" s="268">
        <f>IFERROR(IF(Z96="",0,Z96),"0")+IFERROR(IF(Z97="",0,Z97),"0")</f>
        <v>0</v>
      </c>
      <c r="AA98" s="269"/>
      <c r="AB98" s="269"/>
      <c r="AC98" s="269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6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68">
        <f>IFERROR(SUMPRODUCT(X96:X97*H96:H97),"0")</f>
        <v>0</v>
      </c>
      <c r="Y99" s="268">
        <f>IFERROR(SUMPRODUCT(Y96:Y97*H96:H97),"0")</f>
        <v>0</v>
      </c>
      <c r="Z99" s="37"/>
      <c r="AA99" s="269"/>
      <c r="AB99" s="269"/>
      <c r="AC99" s="269"/>
    </row>
    <row r="100" spans="1:68" ht="16.5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1"/>
      <c r="AB100" s="261"/>
      <c r="AC100" s="261"/>
    </row>
    <row r="101" spans="1:68" ht="14.25" customHeight="1" x14ac:dyDescent="0.25">
      <c r="A101" s="299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0"/>
      <c r="AB101" s="260"/>
      <c r="AC101" s="260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1">
        <v>4620207491157</v>
      </c>
      <c r="E102" s="282"/>
      <c r="F102" s="265">
        <v>0.7</v>
      </c>
      <c r="G102" s="32">
        <v>10</v>
      </c>
      <c r="H102" s="265">
        <v>7</v>
      </c>
      <c r="I102" s="265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1"/>
      <c r="R102" s="271"/>
      <c r="S102" s="271"/>
      <c r="T102" s="272"/>
      <c r="U102" s="34"/>
      <c r="V102" s="34"/>
      <c r="W102" s="35" t="s">
        <v>69</v>
      </c>
      <c r="X102" s="266">
        <v>0</v>
      </c>
      <c r="Y102" s="267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1">
        <v>4607111039262</v>
      </c>
      <c r="E103" s="282"/>
      <c r="F103" s="265">
        <v>0.4</v>
      </c>
      <c r="G103" s="32">
        <v>16</v>
      </c>
      <c r="H103" s="265">
        <v>6.4</v>
      </c>
      <c r="I103" s="265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1"/>
      <c r="R103" s="271"/>
      <c r="S103" s="271"/>
      <c r="T103" s="272"/>
      <c r="U103" s="34"/>
      <c r="V103" s="34"/>
      <c r="W103" s="35" t="s">
        <v>69</v>
      </c>
      <c r="X103" s="266">
        <v>72</v>
      </c>
      <c r="Y103" s="267">
        <f t="shared" si="6"/>
        <v>72</v>
      </c>
      <c r="Z103" s="36">
        <f t="shared" si="7"/>
        <v>1.1160000000000001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483.81119999999999</v>
      </c>
      <c r="BN103" s="67">
        <f t="shared" si="9"/>
        <v>483.81119999999999</v>
      </c>
      <c r="BO103" s="67">
        <f t="shared" si="10"/>
        <v>0.8571428571428571</v>
      </c>
      <c r="BP103" s="67">
        <f t="shared" si="11"/>
        <v>0.8571428571428571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1">
        <v>4607111039248</v>
      </c>
      <c r="E104" s="282"/>
      <c r="F104" s="265">
        <v>0.7</v>
      </c>
      <c r="G104" s="32">
        <v>10</v>
      </c>
      <c r="H104" s="265">
        <v>7</v>
      </c>
      <c r="I104" s="265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1"/>
      <c r="R104" s="271"/>
      <c r="S104" s="271"/>
      <c r="T104" s="272"/>
      <c r="U104" s="34"/>
      <c r="V104" s="34"/>
      <c r="W104" s="35" t="s">
        <v>69</v>
      </c>
      <c r="X104" s="266">
        <v>84</v>
      </c>
      <c r="Y104" s="267">
        <f t="shared" si="6"/>
        <v>84</v>
      </c>
      <c r="Z104" s="36">
        <f t="shared" si="7"/>
        <v>1.302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613.19999999999993</v>
      </c>
      <c r="BN104" s="67">
        <f t="shared" si="9"/>
        <v>613.19999999999993</v>
      </c>
      <c r="BO104" s="67">
        <f t="shared" si="10"/>
        <v>1</v>
      </c>
      <c r="BP104" s="67">
        <f t="shared" si="11"/>
        <v>1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1">
        <v>4607111037145</v>
      </c>
      <c r="E105" s="282"/>
      <c r="F105" s="265">
        <v>0.8</v>
      </c>
      <c r="G105" s="32">
        <v>8</v>
      </c>
      <c r="H105" s="265">
        <v>6.4</v>
      </c>
      <c r="I105" s="265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1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1"/>
      <c r="R105" s="271"/>
      <c r="S105" s="271"/>
      <c r="T105" s="272"/>
      <c r="U105" s="34"/>
      <c r="V105" s="34"/>
      <c r="W105" s="35" t="s">
        <v>69</v>
      </c>
      <c r="X105" s="266">
        <v>0</v>
      </c>
      <c r="Y105" s="267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1">
        <v>4607111039293</v>
      </c>
      <c r="E106" s="282"/>
      <c r="F106" s="265">
        <v>0.4</v>
      </c>
      <c r="G106" s="32">
        <v>16</v>
      </c>
      <c r="H106" s="265">
        <v>6.4</v>
      </c>
      <c r="I106" s="265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1"/>
      <c r="R106" s="271"/>
      <c r="S106" s="271"/>
      <c r="T106" s="272"/>
      <c r="U106" s="34"/>
      <c r="V106" s="34"/>
      <c r="W106" s="35" t="s">
        <v>69</v>
      </c>
      <c r="X106" s="266">
        <v>108</v>
      </c>
      <c r="Y106" s="267">
        <f t="shared" si="6"/>
        <v>108</v>
      </c>
      <c r="Z106" s="36">
        <f t="shared" si="7"/>
        <v>1.6739999999999999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725.71679999999992</v>
      </c>
      <c r="BN106" s="67">
        <f t="shared" si="9"/>
        <v>725.71679999999992</v>
      </c>
      <c r="BO106" s="67">
        <f t="shared" si="10"/>
        <v>1.2857142857142858</v>
      </c>
      <c r="BP106" s="67">
        <f t="shared" si="11"/>
        <v>1.2857142857142858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1">
        <v>4607111039279</v>
      </c>
      <c r="E107" s="282"/>
      <c r="F107" s="265">
        <v>0.7</v>
      </c>
      <c r="G107" s="32">
        <v>10</v>
      </c>
      <c r="H107" s="265">
        <v>7</v>
      </c>
      <c r="I107" s="265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1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1"/>
      <c r="R107" s="271"/>
      <c r="S107" s="271"/>
      <c r="T107" s="272"/>
      <c r="U107" s="34"/>
      <c r="V107" s="34"/>
      <c r="W107" s="35" t="s">
        <v>69</v>
      </c>
      <c r="X107" s="266">
        <v>144</v>
      </c>
      <c r="Y107" s="267">
        <f t="shared" si="6"/>
        <v>144</v>
      </c>
      <c r="Z107" s="36">
        <f t="shared" si="7"/>
        <v>2.2320000000000002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1051.2</v>
      </c>
      <c r="BN107" s="67">
        <f t="shared" si="9"/>
        <v>1051.2</v>
      </c>
      <c r="BO107" s="67">
        <f t="shared" si="10"/>
        <v>1.7142857142857142</v>
      </c>
      <c r="BP107" s="67">
        <f t="shared" si="11"/>
        <v>1.7142857142857142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1">
        <v>4607111037435</v>
      </c>
      <c r="E108" s="282"/>
      <c r="F108" s="265">
        <v>0.8</v>
      </c>
      <c r="G108" s="32">
        <v>8</v>
      </c>
      <c r="H108" s="265">
        <v>6.4</v>
      </c>
      <c r="I108" s="265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8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1"/>
      <c r="R108" s="271"/>
      <c r="S108" s="271"/>
      <c r="T108" s="272"/>
      <c r="U108" s="34"/>
      <c r="V108" s="34"/>
      <c r="W108" s="35" t="s">
        <v>69</v>
      </c>
      <c r="X108" s="266">
        <v>0</v>
      </c>
      <c r="Y108" s="267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5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6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68">
        <f>IFERROR(SUM(X102:X108),"0")</f>
        <v>408</v>
      </c>
      <c r="Y109" s="268">
        <f>IFERROR(SUM(Y102:Y108),"0")</f>
        <v>408</v>
      </c>
      <c r="Z109" s="268">
        <f>IFERROR(IF(Z102="",0,Z102),"0")+IFERROR(IF(Z103="",0,Z103),"0")+IFERROR(IF(Z104="",0,Z104),"0")+IFERROR(IF(Z105="",0,Z105),"0")+IFERROR(IF(Z106="",0,Z106),"0")+IFERROR(IF(Z107="",0,Z107),"0")+IFERROR(IF(Z108="",0,Z108),"0")</f>
        <v>6.3240000000000007</v>
      </c>
      <c r="AA109" s="269"/>
      <c r="AB109" s="269"/>
      <c r="AC109" s="269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6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68">
        <f>IFERROR(SUMPRODUCT(X102:X108*H102:H108),"0")</f>
        <v>2748</v>
      </c>
      <c r="Y110" s="268">
        <f>IFERROR(SUMPRODUCT(Y102:Y108*H102:H108),"0")</f>
        <v>2748</v>
      </c>
      <c r="Z110" s="37"/>
      <c r="AA110" s="269"/>
      <c r="AB110" s="269"/>
      <c r="AC110" s="269"/>
    </row>
    <row r="111" spans="1:68" ht="14.25" customHeight="1" x14ac:dyDescent="0.25">
      <c r="A111" s="299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0"/>
      <c r="AB111" s="260"/>
      <c r="AC111" s="260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1">
        <v>4620207490983</v>
      </c>
      <c r="E112" s="282"/>
      <c r="F112" s="265">
        <v>0.22</v>
      </c>
      <c r="G112" s="32">
        <v>12</v>
      </c>
      <c r="H112" s="265">
        <v>2.64</v>
      </c>
      <c r="I112" s="265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1"/>
      <c r="R112" s="271"/>
      <c r="S112" s="271"/>
      <c r="T112" s="272"/>
      <c r="U112" s="34"/>
      <c r="V112" s="34"/>
      <c r="W112" s="35" t="s">
        <v>69</v>
      </c>
      <c r="X112" s="266">
        <v>0</v>
      </c>
      <c r="Y112" s="267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5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6"/>
      <c r="P113" s="276" t="s">
        <v>72</v>
      </c>
      <c r="Q113" s="277"/>
      <c r="R113" s="277"/>
      <c r="S113" s="277"/>
      <c r="T113" s="277"/>
      <c r="U113" s="277"/>
      <c r="V113" s="278"/>
      <c r="W113" s="37" t="s">
        <v>69</v>
      </c>
      <c r="X113" s="268">
        <f>IFERROR(SUM(X112:X112),"0")</f>
        <v>0</v>
      </c>
      <c r="Y113" s="268">
        <f>IFERROR(SUM(Y112:Y112),"0")</f>
        <v>0</v>
      </c>
      <c r="Z113" s="268">
        <f>IFERROR(IF(Z112="",0,Z112),"0")</f>
        <v>0</v>
      </c>
      <c r="AA113" s="269"/>
      <c r="AB113" s="269"/>
      <c r="AC113" s="269"/>
    </row>
    <row r="114" spans="1:68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6"/>
      <c r="P114" s="276" t="s">
        <v>72</v>
      </c>
      <c r="Q114" s="277"/>
      <c r="R114" s="277"/>
      <c r="S114" s="277"/>
      <c r="T114" s="277"/>
      <c r="U114" s="277"/>
      <c r="V114" s="278"/>
      <c r="W114" s="37" t="s">
        <v>73</v>
      </c>
      <c r="X114" s="268">
        <f>IFERROR(SUMPRODUCT(X112:X112*H112:H112),"0")</f>
        <v>0</v>
      </c>
      <c r="Y114" s="268">
        <f>IFERROR(SUMPRODUCT(Y112:Y112*H112:H112),"0")</f>
        <v>0</v>
      </c>
      <c r="Z114" s="37"/>
      <c r="AA114" s="269"/>
      <c r="AB114" s="269"/>
      <c r="AC114" s="269"/>
    </row>
    <row r="115" spans="1:68" ht="14.25" customHeight="1" x14ac:dyDescent="0.25">
      <c r="A115" s="299" t="s">
        <v>189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0"/>
      <c r="AB115" s="260"/>
      <c r="AC115" s="260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1">
        <v>4620207491140</v>
      </c>
      <c r="E116" s="282"/>
      <c r="F116" s="265">
        <v>0.6</v>
      </c>
      <c r="G116" s="32">
        <v>10</v>
      </c>
      <c r="H116" s="265">
        <v>6</v>
      </c>
      <c r="I116" s="265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1"/>
      <c r="R116" s="271"/>
      <c r="S116" s="271"/>
      <c r="T116" s="272"/>
      <c r="U116" s="34"/>
      <c r="V116" s="34"/>
      <c r="W116" s="35" t="s">
        <v>69</v>
      </c>
      <c r="X116" s="266">
        <v>0</v>
      </c>
      <c r="Y116" s="267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5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6"/>
      <c r="P117" s="276" t="s">
        <v>72</v>
      </c>
      <c r="Q117" s="277"/>
      <c r="R117" s="277"/>
      <c r="S117" s="277"/>
      <c r="T117" s="277"/>
      <c r="U117" s="277"/>
      <c r="V117" s="278"/>
      <c r="W117" s="37" t="s">
        <v>69</v>
      </c>
      <c r="X117" s="268">
        <f>IFERROR(SUM(X116:X116),"0")</f>
        <v>0</v>
      </c>
      <c r="Y117" s="268">
        <f>IFERROR(SUM(Y116:Y116),"0")</f>
        <v>0</v>
      </c>
      <c r="Z117" s="268">
        <f>IFERROR(IF(Z116="",0,Z116),"0")</f>
        <v>0</v>
      </c>
      <c r="AA117" s="269"/>
      <c r="AB117" s="269"/>
      <c r="AC117" s="269"/>
    </row>
    <row r="118" spans="1:68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6"/>
      <c r="P118" s="276" t="s">
        <v>72</v>
      </c>
      <c r="Q118" s="277"/>
      <c r="R118" s="277"/>
      <c r="S118" s="277"/>
      <c r="T118" s="277"/>
      <c r="U118" s="277"/>
      <c r="V118" s="278"/>
      <c r="W118" s="37" t="s">
        <v>73</v>
      </c>
      <c r="X118" s="268">
        <f>IFERROR(SUMPRODUCT(X116:X116*H116:H116),"0")</f>
        <v>0</v>
      </c>
      <c r="Y118" s="268">
        <f>IFERROR(SUMPRODUCT(Y116:Y116*H116:H116),"0")</f>
        <v>0</v>
      </c>
      <c r="Z118" s="37"/>
      <c r="AA118" s="269"/>
      <c r="AB118" s="269"/>
      <c r="AC118" s="269"/>
    </row>
    <row r="119" spans="1:68" ht="16.5" customHeight="1" x14ac:dyDescent="0.25">
      <c r="A119" s="279" t="s">
        <v>193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1"/>
      <c r="AB119" s="261"/>
      <c r="AC119" s="261"/>
    </row>
    <row r="120" spans="1:68" ht="14.25" customHeight="1" x14ac:dyDescent="0.25">
      <c r="A120" s="299" t="s">
        <v>120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0"/>
      <c r="AB120" s="260"/>
      <c r="AC120" s="260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1">
        <v>4607111034014</v>
      </c>
      <c r="E121" s="282"/>
      <c r="F121" s="265">
        <v>0.25</v>
      </c>
      <c r="G121" s="32">
        <v>12</v>
      </c>
      <c r="H121" s="265">
        <v>3</v>
      </c>
      <c r="I121" s="265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1"/>
      <c r="R121" s="271"/>
      <c r="S121" s="271"/>
      <c r="T121" s="272"/>
      <c r="U121" s="34"/>
      <c r="V121" s="34"/>
      <c r="W121" s="35" t="s">
        <v>69</v>
      </c>
      <c r="X121" s="266">
        <v>140</v>
      </c>
      <c r="Y121" s="267">
        <f>IFERROR(IF(X121="","",X121),"")</f>
        <v>140</v>
      </c>
      <c r="Z121" s="36">
        <f>IFERROR(IF(X121="","",X121*0.01788),"")</f>
        <v>2.5032000000000001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518.50400000000002</v>
      </c>
      <c r="BN121" s="67">
        <f>IFERROR(Y121*I121,"0")</f>
        <v>518.50400000000002</v>
      </c>
      <c r="BO121" s="67">
        <f>IFERROR(X121/J121,"0")</f>
        <v>2</v>
      </c>
      <c r="BP121" s="67">
        <f>IFERROR(Y121/J121,"0")</f>
        <v>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1">
        <v>4607111033994</v>
      </c>
      <c r="E122" s="282"/>
      <c r="F122" s="265">
        <v>0.25</v>
      </c>
      <c r="G122" s="32">
        <v>12</v>
      </c>
      <c r="H122" s="265">
        <v>3</v>
      </c>
      <c r="I122" s="265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1"/>
      <c r="R122" s="271"/>
      <c r="S122" s="271"/>
      <c r="T122" s="272"/>
      <c r="U122" s="34"/>
      <c r="V122" s="34"/>
      <c r="W122" s="35" t="s">
        <v>69</v>
      </c>
      <c r="X122" s="266">
        <v>112</v>
      </c>
      <c r="Y122" s="267">
        <f>IFERROR(IF(X122="","",X122),"")</f>
        <v>112</v>
      </c>
      <c r="Z122" s="36">
        <f>IFERROR(IF(X122="","",X122*0.01788),"")</f>
        <v>2.0025599999999999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414.80319999999995</v>
      </c>
      <c r="BN122" s="67">
        <f>IFERROR(Y122*I122,"0")</f>
        <v>414.80319999999995</v>
      </c>
      <c r="BO122" s="67">
        <f>IFERROR(X122/J122,"0")</f>
        <v>1.6</v>
      </c>
      <c r="BP122" s="67">
        <f>IFERROR(Y122/J122,"0")</f>
        <v>1.6</v>
      </c>
    </row>
    <row r="123" spans="1:68" x14ac:dyDescent="0.2">
      <c r="A123" s="285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6"/>
      <c r="P123" s="276" t="s">
        <v>72</v>
      </c>
      <c r="Q123" s="277"/>
      <c r="R123" s="277"/>
      <c r="S123" s="277"/>
      <c r="T123" s="277"/>
      <c r="U123" s="277"/>
      <c r="V123" s="278"/>
      <c r="W123" s="37" t="s">
        <v>69</v>
      </c>
      <c r="X123" s="268">
        <f>IFERROR(SUM(X121:X122),"0")</f>
        <v>252</v>
      </c>
      <c r="Y123" s="268">
        <f>IFERROR(SUM(Y121:Y122),"0")</f>
        <v>252</v>
      </c>
      <c r="Z123" s="268">
        <f>IFERROR(IF(Z121="",0,Z121),"0")+IFERROR(IF(Z122="",0,Z122),"0")</f>
        <v>4.5057600000000004</v>
      </c>
      <c r="AA123" s="269"/>
      <c r="AB123" s="269"/>
      <c r="AC123" s="269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6"/>
      <c r="P124" s="276" t="s">
        <v>72</v>
      </c>
      <c r="Q124" s="277"/>
      <c r="R124" s="277"/>
      <c r="S124" s="277"/>
      <c r="T124" s="277"/>
      <c r="U124" s="277"/>
      <c r="V124" s="278"/>
      <c r="W124" s="37" t="s">
        <v>73</v>
      </c>
      <c r="X124" s="268">
        <f>IFERROR(SUMPRODUCT(X121:X122*H121:H122),"0")</f>
        <v>756</v>
      </c>
      <c r="Y124" s="268">
        <f>IFERROR(SUMPRODUCT(Y121:Y122*H121:H122),"0")</f>
        <v>756</v>
      </c>
      <c r="Z124" s="37"/>
      <c r="AA124" s="269"/>
      <c r="AB124" s="269"/>
      <c r="AC124" s="269"/>
    </row>
    <row r="125" spans="1:68" ht="16.5" customHeight="1" x14ac:dyDescent="0.25">
      <c r="A125" s="279" t="s">
        <v>201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1"/>
      <c r="AB125" s="261"/>
      <c r="AC125" s="261"/>
    </row>
    <row r="126" spans="1:68" ht="14.25" customHeight="1" x14ac:dyDescent="0.25">
      <c r="A126" s="299" t="s">
        <v>120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0"/>
      <c r="AB126" s="260"/>
      <c r="AC126" s="260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1">
        <v>4607111039095</v>
      </c>
      <c r="E127" s="282"/>
      <c r="F127" s="265">
        <v>0.25</v>
      </c>
      <c r="G127" s="32">
        <v>12</v>
      </c>
      <c r="H127" s="265">
        <v>3</v>
      </c>
      <c r="I127" s="265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1"/>
      <c r="R127" s="271"/>
      <c r="S127" s="271"/>
      <c r="T127" s="272"/>
      <c r="U127" s="34"/>
      <c r="V127" s="34"/>
      <c r="W127" s="35" t="s">
        <v>69</v>
      </c>
      <c r="X127" s="266">
        <v>0</v>
      </c>
      <c r="Y127" s="267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1">
        <v>4607111034199</v>
      </c>
      <c r="E128" s="282"/>
      <c r="F128" s="265">
        <v>0.25</v>
      </c>
      <c r="G128" s="32">
        <v>12</v>
      </c>
      <c r="H128" s="265">
        <v>3</v>
      </c>
      <c r="I128" s="265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1"/>
      <c r="R128" s="271"/>
      <c r="S128" s="271"/>
      <c r="T128" s="272"/>
      <c r="U128" s="34"/>
      <c r="V128" s="34"/>
      <c r="W128" s="35" t="s">
        <v>69</v>
      </c>
      <c r="X128" s="266">
        <v>70</v>
      </c>
      <c r="Y128" s="267">
        <f>IFERROR(IF(X128="","",X128),"")</f>
        <v>70</v>
      </c>
      <c r="Z128" s="36">
        <f>IFERROR(IF(X128="","",X128*0.01788),"")</f>
        <v>1.2516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259.25200000000001</v>
      </c>
      <c r="BN128" s="67">
        <f>IFERROR(Y128*I128,"0")</f>
        <v>259.25200000000001</v>
      </c>
      <c r="BO128" s="67">
        <f>IFERROR(X128/J128,"0")</f>
        <v>1</v>
      </c>
      <c r="BP128" s="67">
        <f>IFERROR(Y128/J128,"0")</f>
        <v>1</v>
      </c>
    </row>
    <row r="129" spans="1:68" x14ac:dyDescent="0.2">
      <c r="A129" s="285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6"/>
      <c r="P129" s="276" t="s">
        <v>72</v>
      </c>
      <c r="Q129" s="277"/>
      <c r="R129" s="277"/>
      <c r="S129" s="277"/>
      <c r="T129" s="277"/>
      <c r="U129" s="277"/>
      <c r="V129" s="278"/>
      <c r="W129" s="37" t="s">
        <v>69</v>
      </c>
      <c r="X129" s="268">
        <f>IFERROR(SUM(X127:X128),"0")</f>
        <v>70</v>
      </c>
      <c r="Y129" s="268">
        <f>IFERROR(SUM(Y127:Y128),"0")</f>
        <v>70</v>
      </c>
      <c r="Z129" s="268">
        <f>IFERROR(IF(Z127="",0,Z127),"0")+IFERROR(IF(Z128="",0,Z128),"0")</f>
        <v>1.2516</v>
      </c>
      <c r="AA129" s="269"/>
      <c r="AB129" s="269"/>
      <c r="AC129" s="269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6"/>
      <c r="P130" s="276" t="s">
        <v>72</v>
      </c>
      <c r="Q130" s="277"/>
      <c r="R130" s="277"/>
      <c r="S130" s="277"/>
      <c r="T130" s="277"/>
      <c r="U130" s="277"/>
      <c r="V130" s="278"/>
      <c r="W130" s="37" t="s">
        <v>73</v>
      </c>
      <c r="X130" s="268">
        <f>IFERROR(SUMPRODUCT(X127:X128*H127:H128),"0")</f>
        <v>210</v>
      </c>
      <c r="Y130" s="268">
        <f>IFERROR(SUMPRODUCT(Y127:Y128*H127:H128),"0")</f>
        <v>210</v>
      </c>
      <c r="Z130" s="37"/>
      <c r="AA130" s="269"/>
      <c r="AB130" s="269"/>
      <c r="AC130" s="269"/>
    </row>
    <row r="131" spans="1:68" ht="16.5" customHeight="1" x14ac:dyDescent="0.25">
      <c r="A131" s="279" t="s">
        <v>208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1"/>
      <c r="AB131" s="261"/>
      <c r="AC131" s="261"/>
    </row>
    <row r="132" spans="1:68" ht="14.25" customHeight="1" x14ac:dyDescent="0.25">
      <c r="A132" s="299" t="s">
        <v>120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0"/>
      <c r="AB132" s="260"/>
      <c r="AC132" s="260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1">
        <v>4620207490914</v>
      </c>
      <c r="E133" s="282"/>
      <c r="F133" s="265">
        <v>0.2</v>
      </c>
      <c r="G133" s="32">
        <v>12</v>
      </c>
      <c r="H133" s="265">
        <v>2.4</v>
      </c>
      <c r="I133" s="265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1"/>
      <c r="R133" s="271"/>
      <c r="S133" s="271"/>
      <c r="T133" s="272"/>
      <c r="U133" s="34"/>
      <c r="V133" s="34"/>
      <c r="W133" s="35" t="s">
        <v>69</v>
      </c>
      <c r="X133" s="266">
        <v>42</v>
      </c>
      <c r="Y133" s="267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112.56</v>
      </c>
      <c r="BN133" s="67">
        <f>IFERROR(Y133*I133,"0")</f>
        <v>112.56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1">
        <v>4620207490853</v>
      </c>
      <c r="E134" s="282"/>
      <c r="F134" s="265">
        <v>0.2</v>
      </c>
      <c r="G134" s="32">
        <v>12</v>
      </c>
      <c r="H134" s="265">
        <v>2.4</v>
      </c>
      <c r="I134" s="265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1"/>
      <c r="R134" s="271"/>
      <c r="S134" s="271"/>
      <c r="T134" s="272"/>
      <c r="U134" s="34"/>
      <c r="V134" s="34"/>
      <c r="W134" s="35" t="s">
        <v>69</v>
      </c>
      <c r="X134" s="266">
        <v>28</v>
      </c>
      <c r="Y134" s="267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x14ac:dyDescent="0.2">
      <c r="A135" s="285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6"/>
      <c r="P135" s="276" t="s">
        <v>72</v>
      </c>
      <c r="Q135" s="277"/>
      <c r="R135" s="277"/>
      <c r="S135" s="277"/>
      <c r="T135" s="277"/>
      <c r="U135" s="277"/>
      <c r="V135" s="278"/>
      <c r="W135" s="37" t="s">
        <v>69</v>
      </c>
      <c r="X135" s="268">
        <f>IFERROR(SUM(X133:X134),"0")</f>
        <v>70</v>
      </c>
      <c r="Y135" s="268">
        <f>IFERROR(SUM(Y133:Y134),"0")</f>
        <v>70</v>
      </c>
      <c r="Z135" s="268">
        <f>IFERROR(IF(Z133="",0,Z133),"0")+IFERROR(IF(Z134="",0,Z134),"0")</f>
        <v>1.2515999999999998</v>
      </c>
      <c r="AA135" s="269"/>
      <c r="AB135" s="269"/>
      <c r="AC135" s="269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6"/>
      <c r="P136" s="276" t="s">
        <v>72</v>
      </c>
      <c r="Q136" s="277"/>
      <c r="R136" s="277"/>
      <c r="S136" s="277"/>
      <c r="T136" s="277"/>
      <c r="U136" s="277"/>
      <c r="V136" s="278"/>
      <c r="W136" s="37" t="s">
        <v>73</v>
      </c>
      <c r="X136" s="268">
        <f>IFERROR(SUMPRODUCT(X133:X134*H133:H134),"0")</f>
        <v>168</v>
      </c>
      <c r="Y136" s="268">
        <f>IFERROR(SUMPRODUCT(Y133:Y134*H133:H134),"0")</f>
        <v>168</v>
      </c>
      <c r="Z136" s="37"/>
      <c r="AA136" s="269"/>
      <c r="AB136" s="269"/>
      <c r="AC136" s="269"/>
    </row>
    <row r="137" spans="1:68" ht="16.5" customHeight="1" x14ac:dyDescent="0.25">
      <c r="A137" s="279" t="s">
        <v>213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1"/>
      <c r="AB137" s="261"/>
      <c r="AC137" s="261"/>
    </row>
    <row r="138" spans="1:68" ht="14.25" customHeight="1" x14ac:dyDescent="0.25">
      <c r="A138" s="299" t="s">
        <v>120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0"/>
      <c r="AB138" s="260"/>
      <c r="AC138" s="260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1">
        <v>4607111035806</v>
      </c>
      <c r="E139" s="282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69</v>
      </c>
      <c r="X139" s="266">
        <v>14</v>
      </c>
      <c r="Y139" s="267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85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6"/>
      <c r="P140" s="276" t="s">
        <v>72</v>
      </c>
      <c r="Q140" s="277"/>
      <c r="R140" s="277"/>
      <c r="S140" s="277"/>
      <c r="T140" s="277"/>
      <c r="U140" s="277"/>
      <c r="V140" s="278"/>
      <c r="W140" s="37" t="s">
        <v>69</v>
      </c>
      <c r="X140" s="268">
        <f>IFERROR(SUM(X139:X139),"0")</f>
        <v>14</v>
      </c>
      <c r="Y140" s="268">
        <f>IFERROR(SUM(Y139:Y139),"0")</f>
        <v>14</v>
      </c>
      <c r="Z140" s="268">
        <f>IFERROR(IF(Z139="",0,Z139),"0")</f>
        <v>0.25031999999999999</v>
      </c>
      <c r="AA140" s="269"/>
      <c r="AB140" s="269"/>
      <c r="AC140" s="269"/>
    </row>
    <row r="141" spans="1:68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6"/>
      <c r="P141" s="276" t="s">
        <v>72</v>
      </c>
      <c r="Q141" s="277"/>
      <c r="R141" s="277"/>
      <c r="S141" s="277"/>
      <c r="T141" s="277"/>
      <c r="U141" s="277"/>
      <c r="V141" s="278"/>
      <c r="W141" s="37" t="s">
        <v>73</v>
      </c>
      <c r="X141" s="268">
        <f>IFERROR(SUMPRODUCT(X139:X139*H139:H139),"0")</f>
        <v>42</v>
      </c>
      <c r="Y141" s="268">
        <f>IFERROR(SUMPRODUCT(Y139:Y139*H139:H139),"0")</f>
        <v>42</v>
      </c>
      <c r="Z141" s="37"/>
      <c r="AA141" s="269"/>
      <c r="AB141" s="269"/>
      <c r="AC141" s="269"/>
    </row>
    <row r="142" spans="1:68" ht="16.5" customHeight="1" x14ac:dyDescent="0.25">
      <c r="A142" s="279" t="s">
        <v>217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1"/>
      <c r="AB142" s="261"/>
      <c r="AC142" s="261"/>
    </row>
    <row r="143" spans="1:68" ht="14.25" customHeight="1" x14ac:dyDescent="0.25">
      <c r="A143" s="299" t="s">
        <v>120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0"/>
      <c r="AB143" s="260"/>
      <c r="AC143" s="260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1">
        <v>4607111039613</v>
      </c>
      <c r="E144" s="282"/>
      <c r="F144" s="265">
        <v>0.09</v>
      </c>
      <c r="G144" s="32">
        <v>30</v>
      </c>
      <c r="H144" s="265">
        <v>2.7</v>
      </c>
      <c r="I144" s="265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1"/>
      <c r="R144" s="271"/>
      <c r="S144" s="271"/>
      <c r="T144" s="272"/>
      <c r="U144" s="34"/>
      <c r="V144" s="34"/>
      <c r="W144" s="35" t="s">
        <v>69</v>
      </c>
      <c r="X144" s="266">
        <v>0</v>
      </c>
      <c r="Y144" s="267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5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6"/>
      <c r="P145" s="276" t="s">
        <v>72</v>
      </c>
      <c r="Q145" s="277"/>
      <c r="R145" s="277"/>
      <c r="S145" s="277"/>
      <c r="T145" s="277"/>
      <c r="U145" s="277"/>
      <c r="V145" s="278"/>
      <c r="W145" s="37" t="s">
        <v>69</v>
      </c>
      <c r="X145" s="268">
        <f>IFERROR(SUM(X144:X144),"0")</f>
        <v>0</v>
      </c>
      <c r="Y145" s="268">
        <f>IFERROR(SUM(Y144:Y144),"0")</f>
        <v>0</v>
      </c>
      <c r="Z145" s="268">
        <f>IFERROR(IF(Z144="",0,Z144),"0")</f>
        <v>0</v>
      </c>
      <c r="AA145" s="269"/>
      <c r="AB145" s="269"/>
      <c r="AC145" s="269"/>
    </row>
    <row r="146" spans="1:68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6"/>
      <c r="P146" s="276" t="s">
        <v>72</v>
      </c>
      <c r="Q146" s="277"/>
      <c r="R146" s="277"/>
      <c r="S146" s="277"/>
      <c r="T146" s="277"/>
      <c r="U146" s="277"/>
      <c r="V146" s="278"/>
      <c r="W146" s="37" t="s">
        <v>73</v>
      </c>
      <c r="X146" s="268">
        <f>IFERROR(SUMPRODUCT(X144:X144*H144:H144),"0")</f>
        <v>0</v>
      </c>
      <c r="Y146" s="268">
        <f>IFERROR(SUMPRODUCT(Y144:Y144*H144:H144),"0")</f>
        <v>0</v>
      </c>
      <c r="Z146" s="37"/>
      <c r="AA146" s="269"/>
      <c r="AB146" s="269"/>
      <c r="AC146" s="269"/>
    </row>
    <row r="147" spans="1:68" ht="16.5" customHeight="1" x14ac:dyDescent="0.25">
      <c r="A147" s="279" t="s">
        <v>220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1"/>
      <c r="AB147" s="261"/>
      <c r="AC147" s="261"/>
    </row>
    <row r="148" spans="1:68" ht="14.25" customHeight="1" x14ac:dyDescent="0.25">
      <c r="A148" s="299" t="s">
        <v>189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0"/>
      <c r="AB148" s="260"/>
      <c r="AC148" s="260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1">
        <v>4607111035646</v>
      </c>
      <c r="E149" s="282"/>
      <c r="F149" s="265">
        <v>0.2</v>
      </c>
      <c r="G149" s="32">
        <v>8</v>
      </c>
      <c r="H149" s="265">
        <v>1.6</v>
      </c>
      <c r="I149" s="265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1"/>
      <c r="R149" s="271"/>
      <c r="S149" s="271"/>
      <c r="T149" s="272"/>
      <c r="U149" s="34"/>
      <c r="V149" s="34"/>
      <c r="W149" s="35" t="s">
        <v>69</v>
      </c>
      <c r="X149" s="266">
        <v>0</v>
      </c>
      <c r="Y149" s="267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5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6"/>
      <c r="P150" s="276" t="s">
        <v>72</v>
      </c>
      <c r="Q150" s="277"/>
      <c r="R150" s="277"/>
      <c r="S150" s="277"/>
      <c r="T150" s="277"/>
      <c r="U150" s="277"/>
      <c r="V150" s="278"/>
      <c r="W150" s="37" t="s">
        <v>69</v>
      </c>
      <c r="X150" s="268">
        <f>IFERROR(SUM(X149:X149),"0")</f>
        <v>0</v>
      </c>
      <c r="Y150" s="268">
        <f>IFERROR(SUM(Y149:Y149),"0")</f>
        <v>0</v>
      </c>
      <c r="Z150" s="268">
        <f>IFERROR(IF(Z149="",0,Z149),"0")</f>
        <v>0</v>
      </c>
      <c r="AA150" s="269"/>
      <c r="AB150" s="269"/>
      <c r="AC150" s="269"/>
    </row>
    <row r="151" spans="1:68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6"/>
      <c r="P151" s="276" t="s">
        <v>72</v>
      </c>
      <c r="Q151" s="277"/>
      <c r="R151" s="277"/>
      <c r="S151" s="277"/>
      <c r="T151" s="277"/>
      <c r="U151" s="277"/>
      <c r="V151" s="278"/>
      <c r="W151" s="37" t="s">
        <v>73</v>
      </c>
      <c r="X151" s="268">
        <f>IFERROR(SUMPRODUCT(X149:X149*H149:H149),"0")</f>
        <v>0</v>
      </c>
      <c r="Y151" s="268">
        <f>IFERROR(SUMPRODUCT(Y149:Y149*H149:H149),"0")</f>
        <v>0</v>
      </c>
      <c r="Z151" s="37"/>
      <c r="AA151" s="269"/>
      <c r="AB151" s="269"/>
      <c r="AC151" s="269"/>
    </row>
    <row r="152" spans="1:68" ht="16.5" customHeight="1" x14ac:dyDescent="0.25">
      <c r="A152" s="279" t="s">
        <v>225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1"/>
      <c r="AB152" s="261"/>
      <c r="AC152" s="261"/>
    </row>
    <row r="153" spans="1:68" ht="14.25" customHeight="1" x14ac:dyDescent="0.25">
      <c r="A153" s="299" t="s">
        <v>120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0"/>
      <c r="AB153" s="260"/>
      <c r="AC153" s="260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1">
        <v>4607111036568</v>
      </c>
      <c r="E154" s="282"/>
      <c r="F154" s="265">
        <v>0.28000000000000003</v>
      </c>
      <c r="G154" s="32">
        <v>6</v>
      </c>
      <c r="H154" s="265">
        <v>1.68</v>
      </c>
      <c r="I154" s="265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1"/>
      <c r="R154" s="271"/>
      <c r="S154" s="271"/>
      <c r="T154" s="272"/>
      <c r="U154" s="34"/>
      <c r="V154" s="34"/>
      <c r="W154" s="35" t="s">
        <v>69</v>
      </c>
      <c r="X154" s="266">
        <v>140</v>
      </c>
      <c r="Y154" s="267">
        <f>IFERROR(IF(X154="","",X154),"")</f>
        <v>140</v>
      </c>
      <c r="Z154" s="36">
        <f>IFERROR(IF(X154="","",X154*0.00941),"")</f>
        <v>1.3173999999999999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294.25200000000001</v>
      </c>
      <c r="BN154" s="67">
        <f>IFERROR(Y154*I154,"0")</f>
        <v>294.25200000000001</v>
      </c>
      <c r="BO154" s="67">
        <f>IFERROR(X154/J154,"0")</f>
        <v>1</v>
      </c>
      <c r="BP154" s="67">
        <f>IFERROR(Y154/J154,"0")</f>
        <v>1</v>
      </c>
    </row>
    <row r="155" spans="1:68" x14ac:dyDescent="0.2">
      <c r="A155" s="285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6"/>
      <c r="P155" s="276" t="s">
        <v>72</v>
      </c>
      <c r="Q155" s="277"/>
      <c r="R155" s="277"/>
      <c r="S155" s="277"/>
      <c r="T155" s="277"/>
      <c r="U155" s="277"/>
      <c r="V155" s="278"/>
      <c r="W155" s="37" t="s">
        <v>69</v>
      </c>
      <c r="X155" s="268">
        <f>IFERROR(SUM(X154:X154),"0")</f>
        <v>140</v>
      </c>
      <c r="Y155" s="268">
        <f>IFERROR(SUM(Y154:Y154),"0")</f>
        <v>140</v>
      </c>
      <c r="Z155" s="268">
        <f>IFERROR(IF(Z154="",0,Z154),"0")</f>
        <v>1.3173999999999999</v>
      </c>
      <c r="AA155" s="269"/>
      <c r="AB155" s="269"/>
      <c r="AC155" s="269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6"/>
      <c r="P156" s="276" t="s">
        <v>72</v>
      </c>
      <c r="Q156" s="277"/>
      <c r="R156" s="277"/>
      <c r="S156" s="277"/>
      <c r="T156" s="277"/>
      <c r="U156" s="277"/>
      <c r="V156" s="278"/>
      <c r="W156" s="37" t="s">
        <v>73</v>
      </c>
      <c r="X156" s="268">
        <f>IFERROR(SUMPRODUCT(X154:X154*H154:H154),"0")</f>
        <v>235.2</v>
      </c>
      <c r="Y156" s="268">
        <f>IFERROR(SUMPRODUCT(Y154:Y154*H154:H154),"0")</f>
        <v>235.2</v>
      </c>
      <c r="Z156" s="37"/>
      <c r="AA156" s="269"/>
      <c r="AB156" s="269"/>
      <c r="AC156" s="269"/>
    </row>
    <row r="157" spans="1:68" ht="27.75" customHeight="1" x14ac:dyDescent="0.2">
      <c r="A157" s="316" t="s">
        <v>229</v>
      </c>
      <c r="B157" s="317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48"/>
      <c r="AB157" s="48"/>
      <c r="AC157" s="48"/>
    </row>
    <row r="158" spans="1:68" ht="16.5" customHeight="1" x14ac:dyDescent="0.25">
      <c r="A158" s="279" t="s">
        <v>230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1"/>
      <c r="AB158" s="261"/>
      <c r="AC158" s="261"/>
    </row>
    <row r="159" spans="1:68" ht="14.25" customHeight="1" x14ac:dyDescent="0.25">
      <c r="A159" s="299" t="s">
        <v>63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0"/>
      <c r="AB159" s="260"/>
      <c r="AC159" s="260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1">
        <v>4607111036384</v>
      </c>
      <c r="E160" s="282"/>
      <c r="F160" s="265">
        <v>5</v>
      </c>
      <c r="G160" s="32">
        <v>1</v>
      </c>
      <c r="H160" s="265">
        <v>5</v>
      </c>
      <c r="I160" s="265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1"/>
      <c r="R160" s="271"/>
      <c r="S160" s="271"/>
      <c r="T160" s="272"/>
      <c r="U160" s="34"/>
      <c r="V160" s="34"/>
      <c r="W160" s="35" t="s">
        <v>69</v>
      </c>
      <c r="X160" s="266">
        <v>0</v>
      </c>
      <c r="Y160" s="267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1">
        <v>4607111036216</v>
      </c>
      <c r="E161" s="282"/>
      <c r="F161" s="265">
        <v>5</v>
      </c>
      <c r="G161" s="32">
        <v>1</v>
      </c>
      <c r="H161" s="265">
        <v>5</v>
      </c>
      <c r="I161" s="265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1"/>
      <c r="R161" s="271"/>
      <c r="S161" s="271"/>
      <c r="T161" s="272"/>
      <c r="U161" s="34"/>
      <c r="V161" s="34"/>
      <c r="W161" s="35" t="s">
        <v>69</v>
      </c>
      <c r="X161" s="266">
        <v>0</v>
      </c>
      <c r="Y161" s="267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5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6"/>
      <c r="P162" s="276" t="s">
        <v>72</v>
      </c>
      <c r="Q162" s="277"/>
      <c r="R162" s="277"/>
      <c r="S162" s="277"/>
      <c r="T162" s="277"/>
      <c r="U162" s="277"/>
      <c r="V162" s="278"/>
      <c r="W162" s="37" t="s">
        <v>69</v>
      </c>
      <c r="X162" s="268">
        <f>IFERROR(SUM(X160:X161),"0")</f>
        <v>0</v>
      </c>
      <c r="Y162" s="268">
        <f>IFERROR(SUM(Y160:Y161),"0")</f>
        <v>0</v>
      </c>
      <c r="Z162" s="268">
        <f>IFERROR(IF(Z160="",0,Z160),"0")+IFERROR(IF(Z161="",0,Z161),"0")</f>
        <v>0</v>
      </c>
      <c r="AA162" s="269"/>
      <c r="AB162" s="269"/>
      <c r="AC162" s="269"/>
    </row>
    <row r="163" spans="1:68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6"/>
      <c r="P163" s="276" t="s">
        <v>72</v>
      </c>
      <c r="Q163" s="277"/>
      <c r="R163" s="277"/>
      <c r="S163" s="277"/>
      <c r="T163" s="277"/>
      <c r="U163" s="277"/>
      <c r="V163" s="278"/>
      <c r="W163" s="37" t="s">
        <v>73</v>
      </c>
      <c r="X163" s="268">
        <f>IFERROR(SUMPRODUCT(X160:X161*H160:H161),"0")</f>
        <v>0</v>
      </c>
      <c r="Y163" s="268">
        <f>IFERROR(SUMPRODUCT(Y160:Y161*H160:H161),"0")</f>
        <v>0</v>
      </c>
      <c r="Z163" s="37"/>
      <c r="AA163" s="269"/>
      <c r="AB163" s="269"/>
      <c r="AC163" s="269"/>
    </row>
    <row r="164" spans="1:68" ht="27.75" customHeight="1" x14ac:dyDescent="0.2">
      <c r="A164" s="316" t="s">
        <v>237</v>
      </c>
      <c r="B164" s="317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48"/>
      <c r="AB164" s="48"/>
      <c r="AC164" s="48"/>
    </row>
    <row r="165" spans="1:68" ht="16.5" customHeight="1" x14ac:dyDescent="0.25">
      <c r="A165" s="279" t="s">
        <v>238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1"/>
      <c r="AB165" s="261"/>
      <c r="AC165" s="261"/>
    </row>
    <row r="166" spans="1:68" ht="14.25" customHeight="1" x14ac:dyDescent="0.25">
      <c r="A166" s="299" t="s">
        <v>76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0"/>
      <c r="AB166" s="260"/>
      <c r="AC166" s="260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1">
        <v>4607111035691</v>
      </c>
      <c r="E167" s="282"/>
      <c r="F167" s="265">
        <v>0.25</v>
      </c>
      <c r="G167" s="32">
        <v>12</v>
      </c>
      <c r="H167" s="265">
        <v>3</v>
      </c>
      <c r="I167" s="265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1"/>
      <c r="R167" s="271"/>
      <c r="S167" s="271"/>
      <c r="T167" s="272"/>
      <c r="U167" s="34"/>
      <c r="V167" s="34"/>
      <c r="W167" s="35" t="s">
        <v>69</v>
      </c>
      <c r="X167" s="266">
        <v>126</v>
      </c>
      <c r="Y167" s="267">
        <f>IFERROR(IF(X167="","",X167),"")</f>
        <v>126</v>
      </c>
      <c r="Z167" s="36">
        <f>IFERROR(IF(X167="","",X167*0.01788),"")</f>
        <v>2.2528800000000002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426.88799999999998</v>
      </c>
      <c r="BN167" s="67">
        <f>IFERROR(Y167*I167,"0")</f>
        <v>426.88799999999998</v>
      </c>
      <c r="BO167" s="67">
        <f>IFERROR(X167/J167,"0")</f>
        <v>1.8</v>
      </c>
      <c r="BP167" s="67">
        <f>IFERROR(Y167/J167,"0")</f>
        <v>1.8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1">
        <v>4607111035721</v>
      </c>
      <c r="E168" s="282"/>
      <c r="F168" s="265">
        <v>0.25</v>
      </c>
      <c r="G168" s="32">
        <v>12</v>
      </c>
      <c r="H168" s="265">
        <v>3</v>
      </c>
      <c r="I168" s="265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1"/>
      <c r="R168" s="271"/>
      <c r="S168" s="271"/>
      <c r="T168" s="272"/>
      <c r="U168" s="34"/>
      <c r="V168" s="34"/>
      <c r="W168" s="35" t="s">
        <v>69</v>
      </c>
      <c r="X168" s="266">
        <v>28</v>
      </c>
      <c r="Y168" s="267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1">
        <v>4607111038487</v>
      </c>
      <c r="E169" s="282"/>
      <c r="F169" s="265">
        <v>0.25</v>
      </c>
      <c r="G169" s="32">
        <v>12</v>
      </c>
      <c r="H169" s="265">
        <v>3</v>
      </c>
      <c r="I169" s="265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4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1"/>
      <c r="R169" s="271"/>
      <c r="S169" s="271"/>
      <c r="T169" s="272"/>
      <c r="U169" s="34"/>
      <c r="V169" s="34"/>
      <c r="W169" s="35" t="s">
        <v>69</v>
      </c>
      <c r="X169" s="266">
        <v>0</v>
      </c>
      <c r="Y169" s="267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5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6"/>
      <c r="P170" s="276" t="s">
        <v>72</v>
      </c>
      <c r="Q170" s="277"/>
      <c r="R170" s="277"/>
      <c r="S170" s="277"/>
      <c r="T170" s="277"/>
      <c r="U170" s="277"/>
      <c r="V170" s="278"/>
      <c r="W170" s="37" t="s">
        <v>69</v>
      </c>
      <c r="X170" s="268">
        <f>IFERROR(SUM(X167:X169),"0")</f>
        <v>154</v>
      </c>
      <c r="Y170" s="268">
        <f>IFERROR(SUM(Y167:Y169),"0")</f>
        <v>154</v>
      </c>
      <c r="Z170" s="268">
        <f>IFERROR(IF(Z167="",0,Z167),"0")+IFERROR(IF(Z168="",0,Z168),"0")+IFERROR(IF(Z169="",0,Z169),"0")</f>
        <v>2.75352</v>
      </c>
      <c r="AA170" s="269"/>
      <c r="AB170" s="269"/>
      <c r="AC170" s="269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6"/>
      <c r="P171" s="276" t="s">
        <v>72</v>
      </c>
      <c r="Q171" s="277"/>
      <c r="R171" s="277"/>
      <c r="S171" s="277"/>
      <c r="T171" s="277"/>
      <c r="U171" s="277"/>
      <c r="V171" s="278"/>
      <c r="W171" s="37" t="s">
        <v>73</v>
      </c>
      <c r="X171" s="268">
        <f>IFERROR(SUMPRODUCT(X167:X169*H167:H169),"0")</f>
        <v>462</v>
      </c>
      <c r="Y171" s="268">
        <f>IFERROR(SUMPRODUCT(Y167:Y169*H167:H169),"0")</f>
        <v>462</v>
      </c>
      <c r="Z171" s="37"/>
      <c r="AA171" s="269"/>
      <c r="AB171" s="269"/>
      <c r="AC171" s="269"/>
    </row>
    <row r="172" spans="1:68" ht="14.25" customHeight="1" x14ac:dyDescent="0.25">
      <c r="A172" s="299" t="s">
        <v>248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0"/>
      <c r="AB172" s="260"/>
      <c r="AC172" s="260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1">
        <v>4680115885875</v>
      </c>
      <c r="E173" s="282"/>
      <c r="F173" s="265">
        <v>1</v>
      </c>
      <c r="G173" s="32">
        <v>9</v>
      </c>
      <c r="H173" s="265">
        <v>9</v>
      </c>
      <c r="I173" s="265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1"/>
      <c r="R173" s="271"/>
      <c r="S173" s="271"/>
      <c r="T173" s="272"/>
      <c r="U173" s="34"/>
      <c r="V173" s="34"/>
      <c r="W173" s="35" t="s">
        <v>69</v>
      </c>
      <c r="X173" s="266">
        <v>0</v>
      </c>
      <c r="Y173" s="267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5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6"/>
      <c r="P174" s="276" t="s">
        <v>72</v>
      </c>
      <c r="Q174" s="277"/>
      <c r="R174" s="277"/>
      <c r="S174" s="277"/>
      <c r="T174" s="277"/>
      <c r="U174" s="277"/>
      <c r="V174" s="278"/>
      <c r="W174" s="37" t="s">
        <v>69</v>
      </c>
      <c r="X174" s="268">
        <f>IFERROR(SUM(X173:X173),"0")</f>
        <v>0</v>
      </c>
      <c r="Y174" s="268">
        <f>IFERROR(SUM(Y173:Y173),"0")</f>
        <v>0</v>
      </c>
      <c r="Z174" s="268">
        <f>IFERROR(IF(Z173="",0,Z173),"0")</f>
        <v>0</v>
      </c>
      <c r="AA174" s="269"/>
      <c r="AB174" s="269"/>
      <c r="AC174" s="269"/>
    </row>
    <row r="175" spans="1:68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6"/>
      <c r="P175" s="276" t="s">
        <v>72</v>
      </c>
      <c r="Q175" s="277"/>
      <c r="R175" s="277"/>
      <c r="S175" s="277"/>
      <c r="T175" s="277"/>
      <c r="U175" s="277"/>
      <c r="V175" s="278"/>
      <c r="W175" s="37" t="s">
        <v>73</v>
      </c>
      <c r="X175" s="268">
        <f>IFERROR(SUMPRODUCT(X173:X173*H173:H173),"0")</f>
        <v>0</v>
      </c>
      <c r="Y175" s="268">
        <f>IFERROR(SUMPRODUCT(Y173:Y173*H173:H173),"0")</f>
        <v>0</v>
      </c>
      <c r="Z175" s="37"/>
      <c r="AA175" s="269"/>
      <c r="AB175" s="269"/>
      <c r="AC175" s="269"/>
    </row>
    <row r="176" spans="1:68" ht="27.75" customHeight="1" x14ac:dyDescent="0.2">
      <c r="A176" s="316" t="s">
        <v>256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48"/>
      <c r="AB176" s="48"/>
      <c r="AC176" s="48"/>
    </row>
    <row r="177" spans="1:68" ht="16.5" customHeight="1" x14ac:dyDescent="0.25">
      <c r="A177" s="279" t="s">
        <v>257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1"/>
      <c r="AB177" s="261"/>
      <c r="AC177" s="261"/>
    </row>
    <row r="178" spans="1:68" ht="14.25" customHeight="1" x14ac:dyDescent="0.25">
      <c r="A178" s="299" t="s">
        <v>76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0"/>
      <c r="AB178" s="260"/>
      <c r="AC178" s="260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1">
        <v>4620207491133</v>
      </c>
      <c r="E179" s="282"/>
      <c r="F179" s="265">
        <v>0.23</v>
      </c>
      <c r="G179" s="32">
        <v>12</v>
      </c>
      <c r="H179" s="265">
        <v>2.76</v>
      </c>
      <c r="I179" s="265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7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1"/>
      <c r="R179" s="271"/>
      <c r="S179" s="271"/>
      <c r="T179" s="272"/>
      <c r="U179" s="34"/>
      <c r="V179" s="34"/>
      <c r="W179" s="35" t="s">
        <v>69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5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6"/>
      <c r="P180" s="276" t="s">
        <v>72</v>
      </c>
      <c r="Q180" s="277"/>
      <c r="R180" s="277"/>
      <c r="S180" s="277"/>
      <c r="T180" s="277"/>
      <c r="U180" s="277"/>
      <c r="V180" s="278"/>
      <c r="W180" s="37" t="s">
        <v>69</v>
      </c>
      <c r="X180" s="268">
        <f>IFERROR(SUM(X179:X179),"0")</f>
        <v>0</v>
      </c>
      <c r="Y180" s="268">
        <f>IFERROR(SUM(Y179:Y179),"0")</f>
        <v>0</v>
      </c>
      <c r="Z180" s="268">
        <f>IFERROR(IF(Z179="",0,Z179),"0")</f>
        <v>0</v>
      </c>
      <c r="AA180" s="269"/>
      <c r="AB180" s="269"/>
      <c r="AC180" s="269"/>
    </row>
    <row r="181" spans="1:68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6"/>
      <c r="P181" s="276" t="s">
        <v>72</v>
      </c>
      <c r="Q181" s="277"/>
      <c r="R181" s="277"/>
      <c r="S181" s="277"/>
      <c r="T181" s="277"/>
      <c r="U181" s="277"/>
      <c r="V181" s="278"/>
      <c r="W181" s="37" t="s">
        <v>73</v>
      </c>
      <c r="X181" s="268">
        <f>IFERROR(SUMPRODUCT(X179:X179*H179:H179),"0")</f>
        <v>0</v>
      </c>
      <c r="Y181" s="268">
        <f>IFERROR(SUMPRODUCT(Y179:Y179*H179:H179),"0")</f>
        <v>0</v>
      </c>
      <c r="Z181" s="37"/>
      <c r="AA181" s="269"/>
      <c r="AB181" s="269"/>
      <c r="AC181" s="269"/>
    </row>
    <row r="182" spans="1:68" ht="14.25" customHeight="1" x14ac:dyDescent="0.25">
      <c r="A182" s="299" t="s">
        <v>120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0"/>
      <c r="AB182" s="260"/>
      <c r="AC182" s="260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1">
        <v>4620207490198</v>
      </c>
      <c r="E183" s="282"/>
      <c r="F183" s="265">
        <v>0.2</v>
      </c>
      <c r="G183" s="32">
        <v>12</v>
      </c>
      <c r="H183" s="265">
        <v>2.4</v>
      </c>
      <c r="I183" s="265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1"/>
      <c r="R183" s="271"/>
      <c r="S183" s="271"/>
      <c r="T183" s="272"/>
      <c r="U183" s="34"/>
      <c r="V183" s="34"/>
      <c r="W183" s="35" t="s">
        <v>69</v>
      </c>
      <c r="X183" s="266">
        <v>0</v>
      </c>
      <c r="Y183" s="267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1">
        <v>4620207490235</v>
      </c>
      <c r="E184" s="282"/>
      <c r="F184" s="265">
        <v>0.2</v>
      </c>
      <c r="G184" s="32">
        <v>12</v>
      </c>
      <c r="H184" s="265">
        <v>2.4</v>
      </c>
      <c r="I184" s="265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3" t="s">
        <v>266</v>
      </c>
      <c r="Q184" s="271"/>
      <c r="R184" s="271"/>
      <c r="S184" s="271"/>
      <c r="T184" s="272"/>
      <c r="U184" s="34"/>
      <c r="V184" s="34"/>
      <c r="W184" s="35" t="s">
        <v>69</v>
      </c>
      <c r="X184" s="266">
        <v>0</v>
      </c>
      <c r="Y184" s="267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5">
        <v>0.2</v>
      </c>
      <c r="G185" s="32">
        <v>12</v>
      </c>
      <c r="H185" s="265">
        <v>2.4</v>
      </c>
      <c r="I185" s="265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1"/>
      <c r="R185" s="271"/>
      <c r="S185" s="271"/>
      <c r="T185" s="272"/>
      <c r="U185" s="34"/>
      <c r="V185" s="34"/>
      <c r="W185" s="35" t="s">
        <v>69</v>
      </c>
      <c r="X185" s="266">
        <v>0</v>
      </c>
      <c r="Y185" s="267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5">
        <v>0.22</v>
      </c>
      <c r="G186" s="32">
        <v>12</v>
      </c>
      <c r="H186" s="265">
        <v>2.64</v>
      </c>
      <c r="I186" s="265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3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1"/>
      <c r="R186" s="271"/>
      <c r="S186" s="271"/>
      <c r="T186" s="272"/>
      <c r="U186" s="34"/>
      <c r="V186" s="34"/>
      <c r="W186" s="35" t="s">
        <v>69</v>
      </c>
      <c r="X186" s="266">
        <v>0</v>
      </c>
      <c r="Y186" s="267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5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6"/>
      <c r="P187" s="276" t="s">
        <v>72</v>
      </c>
      <c r="Q187" s="277"/>
      <c r="R187" s="277"/>
      <c r="S187" s="277"/>
      <c r="T187" s="277"/>
      <c r="U187" s="277"/>
      <c r="V187" s="278"/>
      <c r="W187" s="37" t="s">
        <v>69</v>
      </c>
      <c r="X187" s="268">
        <f>IFERROR(SUM(X183:X186),"0")</f>
        <v>0</v>
      </c>
      <c r="Y187" s="268">
        <f>IFERROR(SUM(Y183:Y186),"0")</f>
        <v>0</v>
      </c>
      <c r="Z187" s="268">
        <f>IFERROR(IF(Z183="",0,Z183),"0")+IFERROR(IF(Z184="",0,Z184),"0")+IFERROR(IF(Z185="",0,Z185),"0")+IFERROR(IF(Z186="",0,Z186),"0")</f>
        <v>0</v>
      </c>
      <c r="AA187" s="269"/>
      <c r="AB187" s="269"/>
      <c r="AC187" s="269"/>
    </row>
    <row r="188" spans="1:68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6"/>
      <c r="P188" s="276" t="s">
        <v>72</v>
      </c>
      <c r="Q188" s="277"/>
      <c r="R188" s="277"/>
      <c r="S188" s="277"/>
      <c r="T188" s="277"/>
      <c r="U188" s="277"/>
      <c r="V188" s="278"/>
      <c r="W188" s="37" t="s">
        <v>73</v>
      </c>
      <c r="X188" s="268">
        <f>IFERROR(SUMPRODUCT(X183:X186*H183:H186),"0")</f>
        <v>0</v>
      </c>
      <c r="Y188" s="268">
        <f>IFERROR(SUMPRODUCT(Y183:Y186*H183:H186),"0")</f>
        <v>0</v>
      </c>
      <c r="Z188" s="37"/>
      <c r="AA188" s="269"/>
      <c r="AB188" s="269"/>
      <c r="AC188" s="269"/>
    </row>
    <row r="189" spans="1:68" ht="16.5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1"/>
      <c r="AB189" s="261"/>
      <c r="AC189" s="261"/>
    </row>
    <row r="190" spans="1:68" ht="14.25" customHeight="1" x14ac:dyDescent="0.25">
      <c r="A190" s="299" t="s">
        <v>63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0"/>
      <c r="AB190" s="260"/>
      <c r="AC190" s="260"/>
    </row>
    <row r="191" spans="1:68" ht="27" customHeight="1" x14ac:dyDescent="0.25">
      <c r="A191" s="54" t="s">
        <v>274</v>
      </c>
      <c r="B191" s="54" t="s">
        <v>275</v>
      </c>
      <c r="C191" s="31">
        <v>4301071110</v>
      </c>
      <c r="D191" s="281">
        <v>4607111035103</v>
      </c>
      <c r="E191" s="282"/>
      <c r="F191" s="265">
        <v>0.43</v>
      </c>
      <c r="G191" s="32">
        <v>16</v>
      </c>
      <c r="H191" s="265">
        <v>6.88</v>
      </c>
      <c r="I191" s="265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29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1"/>
      <c r="R191" s="271"/>
      <c r="S191" s="271"/>
      <c r="T191" s="272"/>
      <c r="U191" s="34"/>
      <c r="V191" s="34"/>
      <c r="W191" s="35" t="s">
        <v>69</v>
      </c>
      <c r="X191" s="266">
        <v>0</v>
      </c>
      <c r="Y191" s="267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4301071109</v>
      </c>
      <c r="D192" s="281">
        <v>4607111035929</v>
      </c>
      <c r="E192" s="282"/>
      <c r="F192" s="265">
        <v>0.9</v>
      </c>
      <c r="G192" s="32">
        <v>8</v>
      </c>
      <c r="H192" s="265">
        <v>7.2</v>
      </c>
      <c r="I192" s="265">
        <v>7.47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71"/>
      <c r="R192" s="271"/>
      <c r="S192" s="271"/>
      <c r="T192" s="272"/>
      <c r="U192" s="34"/>
      <c r="V192" s="34"/>
      <c r="W192" s="35" t="s">
        <v>69</v>
      </c>
      <c r="X192" s="266">
        <v>0</v>
      </c>
      <c r="Y192" s="267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4301071106</v>
      </c>
      <c r="D193" s="281">
        <v>4607111035882</v>
      </c>
      <c r="E193" s="282"/>
      <c r="F193" s="265">
        <v>0.43</v>
      </c>
      <c r="G193" s="32">
        <v>16</v>
      </c>
      <c r="H193" s="265">
        <v>6.88</v>
      </c>
      <c r="I193" s="265">
        <v>7.19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9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71"/>
      <c r="R193" s="271"/>
      <c r="S193" s="271"/>
      <c r="T193" s="272"/>
      <c r="U193" s="34"/>
      <c r="V193" s="34"/>
      <c r="W193" s="35" t="s">
        <v>69</v>
      </c>
      <c r="X193" s="266">
        <v>0</v>
      </c>
      <c r="Y193" s="267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4301071105</v>
      </c>
      <c r="D194" s="281">
        <v>4607111035110</v>
      </c>
      <c r="E194" s="282"/>
      <c r="F194" s="265">
        <v>0.9</v>
      </c>
      <c r="G194" s="32">
        <v>8</v>
      </c>
      <c r="H194" s="265">
        <v>7.2</v>
      </c>
      <c r="I194" s="265">
        <v>7.47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71"/>
      <c r="R194" s="271"/>
      <c r="S194" s="271"/>
      <c r="T194" s="272"/>
      <c r="U194" s="34"/>
      <c r="V194" s="34"/>
      <c r="W194" s="35" t="s">
        <v>69</v>
      </c>
      <c r="X194" s="266">
        <v>0</v>
      </c>
      <c r="Y194" s="267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6"/>
      <c r="P195" s="276" t="s">
        <v>72</v>
      </c>
      <c r="Q195" s="277"/>
      <c r="R195" s="277"/>
      <c r="S195" s="277"/>
      <c r="T195" s="277"/>
      <c r="U195" s="277"/>
      <c r="V195" s="278"/>
      <c r="W195" s="37" t="s">
        <v>69</v>
      </c>
      <c r="X195" s="268">
        <f>IFERROR(SUM(X191:X194),"0")</f>
        <v>0</v>
      </c>
      <c r="Y195" s="268">
        <f>IFERROR(SUM(Y191:Y194),"0")</f>
        <v>0</v>
      </c>
      <c r="Z195" s="268">
        <f>IFERROR(IF(Z191="",0,Z191),"0")+IFERROR(IF(Z192="",0,Z192),"0")+IFERROR(IF(Z193="",0,Z193),"0")+IFERROR(IF(Z194="",0,Z194),"0")</f>
        <v>0</v>
      </c>
      <c r="AA195" s="269"/>
      <c r="AB195" s="269"/>
      <c r="AC195" s="269"/>
    </row>
    <row r="196" spans="1:68" x14ac:dyDescent="0.2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6"/>
      <c r="P196" s="276" t="s">
        <v>72</v>
      </c>
      <c r="Q196" s="277"/>
      <c r="R196" s="277"/>
      <c r="S196" s="277"/>
      <c r="T196" s="277"/>
      <c r="U196" s="277"/>
      <c r="V196" s="278"/>
      <c r="W196" s="37" t="s">
        <v>73</v>
      </c>
      <c r="X196" s="268">
        <f>IFERROR(SUMPRODUCT(X191:X194*H191:H194),"0")</f>
        <v>0</v>
      </c>
      <c r="Y196" s="268">
        <f>IFERROR(SUMPRODUCT(Y191:Y194*H191:H194),"0")</f>
        <v>0</v>
      </c>
      <c r="Z196" s="37"/>
      <c r="AA196" s="269"/>
      <c r="AB196" s="269"/>
      <c r="AC196" s="269"/>
    </row>
    <row r="197" spans="1:68" ht="16.5" customHeight="1" x14ac:dyDescent="0.25">
      <c r="A197" s="279" t="s">
        <v>283</v>
      </c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61"/>
      <c r="AB197" s="261"/>
      <c r="AC197" s="261"/>
    </row>
    <row r="198" spans="1:68" ht="14.25" customHeight="1" x14ac:dyDescent="0.25">
      <c r="A198" s="299" t="s">
        <v>63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0"/>
      <c r="AB198" s="260"/>
      <c r="AC198" s="260"/>
    </row>
    <row r="199" spans="1:68" ht="27" customHeight="1" x14ac:dyDescent="0.25">
      <c r="A199" s="54" t="s">
        <v>284</v>
      </c>
      <c r="B199" s="54" t="s">
        <v>285</v>
      </c>
      <c r="C199" s="31">
        <v>4301071097</v>
      </c>
      <c r="D199" s="281">
        <v>4620207491096</v>
      </c>
      <c r="E199" s="282"/>
      <c r="F199" s="265">
        <v>1</v>
      </c>
      <c r="G199" s="32">
        <v>5</v>
      </c>
      <c r="H199" s="265">
        <v>5</v>
      </c>
      <c r="I199" s="265">
        <v>5.23</v>
      </c>
      <c r="J199" s="32">
        <v>84</v>
      </c>
      <c r="K199" s="32" t="s">
        <v>66</v>
      </c>
      <c r="L199" s="32" t="s">
        <v>80</v>
      </c>
      <c r="M199" s="33" t="s">
        <v>68</v>
      </c>
      <c r="N199" s="33"/>
      <c r="O199" s="32">
        <v>180</v>
      </c>
      <c r="P199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71"/>
      <c r="R199" s="271"/>
      <c r="S199" s="271"/>
      <c r="T199" s="272"/>
      <c r="U199" s="34"/>
      <c r="V199" s="34"/>
      <c r="W199" s="35" t="s">
        <v>69</v>
      </c>
      <c r="X199" s="266">
        <v>0</v>
      </c>
      <c r="Y199" s="267">
        <f>IFERROR(IF(X199="","",X199),"")</f>
        <v>0</v>
      </c>
      <c r="Z199" s="36">
        <f>IFERROR(IF(X199="","",X199*0.0155),"")</f>
        <v>0</v>
      </c>
      <c r="AA199" s="56"/>
      <c r="AB199" s="57"/>
      <c r="AC199" s="200" t="s">
        <v>286</v>
      </c>
      <c r="AG199" s="67"/>
      <c r="AJ199" s="71" t="s">
        <v>82</v>
      </c>
      <c r="AK199" s="71">
        <v>12</v>
      </c>
      <c r="BB199" s="201" t="s">
        <v>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5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6"/>
      <c r="P200" s="276" t="s">
        <v>72</v>
      </c>
      <c r="Q200" s="277"/>
      <c r="R200" s="277"/>
      <c r="S200" s="277"/>
      <c r="T200" s="277"/>
      <c r="U200" s="277"/>
      <c r="V200" s="278"/>
      <c r="W200" s="37" t="s">
        <v>69</v>
      </c>
      <c r="X200" s="268">
        <f>IFERROR(SUM(X199:X199),"0")</f>
        <v>0</v>
      </c>
      <c r="Y200" s="268">
        <f>IFERROR(SUM(Y199:Y199),"0")</f>
        <v>0</v>
      </c>
      <c r="Z200" s="268">
        <f>IFERROR(IF(Z199="",0,Z199),"0")</f>
        <v>0</v>
      </c>
      <c r="AA200" s="269"/>
      <c r="AB200" s="269"/>
      <c r="AC200" s="269"/>
    </row>
    <row r="201" spans="1:68" x14ac:dyDescent="0.2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6"/>
      <c r="P201" s="276" t="s">
        <v>72</v>
      </c>
      <c r="Q201" s="277"/>
      <c r="R201" s="277"/>
      <c r="S201" s="277"/>
      <c r="T201" s="277"/>
      <c r="U201" s="277"/>
      <c r="V201" s="278"/>
      <c r="W201" s="37" t="s">
        <v>73</v>
      </c>
      <c r="X201" s="268">
        <f>IFERROR(SUMPRODUCT(X199:X199*H199:H199),"0")</f>
        <v>0</v>
      </c>
      <c r="Y201" s="268">
        <f>IFERROR(SUMPRODUCT(Y199:Y199*H199:H199),"0")</f>
        <v>0</v>
      </c>
      <c r="Z201" s="37"/>
      <c r="AA201" s="269"/>
      <c r="AB201" s="269"/>
      <c r="AC201" s="269"/>
    </row>
    <row r="202" spans="1:68" ht="16.5" customHeight="1" x14ac:dyDescent="0.25">
      <c r="A202" s="279" t="s">
        <v>287</v>
      </c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61"/>
      <c r="AB202" s="261"/>
      <c r="AC202" s="261"/>
    </row>
    <row r="203" spans="1:68" ht="14.25" customHeight="1" x14ac:dyDescent="0.25">
      <c r="A203" s="299" t="s">
        <v>63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0"/>
      <c r="AB203" s="260"/>
      <c r="AC203" s="260"/>
    </row>
    <row r="204" spans="1:68" ht="27" customHeight="1" x14ac:dyDescent="0.25">
      <c r="A204" s="54" t="s">
        <v>288</v>
      </c>
      <c r="B204" s="54" t="s">
        <v>289</v>
      </c>
      <c r="C204" s="31">
        <v>4301071093</v>
      </c>
      <c r="D204" s="281">
        <v>4620207490709</v>
      </c>
      <c r="E204" s="282"/>
      <c r="F204" s="265">
        <v>0.65</v>
      </c>
      <c r="G204" s="32">
        <v>8</v>
      </c>
      <c r="H204" s="265">
        <v>5.2</v>
      </c>
      <c r="I204" s="265">
        <v>5.47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37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71"/>
      <c r="R204" s="271"/>
      <c r="S204" s="271"/>
      <c r="T204" s="272"/>
      <c r="U204" s="34"/>
      <c r="V204" s="34"/>
      <c r="W204" s="35" t="s">
        <v>69</v>
      </c>
      <c r="X204" s="266">
        <v>0</v>
      </c>
      <c r="Y204" s="267">
        <f>IFERROR(IF(X204="","",X204),"")</f>
        <v>0</v>
      </c>
      <c r="Z204" s="36">
        <f>IFERROR(IF(X204="","",X204*0.0155),"")</f>
        <v>0</v>
      </c>
      <c r="AA204" s="56"/>
      <c r="AB204" s="57"/>
      <c r="AC204" s="202" t="s">
        <v>290</v>
      </c>
      <c r="AG204" s="67"/>
      <c r="AJ204" s="71" t="s">
        <v>71</v>
      </c>
      <c r="AK204" s="71">
        <v>1</v>
      </c>
      <c r="BB204" s="203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5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6"/>
      <c r="P205" s="276" t="s">
        <v>72</v>
      </c>
      <c r="Q205" s="277"/>
      <c r="R205" s="277"/>
      <c r="S205" s="277"/>
      <c r="T205" s="277"/>
      <c r="U205" s="277"/>
      <c r="V205" s="278"/>
      <c r="W205" s="37" t="s">
        <v>69</v>
      </c>
      <c r="X205" s="268">
        <f>IFERROR(SUM(X204:X204),"0")</f>
        <v>0</v>
      </c>
      <c r="Y205" s="268">
        <f>IFERROR(SUM(Y204:Y204),"0")</f>
        <v>0</v>
      </c>
      <c r="Z205" s="268">
        <f>IFERROR(IF(Z204="",0,Z204),"0")</f>
        <v>0</v>
      </c>
      <c r="AA205" s="269"/>
      <c r="AB205" s="269"/>
      <c r="AC205" s="269"/>
    </row>
    <row r="206" spans="1:68" x14ac:dyDescent="0.2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6"/>
      <c r="P206" s="276" t="s">
        <v>72</v>
      </c>
      <c r="Q206" s="277"/>
      <c r="R206" s="277"/>
      <c r="S206" s="277"/>
      <c r="T206" s="277"/>
      <c r="U206" s="277"/>
      <c r="V206" s="278"/>
      <c r="W206" s="37" t="s">
        <v>73</v>
      </c>
      <c r="X206" s="268">
        <f>IFERROR(SUMPRODUCT(X204:X204*H204:H204),"0")</f>
        <v>0</v>
      </c>
      <c r="Y206" s="268">
        <f>IFERROR(SUMPRODUCT(Y204:Y204*H204:H204),"0")</f>
        <v>0</v>
      </c>
      <c r="Z206" s="37"/>
      <c r="AA206" s="269"/>
      <c r="AB206" s="269"/>
      <c r="AC206" s="269"/>
    </row>
    <row r="207" spans="1:68" ht="14.25" customHeight="1" x14ac:dyDescent="0.25">
      <c r="A207" s="299" t="s">
        <v>120</v>
      </c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60"/>
      <c r="AB207" s="260"/>
      <c r="AC207" s="260"/>
    </row>
    <row r="208" spans="1:68" ht="27" customHeight="1" x14ac:dyDescent="0.25">
      <c r="A208" s="54" t="s">
        <v>291</v>
      </c>
      <c r="B208" s="54" t="s">
        <v>292</v>
      </c>
      <c r="C208" s="31">
        <v>4301135692</v>
      </c>
      <c r="D208" s="281">
        <v>4620207490570</v>
      </c>
      <c r="E208" s="282"/>
      <c r="F208" s="265">
        <v>0.2</v>
      </c>
      <c r="G208" s="32">
        <v>12</v>
      </c>
      <c r="H208" s="265">
        <v>2.4</v>
      </c>
      <c r="I208" s="265">
        <v>3.1036000000000001</v>
      </c>
      <c r="J208" s="32">
        <v>70</v>
      </c>
      <c r="K208" s="32" t="s">
        <v>79</v>
      </c>
      <c r="L208" s="32" t="s">
        <v>67</v>
      </c>
      <c r="M208" s="33" t="s">
        <v>68</v>
      </c>
      <c r="N208" s="33"/>
      <c r="O208" s="32">
        <v>180</v>
      </c>
      <c r="P208" s="35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71"/>
      <c r="R208" s="271"/>
      <c r="S208" s="271"/>
      <c r="T208" s="272"/>
      <c r="U208" s="34"/>
      <c r="V208" s="34"/>
      <c r="W208" s="35" t="s">
        <v>69</v>
      </c>
      <c r="X208" s="266">
        <v>0</v>
      </c>
      <c r="Y208" s="267">
        <f>IFERROR(IF(X208="","",X208),"")</f>
        <v>0</v>
      </c>
      <c r="Z208" s="36">
        <f>IFERROR(IF(X208="","",X208*0.01788),"")</f>
        <v>0</v>
      </c>
      <c r="AA208" s="56"/>
      <c r="AB208" s="57"/>
      <c r="AC208" s="204" t="s">
        <v>293</v>
      </c>
      <c r="AG208" s="67"/>
      <c r="AJ208" s="71" t="s">
        <v>71</v>
      </c>
      <c r="AK208" s="71">
        <v>1</v>
      </c>
      <c r="BB208" s="205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294</v>
      </c>
      <c r="B209" s="54" t="s">
        <v>295</v>
      </c>
      <c r="C209" s="31">
        <v>4301135691</v>
      </c>
      <c r="D209" s="281">
        <v>4620207490549</v>
      </c>
      <c r="E209" s="282"/>
      <c r="F209" s="265">
        <v>0.2</v>
      </c>
      <c r="G209" s="32">
        <v>12</v>
      </c>
      <c r="H209" s="265">
        <v>2.4</v>
      </c>
      <c r="I209" s="265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69</v>
      </c>
      <c r="X209" s="266">
        <v>0</v>
      </c>
      <c r="Y209" s="267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293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4301135694</v>
      </c>
      <c r="D210" s="281">
        <v>4620207490501</v>
      </c>
      <c r="E210" s="282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5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69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293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5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6"/>
      <c r="P211" s="276" t="s">
        <v>72</v>
      </c>
      <c r="Q211" s="277"/>
      <c r="R211" s="277"/>
      <c r="S211" s="277"/>
      <c r="T211" s="277"/>
      <c r="U211" s="277"/>
      <c r="V211" s="278"/>
      <c r="W211" s="37" t="s">
        <v>69</v>
      </c>
      <c r="X211" s="268">
        <f>IFERROR(SUM(X208:X210),"0")</f>
        <v>0</v>
      </c>
      <c r="Y211" s="268">
        <f>IFERROR(SUM(Y208:Y210),"0")</f>
        <v>0</v>
      </c>
      <c r="Z211" s="268">
        <f>IFERROR(IF(Z208="",0,Z208),"0")+IFERROR(IF(Z209="",0,Z209),"0")+IFERROR(IF(Z210="",0,Z210),"0")</f>
        <v>0</v>
      </c>
      <c r="AA211" s="269"/>
      <c r="AB211" s="269"/>
      <c r="AC211" s="269"/>
    </row>
    <row r="212" spans="1:68" x14ac:dyDescent="0.2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6"/>
      <c r="P212" s="276" t="s">
        <v>72</v>
      </c>
      <c r="Q212" s="277"/>
      <c r="R212" s="277"/>
      <c r="S212" s="277"/>
      <c r="T212" s="277"/>
      <c r="U212" s="277"/>
      <c r="V212" s="278"/>
      <c r="W212" s="37" t="s">
        <v>73</v>
      </c>
      <c r="X212" s="268">
        <f>IFERROR(SUMPRODUCT(X208:X210*H208:H210),"0")</f>
        <v>0</v>
      </c>
      <c r="Y212" s="268">
        <f>IFERROR(SUMPRODUCT(Y208:Y210*H208:H210),"0")</f>
        <v>0</v>
      </c>
      <c r="Z212" s="37"/>
      <c r="AA212" s="269"/>
      <c r="AB212" s="269"/>
      <c r="AC212" s="269"/>
    </row>
    <row r="213" spans="1:68" ht="16.5" customHeight="1" x14ac:dyDescent="0.25">
      <c r="A213" s="279" t="s">
        <v>298</v>
      </c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61"/>
      <c r="AB213" s="261"/>
      <c r="AC213" s="261"/>
    </row>
    <row r="214" spans="1:68" ht="14.25" customHeight="1" x14ac:dyDescent="0.25">
      <c r="A214" s="299" t="s">
        <v>63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0"/>
      <c r="AB214" s="260"/>
      <c r="AC214" s="260"/>
    </row>
    <row r="215" spans="1:68" ht="16.5" customHeight="1" x14ac:dyDescent="0.25">
      <c r="A215" s="54" t="s">
        <v>299</v>
      </c>
      <c r="B215" s="54" t="s">
        <v>300</v>
      </c>
      <c r="C215" s="31">
        <v>4301071099</v>
      </c>
      <c r="D215" s="281">
        <v>4607111039019</v>
      </c>
      <c r="E215" s="282"/>
      <c r="F215" s="265">
        <v>0.43</v>
      </c>
      <c r="G215" s="32">
        <v>16</v>
      </c>
      <c r="H215" s="265">
        <v>6.88</v>
      </c>
      <c r="I215" s="265">
        <v>7.2060000000000004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291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71"/>
      <c r="R215" s="271"/>
      <c r="S215" s="271"/>
      <c r="T215" s="272"/>
      <c r="U215" s="34"/>
      <c r="V215" s="34"/>
      <c r="W215" s="35" t="s">
        <v>69</v>
      </c>
      <c r="X215" s="266">
        <v>0</v>
      </c>
      <c r="Y215" s="267">
        <f>IFERROR(IF(X215="","",X215),"")</f>
        <v>0</v>
      </c>
      <c r="Z215" s="36">
        <f>IFERROR(IF(X215="","",X215*0.0155),"")</f>
        <v>0</v>
      </c>
      <c r="AA215" s="56"/>
      <c r="AB215" s="57"/>
      <c r="AC215" s="210" t="s">
        <v>301</v>
      </c>
      <c r="AG215" s="67"/>
      <c r="AJ215" s="71" t="s">
        <v>71</v>
      </c>
      <c r="AK215" s="71">
        <v>1</v>
      </c>
      <c r="BB215" s="211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16.5" customHeight="1" x14ac:dyDescent="0.25">
      <c r="A216" s="54" t="s">
        <v>302</v>
      </c>
      <c r="B216" s="54" t="s">
        <v>303</v>
      </c>
      <c r="C216" s="31">
        <v>4301071100</v>
      </c>
      <c r="D216" s="281">
        <v>4607111038708</v>
      </c>
      <c r="E216" s="282"/>
      <c r="F216" s="265">
        <v>0.8</v>
      </c>
      <c r="G216" s="32">
        <v>8</v>
      </c>
      <c r="H216" s="265">
        <v>6.4</v>
      </c>
      <c r="I216" s="265">
        <v>6.67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1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71"/>
      <c r="R216" s="271"/>
      <c r="S216" s="271"/>
      <c r="T216" s="272"/>
      <c r="U216" s="34"/>
      <c r="V216" s="34"/>
      <c r="W216" s="35" t="s">
        <v>69</v>
      </c>
      <c r="X216" s="266">
        <v>0</v>
      </c>
      <c r="Y216" s="267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301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5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6"/>
      <c r="P217" s="276" t="s">
        <v>72</v>
      </c>
      <c r="Q217" s="277"/>
      <c r="R217" s="277"/>
      <c r="S217" s="277"/>
      <c r="T217" s="277"/>
      <c r="U217" s="277"/>
      <c r="V217" s="278"/>
      <c r="W217" s="37" t="s">
        <v>69</v>
      </c>
      <c r="X217" s="268">
        <f>IFERROR(SUM(X215:X216),"0")</f>
        <v>0</v>
      </c>
      <c r="Y217" s="268">
        <f>IFERROR(SUM(Y215:Y216),"0")</f>
        <v>0</v>
      </c>
      <c r="Z217" s="268">
        <f>IFERROR(IF(Z215="",0,Z215),"0")+IFERROR(IF(Z216="",0,Z216),"0")</f>
        <v>0</v>
      </c>
      <c r="AA217" s="269"/>
      <c r="AB217" s="269"/>
      <c r="AC217" s="269"/>
    </row>
    <row r="218" spans="1:68" x14ac:dyDescent="0.2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6"/>
      <c r="P218" s="276" t="s">
        <v>72</v>
      </c>
      <c r="Q218" s="277"/>
      <c r="R218" s="277"/>
      <c r="S218" s="277"/>
      <c r="T218" s="277"/>
      <c r="U218" s="277"/>
      <c r="V218" s="278"/>
      <c r="W218" s="37" t="s">
        <v>73</v>
      </c>
      <c r="X218" s="268">
        <f>IFERROR(SUMPRODUCT(X215:X216*H215:H216),"0")</f>
        <v>0</v>
      </c>
      <c r="Y218" s="268">
        <f>IFERROR(SUMPRODUCT(Y215:Y216*H215:H216),"0")</f>
        <v>0</v>
      </c>
      <c r="Z218" s="37"/>
      <c r="AA218" s="269"/>
      <c r="AB218" s="269"/>
      <c r="AC218" s="269"/>
    </row>
    <row r="219" spans="1:68" ht="27.75" customHeight="1" x14ac:dyDescent="0.2">
      <c r="A219" s="316" t="s">
        <v>304</v>
      </c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48"/>
      <c r="AB219" s="48"/>
      <c r="AC219" s="48"/>
    </row>
    <row r="220" spans="1:68" ht="16.5" customHeight="1" x14ac:dyDescent="0.25">
      <c r="A220" s="279" t="s">
        <v>305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61"/>
      <c r="AB220" s="261"/>
      <c r="AC220" s="261"/>
    </row>
    <row r="221" spans="1:68" ht="14.25" customHeight="1" x14ac:dyDescent="0.25">
      <c r="A221" s="299" t="s">
        <v>63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0"/>
      <c r="AB221" s="260"/>
      <c r="AC221" s="260"/>
    </row>
    <row r="222" spans="1:68" ht="27" customHeight="1" x14ac:dyDescent="0.25">
      <c r="A222" s="54" t="s">
        <v>306</v>
      </c>
      <c r="B222" s="54" t="s">
        <v>307</v>
      </c>
      <c r="C222" s="31">
        <v>4301071036</v>
      </c>
      <c r="D222" s="281">
        <v>4607111036162</v>
      </c>
      <c r="E222" s="282"/>
      <c r="F222" s="265">
        <v>0.8</v>
      </c>
      <c r="G222" s="32">
        <v>8</v>
      </c>
      <c r="H222" s="265">
        <v>6.4</v>
      </c>
      <c r="I222" s="265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9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1"/>
      <c r="R222" s="271"/>
      <c r="S222" s="271"/>
      <c r="T222" s="272"/>
      <c r="U222" s="34"/>
      <c r="V222" s="34"/>
      <c r="W222" s="35" t="s">
        <v>69</v>
      </c>
      <c r="X222" s="266">
        <v>0</v>
      </c>
      <c r="Y222" s="267">
        <f>IFERROR(IF(X222="","",X222),"")</f>
        <v>0</v>
      </c>
      <c r="Z222" s="36">
        <f>IFERROR(IF(X222="","",X222*0.0155),"")</f>
        <v>0</v>
      </c>
      <c r="AA222" s="56"/>
      <c r="AB222" s="57"/>
      <c r="AC222" s="214" t="s">
        <v>308</v>
      </c>
      <c r="AG222" s="67"/>
      <c r="AJ222" s="71" t="s">
        <v>71</v>
      </c>
      <c r="AK222" s="71">
        <v>1</v>
      </c>
      <c r="BB222" s="215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5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6"/>
      <c r="P223" s="276" t="s">
        <v>72</v>
      </c>
      <c r="Q223" s="277"/>
      <c r="R223" s="277"/>
      <c r="S223" s="277"/>
      <c r="T223" s="277"/>
      <c r="U223" s="277"/>
      <c r="V223" s="278"/>
      <c r="W223" s="37" t="s">
        <v>69</v>
      </c>
      <c r="X223" s="268">
        <f>IFERROR(SUM(X222:X222),"0")</f>
        <v>0</v>
      </c>
      <c r="Y223" s="268">
        <f>IFERROR(SUM(Y222:Y222),"0")</f>
        <v>0</v>
      </c>
      <c r="Z223" s="268">
        <f>IFERROR(IF(Z222="",0,Z222),"0")</f>
        <v>0</v>
      </c>
      <c r="AA223" s="269"/>
      <c r="AB223" s="269"/>
      <c r="AC223" s="269"/>
    </row>
    <row r="224" spans="1:68" x14ac:dyDescent="0.2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6"/>
      <c r="P224" s="276" t="s">
        <v>72</v>
      </c>
      <c r="Q224" s="277"/>
      <c r="R224" s="277"/>
      <c r="S224" s="277"/>
      <c r="T224" s="277"/>
      <c r="U224" s="277"/>
      <c r="V224" s="278"/>
      <c r="W224" s="37" t="s">
        <v>73</v>
      </c>
      <c r="X224" s="268">
        <f>IFERROR(SUMPRODUCT(X222:X222*H222:H222),"0")</f>
        <v>0</v>
      </c>
      <c r="Y224" s="268">
        <f>IFERROR(SUMPRODUCT(Y222:Y222*H222:H222),"0")</f>
        <v>0</v>
      </c>
      <c r="Z224" s="37"/>
      <c r="AA224" s="269"/>
      <c r="AB224" s="269"/>
      <c r="AC224" s="269"/>
    </row>
    <row r="225" spans="1:68" ht="27.75" customHeight="1" x14ac:dyDescent="0.2">
      <c r="A225" s="316" t="s">
        <v>309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48"/>
      <c r="AB225" s="48"/>
      <c r="AC225" s="48"/>
    </row>
    <row r="226" spans="1:68" ht="16.5" customHeight="1" x14ac:dyDescent="0.25">
      <c r="A226" s="279" t="s">
        <v>310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61"/>
      <c r="AB226" s="261"/>
      <c r="AC226" s="261"/>
    </row>
    <row r="227" spans="1:68" ht="14.25" customHeight="1" x14ac:dyDescent="0.25">
      <c r="A227" s="299" t="s">
        <v>63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0"/>
      <c r="AB227" s="260"/>
      <c r="AC227" s="260"/>
    </row>
    <row r="228" spans="1:68" ht="27" customHeight="1" x14ac:dyDescent="0.25">
      <c r="A228" s="54" t="s">
        <v>311</v>
      </c>
      <c r="B228" s="54" t="s">
        <v>312</v>
      </c>
      <c r="C228" s="31">
        <v>4301071029</v>
      </c>
      <c r="D228" s="281">
        <v>4607111035899</v>
      </c>
      <c r="E228" s="282"/>
      <c r="F228" s="265">
        <v>1</v>
      </c>
      <c r="G228" s="32">
        <v>5</v>
      </c>
      <c r="H228" s="265">
        <v>5</v>
      </c>
      <c r="I228" s="265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4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1"/>
      <c r="R228" s="271"/>
      <c r="S228" s="271"/>
      <c r="T228" s="272"/>
      <c r="U228" s="34"/>
      <c r="V228" s="34"/>
      <c r="W228" s="35" t="s">
        <v>69</v>
      </c>
      <c r="X228" s="266">
        <v>0</v>
      </c>
      <c r="Y228" s="267">
        <f>IFERROR(IF(X228="","",X228),"")</f>
        <v>0</v>
      </c>
      <c r="Z228" s="36">
        <f>IFERROR(IF(X228="","",X228*0.0155),"")</f>
        <v>0</v>
      </c>
      <c r="AA228" s="56"/>
      <c r="AB228" s="57"/>
      <c r="AC228" s="216" t="s">
        <v>236</v>
      </c>
      <c r="AG228" s="67"/>
      <c r="AJ228" s="71" t="s">
        <v>71</v>
      </c>
      <c r="AK228" s="71">
        <v>1</v>
      </c>
      <c r="BB228" s="21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5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6"/>
      <c r="P229" s="276" t="s">
        <v>72</v>
      </c>
      <c r="Q229" s="277"/>
      <c r="R229" s="277"/>
      <c r="S229" s="277"/>
      <c r="T229" s="277"/>
      <c r="U229" s="277"/>
      <c r="V229" s="278"/>
      <c r="W229" s="37" t="s">
        <v>69</v>
      </c>
      <c r="X229" s="268">
        <f>IFERROR(SUM(X228:X228),"0")</f>
        <v>0</v>
      </c>
      <c r="Y229" s="268">
        <f>IFERROR(SUM(Y228:Y228),"0")</f>
        <v>0</v>
      </c>
      <c r="Z229" s="268">
        <f>IFERROR(IF(Z228="",0,Z228),"0")</f>
        <v>0</v>
      </c>
      <c r="AA229" s="269"/>
      <c r="AB229" s="269"/>
      <c r="AC229" s="269"/>
    </row>
    <row r="230" spans="1:68" x14ac:dyDescent="0.2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6"/>
      <c r="P230" s="276" t="s">
        <v>72</v>
      </c>
      <c r="Q230" s="277"/>
      <c r="R230" s="277"/>
      <c r="S230" s="277"/>
      <c r="T230" s="277"/>
      <c r="U230" s="277"/>
      <c r="V230" s="278"/>
      <c r="W230" s="37" t="s">
        <v>73</v>
      </c>
      <c r="X230" s="268">
        <f>IFERROR(SUMPRODUCT(X228:X228*H228:H228),"0")</f>
        <v>0</v>
      </c>
      <c r="Y230" s="268">
        <f>IFERROR(SUMPRODUCT(Y228:Y228*H228:H228),"0")</f>
        <v>0</v>
      </c>
      <c r="Z230" s="37"/>
      <c r="AA230" s="269"/>
      <c r="AB230" s="269"/>
      <c r="AC230" s="269"/>
    </row>
    <row r="231" spans="1:68" ht="27.75" customHeight="1" x14ac:dyDescent="0.2">
      <c r="A231" s="316" t="s">
        <v>313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48"/>
      <c r="AB231" s="48"/>
      <c r="AC231" s="48"/>
    </row>
    <row r="232" spans="1:68" ht="16.5" customHeight="1" x14ac:dyDescent="0.25">
      <c r="A232" s="279" t="s">
        <v>314</v>
      </c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61"/>
      <c r="AB232" s="261"/>
      <c r="AC232" s="261"/>
    </row>
    <row r="233" spans="1:68" ht="14.25" customHeight="1" x14ac:dyDescent="0.25">
      <c r="A233" s="299" t="s">
        <v>315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0"/>
      <c r="AB233" s="260"/>
      <c r="AC233" s="260"/>
    </row>
    <row r="234" spans="1:68" ht="27" customHeight="1" x14ac:dyDescent="0.25">
      <c r="A234" s="54" t="s">
        <v>316</v>
      </c>
      <c r="B234" s="54" t="s">
        <v>317</v>
      </c>
      <c r="C234" s="31">
        <v>4301133004</v>
      </c>
      <c r="D234" s="281">
        <v>4607111039774</v>
      </c>
      <c r="E234" s="282"/>
      <c r="F234" s="265">
        <v>0.25</v>
      </c>
      <c r="G234" s="32">
        <v>12</v>
      </c>
      <c r="H234" s="265">
        <v>3</v>
      </c>
      <c r="I234" s="265">
        <v>3.22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30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1"/>
      <c r="R234" s="271"/>
      <c r="S234" s="271"/>
      <c r="T234" s="272"/>
      <c r="U234" s="34"/>
      <c r="V234" s="34"/>
      <c r="W234" s="35" t="s">
        <v>69</v>
      </c>
      <c r="X234" s="266">
        <v>0</v>
      </c>
      <c r="Y234" s="267">
        <f>IFERROR(IF(X234="","",X234),"")</f>
        <v>0</v>
      </c>
      <c r="Z234" s="36">
        <f>IFERROR(IF(X234="","",X234*0.01788),"")</f>
        <v>0</v>
      </c>
      <c r="AA234" s="56"/>
      <c r="AB234" s="57"/>
      <c r="AC234" s="218" t="s">
        <v>318</v>
      </c>
      <c r="AG234" s="67"/>
      <c r="AJ234" s="71" t="s">
        <v>71</v>
      </c>
      <c r="AK234" s="71">
        <v>1</v>
      </c>
      <c r="BB234" s="219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5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6"/>
      <c r="P235" s="276" t="s">
        <v>72</v>
      </c>
      <c r="Q235" s="277"/>
      <c r="R235" s="277"/>
      <c r="S235" s="277"/>
      <c r="T235" s="277"/>
      <c r="U235" s="277"/>
      <c r="V235" s="278"/>
      <c r="W235" s="37" t="s">
        <v>69</v>
      </c>
      <c r="X235" s="268">
        <f>IFERROR(SUM(X234:X234),"0")</f>
        <v>0</v>
      </c>
      <c r="Y235" s="268">
        <f>IFERROR(SUM(Y234:Y234),"0")</f>
        <v>0</v>
      </c>
      <c r="Z235" s="268">
        <f>IFERROR(IF(Z234="",0,Z234),"0")</f>
        <v>0</v>
      </c>
      <c r="AA235" s="269"/>
      <c r="AB235" s="269"/>
      <c r="AC235" s="269"/>
    </row>
    <row r="236" spans="1:68" x14ac:dyDescent="0.2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6"/>
      <c r="P236" s="276" t="s">
        <v>72</v>
      </c>
      <c r="Q236" s="277"/>
      <c r="R236" s="277"/>
      <c r="S236" s="277"/>
      <c r="T236" s="277"/>
      <c r="U236" s="277"/>
      <c r="V236" s="278"/>
      <c r="W236" s="37" t="s">
        <v>73</v>
      </c>
      <c r="X236" s="268">
        <f>IFERROR(SUMPRODUCT(X234:X234*H234:H234),"0")</f>
        <v>0</v>
      </c>
      <c r="Y236" s="268">
        <f>IFERROR(SUMPRODUCT(Y234:Y234*H234:H234),"0")</f>
        <v>0</v>
      </c>
      <c r="Z236" s="37"/>
      <c r="AA236" s="269"/>
      <c r="AB236" s="269"/>
      <c r="AC236" s="269"/>
    </row>
    <row r="237" spans="1:68" ht="14.25" customHeight="1" x14ac:dyDescent="0.25">
      <c r="A237" s="299" t="s">
        <v>120</v>
      </c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60"/>
      <c r="AB237" s="260"/>
      <c r="AC237" s="260"/>
    </row>
    <row r="238" spans="1:68" ht="37.5" customHeight="1" x14ac:dyDescent="0.25">
      <c r="A238" s="54" t="s">
        <v>319</v>
      </c>
      <c r="B238" s="54" t="s">
        <v>320</v>
      </c>
      <c r="C238" s="31">
        <v>4301135400</v>
      </c>
      <c r="D238" s="281">
        <v>4607111039361</v>
      </c>
      <c r="E238" s="282"/>
      <c r="F238" s="265">
        <v>0.25</v>
      </c>
      <c r="G238" s="32">
        <v>12</v>
      </c>
      <c r="H238" s="265">
        <v>3</v>
      </c>
      <c r="I238" s="265">
        <v>3.7035999999999998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37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1"/>
      <c r="R238" s="271"/>
      <c r="S238" s="271"/>
      <c r="T238" s="272"/>
      <c r="U238" s="34"/>
      <c r="V238" s="34"/>
      <c r="W238" s="35" t="s">
        <v>69</v>
      </c>
      <c r="X238" s="266">
        <v>0</v>
      </c>
      <c r="Y238" s="267">
        <f>IFERROR(IF(X238="","",X238),"")</f>
        <v>0</v>
      </c>
      <c r="Z238" s="36">
        <f>IFERROR(IF(X238="","",X238*0.01788),"")</f>
        <v>0</v>
      </c>
      <c r="AA238" s="56"/>
      <c r="AB238" s="57"/>
      <c r="AC238" s="220" t="s">
        <v>318</v>
      </c>
      <c r="AG238" s="67"/>
      <c r="AJ238" s="71" t="s">
        <v>71</v>
      </c>
      <c r="AK238" s="71">
        <v>1</v>
      </c>
      <c r="BB238" s="221" t="s">
        <v>83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85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6"/>
      <c r="P239" s="276" t="s">
        <v>72</v>
      </c>
      <c r="Q239" s="277"/>
      <c r="R239" s="277"/>
      <c r="S239" s="277"/>
      <c r="T239" s="277"/>
      <c r="U239" s="277"/>
      <c r="V239" s="278"/>
      <c r="W239" s="37" t="s">
        <v>69</v>
      </c>
      <c r="X239" s="268">
        <f>IFERROR(SUM(X238:X238),"0")</f>
        <v>0</v>
      </c>
      <c r="Y239" s="268">
        <f>IFERROR(SUM(Y238:Y238),"0")</f>
        <v>0</v>
      </c>
      <c r="Z239" s="268">
        <f>IFERROR(IF(Z238="",0,Z238),"0")</f>
        <v>0</v>
      </c>
      <c r="AA239" s="269"/>
      <c r="AB239" s="269"/>
      <c r="AC239" s="269"/>
    </row>
    <row r="240" spans="1:68" x14ac:dyDescent="0.2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6"/>
      <c r="P240" s="276" t="s">
        <v>72</v>
      </c>
      <c r="Q240" s="277"/>
      <c r="R240" s="277"/>
      <c r="S240" s="277"/>
      <c r="T240" s="277"/>
      <c r="U240" s="277"/>
      <c r="V240" s="278"/>
      <c r="W240" s="37" t="s">
        <v>73</v>
      </c>
      <c r="X240" s="268">
        <f>IFERROR(SUMPRODUCT(X238:X238*H238:H238),"0")</f>
        <v>0</v>
      </c>
      <c r="Y240" s="268">
        <f>IFERROR(SUMPRODUCT(Y238:Y238*H238:H238),"0")</f>
        <v>0</v>
      </c>
      <c r="Z240" s="37"/>
      <c r="AA240" s="269"/>
      <c r="AB240" s="269"/>
      <c r="AC240" s="269"/>
    </row>
    <row r="241" spans="1:68" ht="27.75" customHeight="1" x14ac:dyDescent="0.2">
      <c r="A241" s="316" t="s">
        <v>321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48"/>
      <c r="AB241" s="48"/>
      <c r="AC241" s="48"/>
    </row>
    <row r="242" spans="1:68" ht="16.5" customHeight="1" x14ac:dyDescent="0.25">
      <c r="A242" s="279" t="s">
        <v>321</v>
      </c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61"/>
      <c r="AB242" s="261"/>
      <c r="AC242" s="261"/>
    </row>
    <row r="243" spans="1:68" ht="14.25" customHeight="1" x14ac:dyDescent="0.25">
      <c r="A243" s="299" t="s">
        <v>63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0"/>
      <c r="AB243" s="260"/>
      <c r="AC243" s="260"/>
    </row>
    <row r="244" spans="1:68" ht="27" customHeight="1" x14ac:dyDescent="0.25">
      <c r="A244" s="54" t="s">
        <v>322</v>
      </c>
      <c r="B244" s="54" t="s">
        <v>323</v>
      </c>
      <c r="C244" s="31">
        <v>4301071014</v>
      </c>
      <c r="D244" s="281">
        <v>4640242181264</v>
      </c>
      <c r="E244" s="282"/>
      <c r="F244" s="265">
        <v>0.7</v>
      </c>
      <c r="G244" s="32">
        <v>10</v>
      </c>
      <c r="H244" s="265">
        <v>7</v>
      </c>
      <c r="I244" s="265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1"/>
      <c r="R244" s="271"/>
      <c r="S244" s="271"/>
      <c r="T244" s="272"/>
      <c r="U244" s="34"/>
      <c r="V244" s="34"/>
      <c r="W244" s="35" t="s">
        <v>69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22" t="s">
        <v>324</v>
      </c>
      <c r="AG244" s="67"/>
      <c r="AJ244" s="71" t="s">
        <v>71</v>
      </c>
      <c r="AK244" s="71">
        <v>1</v>
      </c>
      <c r="BB244" s="223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325</v>
      </c>
      <c r="B245" s="54" t="s">
        <v>326</v>
      </c>
      <c r="C245" s="31">
        <v>4301071021</v>
      </c>
      <c r="D245" s="281">
        <v>4640242181325</v>
      </c>
      <c r="E245" s="282"/>
      <c r="F245" s="265">
        <v>0.7</v>
      </c>
      <c r="G245" s="32">
        <v>10</v>
      </c>
      <c r="H245" s="265">
        <v>7</v>
      </c>
      <c r="I245" s="265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1"/>
      <c r="R245" s="271"/>
      <c r="S245" s="271"/>
      <c r="T245" s="272"/>
      <c r="U245" s="34"/>
      <c r="V245" s="34"/>
      <c r="W245" s="35" t="s">
        <v>69</v>
      </c>
      <c r="X245" s="266">
        <v>0</v>
      </c>
      <c r="Y245" s="267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324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4301070993</v>
      </c>
      <c r="D246" s="281">
        <v>4640242180670</v>
      </c>
      <c r="E246" s="282"/>
      <c r="F246" s="265">
        <v>1</v>
      </c>
      <c r="G246" s="32">
        <v>6</v>
      </c>
      <c r="H246" s="265">
        <v>6</v>
      </c>
      <c r="I246" s="265">
        <v>6.23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71"/>
      <c r="R246" s="271"/>
      <c r="S246" s="271"/>
      <c r="T246" s="272"/>
      <c r="U246" s="34"/>
      <c r="V246" s="34"/>
      <c r="W246" s="35" t="s">
        <v>69</v>
      </c>
      <c r="X246" s="266">
        <v>0</v>
      </c>
      <c r="Y246" s="267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85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6"/>
      <c r="P247" s="276" t="s">
        <v>72</v>
      </c>
      <c r="Q247" s="277"/>
      <c r="R247" s="277"/>
      <c r="S247" s="277"/>
      <c r="T247" s="277"/>
      <c r="U247" s="277"/>
      <c r="V247" s="278"/>
      <c r="W247" s="37" t="s">
        <v>69</v>
      </c>
      <c r="X247" s="268">
        <f>IFERROR(SUM(X244:X246),"0")</f>
        <v>0</v>
      </c>
      <c r="Y247" s="268">
        <f>IFERROR(SUM(Y244:Y246),"0")</f>
        <v>0</v>
      </c>
      <c r="Z247" s="268">
        <f>IFERROR(IF(Z244="",0,Z244),"0")+IFERROR(IF(Z245="",0,Z245),"0")+IFERROR(IF(Z246="",0,Z246),"0")</f>
        <v>0</v>
      </c>
      <c r="AA247" s="269"/>
      <c r="AB247" s="269"/>
      <c r="AC247" s="269"/>
    </row>
    <row r="248" spans="1:68" x14ac:dyDescent="0.2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6"/>
      <c r="P248" s="276" t="s">
        <v>72</v>
      </c>
      <c r="Q248" s="277"/>
      <c r="R248" s="277"/>
      <c r="S248" s="277"/>
      <c r="T248" s="277"/>
      <c r="U248" s="277"/>
      <c r="V248" s="278"/>
      <c r="W248" s="37" t="s">
        <v>73</v>
      </c>
      <c r="X248" s="268">
        <f>IFERROR(SUMPRODUCT(X244:X246*H244:H246),"0")</f>
        <v>0</v>
      </c>
      <c r="Y248" s="268">
        <f>IFERROR(SUMPRODUCT(Y244:Y246*H244:H246),"0")</f>
        <v>0</v>
      </c>
      <c r="Z248" s="37"/>
      <c r="AA248" s="269"/>
      <c r="AB248" s="269"/>
      <c r="AC248" s="269"/>
    </row>
    <row r="249" spans="1:68" ht="14.25" customHeight="1" x14ac:dyDescent="0.25">
      <c r="A249" s="299" t="s">
        <v>76</v>
      </c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60"/>
      <c r="AB249" s="260"/>
      <c r="AC249" s="260"/>
    </row>
    <row r="250" spans="1:68" ht="27" customHeight="1" x14ac:dyDescent="0.25">
      <c r="A250" s="54" t="s">
        <v>330</v>
      </c>
      <c r="B250" s="54" t="s">
        <v>331</v>
      </c>
      <c r="C250" s="31">
        <v>4301132080</v>
      </c>
      <c r="D250" s="281">
        <v>4640242180397</v>
      </c>
      <c r="E250" s="282"/>
      <c r="F250" s="265">
        <v>1</v>
      </c>
      <c r="G250" s="32">
        <v>6</v>
      </c>
      <c r="H250" s="265">
        <v>6</v>
      </c>
      <c r="I250" s="265">
        <v>6.26</v>
      </c>
      <c r="J250" s="32">
        <v>84</v>
      </c>
      <c r="K250" s="32" t="s">
        <v>66</v>
      </c>
      <c r="L250" s="32" t="s">
        <v>80</v>
      </c>
      <c r="M250" s="33" t="s">
        <v>68</v>
      </c>
      <c r="N250" s="33"/>
      <c r="O250" s="32">
        <v>180</v>
      </c>
      <c r="P250" s="3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71"/>
      <c r="R250" s="271"/>
      <c r="S250" s="271"/>
      <c r="T250" s="272"/>
      <c r="U250" s="34"/>
      <c r="V250" s="34"/>
      <c r="W250" s="35" t="s">
        <v>69</v>
      </c>
      <c r="X250" s="266">
        <v>144</v>
      </c>
      <c r="Y250" s="267">
        <f>IFERROR(IF(X250="","",X250),"")</f>
        <v>144</v>
      </c>
      <c r="Z250" s="36">
        <f>IFERROR(IF(X250="","",X250*0.0155),"")</f>
        <v>2.2320000000000002</v>
      </c>
      <c r="AA250" s="56"/>
      <c r="AB250" s="57"/>
      <c r="AC250" s="228" t="s">
        <v>332</v>
      </c>
      <c r="AG250" s="67"/>
      <c r="AJ250" s="71" t="s">
        <v>82</v>
      </c>
      <c r="AK250" s="71">
        <v>12</v>
      </c>
      <c r="BB250" s="229" t="s">
        <v>83</v>
      </c>
      <c r="BM250" s="67">
        <f>IFERROR(X250*I250,"0")</f>
        <v>901.43999999999994</v>
      </c>
      <c r="BN250" s="67">
        <f>IFERROR(Y250*I250,"0")</f>
        <v>901.43999999999994</v>
      </c>
      <c r="BO250" s="67">
        <f>IFERROR(X250/J250,"0")</f>
        <v>1.7142857142857142</v>
      </c>
      <c r="BP250" s="67">
        <f>IFERROR(Y250/J250,"0")</f>
        <v>1.7142857142857142</v>
      </c>
    </row>
    <row r="251" spans="1:68" ht="27" customHeight="1" x14ac:dyDescent="0.25">
      <c r="A251" s="54" t="s">
        <v>333</v>
      </c>
      <c r="B251" s="54" t="s">
        <v>334</v>
      </c>
      <c r="C251" s="31">
        <v>4301132104</v>
      </c>
      <c r="D251" s="281">
        <v>4640242181219</v>
      </c>
      <c r="E251" s="282"/>
      <c r="F251" s="265">
        <v>0.3</v>
      </c>
      <c r="G251" s="32">
        <v>9</v>
      </c>
      <c r="H251" s="265">
        <v>2.7</v>
      </c>
      <c r="I251" s="265">
        <v>2.8450000000000002</v>
      </c>
      <c r="J251" s="32">
        <v>234</v>
      </c>
      <c r="K251" s="32" t="s">
        <v>131</v>
      </c>
      <c r="L251" s="32" t="s">
        <v>67</v>
      </c>
      <c r="M251" s="33" t="s">
        <v>68</v>
      </c>
      <c r="N251" s="33"/>
      <c r="O251" s="32">
        <v>180</v>
      </c>
      <c r="P251" s="390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71"/>
      <c r="R251" s="271"/>
      <c r="S251" s="271"/>
      <c r="T251" s="272"/>
      <c r="U251" s="34"/>
      <c r="V251" s="34"/>
      <c r="W251" s="35" t="s">
        <v>69</v>
      </c>
      <c r="X251" s="266">
        <v>0</v>
      </c>
      <c r="Y251" s="267">
        <f>IFERROR(IF(X251="","",X251),"")</f>
        <v>0</v>
      </c>
      <c r="Z251" s="36">
        <f>IFERROR(IF(X251="","",X251*0.00502),"")</f>
        <v>0</v>
      </c>
      <c r="AA251" s="56"/>
      <c r="AB251" s="57"/>
      <c r="AC251" s="230" t="s">
        <v>332</v>
      </c>
      <c r="AG251" s="67"/>
      <c r="AJ251" s="71" t="s">
        <v>71</v>
      </c>
      <c r="AK251" s="71">
        <v>1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85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6"/>
      <c r="P252" s="276" t="s">
        <v>72</v>
      </c>
      <c r="Q252" s="277"/>
      <c r="R252" s="277"/>
      <c r="S252" s="277"/>
      <c r="T252" s="277"/>
      <c r="U252" s="277"/>
      <c r="V252" s="278"/>
      <c r="W252" s="37" t="s">
        <v>69</v>
      </c>
      <c r="X252" s="268">
        <f>IFERROR(SUM(X250:X251),"0")</f>
        <v>144</v>
      </c>
      <c r="Y252" s="268">
        <f>IFERROR(SUM(Y250:Y251),"0")</f>
        <v>144</v>
      </c>
      <c r="Z252" s="268">
        <f>IFERROR(IF(Z250="",0,Z250),"0")+IFERROR(IF(Z251="",0,Z251),"0")</f>
        <v>2.2320000000000002</v>
      </c>
      <c r="AA252" s="269"/>
      <c r="AB252" s="269"/>
      <c r="AC252" s="269"/>
    </row>
    <row r="253" spans="1:68" x14ac:dyDescent="0.2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6"/>
      <c r="P253" s="276" t="s">
        <v>72</v>
      </c>
      <c r="Q253" s="277"/>
      <c r="R253" s="277"/>
      <c r="S253" s="277"/>
      <c r="T253" s="277"/>
      <c r="U253" s="277"/>
      <c r="V253" s="278"/>
      <c r="W253" s="37" t="s">
        <v>73</v>
      </c>
      <c r="X253" s="268">
        <f>IFERROR(SUMPRODUCT(X250:X251*H250:H251),"0")</f>
        <v>864</v>
      </c>
      <c r="Y253" s="268">
        <f>IFERROR(SUMPRODUCT(Y250:Y251*H250:H251),"0")</f>
        <v>864</v>
      </c>
      <c r="Z253" s="37"/>
      <c r="AA253" s="269"/>
      <c r="AB253" s="269"/>
      <c r="AC253" s="269"/>
    </row>
    <row r="254" spans="1:68" ht="14.25" customHeight="1" x14ac:dyDescent="0.25">
      <c r="A254" s="299" t="s">
        <v>114</v>
      </c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60"/>
      <c r="AB254" s="260"/>
      <c r="AC254" s="260"/>
    </row>
    <row r="255" spans="1:68" ht="27" customHeight="1" x14ac:dyDescent="0.25">
      <c r="A255" s="54" t="s">
        <v>335</v>
      </c>
      <c r="B255" s="54" t="s">
        <v>336</v>
      </c>
      <c r="C255" s="31">
        <v>4301136051</v>
      </c>
      <c r="D255" s="281">
        <v>4640242180304</v>
      </c>
      <c r="E255" s="282"/>
      <c r="F255" s="265">
        <v>2.7</v>
      </c>
      <c r="G255" s="32">
        <v>1</v>
      </c>
      <c r="H255" s="265">
        <v>2.7</v>
      </c>
      <c r="I255" s="265">
        <v>2.8906000000000001</v>
      </c>
      <c r="J255" s="32">
        <v>126</v>
      </c>
      <c r="K255" s="32" t="s">
        <v>79</v>
      </c>
      <c r="L255" s="32" t="s">
        <v>80</v>
      </c>
      <c r="M255" s="33" t="s">
        <v>68</v>
      </c>
      <c r="N255" s="33"/>
      <c r="O255" s="32">
        <v>180</v>
      </c>
      <c r="P255" s="33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71"/>
      <c r="R255" s="271"/>
      <c r="S255" s="271"/>
      <c r="T255" s="272"/>
      <c r="U255" s="34"/>
      <c r="V255" s="34"/>
      <c r="W255" s="35" t="s">
        <v>69</v>
      </c>
      <c r="X255" s="266">
        <v>0</v>
      </c>
      <c r="Y255" s="267">
        <f>IFERROR(IF(X255="","",X255),"")</f>
        <v>0</v>
      </c>
      <c r="Z255" s="36">
        <f>IFERROR(IF(X255="","",X255*0.00936),"")</f>
        <v>0</v>
      </c>
      <c r="AA255" s="56"/>
      <c r="AB255" s="57"/>
      <c r="AC255" s="232" t="s">
        <v>337</v>
      </c>
      <c r="AG255" s="67"/>
      <c r="AJ255" s="71" t="s">
        <v>82</v>
      </c>
      <c r="AK255" s="71">
        <v>14</v>
      </c>
      <c r="BB255" s="233" t="s">
        <v>83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338</v>
      </c>
      <c r="B256" s="54" t="s">
        <v>339</v>
      </c>
      <c r="C256" s="31">
        <v>4301136053</v>
      </c>
      <c r="D256" s="281">
        <v>4640242180236</v>
      </c>
      <c r="E256" s="282"/>
      <c r="F256" s="265">
        <v>5</v>
      </c>
      <c r="G256" s="32">
        <v>1</v>
      </c>
      <c r="H256" s="265">
        <v>5</v>
      </c>
      <c r="I256" s="265">
        <v>5.2350000000000003</v>
      </c>
      <c r="J256" s="32">
        <v>84</v>
      </c>
      <c r="K256" s="32" t="s">
        <v>66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71"/>
      <c r="R256" s="271"/>
      <c r="S256" s="271"/>
      <c r="T256" s="272"/>
      <c r="U256" s="34"/>
      <c r="V256" s="34"/>
      <c r="W256" s="35" t="s">
        <v>69</v>
      </c>
      <c r="X256" s="266">
        <v>0</v>
      </c>
      <c r="Y256" s="267">
        <f>IFERROR(IF(X256="","",X256),"")</f>
        <v>0</v>
      </c>
      <c r="Z256" s="36">
        <f>IFERROR(IF(X256="","",X256*0.0155),"")</f>
        <v>0</v>
      </c>
      <c r="AA256" s="56"/>
      <c r="AB256" s="57"/>
      <c r="AC256" s="234" t="s">
        <v>337</v>
      </c>
      <c r="AG256" s="67"/>
      <c r="AJ256" s="71" t="s">
        <v>82</v>
      </c>
      <c r="AK256" s="71">
        <v>12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340</v>
      </c>
      <c r="B257" s="54" t="s">
        <v>341</v>
      </c>
      <c r="C257" s="31">
        <v>4301136052</v>
      </c>
      <c r="D257" s="281">
        <v>4640242180410</v>
      </c>
      <c r="E257" s="282"/>
      <c r="F257" s="265">
        <v>2.2400000000000002</v>
      </c>
      <c r="G257" s="32">
        <v>1</v>
      </c>
      <c r="H257" s="265">
        <v>2.2400000000000002</v>
      </c>
      <c r="I257" s="265">
        <v>2.4319999999999999</v>
      </c>
      <c r="J257" s="32">
        <v>126</v>
      </c>
      <c r="K257" s="32" t="s">
        <v>79</v>
      </c>
      <c r="L257" s="32" t="s">
        <v>67</v>
      </c>
      <c r="M257" s="33" t="s">
        <v>68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71"/>
      <c r="R257" s="271"/>
      <c r="S257" s="271"/>
      <c r="T257" s="272"/>
      <c r="U257" s="34"/>
      <c r="V257" s="34"/>
      <c r="W257" s="35" t="s">
        <v>69</v>
      </c>
      <c r="X257" s="266">
        <v>0</v>
      </c>
      <c r="Y257" s="267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337</v>
      </c>
      <c r="AG257" s="67"/>
      <c r="AJ257" s="71" t="s">
        <v>71</v>
      </c>
      <c r="AK257" s="71">
        <v>1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85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6"/>
      <c r="P258" s="276" t="s">
        <v>72</v>
      </c>
      <c r="Q258" s="277"/>
      <c r="R258" s="277"/>
      <c r="S258" s="277"/>
      <c r="T258" s="277"/>
      <c r="U258" s="277"/>
      <c r="V258" s="278"/>
      <c r="W258" s="37" t="s">
        <v>69</v>
      </c>
      <c r="X258" s="268">
        <f>IFERROR(SUM(X255:X257),"0")</f>
        <v>0</v>
      </c>
      <c r="Y258" s="268">
        <f>IFERROR(SUM(Y255:Y257),"0")</f>
        <v>0</v>
      </c>
      <c r="Z258" s="268">
        <f>IFERROR(IF(Z255="",0,Z255),"0")+IFERROR(IF(Z256="",0,Z256),"0")+IFERROR(IF(Z257="",0,Z257),"0")</f>
        <v>0</v>
      </c>
      <c r="AA258" s="269"/>
      <c r="AB258" s="269"/>
      <c r="AC258" s="269"/>
    </row>
    <row r="259" spans="1:68" x14ac:dyDescent="0.2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6"/>
      <c r="P259" s="276" t="s">
        <v>72</v>
      </c>
      <c r="Q259" s="277"/>
      <c r="R259" s="277"/>
      <c r="S259" s="277"/>
      <c r="T259" s="277"/>
      <c r="U259" s="277"/>
      <c r="V259" s="278"/>
      <c r="W259" s="37" t="s">
        <v>73</v>
      </c>
      <c r="X259" s="268">
        <f>IFERROR(SUMPRODUCT(X255:X257*H255:H257),"0")</f>
        <v>0</v>
      </c>
      <c r="Y259" s="268">
        <f>IFERROR(SUMPRODUCT(Y255:Y257*H255:H257),"0")</f>
        <v>0</v>
      </c>
      <c r="Z259" s="37"/>
      <c r="AA259" s="269"/>
      <c r="AB259" s="269"/>
      <c r="AC259" s="269"/>
    </row>
    <row r="260" spans="1:68" ht="14.25" customHeight="1" x14ac:dyDescent="0.25">
      <c r="A260" s="299" t="s">
        <v>120</v>
      </c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60"/>
      <c r="AB260" s="260"/>
      <c r="AC260" s="260"/>
    </row>
    <row r="261" spans="1:68" ht="37.5" customHeight="1" x14ac:dyDescent="0.25">
      <c r="A261" s="54" t="s">
        <v>342</v>
      </c>
      <c r="B261" s="54" t="s">
        <v>343</v>
      </c>
      <c r="C261" s="31">
        <v>4301135504</v>
      </c>
      <c r="D261" s="281">
        <v>4640242181554</v>
      </c>
      <c r="E261" s="282"/>
      <c r="F261" s="265">
        <v>3</v>
      </c>
      <c r="G261" s="32">
        <v>1</v>
      </c>
      <c r="H261" s="265">
        <v>3</v>
      </c>
      <c r="I261" s="265">
        <v>3.1920000000000002</v>
      </c>
      <c r="J261" s="32">
        <v>126</v>
      </c>
      <c r="K261" s="32" t="s">
        <v>79</v>
      </c>
      <c r="L261" s="32" t="s">
        <v>67</v>
      </c>
      <c r="M261" s="33" t="s">
        <v>68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71"/>
      <c r="R261" s="271"/>
      <c r="S261" s="271"/>
      <c r="T261" s="272"/>
      <c r="U261" s="34"/>
      <c r="V261" s="34"/>
      <c r="W261" s="35" t="s">
        <v>69</v>
      </c>
      <c r="X261" s="266">
        <v>0</v>
      </c>
      <c r="Y261" s="267">
        <f t="shared" ref="Y261:Y270" si="12">IFERROR(IF(X261="","",X261),"")</f>
        <v>0</v>
      </c>
      <c r="Z261" s="36">
        <f>IFERROR(IF(X261="","",X261*0.00936),"")</f>
        <v>0</v>
      </c>
      <c r="AA261" s="56"/>
      <c r="AB261" s="57"/>
      <c r="AC261" s="238" t="s">
        <v>344</v>
      </c>
      <c r="AG261" s="67"/>
      <c r="AJ261" s="71" t="s">
        <v>71</v>
      </c>
      <c r="AK261" s="71">
        <v>1</v>
      </c>
      <c r="BB261" s="239" t="s">
        <v>83</v>
      </c>
      <c r="BM261" s="67">
        <f t="shared" ref="BM261:BM270" si="13">IFERROR(X261*I261,"0")</f>
        <v>0</v>
      </c>
      <c r="BN261" s="67">
        <f t="shared" ref="BN261:BN270" si="14">IFERROR(Y261*I261,"0")</f>
        <v>0</v>
      </c>
      <c r="BO261" s="67">
        <f t="shared" ref="BO261:BO270" si="15">IFERROR(X261/J261,"0")</f>
        <v>0</v>
      </c>
      <c r="BP261" s="67">
        <f t="shared" ref="BP261:BP270" si="16"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4301135518</v>
      </c>
      <c r="D262" s="281">
        <v>4640242181561</v>
      </c>
      <c r="E262" s="282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71"/>
      <c r="R262" s="271"/>
      <c r="S262" s="271"/>
      <c r="T262" s="272"/>
      <c r="U262" s="34"/>
      <c r="V262" s="34"/>
      <c r="W262" s="35" t="s">
        <v>69</v>
      </c>
      <c r="X262" s="266">
        <v>182</v>
      </c>
      <c r="Y262" s="267">
        <f t="shared" si="12"/>
        <v>182</v>
      </c>
      <c r="Z262" s="36">
        <f>IFERROR(IF(X262="","",X262*0.00936),"")</f>
        <v>1.7035200000000001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si="13"/>
        <v>708.34399999999994</v>
      </c>
      <c r="BN262" s="67">
        <f t="shared" si="14"/>
        <v>708.34399999999994</v>
      </c>
      <c r="BO262" s="67">
        <f t="shared" si="15"/>
        <v>1.4444444444444444</v>
      </c>
      <c r="BP262" s="67">
        <f t="shared" si="16"/>
        <v>1.4444444444444444</v>
      </c>
    </row>
    <row r="263" spans="1:68" ht="27" customHeight="1" x14ac:dyDescent="0.25">
      <c r="A263" s="54" t="s">
        <v>348</v>
      </c>
      <c r="B263" s="54" t="s">
        <v>349</v>
      </c>
      <c r="C263" s="31">
        <v>4301135374</v>
      </c>
      <c r="D263" s="281">
        <v>4640242181424</v>
      </c>
      <c r="E263" s="282"/>
      <c r="F263" s="265">
        <v>5.5</v>
      </c>
      <c r="G263" s="32">
        <v>1</v>
      </c>
      <c r="H263" s="265">
        <v>5.5</v>
      </c>
      <c r="I263" s="265">
        <v>5.7350000000000003</v>
      </c>
      <c r="J263" s="32">
        <v>84</v>
      </c>
      <c r="K263" s="32" t="s">
        <v>66</v>
      </c>
      <c r="L263" s="32" t="s">
        <v>80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71"/>
      <c r="R263" s="271"/>
      <c r="S263" s="271"/>
      <c r="T263" s="272"/>
      <c r="U263" s="34"/>
      <c r="V263" s="34"/>
      <c r="W263" s="35" t="s">
        <v>69</v>
      </c>
      <c r="X263" s="266">
        <v>24</v>
      </c>
      <c r="Y263" s="267">
        <f t="shared" si="12"/>
        <v>24</v>
      </c>
      <c r="Z263" s="36">
        <f>IFERROR(IF(X263="","",X263*0.0155),"")</f>
        <v>0.372</v>
      </c>
      <c r="AA263" s="56"/>
      <c r="AB263" s="57"/>
      <c r="AC263" s="242" t="s">
        <v>344</v>
      </c>
      <c r="AG263" s="67"/>
      <c r="AJ263" s="71" t="s">
        <v>82</v>
      </c>
      <c r="AK263" s="71">
        <v>12</v>
      </c>
      <c r="BB263" s="243" t="s">
        <v>83</v>
      </c>
      <c r="BM263" s="67">
        <f t="shared" si="13"/>
        <v>137.64000000000001</v>
      </c>
      <c r="BN263" s="67">
        <f t="shared" si="14"/>
        <v>137.64000000000001</v>
      </c>
      <c r="BO263" s="67">
        <f t="shared" si="15"/>
        <v>0.2857142857142857</v>
      </c>
      <c r="BP263" s="67">
        <f t="shared" si="16"/>
        <v>0.2857142857142857</v>
      </c>
    </row>
    <row r="264" spans="1:68" ht="27" customHeight="1" x14ac:dyDescent="0.25">
      <c r="A264" s="54" t="s">
        <v>350</v>
      </c>
      <c r="B264" s="54" t="s">
        <v>351</v>
      </c>
      <c r="C264" s="31">
        <v>4301135405</v>
      </c>
      <c r="D264" s="281">
        <v>4640242181523</v>
      </c>
      <c r="E264" s="282"/>
      <c r="F264" s="265">
        <v>3</v>
      </c>
      <c r="G264" s="32">
        <v>1</v>
      </c>
      <c r="H264" s="265">
        <v>3</v>
      </c>
      <c r="I264" s="265">
        <v>3.1920000000000002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3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71"/>
      <c r="R264" s="271"/>
      <c r="S264" s="271"/>
      <c r="T264" s="272"/>
      <c r="U264" s="34"/>
      <c r="V264" s="34"/>
      <c r="W264" s="35" t="s">
        <v>69</v>
      </c>
      <c r="X264" s="266">
        <v>98</v>
      </c>
      <c r="Y264" s="267">
        <f t="shared" si="12"/>
        <v>98</v>
      </c>
      <c r="Z264" s="36">
        <f t="shared" ref="Z264:Z269" si="17">IFERROR(IF(X264="","",X264*0.00936),"")</f>
        <v>0.91727999999999998</v>
      </c>
      <c r="AA264" s="56"/>
      <c r="AB264" s="57"/>
      <c r="AC264" s="244" t="s">
        <v>347</v>
      </c>
      <c r="AG264" s="67"/>
      <c r="AJ264" s="71" t="s">
        <v>82</v>
      </c>
      <c r="AK264" s="71">
        <v>14</v>
      </c>
      <c r="BB264" s="245" t="s">
        <v>83</v>
      </c>
      <c r="BM264" s="67">
        <f t="shared" si="13"/>
        <v>312.81600000000003</v>
      </c>
      <c r="BN264" s="67">
        <f t="shared" si="14"/>
        <v>312.81600000000003</v>
      </c>
      <c r="BO264" s="67">
        <f t="shared" si="15"/>
        <v>0.77777777777777779</v>
      </c>
      <c r="BP264" s="67">
        <f t="shared" si="16"/>
        <v>0.77777777777777779</v>
      </c>
    </row>
    <row r="265" spans="1:68" ht="27" customHeight="1" x14ac:dyDescent="0.25">
      <c r="A265" s="54" t="s">
        <v>352</v>
      </c>
      <c r="B265" s="54" t="s">
        <v>353</v>
      </c>
      <c r="C265" s="31">
        <v>4301135375</v>
      </c>
      <c r="D265" s="281">
        <v>4640242181486</v>
      </c>
      <c r="E265" s="282"/>
      <c r="F265" s="265">
        <v>3.7</v>
      </c>
      <c r="G265" s="32">
        <v>1</v>
      </c>
      <c r="H265" s="265">
        <v>3.7</v>
      </c>
      <c r="I265" s="265">
        <v>3.8919999999999999</v>
      </c>
      <c r="J265" s="32">
        <v>126</v>
      </c>
      <c r="K265" s="32" t="s">
        <v>79</v>
      </c>
      <c r="L265" s="32" t="s">
        <v>199</v>
      </c>
      <c r="M265" s="33" t="s">
        <v>68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71"/>
      <c r="R265" s="271"/>
      <c r="S265" s="271"/>
      <c r="T265" s="272"/>
      <c r="U265" s="34"/>
      <c r="V265" s="34"/>
      <c r="W265" s="35" t="s">
        <v>69</v>
      </c>
      <c r="X265" s="266">
        <v>378</v>
      </c>
      <c r="Y265" s="267">
        <f t="shared" si="12"/>
        <v>378</v>
      </c>
      <c r="Z265" s="36">
        <f t="shared" si="17"/>
        <v>3.5380799999999999</v>
      </c>
      <c r="AA265" s="56"/>
      <c r="AB265" s="57"/>
      <c r="AC265" s="246" t="s">
        <v>344</v>
      </c>
      <c r="AG265" s="67"/>
      <c r="AJ265" s="71" t="s">
        <v>200</v>
      </c>
      <c r="AK265" s="71">
        <v>126</v>
      </c>
      <c r="BB265" s="247" t="s">
        <v>83</v>
      </c>
      <c r="BM265" s="67">
        <f t="shared" si="13"/>
        <v>1471.1759999999999</v>
      </c>
      <c r="BN265" s="67">
        <f t="shared" si="14"/>
        <v>1471.1759999999999</v>
      </c>
      <c r="BO265" s="67">
        <f t="shared" si="15"/>
        <v>3</v>
      </c>
      <c r="BP265" s="67">
        <f t="shared" si="16"/>
        <v>3</v>
      </c>
    </row>
    <row r="266" spans="1:68" ht="37.5" customHeight="1" x14ac:dyDescent="0.25">
      <c r="A266" s="54" t="s">
        <v>354</v>
      </c>
      <c r="B266" s="54" t="s">
        <v>355</v>
      </c>
      <c r="C266" s="31">
        <v>4301135402</v>
      </c>
      <c r="D266" s="281">
        <v>4640242181493</v>
      </c>
      <c r="E266" s="282"/>
      <c r="F266" s="265">
        <v>3.7</v>
      </c>
      <c r="G266" s="32">
        <v>1</v>
      </c>
      <c r="H266" s="265">
        <v>3.7</v>
      </c>
      <c r="I266" s="265">
        <v>3.8919999999999999</v>
      </c>
      <c r="J266" s="32">
        <v>126</v>
      </c>
      <c r="K266" s="32" t="s">
        <v>79</v>
      </c>
      <c r="L266" s="32" t="s">
        <v>80</v>
      </c>
      <c r="M266" s="33" t="s">
        <v>68</v>
      </c>
      <c r="N266" s="33"/>
      <c r="O266" s="32">
        <v>180</v>
      </c>
      <c r="P266" s="31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71"/>
      <c r="R266" s="271"/>
      <c r="S266" s="271"/>
      <c r="T266" s="272"/>
      <c r="U266" s="34"/>
      <c r="V266" s="34"/>
      <c r="W266" s="35" t="s">
        <v>69</v>
      </c>
      <c r="X266" s="266">
        <v>28</v>
      </c>
      <c r="Y266" s="267">
        <f t="shared" si="12"/>
        <v>28</v>
      </c>
      <c r="Z266" s="36">
        <f t="shared" si="17"/>
        <v>0.26207999999999998</v>
      </c>
      <c r="AA266" s="56"/>
      <c r="AB266" s="57"/>
      <c r="AC266" s="248" t="s">
        <v>344</v>
      </c>
      <c r="AG266" s="67"/>
      <c r="AJ266" s="71" t="s">
        <v>82</v>
      </c>
      <c r="AK266" s="71">
        <v>14</v>
      </c>
      <c r="BB266" s="249" t="s">
        <v>83</v>
      </c>
      <c r="BM266" s="67">
        <f t="shared" si="13"/>
        <v>108.976</v>
      </c>
      <c r="BN266" s="67">
        <f t="shared" si="14"/>
        <v>108.976</v>
      </c>
      <c r="BO266" s="67">
        <f t="shared" si="15"/>
        <v>0.22222222222222221</v>
      </c>
      <c r="BP266" s="67">
        <f t="shared" si="16"/>
        <v>0.22222222222222221</v>
      </c>
    </row>
    <row r="267" spans="1:68" ht="37.5" customHeight="1" x14ac:dyDescent="0.25">
      <c r="A267" s="54" t="s">
        <v>356</v>
      </c>
      <c r="B267" s="54" t="s">
        <v>357</v>
      </c>
      <c r="C267" s="31">
        <v>4301135403</v>
      </c>
      <c r="D267" s="281">
        <v>4640242181509</v>
      </c>
      <c r="E267" s="282"/>
      <c r="F267" s="265">
        <v>3.7</v>
      </c>
      <c r="G267" s="32">
        <v>1</v>
      </c>
      <c r="H267" s="265">
        <v>3.7</v>
      </c>
      <c r="I267" s="265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71"/>
      <c r="R267" s="271"/>
      <c r="S267" s="271"/>
      <c r="T267" s="272"/>
      <c r="U267" s="34"/>
      <c r="V267" s="34"/>
      <c r="W267" s="35" t="s">
        <v>69</v>
      </c>
      <c r="X267" s="266">
        <v>0</v>
      </c>
      <c r="Y267" s="267">
        <f t="shared" si="12"/>
        <v>0</v>
      </c>
      <c r="Z267" s="36">
        <f t="shared" si="17"/>
        <v>0</v>
      </c>
      <c r="AA267" s="56"/>
      <c r="AB267" s="57"/>
      <c r="AC267" s="250" t="s">
        <v>344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27" customHeight="1" x14ac:dyDescent="0.25">
      <c r="A268" s="54" t="s">
        <v>358</v>
      </c>
      <c r="B268" s="54" t="s">
        <v>359</v>
      </c>
      <c r="C268" s="31">
        <v>4301135304</v>
      </c>
      <c r="D268" s="281">
        <v>4640242181240</v>
      </c>
      <c r="E268" s="282"/>
      <c r="F268" s="265">
        <v>0.3</v>
      </c>
      <c r="G268" s="32">
        <v>9</v>
      </c>
      <c r="H268" s="265">
        <v>2.7</v>
      </c>
      <c r="I268" s="265">
        <v>2.88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71"/>
      <c r="R268" s="271"/>
      <c r="S268" s="271"/>
      <c r="T268" s="272"/>
      <c r="U268" s="34"/>
      <c r="V268" s="34"/>
      <c r="W268" s="35" t="s">
        <v>69</v>
      </c>
      <c r="X268" s="266">
        <v>0</v>
      </c>
      <c r="Y268" s="267">
        <f t="shared" si="12"/>
        <v>0</v>
      </c>
      <c r="Z268" s="36">
        <f t="shared" si="17"/>
        <v>0</v>
      </c>
      <c r="AA268" s="56"/>
      <c r="AB268" s="57"/>
      <c r="AC268" s="252" t="s">
        <v>344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4301135610</v>
      </c>
      <c r="D269" s="281">
        <v>4640242181318</v>
      </c>
      <c r="E269" s="282"/>
      <c r="F269" s="265">
        <v>0.3</v>
      </c>
      <c r="G269" s="32">
        <v>9</v>
      </c>
      <c r="H269" s="265">
        <v>2.7</v>
      </c>
      <c r="I269" s="265">
        <v>2.988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71"/>
      <c r="R269" s="271"/>
      <c r="S269" s="271"/>
      <c r="T269" s="272"/>
      <c r="U269" s="34"/>
      <c r="V269" s="34"/>
      <c r="W269" s="35" t="s">
        <v>69</v>
      </c>
      <c r="X269" s="266">
        <v>0</v>
      </c>
      <c r="Y269" s="267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4301135306</v>
      </c>
      <c r="D270" s="281">
        <v>4640242181387</v>
      </c>
      <c r="E270" s="282"/>
      <c r="F270" s="265">
        <v>0.3</v>
      </c>
      <c r="G270" s="32">
        <v>9</v>
      </c>
      <c r="H270" s="265">
        <v>2.7</v>
      </c>
      <c r="I270" s="265">
        <v>2.8450000000000002</v>
      </c>
      <c r="J270" s="32">
        <v>234</v>
      </c>
      <c r="K270" s="32" t="s">
        <v>131</v>
      </c>
      <c r="L270" s="32" t="s">
        <v>67</v>
      </c>
      <c r="M270" s="33" t="s">
        <v>68</v>
      </c>
      <c r="N270" s="33"/>
      <c r="O270" s="32">
        <v>180</v>
      </c>
      <c r="P270" s="41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71"/>
      <c r="R270" s="271"/>
      <c r="S270" s="271"/>
      <c r="T270" s="272"/>
      <c r="U270" s="34"/>
      <c r="V270" s="34"/>
      <c r="W270" s="35" t="s">
        <v>69</v>
      </c>
      <c r="X270" s="266">
        <v>0</v>
      </c>
      <c r="Y270" s="267">
        <f t="shared" si="12"/>
        <v>0</v>
      </c>
      <c r="Z270" s="36">
        <f>IFERROR(IF(X270="","",X270*0.00502),"")</f>
        <v>0</v>
      </c>
      <c r="AA270" s="56"/>
      <c r="AB270" s="57"/>
      <c r="AC270" s="256" t="s">
        <v>344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x14ac:dyDescent="0.2">
      <c r="A271" s="285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6"/>
      <c r="P271" s="276" t="s">
        <v>72</v>
      </c>
      <c r="Q271" s="277"/>
      <c r="R271" s="277"/>
      <c r="S271" s="277"/>
      <c r="T271" s="277"/>
      <c r="U271" s="277"/>
      <c r="V271" s="278"/>
      <c r="W271" s="37" t="s">
        <v>69</v>
      </c>
      <c r="X271" s="268">
        <f>IFERROR(SUM(X261:X270),"0")</f>
        <v>710</v>
      </c>
      <c r="Y271" s="268">
        <f>IFERROR(SUM(Y261:Y270),"0")</f>
        <v>710</v>
      </c>
      <c r="Z271" s="268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6.7929599999999999</v>
      </c>
      <c r="AA271" s="269"/>
      <c r="AB271" s="269"/>
      <c r="AC271" s="269"/>
    </row>
    <row r="272" spans="1:68" x14ac:dyDescent="0.2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6"/>
      <c r="P272" s="276" t="s">
        <v>72</v>
      </c>
      <c r="Q272" s="277"/>
      <c r="R272" s="277"/>
      <c r="S272" s="277"/>
      <c r="T272" s="277"/>
      <c r="U272" s="277"/>
      <c r="V272" s="278"/>
      <c r="W272" s="37" t="s">
        <v>73</v>
      </c>
      <c r="X272" s="268">
        <f>IFERROR(SUMPRODUCT(X261:X270*H261:H270),"0")</f>
        <v>2601.6</v>
      </c>
      <c r="Y272" s="268">
        <f>IFERROR(SUMPRODUCT(Y261:Y270*H261:H270),"0")</f>
        <v>2601.6</v>
      </c>
      <c r="Z272" s="37"/>
      <c r="AA272" s="269"/>
      <c r="AB272" s="269"/>
      <c r="AC272" s="269"/>
    </row>
    <row r="273" spans="1:32" ht="15" customHeight="1" x14ac:dyDescent="0.2">
      <c r="A273" s="292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93"/>
      <c r="P273" s="320" t="s">
        <v>364</v>
      </c>
      <c r="Q273" s="321"/>
      <c r="R273" s="321"/>
      <c r="S273" s="321"/>
      <c r="T273" s="321"/>
      <c r="U273" s="321"/>
      <c r="V273" s="322"/>
      <c r="W273" s="37" t="s">
        <v>73</v>
      </c>
      <c r="X273" s="268">
        <f>IFERROR(X24+X31+X38+X46+X51+X55+X60+X66+X72+X77+X83+X93+X99+X110+X114+X118+X124+X130+X136+X141+X146+X151+X156+X163+X171+X175+X181+X188+X196+X201+X206+X212+X218+X224+X230+X236+X240+X248+X253+X259+X272,"0")</f>
        <v>12118.92</v>
      </c>
      <c r="Y273" s="268">
        <f>IFERROR(Y24+Y31+Y38+Y46+Y51+Y55+Y60+Y66+Y72+Y77+Y83+Y93+Y99+Y110+Y114+Y118+Y124+Y130+Y136+Y141+Y146+Y151+Y156+Y163+Y171+Y175+Y181+Y188+Y196+Y201+Y206+Y212+Y218+Y224+Y230+Y236+Y240+Y248+Y253+Y259+Y272,"0")</f>
        <v>12118.92</v>
      </c>
      <c r="Z273" s="37"/>
      <c r="AA273" s="269"/>
      <c r="AB273" s="269"/>
      <c r="AC273" s="269"/>
    </row>
    <row r="274" spans="1:32" x14ac:dyDescent="0.2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93"/>
      <c r="P274" s="320" t="s">
        <v>365</v>
      </c>
      <c r="Q274" s="321"/>
      <c r="R274" s="321"/>
      <c r="S274" s="321"/>
      <c r="T274" s="321"/>
      <c r="U274" s="321"/>
      <c r="V274" s="322"/>
      <c r="W274" s="37" t="s">
        <v>73</v>
      </c>
      <c r="X274" s="268">
        <f>IFERROR(SUM(BM22:BM270),"0")</f>
        <v>13317.095600000001</v>
      </c>
      <c r="Y274" s="268">
        <f>IFERROR(SUM(BN22:BN270),"0")</f>
        <v>13317.095600000001</v>
      </c>
      <c r="Z274" s="37"/>
      <c r="AA274" s="269"/>
      <c r="AB274" s="269"/>
      <c r="AC274" s="269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93"/>
      <c r="P275" s="320" t="s">
        <v>366</v>
      </c>
      <c r="Q275" s="321"/>
      <c r="R275" s="321"/>
      <c r="S275" s="321"/>
      <c r="T275" s="321"/>
      <c r="U275" s="321"/>
      <c r="V275" s="322"/>
      <c r="W275" s="37" t="s">
        <v>367</v>
      </c>
      <c r="X275" s="38">
        <f>ROUNDUP(SUM(BO22:BO270),0)</f>
        <v>34</v>
      </c>
      <c r="Y275" s="38">
        <f>ROUNDUP(SUM(BP22:BP270),0)</f>
        <v>34</v>
      </c>
      <c r="Z275" s="37"/>
      <c r="AA275" s="269"/>
      <c r="AB275" s="269"/>
      <c r="AC275" s="269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93"/>
      <c r="P276" s="320" t="s">
        <v>368</v>
      </c>
      <c r="Q276" s="321"/>
      <c r="R276" s="321"/>
      <c r="S276" s="321"/>
      <c r="T276" s="321"/>
      <c r="U276" s="321"/>
      <c r="V276" s="322"/>
      <c r="W276" s="37" t="s">
        <v>73</v>
      </c>
      <c r="X276" s="268">
        <f>GrossWeightTotal+PalletQtyTotal*25</f>
        <v>14167.095600000001</v>
      </c>
      <c r="Y276" s="268">
        <f>GrossWeightTotalR+PalletQtyTotalR*25</f>
        <v>14167.095600000001</v>
      </c>
      <c r="Z276" s="37"/>
      <c r="AA276" s="269"/>
      <c r="AB276" s="269"/>
      <c r="AC276" s="269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93"/>
      <c r="P277" s="320" t="s">
        <v>369</v>
      </c>
      <c r="Q277" s="321"/>
      <c r="R277" s="321"/>
      <c r="S277" s="321"/>
      <c r="T277" s="321"/>
      <c r="U277" s="321"/>
      <c r="V277" s="322"/>
      <c r="W277" s="37" t="s">
        <v>367</v>
      </c>
      <c r="X277" s="268">
        <f>IFERROR(X23+X30+X37+X45+X50+X54+X59+X65+X71+X76+X82+X92+X98+X109+X113+X117+X123+X129+X135+X140+X145+X150+X155+X162+X170+X174+X180+X187+X195+X200+X205+X211+X217+X223+X229+X235+X239+X247+X252+X258+X271,"0")</f>
        <v>3094</v>
      </c>
      <c r="Y277" s="268">
        <f>IFERROR(Y23+Y30+Y37+Y45+Y50+Y54+Y59+Y65+Y71+Y76+Y82+Y92+Y98+Y109+Y113+Y117+Y123+Y129+Y135+Y140+Y145+Y150+Y155+Y162+Y170+Y174+Y180+Y187+Y195+Y200+Y205+Y211+Y217+Y223+Y229+Y235+Y239+Y247+Y252+Y258+Y271,"0")</f>
        <v>3094</v>
      </c>
      <c r="Z277" s="37"/>
      <c r="AA277" s="269"/>
      <c r="AB277" s="269"/>
      <c r="AC277" s="269"/>
    </row>
    <row r="278" spans="1:32" ht="14.25" customHeight="1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93"/>
      <c r="P278" s="320" t="s">
        <v>370</v>
      </c>
      <c r="Q278" s="321"/>
      <c r="R278" s="321"/>
      <c r="S278" s="321"/>
      <c r="T278" s="321"/>
      <c r="U278" s="321"/>
      <c r="V278" s="322"/>
      <c r="W278" s="39" t="s">
        <v>371</v>
      </c>
      <c r="X278" s="37"/>
      <c r="Y278" s="37"/>
      <c r="Z278" s="37">
        <f>IFERROR(Z23+Z30+Z37+Z45+Z50+Z54+Z59+Z65+Z71+Z76+Z82+Z92+Z98+Z109+Z113+Z117+Z123+Z129+Z135+Z140+Z145+Z150+Z155+Z162+Z170+Z174+Z180+Z187+Z195+Z200+Z205+Z211+Z217+Z223+Z229+Z235+Z239+Z247+Z252+Z258+Z271,"0")</f>
        <v>42.415140000000001</v>
      </c>
      <c r="AA278" s="269"/>
      <c r="AB278" s="269"/>
      <c r="AC278" s="269"/>
    </row>
    <row r="279" spans="1:32" ht="13.5" customHeight="1" thickBot="1" x14ac:dyDescent="0.25"/>
    <row r="280" spans="1:32" ht="27" customHeight="1" thickTop="1" thickBot="1" x14ac:dyDescent="0.25">
      <c r="A280" s="40" t="s">
        <v>372</v>
      </c>
      <c r="B280" s="258" t="s">
        <v>62</v>
      </c>
      <c r="C280" s="283" t="s">
        <v>74</v>
      </c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7"/>
      <c r="U280" s="258" t="s">
        <v>229</v>
      </c>
      <c r="V280" s="258" t="s">
        <v>237</v>
      </c>
      <c r="W280" s="283" t="s">
        <v>256</v>
      </c>
      <c r="X280" s="426"/>
      <c r="Y280" s="426"/>
      <c r="Z280" s="426"/>
      <c r="AA280" s="427"/>
      <c r="AB280" s="258" t="s">
        <v>304</v>
      </c>
      <c r="AC280" s="258" t="s">
        <v>309</v>
      </c>
      <c r="AD280" s="258" t="s">
        <v>313</v>
      </c>
      <c r="AE280" s="258" t="s">
        <v>321</v>
      </c>
      <c r="AF280" s="259"/>
    </row>
    <row r="281" spans="1:32" ht="14.25" customHeight="1" thickTop="1" x14ac:dyDescent="0.2">
      <c r="A281" s="297" t="s">
        <v>373</v>
      </c>
      <c r="B281" s="283" t="s">
        <v>62</v>
      </c>
      <c r="C281" s="283" t="s">
        <v>75</v>
      </c>
      <c r="D281" s="283" t="s">
        <v>86</v>
      </c>
      <c r="E281" s="283" t="s">
        <v>96</v>
      </c>
      <c r="F281" s="283" t="s">
        <v>107</v>
      </c>
      <c r="G281" s="283" t="s">
        <v>128</v>
      </c>
      <c r="H281" s="283" t="s">
        <v>135</v>
      </c>
      <c r="I281" s="283" t="s">
        <v>139</v>
      </c>
      <c r="J281" s="283" t="s">
        <v>147</v>
      </c>
      <c r="K281" s="283" t="s">
        <v>162</v>
      </c>
      <c r="L281" s="283" t="s">
        <v>168</v>
      </c>
      <c r="M281" s="283" t="s">
        <v>193</v>
      </c>
      <c r="N281" s="259"/>
      <c r="O281" s="283" t="s">
        <v>201</v>
      </c>
      <c r="P281" s="283" t="s">
        <v>208</v>
      </c>
      <c r="Q281" s="283" t="s">
        <v>213</v>
      </c>
      <c r="R281" s="283" t="s">
        <v>217</v>
      </c>
      <c r="S281" s="283" t="s">
        <v>220</v>
      </c>
      <c r="T281" s="283" t="s">
        <v>225</v>
      </c>
      <c r="U281" s="283" t="s">
        <v>230</v>
      </c>
      <c r="V281" s="283" t="s">
        <v>238</v>
      </c>
      <c r="W281" s="283" t="s">
        <v>257</v>
      </c>
      <c r="X281" s="283" t="s">
        <v>273</v>
      </c>
      <c r="Y281" s="283" t="s">
        <v>283</v>
      </c>
      <c r="Z281" s="283" t="s">
        <v>287</v>
      </c>
      <c r="AA281" s="283" t="s">
        <v>298</v>
      </c>
      <c r="AB281" s="283" t="s">
        <v>305</v>
      </c>
      <c r="AC281" s="283" t="s">
        <v>310</v>
      </c>
      <c r="AD281" s="283" t="s">
        <v>314</v>
      </c>
      <c r="AE281" s="283" t="s">
        <v>321</v>
      </c>
      <c r="AF281" s="259"/>
    </row>
    <row r="282" spans="1:32" ht="13.5" customHeight="1" thickBot="1" x14ac:dyDescent="0.25">
      <c r="A282" s="298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59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  <c r="AC282" s="284"/>
      <c r="AD282" s="284"/>
      <c r="AE282" s="284"/>
      <c r="AF282" s="259"/>
    </row>
    <row r="283" spans="1:32" ht="18" customHeight="1" thickTop="1" thickBot="1" x14ac:dyDescent="0.25">
      <c r="A283" s="40" t="s">
        <v>374</v>
      </c>
      <c r="B283" s="46">
        <f>IFERROR(X22*H22,"0")</f>
        <v>0</v>
      </c>
      <c r="C283" s="46">
        <f>IFERROR(X28*H28,"0")+IFERROR(X29*H29,"0")</f>
        <v>357</v>
      </c>
      <c r="D283" s="46">
        <f>IFERROR(X34*H34,"0")+IFERROR(X35*H35,"0")+IFERROR(X36*H36,"0")</f>
        <v>1142.4000000000001</v>
      </c>
      <c r="E283" s="46">
        <f>IFERROR(X41*H41,"0")+IFERROR(X42*H42,"0")+IFERROR(X43*H43,"0")+IFERROR(X44*H44,"0")</f>
        <v>482.4</v>
      </c>
      <c r="F283" s="46">
        <f>IFERROR(X49*H49,"0")+IFERROR(X53*H53,"0")+IFERROR(X57*H57,"0")+IFERROR(X58*H58,"0")+IFERROR(X62*H62,"0")+IFERROR(X63*H63,"0")+IFERROR(X64*H64,"0")</f>
        <v>0</v>
      </c>
      <c r="G283" s="46">
        <f>IFERROR(X69*H69,"0")+IFERROR(X70*H70,"0")</f>
        <v>531.6</v>
      </c>
      <c r="H283" s="46">
        <f>IFERROR(X75*H75,"0")</f>
        <v>50.4</v>
      </c>
      <c r="I283" s="46">
        <f>IFERROR(X80*H80,"0")+IFERROR(X81*H81,"0")</f>
        <v>756</v>
      </c>
      <c r="J283" s="46">
        <f>IFERROR(X86*H86,"0")+IFERROR(X87*H87,"0")+IFERROR(X88*H88,"0")+IFERROR(X89*H89,"0")+IFERROR(X90*H90,"0")+IFERROR(X91*H91,"0")</f>
        <v>712.31999999999994</v>
      </c>
      <c r="K283" s="46">
        <f>IFERROR(X96*H96,"0")+IFERROR(X97*H97,"0")</f>
        <v>0</v>
      </c>
      <c r="L283" s="46">
        <f>IFERROR(X102*H102,"0")+IFERROR(X103*H103,"0")+IFERROR(X104*H104,"0")+IFERROR(X105*H105,"0")+IFERROR(X106*H106,"0")+IFERROR(X107*H107,"0")+IFERROR(X108*H108,"0")+IFERROR(X112*H112,"0")+IFERROR(X116*H116,"0")</f>
        <v>2748</v>
      </c>
      <c r="M283" s="46">
        <f>IFERROR(X121*H121,"0")+IFERROR(X122*H122,"0")</f>
        <v>756</v>
      </c>
      <c r="N283" s="259"/>
      <c r="O283" s="46">
        <f>IFERROR(X127*H127,"0")+IFERROR(X128*H128,"0")</f>
        <v>210</v>
      </c>
      <c r="P283" s="46">
        <f>IFERROR(X133*H133,"0")+IFERROR(X134*H134,"0")</f>
        <v>168</v>
      </c>
      <c r="Q283" s="46">
        <f>IFERROR(X139*H139,"0")</f>
        <v>42</v>
      </c>
      <c r="R283" s="46">
        <f>IFERROR(X144*H144,"0")</f>
        <v>0</v>
      </c>
      <c r="S283" s="46">
        <f>IFERROR(X149*H149,"0")</f>
        <v>0</v>
      </c>
      <c r="T283" s="46">
        <f>IFERROR(X154*H154,"0")</f>
        <v>235.2</v>
      </c>
      <c r="U283" s="46">
        <f>IFERROR(X160*H160,"0")+IFERROR(X161*H161,"0")</f>
        <v>0</v>
      </c>
      <c r="V283" s="46">
        <f>IFERROR(X167*H167,"0")+IFERROR(X168*H168,"0")+IFERROR(X169*H169,"0")+IFERROR(X173*H173,"0")</f>
        <v>462</v>
      </c>
      <c r="W283" s="46">
        <f>IFERROR(X179*H179,"0")+IFERROR(X183*H183,"0")+IFERROR(X184*H184,"0")+IFERROR(X185*H185,"0")+IFERROR(X186*H186,"0")</f>
        <v>0</v>
      </c>
      <c r="X283" s="46">
        <f>IFERROR(X191*H191,"0")+IFERROR(X192*H192,"0")+IFERROR(X193*H193,"0")+IFERROR(X194*H194,"0")</f>
        <v>0</v>
      </c>
      <c r="Y283" s="46">
        <f>IFERROR(X199*H199,"0")</f>
        <v>0</v>
      </c>
      <c r="Z283" s="46">
        <f>IFERROR(X204*H204,"0")+IFERROR(X208*H208,"0")+IFERROR(X209*H209,"0")+IFERROR(X210*H210,"0")</f>
        <v>0</v>
      </c>
      <c r="AA283" s="46">
        <f>IFERROR(X215*H215,"0")+IFERROR(X216*H216,"0")</f>
        <v>0</v>
      </c>
      <c r="AB283" s="46">
        <f>IFERROR(X222*H222,"0")</f>
        <v>0</v>
      </c>
      <c r="AC283" s="46">
        <f>IFERROR(X228*H228,"0")</f>
        <v>0</v>
      </c>
      <c r="AD283" s="46">
        <f>IFERROR(X234*H234,"0")+IFERROR(X238*H238,"0")</f>
        <v>0</v>
      </c>
      <c r="AE283" s="46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3465.6</v>
      </c>
      <c r="AF283" s="259"/>
    </row>
    <row r="284" spans="1:32" ht="13.5" customHeight="1" thickTop="1" x14ac:dyDescent="0.2">
      <c r="C284" s="259"/>
    </row>
    <row r="285" spans="1:32" ht="19.5" customHeight="1" x14ac:dyDescent="0.2">
      <c r="A285" s="58" t="s">
        <v>375</v>
      </c>
      <c r="B285" s="58" t="s">
        <v>376</v>
      </c>
      <c r="C285" s="58" t="s">
        <v>377</v>
      </c>
    </row>
    <row r="286" spans="1:32" x14ac:dyDescent="0.2">
      <c r="A286" s="59">
        <f>SUMPRODUCT(--(BB:BB="ЗПФ"),--(W:W="кор"),H:H,Y:Y)+SUMPRODUCT(--(BB:BB="ЗПФ"),--(W:W="кг"),Y:Y)</f>
        <v>4904.4000000000005</v>
      </c>
      <c r="B286" s="60">
        <f>SUMPRODUCT(--(BB:BB="ПГП"),--(W:W="кор"),H:H,Y:Y)+SUMPRODUCT(--(BB:BB="ПГП"),--(W:W="кг"),Y:Y)</f>
        <v>7214.52</v>
      </c>
      <c r="C286" s="60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3">
    <mergeCell ref="X17:X18"/>
    <mergeCell ref="P58:T58"/>
    <mergeCell ref="D250:E250"/>
    <mergeCell ref="A52:Z52"/>
    <mergeCell ref="D44:E44"/>
    <mergeCell ref="AC281:AC282"/>
    <mergeCell ref="AE281:AE282"/>
    <mergeCell ref="P23:V23"/>
    <mergeCell ref="P145:V145"/>
    <mergeCell ref="P272:V272"/>
    <mergeCell ref="D133:E133"/>
    <mergeCell ref="A231:Z231"/>
    <mergeCell ref="L281:L282"/>
    <mergeCell ref="V12:W12"/>
    <mergeCell ref="D191:E191"/>
    <mergeCell ref="A200:O201"/>
    <mergeCell ref="D262:E262"/>
    <mergeCell ref="A39:Z39"/>
    <mergeCell ref="D266:E266"/>
    <mergeCell ref="P149:T149"/>
    <mergeCell ref="U17:V17"/>
    <mergeCell ref="Y17:Y18"/>
    <mergeCell ref="D57:E57"/>
    <mergeCell ref="P163:V163"/>
    <mergeCell ref="A153:Z153"/>
    <mergeCell ref="D97:E97"/>
    <mergeCell ref="D268:E268"/>
    <mergeCell ref="P76:V76"/>
    <mergeCell ref="P140:V140"/>
    <mergeCell ref="D49:E49"/>
    <mergeCell ref="Q5:R5"/>
    <mergeCell ref="F17:F18"/>
    <mergeCell ref="P199:T199"/>
    <mergeCell ref="D107:E107"/>
    <mergeCell ref="D234:E234"/>
    <mergeCell ref="P70:T70"/>
    <mergeCell ref="P263:T263"/>
    <mergeCell ref="D244:E244"/>
    <mergeCell ref="P228:T228"/>
    <mergeCell ref="Q6:R6"/>
    <mergeCell ref="P134:T134"/>
    <mergeCell ref="D102:E102"/>
    <mergeCell ref="A33:Z33"/>
    <mergeCell ref="A8:C8"/>
    <mergeCell ref="A10:C10"/>
    <mergeCell ref="A21:Z21"/>
    <mergeCell ref="D184:E184"/>
    <mergeCell ref="D121:E121"/>
    <mergeCell ref="D192:E192"/>
    <mergeCell ref="D42:E42"/>
    <mergeCell ref="D17:E18"/>
    <mergeCell ref="D173:E173"/>
    <mergeCell ref="A131:Z131"/>
    <mergeCell ref="AD17:AF18"/>
    <mergeCell ref="W281:W282"/>
    <mergeCell ref="O281:O282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A205:O206"/>
    <mergeCell ref="P75:T75"/>
    <mergeCell ref="A254:Z254"/>
    <mergeCell ref="P121:T121"/>
    <mergeCell ref="D29:E29"/>
    <mergeCell ref="D216:E216"/>
    <mergeCell ref="D265:E265"/>
    <mergeCell ref="P195:V195"/>
    <mergeCell ref="A20:Z20"/>
    <mergeCell ref="A125:Z125"/>
    <mergeCell ref="P66:V66"/>
    <mergeCell ref="P2:W3"/>
    <mergeCell ref="P133:T133"/>
    <mergeCell ref="P127:T127"/>
    <mergeCell ref="P218:V218"/>
    <mergeCell ref="D35:E35"/>
    <mergeCell ref="D228:E228"/>
    <mergeCell ref="C280:T280"/>
    <mergeCell ref="D10:E10"/>
    <mergeCell ref="A23:O24"/>
    <mergeCell ref="P64:T64"/>
    <mergeCell ref="F10:G10"/>
    <mergeCell ref="P191:T191"/>
    <mergeCell ref="D34:E34"/>
    <mergeCell ref="D270:E270"/>
    <mergeCell ref="P205:V205"/>
    <mergeCell ref="P128:T128"/>
    <mergeCell ref="A258:O259"/>
    <mergeCell ref="A249:Z249"/>
    <mergeCell ref="A176:Z176"/>
    <mergeCell ref="P239:V239"/>
    <mergeCell ref="P262:T262"/>
    <mergeCell ref="D105:E105"/>
    <mergeCell ref="A178:Z178"/>
    <mergeCell ref="N17:N18"/>
    <mergeCell ref="M17:M18"/>
    <mergeCell ref="O17:O18"/>
    <mergeCell ref="P187:V187"/>
    <mergeCell ref="P258:V258"/>
    <mergeCell ref="P174:V174"/>
    <mergeCell ref="P223:V223"/>
    <mergeCell ref="P102:T102"/>
    <mergeCell ref="P183:T183"/>
    <mergeCell ref="P62:T62"/>
    <mergeCell ref="A71:O72"/>
    <mergeCell ref="P112:T112"/>
    <mergeCell ref="G281:G282"/>
    <mergeCell ref="P273:V273"/>
    <mergeCell ref="A113:O114"/>
    <mergeCell ref="Q13:R13"/>
    <mergeCell ref="A220:Z220"/>
    <mergeCell ref="P139:T139"/>
    <mergeCell ref="P41:T41"/>
    <mergeCell ref="D22:E22"/>
    <mergeCell ref="A157:Z157"/>
    <mergeCell ref="D149:E149"/>
    <mergeCell ref="P34:T34"/>
    <mergeCell ref="D281:D282"/>
    <mergeCell ref="P105:T105"/>
    <mergeCell ref="D86:E86"/>
    <mergeCell ref="D257:E257"/>
    <mergeCell ref="P270:T270"/>
    <mergeCell ref="P49:T49"/>
    <mergeCell ref="P36:T36"/>
    <mergeCell ref="P107:T107"/>
    <mergeCell ref="P129:V129"/>
    <mergeCell ref="D215:E215"/>
    <mergeCell ref="P50:V50"/>
    <mergeCell ref="AB17:AB18"/>
    <mergeCell ref="P271:V271"/>
    <mergeCell ref="E281:E282"/>
    <mergeCell ref="H5:M5"/>
    <mergeCell ref="P31:V31"/>
    <mergeCell ref="A27:Z27"/>
    <mergeCell ref="A56:Z56"/>
    <mergeCell ref="A214:Z214"/>
    <mergeCell ref="D6:M6"/>
    <mergeCell ref="A85:Z85"/>
    <mergeCell ref="P106:T106"/>
    <mergeCell ref="A223:O224"/>
    <mergeCell ref="D256:E256"/>
    <mergeCell ref="A150:O151"/>
    <mergeCell ref="P269:T269"/>
    <mergeCell ref="D222:E222"/>
    <mergeCell ref="P35:T35"/>
    <mergeCell ref="G17:G18"/>
    <mergeCell ref="A143:Z143"/>
    <mergeCell ref="P171:V171"/>
    <mergeCell ref="A232:Z232"/>
    <mergeCell ref="D80:E80"/>
    <mergeCell ref="A207:Z207"/>
    <mergeCell ref="A182:Z182"/>
    <mergeCell ref="AA17:AA18"/>
    <mergeCell ref="AC17:AC18"/>
    <mergeCell ref="P108:T108"/>
    <mergeCell ref="D89:E89"/>
    <mergeCell ref="P251:T251"/>
    <mergeCell ref="F281:F282"/>
    <mergeCell ref="A235:O236"/>
    <mergeCell ref="V6:W9"/>
    <mergeCell ref="D128:E128"/>
    <mergeCell ref="D199:E199"/>
    <mergeCell ref="P256:T256"/>
    <mergeCell ref="A155:O156"/>
    <mergeCell ref="D186:E186"/>
    <mergeCell ref="P222:T222"/>
    <mergeCell ref="P22:T22"/>
    <mergeCell ref="P193:T193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61:T261"/>
    <mergeCell ref="P161:T161"/>
    <mergeCell ref="D204:E204"/>
    <mergeCell ref="D269:E269"/>
    <mergeCell ref="P275:V275"/>
    <mergeCell ref="D75:E75"/>
    <mergeCell ref="P154:T154"/>
    <mergeCell ref="P281:P282"/>
    <mergeCell ref="P247:V247"/>
    <mergeCell ref="A271:O272"/>
    <mergeCell ref="P91:T91"/>
    <mergeCell ref="A158:Z158"/>
    <mergeCell ref="P252:V252"/>
    <mergeCell ref="P99:V99"/>
    <mergeCell ref="P170:V170"/>
    <mergeCell ref="A225:Z225"/>
    <mergeCell ref="P123:V123"/>
    <mergeCell ref="P240:V240"/>
    <mergeCell ref="D154:E154"/>
    <mergeCell ref="A227:Z227"/>
    <mergeCell ref="A233:Z233"/>
    <mergeCell ref="M281:M282"/>
    <mergeCell ref="W280:AA280"/>
    <mergeCell ref="Q281:Q282"/>
    <mergeCell ref="A217:O218"/>
    <mergeCell ref="P87:T87"/>
    <mergeCell ref="P151:V151"/>
    <mergeCell ref="A203:Z203"/>
    <mergeCell ref="S281:S282"/>
    <mergeCell ref="P245:T245"/>
    <mergeCell ref="P89:T89"/>
    <mergeCell ref="P88:T88"/>
    <mergeCell ref="A138:Z138"/>
    <mergeCell ref="A119:Z119"/>
    <mergeCell ref="A94:Z94"/>
    <mergeCell ref="P238:T238"/>
    <mergeCell ref="P204:T204"/>
    <mergeCell ref="P179:T179"/>
    <mergeCell ref="A198:Z198"/>
    <mergeCell ref="D112:E112"/>
    <mergeCell ref="D193:E193"/>
    <mergeCell ref="D127:E127"/>
    <mergeCell ref="P155:V155"/>
    <mergeCell ref="A129:O130"/>
    <mergeCell ref="A147:Z147"/>
    <mergeCell ref="P150:V150"/>
    <mergeCell ref="D267:E267"/>
    <mergeCell ref="P267:T267"/>
    <mergeCell ref="D104:E104"/>
    <mergeCell ref="P83:V83"/>
    <mergeCell ref="A79:Z79"/>
    <mergeCell ref="A82:O83"/>
    <mergeCell ref="T6:U9"/>
    <mergeCell ref="Q10:R10"/>
    <mergeCell ref="A30:O31"/>
    <mergeCell ref="D185:E185"/>
    <mergeCell ref="D41:E41"/>
    <mergeCell ref="A137:Z137"/>
    <mergeCell ref="P60:V60"/>
    <mergeCell ref="A252:O253"/>
    <mergeCell ref="D43:E43"/>
    <mergeCell ref="P216:T216"/>
    <mergeCell ref="P124:V124"/>
    <mergeCell ref="D36:E36"/>
    <mergeCell ref="P71:V71"/>
    <mergeCell ref="A13:M13"/>
    <mergeCell ref="A59:O60"/>
    <mergeCell ref="A15:M15"/>
    <mergeCell ref="A54:O55"/>
    <mergeCell ref="J9:M9"/>
    <mergeCell ref="D62:E62"/>
    <mergeCell ref="A14:M14"/>
    <mergeCell ref="A111:Z111"/>
    <mergeCell ref="T5:U5"/>
    <mergeCell ref="V5:W5"/>
    <mergeCell ref="D246:E246"/>
    <mergeCell ref="A48:Z48"/>
    <mergeCell ref="P212:V212"/>
    <mergeCell ref="A142:Z142"/>
    <mergeCell ref="Q8:R8"/>
    <mergeCell ref="P69:T69"/>
    <mergeCell ref="D183:E183"/>
    <mergeCell ref="A65:O66"/>
    <mergeCell ref="D64:E64"/>
    <mergeCell ref="A40:Z40"/>
    <mergeCell ref="A67:Z67"/>
    <mergeCell ref="P30:V30"/>
    <mergeCell ref="P96:T96"/>
    <mergeCell ref="H17:H18"/>
    <mergeCell ref="P90:T90"/>
    <mergeCell ref="A50:O51"/>
    <mergeCell ref="H10:M10"/>
    <mergeCell ref="Z17:Z18"/>
    <mergeCell ref="A9:C9"/>
    <mergeCell ref="D58:E58"/>
    <mergeCell ref="X281:X282"/>
    <mergeCell ref="Z281:Z282"/>
    <mergeCell ref="AB281:AB282"/>
    <mergeCell ref="R281:R282"/>
    <mergeCell ref="P146:V146"/>
    <mergeCell ref="D63:E63"/>
    <mergeCell ref="P181:V181"/>
    <mergeCell ref="D96:E96"/>
    <mergeCell ref="P110:V110"/>
    <mergeCell ref="P208:T208"/>
    <mergeCell ref="D116:E116"/>
    <mergeCell ref="A177:Z177"/>
    <mergeCell ref="D91:E91"/>
    <mergeCell ref="A164:Z164"/>
    <mergeCell ref="P210:T210"/>
    <mergeCell ref="D106:E106"/>
    <mergeCell ref="P185:T185"/>
    <mergeCell ref="D264:E264"/>
    <mergeCell ref="P72:V72"/>
    <mergeCell ref="P122:T122"/>
    <mergeCell ref="P65:V65"/>
    <mergeCell ref="P136:V136"/>
    <mergeCell ref="A135:O136"/>
    <mergeCell ref="A126:Z126"/>
    <mergeCell ref="AA281:AA282"/>
    <mergeCell ref="D108:E108"/>
    <mergeCell ref="A117:O118"/>
    <mergeCell ref="D160:E160"/>
    <mergeCell ref="P201:V201"/>
    <mergeCell ref="I17:I18"/>
    <mergeCell ref="P114:V114"/>
    <mergeCell ref="H281:H282"/>
    <mergeCell ref="J281:J282"/>
    <mergeCell ref="A120:Z120"/>
    <mergeCell ref="P276:V276"/>
    <mergeCell ref="A95:Z95"/>
    <mergeCell ref="D255:E255"/>
    <mergeCell ref="A32:Z32"/>
    <mergeCell ref="P278:V278"/>
    <mergeCell ref="A37:O38"/>
    <mergeCell ref="A159:Z159"/>
    <mergeCell ref="A219:Z219"/>
    <mergeCell ref="A195:O196"/>
    <mergeCell ref="D88:E88"/>
    <mergeCell ref="P167:T167"/>
    <mergeCell ref="I281:I282"/>
    <mergeCell ref="K281:K282"/>
    <mergeCell ref="D90:E90"/>
    <mergeCell ref="P277:V277"/>
    <mergeCell ref="P17:T18"/>
    <mergeCell ref="P63:T63"/>
    <mergeCell ref="A148:Z148"/>
    <mergeCell ref="P194:T194"/>
    <mergeCell ref="A180:O181"/>
    <mergeCell ref="P250:T250"/>
    <mergeCell ref="A166:Z166"/>
    <mergeCell ref="Y281:Y282"/>
    <mergeCell ref="P169:T169"/>
    <mergeCell ref="D261:E261"/>
    <mergeCell ref="P196:V196"/>
    <mergeCell ref="P246:T246"/>
    <mergeCell ref="A237:Z237"/>
    <mergeCell ref="P135:V135"/>
    <mergeCell ref="P51:V51"/>
    <mergeCell ref="D179:E179"/>
    <mergeCell ref="A17:A18"/>
    <mergeCell ref="K17:K18"/>
    <mergeCell ref="A189:Z189"/>
    <mergeCell ref="C17:C18"/>
    <mergeCell ref="D103:E103"/>
    <mergeCell ref="D168:E168"/>
    <mergeCell ref="P53:T53"/>
    <mergeCell ref="D1:F1"/>
    <mergeCell ref="P268:T268"/>
    <mergeCell ref="P46:V46"/>
    <mergeCell ref="A242:Z242"/>
    <mergeCell ref="J17:J18"/>
    <mergeCell ref="L17:L18"/>
    <mergeCell ref="P255:T255"/>
    <mergeCell ref="A100:Z100"/>
    <mergeCell ref="A165:Z165"/>
    <mergeCell ref="A115:Z115"/>
    <mergeCell ref="P192:T192"/>
    <mergeCell ref="Q9:R9"/>
    <mergeCell ref="Q11:R11"/>
    <mergeCell ref="A6:C6"/>
    <mergeCell ref="Q12:R12"/>
    <mergeCell ref="A5:C5"/>
    <mergeCell ref="D9:E9"/>
    <mergeCell ref="F9:G9"/>
    <mergeCell ref="A47:Z47"/>
    <mergeCell ref="D167:E167"/>
    <mergeCell ref="D161:E161"/>
    <mergeCell ref="P264:T264"/>
    <mergeCell ref="A247:O248"/>
    <mergeCell ref="D169:E169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A239:O240"/>
    <mergeCell ref="D5:E5"/>
    <mergeCell ref="P42:T42"/>
    <mergeCell ref="P98:V98"/>
    <mergeCell ref="D69:E69"/>
    <mergeCell ref="A109:O110"/>
    <mergeCell ref="P175:V175"/>
    <mergeCell ref="P162:V162"/>
    <mergeCell ref="P93:V93"/>
    <mergeCell ref="A123:O124"/>
    <mergeCell ref="D210:E210"/>
    <mergeCell ref="D87:E87"/>
    <mergeCell ref="D209:E209"/>
    <mergeCell ref="P188:V188"/>
    <mergeCell ref="D7:M7"/>
    <mergeCell ref="P156:V156"/>
    <mergeCell ref="A152:Z152"/>
    <mergeCell ref="D144:E144"/>
    <mergeCell ref="P173:T173"/>
    <mergeCell ref="P29:T29"/>
    <mergeCell ref="D81:E81"/>
    <mergeCell ref="P265:T265"/>
    <mergeCell ref="D208:E208"/>
    <mergeCell ref="D8:M8"/>
    <mergeCell ref="A211:O212"/>
    <mergeCell ref="P44:T44"/>
    <mergeCell ref="A226:Z226"/>
    <mergeCell ref="D139:E139"/>
    <mergeCell ref="P180:V180"/>
    <mergeCell ref="P118:V118"/>
    <mergeCell ref="P45:V45"/>
    <mergeCell ref="A241:Z241"/>
    <mergeCell ref="A98:O99"/>
    <mergeCell ref="A187:O188"/>
    <mergeCell ref="D245:E245"/>
    <mergeCell ref="P116:T116"/>
    <mergeCell ref="D122:E122"/>
    <mergeCell ref="A162:O163"/>
    <mergeCell ref="A281:A282"/>
    <mergeCell ref="C281:C282"/>
    <mergeCell ref="P235:V235"/>
    <mergeCell ref="A260:Z260"/>
    <mergeCell ref="A92:O93"/>
    <mergeCell ref="P81:T81"/>
    <mergeCell ref="V10:W10"/>
    <mergeCell ref="A197:Z197"/>
    <mergeCell ref="A229:O230"/>
    <mergeCell ref="P113:V113"/>
    <mergeCell ref="D53:E53"/>
    <mergeCell ref="A84:Z84"/>
    <mergeCell ref="P160:T160"/>
    <mergeCell ref="P209:T209"/>
    <mergeCell ref="W17:W18"/>
    <mergeCell ref="P217:V217"/>
    <mergeCell ref="A213:Z213"/>
    <mergeCell ref="B281:B282"/>
    <mergeCell ref="P234:T234"/>
    <mergeCell ref="U281:U282"/>
    <mergeCell ref="P266:T266"/>
    <mergeCell ref="A26:Z26"/>
    <mergeCell ref="P103:T103"/>
    <mergeCell ref="P59:V59"/>
    <mergeCell ref="D263:E263"/>
    <mergeCell ref="D238:E238"/>
    <mergeCell ref="AD281:AD282"/>
    <mergeCell ref="T281:T282"/>
    <mergeCell ref="A45:O46"/>
    <mergeCell ref="P86:T86"/>
    <mergeCell ref="V281:V282"/>
    <mergeCell ref="D134:E134"/>
    <mergeCell ref="R1:T1"/>
    <mergeCell ref="P28:T28"/>
    <mergeCell ref="A145:O146"/>
    <mergeCell ref="P215:T215"/>
    <mergeCell ref="P229:V229"/>
    <mergeCell ref="P77:V77"/>
    <mergeCell ref="A76:O77"/>
    <mergeCell ref="A273:O278"/>
    <mergeCell ref="P141:V141"/>
    <mergeCell ref="A140:O141"/>
    <mergeCell ref="P206:V206"/>
    <mergeCell ref="A202:Z202"/>
    <mergeCell ref="P37:V37"/>
    <mergeCell ref="P230:V230"/>
    <mergeCell ref="P104:T104"/>
    <mergeCell ref="B17:B18"/>
    <mergeCell ref="P244:T244"/>
    <mergeCell ref="P144:T144"/>
    <mergeCell ref="H9:I9"/>
    <mergeCell ref="P224:V224"/>
    <mergeCell ref="P24:V24"/>
    <mergeCell ref="P211:V211"/>
    <mergeCell ref="P259:V259"/>
    <mergeCell ref="A78:Z78"/>
    <mergeCell ref="D70:E70"/>
    <mergeCell ref="P248:V248"/>
    <mergeCell ref="A73:Z73"/>
    <mergeCell ref="P97:T97"/>
    <mergeCell ref="P130:V130"/>
    <mergeCell ref="P168:T168"/>
    <mergeCell ref="P82:V82"/>
    <mergeCell ref="P253:V253"/>
    <mergeCell ref="P15:T16"/>
    <mergeCell ref="P43:T43"/>
    <mergeCell ref="D251:E251"/>
    <mergeCell ref="A12:M12"/>
    <mergeCell ref="P200:V200"/>
    <mergeCell ref="A19:Z19"/>
    <mergeCell ref="A68:Z68"/>
    <mergeCell ref="A190:Z19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4 X204 X208:X210 X215:X216 X222 X228 X234 X238 X244:X246 X251 X257 X261 X267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199 X250 X255:X256 X262:X264 X26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380</v>
      </c>
      <c r="D6" s="47" t="s">
        <v>381</v>
      </c>
      <c r="E6" s="47"/>
    </row>
    <row r="8" spans="2:8" x14ac:dyDescent="0.2">
      <c r="B8" s="47" t="s">
        <v>18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2025-11-20T05:40:30Z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