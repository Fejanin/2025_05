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F1D01680-94F5-43C7-8461-0E794555E94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Z272" i="1" s="1"/>
  <c r="Y262" i="1"/>
  <c r="P262" i="1"/>
  <c r="X260" i="1"/>
  <c r="X259" i="1"/>
  <c r="BO258" i="1"/>
  <c r="BM258" i="1"/>
  <c r="Z258" i="1"/>
  <c r="Y258" i="1"/>
  <c r="P258" i="1"/>
  <c r="BP257" i="1"/>
  <c r="BO257" i="1"/>
  <c r="BN257" i="1"/>
  <c r="BM257" i="1"/>
  <c r="Z257" i="1"/>
  <c r="Z259" i="1" s="1"/>
  <c r="Y257" i="1"/>
  <c r="P257" i="1"/>
  <c r="BO256" i="1"/>
  <c r="BM256" i="1"/>
  <c r="Z256" i="1"/>
  <c r="Y256" i="1"/>
  <c r="P256" i="1"/>
  <c r="Y254" i="1"/>
  <c r="X254" i="1"/>
  <c r="Z253" i="1"/>
  <c r="X253" i="1"/>
  <c r="BO252" i="1"/>
  <c r="BM252" i="1"/>
  <c r="Z252" i="1"/>
  <c r="Y252" i="1"/>
  <c r="P252" i="1"/>
  <c r="BP251" i="1"/>
  <c r="BO251" i="1"/>
  <c r="BN251" i="1"/>
  <c r="BM251" i="1"/>
  <c r="Z251" i="1"/>
  <c r="Y251" i="1"/>
  <c r="Y253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Y249" i="1" s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Z218" i="1" s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Z212" i="1" s="1"/>
  <c r="Y210" i="1"/>
  <c r="P210" i="1"/>
  <c r="BO209" i="1"/>
  <c r="BM209" i="1"/>
  <c r="Z209" i="1"/>
  <c r="Y209" i="1"/>
  <c r="P209" i="1"/>
  <c r="Y207" i="1"/>
  <c r="X207" i="1"/>
  <c r="Z206" i="1"/>
  <c r="X206" i="1"/>
  <c r="BO205" i="1"/>
  <c r="BM205" i="1"/>
  <c r="Z205" i="1"/>
  <c r="Y205" i="1"/>
  <c r="P205" i="1"/>
  <c r="X202" i="1"/>
  <c r="Z201" i="1"/>
  <c r="X201" i="1"/>
  <c r="BO200" i="1"/>
  <c r="BM200" i="1"/>
  <c r="Z200" i="1"/>
  <c r="Y200" i="1"/>
  <c r="P200" i="1"/>
  <c r="Y197" i="1"/>
  <c r="X197" i="1"/>
  <c r="Z196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P186" i="1"/>
  <c r="BP185" i="1"/>
  <c r="BO185" i="1"/>
  <c r="BN185" i="1"/>
  <c r="BM185" i="1"/>
  <c r="Z185" i="1"/>
  <c r="Z187" i="1" s="1"/>
  <c r="Y185" i="1"/>
  <c r="P185" i="1"/>
  <c r="BO184" i="1"/>
  <c r="BM184" i="1"/>
  <c r="Z184" i="1"/>
  <c r="Y184" i="1"/>
  <c r="BO183" i="1"/>
  <c r="BM183" i="1"/>
  <c r="Z183" i="1"/>
  <c r="Y183" i="1"/>
  <c r="P183" i="1"/>
  <c r="Y181" i="1"/>
  <c r="X181" i="1"/>
  <c r="Z180" i="1"/>
  <c r="X180" i="1"/>
  <c r="BO179" i="1"/>
  <c r="BM179" i="1"/>
  <c r="Z179" i="1"/>
  <c r="Y179" i="1"/>
  <c r="P179" i="1"/>
  <c r="X175" i="1"/>
  <c r="Z174" i="1"/>
  <c r="X174" i="1"/>
  <c r="BO173" i="1"/>
  <c r="BM173" i="1"/>
  <c r="Z173" i="1"/>
  <c r="Y173" i="1"/>
  <c r="X171" i="1"/>
  <c r="X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BP167" i="1"/>
  <c r="BO167" i="1"/>
  <c r="BN167" i="1"/>
  <c r="BM167" i="1"/>
  <c r="Z167" i="1"/>
  <c r="Z170" i="1" s="1"/>
  <c r="Y167" i="1"/>
  <c r="P167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6" i="1"/>
  <c r="X156" i="1"/>
  <c r="Z155" i="1"/>
  <c r="X155" i="1"/>
  <c r="BO154" i="1"/>
  <c r="BM154" i="1"/>
  <c r="Z154" i="1"/>
  <c r="Y154" i="1"/>
  <c r="P154" i="1"/>
  <c r="X151" i="1"/>
  <c r="X150" i="1"/>
  <c r="BO149" i="1"/>
  <c r="BM149" i="1"/>
  <c r="Z149" i="1"/>
  <c r="Z150" i="1" s="1"/>
  <c r="Y149" i="1"/>
  <c r="Y150" i="1" s="1"/>
  <c r="P149" i="1"/>
  <c r="X146" i="1"/>
  <c r="Z145" i="1"/>
  <c r="X145" i="1"/>
  <c r="BO144" i="1"/>
  <c r="BM144" i="1"/>
  <c r="Z144" i="1"/>
  <c r="Y144" i="1"/>
  <c r="Y145" i="1" s="1"/>
  <c r="P144" i="1"/>
  <c r="X141" i="1"/>
  <c r="Z140" i="1"/>
  <c r="X140" i="1"/>
  <c r="BO139" i="1"/>
  <c r="BM139" i="1"/>
  <c r="Z139" i="1"/>
  <c r="Y139" i="1"/>
  <c r="Y140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Z127" i="1"/>
  <c r="Z129" i="1" s="1"/>
  <c r="Y127" i="1"/>
  <c r="Y130" i="1" s="1"/>
  <c r="P127" i="1"/>
  <c r="X124" i="1"/>
  <c r="X123" i="1"/>
  <c r="BO122" i="1"/>
  <c r="BM122" i="1"/>
  <c r="Z122" i="1"/>
  <c r="Y122" i="1"/>
  <c r="BP122" i="1" s="1"/>
  <c r="P122" i="1"/>
  <c r="BP121" i="1"/>
  <c r="BO121" i="1"/>
  <c r="BN121" i="1"/>
  <c r="BM121" i="1"/>
  <c r="Z121" i="1"/>
  <c r="Z123" i="1" s="1"/>
  <c r="Y121" i="1"/>
  <c r="Y123" i="1" s="1"/>
  <c r="P121" i="1"/>
  <c r="X118" i="1"/>
  <c r="Y117" i="1"/>
  <c r="X117" i="1"/>
  <c r="BP116" i="1"/>
  <c r="BO116" i="1"/>
  <c r="BN116" i="1"/>
  <c r="BM116" i="1"/>
  <c r="Z116" i="1"/>
  <c r="Z117" i="1" s="1"/>
  <c r="Y116" i="1"/>
  <c r="Y118" i="1" s="1"/>
  <c r="P116" i="1"/>
  <c r="X114" i="1"/>
  <c r="Y113" i="1"/>
  <c r="X113" i="1"/>
  <c r="BP112" i="1"/>
  <c r="BO112" i="1"/>
  <c r="BN112" i="1"/>
  <c r="BM112" i="1"/>
  <c r="Z112" i="1"/>
  <c r="Z113" i="1" s="1"/>
  <c r="Y112" i="1"/>
  <c r="Y114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Z109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9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BP87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Z76" i="1"/>
  <c r="X76" i="1"/>
  <c r="BO75" i="1"/>
  <c r="BM75" i="1"/>
  <c r="Z75" i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60" i="1" s="1"/>
  <c r="P57" i="1"/>
  <c r="X55" i="1"/>
  <c r="Z54" i="1"/>
  <c r="X54" i="1"/>
  <c r="BO53" i="1"/>
  <c r="BM53" i="1"/>
  <c r="Z53" i="1"/>
  <c r="Y53" i="1"/>
  <c r="Y54" i="1" s="1"/>
  <c r="P53" i="1"/>
  <c r="X51" i="1"/>
  <c r="Z50" i="1"/>
  <c r="X50" i="1"/>
  <c r="BO49" i="1"/>
  <c r="BM49" i="1"/>
  <c r="Z49" i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Y38" i="1" s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1" i="1" s="1"/>
  <c r="P28" i="1"/>
  <c r="X24" i="1"/>
  <c r="X274" i="1" s="1"/>
  <c r="Z23" i="1"/>
  <c r="X23" i="1"/>
  <c r="X278" i="1" s="1"/>
  <c r="BO22" i="1"/>
  <c r="X276" i="1" s="1"/>
  <c r="BM22" i="1"/>
  <c r="X275" i="1" s="1"/>
  <c r="Z22" i="1"/>
  <c r="Y22" i="1"/>
  <c r="Y23" i="1" s="1"/>
  <c r="P22" i="1"/>
  <c r="H10" i="1"/>
  <c r="A9" i="1"/>
  <c r="F10" i="1" s="1"/>
  <c r="D7" i="1"/>
  <c r="Q6" i="1"/>
  <c r="P2" i="1"/>
  <c r="X277" i="1" l="1"/>
  <c r="H9" i="1"/>
  <c r="A10" i="1"/>
  <c r="Y24" i="1"/>
  <c r="Y30" i="1"/>
  <c r="Y278" i="1" s="1"/>
  <c r="Y37" i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Y136" i="1"/>
  <c r="Y141" i="1"/>
  <c r="Y146" i="1"/>
  <c r="Y163" i="1"/>
  <c r="BP160" i="1"/>
  <c r="BN160" i="1"/>
  <c r="Y162" i="1"/>
  <c r="BP168" i="1"/>
  <c r="BN168" i="1"/>
  <c r="Y170" i="1"/>
  <c r="Y174" i="1"/>
  <c r="BP173" i="1"/>
  <c r="BN173" i="1"/>
  <c r="Y187" i="1"/>
  <c r="BP183" i="1"/>
  <c r="BN183" i="1"/>
  <c r="BP184" i="1"/>
  <c r="BN184" i="1"/>
  <c r="BP186" i="1"/>
  <c r="BN186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BN134" i="1"/>
  <c r="BN139" i="1"/>
  <c r="BP139" i="1"/>
  <c r="BN144" i="1"/>
  <c r="BP144" i="1"/>
  <c r="BN149" i="1"/>
  <c r="BP149" i="1"/>
  <c r="Y151" i="1"/>
  <c r="Y155" i="1"/>
  <c r="BP154" i="1"/>
  <c r="BN154" i="1"/>
  <c r="Z162" i="1"/>
  <c r="Z279" i="1" s="1"/>
  <c r="Y171" i="1"/>
  <c r="Y175" i="1"/>
  <c r="Y180" i="1"/>
  <c r="BP179" i="1"/>
  <c r="BN179" i="1"/>
  <c r="Y188" i="1"/>
  <c r="Y196" i="1"/>
  <c r="BP191" i="1"/>
  <c r="BN191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6" i="1" l="1"/>
  <c r="Y274" i="1"/>
  <c r="B287" i="1" s="1"/>
  <c r="Y275" i="1"/>
  <c r="Y277" i="1" s="1"/>
  <c r="C287" i="1" l="1"/>
  <c r="A287" i="1"/>
</calcChain>
</file>

<file path=xl/sharedStrings.xml><?xml version="1.0" encoding="utf-8"?>
<sst xmlns="http://schemas.openxmlformats.org/spreadsheetml/2006/main" count="1229" uniqueCount="395">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</sst>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9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9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0"/>
      <c r="F1" s="290"/>
      <c r="G1" s="12" t="s">
        <v>1</v>
      </c>
      <c r="H1" s="323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8" t="s">
        <v>7</v>
      </c>
      <c r="B5" s="318"/>
      <c r="C5" s="319"/>
      <c r="D5" s="325"/>
      <c r="E5" s="326"/>
      <c r="F5" s="439" t="s">
        <v>8</v>
      </c>
      <c r="G5" s="319"/>
      <c r="H5" s="325"/>
      <c r="I5" s="408"/>
      <c r="J5" s="408"/>
      <c r="K5" s="408"/>
      <c r="L5" s="408"/>
      <c r="M5" s="326"/>
      <c r="N5" s="61"/>
      <c r="P5" s="24" t="s">
        <v>9</v>
      </c>
      <c r="Q5" s="446">
        <v>45978</v>
      </c>
      <c r="R5" s="346"/>
      <c r="T5" s="367" t="s">
        <v>10</v>
      </c>
      <c r="U5" s="368"/>
      <c r="V5" s="369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8" t="s">
        <v>12</v>
      </c>
      <c r="B6" s="318"/>
      <c r="C6" s="319"/>
      <c r="D6" s="409" t="s">
        <v>13</v>
      </c>
      <c r="E6" s="410"/>
      <c r="F6" s="410"/>
      <c r="G6" s="410"/>
      <c r="H6" s="410"/>
      <c r="I6" s="410"/>
      <c r="J6" s="410"/>
      <c r="K6" s="410"/>
      <c r="L6" s="410"/>
      <c r="M6" s="346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15</v>
      </c>
      <c r="U6" s="368"/>
      <c r="V6" s="397" t="s">
        <v>16</v>
      </c>
      <c r="W6" s="298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4" t="str">
        <f>IFERROR(VLOOKUP(DeliveryAddress,Table,3,0),1)</f>
        <v>1</v>
      </c>
      <c r="E7" s="305"/>
      <c r="F7" s="305"/>
      <c r="G7" s="305"/>
      <c r="H7" s="305"/>
      <c r="I7" s="305"/>
      <c r="J7" s="305"/>
      <c r="K7" s="305"/>
      <c r="L7" s="305"/>
      <c r="M7" s="306"/>
      <c r="N7" s="63"/>
      <c r="P7" s="24"/>
      <c r="Q7" s="42"/>
      <c r="R7" s="42"/>
      <c r="T7" s="283"/>
      <c r="U7" s="368"/>
      <c r="V7" s="398"/>
      <c r="W7" s="399"/>
      <c r="AB7" s="51"/>
      <c r="AC7" s="51"/>
      <c r="AD7" s="51"/>
      <c r="AE7" s="51"/>
    </row>
    <row r="8" spans="1:32" s="262" customFormat="1" ht="25.5" customHeight="1" x14ac:dyDescent="0.2">
      <c r="A8" s="456" t="s">
        <v>17</v>
      </c>
      <c r="B8" s="280"/>
      <c r="C8" s="281"/>
      <c r="D8" s="313" t="s">
        <v>18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19</v>
      </c>
      <c r="Q8" s="350">
        <v>0.41666666666666669</v>
      </c>
      <c r="R8" s="306"/>
      <c r="T8" s="283"/>
      <c r="U8" s="368"/>
      <c r="V8" s="398"/>
      <c r="W8" s="399"/>
      <c r="AB8" s="51"/>
      <c r="AC8" s="51"/>
      <c r="AD8" s="51"/>
      <c r="AE8" s="51"/>
    </row>
    <row r="9" spans="1:32" s="262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5"/>
      <c r="E9" s="278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60"/>
      <c r="P9" s="26" t="s">
        <v>20</v>
      </c>
      <c r="Q9" s="343"/>
      <c r="R9" s="344"/>
      <c r="T9" s="283"/>
      <c r="U9" s="368"/>
      <c r="V9" s="400"/>
      <c r="W9" s="40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5"/>
      <c r="E10" s="278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93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21</v>
      </c>
      <c r="Q10" s="373"/>
      <c r="R10" s="374"/>
      <c r="U10" s="24" t="s">
        <v>22</v>
      </c>
      <c r="V10" s="297" t="s">
        <v>23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5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28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29</v>
      </c>
      <c r="Q12" s="350"/>
      <c r="R12" s="306"/>
      <c r="S12" s="23"/>
      <c r="U12" s="24"/>
      <c r="V12" s="290"/>
      <c r="W12" s="283"/>
      <c r="AB12" s="51"/>
      <c r="AC12" s="51"/>
      <c r="AD12" s="51"/>
      <c r="AE12" s="51"/>
    </row>
    <row r="13" spans="1:32" s="262" customFormat="1" ht="23.25" customHeight="1" x14ac:dyDescent="0.2">
      <c r="A13" s="366" t="s">
        <v>30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31</v>
      </c>
      <c r="Q13" s="415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1" t="s">
        <v>33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0" t="s">
        <v>34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1"/>
      <c r="Q16" s="361"/>
      <c r="R16" s="361"/>
      <c r="S16" s="361"/>
      <c r="T16" s="3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35</v>
      </c>
      <c r="B17" s="293" t="s">
        <v>36</v>
      </c>
      <c r="C17" s="354" t="s">
        <v>37</v>
      </c>
      <c r="D17" s="293" t="s">
        <v>38</v>
      </c>
      <c r="E17" s="335"/>
      <c r="F17" s="293" t="s">
        <v>39</v>
      </c>
      <c r="G17" s="293" t="s">
        <v>40</v>
      </c>
      <c r="H17" s="293" t="s">
        <v>41</v>
      </c>
      <c r="I17" s="293" t="s">
        <v>42</v>
      </c>
      <c r="J17" s="293" t="s">
        <v>43</v>
      </c>
      <c r="K17" s="293" t="s">
        <v>44</v>
      </c>
      <c r="L17" s="293" t="s">
        <v>45</v>
      </c>
      <c r="M17" s="293" t="s">
        <v>46</v>
      </c>
      <c r="N17" s="293" t="s">
        <v>47</v>
      </c>
      <c r="O17" s="293" t="s">
        <v>48</v>
      </c>
      <c r="P17" s="293" t="s">
        <v>49</v>
      </c>
      <c r="Q17" s="334"/>
      <c r="R17" s="334"/>
      <c r="S17" s="334"/>
      <c r="T17" s="335"/>
      <c r="U17" s="453" t="s">
        <v>50</v>
      </c>
      <c r="V17" s="319"/>
      <c r="W17" s="293" t="s">
        <v>51</v>
      </c>
      <c r="X17" s="293" t="s">
        <v>52</v>
      </c>
      <c r="Y17" s="454" t="s">
        <v>53</v>
      </c>
      <c r="Z17" s="406" t="s">
        <v>54</v>
      </c>
      <c r="AA17" s="391" t="s">
        <v>55</v>
      </c>
      <c r="AB17" s="391" t="s">
        <v>56</v>
      </c>
      <c r="AC17" s="391" t="s">
        <v>57</v>
      </c>
      <c r="AD17" s="391" t="s">
        <v>58</v>
      </c>
      <c r="AE17" s="434"/>
      <c r="AF17" s="43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4"/>
      <c r="X18" s="294"/>
      <c r="Y18" s="455"/>
      <c r="Z18" s="407"/>
      <c r="AA18" s="392"/>
      <c r="AB18" s="392"/>
      <c r="AC18" s="392"/>
      <c r="AD18" s="436"/>
      <c r="AE18" s="437"/>
      <c r="AF18" s="438"/>
      <c r="AG18" s="69"/>
      <c r="BD18" s="68"/>
    </row>
    <row r="19" spans="1:68" ht="27.75" customHeight="1" x14ac:dyDescent="0.2">
      <c r="A19" s="320" t="s">
        <v>62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customHeight="1" x14ac:dyDescent="0.25">
      <c r="A20" s="282" t="s">
        <v>62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customHeight="1" x14ac:dyDescent="0.25">
      <c r="A21" s="303" t="s">
        <v>63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3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3"/>
      <c r="R22" s="273"/>
      <c r="S22" s="273"/>
      <c r="T22" s="274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9" t="s">
        <v>72</v>
      </c>
      <c r="Q23" s="280"/>
      <c r="R23" s="280"/>
      <c r="S23" s="280"/>
      <c r="T23" s="280"/>
      <c r="U23" s="280"/>
      <c r="V23" s="281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9" t="s">
        <v>72</v>
      </c>
      <c r="Q24" s="280"/>
      <c r="R24" s="280"/>
      <c r="S24" s="280"/>
      <c r="T24" s="280"/>
      <c r="U24" s="280"/>
      <c r="V24" s="281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0" t="s">
        <v>74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customHeight="1" x14ac:dyDescent="0.25">
      <c r="A26" s="282" t="s">
        <v>75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customHeight="1" x14ac:dyDescent="0.25">
      <c r="A27" s="303" t="s">
        <v>76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3"/>
      <c r="R28" s="273"/>
      <c r="S28" s="273"/>
      <c r="T28" s="274"/>
      <c r="U28" s="34"/>
      <c r="V28" s="34"/>
      <c r="W28" s="35" t="s">
        <v>69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3"/>
      <c r="R29" s="273"/>
      <c r="S29" s="273"/>
      <c r="T29" s="274"/>
      <c r="U29" s="34"/>
      <c r="V29" s="34"/>
      <c r="W29" s="35" t="s">
        <v>69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9" t="s">
        <v>72</v>
      </c>
      <c r="Q30" s="280"/>
      <c r="R30" s="280"/>
      <c r="S30" s="280"/>
      <c r="T30" s="280"/>
      <c r="U30" s="280"/>
      <c r="V30" s="281"/>
      <c r="W30" s="37" t="s">
        <v>69</v>
      </c>
      <c r="X30" s="270">
        <f>IFERROR(SUM(X28:X29),"0")</f>
        <v>0</v>
      </c>
      <c r="Y30" s="270">
        <f>IFERROR(SUM(Y28:Y29),"0")</f>
        <v>0</v>
      </c>
      <c r="Z30" s="270">
        <f>IFERROR(IF(Z28="",0,Z28),"0")+IFERROR(IF(Z29="",0,Z29),"0")</f>
        <v>0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9" t="s">
        <v>72</v>
      </c>
      <c r="Q31" s="280"/>
      <c r="R31" s="280"/>
      <c r="S31" s="280"/>
      <c r="T31" s="280"/>
      <c r="U31" s="280"/>
      <c r="V31" s="281"/>
      <c r="W31" s="37" t="s">
        <v>73</v>
      </c>
      <c r="X31" s="270">
        <f>IFERROR(SUMPRODUCT(X28:X29*H28:H29),"0")</f>
        <v>0</v>
      </c>
      <c r="Y31" s="270">
        <f>IFERROR(SUMPRODUCT(Y28:Y29*H28:H29),"0")</f>
        <v>0</v>
      </c>
      <c r="Z31" s="37"/>
      <c r="AA31" s="271"/>
      <c r="AB31" s="271"/>
      <c r="AC31" s="271"/>
    </row>
    <row r="32" spans="1:68" ht="16.5" customHeight="1" x14ac:dyDescent="0.25">
      <c r="A32" s="282" t="s">
        <v>86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customHeight="1" x14ac:dyDescent="0.25">
      <c r="A33" s="303" t="s">
        <v>63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3"/>
      <c r="R34" s="273"/>
      <c r="S34" s="273"/>
      <c r="T34" s="274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3"/>
      <c r="R35" s="273"/>
      <c r="S35" s="273"/>
      <c r="T35" s="274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2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3"/>
      <c r="R36" s="273"/>
      <c r="S36" s="273"/>
      <c r="T36" s="274"/>
      <c r="U36" s="34"/>
      <c r="V36" s="34"/>
      <c r="W36" s="35" t="s">
        <v>69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9" t="s">
        <v>72</v>
      </c>
      <c r="Q37" s="280"/>
      <c r="R37" s="280"/>
      <c r="S37" s="280"/>
      <c r="T37" s="280"/>
      <c r="U37" s="280"/>
      <c r="V37" s="281"/>
      <c r="W37" s="37" t="s">
        <v>69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9" t="s">
        <v>72</v>
      </c>
      <c r="Q38" s="280"/>
      <c r="R38" s="280"/>
      <c r="S38" s="280"/>
      <c r="T38" s="280"/>
      <c r="U38" s="280"/>
      <c r="V38" s="281"/>
      <c r="W38" s="37" t="s">
        <v>73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customHeight="1" x14ac:dyDescent="0.25">
      <c r="A39" s="28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customHeight="1" x14ac:dyDescent="0.25">
      <c r="A40" s="303" t="s">
        <v>63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3"/>
      <c r="R41" s="273"/>
      <c r="S41" s="273"/>
      <c r="T41" s="274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3"/>
      <c r="R42" s="273"/>
      <c r="S42" s="273"/>
      <c r="T42" s="274"/>
      <c r="U42" s="34"/>
      <c r="V42" s="34"/>
      <c r="W42" s="35" t="s">
        <v>69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3"/>
      <c r="R43" s="273"/>
      <c r="S43" s="273"/>
      <c r="T43" s="274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3"/>
      <c r="R44" s="273"/>
      <c r="S44" s="273"/>
      <c r="T44" s="274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9" t="s">
        <v>72</v>
      </c>
      <c r="Q45" s="280"/>
      <c r="R45" s="280"/>
      <c r="S45" s="280"/>
      <c r="T45" s="280"/>
      <c r="U45" s="280"/>
      <c r="V45" s="281"/>
      <c r="W45" s="37" t="s">
        <v>69</v>
      </c>
      <c r="X45" s="270">
        <f>IFERROR(SUM(X41:X44),"0")</f>
        <v>0</v>
      </c>
      <c r="Y45" s="270">
        <f>IFERROR(SUM(Y41:Y44),"0")</f>
        <v>0</v>
      </c>
      <c r="Z45" s="270">
        <f>IFERROR(IF(Z41="",0,Z41),"0")+IFERROR(IF(Z42="",0,Z42),"0")+IFERROR(IF(Z43="",0,Z43),"0")+IFERROR(IF(Z44="",0,Z44),"0")</f>
        <v>0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9" t="s">
        <v>72</v>
      </c>
      <c r="Q46" s="280"/>
      <c r="R46" s="280"/>
      <c r="S46" s="280"/>
      <c r="T46" s="280"/>
      <c r="U46" s="280"/>
      <c r="V46" s="281"/>
      <c r="W46" s="37" t="s">
        <v>73</v>
      </c>
      <c r="X46" s="270">
        <f>IFERROR(SUMPRODUCT(X41:X44*H41:H44),"0")</f>
        <v>0</v>
      </c>
      <c r="Y46" s="270">
        <f>IFERROR(SUMPRODUCT(Y41:Y44*H41:H44),"0")</f>
        <v>0</v>
      </c>
      <c r="Z46" s="37"/>
      <c r="AA46" s="271"/>
      <c r="AB46" s="271"/>
      <c r="AC46" s="271"/>
    </row>
    <row r="47" spans="1:68" ht="16.5" customHeight="1" x14ac:dyDescent="0.25">
      <c r="A47" s="282" t="s">
        <v>107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customHeight="1" x14ac:dyDescent="0.25">
      <c r="A48" s="303" t="s">
        <v>63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2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3"/>
      <c r="R49" s="273"/>
      <c r="S49" s="273"/>
      <c r="T49" s="274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9" t="s">
        <v>72</v>
      </c>
      <c r="Q50" s="280"/>
      <c r="R50" s="280"/>
      <c r="S50" s="280"/>
      <c r="T50" s="280"/>
      <c r="U50" s="280"/>
      <c r="V50" s="281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9" t="s">
        <v>72</v>
      </c>
      <c r="Q51" s="280"/>
      <c r="R51" s="280"/>
      <c r="S51" s="280"/>
      <c r="T51" s="280"/>
      <c r="U51" s="280"/>
      <c r="V51" s="281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3" t="s">
        <v>76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5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3"/>
      <c r="R53" s="273"/>
      <c r="S53" s="273"/>
      <c r="T53" s="274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9" t="s">
        <v>72</v>
      </c>
      <c r="Q54" s="280"/>
      <c r="R54" s="280"/>
      <c r="S54" s="280"/>
      <c r="T54" s="280"/>
      <c r="U54" s="280"/>
      <c r="V54" s="281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9" t="s">
        <v>72</v>
      </c>
      <c r="Q55" s="280"/>
      <c r="R55" s="280"/>
      <c r="S55" s="280"/>
      <c r="T55" s="280"/>
      <c r="U55" s="280"/>
      <c r="V55" s="281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3" t="s">
        <v>114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3"/>
      <c r="R57" s="273"/>
      <c r="S57" s="273"/>
      <c r="T57" s="274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3"/>
      <c r="R58" s="273"/>
      <c r="S58" s="273"/>
      <c r="T58" s="274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9" t="s">
        <v>72</v>
      </c>
      <c r="Q59" s="280"/>
      <c r="R59" s="280"/>
      <c r="S59" s="280"/>
      <c r="T59" s="280"/>
      <c r="U59" s="280"/>
      <c r="V59" s="281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9" t="s">
        <v>72</v>
      </c>
      <c r="Q60" s="280"/>
      <c r="R60" s="280"/>
      <c r="S60" s="280"/>
      <c r="T60" s="280"/>
      <c r="U60" s="280"/>
      <c r="V60" s="281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3" t="s">
        <v>120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3"/>
      <c r="R62" s="273"/>
      <c r="S62" s="273"/>
      <c r="T62" s="274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3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3"/>
      <c r="R63" s="273"/>
      <c r="S63" s="273"/>
      <c r="T63" s="274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9" t="s">
        <v>72</v>
      </c>
      <c r="Q65" s="280"/>
      <c r="R65" s="280"/>
      <c r="S65" s="280"/>
      <c r="T65" s="280"/>
      <c r="U65" s="280"/>
      <c r="V65" s="281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9" t="s">
        <v>72</v>
      </c>
      <c r="Q66" s="280"/>
      <c r="R66" s="280"/>
      <c r="S66" s="280"/>
      <c r="T66" s="280"/>
      <c r="U66" s="280"/>
      <c r="V66" s="281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2" t="s">
        <v>128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customHeight="1" x14ac:dyDescent="0.25">
      <c r="A68" s="303" t="s">
        <v>63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3"/>
      <c r="R69" s="273"/>
      <c r="S69" s="273"/>
      <c r="T69" s="274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3"/>
      <c r="R70" s="273"/>
      <c r="S70" s="273"/>
      <c r="T70" s="274"/>
      <c r="U70" s="34"/>
      <c r="V70" s="34"/>
      <c r="W70" s="35" t="s">
        <v>69</v>
      </c>
      <c r="X70" s="268">
        <v>0</v>
      </c>
      <c r="Y70" s="269">
        <f>IFERROR(IF(X70="","",X70),"")</f>
        <v>0</v>
      </c>
      <c r="Z70" s="36">
        <f>IFERROR(IF(X70="","",X70*0.00866),"")</f>
        <v>0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9" t="s">
        <v>72</v>
      </c>
      <c r="Q71" s="280"/>
      <c r="R71" s="280"/>
      <c r="S71" s="280"/>
      <c r="T71" s="280"/>
      <c r="U71" s="280"/>
      <c r="V71" s="281"/>
      <c r="W71" s="37" t="s">
        <v>69</v>
      </c>
      <c r="X71" s="270">
        <f>IFERROR(SUM(X69:X70),"0")</f>
        <v>0</v>
      </c>
      <c r="Y71" s="270">
        <f>IFERROR(SUM(Y69:Y70),"0")</f>
        <v>0</v>
      </c>
      <c r="Z71" s="270">
        <f>IFERROR(IF(Z69="",0,Z69),"0")+IFERROR(IF(Z70="",0,Z70),"0")</f>
        <v>0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9" t="s">
        <v>72</v>
      </c>
      <c r="Q72" s="280"/>
      <c r="R72" s="280"/>
      <c r="S72" s="280"/>
      <c r="T72" s="280"/>
      <c r="U72" s="280"/>
      <c r="V72" s="281"/>
      <c r="W72" s="37" t="s">
        <v>73</v>
      </c>
      <c r="X72" s="270">
        <f>IFERROR(SUMPRODUCT(X69:X70*H69:H70),"0")</f>
        <v>0</v>
      </c>
      <c r="Y72" s="270">
        <f>IFERROR(SUMPRODUCT(Y69:Y70*H69:H70),"0")</f>
        <v>0</v>
      </c>
      <c r="Z72" s="37"/>
      <c r="AA72" s="271"/>
      <c r="AB72" s="271"/>
      <c r="AC72" s="271"/>
    </row>
    <row r="73" spans="1:68" ht="16.5" customHeight="1" x14ac:dyDescent="0.25">
      <c r="A73" s="282" t="s">
        <v>135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customHeight="1" x14ac:dyDescent="0.25">
      <c r="A74" s="303" t="s">
        <v>120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3"/>
      <c r="R75" s="273"/>
      <c r="S75" s="273"/>
      <c r="T75" s="274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9" t="s">
        <v>72</v>
      </c>
      <c r="Q76" s="280"/>
      <c r="R76" s="280"/>
      <c r="S76" s="280"/>
      <c r="T76" s="280"/>
      <c r="U76" s="280"/>
      <c r="V76" s="281"/>
      <c r="W76" s="37" t="s">
        <v>69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9" t="s">
        <v>72</v>
      </c>
      <c r="Q77" s="280"/>
      <c r="R77" s="280"/>
      <c r="S77" s="280"/>
      <c r="T77" s="280"/>
      <c r="U77" s="280"/>
      <c r="V77" s="281"/>
      <c r="W77" s="37" t="s">
        <v>73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customHeight="1" x14ac:dyDescent="0.25">
      <c r="A78" s="282" t="s">
        <v>139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customHeight="1" x14ac:dyDescent="0.25">
      <c r="A79" s="303" t="s">
        <v>140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3"/>
      <c r="R80" s="273"/>
      <c r="S80" s="273"/>
      <c r="T80" s="274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IFERROR(IF(X80="","",X80*0.01788),"")</f>
        <v>0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3"/>
      <c r="R81" s="273"/>
      <c r="S81" s="273"/>
      <c r="T81" s="274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9" t="s">
        <v>72</v>
      </c>
      <c r="Q82" s="280"/>
      <c r="R82" s="280"/>
      <c r="S82" s="280"/>
      <c r="T82" s="280"/>
      <c r="U82" s="280"/>
      <c r="V82" s="281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9" t="s">
        <v>72</v>
      </c>
      <c r="Q83" s="280"/>
      <c r="R83" s="280"/>
      <c r="S83" s="280"/>
      <c r="T83" s="280"/>
      <c r="U83" s="280"/>
      <c r="V83" s="281"/>
      <c r="W83" s="37" t="s">
        <v>73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customHeight="1" x14ac:dyDescent="0.25">
      <c r="A84" s="282" t="s">
        <v>147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customHeight="1" x14ac:dyDescent="0.25">
      <c r="A85" s="303" t="s">
        <v>120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3"/>
      <c r="R86" s="273"/>
      <c r="S86" s="273"/>
      <c r="T86" s="274"/>
      <c r="U86" s="34"/>
      <c r="V86" s="34"/>
      <c r="W86" s="35" t="s">
        <v>69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3"/>
      <c r="R87" s="273"/>
      <c r="S87" s="273"/>
      <c r="T87" s="274"/>
      <c r="U87" s="34"/>
      <c r="V87" s="34"/>
      <c r="W87" s="35" t="s">
        <v>69</v>
      </c>
      <c r="X87" s="268">
        <v>0</v>
      </c>
      <c r="Y87" s="269">
        <f t="shared" si="0"/>
        <v>0</v>
      </c>
      <c r="Z87" s="36">
        <f t="shared" si="1"/>
        <v>0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0</v>
      </c>
      <c r="BN87" s="67">
        <f t="shared" si="3"/>
        <v>0</v>
      </c>
      <c r="BO87" s="67">
        <f t="shared" si="4"/>
        <v>0</v>
      </c>
      <c r="BP87" s="67">
        <f t="shared" si="5"/>
        <v>0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3"/>
      <c r="R88" s="273"/>
      <c r="S88" s="273"/>
      <c r="T88" s="274"/>
      <c r="U88" s="34"/>
      <c r="V88" s="34"/>
      <c r="W88" s="35" t="s">
        <v>69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3"/>
      <c r="R89" s="273"/>
      <c r="S89" s="273"/>
      <c r="T89" s="274"/>
      <c r="U89" s="34"/>
      <c r="V89" s="34"/>
      <c r="W89" s="35" t="s">
        <v>69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3"/>
      <c r="R90" s="273"/>
      <c r="S90" s="273"/>
      <c r="T90" s="274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3"/>
      <c r="R91" s="273"/>
      <c r="S91" s="273"/>
      <c r="T91" s="274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9" t="s">
        <v>72</v>
      </c>
      <c r="Q92" s="280"/>
      <c r="R92" s="280"/>
      <c r="S92" s="280"/>
      <c r="T92" s="280"/>
      <c r="U92" s="280"/>
      <c r="V92" s="281"/>
      <c r="W92" s="37" t="s">
        <v>69</v>
      </c>
      <c r="X92" s="270">
        <f>IFERROR(SUM(X86:X91),"0")</f>
        <v>0</v>
      </c>
      <c r="Y92" s="270">
        <f>IFERROR(SUM(Y86:Y91),"0")</f>
        <v>0</v>
      </c>
      <c r="Z92" s="270">
        <f>IFERROR(IF(Z86="",0,Z86),"0")+IFERROR(IF(Z87="",0,Z87),"0")+IFERROR(IF(Z88="",0,Z88),"0")+IFERROR(IF(Z89="",0,Z89),"0")+IFERROR(IF(Z90="",0,Z90),"0")+IFERROR(IF(Z91="",0,Z91),"0")</f>
        <v>0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9" t="s">
        <v>72</v>
      </c>
      <c r="Q93" s="280"/>
      <c r="R93" s="280"/>
      <c r="S93" s="280"/>
      <c r="T93" s="280"/>
      <c r="U93" s="280"/>
      <c r="V93" s="281"/>
      <c r="W93" s="37" t="s">
        <v>73</v>
      </c>
      <c r="X93" s="270">
        <f>IFERROR(SUMPRODUCT(X86:X91*H86:H91),"0")</f>
        <v>0</v>
      </c>
      <c r="Y93" s="270">
        <f>IFERROR(SUMPRODUCT(Y86:Y91*H86:H91),"0")</f>
        <v>0</v>
      </c>
      <c r="Z93" s="37"/>
      <c r="AA93" s="271"/>
      <c r="AB93" s="271"/>
      <c r="AC93" s="271"/>
    </row>
    <row r="94" spans="1:68" ht="16.5" customHeight="1" x14ac:dyDescent="0.25">
      <c r="A94" s="282" t="s">
        <v>162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customHeight="1" x14ac:dyDescent="0.25">
      <c r="A95" s="303" t="s">
        <v>114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3"/>
      <c r="R96" s="273"/>
      <c r="S96" s="273"/>
      <c r="T96" s="274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3"/>
      <c r="R97" s="273"/>
      <c r="S97" s="273"/>
      <c r="T97" s="274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9" t="s">
        <v>72</v>
      </c>
      <c r="Q98" s="280"/>
      <c r="R98" s="280"/>
      <c r="S98" s="280"/>
      <c r="T98" s="280"/>
      <c r="U98" s="280"/>
      <c r="V98" s="281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9" t="s">
        <v>72</v>
      </c>
      <c r="Q99" s="280"/>
      <c r="R99" s="280"/>
      <c r="S99" s="280"/>
      <c r="T99" s="280"/>
      <c r="U99" s="280"/>
      <c r="V99" s="281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customHeight="1" x14ac:dyDescent="0.25">
      <c r="A100" s="282" t="s">
        <v>168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customHeight="1" x14ac:dyDescent="0.25">
      <c r="A101" s="303" t="s">
        <v>63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3"/>
      <c r="R102" s="273"/>
      <c r="S102" s="273"/>
      <c r="T102" s="274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3"/>
      <c r="R103" s="273"/>
      <c r="S103" s="273"/>
      <c r="T103" s="274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3"/>
      <c r="R104" s="273"/>
      <c r="S104" s="273"/>
      <c r="T104" s="274"/>
      <c r="U104" s="34"/>
      <c r="V104" s="34"/>
      <c r="W104" s="35" t="s">
        <v>69</v>
      </c>
      <c r="X104" s="268">
        <v>0</v>
      </c>
      <c r="Y104" s="269">
        <f t="shared" si="6"/>
        <v>0</v>
      </c>
      <c r="Z104" s="36">
        <f t="shared" si="7"/>
        <v>0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3"/>
      <c r="R105" s="273"/>
      <c r="S105" s="273"/>
      <c r="T105" s="274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3"/>
      <c r="R106" s="273"/>
      <c r="S106" s="273"/>
      <c r="T106" s="274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3"/>
      <c r="R107" s="273"/>
      <c r="S107" s="273"/>
      <c r="T107" s="274"/>
      <c r="U107" s="34"/>
      <c r="V107" s="34"/>
      <c r="W107" s="35" t="s">
        <v>69</v>
      </c>
      <c r="X107" s="268">
        <v>0</v>
      </c>
      <c r="Y107" s="269">
        <f t="shared" si="6"/>
        <v>0</v>
      </c>
      <c r="Z107" s="36">
        <f t="shared" si="7"/>
        <v>0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3"/>
      <c r="R108" s="273"/>
      <c r="S108" s="273"/>
      <c r="T108" s="274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7"/>
      <c r="P109" s="279" t="s">
        <v>72</v>
      </c>
      <c r="Q109" s="280"/>
      <c r="R109" s="280"/>
      <c r="S109" s="280"/>
      <c r="T109" s="280"/>
      <c r="U109" s="280"/>
      <c r="V109" s="281"/>
      <c r="W109" s="37" t="s">
        <v>69</v>
      </c>
      <c r="X109" s="270">
        <f>IFERROR(SUM(X102:X108),"0")</f>
        <v>0</v>
      </c>
      <c r="Y109" s="270">
        <f>IFERROR(SUM(Y102:Y108),"0")</f>
        <v>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271"/>
      <c r="AB109" s="271"/>
      <c r="AC109" s="271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9" t="s">
        <v>72</v>
      </c>
      <c r="Q110" s="280"/>
      <c r="R110" s="280"/>
      <c r="S110" s="280"/>
      <c r="T110" s="280"/>
      <c r="U110" s="280"/>
      <c r="V110" s="281"/>
      <c r="W110" s="37" t="s">
        <v>73</v>
      </c>
      <c r="X110" s="270">
        <f>IFERROR(SUMPRODUCT(X102:X108*H102:H108),"0")</f>
        <v>0</v>
      </c>
      <c r="Y110" s="270">
        <f>IFERROR(SUMPRODUCT(Y102:Y108*H102:H108),"0")</f>
        <v>0</v>
      </c>
      <c r="Z110" s="37"/>
      <c r="AA110" s="271"/>
      <c r="AB110" s="271"/>
      <c r="AC110" s="271"/>
    </row>
    <row r="111" spans="1:68" ht="14.25" customHeight="1" x14ac:dyDescent="0.25">
      <c r="A111" s="303" t="s">
        <v>120</v>
      </c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64"/>
      <c r="AB111" s="264"/>
      <c r="AC111" s="264"/>
    </row>
    <row r="112" spans="1:68" ht="27" customHeight="1" x14ac:dyDescent="0.25">
      <c r="A112" s="54" t="s">
        <v>186</v>
      </c>
      <c r="B112" s="54" t="s">
        <v>187</v>
      </c>
      <c r="C112" s="31">
        <v>4301135826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3"/>
      <c r="R112" s="273"/>
      <c r="S112" s="273"/>
      <c r="T112" s="274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x14ac:dyDescent="0.2">
      <c r="A113" s="286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7"/>
      <c r="P113" s="279" t="s">
        <v>72</v>
      </c>
      <c r="Q113" s="280"/>
      <c r="R113" s="280"/>
      <c r="S113" s="280"/>
      <c r="T113" s="280"/>
      <c r="U113" s="280"/>
      <c r="V113" s="281"/>
      <c r="W113" s="37" t="s">
        <v>69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x14ac:dyDescent="0.2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9" t="s">
        <v>72</v>
      </c>
      <c r="Q114" s="280"/>
      <c r="R114" s="280"/>
      <c r="S114" s="280"/>
      <c r="T114" s="280"/>
      <c r="U114" s="280"/>
      <c r="V114" s="281"/>
      <c r="W114" s="37" t="s">
        <v>73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customHeight="1" x14ac:dyDescent="0.25">
      <c r="A115" s="303" t="s">
        <v>189</v>
      </c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64"/>
      <c r="AB115" s="264"/>
      <c r="AC115" s="264"/>
    </row>
    <row r="116" spans="1:68" ht="27" customHeight="1" x14ac:dyDescent="0.25">
      <c r="A116" s="54" t="s">
        <v>190</v>
      </c>
      <c r="B116" s="54" t="s">
        <v>191</v>
      </c>
      <c r="C116" s="31">
        <v>4301071094</v>
      </c>
      <c r="D116" s="284">
        <v>4620207491140</v>
      </c>
      <c r="E116" s="28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3"/>
      <c r="R116" s="273"/>
      <c r="S116" s="273"/>
      <c r="T116" s="274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6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7"/>
      <c r="P117" s="279" t="s">
        <v>72</v>
      </c>
      <c r="Q117" s="280"/>
      <c r="R117" s="280"/>
      <c r="S117" s="280"/>
      <c r="T117" s="280"/>
      <c r="U117" s="280"/>
      <c r="V117" s="281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9" t="s">
        <v>72</v>
      </c>
      <c r="Q118" s="280"/>
      <c r="R118" s="280"/>
      <c r="S118" s="280"/>
      <c r="T118" s="280"/>
      <c r="U118" s="280"/>
      <c r="V118" s="281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customHeight="1" x14ac:dyDescent="0.25">
      <c r="A119" s="282" t="s">
        <v>193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63"/>
      <c r="AB119" s="263"/>
      <c r="AC119" s="263"/>
    </row>
    <row r="120" spans="1:68" ht="14.25" customHeight="1" x14ac:dyDescent="0.25">
      <c r="A120" s="303" t="s">
        <v>120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4"/>
      <c r="AB120" s="264"/>
      <c r="AC120" s="264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4">
        <v>4607111034014</v>
      </c>
      <c r="E121" s="28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3"/>
      <c r="R121" s="273"/>
      <c r="S121" s="273"/>
      <c r="T121" s="274"/>
      <c r="U121" s="34"/>
      <c r="V121" s="34"/>
      <c r="W121" s="35" t="s">
        <v>69</v>
      </c>
      <c r="X121" s="268">
        <v>0</v>
      </c>
      <c r="Y121" s="269">
        <f>IFERROR(IF(X121="","",X121),"")</f>
        <v>0</v>
      </c>
      <c r="Z121" s="36">
        <f>IFERROR(IF(X121="","",X121*0.01788),"")</f>
        <v>0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4">
        <v>4607111033994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6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3"/>
      <c r="R122" s="273"/>
      <c r="S122" s="273"/>
      <c r="T122" s="274"/>
      <c r="U122" s="34"/>
      <c r="V122" s="34"/>
      <c r="W122" s="35" t="s">
        <v>69</v>
      </c>
      <c r="X122" s="268">
        <v>0</v>
      </c>
      <c r="Y122" s="269">
        <f>IFERROR(IF(X122="","",X122),"")</f>
        <v>0</v>
      </c>
      <c r="Z122" s="36">
        <f>IFERROR(IF(X122="","",X122*0.01788),"")</f>
        <v>0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x14ac:dyDescent="0.2">
      <c r="A123" s="286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7"/>
      <c r="P123" s="279" t="s">
        <v>72</v>
      </c>
      <c r="Q123" s="280"/>
      <c r="R123" s="280"/>
      <c r="S123" s="280"/>
      <c r="T123" s="280"/>
      <c r="U123" s="280"/>
      <c r="V123" s="281"/>
      <c r="W123" s="37" t="s">
        <v>69</v>
      </c>
      <c r="X123" s="270">
        <f>IFERROR(SUM(X121:X122),"0")</f>
        <v>0</v>
      </c>
      <c r="Y123" s="270">
        <f>IFERROR(SUM(Y121:Y122),"0")</f>
        <v>0</v>
      </c>
      <c r="Z123" s="270">
        <f>IFERROR(IF(Z121="",0,Z121),"0")+IFERROR(IF(Z122="",0,Z122),"0")</f>
        <v>0</v>
      </c>
      <c r="AA123" s="271"/>
      <c r="AB123" s="271"/>
      <c r="AC123" s="271"/>
    </row>
    <row r="124" spans="1:68" x14ac:dyDescent="0.2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9" t="s">
        <v>72</v>
      </c>
      <c r="Q124" s="280"/>
      <c r="R124" s="280"/>
      <c r="S124" s="280"/>
      <c r="T124" s="280"/>
      <c r="U124" s="280"/>
      <c r="V124" s="281"/>
      <c r="W124" s="37" t="s">
        <v>73</v>
      </c>
      <c r="X124" s="270">
        <f>IFERROR(SUMPRODUCT(X121:X122*H121:H122),"0")</f>
        <v>0</v>
      </c>
      <c r="Y124" s="270">
        <f>IFERROR(SUMPRODUCT(Y121:Y122*H121:H122),"0")</f>
        <v>0</v>
      </c>
      <c r="Z124" s="37"/>
      <c r="AA124" s="271"/>
      <c r="AB124" s="271"/>
      <c r="AC124" s="271"/>
    </row>
    <row r="125" spans="1:68" ht="16.5" customHeight="1" x14ac:dyDescent="0.25">
      <c r="A125" s="282" t="s">
        <v>201</v>
      </c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63"/>
      <c r="AB125" s="263"/>
      <c r="AC125" s="263"/>
    </row>
    <row r="126" spans="1:68" ht="14.25" customHeight="1" x14ac:dyDescent="0.25">
      <c r="A126" s="303" t="s">
        <v>120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4"/>
      <c r="AB126" s="264"/>
      <c r="AC126" s="264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4">
        <v>4607111039095</v>
      </c>
      <c r="E127" s="28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3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3"/>
      <c r="R127" s="273"/>
      <c r="S127" s="273"/>
      <c r="T127" s="274"/>
      <c r="U127" s="34"/>
      <c r="V127" s="34"/>
      <c r="W127" s="35" t="s">
        <v>69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4">
        <v>4607111034199</v>
      </c>
      <c r="E128" s="28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3"/>
      <c r="R128" s="273"/>
      <c r="S128" s="273"/>
      <c r="T128" s="274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6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7"/>
      <c r="P129" s="279" t="s">
        <v>72</v>
      </c>
      <c r="Q129" s="280"/>
      <c r="R129" s="280"/>
      <c r="S129" s="280"/>
      <c r="T129" s="280"/>
      <c r="U129" s="280"/>
      <c r="V129" s="281"/>
      <c r="W129" s="37" t="s">
        <v>69</v>
      </c>
      <c r="X129" s="270">
        <f>IFERROR(SUM(X127:X128),"0")</f>
        <v>0</v>
      </c>
      <c r="Y129" s="270">
        <f>IFERROR(SUM(Y127:Y128),"0")</f>
        <v>0</v>
      </c>
      <c r="Z129" s="270">
        <f>IFERROR(IF(Z127="",0,Z127),"0")+IFERROR(IF(Z128="",0,Z128),"0")</f>
        <v>0</v>
      </c>
      <c r="AA129" s="271"/>
      <c r="AB129" s="271"/>
      <c r="AC129" s="271"/>
    </row>
    <row r="130" spans="1:68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9" t="s">
        <v>72</v>
      </c>
      <c r="Q130" s="280"/>
      <c r="R130" s="280"/>
      <c r="S130" s="280"/>
      <c r="T130" s="280"/>
      <c r="U130" s="280"/>
      <c r="V130" s="281"/>
      <c r="W130" s="37" t="s">
        <v>73</v>
      </c>
      <c r="X130" s="270">
        <f>IFERROR(SUMPRODUCT(X127:X128*H127:H128),"0")</f>
        <v>0</v>
      </c>
      <c r="Y130" s="270">
        <f>IFERROR(SUMPRODUCT(Y127:Y128*H127:H128),"0")</f>
        <v>0</v>
      </c>
      <c r="Z130" s="37"/>
      <c r="AA130" s="271"/>
      <c r="AB130" s="271"/>
      <c r="AC130" s="271"/>
    </row>
    <row r="131" spans="1:68" ht="16.5" customHeight="1" x14ac:dyDescent="0.25">
      <c r="A131" s="282" t="s">
        <v>208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63"/>
      <c r="AB131" s="263"/>
      <c r="AC131" s="263"/>
    </row>
    <row r="132" spans="1:68" ht="14.25" customHeight="1" x14ac:dyDescent="0.25">
      <c r="A132" s="303" t="s">
        <v>120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4"/>
      <c r="AB132" s="264"/>
      <c r="AC132" s="264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4">
        <v>4620207490914</v>
      </c>
      <c r="E133" s="28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3"/>
      <c r="R133" s="273"/>
      <c r="S133" s="273"/>
      <c r="T133" s="274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4">
        <v>4620207490853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3"/>
      <c r="R134" s="273"/>
      <c r="S134" s="273"/>
      <c r="T134" s="274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6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7"/>
      <c r="P135" s="279" t="s">
        <v>72</v>
      </c>
      <c r="Q135" s="280"/>
      <c r="R135" s="280"/>
      <c r="S135" s="280"/>
      <c r="T135" s="280"/>
      <c r="U135" s="280"/>
      <c r="V135" s="281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9" t="s">
        <v>72</v>
      </c>
      <c r="Q136" s="280"/>
      <c r="R136" s="280"/>
      <c r="S136" s="280"/>
      <c r="T136" s="280"/>
      <c r="U136" s="280"/>
      <c r="V136" s="281"/>
      <c r="W136" s="37" t="s">
        <v>73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customHeight="1" x14ac:dyDescent="0.25">
      <c r="A137" s="282" t="s">
        <v>213</v>
      </c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63"/>
      <c r="AB137" s="263"/>
      <c r="AC137" s="263"/>
    </row>
    <row r="138" spans="1:68" ht="14.25" customHeight="1" x14ac:dyDescent="0.25">
      <c r="A138" s="303" t="s">
        <v>120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4"/>
      <c r="AB138" s="264"/>
      <c r="AC138" s="264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4">
        <v>4607111035806</v>
      </c>
      <c r="E139" s="28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1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3"/>
      <c r="R139" s="273"/>
      <c r="S139" s="273"/>
      <c r="T139" s="274"/>
      <c r="U139" s="34"/>
      <c r="V139" s="34"/>
      <c r="W139" s="35" t="s">
        <v>69</v>
      </c>
      <c r="X139" s="268">
        <v>56</v>
      </c>
      <c r="Y139" s="269">
        <f>IFERROR(IF(X139="","",X139),"")</f>
        <v>56</v>
      </c>
      <c r="Z139" s="36">
        <f>IFERROR(IF(X139="","",X139*0.01788),"")</f>
        <v>1.0012799999999999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207.40159999999997</v>
      </c>
      <c r="BN139" s="67">
        <f>IFERROR(Y139*I139,"0")</f>
        <v>207.40159999999997</v>
      </c>
      <c r="BO139" s="67">
        <f>IFERROR(X139/J139,"0")</f>
        <v>0.8</v>
      </c>
      <c r="BP139" s="67">
        <f>IFERROR(Y139/J139,"0")</f>
        <v>0.8</v>
      </c>
    </row>
    <row r="140" spans="1:68" x14ac:dyDescent="0.2">
      <c r="A140" s="286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7"/>
      <c r="P140" s="279" t="s">
        <v>72</v>
      </c>
      <c r="Q140" s="280"/>
      <c r="R140" s="280"/>
      <c r="S140" s="280"/>
      <c r="T140" s="280"/>
      <c r="U140" s="280"/>
      <c r="V140" s="281"/>
      <c r="W140" s="37" t="s">
        <v>69</v>
      </c>
      <c r="X140" s="270">
        <f>IFERROR(SUM(X139:X139),"0")</f>
        <v>56</v>
      </c>
      <c r="Y140" s="270">
        <f>IFERROR(SUM(Y139:Y139),"0")</f>
        <v>56</v>
      </c>
      <c r="Z140" s="270">
        <f>IFERROR(IF(Z139="",0,Z139),"0")</f>
        <v>1.0012799999999999</v>
      </c>
      <c r="AA140" s="271"/>
      <c r="AB140" s="271"/>
      <c r="AC140" s="271"/>
    </row>
    <row r="141" spans="1:68" x14ac:dyDescent="0.2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9" t="s">
        <v>72</v>
      </c>
      <c r="Q141" s="280"/>
      <c r="R141" s="280"/>
      <c r="S141" s="280"/>
      <c r="T141" s="280"/>
      <c r="U141" s="280"/>
      <c r="V141" s="281"/>
      <c r="W141" s="37" t="s">
        <v>73</v>
      </c>
      <c r="X141" s="270">
        <f>IFERROR(SUMPRODUCT(X139:X139*H139:H139),"0")</f>
        <v>168</v>
      </c>
      <c r="Y141" s="270">
        <f>IFERROR(SUMPRODUCT(Y139:Y139*H139:H139),"0")</f>
        <v>168</v>
      </c>
      <c r="Z141" s="37"/>
      <c r="AA141" s="271"/>
      <c r="AB141" s="271"/>
      <c r="AC141" s="271"/>
    </row>
    <row r="142" spans="1:68" ht="16.5" customHeight="1" x14ac:dyDescent="0.25">
      <c r="A142" s="282" t="s">
        <v>217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63"/>
      <c r="AB142" s="263"/>
      <c r="AC142" s="263"/>
    </row>
    <row r="143" spans="1:68" ht="14.25" customHeight="1" x14ac:dyDescent="0.25">
      <c r="A143" s="303" t="s">
        <v>120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4"/>
      <c r="AB143" s="264"/>
      <c r="AC143" s="264"/>
    </row>
    <row r="144" spans="1:68" ht="16.5" customHeight="1" x14ac:dyDescent="0.25">
      <c r="A144" s="54" t="s">
        <v>218</v>
      </c>
      <c r="B144" s="54" t="s">
        <v>219</v>
      </c>
      <c r="C144" s="31">
        <v>4301135607</v>
      </c>
      <c r="D144" s="284">
        <v>4607111039613</v>
      </c>
      <c r="E144" s="28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27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3"/>
      <c r="R144" s="273"/>
      <c r="S144" s="273"/>
      <c r="T144" s="274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6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7"/>
      <c r="P145" s="279" t="s">
        <v>72</v>
      </c>
      <c r="Q145" s="280"/>
      <c r="R145" s="280"/>
      <c r="S145" s="280"/>
      <c r="T145" s="280"/>
      <c r="U145" s="280"/>
      <c r="V145" s="281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9" t="s">
        <v>72</v>
      </c>
      <c r="Q146" s="280"/>
      <c r="R146" s="280"/>
      <c r="S146" s="280"/>
      <c r="T146" s="280"/>
      <c r="U146" s="280"/>
      <c r="V146" s="281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customHeight="1" x14ac:dyDescent="0.25">
      <c r="A147" s="282" t="s">
        <v>220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63"/>
      <c r="AB147" s="263"/>
      <c r="AC147" s="263"/>
    </row>
    <row r="148" spans="1:68" ht="14.25" customHeight="1" x14ac:dyDescent="0.25">
      <c r="A148" s="303" t="s">
        <v>189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4"/>
      <c r="AB148" s="264"/>
      <c r="AC148" s="264"/>
    </row>
    <row r="149" spans="1:68" ht="27" customHeight="1" x14ac:dyDescent="0.25">
      <c r="A149" s="54" t="s">
        <v>221</v>
      </c>
      <c r="B149" s="54" t="s">
        <v>222</v>
      </c>
      <c r="C149" s="31">
        <v>4301135540</v>
      </c>
      <c r="D149" s="284">
        <v>4607111035646</v>
      </c>
      <c r="E149" s="28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45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3"/>
      <c r="R149" s="273"/>
      <c r="S149" s="273"/>
      <c r="T149" s="274"/>
      <c r="U149" s="34"/>
      <c r="V149" s="34"/>
      <c r="W149" s="35" t="s">
        <v>69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86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7"/>
      <c r="P150" s="279" t="s">
        <v>72</v>
      </c>
      <c r="Q150" s="280"/>
      <c r="R150" s="280"/>
      <c r="S150" s="280"/>
      <c r="T150" s="280"/>
      <c r="U150" s="280"/>
      <c r="V150" s="281"/>
      <c r="W150" s="37" t="s">
        <v>69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x14ac:dyDescent="0.2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9" t="s">
        <v>72</v>
      </c>
      <c r="Q151" s="280"/>
      <c r="R151" s="280"/>
      <c r="S151" s="280"/>
      <c r="T151" s="280"/>
      <c r="U151" s="280"/>
      <c r="V151" s="281"/>
      <c r="W151" s="37" t="s">
        <v>73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customHeight="1" x14ac:dyDescent="0.25">
      <c r="A152" s="282" t="s">
        <v>225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3"/>
      <c r="AB152" s="263"/>
      <c r="AC152" s="263"/>
    </row>
    <row r="153" spans="1:68" ht="14.25" customHeight="1" x14ac:dyDescent="0.25">
      <c r="A153" s="303" t="s">
        <v>120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4"/>
      <c r="AB153" s="264"/>
      <c r="AC153" s="264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4">
        <v>4607111036568</v>
      </c>
      <c r="E154" s="28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8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3"/>
      <c r="R154" s="273"/>
      <c r="S154" s="273"/>
      <c r="T154" s="274"/>
      <c r="U154" s="34"/>
      <c r="V154" s="34"/>
      <c r="W154" s="35" t="s">
        <v>69</v>
      </c>
      <c r="X154" s="268">
        <v>70</v>
      </c>
      <c r="Y154" s="269">
        <f>IFERROR(IF(X154="","",X154),"")</f>
        <v>70</v>
      </c>
      <c r="Z154" s="36">
        <f>IFERROR(IF(X154="","",X154*0.00941),"")</f>
        <v>0.65869999999999995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147.126</v>
      </c>
      <c r="BN154" s="67">
        <f>IFERROR(Y154*I154,"0")</f>
        <v>147.126</v>
      </c>
      <c r="BO154" s="67">
        <f>IFERROR(X154/J154,"0")</f>
        <v>0.5</v>
      </c>
      <c r="BP154" s="67">
        <f>IFERROR(Y154/J154,"0")</f>
        <v>0.5</v>
      </c>
    </row>
    <row r="155" spans="1:68" x14ac:dyDescent="0.2">
      <c r="A155" s="286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7"/>
      <c r="P155" s="279" t="s">
        <v>72</v>
      </c>
      <c r="Q155" s="280"/>
      <c r="R155" s="280"/>
      <c r="S155" s="280"/>
      <c r="T155" s="280"/>
      <c r="U155" s="280"/>
      <c r="V155" s="281"/>
      <c r="W155" s="37" t="s">
        <v>69</v>
      </c>
      <c r="X155" s="270">
        <f>IFERROR(SUM(X154:X154),"0")</f>
        <v>70</v>
      </c>
      <c r="Y155" s="270">
        <f>IFERROR(SUM(Y154:Y154),"0")</f>
        <v>70</v>
      </c>
      <c r="Z155" s="270">
        <f>IFERROR(IF(Z154="",0,Z154),"0")</f>
        <v>0.65869999999999995</v>
      </c>
      <c r="AA155" s="271"/>
      <c r="AB155" s="271"/>
      <c r="AC155" s="27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9" t="s">
        <v>72</v>
      </c>
      <c r="Q156" s="280"/>
      <c r="R156" s="280"/>
      <c r="S156" s="280"/>
      <c r="T156" s="280"/>
      <c r="U156" s="280"/>
      <c r="V156" s="281"/>
      <c r="W156" s="37" t="s">
        <v>73</v>
      </c>
      <c r="X156" s="270">
        <f>IFERROR(SUMPRODUCT(X154:X154*H154:H154),"0")</f>
        <v>117.6</v>
      </c>
      <c r="Y156" s="270">
        <f>IFERROR(SUMPRODUCT(Y154:Y154*H154:H154),"0")</f>
        <v>117.6</v>
      </c>
      <c r="Z156" s="37"/>
      <c r="AA156" s="271"/>
      <c r="AB156" s="271"/>
      <c r="AC156" s="271"/>
    </row>
    <row r="157" spans="1:68" ht="27.75" customHeight="1" x14ac:dyDescent="0.2">
      <c r="A157" s="320" t="s">
        <v>229</v>
      </c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48"/>
      <c r="AB157" s="48"/>
      <c r="AC157" s="48"/>
    </row>
    <row r="158" spans="1:68" ht="16.5" customHeight="1" x14ac:dyDescent="0.25">
      <c r="A158" s="282" t="s">
        <v>230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63"/>
      <c r="AB158" s="263"/>
      <c r="AC158" s="263"/>
    </row>
    <row r="159" spans="1:68" ht="14.25" customHeight="1" x14ac:dyDescent="0.25">
      <c r="A159" s="303" t="s">
        <v>63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4"/>
      <c r="AB159" s="264"/>
      <c r="AC159" s="264"/>
    </row>
    <row r="160" spans="1:68" ht="16.5" customHeight="1" x14ac:dyDescent="0.25">
      <c r="A160" s="54" t="s">
        <v>231</v>
      </c>
      <c r="B160" s="54" t="s">
        <v>232</v>
      </c>
      <c r="C160" s="31">
        <v>4301071062</v>
      </c>
      <c r="D160" s="284">
        <v>4607111036384</v>
      </c>
      <c r="E160" s="28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3"/>
      <c r="R160" s="273"/>
      <c r="S160" s="273"/>
      <c r="T160" s="274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4">
        <v>4607111036216</v>
      </c>
      <c r="E161" s="28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8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3"/>
      <c r="R161" s="273"/>
      <c r="S161" s="273"/>
      <c r="T161" s="274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6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7"/>
      <c r="P162" s="279" t="s">
        <v>72</v>
      </c>
      <c r="Q162" s="280"/>
      <c r="R162" s="280"/>
      <c r="S162" s="280"/>
      <c r="T162" s="280"/>
      <c r="U162" s="280"/>
      <c r="V162" s="281"/>
      <c r="W162" s="37" t="s">
        <v>69</v>
      </c>
      <c r="X162" s="270">
        <f>IFERROR(SUM(X160:X161),"0")</f>
        <v>0</v>
      </c>
      <c r="Y162" s="270">
        <f>IFERROR(SUM(Y160:Y161),"0")</f>
        <v>0</v>
      </c>
      <c r="Z162" s="270">
        <f>IFERROR(IF(Z160="",0,Z160),"0")+IFERROR(IF(Z161="",0,Z161),"0")</f>
        <v>0</v>
      </c>
      <c r="AA162" s="271"/>
      <c r="AB162" s="271"/>
      <c r="AC162" s="271"/>
    </row>
    <row r="163" spans="1:68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9" t="s">
        <v>72</v>
      </c>
      <c r="Q163" s="280"/>
      <c r="R163" s="280"/>
      <c r="S163" s="280"/>
      <c r="T163" s="280"/>
      <c r="U163" s="280"/>
      <c r="V163" s="281"/>
      <c r="W163" s="37" t="s">
        <v>73</v>
      </c>
      <c r="X163" s="270">
        <f>IFERROR(SUMPRODUCT(X160:X161*H160:H161),"0")</f>
        <v>0</v>
      </c>
      <c r="Y163" s="270">
        <f>IFERROR(SUMPRODUCT(Y160:Y161*H160:H161),"0")</f>
        <v>0</v>
      </c>
      <c r="Z163" s="37"/>
      <c r="AA163" s="271"/>
      <c r="AB163" s="271"/>
      <c r="AC163" s="271"/>
    </row>
    <row r="164" spans="1:68" ht="27.75" customHeight="1" x14ac:dyDescent="0.2">
      <c r="A164" s="320" t="s">
        <v>237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48"/>
      <c r="AB164" s="48"/>
      <c r="AC164" s="48"/>
    </row>
    <row r="165" spans="1:68" ht="16.5" customHeight="1" x14ac:dyDescent="0.25">
      <c r="A165" s="282" t="s">
        <v>238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63"/>
      <c r="AB165" s="263"/>
      <c r="AC165" s="263"/>
    </row>
    <row r="166" spans="1:68" ht="14.25" customHeight="1" x14ac:dyDescent="0.25">
      <c r="A166" s="303" t="s">
        <v>76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4"/>
      <c r="AB166" s="264"/>
      <c r="AC166" s="264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4">
        <v>4607111035691</v>
      </c>
      <c r="E167" s="28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4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3"/>
      <c r="R167" s="273"/>
      <c r="S167" s="273"/>
      <c r="T167" s="274"/>
      <c r="U167" s="34"/>
      <c r="V167" s="34"/>
      <c r="W167" s="35" t="s">
        <v>69</v>
      </c>
      <c r="X167" s="268">
        <v>196</v>
      </c>
      <c r="Y167" s="269">
        <f>IFERROR(IF(X167="","",X167),"")</f>
        <v>196</v>
      </c>
      <c r="Z167" s="36">
        <f>IFERROR(IF(X167="","",X167*0.01788),"")</f>
        <v>3.50448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664.048</v>
      </c>
      <c r="BN167" s="67">
        <f>IFERROR(Y167*I167,"0")</f>
        <v>664.048</v>
      </c>
      <c r="BO167" s="67">
        <f>IFERROR(X167/J167,"0")</f>
        <v>2.8</v>
      </c>
      <c r="BP167" s="67">
        <f>IFERROR(Y167/J167,"0")</f>
        <v>2.8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4">
        <v>4607111035721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3"/>
      <c r="R168" s="273"/>
      <c r="S168" s="273"/>
      <c r="T168" s="274"/>
      <c r="U168" s="34"/>
      <c r="V168" s="34"/>
      <c r="W168" s="35" t="s">
        <v>69</v>
      </c>
      <c r="X168" s="268">
        <v>70</v>
      </c>
      <c r="Y168" s="269">
        <f>IFERROR(IF(X168="","",X168),"")</f>
        <v>70</v>
      </c>
      <c r="Z168" s="36">
        <f>IFERROR(IF(X168="","",X168*0.01788),"")</f>
        <v>1.2516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237.16</v>
      </c>
      <c r="BN168" s="67">
        <f>IFERROR(Y168*I168,"0")</f>
        <v>237.16</v>
      </c>
      <c r="BO168" s="67">
        <f>IFERROR(X168/J168,"0")</f>
        <v>1</v>
      </c>
      <c r="BP168" s="67">
        <f>IFERROR(Y168/J168,"0")</f>
        <v>1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4">
        <v>4607111038487</v>
      </c>
      <c r="E169" s="28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3"/>
      <c r="R169" s="273"/>
      <c r="S169" s="273"/>
      <c r="T169" s="274"/>
      <c r="U169" s="34"/>
      <c r="V169" s="34"/>
      <c r="W169" s="35" t="s">
        <v>69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286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7"/>
      <c r="P170" s="279" t="s">
        <v>72</v>
      </c>
      <c r="Q170" s="280"/>
      <c r="R170" s="280"/>
      <c r="S170" s="280"/>
      <c r="T170" s="280"/>
      <c r="U170" s="280"/>
      <c r="V170" s="281"/>
      <c r="W170" s="37" t="s">
        <v>69</v>
      </c>
      <c r="X170" s="270">
        <f>IFERROR(SUM(X167:X169),"0")</f>
        <v>266</v>
      </c>
      <c r="Y170" s="270">
        <f>IFERROR(SUM(Y167:Y169),"0")</f>
        <v>266</v>
      </c>
      <c r="Z170" s="270">
        <f>IFERROR(IF(Z167="",0,Z167),"0")+IFERROR(IF(Z168="",0,Z168),"0")+IFERROR(IF(Z169="",0,Z169),"0")</f>
        <v>4.7560799999999999</v>
      </c>
      <c r="AA170" s="271"/>
      <c r="AB170" s="271"/>
      <c r="AC170" s="271"/>
    </row>
    <row r="171" spans="1:68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9" t="s">
        <v>72</v>
      </c>
      <c r="Q171" s="280"/>
      <c r="R171" s="280"/>
      <c r="S171" s="280"/>
      <c r="T171" s="280"/>
      <c r="U171" s="280"/>
      <c r="V171" s="281"/>
      <c r="W171" s="37" t="s">
        <v>73</v>
      </c>
      <c r="X171" s="270">
        <f>IFERROR(SUMPRODUCT(X167:X169*H167:H169),"0")</f>
        <v>798</v>
      </c>
      <c r="Y171" s="270">
        <f>IFERROR(SUMPRODUCT(Y167:Y169*H167:H169),"0")</f>
        <v>798</v>
      </c>
      <c r="Z171" s="37"/>
      <c r="AA171" s="271"/>
      <c r="AB171" s="271"/>
      <c r="AC171" s="271"/>
    </row>
    <row r="172" spans="1:68" ht="14.25" customHeight="1" x14ac:dyDescent="0.25">
      <c r="A172" s="303" t="s">
        <v>248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4"/>
      <c r="AB172" s="264"/>
      <c r="AC172" s="264"/>
    </row>
    <row r="173" spans="1:68" ht="27" customHeight="1" x14ac:dyDescent="0.25">
      <c r="A173" s="54" t="s">
        <v>249</v>
      </c>
      <c r="B173" s="54" t="s">
        <v>250</v>
      </c>
      <c r="C173" s="31">
        <v>4301051855</v>
      </c>
      <c r="D173" s="284">
        <v>4680115885875</v>
      </c>
      <c r="E173" s="285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9" t="s">
        <v>253</v>
      </c>
      <c r="Q173" s="273"/>
      <c r="R173" s="273"/>
      <c r="S173" s="273"/>
      <c r="T173" s="274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6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7"/>
      <c r="P174" s="279" t="s">
        <v>72</v>
      </c>
      <c r="Q174" s="280"/>
      <c r="R174" s="280"/>
      <c r="S174" s="280"/>
      <c r="T174" s="280"/>
      <c r="U174" s="280"/>
      <c r="V174" s="281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9" t="s">
        <v>72</v>
      </c>
      <c r="Q175" s="280"/>
      <c r="R175" s="280"/>
      <c r="S175" s="280"/>
      <c r="T175" s="280"/>
      <c r="U175" s="280"/>
      <c r="V175" s="281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customHeight="1" x14ac:dyDescent="0.2">
      <c r="A176" s="320" t="s">
        <v>256</v>
      </c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48"/>
      <c r="AB176" s="48"/>
      <c r="AC176" s="48"/>
    </row>
    <row r="177" spans="1:68" ht="16.5" customHeight="1" x14ac:dyDescent="0.25">
      <c r="A177" s="282" t="s">
        <v>257</v>
      </c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63"/>
      <c r="AB177" s="263"/>
      <c r="AC177" s="263"/>
    </row>
    <row r="178" spans="1:68" ht="14.25" customHeight="1" x14ac:dyDescent="0.25">
      <c r="A178" s="303" t="s">
        <v>76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4"/>
      <c r="AB178" s="264"/>
      <c r="AC178" s="264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4">
        <v>4620207491133</v>
      </c>
      <c r="E179" s="28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3"/>
      <c r="R179" s="273"/>
      <c r="S179" s="273"/>
      <c r="T179" s="274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86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7"/>
      <c r="P180" s="279" t="s">
        <v>72</v>
      </c>
      <c r="Q180" s="280"/>
      <c r="R180" s="280"/>
      <c r="S180" s="280"/>
      <c r="T180" s="280"/>
      <c r="U180" s="280"/>
      <c r="V180" s="281"/>
      <c r="W180" s="37" t="s">
        <v>69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x14ac:dyDescent="0.2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9" t="s">
        <v>72</v>
      </c>
      <c r="Q181" s="280"/>
      <c r="R181" s="280"/>
      <c r="S181" s="280"/>
      <c r="T181" s="280"/>
      <c r="U181" s="280"/>
      <c r="V181" s="281"/>
      <c r="W181" s="37" t="s">
        <v>73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customHeight="1" x14ac:dyDescent="0.25">
      <c r="A182" s="303" t="s">
        <v>120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64"/>
      <c r="AB182" s="264"/>
      <c r="AC182" s="264"/>
    </row>
    <row r="183" spans="1:68" ht="27" customHeight="1" x14ac:dyDescent="0.25">
      <c r="A183" s="54" t="s">
        <v>261</v>
      </c>
      <c r="B183" s="54" t="s">
        <v>262</v>
      </c>
      <c r="C183" s="31">
        <v>4301135707</v>
      </c>
      <c r="D183" s="284">
        <v>4620207490198</v>
      </c>
      <c r="E183" s="28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3"/>
      <c r="R183" s="273"/>
      <c r="S183" s="273"/>
      <c r="T183" s="274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264</v>
      </c>
      <c r="B184" s="54" t="s">
        <v>265</v>
      </c>
      <c r="C184" s="31">
        <v>4301135829</v>
      </c>
      <c r="D184" s="284">
        <v>4620207490235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4" t="s">
        <v>266</v>
      </c>
      <c r="Q184" s="273"/>
      <c r="R184" s="273"/>
      <c r="S184" s="273"/>
      <c r="T184" s="274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4">
        <v>4620207490259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6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3"/>
      <c r="R185" s="273"/>
      <c r="S185" s="273"/>
      <c r="T185" s="274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84">
        <v>4620207490143</v>
      </c>
      <c r="E186" s="28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4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3"/>
      <c r="R186" s="273"/>
      <c r="S186" s="273"/>
      <c r="T186" s="274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6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7"/>
      <c r="P187" s="279" t="s">
        <v>72</v>
      </c>
      <c r="Q187" s="280"/>
      <c r="R187" s="280"/>
      <c r="S187" s="280"/>
      <c r="T187" s="280"/>
      <c r="U187" s="280"/>
      <c r="V187" s="281"/>
      <c r="W187" s="37" t="s">
        <v>69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x14ac:dyDescent="0.2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9" t="s">
        <v>72</v>
      </c>
      <c r="Q188" s="280"/>
      <c r="R188" s="280"/>
      <c r="S188" s="280"/>
      <c r="T188" s="280"/>
      <c r="U188" s="280"/>
      <c r="V188" s="281"/>
      <c r="W188" s="37" t="s">
        <v>73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customHeight="1" x14ac:dyDescent="0.25">
      <c r="A189" s="282" t="s">
        <v>273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63"/>
      <c r="AB189" s="263"/>
      <c r="AC189" s="263"/>
    </row>
    <row r="190" spans="1:68" ht="14.25" customHeight="1" x14ac:dyDescent="0.25">
      <c r="A190" s="303" t="s">
        <v>63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4"/>
      <c r="AB190" s="264"/>
      <c r="AC190" s="264"/>
    </row>
    <row r="191" spans="1:68" ht="27" customHeight="1" x14ac:dyDescent="0.25">
      <c r="A191" s="54" t="s">
        <v>274</v>
      </c>
      <c r="B191" s="54" t="s">
        <v>275</v>
      </c>
      <c r="C191" s="31">
        <v>4301071108</v>
      </c>
      <c r="D191" s="284">
        <v>4607111035912</v>
      </c>
      <c r="E191" s="28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32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73"/>
      <c r="R191" s="273"/>
      <c r="S191" s="273"/>
      <c r="T191" s="274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73"/>
      <c r="R192" s="273"/>
      <c r="S192" s="273"/>
      <c r="T192" s="274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2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73"/>
      <c r="R193" s="273"/>
      <c r="S193" s="273"/>
      <c r="T193" s="274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73"/>
      <c r="R194" s="273"/>
      <c r="S194" s="273"/>
      <c r="T194" s="274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4301071107</v>
      </c>
      <c r="D195" s="284">
        <v>4607111035905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3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73"/>
      <c r="R195" s="273"/>
      <c r="S195" s="273"/>
      <c r="T195" s="274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9" t="s">
        <v>72</v>
      </c>
      <c r="Q196" s="280"/>
      <c r="R196" s="280"/>
      <c r="S196" s="280"/>
      <c r="T196" s="280"/>
      <c r="U196" s="280"/>
      <c r="V196" s="281"/>
      <c r="W196" s="37" t="s">
        <v>69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9" t="s">
        <v>72</v>
      </c>
      <c r="Q197" s="280"/>
      <c r="R197" s="280"/>
      <c r="S197" s="280"/>
      <c r="T197" s="280"/>
      <c r="U197" s="280"/>
      <c r="V197" s="281"/>
      <c r="W197" s="37" t="s">
        <v>73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customHeight="1" x14ac:dyDescent="0.25">
      <c r="A198" s="282" t="s">
        <v>285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customHeight="1" x14ac:dyDescent="0.25">
      <c r="A199" s="303" t="s">
        <v>63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73"/>
      <c r="R200" s="273"/>
      <c r="S200" s="273"/>
      <c r="T200" s="274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9" t="s">
        <v>72</v>
      </c>
      <c r="Q201" s="280"/>
      <c r="R201" s="280"/>
      <c r="S201" s="280"/>
      <c r="T201" s="280"/>
      <c r="U201" s="280"/>
      <c r="V201" s="281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9" t="s">
        <v>72</v>
      </c>
      <c r="Q202" s="280"/>
      <c r="R202" s="280"/>
      <c r="S202" s="280"/>
      <c r="T202" s="280"/>
      <c r="U202" s="280"/>
      <c r="V202" s="281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customHeight="1" x14ac:dyDescent="0.25">
      <c r="A203" s="282" t="s">
        <v>289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customHeight="1" x14ac:dyDescent="0.25">
      <c r="A204" s="303" t="s">
        <v>63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customHeight="1" x14ac:dyDescent="0.25">
      <c r="A205" s="54" t="s">
        <v>290</v>
      </c>
      <c r="B205" s="54" t="s">
        <v>291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73"/>
      <c r="R205" s="273"/>
      <c r="S205" s="273"/>
      <c r="T205" s="274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9" t="s">
        <v>72</v>
      </c>
      <c r="Q206" s="280"/>
      <c r="R206" s="280"/>
      <c r="S206" s="280"/>
      <c r="T206" s="280"/>
      <c r="U206" s="280"/>
      <c r="V206" s="281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9" t="s">
        <v>72</v>
      </c>
      <c r="Q207" s="280"/>
      <c r="R207" s="280"/>
      <c r="S207" s="280"/>
      <c r="T207" s="280"/>
      <c r="U207" s="280"/>
      <c r="V207" s="281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3" t="s">
        <v>120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customHeight="1" x14ac:dyDescent="0.25">
      <c r="A209" s="54" t="s">
        <v>293</v>
      </c>
      <c r="B209" s="54" t="s">
        <v>294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73"/>
      <c r="R209" s="273"/>
      <c r="S209" s="273"/>
      <c r="T209" s="274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295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296</v>
      </c>
      <c r="B210" s="54" t="s">
        <v>297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6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298</v>
      </c>
      <c r="B211" s="54" t="s">
        <v>299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7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9" t="s">
        <v>72</v>
      </c>
      <c r="Q212" s="280"/>
      <c r="R212" s="280"/>
      <c r="S212" s="280"/>
      <c r="T212" s="280"/>
      <c r="U212" s="280"/>
      <c r="V212" s="281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9" t="s">
        <v>72</v>
      </c>
      <c r="Q213" s="280"/>
      <c r="R213" s="280"/>
      <c r="S213" s="280"/>
      <c r="T213" s="280"/>
      <c r="U213" s="280"/>
      <c r="V213" s="281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2" t="s">
        <v>300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customHeight="1" x14ac:dyDescent="0.25">
      <c r="A215" s="303" t="s">
        <v>63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customHeight="1" x14ac:dyDescent="0.25">
      <c r="A216" s="54" t="s">
        <v>301</v>
      </c>
      <c r="B216" s="54" t="s">
        <v>302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73"/>
      <c r="R216" s="273"/>
      <c r="S216" s="273"/>
      <c r="T216" s="274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304</v>
      </c>
      <c r="B217" s="54" t="s">
        <v>305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73"/>
      <c r="R217" s="273"/>
      <c r="S217" s="273"/>
      <c r="T217" s="274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9" t="s">
        <v>72</v>
      </c>
      <c r="Q218" s="280"/>
      <c r="R218" s="280"/>
      <c r="S218" s="280"/>
      <c r="T218" s="280"/>
      <c r="U218" s="280"/>
      <c r="V218" s="281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9" t="s">
        <v>72</v>
      </c>
      <c r="Q219" s="280"/>
      <c r="R219" s="280"/>
      <c r="S219" s="280"/>
      <c r="T219" s="280"/>
      <c r="U219" s="280"/>
      <c r="V219" s="281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0" t="s">
        <v>306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customHeight="1" x14ac:dyDescent="0.25">
      <c r="A221" s="282" t="s">
        <v>307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customHeight="1" x14ac:dyDescent="0.25">
      <c r="A222" s="303" t="s">
        <v>63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customHeight="1" x14ac:dyDescent="0.25">
      <c r="A223" s="54" t="s">
        <v>308</v>
      </c>
      <c r="B223" s="54" t="s">
        <v>309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73"/>
      <c r="R223" s="273"/>
      <c r="S223" s="273"/>
      <c r="T223" s="274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9" t="s">
        <v>72</v>
      </c>
      <c r="Q224" s="280"/>
      <c r="R224" s="280"/>
      <c r="S224" s="280"/>
      <c r="T224" s="280"/>
      <c r="U224" s="280"/>
      <c r="V224" s="281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9" t="s">
        <v>72</v>
      </c>
      <c r="Q225" s="280"/>
      <c r="R225" s="280"/>
      <c r="S225" s="280"/>
      <c r="T225" s="280"/>
      <c r="U225" s="280"/>
      <c r="V225" s="281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0" t="s">
        <v>311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customHeight="1" x14ac:dyDescent="0.25">
      <c r="A227" s="282" t="s">
        <v>312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customHeight="1" x14ac:dyDescent="0.25">
      <c r="A228" s="303" t="s">
        <v>63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313</v>
      </c>
      <c r="B229" s="54" t="s">
        <v>314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8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73"/>
      <c r="R229" s="273"/>
      <c r="S229" s="273"/>
      <c r="T229" s="274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236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9" t="s">
        <v>72</v>
      </c>
      <c r="Q230" s="280"/>
      <c r="R230" s="280"/>
      <c r="S230" s="280"/>
      <c r="T230" s="280"/>
      <c r="U230" s="280"/>
      <c r="V230" s="281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9" t="s">
        <v>72</v>
      </c>
      <c r="Q231" s="280"/>
      <c r="R231" s="280"/>
      <c r="S231" s="280"/>
      <c r="T231" s="280"/>
      <c r="U231" s="280"/>
      <c r="V231" s="281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20" t="s">
        <v>315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customHeight="1" x14ac:dyDescent="0.25">
      <c r="A233" s="282" t="s">
        <v>316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customHeight="1" x14ac:dyDescent="0.25">
      <c r="A234" s="303" t="s">
        <v>317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customHeight="1" x14ac:dyDescent="0.25">
      <c r="A235" s="54" t="s">
        <v>318</v>
      </c>
      <c r="B235" s="54" t="s">
        <v>319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8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73"/>
      <c r="R235" s="273"/>
      <c r="S235" s="273"/>
      <c r="T235" s="274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9" t="s">
        <v>72</v>
      </c>
      <c r="Q236" s="280"/>
      <c r="R236" s="280"/>
      <c r="S236" s="280"/>
      <c r="T236" s="280"/>
      <c r="U236" s="280"/>
      <c r="V236" s="281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9" t="s">
        <v>72</v>
      </c>
      <c r="Q237" s="280"/>
      <c r="R237" s="280"/>
      <c r="S237" s="280"/>
      <c r="T237" s="280"/>
      <c r="U237" s="280"/>
      <c r="V237" s="281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3" t="s">
        <v>120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customHeight="1" x14ac:dyDescent="0.25">
      <c r="A239" s="54" t="s">
        <v>321</v>
      </c>
      <c r="B239" s="54" t="s">
        <v>322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5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73"/>
      <c r="R239" s="273"/>
      <c r="S239" s="273"/>
      <c r="T239" s="274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9" t="s">
        <v>72</v>
      </c>
      <c r="Q240" s="280"/>
      <c r="R240" s="280"/>
      <c r="S240" s="280"/>
      <c r="T240" s="280"/>
      <c r="U240" s="280"/>
      <c r="V240" s="281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9" t="s">
        <v>72</v>
      </c>
      <c r="Q241" s="280"/>
      <c r="R241" s="280"/>
      <c r="S241" s="280"/>
      <c r="T241" s="280"/>
      <c r="U241" s="280"/>
      <c r="V241" s="281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0" t="s">
        <v>323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customHeight="1" x14ac:dyDescent="0.25">
      <c r="A243" s="282" t="s">
        <v>323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customHeight="1" x14ac:dyDescent="0.25">
      <c r="A244" s="303" t="s">
        <v>63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customHeight="1" x14ac:dyDescent="0.25">
      <c r="A245" s="54" t="s">
        <v>324</v>
      </c>
      <c r="B245" s="54" t="s">
        <v>325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73"/>
      <c r="R245" s="273"/>
      <c r="S245" s="273"/>
      <c r="T245" s="274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327</v>
      </c>
      <c r="B246" s="54" t="s">
        <v>328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3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73"/>
      <c r="R246" s="273"/>
      <c r="S246" s="273"/>
      <c r="T246" s="274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326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329</v>
      </c>
      <c r="B247" s="54" t="s">
        <v>330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73"/>
      <c r="R247" s="273"/>
      <c r="S247" s="273"/>
      <c r="T247" s="274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331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9" t="s">
        <v>72</v>
      </c>
      <c r="Q248" s="280"/>
      <c r="R248" s="280"/>
      <c r="S248" s="280"/>
      <c r="T248" s="280"/>
      <c r="U248" s="280"/>
      <c r="V248" s="281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9" t="s">
        <v>72</v>
      </c>
      <c r="Q249" s="280"/>
      <c r="R249" s="280"/>
      <c r="S249" s="280"/>
      <c r="T249" s="280"/>
      <c r="U249" s="280"/>
      <c r="V249" s="281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3" t="s">
        <v>76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332</v>
      </c>
      <c r="B251" s="54" t="s">
        <v>333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73"/>
      <c r="R251" s="273"/>
      <c r="S251" s="273"/>
      <c r="T251" s="274"/>
      <c r="U251" s="34"/>
      <c r="V251" s="34"/>
      <c r="W251" s="35" t="s">
        <v>69</v>
      </c>
      <c r="X251" s="268">
        <v>108</v>
      </c>
      <c r="Y251" s="269">
        <f>IFERROR(IF(X251="","",X251),"")</f>
        <v>108</v>
      </c>
      <c r="Z251" s="36">
        <f>IFERROR(IF(X251="","",X251*0.0155),"")</f>
        <v>1.6739999999999999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676.07999999999993</v>
      </c>
      <c r="BN251" s="67">
        <f>IFERROR(Y251*I251,"0")</f>
        <v>676.07999999999993</v>
      </c>
      <c r="BO251" s="67">
        <f>IFERROR(X251/J251,"0")</f>
        <v>1.2857142857142858</v>
      </c>
      <c r="BP251" s="67">
        <f>IFERROR(Y251/J251,"0")</f>
        <v>1.2857142857142858</v>
      </c>
    </row>
    <row r="252" spans="1:68" ht="27" customHeight="1" x14ac:dyDescent="0.25">
      <c r="A252" s="54" t="s">
        <v>335</v>
      </c>
      <c r="B252" s="54" t="s">
        <v>336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73"/>
      <c r="R252" s="273"/>
      <c r="S252" s="273"/>
      <c r="T252" s="274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9" t="s">
        <v>72</v>
      </c>
      <c r="Q253" s="280"/>
      <c r="R253" s="280"/>
      <c r="S253" s="280"/>
      <c r="T253" s="280"/>
      <c r="U253" s="280"/>
      <c r="V253" s="281"/>
      <c r="W253" s="37" t="s">
        <v>69</v>
      </c>
      <c r="X253" s="270">
        <f>IFERROR(SUM(X251:X252),"0")</f>
        <v>108</v>
      </c>
      <c r="Y253" s="270">
        <f>IFERROR(SUM(Y251:Y252),"0")</f>
        <v>108</v>
      </c>
      <c r="Z253" s="270">
        <f>IFERROR(IF(Z251="",0,Z251),"0")+IFERROR(IF(Z252="",0,Z252),"0")</f>
        <v>1.6739999999999999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9" t="s">
        <v>72</v>
      </c>
      <c r="Q254" s="280"/>
      <c r="R254" s="280"/>
      <c r="S254" s="280"/>
      <c r="T254" s="280"/>
      <c r="U254" s="280"/>
      <c r="V254" s="281"/>
      <c r="W254" s="37" t="s">
        <v>73</v>
      </c>
      <c r="X254" s="270">
        <f>IFERROR(SUMPRODUCT(X251:X252*H251:H252),"0")</f>
        <v>648</v>
      </c>
      <c r="Y254" s="270">
        <f>IFERROR(SUMPRODUCT(Y251:Y252*H251:H252),"0")</f>
        <v>648</v>
      </c>
      <c r="Z254" s="37"/>
      <c r="AA254" s="271"/>
      <c r="AB254" s="271"/>
      <c r="AC254" s="271"/>
    </row>
    <row r="255" spans="1:68" ht="14.25" customHeight="1" x14ac:dyDescent="0.25">
      <c r="A255" s="303" t="s">
        <v>114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customHeight="1" x14ac:dyDescent="0.25">
      <c r="A256" s="54" t="s">
        <v>337</v>
      </c>
      <c r="B256" s="54" t="s">
        <v>338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73"/>
      <c r="R256" s="273"/>
      <c r="S256" s="273"/>
      <c r="T256" s="274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340</v>
      </c>
      <c r="B257" s="54" t="s">
        <v>341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73"/>
      <c r="R257" s="273"/>
      <c r="S257" s="273"/>
      <c r="T257" s="274"/>
      <c r="U257" s="34"/>
      <c r="V257" s="34"/>
      <c r="W257" s="35" t="s">
        <v>69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342</v>
      </c>
      <c r="B258" s="54" t="s">
        <v>343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73"/>
      <c r="R258" s="273"/>
      <c r="S258" s="273"/>
      <c r="T258" s="274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9" t="s">
        <v>72</v>
      </c>
      <c r="Q259" s="280"/>
      <c r="R259" s="280"/>
      <c r="S259" s="280"/>
      <c r="T259" s="280"/>
      <c r="U259" s="280"/>
      <c r="V259" s="281"/>
      <c r="W259" s="37" t="s">
        <v>69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9" t="s">
        <v>72</v>
      </c>
      <c r="Q260" s="280"/>
      <c r="R260" s="280"/>
      <c r="S260" s="280"/>
      <c r="T260" s="280"/>
      <c r="U260" s="280"/>
      <c r="V260" s="281"/>
      <c r="W260" s="37" t="s">
        <v>73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customHeight="1" x14ac:dyDescent="0.25">
      <c r="A261" s="303" t="s">
        <v>120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customHeight="1" x14ac:dyDescent="0.25">
      <c r="A262" s="54" t="s">
        <v>344</v>
      </c>
      <c r="B262" s="54" t="s">
        <v>345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73"/>
      <c r="R262" s="273"/>
      <c r="S262" s="273"/>
      <c r="T262" s="274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73"/>
      <c r="R263" s="273"/>
      <c r="S263" s="273"/>
      <c r="T263" s="274"/>
      <c r="U263" s="34"/>
      <c r="V263" s="34"/>
      <c r="W263" s="35" t="s">
        <v>69</v>
      </c>
      <c r="X263" s="268">
        <v>252</v>
      </c>
      <c r="Y263" s="269">
        <f t="shared" si="12"/>
        <v>252</v>
      </c>
      <c r="Z263" s="36">
        <f>IFERROR(IF(X263="","",X263*0.00936),"")</f>
        <v>2.3587199999999999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980.78399999999999</v>
      </c>
      <c r="BN263" s="67">
        <f t="shared" si="14"/>
        <v>980.78399999999999</v>
      </c>
      <c r="BO263" s="67">
        <f t="shared" si="15"/>
        <v>2</v>
      </c>
      <c r="BP263" s="67">
        <f t="shared" si="16"/>
        <v>2</v>
      </c>
    </row>
    <row r="264" spans="1:68" ht="27" customHeight="1" x14ac:dyDescent="0.25">
      <c r="A264" s="54" t="s">
        <v>350</v>
      </c>
      <c r="B264" s="54" t="s">
        <v>351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73"/>
      <c r="R264" s="273"/>
      <c r="S264" s="273"/>
      <c r="T264" s="274"/>
      <c r="U264" s="34"/>
      <c r="V264" s="34"/>
      <c r="W264" s="35" t="s">
        <v>69</v>
      </c>
      <c r="X264" s="268">
        <v>240</v>
      </c>
      <c r="Y264" s="269">
        <f t="shared" si="12"/>
        <v>240</v>
      </c>
      <c r="Z264" s="36">
        <f>IFERROR(IF(X264="","",X264*0.0155),"")</f>
        <v>3.7199999999999998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1376.4</v>
      </c>
      <c r="BN264" s="67">
        <f t="shared" si="14"/>
        <v>1376.4</v>
      </c>
      <c r="BO264" s="67">
        <f t="shared" si="15"/>
        <v>2.8571428571428572</v>
      </c>
      <c r="BP264" s="67">
        <f t="shared" si="16"/>
        <v>2.8571428571428572</v>
      </c>
    </row>
    <row r="265" spans="1:68" ht="27" customHeight="1" x14ac:dyDescent="0.25">
      <c r="A265" s="54" t="s">
        <v>352</v>
      </c>
      <c r="B265" s="54" t="s">
        <v>353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73"/>
      <c r="R265" s="273"/>
      <c r="S265" s="273"/>
      <c r="T265" s="274"/>
      <c r="U265" s="34"/>
      <c r="V265" s="34"/>
      <c r="W265" s="35" t="s">
        <v>69</v>
      </c>
      <c r="X265" s="268">
        <v>28</v>
      </c>
      <c r="Y265" s="269">
        <f t="shared" si="12"/>
        <v>28</v>
      </c>
      <c r="Z265" s="36">
        <f t="shared" ref="Z265:Z270" si="17">IFERROR(IF(X265="","",X265*0.00936),"")</f>
        <v>0.26207999999999998</v>
      </c>
      <c r="AA265" s="56"/>
      <c r="AB265" s="57"/>
      <c r="AC265" s="246" t="s">
        <v>349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89.376000000000005</v>
      </c>
      <c r="BN265" s="67">
        <f t="shared" si="14"/>
        <v>89.376000000000005</v>
      </c>
      <c r="BO265" s="67">
        <f t="shared" si="15"/>
        <v>0.22222222222222221</v>
      </c>
      <c r="BP265" s="67">
        <f t="shared" si="16"/>
        <v>0.22222222222222221</v>
      </c>
    </row>
    <row r="266" spans="1:68" ht="27" customHeight="1" x14ac:dyDescent="0.25">
      <c r="A266" s="54" t="s">
        <v>354</v>
      </c>
      <c r="B266" s="54" t="s">
        <v>355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199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73"/>
      <c r="R266" s="273"/>
      <c r="S266" s="273"/>
      <c r="T266" s="274"/>
      <c r="U266" s="34"/>
      <c r="V266" s="34"/>
      <c r="W266" s="35" t="s">
        <v>69</v>
      </c>
      <c r="X266" s="268">
        <v>756</v>
      </c>
      <c r="Y266" s="269">
        <f t="shared" si="12"/>
        <v>756</v>
      </c>
      <c r="Z266" s="36">
        <f t="shared" si="17"/>
        <v>7.0761599999999998</v>
      </c>
      <c r="AA266" s="56"/>
      <c r="AB266" s="57"/>
      <c r="AC266" s="248" t="s">
        <v>346</v>
      </c>
      <c r="AG266" s="67"/>
      <c r="AJ266" s="71" t="s">
        <v>200</v>
      </c>
      <c r="AK266" s="71">
        <v>126</v>
      </c>
      <c r="BB266" s="249" t="s">
        <v>83</v>
      </c>
      <c r="BM266" s="67">
        <f t="shared" si="13"/>
        <v>2942.3519999999999</v>
      </c>
      <c r="BN266" s="67">
        <f t="shared" si="14"/>
        <v>2942.3519999999999</v>
      </c>
      <c r="BO266" s="67">
        <f t="shared" si="15"/>
        <v>6</v>
      </c>
      <c r="BP266" s="67">
        <f t="shared" si="16"/>
        <v>6</v>
      </c>
    </row>
    <row r="267" spans="1:68" ht="37.5" customHeight="1" x14ac:dyDescent="0.25">
      <c r="A267" s="54" t="s">
        <v>356</v>
      </c>
      <c r="B267" s="54" t="s">
        <v>357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73"/>
      <c r="R267" s="273"/>
      <c r="S267" s="273"/>
      <c r="T267" s="274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358</v>
      </c>
      <c r="B268" s="54" t="s">
        <v>359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73"/>
      <c r="R268" s="273"/>
      <c r="S268" s="273"/>
      <c r="T268" s="274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360</v>
      </c>
      <c r="B269" s="54" t="s">
        <v>361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73"/>
      <c r="R269" s="273"/>
      <c r="S269" s="273"/>
      <c r="T269" s="274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362</v>
      </c>
      <c r="B270" s="54" t="s">
        <v>363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2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73"/>
      <c r="R270" s="273"/>
      <c r="S270" s="273"/>
      <c r="T270" s="274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364</v>
      </c>
      <c r="B271" s="54" t="s">
        <v>365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73"/>
      <c r="R271" s="273"/>
      <c r="S271" s="273"/>
      <c r="T271" s="274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9" t="s">
        <v>72</v>
      </c>
      <c r="Q272" s="280"/>
      <c r="R272" s="280"/>
      <c r="S272" s="280"/>
      <c r="T272" s="280"/>
      <c r="U272" s="280"/>
      <c r="V272" s="281"/>
      <c r="W272" s="37" t="s">
        <v>69</v>
      </c>
      <c r="X272" s="270">
        <f>IFERROR(SUM(X262:X271),"0")</f>
        <v>1276</v>
      </c>
      <c r="Y272" s="270">
        <f>IFERROR(SUM(Y262:Y271),"0")</f>
        <v>1276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13.41696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9" t="s">
        <v>72</v>
      </c>
      <c r="Q273" s="280"/>
      <c r="R273" s="280"/>
      <c r="S273" s="280"/>
      <c r="T273" s="280"/>
      <c r="U273" s="280"/>
      <c r="V273" s="281"/>
      <c r="W273" s="37" t="s">
        <v>73</v>
      </c>
      <c r="X273" s="270">
        <f>IFERROR(SUMPRODUCT(X262:X271*H262:H271),"0")</f>
        <v>5133.6000000000004</v>
      </c>
      <c r="Y273" s="270">
        <f>IFERROR(SUMPRODUCT(Y262:Y271*H262:H271),"0")</f>
        <v>5133.6000000000004</v>
      </c>
      <c r="Z273" s="37"/>
      <c r="AA273" s="271"/>
      <c r="AB273" s="271"/>
      <c r="AC273" s="271"/>
    </row>
    <row r="274" spans="1:32" ht="15" customHeight="1" x14ac:dyDescent="0.2">
      <c r="A274" s="445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68"/>
      <c r="P274" s="317" t="s">
        <v>366</v>
      </c>
      <c r="Q274" s="318"/>
      <c r="R274" s="318"/>
      <c r="S274" s="318"/>
      <c r="T274" s="318"/>
      <c r="U274" s="318"/>
      <c r="V274" s="319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6865.2000000000007</v>
      </c>
      <c r="Y274" s="270">
        <f>IFERROR(Y24+Y31+Y38+Y46+Y51+Y55+Y60+Y66+Y72+Y77+Y83+Y93+Y99+Y110+Y114+Y118+Y124+Y130+Y136+Y141+Y146+Y151+Y156+Y163+Y171+Y175+Y181+Y188+Y197+Y202+Y207+Y213+Y219+Y225+Y231+Y237+Y241+Y249+Y254+Y260+Y273,"0")</f>
        <v>6865.2000000000007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68"/>
      <c r="P275" s="317" t="s">
        <v>367</v>
      </c>
      <c r="Q275" s="318"/>
      <c r="R275" s="318"/>
      <c r="S275" s="318"/>
      <c r="T275" s="318"/>
      <c r="U275" s="318"/>
      <c r="V275" s="319"/>
      <c r="W275" s="37" t="s">
        <v>73</v>
      </c>
      <c r="X275" s="270">
        <f>IFERROR(SUM(BM22:BM271),"0")</f>
        <v>7320.7276000000002</v>
      </c>
      <c r="Y275" s="270">
        <f>IFERROR(SUM(BN22:BN271),"0")</f>
        <v>7320.7276000000002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68"/>
      <c r="P276" s="317" t="s">
        <v>368</v>
      </c>
      <c r="Q276" s="318"/>
      <c r="R276" s="318"/>
      <c r="S276" s="318"/>
      <c r="T276" s="318"/>
      <c r="U276" s="318"/>
      <c r="V276" s="319"/>
      <c r="W276" s="37" t="s">
        <v>369</v>
      </c>
      <c r="X276" s="38">
        <f>ROUNDUP(SUM(BO22:BO271),0)</f>
        <v>18</v>
      </c>
      <c r="Y276" s="38">
        <f>ROUNDUP(SUM(BP22:BP271),0)</f>
        <v>18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68"/>
      <c r="P277" s="317" t="s">
        <v>370</v>
      </c>
      <c r="Q277" s="318"/>
      <c r="R277" s="318"/>
      <c r="S277" s="318"/>
      <c r="T277" s="318"/>
      <c r="U277" s="318"/>
      <c r="V277" s="319"/>
      <c r="W277" s="37" t="s">
        <v>73</v>
      </c>
      <c r="X277" s="270">
        <f>GrossWeightTotal+PalletQtyTotal*25</f>
        <v>7770.7276000000002</v>
      </c>
      <c r="Y277" s="270">
        <f>GrossWeightTotalR+PalletQtyTotalR*25</f>
        <v>7770.7276000000002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68"/>
      <c r="P278" s="317" t="s">
        <v>371</v>
      </c>
      <c r="Q278" s="318"/>
      <c r="R278" s="318"/>
      <c r="S278" s="318"/>
      <c r="T278" s="318"/>
      <c r="U278" s="318"/>
      <c r="V278" s="319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1776</v>
      </c>
      <c r="Y278" s="270">
        <f>IFERROR(Y23+Y30+Y37+Y45+Y50+Y54+Y59+Y65+Y71+Y76+Y82+Y92+Y98+Y109+Y113+Y117+Y123+Y129+Y135+Y140+Y145+Y150+Y155+Y162+Y170+Y174+Y180+Y187+Y196+Y201+Y206+Y212+Y218+Y224+Y230+Y236+Y240+Y248+Y253+Y259+Y272,"0")</f>
        <v>1776</v>
      </c>
      <c r="Z278" s="37"/>
      <c r="AA278" s="271"/>
      <c r="AB278" s="271"/>
      <c r="AC278" s="271"/>
    </row>
    <row r="279" spans="1:32" ht="14.25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8"/>
      <c r="P279" s="317" t="s">
        <v>372</v>
      </c>
      <c r="Q279" s="318"/>
      <c r="R279" s="318"/>
      <c r="S279" s="318"/>
      <c r="T279" s="318"/>
      <c r="U279" s="318"/>
      <c r="V279" s="319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21.507019999999997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5" t="s">
        <v>74</v>
      </c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8"/>
      <c r="U281" s="265" t="s">
        <v>229</v>
      </c>
      <c r="V281" s="265" t="s">
        <v>237</v>
      </c>
      <c r="W281" s="275" t="s">
        <v>256</v>
      </c>
      <c r="X281" s="307"/>
      <c r="Y281" s="307"/>
      <c r="Z281" s="307"/>
      <c r="AA281" s="308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299" t="s">
        <v>375</v>
      </c>
      <c r="B282" s="275" t="s">
        <v>62</v>
      </c>
      <c r="C282" s="275" t="s">
        <v>75</v>
      </c>
      <c r="D282" s="275" t="s">
        <v>86</v>
      </c>
      <c r="E282" s="275" t="s">
        <v>96</v>
      </c>
      <c r="F282" s="275" t="s">
        <v>107</v>
      </c>
      <c r="G282" s="275" t="s">
        <v>128</v>
      </c>
      <c r="H282" s="275" t="s">
        <v>135</v>
      </c>
      <c r="I282" s="275" t="s">
        <v>139</v>
      </c>
      <c r="J282" s="275" t="s">
        <v>147</v>
      </c>
      <c r="K282" s="275" t="s">
        <v>162</v>
      </c>
      <c r="L282" s="275" t="s">
        <v>168</v>
      </c>
      <c r="M282" s="275" t="s">
        <v>193</v>
      </c>
      <c r="N282" s="266"/>
      <c r="O282" s="275" t="s">
        <v>201</v>
      </c>
      <c r="P282" s="275" t="s">
        <v>208</v>
      </c>
      <c r="Q282" s="275" t="s">
        <v>213</v>
      </c>
      <c r="R282" s="275" t="s">
        <v>217</v>
      </c>
      <c r="S282" s="275" t="s">
        <v>220</v>
      </c>
      <c r="T282" s="275" t="s">
        <v>225</v>
      </c>
      <c r="U282" s="275" t="s">
        <v>230</v>
      </c>
      <c r="V282" s="275" t="s">
        <v>238</v>
      </c>
      <c r="W282" s="275" t="s">
        <v>257</v>
      </c>
      <c r="X282" s="275" t="s">
        <v>273</v>
      </c>
      <c r="Y282" s="275" t="s">
        <v>285</v>
      </c>
      <c r="Z282" s="275" t="s">
        <v>289</v>
      </c>
      <c r="AA282" s="275" t="s">
        <v>300</v>
      </c>
      <c r="AB282" s="275" t="s">
        <v>307</v>
      </c>
      <c r="AC282" s="275" t="s">
        <v>312</v>
      </c>
      <c r="AD282" s="275" t="s">
        <v>316</v>
      </c>
      <c r="AE282" s="275" t="s">
        <v>323</v>
      </c>
      <c r="AF282" s="266"/>
    </row>
    <row r="283" spans="1:32" ht="13.5" customHeight="1" thickBot="1" x14ac:dyDescent="0.25">
      <c r="A283" s="300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6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  <c r="AD283" s="276"/>
      <c r="AE283" s="276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0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0</v>
      </c>
      <c r="H284" s="46">
        <f>IFERROR(X75*H75,"0")</f>
        <v>0</v>
      </c>
      <c r="I284" s="46">
        <f>IFERROR(X80*H80,"0")+IFERROR(X81*H81,"0")</f>
        <v>0</v>
      </c>
      <c r="J284" s="46">
        <f>IFERROR(X86*H86,"0")+IFERROR(X87*H87,"0")+IFERROR(X88*H88,"0")+IFERROR(X89*H89,"0")+IFERROR(X90*H90,"0")+IFERROR(X91*H91,"0")</f>
        <v>0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0</v>
      </c>
      <c r="M284" s="46">
        <f>IFERROR(X121*H121,"0")+IFERROR(X122*H122,"0")</f>
        <v>0</v>
      </c>
      <c r="N284" s="266"/>
      <c r="O284" s="46">
        <f>IFERROR(X127*H127,"0")+IFERROR(X128*H128,"0")</f>
        <v>0</v>
      </c>
      <c r="P284" s="46">
        <f>IFERROR(X133*H133,"0")+IFERROR(X134*H134,"0")</f>
        <v>0</v>
      </c>
      <c r="Q284" s="46">
        <f>IFERROR(X139*H139,"0")</f>
        <v>168</v>
      </c>
      <c r="R284" s="46">
        <f>IFERROR(X144*H144,"0")</f>
        <v>0</v>
      </c>
      <c r="S284" s="46">
        <f>IFERROR(X149*H149,"0")</f>
        <v>0</v>
      </c>
      <c r="T284" s="46">
        <f>IFERROR(X154*H154,"0")</f>
        <v>117.6</v>
      </c>
      <c r="U284" s="46">
        <f>IFERROR(X160*H160,"0")+IFERROR(X161*H161,"0")</f>
        <v>0</v>
      </c>
      <c r="V284" s="46">
        <f>IFERROR(X167*H167,"0")+IFERROR(X168*H168,"0")+IFERROR(X169*H169,"0")+IFERROR(X173*H173,"0")</f>
        <v>798</v>
      </c>
      <c r="W284" s="46">
        <f>IFERROR(X179*H179,"0")+IFERROR(X183*H183,"0")+IFERROR(X184*H184,"0")+IFERROR(X185*H185,"0")+IFERROR(X186*H186,"0")</f>
        <v>0</v>
      </c>
      <c r="X284" s="46">
        <f>IFERROR(X191*H191,"0")+IFERROR(X192*H192,"0")+IFERROR(X193*H193,"0")+IFERROR(X194*H194,"0")+IFERROR(X195*H195,"0")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5781.6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0</v>
      </c>
      <c r="B287" s="60">
        <f>SUMPRODUCT(--(BB:BB="ПГП"),--(W:W="кор"),H:H,Y:Y)+SUMPRODUCT(--(BB:BB="ПГП"),--(W:W="кг"),Y:Y)</f>
        <v>6865.2000000000007</v>
      </c>
      <c r="C287" s="60">
        <f>SUMPRODUCT(--(BB:BB="КИЗ"),--(W:W="кор"),H:H,Y:Y)+SUMPRODUCT(--(BB:BB="КИЗ"),--(W:W="кг"),Y:Y)</f>
        <v>0</v>
      </c>
    </row>
  </sheetData>
  <sheetProtection algorithmName="SHA-512" hashValue="ULcHSH3RECcsJSd92nldiN2XbnTUaVcte0SylYjfOVFWvMMzAl8UegGjBfH3ZD+q7wdHJjm0VmIYfU4TDwXKJQ==" saltValue="6TAkTfh4RdS2GYV9fqMRN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V282:V283"/>
    <mergeCell ref="P62:T6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27:Z27"/>
    <mergeCell ref="P31:V31"/>
    <mergeCell ref="A214:Z214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82:P283"/>
    <mergeCell ref="F282:F283"/>
    <mergeCell ref="P22:T22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P269:T269"/>
    <mergeCell ref="Y282:Y283"/>
    <mergeCell ref="H282:H283"/>
    <mergeCell ref="P112:T112"/>
    <mergeCell ref="D58:E58"/>
    <mergeCell ref="A236:O237"/>
    <mergeCell ref="P273:V273"/>
    <mergeCell ref="A113:O114"/>
    <mergeCell ref="E282:E283"/>
    <mergeCell ref="G282:G283"/>
    <mergeCell ref="A220:Z220"/>
    <mergeCell ref="P139:T139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269:E269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D116:E116"/>
    <mergeCell ref="A177:Z177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C17:C18"/>
    <mergeCell ref="K17:K18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R282:R283"/>
    <mergeCell ref="A32:Z32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185:T185"/>
    <mergeCell ref="D106:E106"/>
    <mergeCell ref="P72:V72"/>
    <mergeCell ref="P122:T122"/>
    <mergeCell ref="P43:T43"/>
    <mergeCell ref="P65:V65"/>
    <mergeCell ref="D245:E245"/>
    <mergeCell ref="P116:T116"/>
    <mergeCell ref="D122:E122"/>
    <mergeCell ref="A162:O163"/>
    <mergeCell ref="P103:T103"/>
    <mergeCell ref="A26:Z26"/>
    <mergeCell ref="P268:T268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267:T267"/>
    <mergeCell ref="P254:V254"/>
    <mergeCell ref="P235:T235"/>
    <mergeCell ref="P249:V249"/>
    <mergeCell ref="D267:E26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P144:T144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5 X205 X209:X211 X216:X217 X223 X229 X235 X239 X245:X247 X252 X258 X262 X268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200 X251 X256:X257 X263:X265 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W42xoOHy6aBaB/ot0nYxilK22giMnK+fRpzei4n3wmwGhCwCuevjP0uNAg/WXQJgwzuBiU0DRvd1A9IE6gzh4w==" saltValue="79ANExhw/CRUnqvq2ijmz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2025-11-14T08:53:45Z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