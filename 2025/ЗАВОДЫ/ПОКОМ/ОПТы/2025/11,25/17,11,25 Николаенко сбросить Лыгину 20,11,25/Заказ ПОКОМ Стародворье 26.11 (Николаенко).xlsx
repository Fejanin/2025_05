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CF619DCE-5280-4D93-9D8F-49DFBF5396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7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4" i="1"/>
  <c r="H45" i="1"/>
  <c r="H46" i="1"/>
  <c r="H47" i="1"/>
  <c r="H48" i="1"/>
  <c r="H49" i="1"/>
  <c r="H53" i="1"/>
  <c r="H54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4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4" i="1"/>
  <c r="F57" i="1"/>
  <c r="E57" i="1"/>
  <c r="K57" i="1" l="1"/>
  <c r="J57" i="1"/>
</calcChain>
</file>

<file path=xl/sharedStrings.xml><?xml version="1.0" encoding="utf-8"?>
<sst xmlns="http://schemas.openxmlformats.org/spreadsheetml/2006/main" count="63" uniqueCount="61">
  <si>
    <t>кг/шт</t>
  </si>
  <si>
    <t>Банк</t>
  </si>
  <si>
    <t>Ветчина*****Нежн Особ Славн бол батон 2,5кг /15кг</t>
  </si>
  <si>
    <t>Молочная*****Особая Славница бол бат 2,5кг /15кг</t>
  </si>
  <si>
    <t>Нежная*****Славница вар Стародв 1,35кг / 10кг</t>
  </si>
  <si>
    <t>Особая*****со шпиком Славн бол.бат. 2,5кг / 16кг</t>
  </si>
  <si>
    <t>Сосис*****Сливушки Сливоч Вяз. мгу Стар.1,5 /9кг</t>
  </si>
  <si>
    <t>Вязанка*****СО ШПИКОМ Стародвор. 1.3кг/10кг</t>
  </si>
  <si>
    <t>Сосиски*****Молочные  Вязанка "Молокуши" 1.3кг/8кг</t>
  </si>
  <si>
    <t>Баварушка*****БАЛЫКБУРГСКАЯ с копч. Балыком 0.7кг</t>
  </si>
  <si>
    <t>Баварушка*****ФИЛЕЙБУРГСКАЯ  Соч. окор. 0.7кг</t>
  </si>
  <si>
    <t>Докторская*****Оригинальная Славница  1 кг/12кг</t>
  </si>
  <si>
    <t>Молочная*****ДУГУШКА Стародв колб 0,8кг / 5кг</t>
  </si>
  <si>
    <t>Салями*****ФИЛЕЙБУРГСКАЯ Зер.вес. Стар.0.7кг/4,2кг</t>
  </si>
  <si>
    <t>Сервелат*****Запеченый Дугушка 0.8кг/5кг</t>
  </si>
  <si>
    <t>Сосиски*****Датские мгу Стародворье 1,3кг / 9кг</t>
  </si>
  <si>
    <t>Нал</t>
  </si>
  <si>
    <t>Ветчина*****ДУГУШКА Стародв колб 0,8кг / 5кг</t>
  </si>
  <si>
    <t>Докторская*****ГОСТ вяз п/о Стародворские Колбасы</t>
  </si>
  <si>
    <t>Рубленая*****ДУГУШКА запеч в/к Стародв  0,8кг/5кг</t>
  </si>
  <si>
    <t>Салями*****Запеч ДУГУШКА Стародвор 0,8кг / 5кг</t>
  </si>
  <si>
    <t>Сервелат*****МЯСОРУБСКИЙ с мелкоруб. окорок. Стар.</t>
  </si>
  <si>
    <t>Сосиски*****Сливочные по Стародворски 1.3кг/8кг</t>
  </si>
  <si>
    <t>Сосис*****баварские 0,42</t>
  </si>
  <si>
    <t>Cосис****баварские с сыром 0,42</t>
  </si>
  <si>
    <t>Сосиски ШТ *****СОЧИНКИ по Баварски 400гр Стар</t>
  </si>
  <si>
    <t>Сосиски*****Ганноверские Амилюкс Стародвор 1,3кг</t>
  </si>
  <si>
    <t>Сочинка*****Зернист с сочн. Грудинкой Стар 0,9/5.2</t>
  </si>
  <si>
    <t>Сочинка*****рубл. с соч. окор. Стар. 0,9/5.2кг</t>
  </si>
  <si>
    <t>Сардельки*****н/о Говяжьи Стародв 1,3кг /8кг</t>
  </si>
  <si>
    <t>Сосис*****Сливушки Сливоч Вяз. мгу Стар.0,45 /6 шт</t>
  </si>
  <si>
    <t>Сосиски*****Молочные  Вязанка "Молокуши" 0,45 /6 шт</t>
  </si>
  <si>
    <t>Докторская*****ДУГУШКА гост Стародв колб 0,8кг / 5кг</t>
  </si>
  <si>
    <t>Сосиски*****Сочинки Молочные вес Стародворье 1 кг</t>
  </si>
  <si>
    <t>Салями*****Мясорубская с рурбл. шпик Старод 0,7 кг</t>
  </si>
  <si>
    <t>МЯСОРУБСКАЯ*****рубл. груд вар. Бордо Стар 0,7 кг</t>
  </si>
  <si>
    <t>Сервелат Зернистый в/к в/у</t>
  </si>
  <si>
    <t>Сосиски*****Молочные ДЛЯ ЗАВТРАКА 1.3кг/8кг</t>
  </si>
  <si>
    <t>Сосиски ШТ *****Сочинки Молочные 0,4 Стародворье</t>
  </si>
  <si>
    <t>Сосиски ШТ *****СОЧИНКИ по Баварски С СЫРОМ 400г</t>
  </si>
  <si>
    <t>Сосиски ШТ *****Сочинки Сливочные 0,4 Стародворье</t>
  </si>
  <si>
    <t>Филедворская*****по-Стародворски п/а Стародворье</t>
  </si>
  <si>
    <t>Филедворская со шпиком по-стародворски п/а</t>
  </si>
  <si>
    <t>Сочинка*****по-Европ. с соч грудинк Стар 0,9/5.2кг</t>
  </si>
  <si>
    <t>Сочинка*****по-фински с соч. окор. Стар. 0,9/5.2кг</t>
  </si>
  <si>
    <t>Вязанка ветчина Филейская*****Стародв 1,3кг/10кг</t>
  </si>
  <si>
    <t>Вязанка*****Филейская Стародворье 1,3кг /11кг</t>
  </si>
  <si>
    <t>Дугушка стародворская*****0,8кг / 5кг</t>
  </si>
  <si>
    <t>Сосиски*****Сочинки Сливочные вес Старовдорье 1кг</t>
  </si>
  <si>
    <t>Вязанка ветчина Филейская*****450гр. Стародв 1/6</t>
  </si>
  <si>
    <t xml:space="preserve">Вязанка Филейская*****450г.Стародв /10шт </t>
  </si>
  <si>
    <t>Вязанка Молокуша (450гр)*****Стар /10шт пак</t>
  </si>
  <si>
    <t>Вязанка Молокуша*****Стародв колб 1,3кг / 10кг</t>
  </si>
  <si>
    <t>Дугушка стародворская со шпиком*****0,8кг / 5кг</t>
  </si>
  <si>
    <t>Сосиски ШТ *****СОЧИНКИ с грудинкой 400гр Стар</t>
  </si>
  <si>
    <t>Докторская особ рецепт Филейная п/а*****2.5кг/16кг</t>
  </si>
  <si>
    <t>Заказ на 26.11 Стародв. Колбасы</t>
  </si>
  <si>
    <t>ИТОГО</t>
  </si>
  <si>
    <t>кооф</t>
  </si>
  <si>
    <t>ВЕС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</si>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</sst>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b/>
      <sz val="11"/>
      <name val="Arial"/>
      <family val="2"/>
      <charset val="1"/>
    </font>
    <font>
      <b/>
      <sz val="20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name val="Arial"/>
      <family val="2"/>
      <charset val="1"/>
    </font>
    <font>
      <b/>
      <sz val="10"/>
      <color theme="1"/>
      <name val="Calibri"/>
      <family val="2"/>
      <charset val="204"/>
      <scheme val="minor"/>
    </font>
    <font>
      <b/>
      <sz val="12"/>
      <name val="Arial"/>
      <family val="2"/>
      <charset val="1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0" tint="-0.249977111117893"/>
      <name val="Arial"/>
      <family val="2"/>
      <charset val="1"/>
    </font>
    <font>
      <b/>
      <sz val="2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color rgb="FFFF0000"/>
      <name val="Arial"/>
      <family val="2"/>
      <charset val="1"/>
    </font>
    <font>
      <b/>
      <sz val="10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NumberFormat="1" applyAlignment="1">
      <alignment horizontal="center" vertical="top"/>
    </xf>
    <xf numFmtId="0" fontId="6" fillId="0" borderId="1" xfId="1" applyNumberFormat="1" applyFont="1" applyBorder="1" applyAlignment="1">
      <alignment horizontal="center" vertical="top"/>
    </xf>
    <xf numFmtId="0" fontId="7" fillId="0" borderId="0" xfId="0" applyFont="1"/>
    <xf numFmtId="2" fontId="3" fillId="0" borderId="1" xfId="1" applyNumberFormat="1" applyFont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center" vertical="top"/>
    </xf>
    <xf numFmtId="0" fontId="9" fillId="0" borderId="1" xfId="0" applyNumberFormat="1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1" fillId="2" borderId="1" xfId="1" applyNumberFormat="1" applyFont="1" applyFill="1" applyBorder="1" applyAlignment="1">
      <alignment horizontal="left" vertical="top" wrapText="1" indent="1"/>
    </xf>
    <xf numFmtId="0" fontId="6" fillId="0" borderId="1" xfId="1" applyNumberFormat="1" applyFont="1" applyBorder="1" applyAlignment="1">
      <alignment horizontal="left" vertical="top"/>
    </xf>
    <xf numFmtId="0" fontId="12" fillId="2" borderId="1" xfId="1" applyNumberFormat="1" applyFont="1" applyFill="1" applyBorder="1" applyAlignment="1">
      <alignment horizontal="left" vertical="top" wrapText="1" indent="1"/>
    </xf>
    <xf numFmtId="0" fontId="5" fillId="2" borderId="1" xfId="1" applyNumberFormat="1" applyFont="1" applyFill="1" applyBorder="1" applyAlignment="1">
      <alignment vertical="top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/>
    </xf>
    <xf numFmtId="0" fontId="13" fillId="2" borderId="1" xfId="1" applyNumberFormat="1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right"/>
    </xf>
    <xf numFmtId="0" fontId="16" fillId="3" borderId="1" xfId="1" applyNumberFormat="1" applyFont="1" applyFill="1" applyBorder="1" applyAlignment="1">
      <alignment horizontal="left" vertical="top" wrapText="1" indent="1"/>
    </xf>
    <xf numFmtId="0" fontId="15" fillId="3" borderId="0" xfId="0" applyFont="1" applyFill="1"/>
    <xf numFmtId="0" fontId="16" fillId="3" borderId="1" xfId="1" applyNumberFormat="1" applyFont="1" applyFill="1" applyBorder="1" applyAlignment="1">
      <alignment horizontal="right" vertical="top" wrapText="1" indent="1"/>
    </xf>
    <xf numFmtId="0" fontId="17" fillId="3" borderId="1" xfId="1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12,11,25%20&#1053;&#1080;&#1082;&#1086;&#1083;&#1072;&#1077;&#1085;&#1082;&#1086;%20&#1051;&#1055;%20&#1089;&#1073;&#1088;&#1086;&#1089;&#1080;&#1090;&#1100;%20&#1051;&#1099;&#1075;&#1080;&#1085;&#1091;%2013,11,25/&#1047;&#1072;&#1082;&#1072;&#1079;%20&#1055;&#1054;&#1050;&#1054;&#1052;%20&#1057;&#1090;&#1072;&#1088;&#1086;&#1076;&#1074;&#1086;&#1088;&#1100;&#1077;%2019.11(&#1053;&#1080;&#1082;&#1086;&#1083;&#1072;&#1077;&#1085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>
        <row r="2">
          <cell r="B2" t="str">
            <v>Заказ на 19.11 Стародв. Колбасы</v>
          </cell>
          <cell r="E2" t="str">
            <v>Нал</v>
          </cell>
          <cell r="F2" t="str">
            <v>Банк</v>
          </cell>
          <cell r="G2" t="str">
            <v>ИТОГО</v>
          </cell>
          <cell r="H2" t="str">
            <v>кооф</v>
          </cell>
        </row>
        <row r="3">
          <cell r="E3" t="str">
            <v>кг/шт</v>
          </cell>
          <cell r="F3" t="str">
            <v>кг/шт</v>
          </cell>
          <cell r="G3" t="str">
            <v>кг/шт</v>
          </cell>
        </row>
        <row r="4">
          <cell r="B4" t="str">
            <v>Баварушка*****БАЛЫКБУРГСКАЯ с копч. Балыком 0.7кг</v>
          </cell>
          <cell r="C4">
            <v>290</v>
          </cell>
          <cell r="D4">
            <v>308</v>
          </cell>
          <cell r="E4">
            <v>20</v>
          </cell>
          <cell r="F4">
            <v>15</v>
          </cell>
          <cell r="G4">
            <v>35</v>
          </cell>
          <cell r="H4">
            <v>1</v>
          </cell>
        </row>
        <row r="5">
          <cell r="B5" t="str">
            <v>Баварушка*****ФИЛЕЙБУРГСКАЯ  Соч. окор. 0.7кг</v>
          </cell>
          <cell r="C5">
            <v>290</v>
          </cell>
          <cell r="D5">
            <v>298</v>
          </cell>
          <cell r="E5">
            <v>10</v>
          </cell>
          <cell r="F5">
            <v>5</v>
          </cell>
          <cell r="G5">
            <v>15</v>
          </cell>
          <cell r="H5">
            <v>1</v>
          </cell>
        </row>
        <row r="6">
          <cell r="B6" t="str">
            <v>Ветчина*****ДУГУШКА Стародв колб 0,8кг / 5кг</v>
          </cell>
          <cell r="C6">
            <v>240</v>
          </cell>
          <cell r="D6">
            <v>247</v>
          </cell>
          <cell r="E6">
            <v>80</v>
          </cell>
          <cell r="F6">
            <v>70</v>
          </cell>
          <cell r="G6">
            <v>150</v>
          </cell>
          <cell r="H6">
            <v>1</v>
          </cell>
        </row>
        <row r="7">
          <cell r="B7" t="str">
            <v>Ветчина*****Нежн Особ Славн бол батон 2,5кг /15кг</v>
          </cell>
          <cell r="C7">
            <v>210</v>
          </cell>
          <cell r="D7">
            <v>218</v>
          </cell>
          <cell r="G7">
            <v>0</v>
          </cell>
        </row>
        <row r="8">
          <cell r="B8" t="str">
            <v>Вязанка ветчина Филейская*****Стародв 1,3кг/10кг</v>
          </cell>
          <cell r="C8">
            <v>255</v>
          </cell>
          <cell r="D8">
            <v>263</v>
          </cell>
          <cell r="G8">
            <v>0</v>
          </cell>
        </row>
        <row r="9">
          <cell r="B9" t="str">
            <v>Вязанка Молокуша*****Стародв колб 1,3кг / 10кг</v>
          </cell>
          <cell r="C9">
            <v>235</v>
          </cell>
          <cell r="D9">
            <v>240</v>
          </cell>
          <cell r="G9">
            <v>0</v>
          </cell>
        </row>
        <row r="10">
          <cell r="B10" t="str">
            <v>Вязанка*****СО ШПИКОМ Стародвор. 1.3кг/10кг</v>
          </cell>
          <cell r="C10">
            <v>252</v>
          </cell>
          <cell r="D10">
            <v>263</v>
          </cell>
          <cell r="G10">
            <v>0</v>
          </cell>
        </row>
        <row r="11">
          <cell r="B11" t="str">
            <v>Вязанка*****Филейская Стародворье 1,3кг /11кг</v>
          </cell>
          <cell r="C11">
            <v>235</v>
          </cell>
          <cell r="D11">
            <v>243</v>
          </cell>
          <cell r="G11">
            <v>0</v>
          </cell>
        </row>
        <row r="12">
          <cell r="B12" t="str">
            <v>Докторская особ рецепт Филейная п/а*****2.5кг/16кг</v>
          </cell>
          <cell r="C12">
            <v>150</v>
          </cell>
          <cell r="D12">
            <v>154</v>
          </cell>
          <cell r="G12">
            <v>0</v>
          </cell>
        </row>
        <row r="13">
          <cell r="B13" t="str">
            <v>Докторская*****ГОСТ вяз п/о Стародворские Колбасы</v>
          </cell>
          <cell r="C13">
            <v>270</v>
          </cell>
          <cell r="D13">
            <v>280</v>
          </cell>
          <cell r="E13">
            <v>30</v>
          </cell>
          <cell r="F13">
            <v>20</v>
          </cell>
          <cell r="G13">
            <v>50</v>
          </cell>
          <cell r="H13">
            <v>1</v>
          </cell>
        </row>
        <row r="14">
          <cell r="B14" t="str">
            <v>Докторская*****ДУГУШКА гост Стародв колб 0,8кг / 5кг</v>
          </cell>
          <cell r="C14">
            <v>265</v>
          </cell>
          <cell r="D14">
            <v>276</v>
          </cell>
          <cell r="E14">
            <v>15</v>
          </cell>
          <cell r="F14">
            <v>10</v>
          </cell>
          <cell r="G14">
            <v>25</v>
          </cell>
          <cell r="H14">
            <v>1</v>
          </cell>
        </row>
        <row r="15">
          <cell r="B15" t="str">
            <v>Докторская*****Оригинальная Славница  1 кг/12кг</v>
          </cell>
          <cell r="C15">
            <v>175</v>
          </cell>
          <cell r="D15">
            <v>175</v>
          </cell>
          <cell r="G15">
            <v>0</v>
          </cell>
        </row>
        <row r="16">
          <cell r="B16" t="str">
            <v>Дугушка стародворская*****0,8кг / 5кг</v>
          </cell>
          <cell r="C16">
            <v>205</v>
          </cell>
          <cell r="D16">
            <v>215</v>
          </cell>
          <cell r="G16">
            <v>0</v>
          </cell>
        </row>
        <row r="17">
          <cell r="B17" t="str">
            <v>Дугушка стародворская со шпиком*****0,8кг / 5кг</v>
          </cell>
          <cell r="C17">
            <v>235</v>
          </cell>
          <cell r="D17">
            <v>235</v>
          </cell>
          <cell r="G17">
            <v>0</v>
          </cell>
        </row>
        <row r="18">
          <cell r="B18" t="str">
            <v>Молочная*****ДУГУШКА Стародв колб 0,8кг / 5кг</v>
          </cell>
          <cell r="C18">
            <v>205</v>
          </cell>
          <cell r="D18">
            <v>214</v>
          </cell>
          <cell r="G18">
            <v>0</v>
          </cell>
        </row>
        <row r="19">
          <cell r="B19" t="str">
            <v>Молочная*****Особая Славница бол бат 2,5кг /15кг</v>
          </cell>
          <cell r="C19">
            <v>150</v>
          </cell>
          <cell r="D19">
            <v>154</v>
          </cell>
          <cell r="G19">
            <v>0</v>
          </cell>
        </row>
        <row r="20">
          <cell r="B20" t="str">
            <v>МЯСОРУБСКАЯ*****рубл. груд вар. Бордо Стар 0,7 кг</v>
          </cell>
          <cell r="G20">
            <v>0</v>
          </cell>
        </row>
        <row r="21">
          <cell r="B21" t="str">
            <v>Нежная*****Славница вар Стародв 1,35кг / 10кг</v>
          </cell>
          <cell r="C21">
            <v>150</v>
          </cell>
          <cell r="D21">
            <v>154</v>
          </cell>
          <cell r="E21">
            <v>10</v>
          </cell>
          <cell r="F21">
            <v>10</v>
          </cell>
          <cell r="G21">
            <v>20</v>
          </cell>
          <cell r="H21">
            <v>1</v>
          </cell>
        </row>
        <row r="22">
          <cell r="B22" t="str">
            <v>Особая*****со шпиком Славн бол.бат. 2,5кг / 16кг</v>
          </cell>
          <cell r="C22">
            <v>150</v>
          </cell>
          <cell r="D22">
            <v>154</v>
          </cell>
          <cell r="G22">
            <v>0</v>
          </cell>
        </row>
        <row r="23">
          <cell r="B23" t="str">
            <v>Рубленая*****ДУГУШКА запеч в/к Стародв  0,8кг/5кг</v>
          </cell>
          <cell r="C23">
            <v>270</v>
          </cell>
          <cell r="D23">
            <v>271</v>
          </cell>
          <cell r="G23">
            <v>0</v>
          </cell>
        </row>
        <row r="24">
          <cell r="B24" t="str">
            <v>Салями*****Запеч ДУГУШКА Стародвор 0,8кг / 5кг</v>
          </cell>
          <cell r="C24">
            <v>265</v>
          </cell>
          <cell r="D24">
            <v>270</v>
          </cell>
          <cell r="G24">
            <v>0</v>
          </cell>
        </row>
        <row r="25">
          <cell r="B25" t="str">
            <v>Салями*****Мясорубская с рурбл. шпик Старод 0,7 кг</v>
          </cell>
          <cell r="D25">
            <v>280</v>
          </cell>
          <cell r="F25">
            <v>10</v>
          </cell>
          <cell r="G25">
            <v>10</v>
          </cell>
          <cell r="H25">
            <v>1</v>
          </cell>
        </row>
        <row r="26">
          <cell r="B26" t="str">
            <v>Салями*****ФИЛЕЙБУРГСКАЯ Зер.вес. Стар.0.7кг/4,2кг</v>
          </cell>
          <cell r="C26">
            <v>315</v>
          </cell>
          <cell r="D26">
            <v>315</v>
          </cell>
          <cell r="E26">
            <v>15</v>
          </cell>
          <cell r="F26">
            <v>15</v>
          </cell>
          <cell r="G26">
            <v>30</v>
          </cell>
          <cell r="H26">
            <v>1</v>
          </cell>
        </row>
        <row r="27">
          <cell r="B27" t="str">
            <v>Сардельки*****н/о Говяжьи Стародв 1,3кг /8кг</v>
          </cell>
          <cell r="C27">
            <v>210</v>
          </cell>
          <cell r="D27">
            <v>219</v>
          </cell>
          <cell r="E27">
            <v>15</v>
          </cell>
          <cell r="F27">
            <v>10</v>
          </cell>
          <cell r="G27">
            <v>25</v>
          </cell>
          <cell r="H27">
            <v>1</v>
          </cell>
        </row>
        <row r="28">
          <cell r="B28" t="str">
            <v>Сервелат Зернистый в/к в/у</v>
          </cell>
          <cell r="C28">
            <v>275</v>
          </cell>
          <cell r="D28">
            <v>275</v>
          </cell>
          <cell r="E28">
            <v>15</v>
          </cell>
          <cell r="F28">
            <v>10</v>
          </cell>
          <cell r="G28">
            <v>25</v>
          </cell>
          <cell r="H28">
            <v>1</v>
          </cell>
        </row>
        <row r="29">
          <cell r="B29" t="str">
            <v>Сервелат*****Запеченый Дугушка 0.8кг/5кг</v>
          </cell>
          <cell r="C29">
            <v>255</v>
          </cell>
          <cell r="D29">
            <v>266</v>
          </cell>
          <cell r="E29">
            <v>15</v>
          </cell>
          <cell r="F29">
            <v>10</v>
          </cell>
          <cell r="G29">
            <v>25</v>
          </cell>
          <cell r="H29">
            <v>1</v>
          </cell>
        </row>
        <row r="30">
          <cell r="B30" t="str">
            <v>Сервелат*****МЯСОРУБСКИЙ с мелкоруб. окорок. Стар.</v>
          </cell>
          <cell r="D30">
            <v>281</v>
          </cell>
          <cell r="E30">
            <v>15</v>
          </cell>
          <cell r="F30">
            <v>10</v>
          </cell>
          <cell r="G30">
            <v>25</v>
          </cell>
          <cell r="H30">
            <v>1</v>
          </cell>
        </row>
        <row r="31">
          <cell r="B31" t="str">
            <v>Сосис*****Сливушки Сливоч Вяз. мгу Стар.1,5 /9кг</v>
          </cell>
          <cell r="C31">
            <v>260</v>
          </cell>
          <cell r="D31">
            <v>268</v>
          </cell>
          <cell r="E31">
            <v>20</v>
          </cell>
          <cell r="F31">
            <v>20</v>
          </cell>
          <cell r="G31">
            <v>40</v>
          </cell>
          <cell r="H31">
            <v>1</v>
          </cell>
        </row>
        <row r="32">
          <cell r="B32" t="str">
            <v>Сосиски*****Ганноверские Амилюкс Стародвор 1,3кг</v>
          </cell>
          <cell r="D32">
            <v>200</v>
          </cell>
          <cell r="G32">
            <v>0</v>
          </cell>
        </row>
        <row r="33">
          <cell r="B33" t="str">
            <v>Сосиски*****Датские мгу Стародворье 1,3кг / 9кг</v>
          </cell>
          <cell r="C33">
            <v>150</v>
          </cell>
          <cell r="D33">
            <v>153</v>
          </cell>
          <cell r="G33">
            <v>0</v>
          </cell>
        </row>
        <row r="34">
          <cell r="B34" t="str">
            <v>Сосиски*****Молочные  Вязанка "Молокуши" 1.3кг/8кг</v>
          </cell>
          <cell r="C34">
            <v>245</v>
          </cell>
          <cell r="D34">
            <v>254</v>
          </cell>
          <cell r="G34">
            <v>0</v>
          </cell>
        </row>
        <row r="35">
          <cell r="B35" t="str">
            <v>Сосиски*****Молочные ДЛЯ ЗАВТРАКА 1.3кг/8кг</v>
          </cell>
          <cell r="D35">
            <v>190</v>
          </cell>
          <cell r="G35">
            <v>0</v>
          </cell>
        </row>
        <row r="36">
          <cell r="B36" t="str">
            <v xml:space="preserve"> </v>
          </cell>
          <cell r="G36">
            <v>0</v>
          </cell>
        </row>
        <row r="37">
          <cell r="B37" t="str">
            <v>Сосиски*****Сливочные по Стародворски 1.3кг/8кг</v>
          </cell>
          <cell r="G37">
            <v>0</v>
          </cell>
        </row>
        <row r="38">
          <cell r="B38" t="str">
            <v>Сосиски*****Сочинки Молочные вес Стародворье 1 кг</v>
          </cell>
          <cell r="C38">
            <v>210</v>
          </cell>
          <cell r="D38">
            <v>217</v>
          </cell>
          <cell r="E38">
            <v>10</v>
          </cell>
          <cell r="F38">
            <v>10</v>
          </cell>
          <cell r="G38">
            <v>20</v>
          </cell>
          <cell r="H38">
            <v>1</v>
          </cell>
        </row>
        <row r="39">
          <cell r="B39" t="str">
            <v>Сосиски*****Сочинки Сливочные вес Старовдорье 1кг</v>
          </cell>
          <cell r="D39">
            <v>220</v>
          </cell>
          <cell r="E39">
            <v>10</v>
          </cell>
          <cell r="F39">
            <v>10</v>
          </cell>
          <cell r="G39">
            <v>20</v>
          </cell>
          <cell r="H39">
            <v>1</v>
          </cell>
        </row>
        <row r="40">
          <cell r="B40" t="str">
            <v>Сочинка*****Зернист с сочн. Грудинкой Стар 0,9/5.2</v>
          </cell>
          <cell r="D40">
            <v>240</v>
          </cell>
          <cell r="E40">
            <v>80</v>
          </cell>
          <cell r="F40">
            <v>70</v>
          </cell>
          <cell r="G40">
            <v>150</v>
          </cell>
          <cell r="H40">
            <v>1</v>
          </cell>
        </row>
        <row r="41">
          <cell r="B41" t="str">
            <v>Сочинка*****по-Европ. с соч грудинк Стар 0,9/5.2кг</v>
          </cell>
          <cell r="C41">
            <v>240</v>
          </cell>
          <cell r="D41">
            <v>248</v>
          </cell>
          <cell r="E41">
            <v>40</v>
          </cell>
          <cell r="F41">
            <v>30</v>
          </cell>
          <cell r="G41">
            <v>70</v>
          </cell>
          <cell r="H41">
            <v>1</v>
          </cell>
        </row>
        <row r="42">
          <cell r="B42" t="str">
            <v>Сочинка*****по-фински с соч. окор. Стар. 0,9/5.2кг</v>
          </cell>
          <cell r="C42">
            <v>255</v>
          </cell>
          <cell r="D42">
            <v>260</v>
          </cell>
          <cell r="E42">
            <v>20</v>
          </cell>
          <cell r="F42">
            <v>20</v>
          </cell>
          <cell r="G42">
            <v>40</v>
          </cell>
          <cell r="H42">
            <v>1</v>
          </cell>
        </row>
        <row r="43">
          <cell r="B43" t="str">
            <v>Сочинка*****рубл. с соч. окор. Стар. 0,9/5.2кг</v>
          </cell>
          <cell r="C43">
            <v>240</v>
          </cell>
          <cell r="D43">
            <v>244</v>
          </cell>
          <cell r="E43">
            <v>70</v>
          </cell>
          <cell r="F43">
            <v>50</v>
          </cell>
          <cell r="G43">
            <v>120</v>
          </cell>
          <cell r="H43">
            <v>1</v>
          </cell>
        </row>
        <row r="44">
          <cell r="B44" t="str">
            <v>Филедворская*****по-Стародворски п/а Стародворье</v>
          </cell>
          <cell r="C44">
            <v>185</v>
          </cell>
          <cell r="D44">
            <v>185</v>
          </cell>
          <cell r="E44">
            <v>10</v>
          </cell>
          <cell r="F44">
            <v>10</v>
          </cell>
          <cell r="G44">
            <v>20</v>
          </cell>
          <cell r="H44">
            <v>1</v>
          </cell>
        </row>
        <row r="45">
          <cell r="B45" t="str">
            <v>Филедворская со шпиком по-стародворски п/а</v>
          </cell>
          <cell r="D45">
            <v>188</v>
          </cell>
          <cell r="E45">
            <v>10</v>
          </cell>
          <cell r="F45">
            <v>10</v>
          </cell>
          <cell r="G45">
            <v>20</v>
          </cell>
          <cell r="H45">
            <v>1</v>
          </cell>
        </row>
        <row r="46">
          <cell r="G46">
            <v>0</v>
          </cell>
        </row>
        <row r="47">
          <cell r="B47" t="str">
            <v>Вязанка ветчина Филейская*****450гр. Стародв 1/6</v>
          </cell>
          <cell r="G47">
            <v>0</v>
          </cell>
        </row>
        <row r="48">
          <cell r="B48" t="str">
            <v>Вязанка Молокуша (450гр)*****Стар /10шт пак</v>
          </cell>
          <cell r="C48">
            <v>125</v>
          </cell>
          <cell r="D48">
            <v>127</v>
          </cell>
          <cell r="E48">
            <v>60</v>
          </cell>
          <cell r="F48">
            <v>40</v>
          </cell>
          <cell r="G48">
            <v>100</v>
          </cell>
          <cell r="H48">
            <v>0.45</v>
          </cell>
        </row>
        <row r="49">
          <cell r="B49" t="str">
            <v xml:space="preserve">Вязанка Филейская*****450г.Стародв /10шт </v>
          </cell>
          <cell r="C49">
            <v>125</v>
          </cell>
          <cell r="D49">
            <v>127</v>
          </cell>
          <cell r="E49">
            <v>60</v>
          </cell>
          <cell r="F49">
            <v>40</v>
          </cell>
          <cell r="G49">
            <v>100</v>
          </cell>
          <cell r="H49">
            <v>0.45</v>
          </cell>
        </row>
        <row r="50">
          <cell r="B50" t="str">
            <v>Cосис****баварские с сыром 0,42</v>
          </cell>
          <cell r="C50">
            <v>80</v>
          </cell>
          <cell r="D50">
            <v>82</v>
          </cell>
          <cell r="E50">
            <v>6</v>
          </cell>
          <cell r="F50">
            <v>6</v>
          </cell>
          <cell r="G50">
            <v>12</v>
          </cell>
          <cell r="H50">
            <v>0.35</v>
          </cell>
        </row>
        <row r="51">
          <cell r="B51" t="str">
            <v>Сосис*****баварские 0,42</v>
          </cell>
          <cell r="C51">
            <v>75</v>
          </cell>
          <cell r="D51">
            <v>77</v>
          </cell>
          <cell r="E51">
            <v>18</v>
          </cell>
          <cell r="F51">
            <v>12</v>
          </cell>
          <cell r="G51">
            <v>30</v>
          </cell>
          <cell r="H51">
            <v>0.35</v>
          </cell>
        </row>
        <row r="52">
          <cell r="B52" t="str">
            <v>Сосис*****Сливушки Сливоч Вяз. мгу Стар.0,45 /6 шт</v>
          </cell>
          <cell r="C52">
            <v>133</v>
          </cell>
          <cell r="D52">
            <v>136</v>
          </cell>
          <cell r="G52">
            <v>0</v>
          </cell>
        </row>
        <row r="53">
          <cell r="B53" t="str">
            <v>Сосиски ШТ *****Сочинки Молочные 0,4 Стародворье</v>
          </cell>
          <cell r="C53">
            <v>90</v>
          </cell>
          <cell r="D53">
            <v>90</v>
          </cell>
          <cell r="G53">
            <v>0</v>
          </cell>
        </row>
        <row r="54">
          <cell r="B54" t="str">
            <v>Сосиски ШТ *****СОЧИНКИ по Баварски 400гр Стар</v>
          </cell>
          <cell r="G54">
            <v>0</v>
          </cell>
        </row>
        <row r="55">
          <cell r="B55" t="str">
            <v>Сосиски*****Молочные  Вязанка "Молокуши" 0,45 /6 шт</v>
          </cell>
          <cell r="C55">
            <v>133</v>
          </cell>
          <cell r="D55">
            <v>136</v>
          </cell>
          <cell r="E55">
            <v>12</v>
          </cell>
          <cell r="F55">
            <v>6</v>
          </cell>
          <cell r="G55">
            <v>18</v>
          </cell>
          <cell r="H55">
            <v>0.45</v>
          </cell>
        </row>
        <row r="56">
          <cell r="B56" t="str">
            <v>Сосиски ШТ *****СОЧИНКИ с грудинкой 400гр Стар</v>
          </cell>
          <cell r="C56">
            <v>90</v>
          </cell>
          <cell r="D56">
            <v>94</v>
          </cell>
          <cell r="E56">
            <v>18</v>
          </cell>
          <cell r="F56">
            <v>12</v>
          </cell>
          <cell r="G56">
            <v>30</v>
          </cell>
          <cell r="H56">
            <v>0.4</v>
          </cell>
        </row>
        <row r="57">
          <cell r="B57" t="str">
            <v>Сосиски ШТ *****СОЧИНКИ по Баварски С СЫРОМ 400г</v>
          </cell>
          <cell r="G57">
            <v>0</v>
          </cell>
        </row>
        <row r="58">
          <cell r="B58" t="str">
            <v>Сосиски ШТ *****Сочинки Сливочные 0,4 Стародворье</v>
          </cell>
          <cell r="G58">
            <v>0</v>
          </cell>
        </row>
        <row r="59">
          <cell r="E59">
            <v>684</v>
          </cell>
          <cell r="F59">
            <v>541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7"/>
  <sheetViews>
    <sheetView tabSelected="1" zoomScale="85" zoomScaleNormal="85" workbookViewId="0">
      <selection activeCell="N12" sqref="N12"/>
    </sheetView>
  </sheetViews>
  <sheetFormatPr defaultRowHeight="15" customHeight="1" x14ac:dyDescent="0.25"/>
  <cols>
    <col min="1" max="1" width="3.140625" customWidth="1"/>
    <col min="2" max="2" width="62.28515625" customWidth="1"/>
    <col min="3" max="3" width="2.5703125" style="25" hidden="1" customWidth="1"/>
    <col min="4" max="4" width="7.85546875" customWidth="1"/>
    <col min="5" max="5" width="6.5703125" bestFit="1" customWidth="1"/>
    <col min="6" max="6" width="6.140625" style="2" bestFit="1" customWidth="1"/>
    <col min="7" max="9" width="11.140625" style="2" customWidth="1"/>
    <col min="10" max="10" width="9.140625" style="11"/>
  </cols>
  <sheetData>
    <row r="2" spans="2:11" ht="30" customHeight="1" x14ac:dyDescent="0.25">
      <c r="B2" s="21" t="s">
        <v>56</v>
      </c>
      <c r="C2" s="22"/>
      <c r="D2" s="21"/>
      <c r="E2" s="8" t="s">
        <v>16</v>
      </c>
      <c r="F2" s="5" t="s">
        <v>1</v>
      </c>
      <c r="G2" s="5" t="s">
        <v>57</v>
      </c>
      <c r="H2" s="5" t="s">
        <v>58</v>
      </c>
      <c r="I2" s="5" t="s">
        <v>59</v>
      </c>
    </row>
    <row r="3" spans="2:11" s="4" customFormat="1" ht="15" customHeight="1" x14ac:dyDescent="0.2">
      <c r="B3" s="14"/>
      <c r="C3" s="24"/>
      <c r="D3" s="15"/>
      <c r="E3" s="3" t="s">
        <v>0</v>
      </c>
      <c r="F3" s="3" t="s">
        <v>0</v>
      </c>
      <c r="G3" s="3" t="s">
        <v>0</v>
      </c>
      <c r="H3" s="18"/>
      <c r="I3" s="3" t="s">
        <v>60</v>
      </c>
      <c r="J3" s="12"/>
    </row>
    <row r="4" spans="2:11" s="4" customFormat="1" ht="15" customHeight="1" x14ac:dyDescent="0.2">
      <c r="B4" s="16" t="s">
        <v>9</v>
      </c>
      <c r="C4" s="24">
        <v>290</v>
      </c>
      <c r="D4" s="17">
        <v>308</v>
      </c>
      <c r="E4" s="6"/>
      <c r="F4" s="18"/>
      <c r="G4" s="18">
        <f>F4+E4</f>
        <v>0</v>
      </c>
      <c r="H4" s="18">
        <v>1</v>
      </c>
      <c r="I4" s="18">
        <f>H4*G4</f>
        <v>0</v>
      </c>
      <c r="J4" s="12">
        <f t="shared" ref="J4:J35" si="0">E4*D4</f>
        <v>0</v>
      </c>
      <c r="K4" s="4">
        <f>D4*F4</f>
        <v>0</v>
      </c>
    </row>
    <row r="5" spans="2:11" s="4" customFormat="1" ht="15" customHeight="1" x14ac:dyDescent="0.2">
      <c r="B5" s="16" t="s">
        <v>10</v>
      </c>
      <c r="C5" s="24">
        <v>290</v>
      </c>
      <c r="D5" s="17">
        <v>298</v>
      </c>
      <c r="E5" s="19">
        <v>30</v>
      </c>
      <c r="F5" s="18">
        <v>15</v>
      </c>
      <c r="G5" s="18">
        <f t="shared" ref="G5:G56" si="1">F5+E5</f>
        <v>45</v>
      </c>
      <c r="H5" s="18">
        <v>1</v>
      </c>
      <c r="I5" s="18">
        <f t="shared" ref="I5:I56" si="2">H5*G5</f>
        <v>45</v>
      </c>
      <c r="J5" s="12">
        <f t="shared" si="0"/>
        <v>8940</v>
      </c>
      <c r="K5" s="4">
        <f t="shared" ref="K5:K56" si="3">D5*F5</f>
        <v>4470</v>
      </c>
    </row>
    <row r="6" spans="2:11" s="4" customFormat="1" ht="15" customHeight="1" x14ac:dyDescent="0.2">
      <c r="B6" s="14" t="s">
        <v>17</v>
      </c>
      <c r="C6" s="24">
        <v>240</v>
      </c>
      <c r="D6" s="17">
        <v>247</v>
      </c>
      <c r="E6" s="19"/>
      <c r="F6" s="18"/>
      <c r="G6" s="18">
        <f t="shared" si="1"/>
        <v>0</v>
      </c>
      <c r="H6" s="18">
        <v>1</v>
      </c>
      <c r="I6" s="18">
        <f t="shared" si="2"/>
        <v>0</v>
      </c>
      <c r="J6" s="12">
        <f t="shared" si="0"/>
        <v>0</v>
      </c>
      <c r="K6" s="4">
        <f t="shared" si="3"/>
        <v>0</v>
      </c>
    </row>
    <row r="7" spans="2:11" s="4" customFormat="1" ht="15" customHeight="1" x14ac:dyDescent="0.2">
      <c r="B7" s="16" t="s">
        <v>2</v>
      </c>
      <c r="C7" s="24">
        <v>210</v>
      </c>
      <c r="D7" s="17">
        <v>218</v>
      </c>
      <c r="E7" s="18"/>
      <c r="F7" s="18"/>
      <c r="G7" s="18">
        <f t="shared" si="1"/>
        <v>0</v>
      </c>
      <c r="H7" s="18">
        <v>1</v>
      </c>
      <c r="I7" s="18">
        <f t="shared" si="2"/>
        <v>0</v>
      </c>
      <c r="J7" s="12">
        <f t="shared" si="0"/>
        <v>0</v>
      </c>
      <c r="K7" s="4">
        <f t="shared" si="3"/>
        <v>0</v>
      </c>
    </row>
    <row r="8" spans="2:11" s="4" customFormat="1" ht="15" customHeight="1" x14ac:dyDescent="0.2">
      <c r="B8" s="16" t="s">
        <v>45</v>
      </c>
      <c r="C8" s="24">
        <v>255</v>
      </c>
      <c r="D8" s="17">
        <v>263</v>
      </c>
      <c r="E8" s="18"/>
      <c r="F8" s="18"/>
      <c r="G8" s="18">
        <f t="shared" si="1"/>
        <v>0</v>
      </c>
      <c r="H8" s="18">
        <v>1</v>
      </c>
      <c r="I8" s="18">
        <f t="shared" si="2"/>
        <v>0</v>
      </c>
      <c r="J8" s="12">
        <f t="shared" si="0"/>
        <v>0</v>
      </c>
      <c r="K8" s="4">
        <f t="shared" si="3"/>
        <v>0</v>
      </c>
    </row>
    <row r="9" spans="2:11" s="4" customFormat="1" ht="15" customHeight="1" x14ac:dyDescent="0.2">
      <c r="B9" s="16" t="s">
        <v>52</v>
      </c>
      <c r="C9" s="24">
        <v>235</v>
      </c>
      <c r="D9" s="17">
        <v>240</v>
      </c>
      <c r="E9" s="18"/>
      <c r="F9" s="18"/>
      <c r="G9" s="18">
        <f t="shared" si="1"/>
        <v>0</v>
      </c>
      <c r="H9" s="18">
        <v>1</v>
      </c>
      <c r="I9" s="18">
        <f t="shared" si="2"/>
        <v>0</v>
      </c>
      <c r="J9" s="12">
        <f t="shared" si="0"/>
        <v>0</v>
      </c>
      <c r="K9" s="4">
        <f t="shared" si="3"/>
        <v>0</v>
      </c>
    </row>
    <row r="10" spans="2:11" s="4" customFormat="1" ht="15" customHeight="1" x14ac:dyDescent="0.2">
      <c r="B10" s="20" t="s">
        <v>7</v>
      </c>
      <c r="C10" s="24">
        <v>252</v>
      </c>
      <c r="D10" s="17">
        <v>263</v>
      </c>
      <c r="E10" s="19"/>
      <c r="F10" s="18"/>
      <c r="G10" s="18">
        <f t="shared" si="1"/>
        <v>0</v>
      </c>
      <c r="H10" s="18">
        <v>1</v>
      </c>
      <c r="I10" s="18">
        <f t="shared" si="2"/>
        <v>0</v>
      </c>
      <c r="J10" s="12">
        <f t="shared" si="0"/>
        <v>0</v>
      </c>
      <c r="K10" s="4">
        <f t="shared" si="3"/>
        <v>0</v>
      </c>
    </row>
    <row r="11" spans="2:11" s="4" customFormat="1" ht="15" customHeight="1" x14ac:dyDescent="0.2">
      <c r="B11" s="16" t="s">
        <v>46</v>
      </c>
      <c r="C11" s="24">
        <v>235</v>
      </c>
      <c r="D11" s="17">
        <v>243</v>
      </c>
      <c r="E11" s="19"/>
      <c r="F11" s="18"/>
      <c r="G11" s="18">
        <f t="shared" si="1"/>
        <v>0</v>
      </c>
      <c r="H11" s="18">
        <v>1</v>
      </c>
      <c r="I11" s="18">
        <f t="shared" si="2"/>
        <v>0</v>
      </c>
      <c r="J11" s="12">
        <f t="shared" si="0"/>
        <v>0</v>
      </c>
      <c r="K11" s="4">
        <f t="shared" si="3"/>
        <v>0</v>
      </c>
    </row>
    <row r="12" spans="2:11" s="4" customFormat="1" ht="15" customHeight="1" x14ac:dyDescent="0.2">
      <c r="B12" s="16" t="s">
        <v>55</v>
      </c>
      <c r="C12" s="24">
        <v>150</v>
      </c>
      <c r="D12" s="17">
        <v>154</v>
      </c>
      <c r="E12" s="19">
        <v>100</v>
      </c>
      <c r="F12" s="18">
        <v>75</v>
      </c>
      <c r="G12" s="18">
        <f t="shared" si="1"/>
        <v>175</v>
      </c>
      <c r="H12" s="18">
        <v>1</v>
      </c>
      <c r="I12" s="18">
        <f t="shared" si="2"/>
        <v>175</v>
      </c>
      <c r="J12" s="12">
        <f t="shared" si="0"/>
        <v>15400</v>
      </c>
      <c r="K12" s="4">
        <f t="shared" si="3"/>
        <v>11550</v>
      </c>
    </row>
    <row r="13" spans="2:11" s="4" customFormat="1" ht="15" customHeight="1" x14ac:dyDescent="0.2">
      <c r="B13" s="16" t="s">
        <v>18</v>
      </c>
      <c r="C13" s="24">
        <v>270</v>
      </c>
      <c r="D13" s="17">
        <v>280</v>
      </c>
      <c r="E13" s="19"/>
      <c r="F13" s="18"/>
      <c r="G13" s="18">
        <f t="shared" si="1"/>
        <v>0</v>
      </c>
      <c r="H13" s="18">
        <v>1</v>
      </c>
      <c r="I13" s="18">
        <f t="shared" si="2"/>
        <v>0</v>
      </c>
      <c r="J13" s="12">
        <f t="shared" si="0"/>
        <v>0</v>
      </c>
      <c r="K13" s="4">
        <f t="shared" si="3"/>
        <v>0</v>
      </c>
    </row>
    <row r="14" spans="2:11" s="4" customFormat="1" ht="15" customHeight="1" x14ac:dyDescent="0.2">
      <c r="B14" s="14" t="s">
        <v>32</v>
      </c>
      <c r="C14" s="24">
        <v>265</v>
      </c>
      <c r="D14" s="17">
        <v>276</v>
      </c>
      <c r="E14" s="19"/>
      <c r="F14" s="18"/>
      <c r="G14" s="18">
        <f t="shared" si="1"/>
        <v>0</v>
      </c>
      <c r="H14" s="18">
        <v>1</v>
      </c>
      <c r="I14" s="18">
        <f t="shared" si="2"/>
        <v>0</v>
      </c>
      <c r="J14" s="12">
        <f t="shared" si="0"/>
        <v>0</v>
      </c>
      <c r="K14" s="4">
        <f t="shared" si="3"/>
        <v>0</v>
      </c>
    </row>
    <row r="15" spans="2:11" s="4" customFormat="1" ht="15" customHeight="1" x14ac:dyDescent="0.2">
      <c r="B15" s="16" t="s">
        <v>11</v>
      </c>
      <c r="C15" s="24">
        <v>175</v>
      </c>
      <c r="D15" s="17">
        <v>175</v>
      </c>
      <c r="E15" s="19">
        <v>20</v>
      </c>
      <c r="F15" s="18">
        <v>20</v>
      </c>
      <c r="G15" s="18">
        <f t="shared" si="1"/>
        <v>40</v>
      </c>
      <c r="H15" s="18">
        <v>1</v>
      </c>
      <c r="I15" s="18">
        <f t="shared" si="2"/>
        <v>40</v>
      </c>
      <c r="J15" s="12">
        <f t="shared" si="0"/>
        <v>3500</v>
      </c>
      <c r="K15" s="4">
        <f t="shared" si="3"/>
        <v>3500</v>
      </c>
    </row>
    <row r="16" spans="2:11" s="4" customFormat="1" ht="15" customHeight="1" x14ac:dyDescent="0.2">
      <c r="B16" s="16" t="s">
        <v>47</v>
      </c>
      <c r="C16" s="24">
        <v>205</v>
      </c>
      <c r="D16" s="17">
        <v>215</v>
      </c>
      <c r="E16" s="18">
        <v>40</v>
      </c>
      <c r="F16" s="18">
        <v>30</v>
      </c>
      <c r="G16" s="18">
        <f t="shared" si="1"/>
        <v>70</v>
      </c>
      <c r="H16" s="18">
        <v>1</v>
      </c>
      <c r="I16" s="18">
        <f t="shared" si="2"/>
        <v>70</v>
      </c>
      <c r="J16" s="12">
        <f t="shared" si="0"/>
        <v>8600</v>
      </c>
      <c r="K16" s="4">
        <f t="shared" si="3"/>
        <v>6450</v>
      </c>
    </row>
    <row r="17" spans="2:11" s="4" customFormat="1" ht="15" customHeight="1" x14ac:dyDescent="0.2">
      <c r="B17" s="16" t="s">
        <v>53</v>
      </c>
      <c r="C17" s="24">
        <v>235</v>
      </c>
      <c r="D17" s="17">
        <v>235</v>
      </c>
      <c r="E17" s="18">
        <v>5</v>
      </c>
      <c r="F17" s="18">
        <v>5</v>
      </c>
      <c r="G17" s="18">
        <f t="shared" si="1"/>
        <v>10</v>
      </c>
      <c r="H17" s="18">
        <v>1</v>
      </c>
      <c r="I17" s="18">
        <f t="shared" si="2"/>
        <v>10</v>
      </c>
      <c r="J17" s="12">
        <f t="shared" si="0"/>
        <v>1175</v>
      </c>
      <c r="K17" s="4">
        <f t="shared" si="3"/>
        <v>1175</v>
      </c>
    </row>
    <row r="18" spans="2:11" s="4" customFormat="1" ht="15" customHeight="1" x14ac:dyDescent="0.2">
      <c r="B18" s="14" t="s">
        <v>12</v>
      </c>
      <c r="C18" s="24">
        <v>205</v>
      </c>
      <c r="D18" s="17">
        <v>214</v>
      </c>
      <c r="E18" s="18"/>
      <c r="F18" s="18"/>
      <c r="G18" s="18">
        <f t="shared" si="1"/>
        <v>0</v>
      </c>
      <c r="H18" s="18">
        <v>1</v>
      </c>
      <c r="I18" s="18">
        <f t="shared" si="2"/>
        <v>0</v>
      </c>
      <c r="J18" s="12">
        <f t="shared" si="0"/>
        <v>0</v>
      </c>
      <c r="K18" s="4">
        <f t="shared" si="3"/>
        <v>0</v>
      </c>
    </row>
    <row r="19" spans="2:11" s="4" customFormat="1" ht="15" customHeight="1" x14ac:dyDescent="0.2">
      <c r="B19" s="14" t="s">
        <v>3</v>
      </c>
      <c r="C19" s="24">
        <v>150</v>
      </c>
      <c r="D19" s="17">
        <v>154</v>
      </c>
      <c r="E19" s="18">
        <v>100</v>
      </c>
      <c r="F19" s="18">
        <v>75</v>
      </c>
      <c r="G19" s="18">
        <f t="shared" si="1"/>
        <v>175</v>
      </c>
      <c r="H19" s="18">
        <v>1</v>
      </c>
      <c r="I19" s="18">
        <f t="shared" si="2"/>
        <v>175</v>
      </c>
      <c r="J19" s="12">
        <f t="shared" si="0"/>
        <v>15400</v>
      </c>
      <c r="K19" s="4">
        <f t="shared" si="3"/>
        <v>11550</v>
      </c>
    </row>
    <row r="20" spans="2:11" s="4" customFormat="1" ht="15" customHeight="1" x14ac:dyDescent="0.2">
      <c r="B20" s="20" t="s">
        <v>35</v>
      </c>
      <c r="C20" s="24"/>
      <c r="D20" s="17"/>
      <c r="E20" s="19"/>
      <c r="F20" s="18"/>
      <c r="G20" s="18">
        <f t="shared" si="1"/>
        <v>0</v>
      </c>
      <c r="H20" s="18">
        <v>1</v>
      </c>
      <c r="I20" s="18">
        <f t="shared" si="2"/>
        <v>0</v>
      </c>
      <c r="J20" s="12">
        <f t="shared" si="0"/>
        <v>0</v>
      </c>
      <c r="K20" s="4">
        <f t="shared" si="3"/>
        <v>0</v>
      </c>
    </row>
    <row r="21" spans="2:11" s="4" customFormat="1" ht="15" customHeight="1" x14ac:dyDescent="0.2">
      <c r="B21" s="16" t="s">
        <v>4</v>
      </c>
      <c r="C21" s="24">
        <v>150</v>
      </c>
      <c r="D21" s="17">
        <v>154</v>
      </c>
      <c r="E21" s="19"/>
      <c r="F21" s="18"/>
      <c r="G21" s="18">
        <f t="shared" si="1"/>
        <v>0</v>
      </c>
      <c r="H21" s="18">
        <v>1</v>
      </c>
      <c r="I21" s="18">
        <f t="shared" si="2"/>
        <v>0</v>
      </c>
      <c r="J21" s="12">
        <f t="shared" si="0"/>
        <v>0</v>
      </c>
      <c r="K21" s="4">
        <f t="shared" si="3"/>
        <v>0</v>
      </c>
    </row>
    <row r="22" spans="2:11" s="4" customFormat="1" ht="15" customHeight="1" x14ac:dyDescent="0.2">
      <c r="B22" s="16" t="s">
        <v>5</v>
      </c>
      <c r="C22" s="24">
        <v>150</v>
      </c>
      <c r="D22" s="17">
        <v>154</v>
      </c>
      <c r="E22" s="19"/>
      <c r="F22" s="18"/>
      <c r="G22" s="18">
        <f t="shared" si="1"/>
        <v>0</v>
      </c>
      <c r="H22" s="18">
        <v>1</v>
      </c>
      <c r="I22" s="18">
        <f t="shared" si="2"/>
        <v>0</v>
      </c>
      <c r="J22" s="12">
        <f t="shared" si="0"/>
        <v>0</v>
      </c>
      <c r="K22" s="4">
        <f t="shared" si="3"/>
        <v>0</v>
      </c>
    </row>
    <row r="23" spans="2:11" s="4" customFormat="1" ht="15" customHeight="1" x14ac:dyDescent="0.2">
      <c r="B23" s="14" t="s">
        <v>19</v>
      </c>
      <c r="C23" s="24">
        <v>270</v>
      </c>
      <c r="D23" s="17">
        <v>271</v>
      </c>
      <c r="E23" s="19">
        <v>15</v>
      </c>
      <c r="F23" s="18">
        <v>10</v>
      </c>
      <c r="G23" s="18">
        <f t="shared" si="1"/>
        <v>25</v>
      </c>
      <c r="H23" s="18">
        <v>1</v>
      </c>
      <c r="I23" s="18">
        <f t="shared" si="2"/>
        <v>25</v>
      </c>
      <c r="J23" s="12">
        <f t="shared" si="0"/>
        <v>4065</v>
      </c>
      <c r="K23" s="4">
        <f t="shared" si="3"/>
        <v>2710</v>
      </c>
    </row>
    <row r="24" spans="2:11" s="4" customFormat="1" ht="15" customHeight="1" x14ac:dyDescent="0.2">
      <c r="B24" s="14" t="s">
        <v>20</v>
      </c>
      <c r="C24" s="24">
        <v>265</v>
      </c>
      <c r="D24" s="17">
        <v>270</v>
      </c>
      <c r="E24" s="19">
        <v>10</v>
      </c>
      <c r="F24" s="18">
        <v>5</v>
      </c>
      <c r="G24" s="18">
        <f t="shared" si="1"/>
        <v>15</v>
      </c>
      <c r="H24" s="18">
        <v>1</v>
      </c>
      <c r="I24" s="18">
        <f t="shared" si="2"/>
        <v>15</v>
      </c>
      <c r="J24" s="12">
        <f t="shared" si="0"/>
        <v>2700</v>
      </c>
      <c r="K24" s="4">
        <f t="shared" si="3"/>
        <v>1350</v>
      </c>
    </row>
    <row r="25" spans="2:11" s="4" customFormat="1" ht="15" customHeight="1" x14ac:dyDescent="0.2">
      <c r="B25" s="14" t="s">
        <v>34</v>
      </c>
      <c r="C25" s="24"/>
      <c r="D25" s="17">
        <v>280</v>
      </c>
      <c r="E25" s="19">
        <v>10</v>
      </c>
      <c r="F25" s="18">
        <v>10</v>
      </c>
      <c r="G25" s="18">
        <f t="shared" si="1"/>
        <v>20</v>
      </c>
      <c r="H25" s="18">
        <v>1</v>
      </c>
      <c r="I25" s="18">
        <f t="shared" si="2"/>
        <v>20</v>
      </c>
      <c r="J25" s="12">
        <f t="shared" si="0"/>
        <v>2800</v>
      </c>
      <c r="K25" s="4">
        <f t="shared" si="3"/>
        <v>2800</v>
      </c>
    </row>
    <row r="26" spans="2:11" s="4" customFormat="1" ht="15" customHeight="1" x14ac:dyDescent="0.2">
      <c r="B26" s="16" t="s">
        <v>13</v>
      </c>
      <c r="C26" s="24">
        <v>315</v>
      </c>
      <c r="D26" s="17">
        <v>315</v>
      </c>
      <c r="E26" s="19">
        <v>10</v>
      </c>
      <c r="F26" s="18">
        <v>5</v>
      </c>
      <c r="G26" s="18">
        <f t="shared" si="1"/>
        <v>15</v>
      </c>
      <c r="H26" s="18">
        <v>1</v>
      </c>
      <c r="I26" s="18">
        <f t="shared" si="2"/>
        <v>15</v>
      </c>
      <c r="J26" s="12">
        <f t="shared" si="0"/>
        <v>3150</v>
      </c>
      <c r="K26" s="4">
        <f t="shared" si="3"/>
        <v>1575</v>
      </c>
    </row>
    <row r="27" spans="2:11" s="4" customFormat="1" ht="15" customHeight="1" x14ac:dyDescent="0.2">
      <c r="B27" s="14" t="s">
        <v>29</v>
      </c>
      <c r="C27" s="24">
        <v>210</v>
      </c>
      <c r="D27" s="17">
        <v>219</v>
      </c>
      <c r="E27" s="19">
        <v>15</v>
      </c>
      <c r="F27" s="18">
        <v>15</v>
      </c>
      <c r="G27" s="18">
        <f t="shared" si="1"/>
        <v>30</v>
      </c>
      <c r="H27" s="18">
        <v>1</v>
      </c>
      <c r="I27" s="18">
        <f t="shared" si="2"/>
        <v>30</v>
      </c>
      <c r="J27" s="12">
        <f t="shared" si="0"/>
        <v>3285</v>
      </c>
      <c r="K27" s="4">
        <f t="shared" si="3"/>
        <v>3285</v>
      </c>
    </row>
    <row r="28" spans="2:11" s="4" customFormat="1" ht="15" customHeight="1" x14ac:dyDescent="0.2">
      <c r="B28" s="14" t="s">
        <v>36</v>
      </c>
      <c r="C28" s="24">
        <v>275</v>
      </c>
      <c r="D28" s="17">
        <v>275</v>
      </c>
      <c r="E28" s="19">
        <v>10</v>
      </c>
      <c r="F28" s="18">
        <v>10</v>
      </c>
      <c r="G28" s="18">
        <f t="shared" si="1"/>
        <v>20</v>
      </c>
      <c r="H28" s="18">
        <v>1</v>
      </c>
      <c r="I28" s="18">
        <f t="shared" si="2"/>
        <v>20</v>
      </c>
      <c r="J28" s="12">
        <f t="shared" si="0"/>
        <v>2750</v>
      </c>
      <c r="K28" s="4">
        <f t="shared" si="3"/>
        <v>2750</v>
      </c>
    </row>
    <row r="29" spans="2:11" s="4" customFormat="1" ht="15" customHeight="1" x14ac:dyDescent="0.2">
      <c r="B29" s="16" t="s">
        <v>14</v>
      </c>
      <c r="C29" s="24">
        <v>255</v>
      </c>
      <c r="D29" s="17">
        <v>266</v>
      </c>
      <c r="E29" s="19">
        <v>35</v>
      </c>
      <c r="F29" s="18">
        <v>25</v>
      </c>
      <c r="G29" s="18">
        <f t="shared" si="1"/>
        <v>60</v>
      </c>
      <c r="H29" s="18">
        <v>1</v>
      </c>
      <c r="I29" s="18">
        <f t="shared" si="2"/>
        <v>60</v>
      </c>
      <c r="J29" s="12">
        <f t="shared" si="0"/>
        <v>9310</v>
      </c>
      <c r="K29" s="4">
        <f t="shared" si="3"/>
        <v>6650</v>
      </c>
    </row>
    <row r="30" spans="2:11" s="4" customFormat="1" ht="15" customHeight="1" x14ac:dyDescent="0.2">
      <c r="B30" s="14" t="s">
        <v>21</v>
      </c>
      <c r="C30" s="24"/>
      <c r="D30" s="17">
        <v>281</v>
      </c>
      <c r="E30" s="18">
        <v>15</v>
      </c>
      <c r="F30" s="18">
        <v>10</v>
      </c>
      <c r="G30" s="18">
        <f t="shared" si="1"/>
        <v>25</v>
      </c>
      <c r="H30" s="18">
        <v>1</v>
      </c>
      <c r="I30" s="18">
        <f t="shared" si="2"/>
        <v>25</v>
      </c>
      <c r="J30" s="12">
        <f t="shared" si="0"/>
        <v>4215</v>
      </c>
      <c r="K30" s="4">
        <f t="shared" si="3"/>
        <v>2810</v>
      </c>
    </row>
    <row r="31" spans="2:11" s="4" customFormat="1" ht="15" customHeight="1" x14ac:dyDescent="0.2">
      <c r="B31" s="14" t="s">
        <v>6</v>
      </c>
      <c r="C31" s="24">
        <v>260</v>
      </c>
      <c r="D31" s="17">
        <v>268</v>
      </c>
      <c r="E31" s="18">
        <v>70</v>
      </c>
      <c r="F31" s="18">
        <v>50</v>
      </c>
      <c r="G31" s="18">
        <f t="shared" si="1"/>
        <v>120</v>
      </c>
      <c r="H31" s="18">
        <v>1</v>
      </c>
      <c r="I31" s="18">
        <f t="shared" si="2"/>
        <v>120</v>
      </c>
      <c r="J31" s="12">
        <f t="shared" si="0"/>
        <v>18760</v>
      </c>
      <c r="K31" s="4">
        <f t="shared" si="3"/>
        <v>13400</v>
      </c>
    </row>
    <row r="32" spans="2:11" s="4" customFormat="1" ht="15" customHeight="1" x14ac:dyDescent="0.2">
      <c r="B32" s="20" t="s">
        <v>26</v>
      </c>
      <c r="C32" s="24"/>
      <c r="D32" s="17">
        <v>200</v>
      </c>
      <c r="E32" s="18"/>
      <c r="F32" s="18"/>
      <c r="G32" s="18">
        <f t="shared" si="1"/>
        <v>0</v>
      </c>
      <c r="H32" s="18">
        <v>1</v>
      </c>
      <c r="I32" s="18">
        <f t="shared" si="2"/>
        <v>0</v>
      </c>
      <c r="J32" s="12">
        <f t="shared" si="0"/>
        <v>0</v>
      </c>
      <c r="K32" s="4">
        <f t="shared" si="3"/>
        <v>0</v>
      </c>
    </row>
    <row r="33" spans="2:11" s="4" customFormat="1" ht="15" customHeight="1" x14ac:dyDescent="0.2">
      <c r="B33" s="16" t="s">
        <v>15</v>
      </c>
      <c r="C33" s="24">
        <v>150</v>
      </c>
      <c r="D33" s="17">
        <v>153</v>
      </c>
      <c r="E33" s="18"/>
      <c r="F33" s="18"/>
      <c r="G33" s="18">
        <f t="shared" si="1"/>
        <v>0</v>
      </c>
      <c r="H33" s="18">
        <v>1</v>
      </c>
      <c r="I33" s="18">
        <f t="shared" si="2"/>
        <v>0</v>
      </c>
      <c r="J33" s="12">
        <f t="shared" si="0"/>
        <v>0</v>
      </c>
      <c r="K33" s="4">
        <f t="shared" si="3"/>
        <v>0</v>
      </c>
    </row>
    <row r="34" spans="2:11" s="4" customFormat="1" ht="15" customHeight="1" x14ac:dyDescent="0.2">
      <c r="B34" s="16" t="s">
        <v>8</v>
      </c>
      <c r="C34" s="24">
        <v>245</v>
      </c>
      <c r="D34" s="17">
        <v>254</v>
      </c>
      <c r="E34" s="18"/>
      <c r="F34" s="18">
        <v>20</v>
      </c>
      <c r="G34" s="18">
        <f t="shared" si="1"/>
        <v>20</v>
      </c>
      <c r="H34" s="18">
        <v>1</v>
      </c>
      <c r="I34" s="18">
        <f t="shared" si="2"/>
        <v>20</v>
      </c>
      <c r="J34" s="12">
        <f t="shared" si="0"/>
        <v>0</v>
      </c>
      <c r="K34" s="4">
        <f t="shared" si="3"/>
        <v>5080</v>
      </c>
    </row>
    <row r="35" spans="2:11" s="4" customFormat="1" ht="15" customHeight="1" x14ac:dyDescent="0.2">
      <c r="B35" s="16" t="s">
        <v>37</v>
      </c>
      <c r="C35" s="24"/>
      <c r="D35" s="17">
        <v>190</v>
      </c>
      <c r="E35" s="18">
        <v>10</v>
      </c>
      <c r="F35" s="18">
        <v>10</v>
      </c>
      <c r="G35" s="18">
        <f t="shared" si="1"/>
        <v>20</v>
      </c>
      <c r="H35" s="18">
        <v>1</v>
      </c>
      <c r="I35" s="18">
        <f t="shared" si="2"/>
        <v>20</v>
      </c>
      <c r="J35" s="12">
        <f t="shared" si="0"/>
        <v>1900</v>
      </c>
      <c r="K35" s="4">
        <f t="shared" si="3"/>
        <v>1900</v>
      </c>
    </row>
    <row r="36" spans="2:11" s="4" customFormat="1" ht="15" customHeight="1" x14ac:dyDescent="0.2">
      <c r="B36" s="16" t="s">
        <v>22</v>
      </c>
      <c r="C36" s="24"/>
      <c r="D36" s="17"/>
      <c r="E36" s="19"/>
      <c r="F36" s="18"/>
      <c r="G36" s="18">
        <f t="shared" si="1"/>
        <v>0</v>
      </c>
      <c r="H36" s="18">
        <v>1</v>
      </c>
      <c r="I36" s="18">
        <f t="shared" si="2"/>
        <v>0</v>
      </c>
      <c r="J36" s="12">
        <f t="shared" ref="J36:J56" si="4">E36*D36</f>
        <v>0</v>
      </c>
      <c r="K36" s="4">
        <f t="shared" si="3"/>
        <v>0</v>
      </c>
    </row>
    <row r="37" spans="2:11" s="4" customFormat="1" ht="15" customHeight="1" x14ac:dyDescent="0.2">
      <c r="B37" s="16" t="s">
        <v>33</v>
      </c>
      <c r="C37" s="24">
        <v>210</v>
      </c>
      <c r="D37" s="17">
        <v>217</v>
      </c>
      <c r="E37" s="19"/>
      <c r="F37" s="18"/>
      <c r="G37" s="18">
        <f t="shared" si="1"/>
        <v>0</v>
      </c>
      <c r="H37" s="18">
        <v>1</v>
      </c>
      <c r="I37" s="18">
        <f t="shared" si="2"/>
        <v>0</v>
      </c>
      <c r="J37" s="12">
        <f t="shared" si="4"/>
        <v>0</v>
      </c>
      <c r="K37" s="4">
        <f t="shared" si="3"/>
        <v>0</v>
      </c>
    </row>
    <row r="38" spans="2:11" s="4" customFormat="1" ht="15" customHeight="1" x14ac:dyDescent="0.2">
      <c r="B38" s="16" t="s">
        <v>48</v>
      </c>
      <c r="C38" s="24"/>
      <c r="D38" s="27">
        <v>220</v>
      </c>
      <c r="E38" s="19"/>
      <c r="F38" s="18"/>
      <c r="G38" s="18">
        <f t="shared" si="1"/>
        <v>0</v>
      </c>
      <c r="H38" s="18">
        <v>1</v>
      </c>
      <c r="I38" s="18">
        <f t="shared" si="2"/>
        <v>0</v>
      </c>
      <c r="J38" s="12">
        <f t="shared" si="4"/>
        <v>0</v>
      </c>
      <c r="K38" s="4">
        <f t="shared" si="3"/>
        <v>0</v>
      </c>
    </row>
    <row r="39" spans="2:11" s="4" customFormat="1" ht="15" customHeight="1" x14ac:dyDescent="0.2">
      <c r="B39" s="16" t="s">
        <v>27</v>
      </c>
      <c r="C39" s="24"/>
      <c r="D39" s="17">
        <v>240</v>
      </c>
      <c r="E39" s="19"/>
      <c r="F39" s="18"/>
      <c r="G39" s="18">
        <f t="shared" si="1"/>
        <v>0</v>
      </c>
      <c r="H39" s="18">
        <v>1</v>
      </c>
      <c r="I39" s="18">
        <f t="shared" si="2"/>
        <v>0</v>
      </c>
      <c r="J39" s="12">
        <f t="shared" si="4"/>
        <v>0</v>
      </c>
      <c r="K39" s="4">
        <f t="shared" si="3"/>
        <v>0</v>
      </c>
    </row>
    <row r="40" spans="2:11" s="4" customFormat="1" ht="15" customHeight="1" x14ac:dyDescent="0.2">
      <c r="B40" s="16" t="s">
        <v>43</v>
      </c>
      <c r="C40" s="24">
        <v>240</v>
      </c>
      <c r="D40" s="17">
        <v>248</v>
      </c>
      <c r="E40" s="19">
        <v>40</v>
      </c>
      <c r="F40" s="18">
        <v>30</v>
      </c>
      <c r="G40" s="18">
        <f t="shared" si="1"/>
        <v>70</v>
      </c>
      <c r="H40" s="18">
        <v>1</v>
      </c>
      <c r="I40" s="18">
        <f t="shared" si="2"/>
        <v>70</v>
      </c>
      <c r="J40" s="12">
        <f t="shared" si="4"/>
        <v>9920</v>
      </c>
      <c r="K40" s="4">
        <f t="shared" si="3"/>
        <v>7440</v>
      </c>
    </row>
    <row r="41" spans="2:11" s="4" customFormat="1" ht="15" customHeight="1" x14ac:dyDescent="0.2">
      <c r="B41" s="16" t="s">
        <v>44</v>
      </c>
      <c r="C41" s="24">
        <v>255</v>
      </c>
      <c r="D41" s="17">
        <v>260</v>
      </c>
      <c r="E41" s="19">
        <v>30</v>
      </c>
      <c r="F41" s="18">
        <v>20</v>
      </c>
      <c r="G41" s="18">
        <f t="shared" si="1"/>
        <v>50</v>
      </c>
      <c r="H41" s="18">
        <v>1</v>
      </c>
      <c r="I41" s="18">
        <f t="shared" si="2"/>
        <v>50</v>
      </c>
      <c r="J41" s="12">
        <f t="shared" si="4"/>
        <v>7800</v>
      </c>
      <c r="K41" s="4">
        <f t="shared" si="3"/>
        <v>5200</v>
      </c>
    </row>
    <row r="42" spans="2:11" s="4" customFormat="1" ht="15" customHeight="1" x14ac:dyDescent="0.2">
      <c r="B42" s="16" t="s">
        <v>28</v>
      </c>
      <c r="C42" s="24">
        <v>240</v>
      </c>
      <c r="D42" s="17">
        <v>244</v>
      </c>
      <c r="E42" s="19">
        <v>40</v>
      </c>
      <c r="F42" s="18">
        <v>30</v>
      </c>
      <c r="G42" s="18">
        <f t="shared" si="1"/>
        <v>70</v>
      </c>
      <c r="H42" s="18">
        <v>1</v>
      </c>
      <c r="I42" s="18">
        <f t="shared" si="2"/>
        <v>70</v>
      </c>
      <c r="J42" s="12">
        <f t="shared" si="4"/>
        <v>9760</v>
      </c>
      <c r="K42" s="4">
        <f t="shared" si="3"/>
        <v>7320</v>
      </c>
    </row>
    <row r="43" spans="2:11" s="4" customFormat="1" ht="15" customHeight="1" x14ac:dyDescent="0.2">
      <c r="B43" s="16" t="s">
        <v>41</v>
      </c>
      <c r="C43" s="24">
        <v>185</v>
      </c>
      <c r="D43" s="17">
        <v>185</v>
      </c>
      <c r="E43" s="19">
        <v>50</v>
      </c>
      <c r="F43" s="18">
        <v>40</v>
      </c>
      <c r="G43" s="18">
        <f t="shared" si="1"/>
        <v>90</v>
      </c>
      <c r="H43" s="18">
        <v>1</v>
      </c>
      <c r="I43" s="18">
        <f t="shared" si="2"/>
        <v>90</v>
      </c>
      <c r="J43" s="12">
        <f t="shared" si="4"/>
        <v>9250</v>
      </c>
      <c r="K43" s="4">
        <f t="shared" si="3"/>
        <v>7400</v>
      </c>
    </row>
    <row r="44" spans="2:11" s="4" customFormat="1" ht="15" customHeight="1" x14ac:dyDescent="0.2">
      <c r="B44" s="16" t="s">
        <v>42</v>
      </c>
      <c r="C44" s="24"/>
      <c r="D44" s="17">
        <v>188</v>
      </c>
      <c r="E44" s="19"/>
      <c r="F44" s="18"/>
      <c r="G44" s="18">
        <f t="shared" si="1"/>
        <v>0</v>
      </c>
      <c r="H44" s="18">
        <v>1</v>
      </c>
      <c r="I44" s="18">
        <f t="shared" si="2"/>
        <v>0</v>
      </c>
      <c r="J44" s="12">
        <f t="shared" si="4"/>
        <v>0</v>
      </c>
      <c r="K44" s="4">
        <f t="shared" si="3"/>
        <v>0</v>
      </c>
    </row>
    <row r="45" spans="2:11" s="4" customFormat="1" ht="15" customHeight="1" x14ac:dyDescent="0.2">
      <c r="B45" s="20" t="s">
        <v>49</v>
      </c>
      <c r="C45" s="24"/>
      <c r="D45" s="17"/>
      <c r="E45" s="19"/>
      <c r="F45" s="18"/>
      <c r="G45" s="18">
        <f t="shared" si="1"/>
        <v>0</v>
      </c>
      <c r="H45" s="18">
        <f>VLOOKUP(B45,[1]Лист1!$B:$H,7,0)</f>
        <v>0</v>
      </c>
      <c r="I45" s="18">
        <f t="shared" si="2"/>
        <v>0</v>
      </c>
      <c r="J45" s="12">
        <f t="shared" si="4"/>
        <v>0</v>
      </c>
      <c r="K45" s="4">
        <f t="shared" si="3"/>
        <v>0</v>
      </c>
    </row>
    <row r="46" spans="2:11" s="4" customFormat="1" ht="15" customHeight="1" x14ac:dyDescent="0.2">
      <c r="B46" s="16" t="s">
        <v>51</v>
      </c>
      <c r="C46" s="24">
        <v>125</v>
      </c>
      <c r="D46" s="17">
        <v>127</v>
      </c>
      <c r="E46" s="19">
        <v>20</v>
      </c>
      <c r="F46" s="18">
        <v>20</v>
      </c>
      <c r="G46" s="18">
        <f t="shared" si="1"/>
        <v>40</v>
      </c>
      <c r="H46" s="18">
        <f>VLOOKUP(B46,[1]Лист1!$B:$H,7,0)</f>
        <v>0.45</v>
      </c>
      <c r="I46" s="18">
        <f t="shared" si="2"/>
        <v>18</v>
      </c>
      <c r="J46" s="12">
        <f t="shared" si="4"/>
        <v>2540</v>
      </c>
      <c r="K46" s="4">
        <f t="shared" si="3"/>
        <v>2540</v>
      </c>
    </row>
    <row r="47" spans="2:11" s="4" customFormat="1" ht="15" customHeight="1" x14ac:dyDescent="0.2">
      <c r="B47" s="16" t="s">
        <v>50</v>
      </c>
      <c r="C47" s="26">
        <v>125</v>
      </c>
      <c r="D47" s="17">
        <v>127</v>
      </c>
      <c r="E47" s="19">
        <v>20</v>
      </c>
      <c r="F47" s="18">
        <v>20</v>
      </c>
      <c r="G47" s="18">
        <f t="shared" si="1"/>
        <v>40</v>
      </c>
      <c r="H47" s="18">
        <f>VLOOKUP(B47,[1]Лист1!$B:$H,7,0)</f>
        <v>0.45</v>
      </c>
      <c r="I47" s="18">
        <f t="shared" si="2"/>
        <v>18</v>
      </c>
      <c r="J47" s="12">
        <f t="shared" si="4"/>
        <v>2540</v>
      </c>
      <c r="K47" s="4">
        <f t="shared" si="3"/>
        <v>2540</v>
      </c>
    </row>
    <row r="48" spans="2:11" s="4" customFormat="1" ht="15" customHeight="1" x14ac:dyDescent="0.2">
      <c r="B48" s="16" t="s">
        <v>24</v>
      </c>
      <c r="C48" s="26">
        <v>80</v>
      </c>
      <c r="D48" s="17">
        <v>82</v>
      </c>
      <c r="E48" s="19">
        <v>12</v>
      </c>
      <c r="F48" s="18">
        <v>6</v>
      </c>
      <c r="G48" s="18">
        <f t="shared" si="1"/>
        <v>18</v>
      </c>
      <c r="H48" s="18">
        <f>VLOOKUP(B48,[1]Лист1!$B:$H,7,0)</f>
        <v>0.35</v>
      </c>
      <c r="I48" s="18">
        <f t="shared" si="2"/>
        <v>6.3</v>
      </c>
      <c r="J48" s="12">
        <f t="shared" si="4"/>
        <v>984</v>
      </c>
      <c r="K48" s="4">
        <f t="shared" si="3"/>
        <v>492</v>
      </c>
    </row>
    <row r="49" spans="2:11" s="4" customFormat="1" ht="15" customHeight="1" x14ac:dyDescent="0.2">
      <c r="B49" s="16" t="s">
        <v>23</v>
      </c>
      <c r="C49" s="26">
        <v>75</v>
      </c>
      <c r="D49" s="17">
        <v>77</v>
      </c>
      <c r="E49" s="19">
        <v>30</v>
      </c>
      <c r="F49" s="18">
        <v>18</v>
      </c>
      <c r="G49" s="18">
        <f t="shared" si="1"/>
        <v>48</v>
      </c>
      <c r="H49" s="18">
        <f>VLOOKUP(B49,[1]Лист1!$B:$H,7,0)</f>
        <v>0.35</v>
      </c>
      <c r="I49" s="18">
        <f t="shared" si="2"/>
        <v>16.799999999999997</v>
      </c>
      <c r="J49" s="12">
        <f t="shared" si="4"/>
        <v>2310</v>
      </c>
      <c r="K49" s="4">
        <f t="shared" si="3"/>
        <v>1386</v>
      </c>
    </row>
    <row r="50" spans="2:11" s="4" customFormat="1" ht="15" customHeight="1" x14ac:dyDescent="0.2">
      <c r="B50" s="16" t="s">
        <v>30</v>
      </c>
      <c r="C50" s="26">
        <v>133</v>
      </c>
      <c r="D50" s="17">
        <v>136</v>
      </c>
      <c r="E50" s="19">
        <v>12</v>
      </c>
      <c r="F50" s="18">
        <v>6</v>
      </c>
      <c r="G50" s="18">
        <f t="shared" si="1"/>
        <v>18</v>
      </c>
      <c r="H50" s="18">
        <v>0.45</v>
      </c>
      <c r="I50" s="18">
        <f t="shared" si="2"/>
        <v>8.1</v>
      </c>
      <c r="J50" s="12">
        <f t="shared" si="4"/>
        <v>1632</v>
      </c>
      <c r="K50" s="4">
        <f t="shared" si="3"/>
        <v>816</v>
      </c>
    </row>
    <row r="51" spans="2:11" s="4" customFormat="1" ht="15" customHeight="1" x14ac:dyDescent="0.2">
      <c r="B51" s="16" t="s">
        <v>38</v>
      </c>
      <c r="C51" s="26">
        <v>90</v>
      </c>
      <c r="D51" s="17">
        <v>90</v>
      </c>
      <c r="E51" s="19">
        <v>6</v>
      </c>
      <c r="F51" s="18">
        <v>6</v>
      </c>
      <c r="G51" s="18">
        <f t="shared" si="1"/>
        <v>12</v>
      </c>
      <c r="H51" s="18">
        <v>0.4</v>
      </c>
      <c r="I51" s="18">
        <f t="shared" si="2"/>
        <v>4.8000000000000007</v>
      </c>
      <c r="J51" s="12">
        <f t="shared" si="4"/>
        <v>540</v>
      </c>
      <c r="K51" s="4">
        <f t="shared" si="3"/>
        <v>540</v>
      </c>
    </row>
    <row r="52" spans="2:11" s="4" customFormat="1" ht="15" customHeight="1" x14ac:dyDescent="0.2">
      <c r="B52" s="16" t="s">
        <v>25</v>
      </c>
      <c r="C52" s="26"/>
      <c r="D52" s="17"/>
      <c r="E52" s="19"/>
      <c r="F52" s="18"/>
      <c r="G52" s="18">
        <f t="shared" si="1"/>
        <v>0</v>
      </c>
      <c r="H52" s="18">
        <v>0.4</v>
      </c>
      <c r="I52" s="18">
        <f t="shared" si="2"/>
        <v>0</v>
      </c>
      <c r="J52" s="12">
        <f t="shared" si="4"/>
        <v>0</v>
      </c>
      <c r="K52" s="4">
        <f t="shared" si="3"/>
        <v>0</v>
      </c>
    </row>
    <row r="53" spans="2:11" s="4" customFormat="1" ht="15" customHeight="1" x14ac:dyDescent="0.2">
      <c r="B53" s="16" t="s">
        <v>31</v>
      </c>
      <c r="C53" s="26">
        <v>133</v>
      </c>
      <c r="D53" s="17">
        <v>136</v>
      </c>
      <c r="E53" s="19">
        <v>12</v>
      </c>
      <c r="F53" s="18">
        <v>6</v>
      </c>
      <c r="G53" s="18">
        <f t="shared" si="1"/>
        <v>18</v>
      </c>
      <c r="H53" s="18">
        <f>VLOOKUP(B53,[1]Лист1!$B:$H,7,0)</f>
        <v>0.45</v>
      </c>
      <c r="I53" s="18">
        <f t="shared" si="2"/>
        <v>8.1</v>
      </c>
      <c r="J53" s="12">
        <f t="shared" si="4"/>
        <v>1632</v>
      </c>
      <c r="K53" s="4">
        <f t="shared" si="3"/>
        <v>816</v>
      </c>
    </row>
    <row r="54" spans="2:11" s="4" customFormat="1" ht="15" customHeight="1" x14ac:dyDescent="0.2">
      <c r="B54" s="16" t="s">
        <v>54</v>
      </c>
      <c r="C54" s="26">
        <v>90</v>
      </c>
      <c r="D54" s="17">
        <v>94</v>
      </c>
      <c r="E54" s="19">
        <v>12</v>
      </c>
      <c r="F54" s="18">
        <v>12</v>
      </c>
      <c r="G54" s="18">
        <f t="shared" si="1"/>
        <v>24</v>
      </c>
      <c r="H54" s="18">
        <f>VLOOKUP(B54,[1]Лист1!$B:$H,7,0)</f>
        <v>0.4</v>
      </c>
      <c r="I54" s="18">
        <f t="shared" si="2"/>
        <v>9.6000000000000014</v>
      </c>
      <c r="J54" s="12">
        <f t="shared" si="4"/>
        <v>1128</v>
      </c>
      <c r="K54" s="4">
        <f t="shared" si="3"/>
        <v>1128</v>
      </c>
    </row>
    <row r="55" spans="2:11" s="4" customFormat="1" ht="15" customHeight="1" x14ac:dyDescent="0.2">
      <c r="B55" s="16" t="s">
        <v>39</v>
      </c>
      <c r="C55" s="26"/>
      <c r="D55" s="17"/>
      <c r="E55" s="19"/>
      <c r="F55" s="18"/>
      <c r="G55" s="18">
        <f t="shared" si="1"/>
        <v>0</v>
      </c>
      <c r="H55" s="18">
        <v>0.4</v>
      </c>
      <c r="I55" s="18">
        <f t="shared" si="2"/>
        <v>0</v>
      </c>
      <c r="J55" s="12">
        <f t="shared" si="4"/>
        <v>0</v>
      </c>
      <c r="K55" s="4">
        <f t="shared" si="3"/>
        <v>0</v>
      </c>
    </row>
    <row r="56" spans="2:11" s="4" customFormat="1" ht="15" customHeight="1" x14ac:dyDescent="0.2">
      <c r="B56" s="16" t="s">
        <v>40</v>
      </c>
      <c r="C56" s="26"/>
      <c r="D56" s="17"/>
      <c r="E56" s="19"/>
      <c r="F56" s="18"/>
      <c r="G56" s="18">
        <f t="shared" si="1"/>
        <v>0</v>
      </c>
      <c r="H56" s="18">
        <v>0.4</v>
      </c>
      <c r="I56" s="18">
        <f t="shared" si="2"/>
        <v>0</v>
      </c>
      <c r="J56" s="12">
        <f t="shared" si="4"/>
        <v>0</v>
      </c>
      <c r="K56" s="4">
        <f t="shared" si="3"/>
        <v>0</v>
      </c>
    </row>
    <row r="57" spans="2:11" s="1" customFormat="1" ht="15" customHeight="1" x14ac:dyDescent="0.25">
      <c r="B57" s="10"/>
      <c r="C57" s="23"/>
      <c r="D57" s="9"/>
      <c r="E57" s="7">
        <f>SUM(E4:E56)</f>
        <v>779</v>
      </c>
      <c r="F57" s="7">
        <f>SUM(F4:F56)</f>
        <v>604</v>
      </c>
      <c r="G57" s="7"/>
      <c r="H57" s="7"/>
      <c r="I57" s="18">
        <f>SUM(I4:I56)</f>
        <v>1254.6999999999996</v>
      </c>
      <c r="J57" s="13">
        <f>SUM(J4:J56)</f>
        <v>155986</v>
      </c>
      <c r="K57" s="1">
        <f>SUM(K4:K56)</f>
        <v>120623</v>
      </c>
    </row>
  </sheetData>
  <pageMargins left="0.41666666666666669" right="0.29166666666666669" top="0.24" bottom="0.43" header="0.12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2025-11-20T05:54:32Z</dcterms:modified>
</cp:coreProperties>
</file>