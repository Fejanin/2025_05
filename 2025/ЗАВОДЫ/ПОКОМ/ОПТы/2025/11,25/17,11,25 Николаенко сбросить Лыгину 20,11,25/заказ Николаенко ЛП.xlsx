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3AA0594-0EC3-4129-BE93-6778D7C30D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6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Y234" i="1" s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Z88" i="1"/>
  <c r="BP86" i="1"/>
  <c r="BN86" i="1"/>
  <c r="Z86" i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9" i="1"/>
  <c r="Y148" i="1"/>
  <c r="BP145" i="1"/>
  <c r="BN145" i="1"/>
  <c r="Z145" i="1"/>
  <c r="H9" i="1"/>
  <c r="Y24" i="1"/>
  <c r="Y44" i="1"/>
  <c r="Y57" i="1"/>
  <c r="Z63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Z187" i="1"/>
  <c r="E499" i="1"/>
  <c r="Y89" i="1"/>
  <c r="H499" i="1"/>
  <c r="Y142" i="1"/>
  <c r="Z147" i="1"/>
  <c r="BN147" i="1"/>
  <c r="I499" i="1"/>
  <c r="Y159" i="1"/>
  <c r="Z162" i="1"/>
  <c r="Z171" i="1" s="1"/>
  <c r="BN162" i="1"/>
  <c r="BP162" i="1"/>
  <c r="Z164" i="1"/>
  <c r="BN164" i="1"/>
  <c r="Z165" i="1"/>
  <c r="BN165" i="1"/>
  <c r="Z167" i="1"/>
  <c r="BN167" i="1"/>
  <c r="Z169" i="1"/>
  <c r="BN169" i="1"/>
  <c r="Z175" i="1"/>
  <c r="Z177" i="1" s="1"/>
  <c r="BN175" i="1"/>
  <c r="BP175" i="1"/>
  <c r="J499" i="1"/>
  <c r="Z186" i="1"/>
  <c r="BN186" i="1"/>
  <c r="BP186" i="1"/>
  <c r="Y187" i="1"/>
  <c r="Z190" i="1"/>
  <c r="Z192" i="1" s="1"/>
  <c r="BN190" i="1"/>
  <c r="BP190" i="1"/>
  <c r="Y193" i="1"/>
  <c r="Z196" i="1"/>
  <c r="Z203" i="1" s="1"/>
  <c r="BN196" i="1"/>
  <c r="BP196" i="1"/>
  <c r="Z198" i="1"/>
  <c r="BN198" i="1"/>
  <c r="Z200" i="1"/>
  <c r="BN200" i="1"/>
  <c r="Z202" i="1"/>
  <c r="BN202" i="1"/>
  <c r="Z206" i="1"/>
  <c r="BN206" i="1"/>
  <c r="BP206" i="1"/>
  <c r="Z208" i="1"/>
  <c r="BN208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Z250" i="1" s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Z274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BP322" i="1"/>
  <c r="BN322" i="1"/>
  <c r="Z322" i="1"/>
  <c r="Z325" i="1" s="1"/>
  <c r="BP330" i="1"/>
  <c r="BN330" i="1"/>
  <c r="Z330" i="1"/>
  <c r="Y332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234" i="1"/>
  <c r="Z312" i="1"/>
  <c r="Z267" i="1"/>
  <c r="Z215" i="1"/>
  <c r="Z103" i="1"/>
  <c r="Z43" i="1"/>
  <c r="Z494" i="1" s="1"/>
  <c r="Z31" i="1"/>
  <c r="Y491" i="1"/>
  <c r="Z438" i="1"/>
  <c r="Z447" i="1"/>
  <c r="Z432" i="1"/>
  <c r="Z350" i="1"/>
  <c r="Z331" i="1"/>
  <c r="Y489" i="1"/>
  <c r="Z148" i="1"/>
  <c r="Z76" i="1"/>
  <c r="Y493" i="1"/>
  <c r="Y490" i="1"/>
  <c r="Y492" i="1" s="1"/>
</calcChain>
</file>

<file path=xl/sharedStrings.xml><?xml version="1.0" encoding="utf-8"?>
<sst xmlns="http://schemas.openxmlformats.org/spreadsheetml/2006/main" count="2227" uniqueCount="763">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</sst>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45984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0.375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88</v>
      </c>
      <c r="B29" s="54" t="s">
        <v>89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18</v>
      </c>
      <c r="Y56" s="542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135</v>
      </c>
      <c r="AG56" s="64"/>
      <c r="AJ56" s="68" t="s">
        <v>80</v>
      </c>
      <c r="AK56" s="68">
        <v>54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</v>
      </c>
      <c r="Y57" s="543">
        <f>IFERROR(Y51/H51,"0")+IFERROR(Y52/H52,"0")+IFERROR(Y53/H53,"0")+IFERROR(Y54/H54,"0")+IFERROR(Y55/H55,"0")+IFERROR(Y56/H56,"0")</f>
        <v>4</v>
      </c>
      <c r="Z57" s="543">
        <f>IFERROR(IF(Z51="",0,Z51),"0")+IFERROR(IF(Z52="",0,Z52),"0")+IFERROR(IF(Z53="",0,Z53),"0")+IFERROR(IF(Z54="",0,Z54),"0")+IFERROR(IF(Z55="",0,Z55),"0")+IFERROR(IF(Z56="",0,Z56),"0")</f>
        <v>3.6080000000000001E-2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18</v>
      </c>
      <c r="Y58" s="543">
        <f>IFERROR(SUM(Y51:Y56),"0")</f>
        <v>18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18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174</v>
      </c>
      <c r="AG87" s="64"/>
      <c r="AJ87" s="68" t="s">
        <v>80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3.6080000000000001E-2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18</v>
      </c>
      <c r="Y89" s="543">
        <f>IFERROR(SUM(Y85:Y87),"0")</f>
        <v>18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</v>
      </c>
      <c r="Y91" s="542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181</v>
      </c>
      <c r="AG91" s="64"/>
      <c r="AJ91" s="68"/>
      <c r="AK91" s="68">
        <v>0</v>
      </c>
      <c r="BB91" s="134" t="s">
        <v>1</v>
      </c>
      <c r="BM91" s="64">
        <f>IFERROR(X91*I91/H91,"0")</f>
        <v>21.219753086419754</v>
      </c>
      <c r="BN91" s="64">
        <f>IFERROR(Y91*I91/H91,"0")</f>
        <v>25.781999999999996</v>
      </c>
      <c r="BO91" s="64">
        <f>IFERROR(1/J91*(X91/H91),"0")</f>
        <v>3.8580246913580252E-2</v>
      </c>
      <c r="BP91" s="64">
        <f>IFERROR(1/J91*(Y91/H91),"0")</f>
        <v>4.6875E-2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8.1</v>
      </c>
      <c r="Y93" s="542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8.8559999999999981</v>
      </c>
      <c r="BN93" s="64">
        <f>IFERROR(Y93*I93/H93,"0")</f>
        <v>8.8560000000000016</v>
      </c>
      <c r="BO93" s="64">
        <f>IFERROR(1/J93*(X93/H93),"0")</f>
        <v>1.6483516483516484E-2</v>
      </c>
      <c r="BP93" s="64">
        <f>IFERROR(1/J93*(Y93/H93),"0")</f>
        <v>1.6483516483516487E-2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5.4691358024691361</v>
      </c>
      <c r="Y95" s="543">
        <f>IFERROR(Y91/H91,"0")+IFERROR(Y92/H92,"0")+IFERROR(Y93/H93,"0")+IFERROR(Y94/H94,"0")</f>
        <v>6</v>
      </c>
      <c r="Z95" s="543">
        <f>IFERROR(IF(Z91="",0,Z91),"0")+IFERROR(IF(Z92="",0,Z92),"0")+IFERROR(IF(Z93="",0,Z93),"0")+IFERROR(IF(Z94="",0,Z94),"0")</f>
        <v>7.647000000000001E-2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28.1</v>
      </c>
      <c r="Y96" s="543">
        <f>IFERROR(SUM(Y91:Y94),"0")</f>
        <v>32.4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78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120</v>
      </c>
      <c r="Y112" s="542">
        <f>IFERROR(IF(X112="",0,CEILING((X112/$H112),1)*$H112),"")</f>
        <v>121.5</v>
      </c>
      <c r="Z112" s="36">
        <f>IFERROR(IF(Y112=0,"",ROUNDUP(Y112/H112,0)*0.01898),"")</f>
        <v>0.28470000000000001</v>
      </c>
      <c r="AA112" s="56"/>
      <c r="AB112" s="57"/>
      <c r="AC112" s="155" t="s">
        <v>209</v>
      </c>
      <c r="AG112" s="64"/>
      <c r="AJ112" s="68"/>
      <c r="AK112" s="68">
        <v>0</v>
      </c>
      <c r="BB112" s="156" t="s">
        <v>1</v>
      </c>
      <c r="BM112" s="64">
        <f>IFERROR(X112*I112/H112,"0")</f>
        <v>127.22962962962963</v>
      </c>
      <c r="BN112" s="64">
        <f>IFERROR(Y112*I112/H112,"0")</f>
        <v>128.82</v>
      </c>
      <c r="BO112" s="64">
        <f>IFERROR(1/J112*(X112/H112),"0")</f>
        <v>0.23148148148148148</v>
      </c>
      <c r="BP112" s="64">
        <f>IFERROR(1/J112*(Y112/H112),"0")</f>
        <v>0.234375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8.1</v>
      </c>
      <c r="Y114" s="542">
        <f>IFERROR(IF(X114="",0,CEILING((X114/$H114),1)*$H114),"")</f>
        <v>8.1000000000000014</v>
      </c>
      <c r="Z114" s="36">
        <f>IFERROR(IF(Y114=0,"",ROUNDUP(Y114/H114,0)*0.00651),"")</f>
        <v>1.9529999999999999E-2</v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8.8559999999999981</v>
      </c>
      <c r="BN114" s="64">
        <f>IFERROR(Y114*I114/H114,"0")</f>
        <v>8.8560000000000016</v>
      </c>
      <c r="BO114" s="64">
        <f>IFERROR(1/J114*(X114/H114),"0")</f>
        <v>1.6483516483516484E-2</v>
      </c>
      <c r="BP114" s="64">
        <f>IFERROR(1/J114*(Y114/H114),"0")</f>
        <v>1.6483516483516487E-2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17.814814814814813</v>
      </c>
      <c r="Y116" s="543">
        <f>IFERROR(Y112/H112,"0")+IFERROR(Y113/H113,"0")+IFERROR(Y114/H114,"0")+IFERROR(Y115/H115,"0")</f>
        <v>18</v>
      </c>
      <c r="Z116" s="543">
        <f>IFERROR(IF(Z112="",0,Z112),"0")+IFERROR(IF(Z113="",0,Z113),"0")+IFERROR(IF(Z114="",0,Z114),"0")+IFERROR(IF(Z115="",0,Z115),"0")</f>
        <v>0.30423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128.1</v>
      </c>
      <c r="Y117" s="543">
        <f>IFERROR(SUM(Y112:Y115),"0")</f>
        <v>129.6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/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78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80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20</v>
      </c>
      <c r="Y162" s="542">
        <f t="shared" si="5"/>
        <v>21</v>
      </c>
      <c r="Z162" s="36">
        <f>IFERROR(IF(Y162=0,"",ROUNDUP(Y162/H162,0)*0.00902),"")</f>
        <v>4.5100000000000001E-2</v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21.19047619047619</v>
      </c>
      <c r="BN162" s="64">
        <f t="shared" si="7"/>
        <v>22.25</v>
      </c>
      <c r="BO162" s="64">
        <f t="shared" si="8"/>
        <v>3.6075036075036072E-2</v>
      </c>
      <c r="BP162" s="64">
        <f t="shared" si="9"/>
        <v>3.787878787878788E-2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25</v>
      </c>
      <c r="Y163" s="542">
        <f t="shared" si="5"/>
        <v>25.200000000000003</v>
      </c>
      <c r="Z163" s="36">
        <f>IFERROR(IF(Y163=0,"",ROUNDUP(Y163/H163,0)*0.00902),"")</f>
        <v>5.4120000000000001E-2</v>
      </c>
      <c r="AA163" s="56"/>
      <c r="AB163" s="57"/>
      <c r="AC163" s="195" t="s">
        <v>264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26.130952380952376</v>
      </c>
      <c r="BN163" s="64">
        <f t="shared" si="7"/>
        <v>26.34</v>
      </c>
      <c r="BO163" s="64">
        <f t="shared" si="8"/>
        <v>4.5093795093795096E-2</v>
      </c>
      <c r="BP163" s="64">
        <f t="shared" si="9"/>
        <v>4.5454545454545456E-2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10.714285714285715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11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9.9220000000000003E-2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45</v>
      </c>
      <c r="Y172" s="543">
        <f>IFERROR(SUM(Y161:Y170),"0")</f>
        <v>46.2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70</v>
      </c>
      <c r="Y195" s="542">
        <f t="shared" ref="Y195:Y202" si="10">IFERROR(IF(X195="",0,CEILING((X195/$H195),1)*$H195),"")</f>
        <v>70.2</v>
      </c>
      <c r="Z195" s="36">
        <f>IFERROR(IF(Y195=0,"",ROUNDUP(Y195/H195,0)*0.00902),"")</f>
        <v>0.11726</v>
      </c>
      <c r="AA195" s="56"/>
      <c r="AB195" s="57"/>
      <c r="AC195" s="227" t="s">
        <v>310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72.462962962962962</v>
      </c>
      <c r="BN195" s="64">
        <f t="shared" ref="BN195:BN202" si="12">IFERROR(Y195*I195/H195,"0")</f>
        <v>72.67</v>
      </c>
      <c r="BO195" s="64">
        <f t="shared" ref="BO195:BO202" si="13">IFERROR(1/J195*(X195/H195),"0")</f>
        <v>9.8204264870931535E-2</v>
      </c>
      <c r="BP195" s="64">
        <f t="shared" ref="BP195:BP202" si="14">IFERROR(1/J195*(Y195/H195),"0")</f>
        <v>9.8484848484848481E-2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70</v>
      </c>
      <c r="Y198" s="542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273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35.185185185185183</v>
      </c>
      <c r="Y203" s="543">
        <f>IFERROR(Y195/H195,"0")+IFERROR(Y196/H196,"0")+IFERROR(Y197/H197,"0")+IFERROR(Y198/H198,"0")+IFERROR(Y199/H199,"0")+IFERROR(Y200/H200,"0")+IFERROR(Y201/H201,"0")+IFERROR(Y202/H202,"0")</f>
        <v>36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0.32472000000000001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190</v>
      </c>
      <c r="Y204" s="543">
        <f>IFERROR(SUM(Y195:Y202),"0")</f>
        <v>194.4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330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9.6000000000000014</v>
      </c>
      <c r="Y211" s="542">
        <f t="shared" si="15"/>
        <v>9.6</v>
      </c>
      <c r="Z211" s="36">
        <f t="shared" si="20"/>
        <v>2.6040000000000001E-2</v>
      </c>
      <c r="AA211" s="56"/>
      <c r="AB211" s="57"/>
      <c r="AC211" s="253" t="s">
        <v>336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10.608000000000002</v>
      </c>
      <c r="BN211" s="64">
        <f t="shared" si="17"/>
        <v>10.608000000000001</v>
      </c>
      <c r="BO211" s="64">
        <f t="shared" si="18"/>
        <v>2.1978021978021983E-2</v>
      </c>
      <c r="BP211" s="64">
        <f t="shared" si="19"/>
        <v>2.197802197802198E-2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6.0000000000000018</v>
      </c>
      <c r="Y215" s="543">
        <f>IFERROR(Y206/H206,"0")+IFERROR(Y207/H207,"0")+IFERROR(Y208/H208,"0")+IFERROR(Y209/H209,"0")+IFERROR(Y210/H210,"0")+IFERROR(Y211/H211,"0")+IFERROR(Y212/H212,"0")+IFERROR(Y213/H213,"0")+IFERROR(Y214/H214,"0")</f>
        <v>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3.9059999999999997E-2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14.400000000000002</v>
      </c>
      <c r="Y216" s="543">
        <f>IFERROR(SUM(Y206:Y214),"0")</f>
        <v>14.399999999999999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90</v>
      </c>
      <c r="Y256" s="542">
        <f>IFERROR(IF(X256="",0,CEILING((X256/$H256),1)*$H256),"")</f>
        <v>97.2</v>
      </c>
      <c r="Z256" s="36">
        <f>IFERROR(IF(Y256=0,"",ROUNDUP(Y256/H256,0)*0.01898),"")</f>
        <v>0.17082</v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93.416666666666671</v>
      </c>
      <c r="BN256" s="64">
        <f>IFERROR(Y256*I256/H256,"0")</f>
        <v>100.89</v>
      </c>
      <c r="BO256" s="64">
        <f>IFERROR(1/J256*(X256/H256),"0")</f>
        <v>0.13020833333333331</v>
      </c>
      <c r="BP256" s="64">
        <f>IFERROR(1/J256*(Y256/H256),"0")</f>
        <v>0.140625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8.3333333333333321</v>
      </c>
      <c r="Y259" s="543">
        <f>IFERROR(Y254/H254,"0")+IFERROR(Y255/H255,"0")+IFERROR(Y256/H256,"0")+IFERROR(Y257/H257,"0")+IFERROR(Y258/H258,"0")</f>
        <v>9</v>
      </c>
      <c r="Z259" s="543">
        <f>IFERROR(IF(Z254="",0,Z254),"0")+IFERROR(IF(Z255="",0,Z255),"0")+IFERROR(IF(Z256="",0,Z256),"0")+IFERROR(IF(Z257="",0,Z257),"0")+IFERROR(IF(Z258="",0,Z258),"0")</f>
        <v>0.17082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90</v>
      </c>
      <c r="Y260" s="543">
        <f>IFERROR(SUM(Y254:Y258),"0")</f>
        <v>97.2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78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78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80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77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80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4.7619047619047619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4.5100000000000001E-2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20</v>
      </c>
      <c r="Y306" s="543">
        <f>IFERROR(SUM(Y298:Y304),"0")</f>
        <v>21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78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3.8461538461538463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30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16.8</v>
      </c>
      <c r="Y336" s="542">
        <f>IFERROR(IF(X336="",0,CEILING((X336/$H336),1)*$H336),"")</f>
        <v>16.8</v>
      </c>
      <c r="Z336" s="36">
        <f>IFERROR(IF(Y336=0,"",ROUNDUP(Y336/H336,0)*0.00651),"")</f>
        <v>5.2080000000000001E-2</v>
      </c>
      <c r="AA336" s="56"/>
      <c r="AB336" s="57"/>
      <c r="AC336" s="387" t="s">
        <v>531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18.815999999999999</v>
      </c>
      <c r="BN336" s="64">
        <f>IFERROR(Y336*I336/H336,"0")</f>
        <v>18.815999999999999</v>
      </c>
      <c r="BO336" s="64">
        <f>IFERROR(1/J336*(X336/H336),"0")</f>
        <v>4.3956043956043959E-2</v>
      </c>
      <c r="BP336" s="64">
        <f>IFERROR(1/J336*(Y336/H336),"0")</f>
        <v>4.3956043956043959E-2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534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11</v>
      </c>
      <c r="Y338" s="543">
        <f>IFERROR(Y335/H335,"0")+IFERROR(Y336/H336,"0")+IFERROR(Y337/H337,"0")</f>
        <v>11</v>
      </c>
      <c r="Z338" s="543">
        <f>IFERROR(IF(Z335="",0,Z335),"0")+IFERROR(IF(Z336="",0,Z336),"0")+IFERROR(IF(Z337="",0,Z337),"0")</f>
        <v>7.1610000000000007E-2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23.1</v>
      </c>
      <c r="Y339" s="543">
        <f>IFERROR(SUM(Y335:Y337),"0")</f>
        <v>23.1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175</v>
      </c>
      <c r="Y343" s="542">
        <f t="shared" ref="Y343:Y349" si="36">IFERROR(IF(X343="",0,CEILING((X343/$H343),1)*$H343),"")</f>
        <v>180</v>
      </c>
      <c r="Z343" s="36">
        <f>IFERROR(IF(Y343=0,"",ROUNDUP(Y343/H343,0)*0.02175),"")</f>
        <v>0.26100000000000001</v>
      </c>
      <c r="AA343" s="56"/>
      <c r="AB343" s="57"/>
      <c r="AC343" s="391" t="s">
        <v>539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180.48333333333332</v>
      </c>
      <c r="BN343" s="64">
        <f t="shared" ref="BN343:BN349" si="38">IFERROR(Y343*I343/H343,"0")</f>
        <v>185.64</v>
      </c>
      <c r="BO343" s="64">
        <f t="shared" ref="BO343:BO349" si="39">IFERROR(1/J343*(X343/H343),"0")</f>
        <v>0.24305555555555552</v>
      </c>
      <c r="BP343" s="64">
        <f t="shared" ref="BP343:BP349" si="40">IFERROR(1/J343*(Y343/H343),"0")</f>
        <v>0.25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80</v>
      </c>
      <c r="AK344" s="68">
        <v>120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175</v>
      </c>
      <c r="Y345" s="542">
        <f t="shared" si="36"/>
        <v>180</v>
      </c>
      <c r="Z345" s="36">
        <f>IFERROR(IF(Y345=0,"",ROUNDUP(Y345/H345,0)*0.02175),"")</f>
        <v>0.26100000000000001</v>
      </c>
      <c r="AA345" s="56"/>
      <c r="AB345" s="57"/>
      <c r="AC345" s="395" t="s">
        <v>545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180.48333333333332</v>
      </c>
      <c r="BN345" s="64">
        <f t="shared" si="38"/>
        <v>185.64</v>
      </c>
      <c r="BO345" s="64">
        <f t="shared" si="39"/>
        <v>0.24305555555555552</v>
      </c>
      <c r="BP345" s="64">
        <f t="shared" si="40"/>
        <v>0.25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23.333333333333332</v>
      </c>
      <c r="Y350" s="543">
        <f>IFERROR(Y343/H343,"0")+IFERROR(Y344/H344,"0")+IFERROR(Y345/H345,"0")+IFERROR(Y346/H346,"0")+IFERROR(Y347/H347,"0")+IFERROR(Y348/H348,"0")+IFERROR(Y349/H349,"0")</f>
        <v>24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0.52200000000000002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350</v>
      </c>
      <c r="Y351" s="543">
        <f>IFERROR(SUM(Y343:Y349),"0")</f>
        <v>360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105</v>
      </c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80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40</v>
      </c>
      <c r="Y368" s="542">
        <f>IFERROR(IF(X368="",0,CEILING((X368/$H368),1)*$H368),"")</f>
        <v>48</v>
      </c>
      <c r="Z368" s="36">
        <f>IFERROR(IF(Y368=0,"",ROUNDUP(Y368/H368,0)*0.01898),"")</f>
        <v>7.5920000000000001E-2</v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41.366666666666667</v>
      </c>
      <c r="BN368" s="64">
        <f>IFERROR(Y368*I368/H368,"0")</f>
        <v>49.640000000000008</v>
      </c>
      <c r="BO368" s="64">
        <f>IFERROR(1/J368*(X368/H368),"0")</f>
        <v>5.2083333333333336E-2</v>
      </c>
      <c r="BP368" s="64">
        <f>IFERROR(1/J368*(Y368/H368),"0")</f>
        <v>6.25E-2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3.3333333333333335</v>
      </c>
      <c r="Y370" s="543">
        <f>IFERROR(Y368/H368,"0")+IFERROR(Y369/H369,"0")</f>
        <v>4</v>
      </c>
      <c r="Z370" s="543">
        <f>IFERROR(IF(Z368="",0,Z368),"0")+IFERROR(IF(Z369="",0,Z369),"0")</f>
        <v>7.5920000000000001E-2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40</v>
      </c>
      <c r="Y371" s="543">
        <f>IFERROR(SUM(Y368:Y369),"0")</f>
        <v>48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20</v>
      </c>
      <c r="Y378" s="542">
        <f>IFERROR(IF(X378="",0,CEILING((X378/$H378),1)*$H378),"")</f>
        <v>27</v>
      </c>
      <c r="Z378" s="36">
        <f>IFERROR(IF(Y378=0,"",ROUNDUP(Y378/H378,0)*0.01898),"")</f>
        <v>5.6940000000000004E-2</v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21.097777777777779</v>
      </c>
      <c r="BN378" s="64">
        <f>IFERROR(Y378*I378/H378,"0")</f>
        <v>28.481999999999996</v>
      </c>
      <c r="BO378" s="64">
        <f>IFERROR(1/J378*(X378/H378),"0")</f>
        <v>3.4722222222222224E-2</v>
      </c>
      <c r="BP378" s="64">
        <f>IFERROR(1/J378*(Y378/H378),"0")</f>
        <v>4.6875E-2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2.2222222222222223</v>
      </c>
      <c r="Y380" s="543">
        <f>IFERROR(Y378/H378,"0")+IFERROR(Y379/H379,"0")</f>
        <v>3</v>
      </c>
      <c r="Z380" s="543">
        <f>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20</v>
      </c>
      <c r="Y381" s="543">
        <f>IFERROR(SUM(Y378:Y379),"0")</f>
        <v>27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15</v>
      </c>
      <c r="Y385" s="542">
        <f t="shared" ref="Y385:Y393" si="41">IFERROR(IF(X385="",0,CEILING((X385/$H385),1)*$H385),"")</f>
        <v>16.200000000000003</v>
      </c>
      <c r="Z385" s="36">
        <f>IFERROR(IF(Y385=0,"",ROUNDUP(Y385/H385,0)*0.00902),"")</f>
        <v>2.7060000000000001E-2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15.527777777777775</v>
      </c>
      <c r="BN385" s="64">
        <f t="shared" ref="BN385:BN393" si="43">IFERROR(Y385*I385/H385,"0")</f>
        <v>16.77</v>
      </c>
      <c r="BO385" s="64">
        <f t="shared" ref="BO385:BO393" si="44">IFERROR(1/J385*(X385/H385),"0")</f>
        <v>2.1043771043771045E-2</v>
      </c>
      <c r="BP385" s="64">
        <f t="shared" ref="BP385:BP393" si="45">IFERROR(1/J385*(Y385/H385),"0")</f>
        <v>2.2727272727272731E-2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45</v>
      </c>
      <c r="Y387" s="542">
        <f t="shared" si="41"/>
        <v>48.6</v>
      </c>
      <c r="Z387" s="36">
        <f>IFERROR(IF(Y387=0,"",ROUNDUP(Y387/H387,0)*0.00902),"")</f>
        <v>8.1180000000000002E-2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46.583333333333329</v>
      </c>
      <c r="BN387" s="64">
        <f t="shared" si="43"/>
        <v>50.309999999999995</v>
      </c>
      <c r="BO387" s="64">
        <f t="shared" si="44"/>
        <v>6.3131313131313122E-2</v>
      </c>
      <c r="BP387" s="64">
        <f t="shared" si="45"/>
        <v>6.8181818181818177E-2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273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11.111111111111111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0.10824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60</v>
      </c>
      <c r="Y395" s="543">
        <f>IFERROR(SUM(Y385:Y393),"0")</f>
        <v>64.800000000000011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</v>
      </c>
      <c r="Y423" s="542">
        <f t="shared" si="47"/>
        <v>10.56</v>
      </c>
      <c r="Z423" s="36">
        <f t="shared" si="48"/>
        <v>2.392E-2</v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10.662878787878787</v>
      </c>
      <c r="BN423" s="64">
        <f t="shared" si="50"/>
        <v>11.26</v>
      </c>
      <c r="BO423" s="64">
        <f t="shared" si="51"/>
        <v>1.8210955710955712E-2</v>
      </c>
      <c r="BP423" s="64">
        <f t="shared" si="52"/>
        <v>1.9230769230769232E-2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70</v>
      </c>
      <c r="Y424" s="542">
        <f t="shared" si="47"/>
        <v>73.92</v>
      </c>
      <c r="Z424" s="36">
        <f t="shared" si="48"/>
        <v>0.16744000000000001</v>
      </c>
      <c r="AA424" s="56"/>
      <c r="AB424" s="57"/>
      <c r="AC424" s="467" t="s">
        <v>648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74.640151515151501</v>
      </c>
      <c r="BN424" s="64">
        <f t="shared" si="50"/>
        <v>78.819999999999993</v>
      </c>
      <c r="BO424" s="64">
        <f t="shared" si="51"/>
        <v>0.12747668997668998</v>
      </c>
      <c r="BP424" s="64">
        <f t="shared" si="52"/>
        <v>0.13461538461538464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15.151515151515152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80</v>
      </c>
      <c r="Y433" s="543">
        <f>IFERROR(SUM(Y421:Y431),"0")</f>
        <v>84.48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25</v>
      </c>
      <c r="Y441" s="542">
        <f t="shared" ref="Y441:Y446" si="53">IFERROR(IF(X441="",0,CEILING((X441/$H441),1)*$H441),"")</f>
        <v>26.400000000000002</v>
      </c>
      <c r="Z441" s="36">
        <f>IFERROR(IF(Y441=0,"",ROUNDUP(Y441/H441,0)*0.01196),"")</f>
        <v>5.9799999999999999E-2</v>
      </c>
      <c r="AA441" s="56"/>
      <c r="AB441" s="57"/>
      <c r="AC441" s="489" t="s">
        <v>675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26.657196969696969</v>
      </c>
      <c r="BN441" s="64">
        <f t="shared" ref="BN441:BN446" si="55">IFERROR(Y441*I441/H441,"0")</f>
        <v>28.15</v>
      </c>
      <c r="BO441" s="64">
        <f t="shared" ref="BO441:BO446" si="56">IFERROR(1/J441*(X441/H441),"0")</f>
        <v>4.5527389277389273E-2</v>
      </c>
      <c r="BP441" s="64">
        <f t="shared" ref="BP441:BP446" si="57">IFERROR(1/J441*(Y441/H441),"0")</f>
        <v>4.807692307692308E-2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15</v>
      </c>
      <c r="Y442" s="542">
        <f t="shared" si="53"/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678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15.994318181818182</v>
      </c>
      <c r="BN442" s="64">
        <f t="shared" si="55"/>
        <v>16.889999999999997</v>
      </c>
      <c r="BO442" s="64">
        <f t="shared" si="56"/>
        <v>2.7316433566433568E-2</v>
      </c>
      <c r="BP442" s="64">
        <f t="shared" si="57"/>
        <v>2.8846153846153848E-2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60</v>
      </c>
      <c r="Y443" s="542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681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0.23920000000000002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100</v>
      </c>
      <c r="Y448" s="543">
        <f>IFERROR(SUM(Y441:Y446),"0")</f>
        <v>105.6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1254.6999999999998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1315.3799999999999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1313.4531797338464</v>
      </c>
      <c r="Y490" s="543">
        <f>IFERROR(SUM(BN22:BN486),"0")</f>
        <v>1376.9259999999999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1388.4531797338464</v>
      </c>
      <c r="Y492" s="543">
        <f>GrossWeightTotalR+PalletQtyTotalR*25</f>
        <v>1451.9259999999999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185.2157225490559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193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2.4729699999999997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</v>
      </c>
      <c r="E499" s="46">
        <f>IFERROR(Y85*1,"0")+IFERROR(Y86*1,"0")+IFERROR(Y87*1,"0")+IFERROR(Y91*1,"0")+IFERROR(Y92*1,"0")+IFERROR(Y93*1,"0")+IFERROR(Y94*1,"0")</f>
        <v>50.4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46.2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208.8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97.2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52.2</v>
      </c>
      <c r="R499" s="46">
        <f>IFERROR(Y335*1,"0")+IFERROR(Y336*1,"0")+IFERROR(Y337*1,"0")</f>
        <v>23.1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360</v>
      </c>
      <c r="T499" s="46">
        <f>IFERROR(Y368*1,"0")+IFERROR(Y369*1,"0")+IFERROR(Y373*1,"0")+IFERROR(Y374*1,"0")+IFERROR(Y378*1,"0")+IFERROR(Y379*1,"0")</f>
        <v>75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64.800000000000011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190.08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DzXPN+uhEiVXfmV8Af/JQBSNBnBHrdFEUe6JD1/iZl5vpy3wtg6SYDB6eXDfdKaMQ2f2vGHqBTZu9MNQ32O6vA==" saltValue="aljrk3B1BGI+oCBWfXSAR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1 X163 X166 X168 X195:X198 X200:X202 X208:X209 X211 X213:X214 X218:X219 X232 X272 X302 X304 X315:X316 X323 X336:X337 X343:X345 X353 X389 X421 X424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/xQu7XP8mRc4PCH/543gTJaZGHWw1RIKNvlAEekABD6Eyq8tzcXj6n/LLiR8g1Gd3eAeuJhKEc6L0SlXO5qOYg==" saltValue="xj5Uy0bWf9BUuVF5iOek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