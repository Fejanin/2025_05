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A8FFDBC4-F28D-461A-84A5-9C5BCFDA28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8" i="102" l="1"/>
  <c r="F46" i="102" l="1"/>
  <c r="G52" i="102"/>
  <c r="G51" i="102"/>
  <c r="G50" i="102"/>
  <c r="G49" i="102"/>
  <c r="G47" i="102"/>
  <c r="G46" i="102" l="1"/>
  <c r="G4" i="102"/>
  <c r="G5" i="102" l="1"/>
  <c r="F42" i="102" l="1"/>
  <c r="F53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3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<sst xmlns="http://schemas.openxmlformats.org/spreadsheetml/2006/main" count="96" uniqueCount="96">
  <si>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</si>
  <si>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</si>
  <si>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</si>
  <si>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</si>
  <si>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</si>
  <si>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</si>
  <si>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</si>
  <si>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</si>
  <si>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</si>
  <si>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</si>
  <si>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</si>
  <si>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</si>
  <si>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</si>
  <si>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</si>
  <si>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</si>
  <si>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</si>
  <si>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</si>
  <si>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</si>
  <si>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</si>
  <si>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</si>
  <si>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</si>
  <si>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</si>
  <si>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</si>
  <si>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</si>
  <si>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</si>
  <si>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</si>
  <si>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</si>
  <si>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</si>
  <si>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</si>
  <si>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</si>
  <si>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</si>
  <si>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</si>
  <si>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</si>
  <si>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</si>
  <si>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</si>
  <si>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</si>
  <si>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</si>
  <si>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</si>
  <si>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</si>
  <si>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</si>
  <si>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</si>
  <si>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</si>
  <si>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</si>
  <si>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</si>
  <si>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</si>
  <si>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</si>
  <si>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</si>
  <si>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</si>
  <si>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</si>
  <si>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</si>
  <si>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</si>
  <si>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</si>
  <si>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</si>
  <si>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</si>
  <si>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</si>
  <si>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</si>
  <si>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</si>
  <si>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</si>
  <si>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</si>
  <si>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</si>
  <si>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</si>
  <si>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</si>
  <si>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</si>
  <si>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</si>
  <si>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</si>
  <si>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</si>
  <si>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</si>
  <si>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</si>
  <si>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</si>
  <si>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</si>
  <si>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</si>
  <si>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</si>
  <si>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</si>
  <si>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</si>
  <si>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</si>
  <si>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</si>
  <si>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</si>
  <si>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</si>
  <si>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</si>
  <si>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</si>
  <si>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</si>
  <si>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</si>
  <si>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</si>
  <si>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</si>
  <si>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</si>
  <si>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</si>
  <si>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</si>
  <si>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</si>
  <si>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</si>
  <si>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</si>
  <si>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</si>
  <si>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</si>
  <si>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</si>
  <si>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</si>
  <si>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</si>
  <si>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Заказ Полякова 25.11.25.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</si>
</sst>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1" fontId="0" fillId="0" borderId="14" xfId="0" applyNumberFormat="1" applyFill="1" applyBorder="1" applyAlignment="1">
      <alignment horizontal="center" vertical="center" wrapText="1"/>
    </xf>
    <xf numFmtId="1" fontId="0" fillId="0" borderId="15" xfId="0" applyNumberFormat="1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9" borderId="4" xfId="0" applyFont="1" applyFill="1" applyBorder="1" applyAlignment="1">
      <alignment vertical="top" wrapText="1"/>
    </xf>
    <xf numFmtId="1" fontId="0" fillId="0" borderId="19" xfId="0" applyNumberFormat="1" applyFill="1" applyBorder="1" applyAlignment="1">
      <alignment horizontal="center" vertical="center" wrapText="1"/>
    </xf>
    <xf numFmtId="4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8" borderId="19" xfId="0" applyFont="1" applyFill="1" applyBorder="1" applyAlignment="1">
      <alignment vertical="top"/>
    </xf>
    <xf numFmtId="0" fontId="4" fillId="2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4"/>
  <sheetViews>
    <sheetView tabSelected="1" zoomScale="80" zoomScaleNormal="80" workbookViewId="0">
      <selection activeCell="A42" sqref="A42:XFD54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61" t="s">
        <v>95</v>
      </c>
    </row>
    <row r="2" spans="1:31" ht="32.25" thickBot="1" x14ac:dyDescent="0.3">
      <c r="C2" s="23"/>
      <c r="D2" s="34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6"/>
      <c r="C3" s="22" t="s">
        <v>2</v>
      </c>
      <c r="D3" s="17"/>
      <c r="E3" s="17"/>
      <c r="F3" s="27">
        <f>SUM(F4:F41)</f>
        <v>17140</v>
      </c>
      <c r="G3" s="79">
        <f>SUM(G4:G41)</f>
        <v>16859.5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6">
        <v>3287</v>
      </c>
      <c r="E4" s="46">
        <v>1</v>
      </c>
      <c r="F4" s="80"/>
      <c r="G4" s="52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5" t="s">
        <v>23</v>
      </c>
      <c r="C5" s="37" t="s">
        <v>20</v>
      </c>
      <c r="D5" s="56">
        <v>3423</v>
      </c>
      <c r="E5" s="46">
        <v>1</v>
      </c>
      <c r="F5" s="10">
        <v>2500</v>
      </c>
      <c r="G5" s="16">
        <f t="shared" ref="G5" si="1">F5*E5</f>
        <v>2500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6">
        <v>3422</v>
      </c>
      <c r="E6" s="46">
        <v>1</v>
      </c>
      <c r="F6" s="10">
        <v>4000</v>
      </c>
      <c r="G6" s="16">
        <f t="shared" ref="G6:G7" si="2">F6*E6</f>
        <v>4000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70">
        <v>3420</v>
      </c>
      <c r="E7" s="46">
        <v>1</v>
      </c>
      <c r="F7" s="10">
        <v>3000</v>
      </c>
      <c r="G7" s="16">
        <f t="shared" si="2"/>
        <v>3000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70">
        <v>2035</v>
      </c>
      <c r="E8" s="78">
        <v>1</v>
      </c>
      <c r="F8" s="28">
        <v>500</v>
      </c>
      <c r="G8" s="16">
        <f t="shared" ref="G8:G9" si="3">F8*E8</f>
        <v>500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70">
        <v>126</v>
      </c>
      <c r="E9" s="78">
        <v>1</v>
      </c>
      <c r="F9" s="28">
        <v>3700</v>
      </c>
      <c r="G9" s="16">
        <f t="shared" si="3"/>
        <v>3700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70">
        <v>2010</v>
      </c>
      <c r="E10" s="78">
        <v>1</v>
      </c>
      <c r="F10" s="28">
        <v>350</v>
      </c>
      <c r="G10" s="16">
        <f t="shared" ref="G10:G20" si="5">F10*E10</f>
        <v>350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6">
        <v>2150</v>
      </c>
      <c r="E11" s="78">
        <v>1</v>
      </c>
      <c r="F11" s="28">
        <v>200</v>
      </c>
      <c r="G11" s="16">
        <f t="shared" si="5"/>
        <v>200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6">
        <v>2158</v>
      </c>
      <c r="E12" s="78">
        <v>1</v>
      </c>
      <c r="F12" s="28">
        <v>120</v>
      </c>
      <c r="G12" s="16">
        <f t="shared" si="5"/>
        <v>120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6">
        <v>2151</v>
      </c>
      <c r="E13" s="78">
        <v>1</v>
      </c>
      <c r="F13" s="28">
        <v>200</v>
      </c>
      <c r="G13" s="16">
        <f t="shared" si="5"/>
        <v>200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6">
        <v>1051</v>
      </c>
      <c r="E14" s="78">
        <v>1</v>
      </c>
      <c r="F14" s="28">
        <v>50</v>
      </c>
      <c r="G14" s="16">
        <f t="shared" si="5"/>
        <v>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6">
        <v>2287</v>
      </c>
      <c r="E15" s="78">
        <v>1</v>
      </c>
      <c r="F15" s="28">
        <v>150</v>
      </c>
      <c r="G15" s="16">
        <f t="shared" si="5"/>
        <v>150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6">
        <v>2360</v>
      </c>
      <c r="E16" s="78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70">
        <v>2828</v>
      </c>
      <c r="E17" s="78">
        <v>1</v>
      </c>
      <c r="F17" s="28">
        <v>170</v>
      </c>
      <c r="G17" s="16">
        <f t="shared" si="5"/>
        <v>170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customHeight="1" outlineLevel="1" x14ac:dyDescent="0.25">
      <c r="B18" s="35" t="s">
        <v>94</v>
      </c>
      <c r="C18" s="24" t="s">
        <v>93</v>
      </c>
      <c r="D18" s="72">
        <v>2612</v>
      </c>
      <c r="E18" s="28">
        <v>1</v>
      </c>
      <c r="F18" s="28">
        <v>400</v>
      </c>
      <c r="G18" s="16">
        <f t="shared" si="5"/>
        <v>400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customHeight="1" outlineLevel="1" x14ac:dyDescent="0.25">
      <c r="B19" s="35" t="s">
        <v>37</v>
      </c>
      <c r="C19" s="33" t="s">
        <v>18</v>
      </c>
      <c r="D19" s="70">
        <v>2815</v>
      </c>
      <c r="E19" s="78">
        <v>0.45</v>
      </c>
      <c r="F19" s="28">
        <v>50</v>
      </c>
      <c r="G19" s="16">
        <f t="shared" si="5"/>
        <v>22.5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customHeight="1" outlineLevel="1" x14ac:dyDescent="0.25">
      <c r="B20" s="35" t="s">
        <v>35</v>
      </c>
      <c r="C20" s="33" t="s">
        <v>17</v>
      </c>
      <c r="D20" s="56">
        <v>2829</v>
      </c>
      <c r="E20" s="78">
        <v>1</v>
      </c>
      <c r="F20" s="28">
        <v>50</v>
      </c>
      <c r="G20" s="16">
        <f t="shared" si="5"/>
        <v>50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customHeight="1" outlineLevel="1" x14ac:dyDescent="0.25">
      <c r="B21" s="35" t="s">
        <v>50</v>
      </c>
      <c r="C21" s="24" t="s">
        <v>51</v>
      </c>
      <c r="D21" s="74">
        <v>2182</v>
      </c>
      <c r="E21" s="76">
        <v>1</v>
      </c>
      <c r="F21" s="28">
        <v>30</v>
      </c>
      <c r="G21" s="16">
        <f t="shared" ref="G21:G41" si="9">F21*E21</f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71"/>
      <c r="AB21" s="8"/>
      <c r="AC21" s="11"/>
      <c r="AD21" s="8"/>
      <c r="AE21" s="11"/>
    </row>
    <row r="22" spans="2:31" ht="16.5" hidden="1" customHeight="1" outlineLevel="1" x14ac:dyDescent="0.25">
      <c r="B22" s="35" t="s">
        <v>52</v>
      </c>
      <c r="C22" s="73" t="s">
        <v>53</v>
      </c>
      <c r="D22" s="75">
        <v>2830</v>
      </c>
      <c r="E22" s="76">
        <v>1</v>
      </c>
      <c r="F22" s="28"/>
      <c r="G22" s="16">
        <f t="shared" si="9"/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71"/>
      <c r="AB22" s="8"/>
      <c r="AC22" s="11"/>
      <c r="AD22" s="8"/>
      <c r="AE22" s="11"/>
    </row>
    <row r="23" spans="2:31" ht="16.5" customHeight="1" outlineLevel="1" x14ac:dyDescent="0.25">
      <c r="B23" s="35" t="s">
        <v>54</v>
      </c>
      <c r="C23" s="24" t="s">
        <v>55</v>
      </c>
      <c r="D23" s="74">
        <v>2756</v>
      </c>
      <c r="E23" s="76">
        <v>1</v>
      </c>
      <c r="F23" s="28">
        <v>150</v>
      </c>
      <c r="G23" s="16">
        <f t="shared" si="9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71"/>
      <c r="AB23" s="8"/>
      <c r="AC23" s="11"/>
      <c r="AD23" s="8"/>
      <c r="AE23" s="11"/>
    </row>
    <row r="24" spans="2:31" ht="16.5" customHeight="1" outlineLevel="1" x14ac:dyDescent="0.25">
      <c r="B24" s="35" t="s">
        <v>56</v>
      </c>
      <c r="C24" s="24" t="s">
        <v>57</v>
      </c>
      <c r="D24" s="74">
        <v>2614</v>
      </c>
      <c r="E24" s="76">
        <v>1</v>
      </c>
      <c r="F24" s="28">
        <v>100</v>
      </c>
      <c r="G24" s="16">
        <f t="shared" si="9"/>
        <v>100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71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74">
        <v>2613</v>
      </c>
      <c r="E25" s="76">
        <v>1</v>
      </c>
      <c r="F25" s="28">
        <v>250</v>
      </c>
      <c r="G25" s="16">
        <f t="shared" si="9"/>
        <v>250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71"/>
      <c r="AB25" s="8"/>
      <c r="AC25" s="11"/>
      <c r="AD25" s="8"/>
      <c r="AE25" s="11"/>
    </row>
    <row r="26" spans="2:31" ht="16.5" hidden="1" customHeight="1" outlineLevel="1" x14ac:dyDescent="0.25">
      <c r="B26" s="35" t="s">
        <v>60</v>
      </c>
      <c r="C26" s="32" t="s">
        <v>61</v>
      </c>
      <c r="D26" s="74">
        <v>2615</v>
      </c>
      <c r="E26" s="77">
        <v>1</v>
      </c>
      <c r="F26" s="28"/>
      <c r="G26" s="16">
        <f t="shared" si="9"/>
        <v>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71"/>
      <c r="AB26" s="8"/>
      <c r="AC26" s="11"/>
      <c r="AD26" s="8"/>
      <c r="AE26" s="11"/>
    </row>
    <row r="27" spans="2:31" ht="16.5" hidden="1" customHeight="1" outlineLevel="1" x14ac:dyDescent="0.25">
      <c r="B27" s="35" t="s">
        <v>62</v>
      </c>
      <c r="C27" s="73" t="s">
        <v>63</v>
      </c>
      <c r="D27" s="74">
        <v>1820</v>
      </c>
      <c r="E27" s="76">
        <v>1</v>
      </c>
      <c r="F27" s="28"/>
      <c r="G27" s="16">
        <f t="shared" si="9"/>
        <v>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71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73" t="s">
        <v>65</v>
      </c>
      <c r="D28" s="72">
        <v>2805</v>
      </c>
      <c r="E28" s="78">
        <v>1</v>
      </c>
      <c r="F28" s="28">
        <v>50</v>
      </c>
      <c r="G28" s="16">
        <f t="shared" si="9"/>
        <v>50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71"/>
      <c r="AB28" s="8"/>
      <c r="AC28" s="11"/>
      <c r="AD28" s="8"/>
      <c r="AE28" s="11"/>
    </row>
    <row r="29" spans="2:31" ht="16.5" customHeight="1" outlineLevel="1" x14ac:dyDescent="0.25">
      <c r="B29" s="35" t="s">
        <v>66</v>
      </c>
      <c r="C29" s="24" t="s">
        <v>67</v>
      </c>
      <c r="D29" s="72" t="s">
        <v>68</v>
      </c>
      <c r="E29" s="78">
        <v>1</v>
      </c>
      <c r="F29" s="28">
        <v>100</v>
      </c>
      <c r="G29" s="16">
        <f t="shared" si="9"/>
        <v>100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71"/>
      <c r="AB29" s="8"/>
      <c r="AC29" s="11"/>
      <c r="AD29" s="8"/>
      <c r="AE29" s="11"/>
    </row>
    <row r="30" spans="2:31" ht="16.5" customHeight="1" outlineLevel="1" x14ac:dyDescent="0.25">
      <c r="B30" s="35" t="s">
        <v>69</v>
      </c>
      <c r="C30" s="24" t="s">
        <v>70</v>
      </c>
      <c r="D30" s="72">
        <v>2604</v>
      </c>
      <c r="E30" s="78">
        <v>0.35</v>
      </c>
      <c r="F30" s="28">
        <v>60</v>
      </c>
      <c r="G30" s="16">
        <f t="shared" si="9"/>
        <v>21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71"/>
      <c r="AB30" s="8"/>
      <c r="AC30" s="11"/>
      <c r="AD30" s="8"/>
      <c r="AE30" s="11"/>
    </row>
    <row r="31" spans="2:31" ht="16.5" customHeight="1" outlineLevel="1" x14ac:dyDescent="0.25">
      <c r="B31" s="35" t="s">
        <v>71</v>
      </c>
      <c r="C31" s="24" t="s">
        <v>72</v>
      </c>
      <c r="D31" s="72">
        <v>2603</v>
      </c>
      <c r="E31" s="78">
        <v>0.35</v>
      </c>
      <c r="F31" s="28">
        <v>60</v>
      </c>
      <c r="G31" s="16">
        <f t="shared" si="9"/>
        <v>21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71"/>
      <c r="AB31" s="8"/>
      <c r="AC31" s="11"/>
      <c r="AD31" s="8"/>
      <c r="AE31" s="11"/>
    </row>
    <row r="32" spans="2:31" ht="16.5" hidden="1" customHeight="1" outlineLevel="1" x14ac:dyDescent="0.25">
      <c r="B32" s="35" t="s">
        <v>73</v>
      </c>
      <c r="C32" s="24" t="s">
        <v>74</v>
      </c>
      <c r="D32" s="72">
        <v>2602</v>
      </c>
      <c r="E32" s="78">
        <v>0.35</v>
      </c>
      <c r="F32" s="28"/>
      <c r="G32" s="16">
        <f t="shared" si="9"/>
        <v>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71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72">
        <v>1523</v>
      </c>
      <c r="E33" s="78">
        <v>1</v>
      </c>
      <c r="F33" s="28">
        <v>400</v>
      </c>
      <c r="G33" s="16">
        <f t="shared" si="9"/>
        <v>400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71"/>
      <c r="AB33" s="8"/>
      <c r="AC33" s="11"/>
      <c r="AD33" s="8"/>
      <c r="AE33" s="11"/>
    </row>
    <row r="34" spans="2:31" ht="16.5" hidden="1" customHeight="1" outlineLevel="1" x14ac:dyDescent="0.25">
      <c r="B34" s="35" t="s">
        <v>77</v>
      </c>
      <c r="C34" s="24" t="s">
        <v>78</v>
      </c>
      <c r="D34" s="72">
        <v>1718</v>
      </c>
      <c r="E34" s="78">
        <v>0.45</v>
      </c>
      <c r="F34" s="28"/>
      <c r="G34" s="16">
        <f t="shared" si="9"/>
        <v>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71"/>
      <c r="AB34" s="8"/>
      <c r="AC34" s="11"/>
      <c r="AD34" s="8"/>
      <c r="AE34" s="11"/>
    </row>
    <row r="35" spans="2:31" ht="16.5" hidden="1" customHeight="1" outlineLevel="1" x14ac:dyDescent="0.25">
      <c r="B35" s="35" t="s">
        <v>79</v>
      </c>
      <c r="C35" s="73" t="s">
        <v>80</v>
      </c>
      <c r="D35" s="72">
        <v>246</v>
      </c>
      <c r="E35" s="78">
        <v>1</v>
      </c>
      <c r="F35" s="28"/>
      <c r="G35" s="16">
        <f t="shared" si="9"/>
        <v>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71"/>
      <c r="AB35" s="8"/>
      <c r="AC35" s="11"/>
      <c r="AD35" s="8"/>
      <c r="AE35" s="11"/>
    </row>
    <row r="36" spans="2:31" ht="16.5" customHeight="1" outlineLevel="1" x14ac:dyDescent="0.25">
      <c r="B36" s="35" t="s">
        <v>81</v>
      </c>
      <c r="C36" s="24" t="s">
        <v>82</v>
      </c>
      <c r="D36" s="72">
        <v>1720</v>
      </c>
      <c r="E36" s="78">
        <v>0.45</v>
      </c>
      <c r="F36" s="28">
        <v>100</v>
      </c>
      <c r="G36" s="16">
        <f t="shared" si="9"/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71"/>
      <c r="AB36" s="8"/>
      <c r="AC36" s="11"/>
      <c r="AD36" s="8"/>
      <c r="AE36" s="11"/>
    </row>
    <row r="37" spans="2:31" ht="16.5" customHeight="1" outlineLevel="1" x14ac:dyDescent="0.25">
      <c r="B37" s="35" t="s">
        <v>83</v>
      </c>
      <c r="C37" s="24" t="s">
        <v>84</v>
      </c>
      <c r="D37" s="72">
        <v>2618</v>
      </c>
      <c r="E37" s="78">
        <v>0.4</v>
      </c>
      <c r="F37" s="28">
        <v>200</v>
      </c>
      <c r="G37" s="16">
        <f t="shared" si="9"/>
        <v>80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71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72">
        <v>2074</v>
      </c>
      <c r="E38" s="78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71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72" t="s">
        <v>87</v>
      </c>
      <c r="D39" s="72">
        <v>2928</v>
      </c>
      <c r="E39" s="46">
        <v>1</v>
      </c>
      <c r="F39" s="28">
        <v>150</v>
      </c>
      <c r="G39" s="16">
        <f t="shared" si="9"/>
        <v>150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71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72">
        <v>722</v>
      </c>
      <c r="E40" s="78">
        <v>1</v>
      </c>
      <c r="F40" s="28">
        <v>50</v>
      </c>
      <c r="G40" s="16">
        <f t="shared" si="9"/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71"/>
      <c r="AB40" s="8"/>
      <c r="AC40" s="11"/>
      <c r="AD40" s="8"/>
      <c r="AE40" s="11"/>
    </row>
    <row r="41" spans="2:31" ht="0.75" hidden="1" customHeight="1" outlineLevel="1" thickBot="1" x14ac:dyDescent="0.3">
      <c r="B41" s="35" t="s">
        <v>91</v>
      </c>
      <c r="C41" s="73" t="s">
        <v>92</v>
      </c>
      <c r="D41" s="72">
        <v>227</v>
      </c>
      <c r="E41" s="78">
        <v>1</v>
      </c>
      <c r="F41" s="81"/>
      <c r="G41" s="82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71"/>
      <c r="AB41" s="8"/>
      <c r="AC41" s="11"/>
      <c r="AD41" s="8"/>
      <c r="AE41" s="11"/>
    </row>
    <row r="42" spans="2:31" s="3" customFormat="1" ht="19.5" hidden="1" collapsed="1" thickBot="1" x14ac:dyDescent="0.3">
      <c r="B42" s="35"/>
      <c r="C42" s="22" t="s">
        <v>13</v>
      </c>
      <c r="D42" s="17"/>
      <c r="E42" s="27"/>
      <c r="F42" s="17">
        <f>SUM(F43:F43)</f>
        <v>150</v>
      </c>
      <c r="G42" s="30">
        <f>SUM(G43:G43)</f>
        <v>150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7"/>
      <c r="E43" s="29">
        <v>1</v>
      </c>
      <c r="F43" s="31">
        <v>150</v>
      </c>
      <c r="G43" s="16">
        <f t="shared" ref="G43" si="10">F43*E43</f>
        <v>150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6"/>
      <c r="C44" s="67" t="s">
        <v>48</v>
      </c>
      <c r="D44" s="17"/>
      <c r="E44" s="17"/>
      <c r="F44" s="17"/>
      <c r="G44" s="21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5"/>
      <c r="Y44" s="55"/>
      <c r="Z44" s="54"/>
      <c r="AA44" s="54"/>
      <c r="AB44" s="54"/>
      <c r="AC44" s="54"/>
      <c r="AD44" s="54"/>
      <c r="AE44" s="54"/>
    </row>
    <row r="45" spans="2:31" ht="16.5" hidden="1" customHeight="1" outlineLevel="1" thickBot="1" x14ac:dyDescent="0.3">
      <c r="C45" s="68" t="s">
        <v>49</v>
      </c>
      <c r="D45" s="69">
        <v>8487</v>
      </c>
      <c r="E45" s="49">
        <v>1</v>
      </c>
      <c r="F45" s="45"/>
      <c r="G45" s="52">
        <f>F45*E45</f>
        <v>0</v>
      </c>
    </row>
    <row r="46" spans="2:31" s="3" customFormat="1" ht="19.5" hidden="1" collapsed="1" thickBot="1" x14ac:dyDescent="0.3">
      <c r="B46" s="36"/>
      <c r="C46" s="17" t="s">
        <v>41</v>
      </c>
      <c r="D46" s="17"/>
      <c r="E46" s="17"/>
      <c r="F46" s="17">
        <f>SUM(F47:F52)</f>
        <v>360</v>
      </c>
      <c r="G46" s="21">
        <f>SUM(G47:G52)</f>
        <v>93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5"/>
      <c r="Y46" s="55"/>
      <c r="Z46" s="54"/>
      <c r="AA46" s="54"/>
      <c r="AB46" s="54"/>
      <c r="AC46" s="54"/>
      <c r="AD46" s="54"/>
      <c r="AE46" s="54"/>
    </row>
    <row r="47" spans="2:31" ht="16.5" hidden="1" customHeight="1" outlineLevel="1" x14ac:dyDescent="0.25">
      <c r="C47" s="40" t="s">
        <v>42</v>
      </c>
      <c r="D47" s="58"/>
      <c r="E47" s="49">
        <v>0.25</v>
      </c>
      <c r="F47" s="45"/>
      <c r="G47" s="52">
        <f>F47*E47</f>
        <v>0</v>
      </c>
    </row>
    <row r="48" spans="2:31" ht="16.5" hidden="1" customHeight="1" outlineLevel="1" x14ac:dyDescent="0.25">
      <c r="C48" s="62" t="s">
        <v>47</v>
      </c>
      <c r="D48" s="63"/>
      <c r="E48" s="64">
        <v>0.25</v>
      </c>
      <c r="F48" s="65"/>
      <c r="G48" s="66">
        <f>F48*E48</f>
        <v>0</v>
      </c>
    </row>
    <row r="49" spans="3:31" ht="16.5" hidden="1" customHeight="1" outlineLevel="1" x14ac:dyDescent="0.25">
      <c r="C49" s="41" t="s">
        <v>43</v>
      </c>
      <c r="D49" s="59"/>
      <c r="E49" s="50">
        <v>0.3</v>
      </c>
      <c r="F49" s="46">
        <v>60</v>
      </c>
      <c r="G49" s="16">
        <f t="shared" ref="G49:G52" si="12">F49*E49</f>
        <v>18</v>
      </c>
    </row>
    <row r="50" spans="3:31" ht="16.5" hidden="1" customHeight="1" outlineLevel="1" x14ac:dyDescent="0.25">
      <c r="C50" s="41" t="s">
        <v>44</v>
      </c>
      <c r="D50" s="59"/>
      <c r="E50" s="50">
        <v>0.25</v>
      </c>
      <c r="F50" s="46">
        <v>120</v>
      </c>
      <c r="G50" s="16">
        <f t="shared" si="12"/>
        <v>30</v>
      </c>
    </row>
    <row r="51" spans="3:31" ht="16.5" hidden="1" customHeight="1" outlineLevel="1" x14ac:dyDescent="0.25">
      <c r="C51" s="41" t="s">
        <v>45</v>
      </c>
      <c r="D51" s="59"/>
      <c r="E51" s="50">
        <v>0.25</v>
      </c>
      <c r="F51" s="46"/>
      <c r="G51" s="16">
        <f t="shared" si="12"/>
        <v>0</v>
      </c>
    </row>
    <row r="52" spans="3:31" ht="16.5" hidden="1" customHeight="1" outlineLevel="1" thickBot="1" x14ac:dyDescent="0.3">
      <c r="C52" s="42" t="s">
        <v>46</v>
      </c>
      <c r="D52" s="60"/>
      <c r="E52" s="51">
        <v>0.25</v>
      </c>
      <c r="F52" s="47">
        <v>180</v>
      </c>
      <c r="G52" s="53">
        <f t="shared" si="12"/>
        <v>45</v>
      </c>
    </row>
    <row r="53" spans="3:31" ht="19.5" hidden="1" thickBot="1" x14ac:dyDescent="0.3">
      <c r="C53" s="48"/>
      <c r="D53" s="39"/>
      <c r="E53" s="43"/>
      <c r="F53" s="44">
        <f>F46+F42+F3</f>
        <v>17650</v>
      </c>
      <c r="G53" s="43">
        <f>G46+G42+G3</f>
        <v>17102.5</v>
      </c>
      <c r="AA53" s="18"/>
      <c r="AB53" s="18"/>
      <c r="AC53" s="18"/>
      <c r="AD53" s="18"/>
      <c r="AE53" s="18"/>
    </row>
    <row r="54" spans="3:31" hidden="1" x14ac:dyDescent="0.25"/>
  </sheetData>
  <autoFilter ref="F1:F53" xr:uid="{B4A4F66E-2AE4-4267-B107-BFA06328B2A6}">
    <filterColumn colId="0">
      <customFilters>
        <customFilter operator="notEqual" val=" "/>
      </custom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2025-11-25T07:31:57Z</dcterms:modified>
</cp:coreProperties>
</file>