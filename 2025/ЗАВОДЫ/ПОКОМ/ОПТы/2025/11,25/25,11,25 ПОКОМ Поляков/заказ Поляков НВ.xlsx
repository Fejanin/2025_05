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Поляков\"/>
    </mc:Choice>
  </mc:AlternateContent>
  <xr:revisionPtr revIDLastSave="0" documentId="13_ncr:1_{B7CD0777-5752-497C-A365-2C4DFA072E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27" i="1" l="1"/>
  <c r="Y491" i="1" s="1"/>
  <c r="BN27" i="1"/>
  <c r="Z27" i="1"/>
  <c r="Z31" i="1" s="1"/>
  <c r="B499" i="1"/>
  <c r="Y31" i="1"/>
  <c r="Y493" i="1" s="1"/>
  <c r="BP41" i="1"/>
  <c r="BN41" i="1"/>
  <c r="Z41" i="1"/>
  <c r="Z43" i="1" s="1"/>
  <c r="Y69" i="1"/>
  <c r="BP66" i="1"/>
  <c r="BN66" i="1"/>
  <c r="Z66" i="1"/>
  <c r="BP54" i="1"/>
  <c r="BN54" i="1"/>
  <c r="Z54" i="1"/>
  <c r="BP62" i="1"/>
  <c r="BN62" i="1"/>
  <c r="Z62" i="1"/>
  <c r="Y64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Y148" i="1"/>
  <c r="X489" i="1"/>
  <c r="Y32" i="1"/>
  <c r="Y489" i="1" s="1"/>
  <c r="BP29" i="1"/>
  <c r="BN29" i="1"/>
  <c r="Y490" i="1" s="1"/>
  <c r="Y492" i="1" s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Z285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1" i="1"/>
  <c r="BP377" i="1"/>
  <c r="BN377" i="1"/>
  <c r="Z377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J499" i="1"/>
  <c r="S499" i="1"/>
  <c r="H9" i="1"/>
  <c r="X490" i="1"/>
  <c r="X492" i="1" s="1"/>
  <c r="X491" i="1"/>
  <c r="X493" i="1"/>
  <c r="C499" i="1"/>
  <c r="Y44" i="1"/>
  <c r="D499" i="1"/>
  <c r="Y57" i="1"/>
  <c r="Y103" i="1"/>
  <c r="G499" i="1"/>
  <c r="Y126" i="1"/>
  <c r="I499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Z349" i="1" s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68" i="1" l="1"/>
  <c r="Z250" i="1"/>
  <c r="Z215" i="1"/>
  <c r="Z337" i="1"/>
  <c r="Z304" i="1"/>
  <c r="Z294" i="1"/>
  <c r="Z432" i="1"/>
  <c r="Z438" i="1"/>
  <c r="Z274" i="1"/>
  <c r="Z116" i="1"/>
  <c r="Z95" i="1"/>
  <c r="Z69" i="1"/>
  <c r="Z494" i="1" s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<sst xmlns="http://schemas.openxmlformats.org/spreadsheetml/2006/main" count="2316" uniqueCount="762">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</sst>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3" t="s">
        <v>0</v>
      </c>
      <c r="E1" s="590"/>
      <c r="F1" s="590"/>
      <c r="G1" s="12" t="s">
        <v>1</v>
      </c>
      <c r="H1" s="803" t="s">
        <v>2</v>
      </c>
      <c r="I1" s="590"/>
      <c r="J1" s="590"/>
      <c r="K1" s="590"/>
      <c r="L1" s="590"/>
      <c r="M1" s="590"/>
      <c r="N1" s="590"/>
      <c r="O1" s="590"/>
      <c r="P1" s="590"/>
      <c r="Q1" s="590"/>
      <c r="R1" s="846" t="s">
        <v>3</v>
      </c>
      <c r="S1" s="590"/>
      <c r="T1" s="5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9" t="s">
        <v>8</v>
      </c>
      <c r="B5" s="616"/>
      <c r="C5" s="598"/>
      <c r="D5" s="663"/>
      <c r="E5" s="665"/>
      <c r="F5" s="597" t="s">
        <v>9</v>
      </c>
      <c r="G5" s="598"/>
      <c r="H5" s="663"/>
      <c r="I5" s="664"/>
      <c r="J5" s="664"/>
      <c r="K5" s="664"/>
      <c r="L5" s="664"/>
      <c r="M5" s="665"/>
      <c r="N5" s="58"/>
      <c r="P5" s="24" t="s">
        <v>10</v>
      </c>
      <c r="Q5" s="578">
        <v>45992</v>
      </c>
      <c r="R5" s="579"/>
      <c r="T5" s="733" t="s">
        <v>11</v>
      </c>
      <c r="U5" s="575"/>
      <c r="V5" s="734" t="s">
        <v>12</v>
      </c>
      <c r="W5" s="579"/>
      <c r="AB5" s="51"/>
      <c r="AC5" s="51"/>
      <c r="AD5" s="51"/>
      <c r="AE5" s="51"/>
    </row>
    <row r="6" spans="1:32" s="535" customFormat="1" ht="24" customHeight="1" x14ac:dyDescent="0.2">
      <c r="A6" s="769" t="s">
        <v>13</v>
      </c>
      <c r="B6" s="616"/>
      <c r="C6" s="598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79"/>
      <c r="N6" s="59"/>
      <c r="P6" s="24" t="s">
        <v>15</v>
      </c>
      <c r="Q6" s="586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38" t="s">
        <v>16</v>
      </c>
      <c r="U6" s="575"/>
      <c r="V6" s="718" t="s">
        <v>17</v>
      </c>
      <c r="W6" s="71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7" t="str">
        <f>IFERROR(VLOOKUP(DeliveryAddress,Table,3,0),1)</f>
        <v>1</v>
      </c>
      <c r="E7" s="818"/>
      <c r="F7" s="818"/>
      <c r="G7" s="818"/>
      <c r="H7" s="818"/>
      <c r="I7" s="818"/>
      <c r="J7" s="818"/>
      <c r="K7" s="818"/>
      <c r="L7" s="818"/>
      <c r="M7" s="736"/>
      <c r="N7" s="60"/>
      <c r="P7" s="24"/>
      <c r="Q7" s="42"/>
      <c r="R7" s="42"/>
      <c r="T7" s="546"/>
      <c r="U7" s="575"/>
      <c r="V7" s="720"/>
      <c r="W7" s="721"/>
      <c r="AB7" s="51"/>
      <c r="AC7" s="51"/>
      <c r="AD7" s="51"/>
      <c r="AE7" s="51"/>
    </row>
    <row r="8" spans="1:32" s="535" customFormat="1" ht="25.5" customHeight="1" x14ac:dyDescent="0.2">
      <c r="A8" s="564" t="s">
        <v>18</v>
      </c>
      <c r="B8" s="551"/>
      <c r="C8" s="552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5">
        <v>0.41666666666666669</v>
      </c>
      <c r="R8" s="736"/>
      <c r="T8" s="546"/>
      <c r="U8" s="575"/>
      <c r="V8" s="720"/>
      <c r="W8" s="721"/>
      <c r="AB8" s="51"/>
      <c r="AC8" s="51"/>
      <c r="AD8" s="51"/>
      <c r="AE8" s="51"/>
    </row>
    <row r="9" spans="1:32" s="535" customFormat="1" ht="39.950000000000003" customHeight="1" x14ac:dyDescent="0.2">
      <c r="A9" s="5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07"/>
      <c r="E9" s="608"/>
      <c r="F9" s="5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08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8"/>
      <c r="L9" s="608"/>
      <c r="M9" s="608"/>
      <c r="N9" s="533"/>
      <c r="P9" s="26" t="s">
        <v>21</v>
      </c>
      <c r="Q9" s="786"/>
      <c r="R9" s="602"/>
      <c r="T9" s="546"/>
      <c r="U9" s="575"/>
      <c r="V9" s="722"/>
      <c r="W9" s="723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07"/>
      <c r="E10" s="608"/>
      <c r="F10" s="5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683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39"/>
      <c r="R10" s="740"/>
      <c r="U10" s="24" t="s">
        <v>23</v>
      </c>
      <c r="V10" s="841" t="s">
        <v>24</v>
      </c>
      <c r="W10" s="71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79"/>
      <c r="U11" s="24" t="s">
        <v>27</v>
      </c>
      <c r="V11" s="601" t="s">
        <v>28</v>
      </c>
      <c r="W11" s="602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26" t="s">
        <v>29</v>
      </c>
      <c r="B12" s="616"/>
      <c r="C12" s="616"/>
      <c r="D12" s="616"/>
      <c r="E12" s="616"/>
      <c r="F12" s="616"/>
      <c r="G12" s="616"/>
      <c r="H12" s="616"/>
      <c r="I12" s="616"/>
      <c r="J12" s="616"/>
      <c r="K12" s="616"/>
      <c r="L12" s="616"/>
      <c r="M12" s="598"/>
      <c r="N12" s="62"/>
      <c r="P12" s="24" t="s">
        <v>30</v>
      </c>
      <c r="Q12" s="735"/>
      <c r="R12" s="736"/>
      <c r="S12" s="23"/>
      <c r="U12" s="24"/>
      <c r="V12" s="590"/>
      <c r="W12" s="546"/>
      <c r="AB12" s="51"/>
      <c r="AC12" s="51"/>
      <c r="AD12" s="51"/>
      <c r="AE12" s="51"/>
    </row>
    <row r="13" spans="1:32" s="535" customFormat="1" ht="23.25" customHeight="1" x14ac:dyDescent="0.2">
      <c r="A13" s="726" t="s">
        <v>31</v>
      </c>
      <c r="B13" s="616"/>
      <c r="C13" s="616"/>
      <c r="D13" s="616"/>
      <c r="E13" s="616"/>
      <c r="F13" s="616"/>
      <c r="G13" s="616"/>
      <c r="H13" s="616"/>
      <c r="I13" s="616"/>
      <c r="J13" s="616"/>
      <c r="K13" s="616"/>
      <c r="L13" s="616"/>
      <c r="M13" s="598"/>
      <c r="N13" s="62"/>
      <c r="O13" s="26"/>
      <c r="P13" s="26" t="s">
        <v>32</v>
      </c>
      <c r="Q13" s="601"/>
      <c r="R13" s="6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26" t="s">
        <v>33</v>
      </c>
      <c r="B14" s="616"/>
      <c r="C14" s="616"/>
      <c r="D14" s="616"/>
      <c r="E14" s="616"/>
      <c r="F14" s="616"/>
      <c r="G14" s="616"/>
      <c r="H14" s="616"/>
      <c r="I14" s="616"/>
      <c r="J14" s="616"/>
      <c r="K14" s="616"/>
      <c r="L14" s="616"/>
      <c r="M14" s="5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8" t="s">
        <v>34</v>
      </c>
      <c r="B15" s="616"/>
      <c r="C15" s="616"/>
      <c r="D15" s="616"/>
      <c r="E15" s="616"/>
      <c r="F15" s="616"/>
      <c r="G15" s="616"/>
      <c r="H15" s="616"/>
      <c r="I15" s="616"/>
      <c r="J15" s="616"/>
      <c r="K15" s="616"/>
      <c r="L15" s="616"/>
      <c r="M15" s="598"/>
      <c r="N15" s="63"/>
      <c r="P15" s="759" t="s">
        <v>35</v>
      </c>
      <c r="Q15" s="590"/>
      <c r="R15" s="590"/>
      <c r="S15" s="590"/>
      <c r="T15" s="5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8" t="s">
        <v>36</v>
      </c>
      <c r="B17" s="568" t="s">
        <v>37</v>
      </c>
      <c r="C17" s="773" t="s">
        <v>38</v>
      </c>
      <c r="D17" s="568" t="s">
        <v>39</v>
      </c>
      <c r="E17" s="569"/>
      <c r="F17" s="568" t="s">
        <v>40</v>
      </c>
      <c r="G17" s="568" t="s">
        <v>41</v>
      </c>
      <c r="H17" s="568" t="s">
        <v>42</v>
      </c>
      <c r="I17" s="568" t="s">
        <v>43</v>
      </c>
      <c r="J17" s="568" t="s">
        <v>44</v>
      </c>
      <c r="K17" s="568" t="s">
        <v>45</v>
      </c>
      <c r="L17" s="568" t="s">
        <v>46</v>
      </c>
      <c r="M17" s="568" t="s">
        <v>47</v>
      </c>
      <c r="N17" s="568" t="s">
        <v>48</v>
      </c>
      <c r="O17" s="568" t="s">
        <v>49</v>
      </c>
      <c r="P17" s="568" t="s">
        <v>50</v>
      </c>
      <c r="Q17" s="810"/>
      <c r="R17" s="810"/>
      <c r="S17" s="810"/>
      <c r="T17" s="569"/>
      <c r="U17" s="730" t="s">
        <v>51</v>
      </c>
      <c r="V17" s="598"/>
      <c r="W17" s="568" t="s">
        <v>52</v>
      </c>
      <c r="X17" s="568" t="s">
        <v>53</v>
      </c>
      <c r="Y17" s="731" t="s">
        <v>54</v>
      </c>
      <c r="Z17" s="724" t="s">
        <v>55</v>
      </c>
      <c r="AA17" s="591" t="s">
        <v>56</v>
      </c>
      <c r="AB17" s="591" t="s">
        <v>57</v>
      </c>
      <c r="AC17" s="591" t="s">
        <v>58</v>
      </c>
      <c r="AD17" s="591" t="s">
        <v>59</v>
      </c>
      <c r="AE17" s="592"/>
      <c r="AF17" s="593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70"/>
      <c r="E18" s="571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70"/>
      <c r="Q18" s="811"/>
      <c r="R18" s="811"/>
      <c r="S18" s="811"/>
      <c r="T18" s="571"/>
      <c r="U18" s="67" t="s">
        <v>61</v>
      </c>
      <c r="V18" s="67" t="s">
        <v>62</v>
      </c>
      <c r="W18" s="572"/>
      <c r="X18" s="572"/>
      <c r="Y18" s="732"/>
      <c r="Z18" s="725"/>
      <c r="AA18" s="662"/>
      <c r="AB18" s="662"/>
      <c r="AC18" s="662"/>
      <c r="AD18" s="594"/>
      <c r="AE18" s="595"/>
      <c r="AF18" s="596"/>
      <c r="AG18" s="66"/>
      <c r="BD18" s="65"/>
    </row>
    <row r="19" spans="1:68" ht="27.75" customHeight="1" x14ac:dyDescent="0.2">
      <c r="A19" s="640" t="s">
        <v>63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48"/>
      <c r="AB19" s="48"/>
      <c r="AC19" s="48"/>
    </row>
    <row r="20" spans="1:68" ht="16.5" customHeight="1" x14ac:dyDescent="0.25">
      <c r="A20" s="545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customHeight="1" x14ac:dyDescent="0.25">
      <c r="A21" s="553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6">
        <v>4680115886643</v>
      </c>
      <c r="E22" s="557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8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9"/>
      <c r="P23" s="550" t="s">
        <v>71</v>
      </c>
      <c r="Q23" s="551"/>
      <c r="R23" s="551"/>
      <c r="S23" s="551"/>
      <c r="T23" s="551"/>
      <c r="U23" s="551"/>
      <c r="V23" s="552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9"/>
      <c r="P24" s="550" t="s">
        <v>71</v>
      </c>
      <c r="Q24" s="551"/>
      <c r="R24" s="551"/>
      <c r="S24" s="551"/>
      <c r="T24" s="551"/>
      <c r="U24" s="551"/>
      <c r="V24" s="552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3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6">
        <v>4680115885912</v>
      </c>
      <c r="E26" s="557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6">
        <v>4607091388237</v>
      </c>
      <c r="E27" s="557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6">
        <v>4680115887350</v>
      </c>
      <c r="E28" s="557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6">
        <v>4680115885905</v>
      </c>
      <c r="E29" s="557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56">
        <v>4607091388244</v>
      </c>
      <c r="E30" s="557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8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9"/>
      <c r="P31" s="550" t="s">
        <v>71</v>
      </c>
      <c r="Q31" s="551"/>
      <c r="R31" s="551"/>
      <c r="S31" s="551"/>
      <c r="T31" s="551"/>
      <c r="U31" s="551"/>
      <c r="V31" s="552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9"/>
      <c r="P32" s="550" t="s">
        <v>71</v>
      </c>
      <c r="Q32" s="551"/>
      <c r="R32" s="551"/>
      <c r="S32" s="551"/>
      <c r="T32" s="551"/>
      <c r="U32" s="551"/>
      <c r="V32" s="552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3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8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9"/>
      <c r="P35" s="550" t="s">
        <v>71</v>
      </c>
      <c r="Q35" s="551"/>
      <c r="R35" s="551"/>
      <c r="S35" s="551"/>
      <c r="T35" s="551"/>
      <c r="U35" s="551"/>
      <c r="V35" s="552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9"/>
      <c r="P36" s="550" t="s">
        <v>71</v>
      </c>
      <c r="Q36" s="551"/>
      <c r="R36" s="551"/>
      <c r="S36" s="551"/>
      <c r="T36" s="551"/>
      <c r="U36" s="551"/>
      <c r="V36" s="552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0" t="s">
        <v>97</v>
      </c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48"/>
      <c r="AB37" s="48"/>
      <c r="AC37" s="48"/>
    </row>
    <row r="38" spans="1:68" ht="16.5" customHeight="1" x14ac:dyDescent="0.25">
      <c r="A38" s="545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customHeight="1" x14ac:dyDescent="0.25">
      <c r="A39" s="553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8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9"/>
      <c r="P43" s="550" t="s">
        <v>71</v>
      </c>
      <c r="Q43" s="551"/>
      <c r="R43" s="551"/>
      <c r="S43" s="551"/>
      <c r="T43" s="551"/>
      <c r="U43" s="551"/>
      <c r="V43" s="552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9"/>
      <c r="P44" s="550" t="s">
        <v>71</v>
      </c>
      <c r="Q44" s="551"/>
      <c r="R44" s="551"/>
      <c r="S44" s="551"/>
      <c r="T44" s="551"/>
      <c r="U44" s="551"/>
      <c r="V44" s="552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customHeight="1" x14ac:dyDescent="0.25">
      <c r="A45" s="553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8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9"/>
      <c r="P47" s="550" t="s">
        <v>71</v>
      </c>
      <c r="Q47" s="551"/>
      <c r="R47" s="551"/>
      <c r="S47" s="551"/>
      <c r="T47" s="551"/>
      <c r="U47" s="551"/>
      <c r="V47" s="552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9"/>
      <c r="P48" s="550" t="s">
        <v>71</v>
      </c>
      <c r="Q48" s="551"/>
      <c r="R48" s="551"/>
      <c r="S48" s="551"/>
      <c r="T48" s="551"/>
      <c r="U48" s="551"/>
      <c r="V48" s="552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45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customHeight="1" x14ac:dyDescent="0.25">
      <c r="A50" s="553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5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22.5</v>
      </c>
      <c r="Y56" s="542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23.450000000000003</v>
      </c>
      <c r="BN56" s="64">
        <f t="shared" si="2"/>
        <v>23.450000000000003</v>
      </c>
      <c r="BO56" s="64">
        <f t="shared" si="3"/>
        <v>3.787878787878788E-2</v>
      </c>
      <c r="BP56" s="64">
        <f t="shared" si="4"/>
        <v>3.787878787878788E-2</v>
      </c>
    </row>
    <row r="57" spans="1:68" x14ac:dyDescent="0.2">
      <c r="A57" s="558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9"/>
      <c r="P57" s="550" t="s">
        <v>71</v>
      </c>
      <c r="Q57" s="551"/>
      <c r="R57" s="551"/>
      <c r="S57" s="551"/>
      <c r="T57" s="551"/>
      <c r="U57" s="551"/>
      <c r="V57" s="552"/>
      <c r="W57" s="37" t="s">
        <v>72</v>
      </c>
      <c r="X57" s="543">
        <f>IFERROR(X51/H51,"0")+IFERROR(X52/H52,"0")+IFERROR(X53/H53,"0")+IFERROR(X54/H54,"0")+IFERROR(X55/H55,"0")+IFERROR(X56/H56,"0")</f>
        <v>9.6296296296296298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0.14000000000000001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9"/>
      <c r="P58" s="550" t="s">
        <v>71</v>
      </c>
      <c r="Q58" s="551"/>
      <c r="R58" s="551"/>
      <c r="S58" s="551"/>
      <c r="T58" s="551"/>
      <c r="U58" s="551"/>
      <c r="V58" s="552"/>
      <c r="W58" s="37" t="s">
        <v>69</v>
      </c>
      <c r="X58" s="543">
        <f>IFERROR(SUM(X51:X56),"0")</f>
        <v>72.5</v>
      </c>
      <c r="Y58" s="543">
        <f>IFERROR(SUM(Y51:Y56),"0")</f>
        <v>76.5</v>
      </c>
      <c r="Z58" s="37"/>
      <c r="AA58" s="544"/>
      <c r="AB58" s="544"/>
      <c r="AC58" s="544"/>
    </row>
    <row r="59" spans="1:68" ht="14.25" customHeight="1" x14ac:dyDescent="0.25">
      <c r="A59" s="553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170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176.4537037037037</v>
      </c>
      <c r="BN60" s="64">
        <f>IFERROR(Y60*I60/H60,"0")</f>
        <v>179.36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8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9"/>
      <c r="P63" s="550" t="s">
        <v>71</v>
      </c>
      <c r="Q63" s="551"/>
      <c r="R63" s="551"/>
      <c r="S63" s="551"/>
      <c r="T63" s="551"/>
      <c r="U63" s="551"/>
      <c r="V63" s="552"/>
      <c r="W63" s="37" t="s">
        <v>72</v>
      </c>
      <c r="X63" s="543">
        <f>IFERROR(X60/H60,"0")+IFERROR(X61/H61,"0")+IFERROR(X62/H62,"0")</f>
        <v>15.74074074074074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9"/>
      <c r="P64" s="550" t="s">
        <v>71</v>
      </c>
      <c r="Q64" s="551"/>
      <c r="R64" s="551"/>
      <c r="S64" s="551"/>
      <c r="T64" s="551"/>
      <c r="U64" s="551"/>
      <c r="V64" s="552"/>
      <c r="W64" s="37" t="s">
        <v>69</v>
      </c>
      <c r="X64" s="543">
        <f>IFERROR(SUM(X60:X62),"0")</f>
        <v>170</v>
      </c>
      <c r="Y64" s="543">
        <f>IFERROR(SUM(Y60:Y62),"0")</f>
        <v>172.8</v>
      </c>
      <c r="Z64" s="37"/>
      <c r="AA64" s="544"/>
      <c r="AB64" s="544"/>
      <c r="AC64" s="544"/>
    </row>
    <row r="65" spans="1:68" ht="14.25" customHeight="1" x14ac:dyDescent="0.25">
      <c r="A65" s="553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56">
        <v>4680115885059</v>
      </c>
      <c r="E67" s="557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59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56">
        <v>4680115885097</v>
      </c>
      <c r="E68" s="557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8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9"/>
      <c r="P69" s="550" t="s">
        <v>71</v>
      </c>
      <c r="Q69" s="551"/>
      <c r="R69" s="551"/>
      <c r="S69" s="551"/>
      <c r="T69" s="551"/>
      <c r="U69" s="551"/>
      <c r="V69" s="552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9"/>
      <c r="P70" s="550" t="s">
        <v>71</v>
      </c>
      <c r="Q70" s="551"/>
      <c r="R70" s="551"/>
      <c r="S70" s="551"/>
      <c r="T70" s="551"/>
      <c r="U70" s="551"/>
      <c r="V70" s="552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3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56">
        <v>4680115885769</v>
      </c>
      <c r="E72" s="557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62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56">
        <v>4680115884311</v>
      </c>
      <c r="E73" s="557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56">
        <v>4680115885929</v>
      </c>
      <c r="E74" s="557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56">
        <v>4680115884403</v>
      </c>
      <c r="E75" s="557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8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59"/>
      <c r="P76" s="550" t="s">
        <v>71</v>
      </c>
      <c r="Q76" s="551"/>
      <c r="R76" s="551"/>
      <c r="S76" s="551"/>
      <c r="T76" s="551"/>
      <c r="U76" s="551"/>
      <c r="V76" s="552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9"/>
      <c r="P77" s="550" t="s">
        <v>71</v>
      </c>
      <c r="Q77" s="551"/>
      <c r="R77" s="551"/>
      <c r="S77" s="551"/>
      <c r="T77" s="551"/>
      <c r="U77" s="551"/>
      <c r="V77" s="552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3" t="s">
        <v>163</v>
      </c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56">
        <v>4680115881532</v>
      </c>
      <c r="E79" s="557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56">
        <v>4680115881464</v>
      </c>
      <c r="E80" s="557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8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59"/>
      <c r="P81" s="550" t="s">
        <v>71</v>
      </c>
      <c r="Q81" s="551"/>
      <c r="R81" s="551"/>
      <c r="S81" s="551"/>
      <c r="T81" s="551"/>
      <c r="U81" s="551"/>
      <c r="V81" s="552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9"/>
      <c r="P82" s="550" t="s">
        <v>71</v>
      </c>
      <c r="Q82" s="551"/>
      <c r="R82" s="551"/>
      <c r="S82" s="551"/>
      <c r="T82" s="551"/>
      <c r="U82" s="551"/>
      <c r="V82" s="552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45" t="s">
        <v>170</v>
      </c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36"/>
      <c r="AB83" s="536"/>
      <c r="AC83" s="536"/>
    </row>
    <row r="84" spans="1:68" ht="14.25" customHeight="1" x14ac:dyDescent="0.25">
      <c r="A84" s="553" t="s">
        <v>99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6">
        <v>4680115881327</v>
      </c>
      <c r="E85" s="557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4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8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59"/>
      <c r="P88" s="550" t="s">
        <v>71</v>
      </c>
      <c r="Q88" s="551"/>
      <c r="R88" s="551"/>
      <c r="S88" s="551"/>
      <c r="T88" s="551"/>
      <c r="U88" s="551"/>
      <c r="V88" s="552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46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9"/>
      <c r="P89" s="550" t="s">
        <v>71</v>
      </c>
      <c r="Q89" s="551"/>
      <c r="R89" s="551"/>
      <c r="S89" s="551"/>
      <c r="T89" s="551"/>
      <c r="U89" s="551"/>
      <c r="V89" s="552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3" t="s">
        <v>73</v>
      </c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8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59"/>
      <c r="P95" s="550" t="s">
        <v>71</v>
      </c>
      <c r="Q95" s="551"/>
      <c r="R95" s="551"/>
      <c r="S95" s="551"/>
      <c r="T95" s="551"/>
      <c r="U95" s="551"/>
      <c r="V95" s="552"/>
      <c r="W95" s="37" t="s">
        <v>72</v>
      </c>
      <c r="X95" s="543">
        <f>IFERROR(X91/H91,"0")+IFERROR(X92/H92,"0")+IFERROR(X93/H93,"0")+IFERROR(X94/H94,"0")</f>
        <v>49.382716049382715</v>
      </c>
      <c r="Y95" s="543">
        <f>IFERROR(Y91/H91,"0")+IFERROR(Y92/H92,"0")+IFERROR(Y93/H93,"0")+IFERROR(Y94/H94,"0")</f>
        <v>50</v>
      </c>
      <c r="Z95" s="543">
        <f>IFERROR(IF(Z91="",0,Z91),"0")+IFERROR(IF(Z92="",0,Z92),"0")+IFERROR(IF(Z93="",0,Z93),"0")+IFERROR(IF(Z94="",0,Z94),"0")</f>
        <v>0.94900000000000007</v>
      </c>
      <c r="AA95" s="544"/>
      <c r="AB95" s="544"/>
      <c r="AC95" s="544"/>
    </row>
    <row r="96" spans="1:68" x14ac:dyDescent="0.2">
      <c r="A96" s="546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9"/>
      <c r="P96" s="550" t="s">
        <v>71</v>
      </c>
      <c r="Q96" s="551"/>
      <c r="R96" s="551"/>
      <c r="S96" s="551"/>
      <c r="T96" s="551"/>
      <c r="U96" s="551"/>
      <c r="V96" s="552"/>
      <c r="W96" s="37" t="s">
        <v>69</v>
      </c>
      <c r="X96" s="543">
        <f>IFERROR(SUM(X91:X94),"0")</f>
        <v>400</v>
      </c>
      <c r="Y96" s="543">
        <f>IFERROR(SUM(Y91:Y94),"0")</f>
        <v>405</v>
      </c>
      <c r="Z96" s="37"/>
      <c r="AA96" s="544"/>
      <c r="AB96" s="544"/>
      <c r="AC96" s="544"/>
    </row>
    <row r="97" spans="1:68" ht="16.5" customHeight="1" x14ac:dyDescent="0.25">
      <c r="A97" s="545" t="s">
        <v>190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6"/>
      <c r="AB97" s="536"/>
      <c r="AC97" s="536"/>
    </row>
    <row r="98" spans="1:68" ht="14.25" customHeight="1" x14ac:dyDescent="0.25">
      <c r="A98" s="553" t="s">
        <v>99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150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6">
        <v>4680115880269</v>
      </c>
      <c r="E100" s="557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6">
        <v>4680115880429</v>
      </c>
      <c r="E101" s="557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6">
        <v>4680115881457</v>
      </c>
      <c r="E102" s="557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8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59"/>
      <c r="P103" s="550" t="s">
        <v>71</v>
      </c>
      <c r="Q103" s="551"/>
      <c r="R103" s="551"/>
      <c r="S103" s="551"/>
      <c r="T103" s="551"/>
      <c r="U103" s="551"/>
      <c r="V103" s="552"/>
      <c r="W103" s="37" t="s">
        <v>72</v>
      </c>
      <c r="X103" s="543">
        <f>IFERROR(X99/H99,"0")+IFERROR(X100/H100,"0")+IFERROR(X101/H101,"0")+IFERROR(X102/H102,"0")</f>
        <v>13.888888888888888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9"/>
      <c r="P104" s="550" t="s">
        <v>71</v>
      </c>
      <c r="Q104" s="551"/>
      <c r="R104" s="551"/>
      <c r="S104" s="551"/>
      <c r="T104" s="551"/>
      <c r="U104" s="551"/>
      <c r="V104" s="552"/>
      <c r="W104" s="37" t="s">
        <v>69</v>
      </c>
      <c r="X104" s="543">
        <f>IFERROR(SUM(X99:X102),"0")</f>
        <v>150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customHeight="1" x14ac:dyDescent="0.25">
      <c r="A105" s="553" t="s">
        <v>135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6">
        <v>4680115881488</v>
      </c>
      <c r="E106" s="557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6">
        <v>4680115882775</v>
      </c>
      <c r="E107" s="557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4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6">
        <v>4680115880658</v>
      </c>
      <c r="E108" s="557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8"/>
      <c r="B109" s="546"/>
      <c r="C109" s="546"/>
      <c r="D109" s="546"/>
      <c r="E109" s="546"/>
      <c r="F109" s="546"/>
      <c r="G109" s="546"/>
      <c r="H109" s="546"/>
      <c r="I109" s="546"/>
      <c r="J109" s="546"/>
      <c r="K109" s="546"/>
      <c r="L109" s="546"/>
      <c r="M109" s="546"/>
      <c r="N109" s="546"/>
      <c r="O109" s="559"/>
      <c r="P109" s="550" t="s">
        <v>71</v>
      </c>
      <c r="Q109" s="551"/>
      <c r="R109" s="551"/>
      <c r="S109" s="551"/>
      <c r="T109" s="551"/>
      <c r="U109" s="551"/>
      <c r="V109" s="552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46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9"/>
      <c r="P110" s="550" t="s">
        <v>71</v>
      </c>
      <c r="Q110" s="551"/>
      <c r="R110" s="551"/>
      <c r="S110" s="551"/>
      <c r="T110" s="551"/>
      <c r="U110" s="551"/>
      <c r="V110" s="552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3" t="s">
        <v>73</v>
      </c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6">
        <v>4607091385168</v>
      </c>
      <c r="E112" s="557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4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6">
        <v>4607091383256</v>
      </c>
      <c r="E113" s="557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6">
        <v>4607091385748</v>
      </c>
      <c r="E114" s="557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45</v>
      </c>
      <c r="Y114" s="542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6">
        <v>4680115884533</v>
      </c>
      <c r="E115" s="557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8"/>
      <c r="B116" s="546"/>
      <c r="C116" s="546"/>
      <c r="D116" s="546"/>
      <c r="E116" s="546"/>
      <c r="F116" s="546"/>
      <c r="G116" s="546"/>
      <c r="H116" s="546"/>
      <c r="I116" s="546"/>
      <c r="J116" s="546"/>
      <c r="K116" s="546"/>
      <c r="L116" s="546"/>
      <c r="M116" s="546"/>
      <c r="N116" s="546"/>
      <c r="O116" s="559"/>
      <c r="P116" s="550" t="s">
        <v>71</v>
      </c>
      <c r="Q116" s="551"/>
      <c r="R116" s="551"/>
      <c r="S116" s="551"/>
      <c r="T116" s="551"/>
      <c r="U116" s="551"/>
      <c r="V116" s="552"/>
      <c r="W116" s="37" t="s">
        <v>72</v>
      </c>
      <c r="X116" s="543">
        <f>IFERROR(X112/H112,"0")+IFERROR(X113/H113,"0")+IFERROR(X114/H114,"0")+IFERROR(X115/H115,"0")</f>
        <v>16.666666666666664</v>
      </c>
      <c r="Y116" s="543">
        <f>IFERROR(Y112/H112,"0")+IFERROR(Y113/H113,"0")+IFERROR(Y114/H114,"0")+IFERROR(Y115/H115,"0")</f>
        <v>17</v>
      </c>
      <c r="Z116" s="543">
        <f>IFERROR(IF(Z112="",0,Z112),"0")+IFERROR(IF(Z113="",0,Z113),"0")+IFERROR(IF(Z114="",0,Z114),"0")+IFERROR(IF(Z115="",0,Z115),"0")</f>
        <v>0.11067</v>
      </c>
      <c r="AA116" s="544"/>
      <c r="AB116" s="544"/>
      <c r="AC116" s="544"/>
    </row>
    <row r="117" spans="1:68" x14ac:dyDescent="0.2">
      <c r="A117" s="546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9"/>
      <c r="P117" s="550" t="s">
        <v>71</v>
      </c>
      <c r="Q117" s="551"/>
      <c r="R117" s="551"/>
      <c r="S117" s="551"/>
      <c r="T117" s="551"/>
      <c r="U117" s="551"/>
      <c r="V117" s="552"/>
      <c r="W117" s="37" t="s">
        <v>69</v>
      </c>
      <c r="X117" s="543">
        <f>IFERROR(SUM(X112:X115),"0")</f>
        <v>45</v>
      </c>
      <c r="Y117" s="543">
        <f>IFERROR(SUM(Y112:Y115),"0")</f>
        <v>45.900000000000006</v>
      </c>
      <c r="Z117" s="37"/>
      <c r="AA117" s="544"/>
      <c r="AB117" s="544"/>
      <c r="AC117" s="544"/>
    </row>
    <row r="118" spans="1:68" ht="14.25" customHeight="1" x14ac:dyDescent="0.25">
      <c r="A118" s="553" t="s">
        <v>163</v>
      </c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6">
        <v>4680115880238</v>
      </c>
      <c r="E119" s="557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46"/>
      <c r="C120" s="546"/>
      <c r="D120" s="546"/>
      <c r="E120" s="546"/>
      <c r="F120" s="546"/>
      <c r="G120" s="546"/>
      <c r="H120" s="546"/>
      <c r="I120" s="546"/>
      <c r="J120" s="546"/>
      <c r="K120" s="546"/>
      <c r="L120" s="546"/>
      <c r="M120" s="546"/>
      <c r="N120" s="546"/>
      <c r="O120" s="559"/>
      <c r="P120" s="550" t="s">
        <v>71</v>
      </c>
      <c r="Q120" s="551"/>
      <c r="R120" s="551"/>
      <c r="S120" s="551"/>
      <c r="T120" s="551"/>
      <c r="U120" s="551"/>
      <c r="V120" s="552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46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9"/>
      <c r="P121" s="550" t="s">
        <v>71</v>
      </c>
      <c r="Q121" s="551"/>
      <c r="R121" s="551"/>
      <c r="S121" s="551"/>
      <c r="T121" s="551"/>
      <c r="U121" s="551"/>
      <c r="V121" s="552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45" t="s">
        <v>220</v>
      </c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36"/>
      <c r="AB122" s="536"/>
      <c r="AC122" s="536"/>
    </row>
    <row r="123" spans="1:68" ht="14.25" customHeight="1" x14ac:dyDescent="0.25">
      <c r="A123" s="553" t="s">
        <v>99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6">
        <v>4680115882577</v>
      </c>
      <c r="E124" s="557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6">
        <v>4680115882577</v>
      </c>
      <c r="E125" s="557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6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8"/>
      <c r="B126" s="546"/>
      <c r="C126" s="546"/>
      <c r="D126" s="546"/>
      <c r="E126" s="546"/>
      <c r="F126" s="546"/>
      <c r="G126" s="546"/>
      <c r="H126" s="546"/>
      <c r="I126" s="546"/>
      <c r="J126" s="546"/>
      <c r="K126" s="546"/>
      <c r="L126" s="546"/>
      <c r="M126" s="546"/>
      <c r="N126" s="546"/>
      <c r="O126" s="559"/>
      <c r="P126" s="550" t="s">
        <v>71</v>
      </c>
      <c r="Q126" s="551"/>
      <c r="R126" s="551"/>
      <c r="S126" s="551"/>
      <c r="T126" s="551"/>
      <c r="U126" s="551"/>
      <c r="V126" s="552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46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9"/>
      <c r="P127" s="550" t="s">
        <v>71</v>
      </c>
      <c r="Q127" s="551"/>
      <c r="R127" s="551"/>
      <c r="S127" s="551"/>
      <c r="T127" s="551"/>
      <c r="U127" s="551"/>
      <c r="V127" s="552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3" t="s">
        <v>64</v>
      </c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6">
        <v>4680115883444</v>
      </c>
      <c r="E129" s="557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6">
        <v>4680115883444</v>
      </c>
      <c r="E130" s="557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8"/>
      <c r="B131" s="546"/>
      <c r="C131" s="546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59"/>
      <c r="P131" s="550" t="s">
        <v>71</v>
      </c>
      <c r="Q131" s="551"/>
      <c r="R131" s="551"/>
      <c r="S131" s="551"/>
      <c r="T131" s="551"/>
      <c r="U131" s="551"/>
      <c r="V131" s="552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46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9"/>
      <c r="P132" s="550" t="s">
        <v>71</v>
      </c>
      <c r="Q132" s="551"/>
      <c r="R132" s="551"/>
      <c r="S132" s="551"/>
      <c r="T132" s="551"/>
      <c r="U132" s="551"/>
      <c r="V132" s="552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3" t="s">
        <v>73</v>
      </c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46"/>
      <c r="R133" s="546"/>
      <c r="S133" s="546"/>
      <c r="T133" s="546"/>
      <c r="U133" s="546"/>
      <c r="V133" s="546"/>
      <c r="W133" s="546"/>
      <c r="X133" s="546"/>
      <c r="Y133" s="546"/>
      <c r="Z133" s="546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6">
        <v>4680115882584</v>
      </c>
      <c r="E134" s="557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6">
        <v>4680115882584</v>
      </c>
      <c r="E135" s="557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8"/>
      <c r="B136" s="546"/>
      <c r="C136" s="546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59"/>
      <c r="P136" s="550" t="s">
        <v>71</v>
      </c>
      <c r="Q136" s="551"/>
      <c r="R136" s="551"/>
      <c r="S136" s="551"/>
      <c r="T136" s="551"/>
      <c r="U136" s="551"/>
      <c r="V136" s="552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46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9"/>
      <c r="P137" s="550" t="s">
        <v>71</v>
      </c>
      <c r="Q137" s="551"/>
      <c r="R137" s="551"/>
      <c r="S137" s="551"/>
      <c r="T137" s="551"/>
      <c r="U137" s="551"/>
      <c r="V137" s="552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45" t="s">
        <v>97</v>
      </c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46"/>
      <c r="P138" s="546"/>
      <c r="Q138" s="546"/>
      <c r="R138" s="546"/>
      <c r="S138" s="546"/>
      <c r="T138" s="546"/>
      <c r="U138" s="546"/>
      <c r="V138" s="546"/>
      <c r="W138" s="546"/>
      <c r="X138" s="546"/>
      <c r="Y138" s="546"/>
      <c r="Z138" s="546"/>
      <c r="AA138" s="536"/>
      <c r="AB138" s="536"/>
      <c r="AC138" s="536"/>
    </row>
    <row r="139" spans="1:68" ht="14.25" customHeight="1" x14ac:dyDescent="0.25">
      <c r="A139" s="553" t="s">
        <v>99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6">
        <v>4680115887374</v>
      </c>
      <c r="E140" s="557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6">
        <v>4607091384604</v>
      </c>
      <c r="E141" s="557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8"/>
      <c r="B142" s="546"/>
      <c r="C142" s="546"/>
      <c r="D142" s="546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59"/>
      <c r="P142" s="550" t="s">
        <v>71</v>
      </c>
      <c r="Q142" s="551"/>
      <c r="R142" s="551"/>
      <c r="S142" s="551"/>
      <c r="T142" s="551"/>
      <c r="U142" s="551"/>
      <c r="V142" s="552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46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59"/>
      <c r="P143" s="550" t="s">
        <v>71</v>
      </c>
      <c r="Q143" s="551"/>
      <c r="R143" s="551"/>
      <c r="S143" s="551"/>
      <c r="T143" s="551"/>
      <c r="U143" s="551"/>
      <c r="V143" s="552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3" t="s">
        <v>64</v>
      </c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46"/>
      <c r="P144" s="546"/>
      <c r="Q144" s="546"/>
      <c r="R144" s="546"/>
      <c r="S144" s="546"/>
      <c r="T144" s="546"/>
      <c r="U144" s="546"/>
      <c r="V144" s="546"/>
      <c r="W144" s="546"/>
      <c r="X144" s="546"/>
      <c r="Y144" s="546"/>
      <c r="Z144" s="546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6">
        <v>4607091387667</v>
      </c>
      <c r="E145" s="557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8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6">
        <v>4607091387636</v>
      </c>
      <c r="E146" s="557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6">
        <v>4607091382426</v>
      </c>
      <c r="E147" s="557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8"/>
      <c r="B148" s="546"/>
      <c r="C148" s="546"/>
      <c r="D148" s="546"/>
      <c r="E148" s="546"/>
      <c r="F148" s="546"/>
      <c r="G148" s="546"/>
      <c r="H148" s="546"/>
      <c r="I148" s="546"/>
      <c r="J148" s="546"/>
      <c r="K148" s="546"/>
      <c r="L148" s="546"/>
      <c r="M148" s="546"/>
      <c r="N148" s="546"/>
      <c r="O148" s="559"/>
      <c r="P148" s="550" t="s">
        <v>71</v>
      </c>
      <c r="Q148" s="551"/>
      <c r="R148" s="551"/>
      <c r="S148" s="551"/>
      <c r="T148" s="551"/>
      <c r="U148" s="551"/>
      <c r="V148" s="552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46"/>
      <c r="B149" s="546"/>
      <c r="C149" s="546"/>
      <c r="D149" s="546"/>
      <c r="E149" s="546"/>
      <c r="F149" s="546"/>
      <c r="G149" s="546"/>
      <c r="H149" s="546"/>
      <c r="I149" s="546"/>
      <c r="J149" s="546"/>
      <c r="K149" s="546"/>
      <c r="L149" s="546"/>
      <c r="M149" s="546"/>
      <c r="N149" s="546"/>
      <c r="O149" s="559"/>
      <c r="P149" s="550" t="s">
        <v>71</v>
      </c>
      <c r="Q149" s="551"/>
      <c r="R149" s="551"/>
      <c r="S149" s="551"/>
      <c r="T149" s="551"/>
      <c r="U149" s="551"/>
      <c r="V149" s="552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3" t="s">
        <v>73</v>
      </c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6">
        <v>4680115887459</v>
      </c>
      <c r="E151" s="557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8"/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59"/>
      <c r="P152" s="550" t="s">
        <v>71</v>
      </c>
      <c r="Q152" s="551"/>
      <c r="R152" s="551"/>
      <c r="S152" s="551"/>
      <c r="T152" s="551"/>
      <c r="U152" s="551"/>
      <c r="V152" s="552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46"/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59"/>
      <c r="P153" s="550" t="s">
        <v>71</v>
      </c>
      <c r="Q153" s="551"/>
      <c r="R153" s="551"/>
      <c r="S153" s="551"/>
      <c r="T153" s="551"/>
      <c r="U153" s="551"/>
      <c r="V153" s="552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40" t="s">
        <v>250</v>
      </c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48"/>
      <c r="AB154" s="48"/>
      <c r="AC154" s="48"/>
    </row>
    <row r="155" spans="1:68" ht="16.5" customHeight="1" x14ac:dyDescent="0.25">
      <c r="A155" s="545" t="s">
        <v>251</v>
      </c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46"/>
      <c r="P155" s="546"/>
      <c r="Q155" s="546"/>
      <c r="R155" s="546"/>
      <c r="S155" s="546"/>
      <c r="T155" s="546"/>
      <c r="U155" s="546"/>
      <c r="V155" s="546"/>
      <c r="W155" s="546"/>
      <c r="X155" s="546"/>
      <c r="Y155" s="546"/>
      <c r="Z155" s="546"/>
      <c r="AA155" s="536"/>
      <c r="AB155" s="536"/>
      <c r="AC155" s="536"/>
    </row>
    <row r="156" spans="1:68" ht="14.25" customHeight="1" x14ac:dyDescent="0.25">
      <c r="A156" s="553" t="s">
        <v>135</v>
      </c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6">
        <v>4680115886223</v>
      </c>
      <c r="E157" s="557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8"/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59"/>
      <c r="P158" s="550" t="s">
        <v>71</v>
      </c>
      <c r="Q158" s="551"/>
      <c r="R158" s="551"/>
      <c r="S158" s="551"/>
      <c r="T158" s="551"/>
      <c r="U158" s="551"/>
      <c r="V158" s="552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46"/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59"/>
      <c r="P159" s="550" t="s">
        <v>71</v>
      </c>
      <c r="Q159" s="551"/>
      <c r="R159" s="551"/>
      <c r="S159" s="551"/>
      <c r="T159" s="551"/>
      <c r="U159" s="551"/>
      <c r="V159" s="552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3" t="s">
        <v>64</v>
      </c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46"/>
      <c r="P160" s="546"/>
      <c r="Q160" s="546"/>
      <c r="R160" s="546"/>
      <c r="S160" s="546"/>
      <c r="T160" s="546"/>
      <c r="U160" s="546"/>
      <c r="V160" s="546"/>
      <c r="W160" s="546"/>
      <c r="X160" s="546"/>
      <c r="Y160" s="546"/>
      <c r="Z160" s="546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6">
        <v>4680115880993</v>
      </c>
      <c r="E161" s="557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150</v>
      </c>
      <c r="Y161" s="542">
        <f t="shared" ref="Y161:Y170" si="5">IFERROR(IF(X161="",0,CEILING((X161/$H161),1)*$H161),"")</f>
        <v>151.20000000000002</v>
      </c>
      <c r="Z161" s="36">
        <f>IFERROR(IF(Y161=0,"",ROUNDUP(Y161/H161,0)*0.00902),"")</f>
        <v>0.32472000000000001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158.92857142857142</v>
      </c>
      <c r="BN161" s="64">
        <f t="shared" ref="BN161:BN170" si="7">IFERROR(Y161*I161/H161,"0")</f>
        <v>160.20000000000002</v>
      </c>
      <c r="BO161" s="64">
        <f t="shared" ref="BO161:BO170" si="8">IFERROR(1/J161*(X161/H161),"0")</f>
        <v>0.27056277056277056</v>
      </c>
      <c r="BP161" s="64">
        <f t="shared" ref="BP161:BP170" si="9">IFERROR(1/J161*(Y161/H161),"0")</f>
        <v>0.27272727272727271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6">
        <v>4680115881761</v>
      </c>
      <c r="E162" s="557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6">
        <v>4680115881563</v>
      </c>
      <c r="E163" s="557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6">
        <v>4680115880986</v>
      </c>
      <c r="E164" s="557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6">
        <v>4680115887213</v>
      </c>
      <c r="E165" s="557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0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6">
        <v>4680115881785</v>
      </c>
      <c r="E166" s="557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6">
        <v>4680115886537</v>
      </c>
      <c r="E167" s="557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6">
        <v>4680115881679</v>
      </c>
      <c r="E168" s="557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8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6">
        <v>4680115880191</v>
      </c>
      <c r="E169" s="557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6">
        <v>4680115883963</v>
      </c>
      <c r="E170" s="557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8"/>
      <c r="B171" s="546"/>
      <c r="C171" s="546"/>
      <c r="D171" s="546"/>
      <c r="E171" s="546"/>
      <c r="F171" s="546"/>
      <c r="G171" s="546"/>
      <c r="H171" s="546"/>
      <c r="I171" s="546"/>
      <c r="J171" s="546"/>
      <c r="K171" s="546"/>
      <c r="L171" s="546"/>
      <c r="M171" s="546"/>
      <c r="N171" s="546"/>
      <c r="O171" s="559"/>
      <c r="P171" s="550" t="s">
        <v>71</v>
      </c>
      <c r="Q171" s="551"/>
      <c r="R171" s="551"/>
      <c r="S171" s="551"/>
      <c r="T171" s="551"/>
      <c r="U171" s="551"/>
      <c r="V171" s="552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35.714285714285715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0.32472000000000001</v>
      </c>
      <c r="AA171" s="544"/>
      <c r="AB171" s="544"/>
      <c r="AC171" s="544"/>
    </row>
    <row r="172" spans="1:68" x14ac:dyDescent="0.2">
      <c r="A172" s="546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9"/>
      <c r="P172" s="550" t="s">
        <v>71</v>
      </c>
      <c r="Q172" s="551"/>
      <c r="R172" s="551"/>
      <c r="S172" s="551"/>
      <c r="T172" s="551"/>
      <c r="U172" s="551"/>
      <c r="V172" s="552"/>
      <c r="W172" s="37" t="s">
        <v>69</v>
      </c>
      <c r="X172" s="543">
        <f>IFERROR(SUM(X161:X170),"0")</f>
        <v>150</v>
      </c>
      <c r="Y172" s="543">
        <f>IFERROR(SUM(Y161:Y170),"0")</f>
        <v>151.20000000000002</v>
      </c>
      <c r="Z172" s="37"/>
      <c r="AA172" s="544"/>
      <c r="AB172" s="544"/>
      <c r="AC172" s="544"/>
    </row>
    <row r="173" spans="1:68" ht="14.25" customHeight="1" x14ac:dyDescent="0.25">
      <c r="A173" s="553" t="s">
        <v>91</v>
      </c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46"/>
      <c r="P173" s="546"/>
      <c r="Q173" s="546"/>
      <c r="R173" s="546"/>
      <c r="S173" s="546"/>
      <c r="T173" s="546"/>
      <c r="U173" s="546"/>
      <c r="V173" s="546"/>
      <c r="W173" s="546"/>
      <c r="X173" s="546"/>
      <c r="Y173" s="546"/>
      <c r="Z173" s="546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6">
        <v>4680115886780</v>
      </c>
      <c r="E174" s="557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6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6">
        <v>4680115886742</v>
      </c>
      <c r="E175" s="557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6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6">
        <v>4680115886766</v>
      </c>
      <c r="E176" s="557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8"/>
      <c r="B177" s="546"/>
      <c r="C177" s="546"/>
      <c r="D177" s="546"/>
      <c r="E177" s="546"/>
      <c r="F177" s="546"/>
      <c r="G177" s="546"/>
      <c r="H177" s="546"/>
      <c r="I177" s="546"/>
      <c r="J177" s="546"/>
      <c r="K177" s="546"/>
      <c r="L177" s="546"/>
      <c r="M177" s="546"/>
      <c r="N177" s="546"/>
      <c r="O177" s="559"/>
      <c r="P177" s="550" t="s">
        <v>71</v>
      </c>
      <c r="Q177" s="551"/>
      <c r="R177" s="551"/>
      <c r="S177" s="551"/>
      <c r="T177" s="551"/>
      <c r="U177" s="551"/>
      <c r="V177" s="552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46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9"/>
      <c r="P178" s="550" t="s">
        <v>71</v>
      </c>
      <c r="Q178" s="551"/>
      <c r="R178" s="551"/>
      <c r="S178" s="551"/>
      <c r="T178" s="551"/>
      <c r="U178" s="551"/>
      <c r="V178" s="552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3" t="s">
        <v>293</v>
      </c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46"/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6">
        <v>4680115886797</v>
      </c>
      <c r="E180" s="557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7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8"/>
      <c r="B181" s="546"/>
      <c r="C181" s="546"/>
      <c r="D181" s="546"/>
      <c r="E181" s="546"/>
      <c r="F181" s="546"/>
      <c r="G181" s="546"/>
      <c r="H181" s="546"/>
      <c r="I181" s="546"/>
      <c r="J181" s="546"/>
      <c r="K181" s="546"/>
      <c r="L181" s="546"/>
      <c r="M181" s="546"/>
      <c r="N181" s="546"/>
      <c r="O181" s="559"/>
      <c r="P181" s="550" t="s">
        <v>71</v>
      </c>
      <c r="Q181" s="551"/>
      <c r="R181" s="551"/>
      <c r="S181" s="551"/>
      <c r="T181" s="551"/>
      <c r="U181" s="551"/>
      <c r="V181" s="552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46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9"/>
      <c r="P182" s="550" t="s">
        <v>71</v>
      </c>
      <c r="Q182" s="551"/>
      <c r="R182" s="551"/>
      <c r="S182" s="551"/>
      <c r="T182" s="551"/>
      <c r="U182" s="551"/>
      <c r="V182" s="552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45" t="s">
        <v>296</v>
      </c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46"/>
      <c r="P183" s="546"/>
      <c r="Q183" s="546"/>
      <c r="R183" s="546"/>
      <c r="S183" s="546"/>
      <c r="T183" s="546"/>
      <c r="U183" s="546"/>
      <c r="V183" s="546"/>
      <c r="W183" s="546"/>
      <c r="X183" s="546"/>
      <c r="Y183" s="546"/>
      <c r="Z183" s="546"/>
      <c r="AA183" s="536"/>
      <c r="AB183" s="536"/>
      <c r="AC183" s="536"/>
    </row>
    <row r="184" spans="1:68" ht="14.25" customHeight="1" x14ac:dyDescent="0.25">
      <c r="A184" s="553" t="s">
        <v>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6">
        <v>4680115881402</v>
      </c>
      <c r="E185" s="557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6">
        <v>4680115881396</v>
      </c>
      <c r="E186" s="557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6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8"/>
      <c r="B187" s="546"/>
      <c r="C187" s="546"/>
      <c r="D187" s="546"/>
      <c r="E187" s="546"/>
      <c r="F187" s="546"/>
      <c r="G187" s="546"/>
      <c r="H187" s="546"/>
      <c r="I187" s="546"/>
      <c r="J187" s="546"/>
      <c r="K187" s="546"/>
      <c r="L187" s="546"/>
      <c r="M187" s="546"/>
      <c r="N187" s="546"/>
      <c r="O187" s="559"/>
      <c r="P187" s="550" t="s">
        <v>71</v>
      </c>
      <c r="Q187" s="551"/>
      <c r="R187" s="551"/>
      <c r="S187" s="551"/>
      <c r="T187" s="551"/>
      <c r="U187" s="551"/>
      <c r="V187" s="552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46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9"/>
      <c r="P188" s="550" t="s">
        <v>71</v>
      </c>
      <c r="Q188" s="551"/>
      <c r="R188" s="551"/>
      <c r="S188" s="551"/>
      <c r="T188" s="551"/>
      <c r="U188" s="551"/>
      <c r="V188" s="552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3" t="s">
        <v>135</v>
      </c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46"/>
      <c r="P189" s="546"/>
      <c r="Q189" s="546"/>
      <c r="R189" s="546"/>
      <c r="S189" s="546"/>
      <c r="T189" s="546"/>
      <c r="U189" s="546"/>
      <c r="V189" s="546"/>
      <c r="W189" s="546"/>
      <c r="X189" s="546"/>
      <c r="Y189" s="546"/>
      <c r="Z189" s="546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6">
        <v>4680115882935</v>
      </c>
      <c r="E190" s="557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6">
        <v>4680115880764</v>
      </c>
      <c r="E191" s="557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6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8"/>
      <c r="B192" s="546"/>
      <c r="C192" s="546"/>
      <c r="D192" s="546"/>
      <c r="E192" s="546"/>
      <c r="F192" s="546"/>
      <c r="G192" s="546"/>
      <c r="H192" s="546"/>
      <c r="I192" s="546"/>
      <c r="J192" s="546"/>
      <c r="K192" s="546"/>
      <c r="L192" s="546"/>
      <c r="M192" s="546"/>
      <c r="N192" s="546"/>
      <c r="O192" s="559"/>
      <c r="P192" s="550" t="s">
        <v>71</v>
      </c>
      <c r="Q192" s="551"/>
      <c r="R192" s="551"/>
      <c r="S192" s="551"/>
      <c r="T192" s="551"/>
      <c r="U192" s="551"/>
      <c r="V192" s="552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46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9"/>
      <c r="P193" s="550" t="s">
        <v>71</v>
      </c>
      <c r="Q193" s="551"/>
      <c r="R193" s="551"/>
      <c r="S193" s="551"/>
      <c r="T193" s="551"/>
      <c r="U193" s="551"/>
      <c r="V193" s="552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3" t="s">
        <v>64</v>
      </c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46"/>
      <c r="P194" s="546"/>
      <c r="Q194" s="546"/>
      <c r="R194" s="546"/>
      <c r="S194" s="546"/>
      <c r="T194" s="546"/>
      <c r="U194" s="546"/>
      <c r="V194" s="546"/>
      <c r="W194" s="546"/>
      <c r="X194" s="546"/>
      <c r="Y194" s="546"/>
      <c r="Z194" s="546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6">
        <v>4680115882683</v>
      </c>
      <c r="E195" s="557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6">
        <v>4680115882690</v>
      </c>
      <c r="E196" s="557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6">
        <v>4680115882669</v>
      </c>
      <c r="E197" s="557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6">
        <v>4680115882676</v>
      </c>
      <c r="E198" s="557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6">
        <v>4680115884014</v>
      </c>
      <c r="E199" s="557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6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6">
        <v>4680115884007</v>
      </c>
      <c r="E200" s="557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5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6">
        <v>4680115884038</v>
      </c>
      <c r="E201" s="557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6">
        <v>4680115884021</v>
      </c>
      <c r="E202" s="557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5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8"/>
      <c r="B203" s="546"/>
      <c r="C203" s="546"/>
      <c r="D203" s="546"/>
      <c r="E203" s="546"/>
      <c r="F203" s="546"/>
      <c r="G203" s="546"/>
      <c r="H203" s="546"/>
      <c r="I203" s="546"/>
      <c r="J203" s="546"/>
      <c r="K203" s="546"/>
      <c r="L203" s="546"/>
      <c r="M203" s="546"/>
      <c r="N203" s="546"/>
      <c r="O203" s="559"/>
      <c r="P203" s="550" t="s">
        <v>71</v>
      </c>
      <c r="Q203" s="551"/>
      <c r="R203" s="551"/>
      <c r="S203" s="551"/>
      <c r="T203" s="551"/>
      <c r="U203" s="551"/>
      <c r="V203" s="552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46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9"/>
      <c r="P204" s="550" t="s">
        <v>71</v>
      </c>
      <c r="Q204" s="551"/>
      <c r="R204" s="551"/>
      <c r="S204" s="551"/>
      <c r="T204" s="551"/>
      <c r="U204" s="551"/>
      <c r="V204" s="552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3" t="s">
        <v>73</v>
      </c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46"/>
      <c r="P205" s="546"/>
      <c r="Q205" s="546"/>
      <c r="R205" s="546"/>
      <c r="S205" s="546"/>
      <c r="T205" s="546"/>
      <c r="U205" s="546"/>
      <c r="V205" s="546"/>
      <c r="W205" s="546"/>
      <c r="X205" s="546"/>
      <c r="Y205" s="546"/>
      <c r="Z205" s="546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6">
        <v>4680115881594</v>
      </c>
      <c r="E206" s="557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6">
        <v>4680115881617</v>
      </c>
      <c r="E207" s="557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6">
        <v>4680115880573</v>
      </c>
      <c r="E208" s="557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6">
        <v>4680115882195</v>
      </c>
      <c r="E209" s="557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6">
        <v>4680115882607</v>
      </c>
      <c r="E210" s="557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6">
        <v>4680115880092</v>
      </c>
      <c r="E211" s="557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6">
        <v>4680115880221</v>
      </c>
      <c r="E212" s="557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6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6">
        <v>4680115880504</v>
      </c>
      <c r="E213" s="557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6">
        <v>4680115882164</v>
      </c>
      <c r="E214" s="557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8"/>
      <c r="B215" s="546"/>
      <c r="C215" s="546"/>
      <c r="D215" s="546"/>
      <c r="E215" s="546"/>
      <c r="F215" s="546"/>
      <c r="G215" s="546"/>
      <c r="H215" s="546"/>
      <c r="I215" s="546"/>
      <c r="J215" s="546"/>
      <c r="K215" s="546"/>
      <c r="L215" s="546"/>
      <c r="M215" s="546"/>
      <c r="N215" s="546"/>
      <c r="O215" s="559"/>
      <c r="P215" s="550" t="s">
        <v>71</v>
      </c>
      <c r="Q215" s="551"/>
      <c r="R215" s="551"/>
      <c r="S215" s="551"/>
      <c r="T215" s="551"/>
      <c r="U215" s="551"/>
      <c r="V215" s="552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46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9"/>
      <c r="P216" s="550" t="s">
        <v>71</v>
      </c>
      <c r="Q216" s="551"/>
      <c r="R216" s="551"/>
      <c r="S216" s="551"/>
      <c r="T216" s="551"/>
      <c r="U216" s="551"/>
      <c r="V216" s="552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customHeight="1" x14ac:dyDescent="0.25">
      <c r="A217" s="553" t="s">
        <v>163</v>
      </c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6"/>
      <c r="P217" s="546"/>
      <c r="Q217" s="546"/>
      <c r="R217" s="546"/>
      <c r="S217" s="546"/>
      <c r="T217" s="546"/>
      <c r="U217" s="546"/>
      <c r="V217" s="546"/>
      <c r="W217" s="546"/>
      <c r="X217" s="546"/>
      <c r="Y217" s="546"/>
      <c r="Z217" s="546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6">
        <v>4680115880818</v>
      </c>
      <c r="E218" s="557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5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6">
        <v>4680115880801</v>
      </c>
      <c r="E219" s="557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8"/>
      <c r="B220" s="546"/>
      <c r="C220" s="546"/>
      <c r="D220" s="546"/>
      <c r="E220" s="546"/>
      <c r="F220" s="546"/>
      <c r="G220" s="546"/>
      <c r="H220" s="546"/>
      <c r="I220" s="546"/>
      <c r="J220" s="546"/>
      <c r="K220" s="546"/>
      <c r="L220" s="546"/>
      <c r="M220" s="546"/>
      <c r="N220" s="546"/>
      <c r="O220" s="559"/>
      <c r="P220" s="550" t="s">
        <v>71</v>
      </c>
      <c r="Q220" s="551"/>
      <c r="R220" s="551"/>
      <c r="S220" s="551"/>
      <c r="T220" s="551"/>
      <c r="U220" s="551"/>
      <c r="V220" s="552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46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9"/>
      <c r="P221" s="550" t="s">
        <v>71</v>
      </c>
      <c r="Q221" s="551"/>
      <c r="R221" s="551"/>
      <c r="S221" s="551"/>
      <c r="T221" s="551"/>
      <c r="U221" s="551"/>
      <c r="V221" s="552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45" t="s">
        <v>355</v>
      </c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46"/>
      <c r="P222" s="546"/>
      <c r="Q222" s="546"/>
      <c r="R222" s="546"/>
      <c r="S222" s="546"/>
      <c r="T222" s="546"/>
      <c r="U222" s="546"/>
      <c r="V222" s="546"/>
      <c r="W222" s="546"/>
      <c r="X222" s="546"/>
      <c r="Y222" s="546"/>
      <c r="Z222" s="546"/>
      <c r="AA222" s="536"/>
      <c r="AB222" s="536"/>
      <c r="AC222" s="536"/>
    </row>
    <row r="223" spans="1:68" ht="14.25" customHeight="1" x14ac:dyDescent="0.25">
      <c r="A223" s="553" t="s">
        <v>99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6">
        <v>4680115884137</v>
      </c>
      <c r="E224" s="557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5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6">
        <v>4680115884236</v>
      </c>
      <c r="E225" s="557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6">
        <v>4680115884175</v>
      </c>
      <c r="E226" s="557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6">
        <v>4680115884144</v>
      </c>
      <c r="E227" s="557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7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6">
        <v>4680115884144</v>
      </c>
      <c r="E228" s="557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8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6">
        <v>4680115886551</v>
      </c>
      <c r="E229" s="557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6">
        <v>4680115884182</v>
      </c>
      <c r="E230" s="557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6">
        <v>4680115887282</v>
      </c>
      <c r="E231" s="557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6">
        <v>4680115884205</v>
      </c>
      <c r="E232" s="557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6">
        <v>4680115884205</v>
      </c>
      <c r="E233" s="557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8"/>
      <c r="B234" s="546"/>
      <c r="C234" s="546"/>
      <c r="D234" s="546"/>
      <c r="E234" s="546"/>
      <c r="F234" s="546"/>
      <c r="G234" s="546"/>
      <c r="H234" s="546"/>
      <c r="I234" s="546"/>
      <c r="J234" s="546"/>
      <c r="K234" s="546"/>
      <c r="L234" s="546"/>
      <c r="M234" s="546"/>
      <c r="N234" s="546"/>
      <c r="O234" s="559"/>
      <c r="P234" s="550" t="s">
        <v>71</v>
      </c>
      <c r="Q234" s="551"/>
      <c r="R234" s="551"/>
      <c r="S234" s="551"/>
      <c r="T234" s="551"/>
      <c r="U234" s="551"/>
      <c r="V234" s="552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46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9"/>
      <c r="P235" s="550" t="s">
        <v>71</v>
      </c>
      <c r="Q235" s="551"/>
      <c r="R235" s="551"/>
      <c r="S235" s="551"/>
      <c r="T235" s="551"/>
      <c r="U235" s="551"/>
      <c r="V235" s="552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3" t="s">
        <v>135</v>
      </c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46"/>
      <c r="P236" s="546"/>
      <c r="Q236" s="546"/>
      <c r="R236" s="546"/>
      <c r="S236" s="546"/>
      <c r="T236" s="546"/>
      <c r="U236" s="546"/>
      <c r="V236" s="546"/>
      <c r="W236" s="546"/>
      <c r="X236" s="546"/>
      <c r="Y236" s="546"/>
      <c r="Z236" s="546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6">
        <v>4680115885981</v>
      </c>
      <c r="E237" s="557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8"/>
      <c r="B238" s="546"/>
      <c r="C238" s="546"/>
      <c r="D238" s="546"/>
      <c r="E238" s="546"/>
      <c r="F238" s="546"/>
      <c r="G238" s="546"/>
      <c r="H238" s="546"/>
      <c r="I238" s="546"/>
      <c r="J238" s="546"/>
      <c r="K238" s="546"/>
      <c r="L238" s="546"/>
      <c r="M238" s="546"/>
      <c r="N238" s="546"/>
      <c r="O238" s="559"/>
      <c r="P238" s="550" t="s">
        <v>71</v>
      </c>
      <c r="Q238" s="551"/>
      <c r="R238" s="551"/>
      <c r="S238" s="551"/>
      <c r="T238" s="551"/>
      <c r="U238" s="551"/>
      <c r="V238" s="552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46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9"/>
      <c r="P239" s="550" t="s">
        <v>71</v>
      </c>
      <c r="Q239" s="551"/>
      <c r="R239" s="551"/>
      <c r="S239" s="551"/>
      <c r="T239" s="551"/>
      <c r="U239" s="551"/>
      <c r="V239" s="552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3" t="s">
        <v>381</v>
      </c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46"/>
      <c r="P240" s="546"/>
      <c r="Q240" s="546"/>
      <c r="R240" s="546"/>
      <c r="S240" s="546"/>
      <c r="T240" s="546"/>
      <c r="U240" s="546"/>
      <c r="V240" s="546"/>
      <c r="W240" s="546"/>
      <c r="X240" s="546"/>
      <c r="Y240" s="546"/>
      <c r="Z240" s="546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6">
        <v>4680115886803</v>
      </c>
      <c r="E241" s="557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6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8"/>
      <c r="B242" s="546"/>
      <c r="C242" s="546"/>
      <c r="D242" s="546"/>
      <c r="E242" s="546"/>
      <c r="F242" s="546"/>
      <c r="G242" s="546"/>
      <c r="H242" s="546"/>
      <c r="I242" s="546"/>
      <c r="J242" s="546"/>
      <c r="K242" s="546"/>
      <c r="L242" s="546"/>
      <c r="M242" s="546"/>
      <c r="N242" s="546"/>
      <c r="O242" s="559"/>
      <c r="P242" s="550" t="s">
        <v>71</v>
      </c>
      <c r="Q242" s="551"/>
      <c r="R242" s="551"/>
      <c r="S242" s="551"/>
      <c r="T242" s="551"/>
      <c r="U242" s="551"/>
      <c r="V242" s="552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46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9"/>
      <c r="P243" s="550" t="s">
        <v>71</v>
      </c>
      <c r="Q243" s="551"/>
      <c r="R243" s="551"/>
      <c r="S243" s="551"/>
      <c r="T243" s="551"/>
      <c r="U243" s="551"/>
      <c r="V243" s="552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3" t="s">
        <v>385</v>
      </c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6"/>
      <c r="P244" s="546"/>
      <c r="Q244" s="546"/>
      <c r="R244" s="546"/>
      <c r="S244" s="546"/>
      <c r="T244" s="546"/>
      <c r="U244" s="546"/>
      <c r="V244" s="546"/>
      <c r="W244" s="546"/>
      <c r="X244" s="546"/>
      <c r="Y244" s="546"/>
      <c r="Z244" s="546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6">
        <v>4680115886704</v>
      </c>
      <c r="E245" s="557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6">
        <v>4680115886681</v>
      </c>
      <c r="E246" s="557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7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6">
        <v>4680115886735</v>
      </c>
      <c r="E247" s="557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6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6">
        <v>4680115886728</v>
      </c>
      <c r="E248" s="557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6">
        <v>4680115886711</v>
      </c>
      <c r="E249" s="557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8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8"/>
      <c r="B250" s="546"/>
      <c r="C250" s="546"/>
      <c r="D250" s="546"/>
      <c r="E250" s="546"/>
      <c r="F250" s="546"/>
      <c r="G250" s="546"/>
      <c r="H250" s="546"/>
      <c r="I250" s="546"/>
      <c r="J250" s="546"/>
      <c r="K250" s="546"/>
      <c r="L250" s="546"/>
      <c r="M250" s="546"/>
      <c r="N250" s="546"/>
      <c r="O250" s="559"/>
      <c r="P250" s="550" t="s">
        <v>71</v>
      </c>
      <c r="Q250" s="551"/>
      <c r="R250" s="551"/>
      <c r="S250" s="551"/>
      <c r="T250" s="551"/>
      <c r="U250" s="551"/>
      <c r="V250" s="552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46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9"/>
      <c r="P251" s="550" t="s">
        <v>71</v>
      </c>
      <c r="Q251" s="551"/>
      <c r="R251" s="551"/>
      <c r="S251" s="551"/>
      <c r="T251" s="551"/>
      <c r="U251" s="551"/>
      <c r="V251" s="552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45" t="s">
        <v>397</v>
      </c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46"/>
      <c r="P252" s="546"/>
      <c r="Q252" s="546"/>
      <c r="R252" s="546"/>
      <c r="S252" s="546"/>
      <c r="T252" s="546"/>
      <c r="U252" s="546"/>
      <c r="V252" s="546"/>
      <c r="W252" s="546"/>
      <c r="X252" s="546"/>
      <c r="Y252" s="546"/>
      <c r="Z252" s="546"/>
      <c r="AA252" s="536"/>
      <c r="AB252" s="536"/>
      <c r="AC252" s="536"/>
    </row>
    <row r="253" spans="1:68" ht="14.25" customHeight="1" x14ac:dyDescent="0.25">
      <c r="A253" s="553" t="s">
        <v>99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6">
        <v>4680115885837</v>
      </c>
      <c r="E254" s="557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6">
        <v>4680115885851</v>
      </c>
      <c r="E255" s="557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6">
        <v>4680115885806</v>
      </c>
      <c r="E256" s="557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6">
        <v>4680115885844</v>
      </c>
      <c r="E257" s="557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6">
        <v>4680115885820</v>
      </c>
      <c r="E258" s="557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80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8"/>
      <c r="B259" s="546"/>
      <c r="C259" s="546"/>
      <c r="D259" s="546"/>
      <c r="E259" s="546"/>
      <c r="F259" s="546"/>
      <c r="G259" s="546"/>
      <c r="H259" s="546"/>
      <c r="I259" s="546"/>
      <c r="J259" s="546"/>
      <c r="K259" s="546"/>
      <c r="L259" s="546"/>
      <c r="M259" s="546"/>
      <c r="N259" s="546"/>
      <c r="O259" s="559"/>
      <c r="P259" s="550" t="s">
        <v>71</v>
      </c>
      <c r="Q259" s="551"/>
      <c r="R259" s="551"/>
      <c r="S259" s="551"/>
      <c r="T259" s="551"/>
      <c r="U259" s="551"/>
      <c r="V259" s="552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46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9"/>
      <c r="P260" s="550" t="s">
        <v>71</v>
      </c>
      <c r="Q260" s="551"/>
      <c r="R260" s="551"/>
      <c r="S260" s="551"/>
      <c r="T260" s="551"/>
      <c r="U260" s="551"/>
      <c r="V260" s="552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45" t="s">
        <v>413</v>
      </c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6"/>
      <c r="P261" s="546"/>
      <c r="Q261" s="546"/>
      <c r="R261" s="546"/>
      <c r="S261" s="546"/>
      <c r="T261" s="546"/>
      <c r="U261" s="546"/>
      <c r="V261" s="546"/>
      <c r="W261" s="546"/>
      <c r="X261" s="546"/>
      <c r="Y261" s="546"/>
      <c r="Z261" s="546"/>
      <c r="AA261" s="536"/>
      <c r="AB261" s="536"/>
      <c r="AC261" s="536"/>
    </row>
    <row r="262" spans="1:68" ht="14.25" customHeight="1" x14ac:dyDescent="0.25">
      <c r="A262" s="553" t="s">
        <v>99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6">
        <v>4607091383423</v>
      </c>
      <c r="E263" s="557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6">
        <v>4680115886957</v>
      </c>
      <c r="E264" s="557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6">
        <v>4680115885660</v>
      </c>
      <c r="E265" s="557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6">
        <v>4680115886773</v>
      </c>
      <c r="E266" s="557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8"/>
      <c r="B267" s="546"/>
      <c r="C267" s="546"/>
      <c r="D267" s="546"/>
      <c r="E267" s="546"/>
      <c r="F267" s="546"/>
      <c r="G267" s="546"/>
      <c r="H267" s="546"/>
      <c r="I267" s="546"/>
      <c r="J267" s="546"/>
      <c r="K267" s="546"/>
      <c r="L267" s="546"/>
      <c r="M267" s="546"/>
      <c r="N267" s="546"/>
      <c r="O267" s="559"/>
      <c r="P267" s="550" t="s">
        <v>71</v>
      </c>
      <c r="Q267" s="551"/>
      <c r="R267" s="551"/>
      <c r="S267" s="551"/>
      <c r="T267" s="551"/>
      <c r="U267" s="551"/>
      <c r="V267" s="552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46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9"/>
      <c r="P268" s="550" t="s">
        <v>71</v>
      </c>
      <c r="Q268" s="551"/>
      <c r="R268" s="551"/>
      <c r="S268" s="551"/>
      <c r="T268" s="551"/>
      <c r="U268" s="551"/>
      <c r="V268" s="552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45" t="s">
        <v>424</v>
      </c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46"/>
      <c r="P269" s="546"/>
      <c r="Q269" s="546"/>
      <c r="R269" s="546"/>
      <c r="S269" s="546"/>
      <c r="T269" s="546"/>
      <c r="U269" s="546"/>
      <c r="V269" s="546"/>
      <c r="W269" s="546"/>
      <c r="X269" s="546"/>
      <c r="Y269" s="546"/>
      <c r="Z269" s="546"/>
      <c r="AA269" s="536"/>
      <c r="AB269" s="536"/>
      <c r="AC269" s="536"/>
    </row>
    <row r="270" spans="1:68" ht="14.25" customHeight="1" x14ac:dyDescent="0.25">
      <c r="A270" s="553" t="s">
        <v>73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6">
        <v>4680115886186</v>
      </c>
      <c r="E271" s="557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6">
        <v>4680115881228</v>
      </c>
      <c r="E272" s="557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6">
        <v>4680115881211</v>
      </c>
      <c r="E273" s="557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8"/>
      <c r="B274" s="546"/>
      <c r="C274" s="546"/>
      <c r="D274" s="546"/>
      <c r="E274" s="546"/>
      <c r="F274" s="546"/>
      <c r="G274" s="546"/>
      <c r="H274" s="546"/>
      <c r="I274" s="546"/>
      <c r="J274" s="546"/>
      <c r="K274" s="546"/>
      <c r="L274" s="546"/>
      <c r="M274" s="546"/>
      <c r="N274" s="546"/>
      <c r="O274" s="559"/>
      <c r="P274" s="550" t="s">
        <v>71</v>
      </c>
      <c r="Q274" s="551"/>
      <c r="R274" s="551"/>
      <c r="S274" s="551"/>
      <c r="T274" s="551"/>
      <c r="U274" s="551"/>
      <c r="V274" s="552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46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9"/>
      <c r="P275" s="550" t="s">
        <v>71</v>
      </c>
      <c r="Q275" s="551"/>
      <c r="R275" s="551"/>
      <c r="S275" s="551"/>
      <c r="T275" s="551"/>
      <c r="U275" s="551"/>
      <c r="V275" s="552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45" t="s">
        <v>433</v>
      </c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36"/>
      <c r="AB276" s="536"/>
      <c r="AC276" s="536"/>
    </row>
    <row r="277" spans="1:68" ht="14.25" customHeight="1" x14ac:dyDescent="0.25">
      <c r="A277" s="553" t="s">
        <v>64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6">
        <v>4680115880344</v>
      </c>
      <c r="E278" s="557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6">
        <v>4680115886919</v>
      </c>
      <c r="E279" s="557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8"/>
      <c r="B280" s="546"/>
      <c r="C280" s="546"/>
      <c r="D280" s="546"/>
      <c r="E280" s="546"/>
      <c r="F280" s="546"/>
      <c r="G280" s="546"/>
      <c r="H280" s="546"/>
      <c r="I280" s="546"/>
      <c r="J280" s="546"/>
      <c r="K280" s="546"/>
      <c r="L280" s="546"/>
      <c r="M280" s="546"/>
      <c r="N280" s="546"/>
      <c r="O280" s="559"/>
      <c r="P280" s="550" t="s">
        <v>71</v>
      </c>
      <c r="Q280" s="551"/>
      <c r="R280" s="551"/>
      <c r="S280" s="551"/>
      <c r="T280" s="551"/>
      <c r="U280" s="551"/>
      <c r="V280" s="552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9"/>
      <c r="P281" s="550" t="s">
        <v>71</v>
      </c>
      <c r="Q281" s="551"/>
      <c r="R281" s="551"/>
      <c r="S281" s="551"/>
      <c r="T281" s="551"/>
      <c r="U281" s="551"/>
      <c r="V281" s="552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3" t="s">
        <v>73</v>
      </c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6">
        <v>4680115884618</v>
      </c>
      <c r="E283" s="557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6">
        <v>4680115887114</v>
      </c>
      <c r="E284" s="557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8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8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9"/>
      <c r="P285" s="550" t="s">
        <v>71</v>
      </c>
      <c r="Q285" s="551"/>
      <c r="R285" s="551"/>
      <c r="S285" s="551"/>
      <c r="T285" s="551"/>
      <c r="U285" s="551"/>
      <c r="V285" s="552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9"/>
      <c r="P286" s="550" t="s">
        <v>71</v>
      </c>
      <c r="Q286" s="551"/>
      <c r="R286" s="551"/>
      <c r="S286" s="551"/>
      <c r="T286" s="551"/>
      <c r="U286" s="551"/>
      <c r="V286" s="552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45" t="s">
        <v>446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customHeight="1" x14ac:dyDescent="0.25">
      <c r="A288" s="553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56">
        <v>4680115885615</v>
      </c>
      <c r="E289" s="557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7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56">
        <v>4680115885646</v>
      </c>
      <c r="E290" s="557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56">
        <v>4680115885554</v>
      </c>
      <c r="E291" s="557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58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56">
        <v>4680115885622</v>
      </c>
      <c r="E292" s="557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5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56">
        <v>4680115885608</v>
      </c>
      <c r="E293" s="557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5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8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9"/>
      <c r="P294" s="550" t="s">
        <v>71</v>
      </c>
      <c r="Q294" s="551"/>
      <c r="R294" s="551"/>
      <c r="S294" s="551"/>
      <c r="T294" s="551"/>
      <c r="U294" s="551"/>
      <c r="V294" s="552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9"/>
      <c r="P295" s="550" t="s">
        <v>71</v>
      </c>
      <c r="Q295" s="551"/>
      <c r="R295" s="551"/>
      <c r="S295" s="551"/>
      <c r="T295" s="551"/>
      <c r="U295" s="551"/>
      <c r="V295" s="552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3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56">
        <v>4607091387193</v>
      </c>
      <c r="E297" s="557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58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56">
        <v>4607091387230</v>
      </c>
      <c r="E298" s="557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6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56">
        <v>4607091387292</v>
      </c>
      <c r="E299" s="557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56">
        <v>4607091387285</v>
      </c>
      <c r="E300" s="557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56">
        <v>4607091389845</v>
      </c>
      <c r="E301" s="557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6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56">
        <v>4680115882881</v>
      </c>
      <c r="E302" s="557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56">
        <v>4607091383836</v>
      </c>
      <c r="E303" s="557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8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8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9"/>
      <c r="P304" s="550" t="s">
        <v>71</v>
      </c>
      <c r="Q304" s="551"/>
      <c r="R304" s="551"/>
      <c r="S304" s="551"/>
      <c r="T304" s="551"/>
      <c r="U304" s="551"/>
      <c r="V304" s="552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9"/>
      <c r="P305" s="550" t="s">
        <v>71</v>
      </c>
      <c r="Q305" s="551"/>
      <c r="R305" s="551"/>
      <c r="S305" s="551"/>
      <c r="T305" s="551"/>
      <c r="U305" s="551"/>
      <c r="V305" s="552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3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56">
        <v>4607091387766</v>
      </c>
      <c r="E307" s="557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56">
        <v>4607091387957</v>
      </c>
      <c r="E308" s="557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56">
        <v>4607091387964</v>
      </c>
      <c r="E309" s="557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56">
        <v>4680115884588</v>
      </c>
      <c r="E310" s="557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8"/>
      <c r="B311" s="546"/>
      <c r="C311" s="546"/>
      <c r="D311" s="546"/>
      <c r="E311" s="546"/>
      <c r="F311" s="546"/>
      <c r="G311" s="546"/>
      <c r="H311" s="546"/>
      <c r="I311" s="546"/>
      <c r="J311" s="546"/>
      <c r="K311" s="546"/>
      <c r="L311" s="546"/>
      <c r="M311" s="546"/>
      <c r="N311" s="546"/>
      <c r="O311" s="559"/>
      <c r="P311" s="550" t="s">
        <v>71</v>
      </c>
      <c r="Q311" s="551"/>
      <c r="R311" s="551"/>
      <c r="S311" s="551"/>
      <c r="T311" s="551"/>
      <c r="U311" s="551"/>
      <c r="V311" s="552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46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9"/>
      <c r="P312" s="550" t="s">
        <v>71</v>
      </c>
      <c r="Q312" s="551"/>
      <c r="R312" s="551"/>
      <c r="S312" s="551"/>
      <c r="T312" s="551"/>
      <c r="U312" s="551"/>
      <c r="V312" s="552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3" t="s">
        <v>163</v>
      </c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46"/>
      <c r="P313" s="546"/>
      <c r="Q313" s="546"/>
      <c r="R313" s="546"/>
      <c r="S313" s="546"/>
      <c r="T313" s="546"/>
      <c r="U313" s="546"/>
      <c r="V313" s="546"/>
      <c r="W313" s="546"/>
      <c r="X313" s="546"/>
      <c r="Y313" s="546"/>
      <c r="Z313" s="546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56">
        <v>4607091380880</v>
      </c>
      <c r="E314" s="557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6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50</v>
      </c>
      <c r="Y314" s="542">
        <f>IFERROR(IF(X314="",0,CEILING((X314/$H314),1)*$H314),"")</f>
        <v>50.400000000000006</v>
      </c>
      <c r="Z314" s="36">
        <f>IFERROR(IF(Y314=0,"",ROUNDUP(Y314/H314,0)*0.01898),"")</f>
        <v>0.11388000000000001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52.94047619047619</v>
      </c>
      <c r="BN314" s="64">
        <f>IFERROR(Y314*I314/H314,"0")</f>
        <v>53.364000000000004</v>
      </c>
      <c r="BO314" s="64">
        <f>IFERROR(1/J314*(X314/H314),"0")</f>
        <v>9.3005952380952384E-2</v>
      </c>
      <c r="BP314" s="64">
        <f>IFERROR(1/J314*(Y314/H314),"0")</f>
        <v>9.375E-2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56">
        <v>4607091384482</v>
      </c>
      <c r="E315" s="557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56">
        <v>4607091380897</v>
      </c>
      <c r="E316" s="557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8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8"/>
      <c r="B317" s="546"/>
      <c r="C317" s="546"/>
      <c r="D317" s="546"/>
      <c r="E317" s="546"/>
      <c r="F317" s="546"/>
      <c r="G317" s="546"/>
      <c r="H317" s="546"/>
      <c r="I317" s="546"/>
      <c r="J317" s="546"/>
      <c r="K317" s="546"/>
      <c r="L317" s="546"/>
      <c r="M317" s="546"/>
      <c r="N317" s="546"/>
      <c r="O317" s="559"/>
      <c r="P317" s="550" t="s">
        <v>71</v>
      </c>
      <c r="Q317" s="551"/>
      <c r="R317" s="551"/>
      <c r="S317" s="551"/>
      <c r="T317" s="551"/>
      <c r="U317" s="551"/>
      <c r="V317" s="552"/>
      <c r="W317" s="37" t="s">
        <v>72</v>
      </c>
      <c r="X317" s="543">
        <f>IFERROR(X314/H314,"0")+IFERROR(X315/H315,"0")+IFERROR(X316/H316,"0")</f>
        <v>5.9523809523809526</v>
      </c>
      <c r="Y317" s="543">
        <f>IFERROR(Y314/H314,"0")+IFERROR(Y315/H315,"0")+IFERROR(Y316/H316,"0")</f>
        <v>6</v>
      </c>
      <c r="Z317" s="543">
        <f>IFERROR(IF(Z314="",0,Z314),"0")+IFERROR(IF(Z315="",0,Z315),"0")+IFERROR(IF(Z316="",0,Z316),"0")</f>
        <v>0.11388000000000001</v>
      </c>
      <c r="AA317" s="544"/>
      <c r="AB317" s="544"/>
      <c r="AC317" s="544"/>
    </row>
    <row r="318" spans="1:68" x14ac:dyDescent="0.2">
      <c r="A318" s="546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9"/>
      <c r="P318" s="550" t="s">
        <v>71</v>
      </c>
      <c r="Q318" s="551"/>
      <c r="R318" s="551"/>
      <c r="S318" s="551"/>
      <c r="T318" s="551"/>
      <c r="U318" s="551"/>
      <c r="V318" s="552"/>
      <c r="W318" s="37" t="s">
        <v>69</v>
      </c>
      <c r="X318" s="543">
        <f>IFERROR(SUM(X314:X316),"0")</f>
        <v>50</v>
      </c>
      <c r="Y318" s="543">
        <f>IFERROR(SUM(Y314:Y316),"0")</f>
        <v>50.400000000000006</v>
      </c>
      <c r="Z318" s="37"/>
      <c r="AA318" s="544"/>
      <c r="AB318" s="544"/>
      <c r="AC318" s="544"/>
    </row>
    <row r="319" spans="1:68" ht="14.25" customHeight="1" x14ac:dyDescent="0.25">
      <c r="A319" s="553" t="s">
        <v>91</v>
      </c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46"/>
      <c r="P319" s="546"/>
      <c r="Q319" s="546"/>
      <c r="R319" s="546"/>
      <c r="S319" s="546"/>
      <c r="T319" s="546"/>
      <c r="U319" s="546"/>
      <c r="V319" s="546"/>
      <c r="W319" s="546"/>
      <c r="X319" s="546"/>
      <c r="Y319" s="546"/>
      <c r="Z319" s="546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56">
        <v>4607091388381</v>
      </c>
      <c r="E320" s="557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56">
        <v>4607091388374</v>
      </c>
      <c r="E321" s="557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6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56">
        <v>4607091383102</v>
      </c>
      <c r="E322" s="557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56">
        <v>4607091388404</v>
      </c>
      <c r="E323" s="557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8"/>
      <c r="B324" s="546"/>
      <c r="C324" s="546"/>
      <c r="D324" s="546"/>
      <c r="E324" s="546"/>
      <c r="F324" s="546"/>
      <c r="G324" s="546"/>
      <c r="H324" s="546"/>
      <c r="I324" s="546"/>
      <c r="J324" s="546"/>
      <c r="K324" s="546"/>
      <c r="L324" s="546"/>
      <c r="M324" s="546"/>
      <c r="N324" s="546"/>
      <c r="O324" s="559"/>
      <c r="P324" s="550" t="s">
        <v>71</v>
      </c>
      <c r="Q324" s="551"/>
      <c r="R324" s="551"/>
      <c r="S324" s="551"/>
      <c r="T324" s="551"/>
      <c r="U324" s="551"/>
      <c r="V324" s="552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46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9"/>
      <c r="P325" s="550" t="s">
        <v>71</v>
      </c>
      <c r="Q325" s="551"/>
      <c r="R325" s="551"/>
      <c r="S325" s="551"/>
      <c r="T325" s="551"/>
      <c r="U325" s="551"/>
      <c r="V325" s="552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3" t="s">
        <v>511</v>
      </c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46"/>
      <c r="P326" s="546"/>
      <c r="Q326" s="546"/>
      <c r="R326" s="546"/>
      <c r="S326" s="546"/>
      <c r="T326" s="546"/>
      <c r="U326" s="546"/>
      <c r="V326" s="546"/>
      <c r="W326" s="546"/>
      <c r="X326" s="546"/>
      <c r="Y326" s="546"/>
      <c r="Z326" s="546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56">
        <v>4680115881808</v>
      </c>
      <c r="E327" s="557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6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56">
        <v>4680115881822</v>
      </c>
      <c r="E328" s="557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8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56">
        <v>4680115880016</v>
      </c>
      <c r="E329" s="557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8"/>
      <c r="B330" s="546"/>
      <c r="C330" s="546"/>
      <c r="D330" s="546"/>
      <c r="E330" s="546"/>
      <c r="F330" s="546"/>
      <c r="G330" s="546"/>
      <c r="H330" s="546"/>
      <c r="I330" s="546"/>
      <c r="J330" s="546"/>
      <c r="K330" s="546"/>
      <c r="L330" s="546"/>
      <c r="M330" s="546"/>
      <c r="N330" s="546"/>
      <c r="O330" s="559"/>
      <c r="P330" s="550" t="s">
        <v>71</v>
      </c>
      <c r="Q330" s="551"/>
      <c r="R330" s="551"/>
      <c r="S330" s="551"/>
      <c r="T330" s="551"/>
      <c r="U330" s="551"/>
      <c r="V330" s="552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46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9"/>
      <c r="P331" s="550" t="s">
        <v>71</v>
      </c>
      <c r="Q331" s="551"/>
      <c r="R331" s="551"/>
      <c r="S331" s="551"/>
      <c r="T331" s="551"/>
      <c r="U331" s="551"/>
      <c r="V331" s="552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45" t="s">
        <v>520</v>
      </c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46"/>
      <c r="P332" s="546"/>
      <c r="Q332" s="546"/>
      <c r="R332" s="546"/>
      <c r="S332" s="546"/>
      <c r="T332" s="546"/>
      <c r="U332" s="546"/>
      <c r="V332" s="546"/>
      <c r="W332" s="546"/>
      <c r="X332" s="546"/>
      <c r="Y332" s="546"/>
      <c r="Z332" s="546"/>
      <c r="AA332" s="536"/>
      <c r="AB332" s="536"/>
      <c r="AC332" s="536"/>
    </row>
    <row r="333" spans="1:68" ht="14.25" customHeight="1" x14ac:dyDescent="0.25">
      <c r="A333" s="553" t="s">
        <v>73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56">
        <v>4607091387919</v>
      </c>
      <c r="E334" s="557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56">
        <v>4680115883604</v>
      </c>
      <c r="E335" s="557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56">
        <v>4680115883567</v>
      </c>
      <c r="E336" s="557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8"/>
      <c r="B337" s="546"/>
      <c r="C337" s="546"/>
      <c r="D337" s="546"/>
      <c r="E337" s="546"/>
      <c r="F337" s="546"/>
      <c r="G337" s="546"/>
      <c r="H337" s="546"/>
      <c r="I337" s="546"/>
      <c r="J337" s="546"/>
      <c r="K337" s="546"/>
      <c r="L337" s="546"/>
      <c r="M337" s="546"/>
      <c r="N337" s="546"/>
      <c r="O337" s="559"/>
      <c r="P337" s="550" t="s">
        <v>71</v>
      </c>
      <c r="Q337" s="551"/>
      <c r="R337" s="551"/>
      <c r="S337" s="551"/>
      <c r="T337" s="551"/>
      <c r="U337" s="551"/>
      <c r="V337" s="552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46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9"/>
      <c r="P338" s="550" t="s">
        <v>71</v>
      </c>
      <c r="Q338" s="551"/>
      <c r="R338" s="551"/>
      <c r="S338" s="551"/>
      <c r="T338" s="551"/>
      <c r="U338" s="551"/>
      <c r="V338" s="552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40" t="s">
        <v>530</v>
      </c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1"/>
      <c r="P339" s="641"/>
      <c r="Q339" s="641"/>
      <c r="R339" s="641"/>
      <c r="S339" s="641"/>
      <c r="T339" s="641"/>
      <c r="U339" s="641"/>
      <c r="V339" s="641"/>
      <c r="W339" s="641"/>
      <c r="X339" s="641"/>
      <c r="Y339" s="641"/>
      <c r="Z339" s="641"/>
      <c r="AA339" s="48"/>
      <c r="AB339" s="48"/>
      <c r="AC339" s="48"/>
    </row>
    <row r="340" spans="1:68" ht="16.5" customHeight="1" x14ac:dyDescent="0.25">
      <c r="A340" s="545" t="s">
        <v>531</v>
      </c>
      <c r="B340" s="546"/>
      <c r="C340" s="546"/>
      <c r="D340" s="546"/>
      <c r="E340" s="546"/>
      <c r="F340" s="546"/>
      <c r="G340" s="546"/>
      <c r="H340" s="546"/>
      <c r="I340" s="546"/>
      <c r="J340" s="546"/>
      <c r="K340" s="546"/>
      <c r="L340" s="546"/>
      <c r="M340" s="546"/>
      <c r="N340" s="546"/>
      <c r="O340" s="546"/>
      <c r="P340" s="546"/>
      <c r="Q340" s="546"/>
      <c r="R340" s="546"/>
      <c r="S340" s="546"/>
      <c r="T340" s="546"/>
      <c r="U340" s="546"/>
      <c r="V340" s="546"/>
      <c r="W340" s="546"/>
      <c r="X340" s="546"/>
      <c r="Y340" s="546"/>
      <c r="Z340" s="546"/>
      <c r="AA340" s="536"/>
      <c r="AB340" s="536"/>
      <c r="AC340" s="536"/>
    </row>
    <row r="341" spans="1:68" ht="14.25" customHeight="1" x14ac:dyDescent="0.25">
      <c r="A341" s="553" t="s">
        <v>99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56">
        <v>4680115884847</v>
      </c>
      <c r="E342" s="557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4000</v>
      </c>
      <c r="Y342" s="542">
        <f t="shared" ref="Y342:Y348" si="31">IFERROR(IF(X342="",0,CEILING((X342/$H342),1)*$H342),"")</f>
        <v>4005</v>
      </c>
      <c r="Z342" s="36">
        <f>IFERROR(IF(Y342=0,"",ROUNDUP(Y342/H342,0)*0.02175),"")</f>
        <v>5.8072499999999998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4125.333333333333</v>
      </c>
      <c r="BN342" s="64">
        <f t="shared" ref="BN342:BN348" si="33">IFERROR(Y342*I342/H342,"0")</f>
        <v>4130.4900000000007</v>
      </c>
      <c r="BO342" s="64">
        <f t="shared" ref="BO342:BO348" si="34">IFERROR(1/J342*(X342/H342),"0")</f>
        <v>5.5555555555555554</v>
      </c>
      <c r="BP342" s="64">
        <f t="shared" ref="BP342:BP348" si="35">IFERROR(1/J342*(Y342/H342),"0")</f>
        <v>5.5625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56">
        <v>4680115884854</v>
      </c>
      <c r="E343" s="557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2500</v>
      </c>
      <c r="Y343" s="542">
        <f t="shared" si="31"/>
        <v>2505</v>
      </c>
      <c r="Z343" s="36">
        <f>IFERROR(IF(Y343=0,"",ROUNDUP(Y343/H343,0)*0.02175),"")</f>
        <v>3.6322499999999995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2578.3333333333335</v>
      </c>
      <c r="BN343" s="64">
        <f t="shared" si="33"/>
        <v>2583.4899999999998</v>
      </c>
      <c r="BO343" s="64">
        <f t="shared" si="34"/>
        <v>3.4722222222222219</v>
      </c>
      <c r="BP343" s="64">
        <f t="shared" si="35"/>
        <v>3.4791666666666665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56">
        <v>4680115884830</v>
      </c>
      <c r="E344" s="557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6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3000</v>
      </c>
      <c r="Y344" s="542">
        <f t="shared" si="31"/>
        <v>3000</v>
      </c>
      <c r="Z344" s="36">
        <f>IFERROR(IF(Y344=0,"",ROUNDUP(Y344/H344,0)*0.02175),"")</f>
        <v>4.3499999999999996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3094</v>
      </c>
      <c r="BN344" s="64">
        <f t="shared" si="33"/>
        <v>3094</v>
      </c>
      <c r="BO344" s="64">
        <f t="shared" si="34"/>
        <v>4.1666666666666661</v>
      </c>
      <c r="BP344" s="64">
        <f t="shared" si="35"/>
        <v>4.1666666666666661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56">
        <v>4680115887046</v>
      </c>
      <c r="E345" s="557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56">
        <v>4680115882638</v>
      </c>
      <c r="E346" s="557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56">
        <v>4680115884922</v>
      </c>
      <c r="E347" s="557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56">
        <v>4680115884861</v>
      </c>
      <c r="E348" s="557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4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8"/>
      <c r="B349" s="546"/>
      <c r="C349" s="546"/>
      <c r="D349" s="546"/>
      <c r="E349" s="546"/>
      <c r="F349" s="546"/>
      <c r="G349" s="546"/>
      <c r="H349" s="546"/>
      <c r="I349" s="546"/>
      <c r="J349" s="546"/>
      <c r="K349" s="546"/>
      <c r="L349" s="546"/>
      <c r="M349" s="546"/>
      <c r="N349" s="546"/>
      <c r="O349" s="559"/>
      <c r="P349" s="550" t="s">
        <v>71</v>
      </c>
      <c r="Q349" s="551"/>
      <c r="R349" s="551"/>
      <c r="S349" s="551"/>
      <c r="T349" s="551"/>
      <c r="U349" s="551"/>
      <c r="V349" s="552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633.33333333333337</v>
      </c>
      <c r="Y349" s="543">
        <f>IFERROR(Y342/H342,"0")+IFERROR(Y343/H343,"0")+IFERROR(Y344/H344,"0")+IFERROR(Y345/H345,"0")+IFERROR(Y346/H346,"0")+IFERROR(Y347/H347,"0")+IFERROR(Y348/H348,"0")</f>
        <v>634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13.789499999999999</v>
      </c>
      <c r="AA349" s="544"/>
      <c r="AB349" s="544"/>
      <c r="AC349" s="544"/>
    </row>
    <row r="350" spans="1:68" x14ac:dyDescent="0.2">
      <c r="A350" s="546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9"/>
      <c r="P350" s="550" t="s">
        <v>71</v>
      </c>
      <c r="Q350" s="551"/>
      <c r="R350" s="551"/>
      <c r="S350" s="551"/>
      <c r="T350" s="551"/>
      <c r="U350" s="551"/>
      <c r="V350" s="552"/>
      <c r="W350" s="37" t="s">
        <v>69</v>
      </c>
      <c r="X350" s="543">
        <f>IFERROR(SUM(X342:X348),"0")</f>
        <v>9500</v>
      </c>
      <c r="Y350" s="543">
        <f>IFERROR(SUM(Y342:Y348),"0")</f>
        <v>9510</v>
      </c>
      <c r="Z350" s="37"/>
      <c r="AA350" s="544"/>
      <c r="AB350" s="544"/>
      <c r="AC350" s="544"/>
    </row>
    <row r="351" spans="1:68" ht="14.25" customHeight="1" x14ac:dyDescent="0.25">
      <c r="A351" s="553" t="s">
        <v>135</v>
      </c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46"/>
      <c r="P351" s="546"/>
      <c r="Q351" s="546"/>
      <c r="R351" s="546"/>
      <c r="S351" s="546"/>
      <c r="T351" s="546"/>
      <c r="U351" s="546"/>
      <c r="V351" s="546"/>
      <c r="W351" s="546"/>
      <c r="X351" s="546"/>
      <c r="Y351" s="546"/>
      <c r="Z351" s="546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56">
        <v>4607091383980</v>
      </c>
      <c r="E352" s="557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3700</v>
      </c>
      <c r="Y352" s="542">
        <f>IFERROR(IF(X352="",0,CEILING((X352/$H352),1)*$H352),"")</f>
        <v>3705</v>
      </c>
      <c r="Z352" s="36">
        <f>IFERROR(IF(Y352=0,"",ROUNDUP(Y352/H352,0)*0.02175),"")</f>
        <v>5.3722499999999993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3815.9333333333334</v>
      </c>
      <c r="BN352" s="64">
        <f>IFERROR(Y352*I352/H352,"0")</f>
        <v>3821.0900000000006</v>
      </c>
      <c r="BO352" s="64">
        <f>IFERROR(1/J352*(X352/H352),"0")</f>
        <v>5.1388888888888884</v>
      </c>
      <c r="BP352" s="64">
        <f>IFERROR(1/J352*(Y352/H352),"0")</f>
        <v>5.145833333333333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56">
        <v>4607091384178</v>
      </c>
      <c r="E353" s="557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8"/>
      <c r="B354" s="546"/>
      <c r="C354" s="546"/>
      <c r="D354" s="546"/>
      <c r="E354" s="546"/>
      <c r="F354" s="546"/>
      <c r="G354" s="546"/>
      <c r="H354" s="546"/>
      <c r="I354" s="546"/>
      <c r="J354" s="546"/>
      <c r="K354" s="546"/>
      <c r="L354" s="546"/>
      <c r="M354" s="546"/>
      <c r="N354" s="546"/>
      <c r="O354" s="559"/>
      <c r="P354" s="550" t="s">
        <v>71</v>
      </c>
      <c r="Q354" s="551"/>
      <c r="R354" s="551"/>
      <c r="S354" s="551"/>
      <c r="T354" s="551"/>
      <c r="U354" s="551"/>
      <c r="V354" s="552"/>
      <c r="W354" s="37" t="s">
        <v>72</v>
      </c>
      <c r="X354" s="543">
        <f>IFERROR(X352/H352,"0")+IFERROR(X353/H353,"0")</f>
        <v>246.66666666666666</v>
      </c>
      <c r="Y354" s="543">
        <f>IFERROR(Y352/H352,"0")+IFERROR(Y353/H353,"0")</f>
        <v>247</v>
      </c>
      <c r="Z354" s="543">
        <f>IFERROR(IF(Z352="",0,Z352),"0")+IFERROR(IF(Z353="",0,Z353),"0")</f>
        <v>5.3722499999999993</v>
      </c>
      <c r="AA354" s="544"/>
      <c r="AB354" s="544"/>
      <c r="AC354" s="544"/>
    </row>
    <row r="355" spans="1:68" x14ac:dyDescent="0.2">
      <c r="A355" s="546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9"/>
      <c r="P355" s="550" t="s">
        <v>71</v>
      </c>
      <c r="Q355" s="551"/>
      <c r="R355" s="551"/>
      <c r="S355" s="551"/>
      <c r="T355" s="551"/>
      <c r="U355" s="551"/>
      <c r="V355" s="552"/>
      <c r="W355" s="37" t="s">
        <v>69</v>
      </c>
      <c r="X355" s="543">
        <f>IFERROR(SUM(X352:X353),"0")</f>
        <v>3700</v>
      </c>
      <c r="Y355" s="543">
        <f>IFERROR(SUM(Y352:Y353),"0")</f>
        <v>3705</v>
      </c>
      <c r="Z355" s="37"/>
      <c r="AA355" s="544"/>
      <c r="AB355" s="544"/>
      <c r="AC355" s="544"/>
    </row>
    <row r="356" spans="1:68" ht="14.25" customHeight="1" x14ac:dyDescent="0.25">
      <c r="A356" s="553" t="s">
        <v>73</v>
      </c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56">
        <v>4607091383928</v>
      </c>
      <c r="E357" s="557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6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56">
        <v>4607091384260</v>
      </c>
      <c r="E358" s="557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46"/>
      <c r="C359" s="546"/>
      <c r="D359" s="546"/>
      <c r="E359" s="546"/>
      <c r="F359" s="546"/>
      <c r="G359" s="546"/>
      <c r="H359" s="546"/>
      <c r="I359" s="546"/>
      <c r="J359" s="546"/>
      <c r="K359" s="546"/>
      <c r="L359" s="546"/>
      <c r="M359" s="546"/>
      <c r="N359" s="546"/>
      <c r="O359" s="559"/>
      <c r="P359" s="550" t="s">
        <v>71</v>
      </c>
      <c r="Q359" s="551"/>
      <c r="R359" s="551"/>
      <c r="S359" s="551"/>
      <c r="T359" s="551"/>
      <c r="U359" s="551"/>
      <c r="V359" s="552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46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9"/>
      <c r="P360" s="550" t="s">
        <v>71</v>
      </c>
      <c r="Q360" s="551"/>
      <c r="R360" s="551"/>
      <c r="S360" s="551"/>
      <c r="T360" s="551"/>
      <c r="U360" s="551"/>
      <c r="V360" s="552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3" t="s">
        <v>163</v>
      </c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56">
        <v>4607091384673</v>
      </c>
      <c r="E362" s="557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150</v>
      </c>
      <c r="Y362" s="542">
        <f>IFERROR(IF(X362="",0,CEILING((X362/$H362),1)*$H362),"")</f>
        <v>153</v>
      </c>
      <c r="Z362" s="36">
        <f>IFERROR(IF(Y362=0,"",ROUNDUP(Y362/H362,0)*0.01898),"")</f>
        <v>0.32266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158.23333333333332</v>
      </c>
      <c r="BN362" s="64">
        <f>IFERROR(Y362*I362/H362,"0")</f>
        <v>161.398</v>
      </c>
      <c r="BO362" s="64">
        <f>IFERROR(1/J362*(X362/H362),"0")</f>
        <v>0.26041666666666669</v>
      </c>
      <c r="BP362" s="64">
        <f>IFERROR(1/J362*(Y362/H362),"0")</f>
        <v>0.265625</v>
      </c>
    </row>
    <row r="363" spans="1:68" x14ac:dyDescent="0.2">
      <c r="A363" s="558"/>
      <c r="B363" s="546"/>
      <c r="C363" s="546"/>
      <c r="D363" s="546"/>
      <c r="E363" s="546"/>
      <c r="F363" s="546"/>
      <c r="G363" s="546"/>
      <c r="H363" s="546"/>
      <c r="I363" s="546"/>
      <c r="J363" s="546"/>
      <c r="K363" s="546"/>
      <c r="L363" s="546"/>
      <c r="M363" s="546"/>
      <c r="N363" s="546"/>
      <c r="O363" s="559"/>
      <c r="P363" s="550" t="s">
        <v>71</v>
      </c>
      <c r="Q363" s="551"/>
      <c r="R363" s="551"/>
      <c r="S363" s="551"/>
      <c r="T363" s="551"/>
      <c r="U363" s="551"/>
      <c r="V363" s="552"/>
      <c r="W363" s="37" t="s">
        <v>72</v>
      </c>
      <c r="X363" s="543">
        <f>IFERROR(X362/H362,"0")</f>
        <v>16.666666666666668</v>
      </c>
      <c r="Y363" s="543">
        <f>IFERROR(Y362/H362,"0")</f>
        <v>17</v>
      </c>
      <c r="Z363" s="543">
        <f>IFERROR(IF(Z362="",0,Z362),"0")</f>
        <v>0.32266</v>
      </c>
      <c r="AA363" s="544"/>
      <c r="AB363" s="544"/>
      <c r="AC363" s="544"/>
    </row>
    <row r="364" spans="1:68" x14ac:dyDescent="0.2">
      <c r="A364" s="546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9"/>
      <c r="P364" s="550" t="s">
        <v>71</v>
      </c>
      <c r="Q364" s="551"/>
      <c r="R364" s="551"/>
      <c r="S364" s="551"/>
      <c r="T364" s="551"/>
      <c r="U364" s="551"/>
      <c r="V364" s="552"/>
      <c r="W364" s="37" t="s">
        <v>69</v>
      </c>
      <c r="X364" s="543">
        <f>IFERROR(SUM(X362:X362),"0")</f>
        <v>150</v>
      </c>
      <c r="Y364" s="543">
        <f>IFERROR(SUM(Y362:Y362),"0")</f>
        <v>153</v>
      </c>
      <c r="Z364" s="37"/>
      <c r="AA364" s="544"/>
      <c r="AB364" s="544"/>
      <c r="AC364" s="544"/>
    </row>
    <row r="365" spans="1:68" ht="16.5" customHeight="1" x14ac:dyDescent="0.25">
      <c r="A365" s="545" t="s">
        <v>566</v>
      </c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46"/>
      <c r="P365" s="546"/>
      <c r="Q365" s="546"/>
      <c r="R365" s="546"/>
      <c r="S365" s="546"/>
      <c r="T365" s="546"/>
      <c r="U365" s="546"/>
      <c r="V365" s="546"/>
      <c r="W365" s="546"/>
      <c r="X365" s="546"/>
      <c r="Y365" s="546"/>
      <c r="Z365" s="546"/>
      <c r="AA365" s="536"/>
      <c r="AB365" s="536"/>
      <c r="AC365" s="536"/>
    </row>
    <row r="366" spans="1:68" ht="14.25" customHeight="1" x14ac:dyDescent="0.25">
      <c r="A366" s="553" t="s">
        <v>99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56">
        <v>4680115884885</v>
      </c>
      <c r="E367" s="557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56">
        <v>4680115884908</v>
      </c>
      <c r="E368" s="557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8"/>
      <c r="B369" s="546"/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59"/>
      <c r="P369" s="550" t="s">
        <v>71</v>
      </c>
      <c r="Q369" s="551"/>
      <c r="R369" s="551"/>
      <c r="S369" s="551"/>
      <c r="T369" s="551"/>
      <c r="U369" s="551"/>
      <c r="V369" s="552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46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9"/>
      <c r="P370" s="550" t="s">
        <v>71</v>
      </c>
      <c r="Q370" s="551"/>
      <c r="R370" s="551"/>
      <c r="S370" s="551"/>
      <c r="T370" s="551"/>
      <c r="U370" s="551"/>
      <c r="V370" s="552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3" t="s">
        <v>64</v>
      </c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56">
        <v>4607091384802</v>
      </c>
      <c r="E372" s="557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56">
        <v>4607091384802</v>
      </c>
      <c r="E373" s="557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8"/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59"/>
      <c r="P374" s="550" t="s">
        <v>71</v>
      </c>
      <c r="Q374" s="551"/>
      <c r="R374" s="551"/>
      <c r="S374" s="551"/>
      <c r="T374" s="551"/>
      <c r="U374" s="551"/>
      <c r="V374" s="552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46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9"/>
      <c r="P375" s="550" t="s">
        <v>71</v>
      </c>
      <c r="Q375" s="551"/>
      <c r="R375" s="551"/>
      <c r="S375" s="551"/>
      <c r="T375" s="551"/>
      <c r="U375" s="551"/>
      <c r="V375" s="552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3" t="s">
        <v>73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56">
        <v>4607091384246</v>
      </c>
      <c r="E377" s="557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56">
        <v>4607091384253</v>
      </c>
      <c r="E378" s="557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56">
        <v>4607091384253</v>
      </c>
      <c r="E379" s="557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840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8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9"/>
      <c r="P380" s="550" t="s">
        <v>71</v>
      </c>
      <c r="Q380" s="551"/>
      <c r="R380" s="551"/>
      <c r="S380" s="551"/>
      <c r="T380" s="551"/>
      <c r="U380" s="551"/>
      <c r="V380" s="552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9"/>
      <c r="P381" s="550" t="s">
        <v>71</v>
      </c>
      <c r="Q381" s="551"/>
      <c r="R381" s="551"/>
      <c r="S381" s="551"/>
      <c r="T381" s="551"/>
      <c r="U381" s="551"/>
      <c r="V381" s="552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40" t="s">
        <v>585</v>
      </c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1"/>
      <c r="P382" s="641"/>
      <c r="Q382" s="641"/>
      <c r="R382" s="641"/>
      <c r="S382" s="641"/>
      <c r="T382" s="641"/>
      <c r="U382" s="641"/>
      <c r="V382" s="641"/>
      <c r="W382" s="641"/>
      <c r="X382" s="641"/>
      <c r="Y382" s="641"/>
      <c r="Z382" s="641"/>
      <c r="AA382" s="48"/>
      <c r="AB382" s="48"/>
      <c r="AC382" s="48"/>
    </row>
    <row r="383" spans="1:68" ht="16.5" customHeight="1" x14ac:dyDescent="0.25">
      <c r="A383" s="545" t="s">
        <v>586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customHeight="1" x14ac:dyDescent="0.25">
      <c r="A384" s="553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56">
        <v>4680115886100</v>
      </c>
      <c r="E385" s="557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6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100</v>
      </c>
      <c r="Y385" s="542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56">
        <v>4680115886117</v>
      </c>
      <c r="E386" s="557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56">
        <v>4680115886124</v>
      </c>
      <c r="E387" s="557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250</v>
      </c>
      <c r="Y387" s="542">
        <f t="shared" si="36"/>
        <v>253.8</v>
      </c>
      <c r="Z387" s="36">
        <f>IFERROR(IF(Y387=0,"",ROUNDUP(Y387/H387,0)*0.00902),"")</f>
        <v>0.42393999999999998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258.7962962962963</v>
      </c>
      <c r="BN387" s="64">
        <f t="shared" si="38"/>
        <v>262.72999999999996</v>
      </c>
      <c r="BO387" s="64">
        <f t="shared" si="39"/>
        <v>0.35072951739618402</v>
      </c>
      <c r="BP387" s="64">
        <f t="shared" si="40"/>
        <v>0.35606060606060608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56">
        <v>4680115883147</v>
      </c>
      <c r="E388" s="557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56">
        <v>4607091384338</v>
      </c>
      <c r="E389" s="557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56">
        <v>4607091389524</v>
      </c>
      <c r="E390" s="557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56">
        <v>4680115883161</v>
      </c>
      <c r="E391" s="557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56">
        <v>4607091389531</v>
      </c>
      <c r="E392" s="557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56">
        <v>4607091384345</v>
      </c>
      <c r="E393" s="557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21</v>
      </c>
      <c r="Y393" s="542">
        <f t="shared" si="36"/>
        <v>21</v>
      </c>
      <c r="Z393" s="36">
        <f t="shared" si="41"/>
        <v>5.0200000000000002E-2</v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x14ac:dyDescent="0.2">
      <c r="A394" s="558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9"/>
      <c r="P394" s="550" t="s">
        <v>71</v>
      </c>
      <c r="Q394" s="551"/>
      <c r="R394" s="551"/>
      <c r="S394" s="551"/>
      <c r="T394" s="551"/>
      <c r="U394" s="551"/>
      <c r="V394" s="552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74.81481481481481</v>
      </c>
      <c r="Y394" s="543">
        <f>IFERROR(Y385/H385,"0")+IFERROR(Y386/H386,"0")+IFERROR(Y387/H387,"0")+IFERROR(Y388/H388,"0")+IFERROR(Y389/H389,"0")+IFERROR(Y390/H390,"0")+IFERROR(Y391/H391,"0")+IFERROR(Y392/H392,"0")+IFERROR(Y393/H393,"0")</f>
        <v>76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0.64551999999999998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9"/>
      <c r="P395" s="550" t="s">
        <v>71</v>
      </c>
      <c r="Q395" s="551"/>
      <c r="R395" s="551"/>
      <c r="S395" s="551"/>
      <c r="T395" s="551"/>
      <c r="U395" s="551"/>
      <c r="V395" s="552"/>
      <c r="W395" s="37" t="s">
        <v>69</v>
      </c>
      <c r="X395" s="543">
        <f>IFERROR(SUM(X385:X393),"0")</f>
        <v>371</v>
      </c>
      <c r="Y395" s="543">
        <f>IFERROR(SUM(Y385:Y393),"0")</f>
        <v>377.40000000000003</v>
      </c>
      <c r="Z395" s="37"/>
      <c r="AA395" s="544"/>
      <c r="AB395" s="544"/>
      <c r="AC395" s="544"/>
    </row>
    <row r="396" spans="1:68" ht="14.25" customHeight="1" x14ac:dyDescent="0.25">
      <c r="A396" s="553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56">
        <v>4607091384352</v>
      </c>
      <c r="E397" s="557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56">
        <v>4607091389654</v>
      </c>
      <c r="E398" s="557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6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8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9"/>
      <c r="P399" s="550" t="s">
        <v>71</v>
      </c>
      <c r="Q399" s="551"/>
      <c r="R399" s="551"/>
      <c r="S399" s="551"/>
      <c r="T399" s="551"/>
      <c r="U399" s="551"/>
      <c r="V399" s="552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9"/>
      <c r="P400" s="550" t="s">
        <v>71</v>
      </c>
      <c r="Q400" s="551"/>
      <c r="R400" s="551"/>
      <c r="S400" s="551"/>
      <c r="T400" s="551"/>
      <c r="U400" s="551"/>
      <c r="V400" s="552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45" t="s">
        <v>617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customHeight="1" x14ac:dyDescent="0.25">
      <c r="A402" s="553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56">
        <v>4680115885240</v>
      </c>
      <c r="E403" s="557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8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9"/>
      <c r="P404" s="550" t="s">
        <v>71</v>
      </c>
      <c r="Q404" s="551"/>
      <c r="R404" s="551"/>
      <c r="S404" s="551"/>
      <c r="T404" s="551"/>
      <c r="U404" s="551"/>
      <c r="V404" s="552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9"/>
      <c r="P405" s="550" t="s">
        <v>71</v>
      </c>
      <c r="Q405" s="551"/>
      <c r="R405" s="551"/>
      <c r="S405" s="551"/>
      <c r="T405" s="551"/>
      <c r="U405" s="551"/>
      <c r="V405" s="552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3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56">
        <v>4680115886094</v>
      </c>
      <c r="E407" s="557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400</v>
      </c>
      <c r="Y407" s="542">
        <f>IFERROR(IF(X407="",0,CEILING((X407/$H407),1)*$H407),"")</f>
        <v>405</v>
      </c>
      <c r="Z407" s="36">
        <f>IFERROR(IF(Y407=0,"",ROUNDUP(Y407/H407,0)*0.00902),"")</f>
        <v>0.67649999999999999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414.07407407407402</v>
      </c>
      <c r="BN407" s="64">
        <f>IFERROR(Y407*I407/H407,"0")</f>
        <v>419.24999999999994</v>
      </c>
      <c r="BO407" s="64">
        <f>IFERROR(1/J407*(X407/H407),"0")</f>
        <v>0.5611672278338945</v>
      </c>
      <c r="BP407" s="64">
        <f>IFERROR(1/J407*(Y407/H407),"0")</f>
        <v>0.56818181818181823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56">
        <v>4607091389425</v>
      </c>
      <c r="E408" s="557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56">
        <v>4680115880771</v>
      </c>
      <c r="E409" s="557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56">
        <v>4607091389500</v>
      </c>
      <c r="E410" s="557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21</v>
      </c>
      <c r="Y410" s="542">
        <f>IFERROR(IF(X410="",0,CEILING((X410/$H410),1)*$H410),"")</f>
        <v>21</v>
      </c>
      <c r="Z410" s="36">
        <f>IFERROR(IF(Y410=0,"",ROUNDUP(Y410/H410,0)*0.00502),"")</f>
        <v>5.0200000000000002E-2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22.299999999999997</v>
      </c>
      <c r="BN410" s="64">
        <f>IFERROR(Y410*I410/H410,"0")</f>
        <v>22.299999999999997</v>
      </c>
      <c r="BO410" s="64">
        <f>IFERROR(1/J410*(X410/H410),"0")</f>
        <v>4.2735042735042736E-2</v>
      </c>
      <c r="BP410" s="64">
        <f>IFERROR(1/J410*(Y410/H410),"0")</f>
        <v>4.2735042735042736E-2</v>
      </c>
    </row>
    <row r="411" spans="1:68" x14ac:dyDescent="0.2">
      <c r="A411" s="558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9"/>
      <c r="P411" s="550" t="s">
        <v>71</v>
      </c>
      <c r="Q411" s="551"/>
      <c r="R411" s="551"/>
      <c r="S411" s="551"/>
      <c r="T411" s="551"/>
      <c r="U411" s="551"/>
      <c r="V411" s="552"/>
      <c r="W411" s="37" t="s">
        <v>72</v>
      </c>
      <c r="X411" s="543">
        <f>IFERROR(X407/H407,"0")+IFERROR(X408/H408,"0")+IFERROR(X409/H409,"0")+IFERROR(X410/H410,"0")</f>
        <v>84.074074074074076</v>
      </c>
      <c r="Y411" s="543">
        <f>IFERROR(Y407/H407,"0")+IFERROR(Y408/H408,"0")+IFERROR(Y409/H409,"0")+IFERROR(Y410/H410,"0")</f>
        <v>85</v>
      </c>
      <c r="Z411" s="543">
        <f>IFERROR(IF(Z407="",0,Z407),"0")+IFERROR(IF(Z408="",0,Z408),"0")+IFERROR(IF(Z409="",0,Z409),"0")+IFERROR(IF(Z410="",0,Z410),"0")</f>
        <v>0.72670000000000001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9"/>
      <c r="P412" s="550" t="s">
        <v>71</v>
      </c>
      <c r="Q412" s="551"/>
      <c r="R412" s="551"/>
      <c r="S412" s="551"/>
      <c r="T412" s="551"/>
      <c r="U412" s="551"/>
      <c r="V412" s="552"/>
      <c r="W412" s="37" t="s">
        <v>69</v>
      </c>
      <c r="X412" s="543">
        <f>IFERROR(SUM(X407:X410),"0")</f>
        <v>421</v>
      </c>
      <c r="Y412" s="543">
        <f>IFERROR(SUM(Y407:Y410),"0")</f>
        <v>426</v>
      </c>
      <c r="Z412" s="37"/>
      <c r="AA412" s="544"/>
      <c r="AB412" s="544"/>
      <c r="AC412" s="544"/>
    </row>
    <row r="413" spans="1:68" ht="16.5" customHeight="1" x14ac:dyDescent="0.25">
      <c r="A413" s="545" t="s">
        <v>632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customHeight="1" x14ac:dyDescent="0.25">
      <c r="A414" s="553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56">
        <v>4680115885110</v>
      </c>
      <c r="E415" s="557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9"/>
      <c r="P416" s="550" t="s">
        <v>71</v>
      </c>
      <c r="Q416" s="551"/>
      <c r="R416" s="551"/>
      <c r="S416" s="551"/>
      <c r="T416" s="551"/>
      <c r="U416" s="551"/>
      <c r="V416" s="552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9"/>
      <c r="P417" s="550" t="s">
        <v>71</v>
      </c>
      <c r="Q417" s="551"/>
      <c r="R417" s="551"/>
      <c r="S417" s="551"/>
      <c r="T417" s="551"/>
      <c r="U417" s="551"/>
      <c r="V417" s="552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0" t="s">
        <v>636</v>
      </c>
      <c r="B418" s="641"/>
      <c r="C418" s="641"/>
      <c r="D418" s="641"/>
      <c r="E418" s="641"/>
      <c r="F418" s="641"/>
      <c r="G418" s="641"/>
      <c r="H418" s="641"/>
      <c r="I418" s="641"/>
      <c r="J418" s="641"/>
      <c r="K418" s="641"/>
      <c r="L418" s="641"/>
      <c r="M418" s="641"/>
      <c r="N418" s="641"/>
      <c r="O418" s="641"/>
      <c r="P418" s="641"/>
      <c r="Q418" s="641"/>
      <c r="R418" s="641"/>
      <c r="S418" s="641"/>
      <c r="T418" s="641"/>
      <c r="U418" s="641"/>
      <c r="V418" s="641"/>
      <c r="W418" s="641"/>
      <c r="X418" s="641"/>
      <c r="Y418" s="641"/>
      <c r="Z418" s="641"/>
      <c r="AA418" s="48"/>
      <c r="AB418" s="48"/>
      <c r="AC418" s="48"/>
    </row>
    <row r="419" spans="1:68" ht="16.5" customHeight="1" x14ac:dyDescent="0.25">
      <c r="A419" s="545" t="s">
        <v>636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customHeight="1" x14ac:dyDescent="0.25">
      <c r="A420" s="553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56">
        <v>4607091389067</v>
      </c>
      <c r="E421" s="557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6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56">
        <v>4607091383522</v>
      </c>
      <c r="E422" s="557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79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56">
        <v>4680115885271</v>
      </c>
      <c r="E423" s="557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8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30</v>
      </c>
      <c r="Y423" s="542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31.988636363636363</v>
      </c>
      <c r="BN423" s="64">
        <f t="shared" si="45"/>
        <v>33.779999999999994</v>
      </c>
      <c r="BO423" s="64">
        <f t="shared" si="46"/>
        <v>5.4632867132867136E-2</v>
      </c>
      <c r="BP423" s="64">
        <f t="shared" si="47"/>
        <v>5.7692307692307696E-2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56">
        <v>4680115885226</v>
      </c>
      <c r="E424" s="557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56">
        <v>4680115884502</v>
      </c>
      <c r="E425" s="557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56">
        <v>4607091389104</v>
      </c>
      <c r="E426" s="557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350</v>
      </c>
      <c r="Y426" s="542">
        <f t="shared" si="42"/>
        <v>353.76</v>
      </c>
      <c r="Z426" s="36">
        <f t="shared" si="43"/>
        <v>0.80132000000000003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373.20075757575756</v>
      </c>
      <c r="BN426" s="64">
        <f t="shared" si="45"/>
        <v>377.21</v>
      </c>
      <c r="BO426" s="64">
        <f t="shared" si="46"/>
        <v>0.63738344988344986</v>
      </c>
      <c r="BP426" s="64">
        <f t="shared" si="47"/>
        <v>0.64423076923076927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56">
        <v>4680115886391</v>
      </c>
      <c r="E427" s="557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56">
        <v>4680115880603</v>
      </c>
      <c r="E428" s="557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8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56">
        <v>4680115882782</v>
      </c>
      <c r="E429" s="557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7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56">
        <v>4680115885479</v>
      </c>
      <c r="E430" s="557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62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56">
        <v>4607091389982</v>
      </c>
      <c r="E431" s="557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7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8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9"/>
      <c r="P432" s="550" t="s">
        <v>71</v>
      </c>
      <c r="Q432" s="551"/>
      <c r="R432" s="551"/>
      <c r="S432" s="551"/>
      <c r="T432" s="551"/>
      <c r="U432" s="551"/>
      <c r="V432" s="552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71.969696969696969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0.87308000000000008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9"/>
      <c r="P433" s="550" t="s">
        <v>71</v>
      </c>
      <c r="Q433" s="551"/>
      <c r="R433" s="551"/>
      <c r="S433" s="551"/>
      <c r="T433" s="551"/>
      <c r="U433" s="551"/>
      <c r="V433" s="552"/>
      <c r="W433" s="37" t="s">
        <v>69</v>
      </c>
      <c r="X433" s="543">
        <f>IFERROR(SUM(X421:X431),"0")</f>
        <v>380</v>
      </c>
      <c r="Y433" s="543">
        <f>IFERROR(SUM(Y421:Y431),"0")</f>
        <v>385.44</v>
      </c>
      <c r="Z433" s="37"/>
      <c r="AA433" s="544"/>
      <c r="AB433" s="544"/>
      <c r="AC433" s="544"/>
    </row>
    <row r="434" spans="1:68" ht="14.25" customHeight="1" x14ac:dyDescent="0.25">
      <c r="A434" s="553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56">
        <v>4607091388930</v>
      </c>
      <c r="E435" s="557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5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56">
        <v>4680115886407</v>
      </c>
      <c r="E436" s="557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56">
        <v>4680115880054</v>
      </c>
      <c r="E437" s="557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8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9"/>
      <c r="P438" s="550" t="s">
        <v>71</v>
      </c>
      <c r="Q438" s="551"/>
      <c r="R438" s="551"/>
      <c r="S438" s="551"/>
      <c r="T438" s="551"/>
      <c r="U438" s="551"/>
      <c r="V438" s="552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9"/>
      <c r="P439" s="550" t="s">
        <v>71</v>
      </c>
      <c r="Q439" s="551"/>
      <c r="R439" s="551"/>
      <c r="S439" s="551"/>
      <c r="T439" s="551"/>
      <c r="U439" s="551"/>
      <c r="V439" s="552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customHeight="1" x14ac:dyDescent="0.25">
      <c r="A440" s="553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56">
        <v>4680115883116</v>
      </c>
      <c r="E441" s="557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200</v>
      </c>
      <c r="Y441" s="542">
        <f t="shared" ref="Y441:Y446" si="48">IFERROR(IF(X441="",0,CEILING((X441/$H441),1)*$H441),"")</f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213.25757575757575</v>
      </c>
      <c r="BN441" s="64">
        <f t="shared" ref="BN441:BN446" si="50">IFERROR(Y441*I441/H441,"0")</f>
        <v>213.94</v>
      </c>
      <c r="BO441" s="64">
        <f t="shared" ref="BO441:BO446" si="51">IFERROR(1/J441*(X441/H441),"0")</f>
        <v>0.36421911421911418</v>
      </c>
      <c r="BP441" s="64">
        <f t="shared" ref="BP441:BP446" si="52">IFERROR(1/J441*(Y441/H441),"0")</f>
        <v>0.36538461538461542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56">
        <v>4680115883093</v>
      </c>
      <c r="E442" s="557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120</v>
      </c>
      <c r="Y442" s="542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56">
        <v>4680115883109</v>
      </c>
      <c r="E443" s="557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8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56">
        <v>4680115882072</v>
      </c>
      <c r="E444" s="557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56">
        <v>4680115882102</v>
      </c>
      <c r="E445" s="557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56">
        <v>4680115882096</v>
      </c>
      <c r="E446" s="557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8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9"/>
      <c r="P447" s="550" t="s">
        <v>71</v>
      </c>
      <c r="Q447" s="551"/>
      <c r="R447" s="551"/>
      <c r="S447" s="551"/>
      <c r="T447" s="551"/>
      <c r="U447" s="551"/>
      <c r="V447" s="552"/>
      <c r="W447" s="37" t="s">
        <v>72</v>
      </c>
      <c r="X447" s="543">
        <f>IFERROR(X441/H441,"0")+IFERROR(X442/H442,"0")+IFERROR(X443/H443,"0")+IFERROR(X444/H444,"0")+IFERROR(X445/H445,"0")+IFERROR(X446/H446,"0")</f>
        <v>98.48484848484847</v>
      </c>
      <c r="Y447" s="543">
        <f>IFERROR(Y441/H441,"0")+IFERROR(Y442/H442,"0")+IFERROR(Y443/H443,"0")+IFERROR(Y444/H444,"0")+IFERROR(Y445/H445,"0")+IFERROR(Y446/H446,"0")</f>
        <v>99</v>
      </c>
      <c r="Z447" s="543">
        <f>IFERROR(IF(Z441="",0,Z441),"0")+IFERROR(IF(Z442="",0,Z442),"0")+IFERROR(IF(Z443="",0,Z443),"0")+IFERROR(IF(Z444="",0,Z444),"0")+IFERROR(IF(Z445="",0,Z445),"0")+IFERROR(IF(Z446="",0,Z446),"0")</f>
        <v>1.18404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9"/>
      <c r="P448" s="550" t="s">
        <v>71</v>
      </c>
      <c r="Q448" s="551"/>
      <c r="R448" s="551"/>
      <c r="S448" s="551"/>
      <c r="T448" s="551"/>
      <c r="U448" s="551"/>
      <c r="V448" s="552"/>
      <c r="W448" s="37" t="s">
        <v>69</v>
      </c>
      <c r="X448" s="543">
        <f>IFERROR(SUM(X441:X446),"0")</f>
        <v>520</v>
      </c>
      <c r="Y448" s="543">
        <f>IFERROR(SUM(Y441:Y446),"0")</f>
        <v>522.72</v>
      </c>
      <c r="Z448" s="37"/>
      <c r="AA448" s="544"/>
      <c r="AB448" s="544"/>
      <c r="AC448" s="544"/>
    </row>
    <row r="449" spans="1:68" ht="14.25" customHeight="1" x14ac:dyDescent="0.25">
      <c r="A449" s="553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56">
        <v>4607091383409</v>
      </c>
      <c r="E450" s="557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56">
        <v>4607091383416</v>
      </c>
      <c r="E451" s="557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56">
        <v>4680115883536</v>
      </c>
      <c r="E452" s="557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8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9"/>
      <c r="P453" s="550" t="s">
        <v>71</v>
      </c>
      <c r="Q453" s="551"/>
      <c r="R453" s="551"/>
      <c r="S453" s="551"/>
      <c r="T453" s="551"/>
      <c r="U453" s="551"/>
      <c r="V453" s="552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9"/>
      <c r="P454" s="550" t="s">
        <v>71</v>
      </c>
      <c r="Q454" s="551"/>
      <c r="R454" s="551"/>
      <c r="S454" s="551"/>
      <c r="T454" s="551"/>
      <c r="U454" s="551"/>
      <c r="V454" s="552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0" t="s">
        <v>696</v>
      </c>
      <c r="B455" s="641"/>
      <c r="C455" s="641"/>
      <c r="D455" s="641"/>
      <c r="E455" s="641"/>
      <c r="F455" s="641"/>
      <c r="G455" s="641"/>
      <c r="H455" s="641"/>
      <c r="I455" s="641"/>
      <c r="J455" s="641"/>
      <c r="K455" s="641"/>
      <c r="L455" s="641"/>
      <c r="M455" s="641"/>
      <c r="N455" s="641"/>
      <c r="O455" s="641"/>
      <c r="P455" s="641"/>
      <c r="Q455" s="641"/>
      <c r="R455" s="641"/>
      <c r="S455" s="641"/>
      <c r="T455" s="641"/>
      <c r="U455" s="641"/>
      <c r="V455" s="641"/>
      <c r="W455" s="641"/>
      <c r="X455" s="641"/>
      <c r="Y455" s="641"/>
      <c r="Z455" s="641"/>
      <c r="AA455" s="48"/>
      <c r="AB455" s="48"/>
      <c r="AC455" s="48"/>
    </row>
    <row r="456" spans="1:68" ht="16.5" customHeight="1" x14ac:dyDescent="0.25">
      <c r="A456" s="545" t="s">
        <v>696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customHeight="1" x14ac:dyDescent="0.25">
      <c r="A457" s="553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56">
        <v>4640242181011</v>
      </c>
      <c r="E458" s="557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56">
        <v>4640242180441</v>
      </c>
      <c r="E459" s="557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69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56">
        <v>4640242180564</v>
      </c>
      <c r="E460" s="557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6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56">
        <v>4640242181189</v>
      </c>
      <c r="E461" s="557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6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8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9"/>
      <c r="P462" s="550" t="s">
        <v>71</v>
      </c>
      <c r="Q462" s="551"/>
      <c r="R462" s="551"/>
      <c r="S462" s="551"/>
      <c r="T462" s="551"/>
      <c r="U462" s="551"/>
      <c r="V462" s="552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9"/>
      <c r="P463" s="550" t="s">
        <v>71</v>
      </c>
      <c r="Q463" s="551"/>
      <c r="R463" s="551"/>
      <c r="S463" s="551"/>
      <c r="T463" s="551"/>
      <c r="U463" s="551"/>
      <c r="V463" s="552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3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56">
        <v>4640242180519</v>
      </c>
      <c r="E465" s="557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56">
        <v>4640242180526</v>
      </c>
      <c r="E466" s="557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56">
        <v>4640242181363</v>
      </c>
      <c r="E467" s="557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78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8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9"/>
      <c r="P468" s="550" t="s">
        <v>71</v>
      </c>
      <c r="Q468" s="551"/>
      <c r="R468" s="551"/>
      <c r="S468" s="551"/>
      <c r="T468" s="551"/>
      <c r="U468" s="551"/>
      <c r="V468" s="552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9"/>
      <c r="P469" s="550" t="s">
        <v>71</v>
      </c>
      <c r="Q469" s="551"/>
      <c r="R469" s="551"/>
      <c r="S469" s="551"/>
      <c r="T469" s="551"/>
      <c r="U469" s="551"/>
      <c r="V469" s="552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3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56">
        <v>4640242180816</v>
      </c>
      <c r="E471" s="557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50</v>
      </c>
      <c r="Y471" s="542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52.976190476190474</v>
      </c>
      <c r="BN471" s="64">
        <f>IFERROR(Y471*I471/H471,"0")</f>
        <v>53.400000000000006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56">
        <v>4640242180595</v>
      </c>
      <c r="E472" s="557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68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100</v>
      </c>
      <c r="Y472" s="542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105.95238095238095</v>
      </c>
      <c r="BN472" s="64">
        <f>IFERROR(Y472*I472/H472,"0")</f>
        <v>106.80000000000001</v>
      </c>
      <c r="BO472" s="64">
        <f>IFERROR(1/J472*(X472/H472),"0")</f>
        <v>0.18037518037518038</v>
      </c>
      <c r="BP472" s="64">
        <f>IFERROR(1/J472*(Y472/H472),"0")</f>
        <v>0.18181818181818182</v>
      </c>
    </row>
    <row r="473" spans="1:68" x14ac:dyDescent="0.2">
      <c r="A473" s="558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9"/>
      <c r="P473" s="550" t="s">
        <v>71</v>
      </c>
      <c r="Q473" s="551"/>
      <c r="R473" s="551"/>
      <c r="S473" s="551"/>
      <c r="T473" s="551"/>
      <c r="U473" s="551"/>
      <c r="V473" s="552"/>
      <c r="W473" s="37" t="s">
        <v>72</v>
      </c>
      <c r="X473" s="543">
        <f>IFERROR(X471/H471,"0")+IFERROR(X472/H472,"0")</f>
        <v>35.714285714285715</v>
      </c>
      <c r="Y473" s="543">
        <f>IFERROR(Y471/H471,"0")+IFERROR(Y472/H472,"0")</f>
        <v>36</v>
      </c>
      <c r="Z473" s="543">
        <f>IFERROR(IF(Z471="",0,Z471),"0")+IFERROR(IF(Z472="",0,Z472),"0")</f>
        <v>0.32472000000000001</v>
      </c>
      <c r="AA473" s="544"/>
      <c r="AB473" s="544"/>
      <c r="AC473" s="544"/>
    </row>
    <row r="474" spans="1:68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9"/>
      <c r="P474" s="550" t="s">
        <v>71</v>
      </c>
      <c r="Q474" s="551"/>
      <c r="R474" s="551"/>
      <c r="S474" s="551"/>
      <c r="T474" s="551"/>
      <c r="U474" s="551"/>
      <c r="V474" s="552"/>
      <c r="W474" s="37" t="s">
        <v>69</v>
      </c>
      <c r="X474" s="543">
        <f>IFERROR(SUM(X471:X472),"0")</f>
        <v>150</v>
      </c>
      <c r="Y474" s="543">
        <f>IFERROR(SUM(Y471:Y472),"0")</f>
        <v>151.20000000000002</v>
      </c>
      <c r="Z474" s="37"/>
      <c r="AA474" s="544"/>
      <c r="AB474" s="544"/>
      <c r="AC474" s="544"/>
    </row>
    <row r="475" spans="1:68" ht="14.25" customHeight="1" x14ac:dyDescent="0.25">
      <c r="A475" s="553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56">
        <v>4640242180533</v>
      </c>
      <c r="E476" s="557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8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8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9"/>
      <c r="P477" s="550" t="s">
        <v>71</v>
      </c>
      <c r="Q477" s="551"/>
      <c r="R477" s="551"/>
      <c r="S477" s="551"/>
      <c r="T477" s="551"/>
      <c r="U477" s="551"/>
      <c r="V477" s="552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9"/>
      <c r="P478" s="550" t="s">
        <v>71</v>
      </c>
      <c r="Q478" s="551"/>
      <c r="R478" s="551"/>
      <c r="S478" s="551"/>
      <c r="T478" s="551"/>
      <c r="U478" s="551"/>
      <c r="V478" s="552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3" t="s">
        <v>163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56">
        <v>4640242180120</v>
      </c>
      <c r="E480" s="557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56">
        <v>4640242180137</v>
      </c>
      <c r="E481" s="557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8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9"/>
      <c r="P482" s="550" t="s">
        <v>71</v>
      </c>
      <c r="Q482" s="551"/>
      <c r="R482" s="551"/>
      <c r="S482" s="551"/>
      <c r="T482" s="551"/>
      <c r="U482" s="551"/>
      <c r="V482" s="552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9"/>
      <c r="P483" s="550" t="s">
        <v>71</v>
      </c>
      <c r="Q483" s="551"/>
      <c r="R483" s="551"/>
      <c r="S483" s="551"/>
      <c r="T483" s="551"/>
      <c r="U483" s="551"/>
      <c r="V483" s="552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45" t="s">
        <v>732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customHeight="1" x14ac:dyDescent="0.25">
      <c r="A485" s="553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56">
        <v>4640242180090</v>
      </c>
      <c r="E486" s="557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61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8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9"/>
      <c r="P487" s="550" t="s">
        <v>71</v>
      </c>
      <c r="Q487" s="551"/>
      <c r="R487" s="551"/>
      <c r="S487" s="551"/>
      <c r="T487" s="551"/>
      <c r="U487" s="551"/>
      <c r="V487" s="552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9"/>
      <c r="P488" s="550" t="s">
        <v>71</v>
      </c>
      <c r="Q488" s="551"/>
      <c r="R488" s="551"/>
      <c r="S488" s="551"/>
      <c r="T488" s="551"/>
      <c r="U488" s="551"/>
      <c r="V488" s="552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4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575"/>
      <c r="P489" s="615" t="s">
        <v>736</v>
      </c>
      <c r="Q489" s="616"/>
      <c r="R489" s="616"/>
      <c r="S489" s="616"/>
      <c r="T489" s="616"/>
      <c r="U489" s="616"/>
      <c r="V489" s="598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16859.5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16920.960000000003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575"/>
      <c r="P490" s="615" t="s">
        <v>737</v>
      </c>
      <c r="Q490" s="616"/>
      <c r="R490" s="616"/>
      <c r="S490" s="616"/>
      <c r="T490" s="616"/>
      <c r="U490" s="616"/>
      <c r="V490" s="598"/>
      <c r="W490" s="37" t="s">
        <v>69</v>
      </c>
      <c r="X490" s="543">
        <f>IFERROR(SUM(BM22:BM486),"0")</f>
        <v>17477.812377745711</v>
      </c>
      <c r="Y490" s="543">
        <f>IFERROR(SUM(BN22:BN486),"0")</f>
        <v>17542.133999999995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575"/>
      <c r="P491" s="615" t="s">
        <v>738</v>
      </c>
      <c r="Q491" s="616"/>
      <c r="R491" s="616"/>
      <c r="S491" s="616"/>
      <c r="T491" s="616"/>
      <c r="U491" s="616"/>
      <c r="V491" s="598"/>
      <c r="W491" s="37" t="s">
        <v>739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575"/>
      <c r="P492" s="615" t="s">
        <v>740</v>
      </c>
      <c r="Q492" s="616"/>
      <c r="R492" s="616"/>
      <c r="S492" s="616"/>
      <c r="T492" s="616"/>
      <c r="U492" s="616"/>
      <c r="V492" s="598"/>
      <c r="W492" s="37" t="s">
        <v>69</v>
      </c>
      <c r="X492" s="543">
        <f>GrossWeightTotal+PalletQtyTotal*25</f>
        <v>18102.812377745711</v>
      </c>
      <c r="Y492" s="543">
        <f>GrossWeightTotalR+PalletQtyTotalR*25</f>
        <v>18167.133999999995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575"/>
      <c r="P493" s="615" t="s">
        <v>741</v>
      </c>
      <c r="Q493" s="616"/>
      <c r="R493" s="616"/>
      <c r="S493" s="616"/>
      <c r="T493" s="616"/>
      <c r="U493" s="616"/>
      <c r="V493" s="598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1541.359628026295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1550</v>
      </c>
      <c r="Z493" s="37"/>
      <c r="AA493" s="544"/>
      <c r="AB493" s="544"/>
      <c r="AC493" s="544"/>
    </row>
    <row r="494" spans="1:68" ht="14.25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575"/>
      <c r="P494" s="615" t="s">
        <v>742</v>
      </c>
      <c r="Q494" s="616"/>
      <c r="R494" s="616"/>
      <c r="S494" s="616"/>
      <c r="T494" s="616"/>
      <c r="U494" s="616"/>
      <c r="V494" s="598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26.898579999999999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54" t="s">
        <v>97</v>
      </c>
      <c r="D496" s="632"/>
      <c r="E496" s="632"/>
      <c r="F496" s="632"/>
      <c r="G496" s="632"/>
      <c r="H496" s="625"/>
      <c r="I496" s="554" t="s">
        <v>250</v>
      </c>
      <c r="J496" s="632"/>
      <c r="K496" s="632"/>
      <c r="L496" s="632"/>
      <c r="M496" s="632"/>
      <c r="N496" s="632"/>
      <c r="O496" s="632"/>
      <c r="P496" s="632"/>
      <c r="Q496" s="632"/>
      <c r="R496" s="625"/>
      <c r="S496" s="554" t="s">
        <v>530</v>
      </c>
      <c r="T496" s="625"/>
      <c r="U496" s="554" t="s">
        <v>585</v>
      </c>
      <c r="V496" s="632"/>
      <c r="W496" s="625"/>
      <c r="X496" s="538" t="s">
        <v>636</v>
      </c>
      <c r="Y496" s="554" t="s">
        <v>696</v>
      </c>
      <c r="Z496" s="625"/>
      <c r="AB496" s="52"/>
      <c r="AC496" s="52"/>
      <c r="AF496" s="539"/>
    </row>
    <row r="497" spans="1:32" ht="14.25" customHeight="1" thickTop="1" x14ac:dyDescent="0.2">
      <c r="A497" s="633" t="s">
        <v>745</v>
      </c>
      <c r="B497" s="554" t="s">
        <v>63</v>
      </c>
      <c r="C497" s="554" t="s">
        <v>98</v>
      </c>
      <c r="D497" s="554" t="s">
        <v>116</v>
      </c>
      <c r="E497" s="554" t="s">
        <v>170</v>
      </c>
      <c r="F497" s="554" t="s">
        <v>190</v>
      </c>
      <c r="G497" s="554" t="s">
        <v>220</v>
      </c>
      <c r="H497" s="554" t="s">
        <v>97</v>
      </c>
      <c r="I497" s="554" t="s">
        <v>251</v>
      </c>
      <c r="J497" s="554" t="s">
        <v>296</v>
      </c>
      <c r="K497" s="554" t="s">
        <v>355</v>
      </c>
      <c r="L497" s="554" t="s">
        <v>397</v>
      </c>
      <c r="M497" s="554" t="s">
        <v>413</v>
      </c>
      <c r="N497" s="539"/>
      <c r="O497" s="554" t="s">
        <v>424</v>
      </c>
      <c r="P497" s="554" t="s">
        <v>433</v>
      </c>
      <c r="Q497" s="554" t="s">
        <v>446</v>
      </c>
      <c r="R497" s="554" t="s">
        <v>520</v>
      </c>
      <c r="S497" s="554" t="s">
        <v>531</v>
      </c>
      <c r="T497" s="554" t="s">
        <v>566</v>
      </c>
      <c r="U497" s="554" t="s">
        <v>586</v>
      </c>
      <c r="V497" s="554" t="s">
        <v>617</v>
      </c>
      <c r="W497" s="554" t="s">
        <v>632</v>
      </c>
      <c r="X497" s="554" t="s">
        <v>636</v>
      </c>
      <c r="Y497" s="554" t="s">
        <v>696</v>
      </c>
      <c r="Z497" s="554" t="s">
        <v>732</v>
      </c>
      <c r="AB497" s="52"/>
      <c r="AC497" s="52"/>
      <c r="AF497" s="539"/>
    </row>
    <row r="498" spans="1:32" ht="13.5" customHeight="1" thickBot="1" x14ac:dyDescent="0.25">
      <c r="A498" s="634"/>
      <c r="B498" s="555"/>
      <c r="C498" s="555"/>
      <c r="D498" s="555"/>
      <c r="E498" s="555"/>
      <c r="F498" s="555"/>
      <c r="G498" s="555"/>
      <c r="H498" s="555"/>
      <c r="I498" s="555"/>
      <c r="J498" s="555"/>
      <c r="K498" s="555"/>
      <c r="L498" s="555"/>
      <c r="M498" s="555"/>
      <c r="N498" s="539"/>
      <c r="O498" s="555"/>
      <c r="P498" s="555"/>
      <c r="Q498" s="555"/>
      <c r="R498" s="555"/>
      <c r="S498" s="555"/>
      <c r="T498" s="555"/>
      <c r="U498" s="555"/>
      <c r="V498" s="555"/>
      <c r="W498" s="555"/>
      <c r="X498" s="555"/>
      <c r="Y498" s="555"/>
      <c r="Z498" s="555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249.3</v>
      </c>
      <c r="E499" s="46">
        <f>IFERROR(Y85*1,"0")+IFERROR(Y86*1,"0")+IFERROR(Y87*1,"0")+IFERROR(Y91*1,"0")+IFERROR(Y92*1,"0")+IFERROR(Y93*1,"0")+IFERROR(Y94*1,"0")</f>
        <v>405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197.10000000000002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151.20000000000002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50.400000000000006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13368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377.40000000000003</v>
      </c>
      <c r="V499" s="46">
        <f>IFERROR(Y403*1,"0")+IFERROR(Y407*1,"0")+IFERROR(Y408*1,"0")+IFERROR(Y409*1,"0")+IFERROR(Y410*1,"0")</f>
        <v>426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1409.7600000000002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151.20000000000002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D398:E398"/>
    <mergeCell ref="P79:T79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