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A4CFACC-87C5-4D1B-9C9E-702D20D00C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P466" i="1"/>
  <c r="BO466" i="1"/>
  <c r="BN466" i="1"/>
  <c r="BM466" i="1"/>
  <c r="Z466" i="1"/>
  <c r="Y466" i="1"/>
  <c r="P466" i="1"/>
  <c r="BO465" i="1"/>
  <c r="BM465" i="1"/>
  <c r="Y465" i="1"/>
  <c r="Y468" i="1" s="1"/>
  <c r="P465" i="1"/>
  <c r="X463" i="1"/>
  <c r="X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P442" i="1"/>
  <c r="BO442" i="1"/>
  <c r="BN442" i="1"/>
  <c r="BM442" i="1"/>
  <c r="Z442" i="1"/>
  <c r="Y442" i="1"/>
  <c r="P442" i="1"/>
  <c r="BO441" i="1"/>
  <c r="BM441" i="1"/>
  <c r="Y441" i="1"/>
  <c r="Y448" i="1" s="1"/>
  <c r="P441" i="1"/>
  <c r="X439" i="1"/>
  <c r="X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Y438" i="1" s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W499" i="1" s="1"/>
  <c r="P415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U499" i="1" s="1"/>
  <c r="P385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S499" i="1" s="1"/>
  <c r="P343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1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BO321" i="1"/>
  <c r="BM321" i="1"/>
  <c r="Y321" i="1"/>
  <c r="Y325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Y312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Y306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Y269" i="1" s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O257" i="1"/>
  <c r="BM257" i="1"/>
  <c r="Y257" i="1"/>
  <c r="BP257" i="1" s="1"/>
  <c r="P257" i="1"/>
  <c r="BO256" i="1"/>
  <c r="BN256" i="1"/>
  <c r="BM256" i="1"/>
  <c r="Z256" i="1"/>
  <c r="Y256" i="1"/>
  <c r="BP256" i="1" s="1"/>
  <c r="P256" i="1"/>
  <c r="BO255" i="1"/>
  <c r="BM255" i="1"/>
  <c r="Y255" i="1"/>
  <c r="BP255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7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J499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3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P22" i="1"/>
  <c r="H10" i="1"/>
  <c r="A9" i="1"/>
  <c r="F10" i="1" s="1"/>
  <c r="D7" i="1"/>
  <c r="Q6" i="1"/>
  <c r="P2" i="1"/>
  <c r="F9" i="1" l="1"/>
  <c r="J9" i="1"/>
  <c r="B499" i="1"/>
  <c r="Y23" i="1"/>
  <c r="BP22" i="1"/>
  <c r="BN22" i="1"/>
  <c r="Z22" i="1"/>
  <c r="Z23" i="1" s="1"/>
  <c r="Y24" i="1"/>
  <c r="Y31" i="1"/>
  <c r="BP26" i="1"/>
  <c r="BN26" i="1"/>
  <c r="Z26" i="1"/>
  <c r="BP30" i="1"/>
  <c r="BN30" i="1"/>
  <c r="Z30" i="1"/>
  <c r="Y32" i="1"/>
  <c r="Y36" i="1"/>
  <c r="Y35" i="1"/>
  <c r="BP34" i="1"/>
  <c r="BN34" i="1"/>
  <c r="Z34" i="1"/>
  <c r="Z35" i="1" s="1"/>
  <c r="H9" i="1"/>
  <c r="A10" i="1"/>
  <c r="BP28" i="1"/>
  <c r="BN28" i="1"/>
  <c r="Z28" i="1"/>
  <c r="Z63" i="1"/>
  <c r="Z172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Z69" i="1" s="1"/>
  <c r="BN67" i="1"/>
  <c r="BP67" i="1"/>
  <c r="Z73" i="1"/>
  <c r="BN73" i="1"/>
  <c r="BP73" i="1"/>
  <c r="Z75" i="1"/>
  <c r="Z76" i="1" s="1"/>
  <c r="BN75" i="1"/>
  <c r="Z79" i="1"/>
  <c r="Z81" i="1" s="1"/>
  <c r="BN79" i="1"/>
  <c r="BP79" i="1"/>
  <c r="Y82" i="1"/>
  <c r="E499" i="1"/>
  <c r="Z86" i="1"/>
  <c r="Z88" i="1" s="1"/>
  <c r="BN86" i="1"/>
  <c r="BP86" i="1"/>
  <c r="Y89" i="1"/>
  <c r="Z92" i="1"/>
  <c r="BN92" i="1"/>
  <c r="BP92" i="1"/>
  <c r="Z94" i="1"/>
  <c r="Z95" i="1" s="1"/>
  <c r="BN94" i="1"/>
  <c r="Z99" i="1"/>
  <c r="Z103" i="1" s="1"/>
  <c r="BN99" i="1"/>
  <c r="BP99" i="1"/>
  <c r="Z101" i="1"/>
  <c r="BN101" i="1"/>
  <c r="Y104" i="1"/>
  <c r="Z107" i="1"/>
  <c r="Z109" i="1" s="1"/>
  <c r="BN107" i="1"/>
  <c r="BP107" i="1"/>
  <c r="Z113" i="1"/>
  <c r="BN113" i="1"/>
  <c r="BP113" i="1"/>
  <c r="Z115" i="1"/>
  <c r="Z116" i="1" s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2" i="1"/>
  <c r="Z175" i="1"/>
  <c r="Z178" i="1" s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Z192" i="1"/>
  <c r="BN192" i="1"/>
  <c r="Y193" i="1"/>
  <c r="BP197" i="1"/>
  <c r="BN197" i="1"/>
  <c r="Z197" i="1"/>
  <c r="Z204" i="1" s="1"/>
  <c r="BP201" i="1"/>
  <c r="BN201" i="1"/>
  <c r="Z201" i="1"/>
  <c r="Y44" i="1"/>
  <c r="Y57" i="1"/>
  <c r="Y103" i="1"/>
  <c r="Y126" i="1"/>
  <c r="Y160" i="1"/>
  <c r="Z187" i="1"/>
  <c r="BN187" i="1"/>
  <c r="Y188" i="1"/>
  <c r="Z193" i="1"/>
  <c r="BP199" i="1"/>
  <c r="BN199" i="1"/>
  <c r="Z199" i="1"/>
  <c r="Z203" i="1"/>
  <c r="BN203" i="1"/>
  <c r="Y204" i="1"/>
  <c r="Z207" i="1"/>
  <c r="BN207" i="1"/>
  <c r="BP207" i="1"/>
  <c r="Z209" i="1"/>
  <c r="BN209" i="1"/>
  <c r="Z211" i="1"/>
  <c r="BN211" i="1"/>
  <c r="Z213" i="1"/>
  <c r="BN213" i="1"/>
  <c r="Z215" i="1"/>
  <c r="BN215" i="1"/>
  <c r="Y216" i="1"/>
  <c r="Z219" i="1"/>
  <c r="Z221" i="1" s="1"/>
  <c r="BN219" i="1"/>
  <c r="BP219" i="1"/>
  <c r="Y222" i="1"/>
  <c r="K499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48" i="1"/>
  <c r="BN248" i="1"/>
  <c r="Z250" i="1"/>
  <c r="BN250" i="1"/>
  <c r="Y251" i="1"/>
  <c r="Z255" i="1"/>
  <c r="BN255" i="1"/>
  <c r="Z257" i="1"/>
  <c r="BN257" i="1"/>
  <c r="BP258" i="1"/>
  <c r="BN258" i="1"/>
  <c r="Z258" i="1"/>
  <c r="BP267" i="1"/>
  <c r="BN267" i="1"/>
  <c r="Z267" i="1"/>
  <c r="O499" i="1"/>
  <c r="Y275" i="1"/>
  <c r="BP272" i="1"/>
  <c r="BN272" i="1"/>
  <c r="Z272" i="1"/>
  <c r="Y287" i="1"/>
  <c r="BP284" i="1"/>
  <c r="BN284" i="1"/>
  <c r="Z284" i="1"/>
  <c r="Z286" i="1" s="1"/>
  <c r="BP293" i="1"/>
  <c r="BN293" i="1"/>
  <c r="Z293" i="1"/>
  <c r="Z370" i="1"/>
  <c r="Y236" i="1"/>
  <c r="L499" i="1"/>
  <c r="Y261" i="1"/>
  <c r="Y260" i="1"/>
  <c r="BP265" i="1"/>
  <c r="BN265" i="1"/>
  <c r="Z265" i="1"/>
  <c r="Z268" i="1" s="1"/>
  <c r="BP274" i="1"/>
  <c r="BN274" i="1"/>
  <c r="Z274" i="1"/>
  <c r="Y276" i="1"/>
  <c r="P499" i="1"/>
  <c r="Y282" i="1"/>
  <c r="BP279" i="1"/>
  <c r="BN279" i="1"/>
  <c r="Z279" i="1"/>
  <c r="Z281" i="1" s="1"/>
  <c r="Y286" i="1"/>
  <c r="Z295" i="1"/>
  <c r="BP291" i="1"/>
  <c r="BN291" i="1"/>
  <c r="Z291" i="1"/>
  <c r="Y295" i="1"/>
  <c r="Y305" i="1"/>
  <c r="Y313" i="1"/>
  <c r="Y319" i="1"/>
  <c r="Y326" i="1"/>
  <c r="Y332" i="1"/>
  <c r="Y339" i="1"/>
  <c r="Y350" i="1"/>
  <c r="Y356" i="1"/>
  <c r="Y360" i="1"/>
  <c r="Y371" i="1"/>
  <c r="Y375" i="1"/>
  <c r="Y381" i="1"/>
  <c r="Y395" i="1"/>
  <c r="Y399" i="1"/>
  <c r="Y412" i="1"/>
  <c r="Y417" i="1"/>
  <c r="X499" i="1"/>
  <c r="Y432" i="1"/>
  <c r="Y433" i="1"/>
  <c r="BP423" i="1"/>
  <c r="BN423" i="1"/>
  <c r="BP425" i="1"/>
  <c r="BN425" i="1"/>
  <c r="Z425" i="1"/>
  <c r="BP429" i="1"/>
  <c r="BN429" i="1"/>
  <c r="Z429" i="1"/>
  <c r="M499" i="1"/>
  <c r="Y268" i="1"/>
  <c r="Q499" i="1"/>
  <c r="Y296" i="1"/>
  <c r="Z299" i="1"/>
  <c r="Z305" i="1" s="1"/>
  <c r="BN299" i="1"/>
  <c r="Z301" i="1"/>
  <c r="BN301" i="1"/>
  <c r="Z303" i="1"/>
  <c r="BN303" i="1"/>
  <c r="Z309" i="1"/>
  <c r="Z312" i="1" s="1"/>
  <c r="BN309" i="1"/>
  <c r="Z311" i="1"/>
  <c r="BN311" i="1"/>
  <c r="Z315" i="1"/>
  <c r="Z318" i="1" s="1"/>
  <c r="BN315" i="1"/>
  <c r="BP315" i="1"/>
  <c r="Z317" i="1"/>
  <c r="BN317" i="1"/>
  <c r="Z321" i="1"/>
  <c r="BN321" i="1"/>
  <c r="BP321" i="1"/>
  <c r="Z322" i="1"/>
  <c r="BN322" i="1"/>
  <c r="Z324" i="1"/>
  <c r="BN324" i="1"/>
  <c r="Z328" i="1"/>
  <c r="Z331" i="1" s="1"/>
  <c r="BN328" i="1"/>
  <c r="BP328" i="1"/>
  <c r="Z330" i="1"/>
  <c r="BN330" i="1"/>
  <c r="Z335" i="1"/>
  <c r="BN335" i="1"/>
  <c r="BP335" i="1"/>
  <c r="Z337" i="1"/>
  <c r="BN337" i="1"/>
  <c r="Y338" i="1"/>
  <c r="Z343" i="1"/>
  <c r="BN343" i="1"/>
  <c r="BP343" i="1"/>
  <c r="Z345" i="1"/>
  <c r="BN345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499" i="1"/>
  <c r="Z369" i="1"/>
  <c r="BN369" i="1"/>
  <c r="Y370" i="1"/>
  <c r="Z373" i="1"/>
  <c r="Z375" i="1" s="1"/>
  <c r="BN373" i="1"/>
  <c r="BP373" i="1"/>
  <c r="Z379" i="1"/>
  <c r="Z380" i="1" s="1"/>
  <c r="BN379" i="1"/>
  <c r="Z385" i="1"/>
  <c r="BN385" i="1"/>
  <c r="BP385" i="1"/>
  <c r="Z387" i="1"/>
  <c r="BN387" i="1"/>
  <c r="Z389" i="1"/>
  <c r="BN389" i="1"/>
  <c r="Z391" i="1"/>
  <c r="BN391" i="1"/>
  <c r="Z393" i="1"/>
  <c r="BN393" i="1"/>
  <c r="Y394" i="1"/>
  <c r="Z397" i="1"/>
  <c r="Z399" i="1" s="1"/>
  <c r="BN397" i="1"/>
  <c r="BP397" i="1"/>
  <c r="V499" i="1"/>
  <c r="Y405" i="1"/>
  <c r="Z408" i="1"/>
  <c r="Z411" i="1" s="1"/>
  <c r="BN408" i="1"/>
  <c r="Z410" i="1"/>
  <c r="BN410" i="1"/>
  <c r="Z415" i="1"/>
  <c r="Z416" i="1" s="1"/>
  <c r="BN415" i="1"/>
  <c r="BP415" i="1"/>
  <c r="Y416" i="1"/>
  <c r="Z421" i="1"/>
  <c r="BN421" i="1"/>
  <c r="BP421" i="1"/>
  <c r="Z423" i="1"/>
  <c r="BP427" i="1"/>
  <c r="BN427" i="1"/>
  <c r="Z427" i="1"/>
  <c r="BP431" i="1"/>
  <c r="BN431" i="1"/>
  <c r="Z431" i="1"/>
  <c r="Y439" i="1"/>
  <c r="Y447" i="1"/>
  <c r="Y453" i="1"/>
  <c r="Y463" i="1"/>
  <c r="Y469" i="1"/>
  <c r="Y473" i="1"/>
  <c r="Y483" i="1"/>
  <c r="Y488" i="1"/>
  <c r="Y499" i="1"/>
  <c r="Z435" i="1"/>
  <c r="Z438" i="1" s="1"/>
  <c r="BN435" i="1"/>
  <c r="BP435" i="1"/>
  <c r="Z437" i="1"/>
  <c r="BN437" i="1"/>
  <c r="Z441" i="1"/>
  <c r="BN441" i="1"/>
  <c r="BP441" i="1"/>
  <c r="Z443" i="1"/>
  <c r="BN443" i="1"/>
  <c r="Z445" i="1"/>
  <c r="BN445" i="1"/>
  <c r="Z451" i="1"/>
  <c r="Z453" i="1" s="1"/>
  <c r="BN451" i="1"/>
  <c r="Z459" i="1"/>
  <c r="Z462" i="1" s="1"/>
  <c r="BN459" i="1"/>
  <c r="Z461" i="1"/>
  <c r="BN461" i="1"/>
  <c r="Z465" i="1"/>
  <c r="Z468" i="1" s="1"/>
  <c r="BN465" i="1"/>
  <c r="BP465" i="1"/>
  <c r="Z467" i="1"/>
  <c r="BN467" i="1"/>
  <c r="Z471" i="1"/>
  <c r="Z473" i="1" s="1"/>
  <c r="BN471" i="1"/>
  <c r="BP471" i="1"/>
  <c r="Z481" i="1"/>
  <c r="Z482" i="1" s="1"/>
  <c r="BN481" i="1"/>
  <c r="Z486" i="1"/>
  <c r="Z487" i="1" s="1"/>
  <c r="BN486" i="1"/>
  <c r="BP486" i="1"/>
  <c r="Y487" i="1"/>
  <c r="Z432" i="1" l="1"/>
  <c r="Y491" i="1"/>
  <c r="Z447" i="1"/>
  <c r="Z394" i="1"/>
  <c r="Z350" i="1"/>
  <c r="Z338" i="1"/>
  <c r="Z325" i="1"/>
  <c r="Z275" i="1"/>
  <c r="Z260" i="1"/>
  <c r="Z251" i="1"/>
  <c r="Z216" i="1"/>
  <c r="Z57" i="1"/>
  <c r="Z43" i="1"/>
  <c r="Z31" i="1"/>
  <c r="Z494" i="1" s="1"/>
  <c r="Y489" i="1"/>
  <c r="Y490" i="1"/>
  <c r="Y492" i="1" s="1"/>
  <c r="Y493" i="1"/>
</calcChain>
</file>

<file path=xl/sharedStrings.xml><?xml version="1.0" encoding="utf-8"?>
<sst xmlns="http://schemas.openxmlformats.org/spreadsheetml/2006/main" count="2282" uniqueCount="767">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</sst>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98</v>
      </c>
      <c r="Y91" s="542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103.97679012345679</v>
      </c>
      <c r="BN91" s="64">
        <f>IFERROR(Y91*I91/H91,"0")</f>
        <v>111.72199999999999</v>
      </c>
      <c r="BO91" s="64">
        <f>IFERROR(1/J91*(X91/H91),"0")</f>
        <v>0.18904320987654322</v>
      </c>
      <c r="BP91" s="64">
        <f>IFERROR(1/J91*(Y91/H91),"0")</f>
        <v>0.203125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12.098765432098766</v>
      </c>
      <c r="Y95" s="543">
        <f>IFERROR(Y91/H91,"0")+IFERROR(Y92/H92,"0")+IFERROR(Y93/H93,"0")+IFERROR(Y94/H94,"0")</f>
        <v>13</v>
      </c>
      <c r="Z95" s="543">
        <f>IFERROR(IF(Z91="",0,Z91),"0")+IFERROR(IF(Z92="",0,Z92),"0")+IFERROR(IF(Z93="",0,Z93),"0")+IFERROR(IF(Z94="",0,Z94),"0")</f>
        <v>0.24674000000000001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98</v>
      </c>
      <c r="Y96" s="543">
        <f>IFERROR(SUM(Y91:Y94),"0")</f>
        <v>105.3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98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103.9041975308642</v>
      </c>
      <c r="BN112" s="64">
        <f>IFERROR(Y112*I112/H112,"0")</f>
        <v>111.64399999999999</v>
      </c>
      <c r="BO112" s="64">
        <f>IFERROR(1/J112*(X112/H112),"0")</f>
        <v>0.18904320987654322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12.098765432098766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98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112</v>
      </c>
      <c r="Y212" s="542">
        <f t="shared" si="15"/>
        <v>112.8</v>
      </c>
      <c r="Z212" s="36">
        <f t="shared" si="20"/>
        <v>0.30597000000000002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123.76</v>
      </c>
      <c r="BN212" s="64">
        <f t="shared" si="17"/>
        <v>124.64400000000001</v>
      </c>
      <c r="BO212" s="64">
        <f t="shared" si="18"/>
        <v>0.25641025641025644</v>
      </c>
      <c r="BP212" s="64">
        <f t="shared" si="19"/>
        <v>0.25824175824175827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104</v>
      </c>
      <c r="Y213" s="542">
        <f t="shared" si="15"/>
        <v>105.6</v>
      </c>
      <c r="Z213" s="36">
        <f t="shared" si="20"/>
        <v>0.28644000000000003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114.92</v>
      </c>
      <c r="BN213" s="64">
        <f t="shared" si="17"/>
        <v>116.688</v>
      </c>
      <c r="BO213" s="64">
        <f t="shared" si="18"/>
        <v>0.23809523809523814</v>
      </c>
      <c r="BP213" s="64">
        <f t="shared" si="19"/>
        <v>0.24175824175824179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90</v>
      </c>
      <c r="Y216" s="543">
        <f>IFERROR(Y207/H207,"0")+IFERROR(Y208/H208,"0")+IFERROR(Y209/H209,"0")+IFERROR(Y210/H210,"0")+IFERROR(Y211/H211,"0")+IFERROR(Y212/H212,"0")+IFERROR(Y213/H213,"0")+IFERROR(Y214/H214,"0")+IFERROR(Y215/H215,"0")</f>
        <v>91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0.5924100000000001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216</v>
      </c>
      <c r="Y217" s="543">
        <f>IFERROR(SUM(Y207:Y215),"0")</f>
        <v>218.39999999999998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32</v>
      </c>
      <c r="Y273" s="542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35.360000000000007</v>
      </c>
      <c r="BN273" s="64">
        <f>IFERROR(Y273*I273/H273,"0")</f>
        <v>37.128000000000007</v>
      </c>
      <c r="BO273" s="64">
        <f>IFERROR(1/J273*(X273/H273),"0")</f>
        <v>7.3260073260073263E-2</v>
      </c>
      <c r="BP273" s="64">
        <f>IFERROR(1/J273*(Y273/H273),"0")</f>
        <v>7.6923076923076941E-2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34</v>
      </c>
      <c r="Y274" s="542">
        <f>IFERROR(IF(X274="",0,CEILING((X274/$H274),1)*$H274),"")</f>
        <v>36</v>
      </c>
      <c r="Z274" s="36">
        <f>IFERROR(IF(Y274=0,"",ROUNDUP(Y274/H274,0)*0.00651),"")</f>
        <v>9.7650000000000001E-2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36.550000000000004</v>
      </c>
      <c r="BN274" s="64">
        <f>IFERROR(Y274*I274/H274,"0")</f>
        <v>38.700000000000003</v>
      </c>
      <c r="BO274" s="64">
        <f>IFERROR(1/J274*(X274/H274),"0")</f>
        <v>7.7838827838827854E-2</v>
      </c>
      <c r="BP274" s="64">
        <f>IFERROR(1/J274*(Y274/H274),"0")</f>
        <v>8.241758241758243E-2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27.5</v>
      </c>
      <c r="Y275" s="543">
        <f>IFERROR(Y272/H272,"0")+IFERROR(Y273/H273,"0")+IFERROR(Y274/H274,"0")</f>
        <v>29</v>
      </c>
      <c r="Z275" s="543">
        <f>IFERROR(IF(Z272="",0,Z272),"0")+IFERROR(IF(Z273="",0,Z273),"0")+IFERROR(IF(Z274="",0,Z274),"0")</f>
        <v>0.18879000000000001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66</v>
      </c>
      <c r="Y276" s="543">
        <f>IFERROR(SUM(Y272:Y274),"0")</f>
        <v>69.599999999999994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82</v>
      </c>
      <c r="Y316" s="542">
        <f>IFERROR(IF(X316="",0,CEILING((X316/$H316),1)*$H316),"")</f>
        <v>85.8</v>
      </c>
      <c r="Z316" s="36">
        <f>IFERROR(IF(Y316=0,"",ROUNDUP(Y316/H316,0)*0.01898),"")</f>
        <v>0.20877999999999999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87.193333333333342</v>
      </c>
      <c r="BN316" s="64">
        <f>IFERROR(Y316*I316/H316,"0")</f>
        <v>91.234000000000009</v>
      </c>
      <c r="BO316" s="64">
        <f>IFERROR(1/J316*(X316/H316),"0")</f>
        <v>0.16426282051282051</v>
      </c>
      <c r="BP316" s="64">
        <f>IFERROR(1/J316*(Y316/H316),"0")</f>
        <v>0.171875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10.512820512820513</v>
      </c>
      <c r="Y318" s="543">
        <f>IFERROR(Y315/H315,"0")+IFERROR(Y316/H316,"0")+IFERROR(Y317/H317,"0")</f>
        <v>11</v>
      </c>
      <c r="Z318" s="543">
        <f>IFERROR(IF(Z315="",0,Z315),"0")+IFERROR(IF(Z316="",0,Z316),"0")+IFERROR(IF(Z317="",0,Z317),"0")</f>
        <v>0.20877999999999999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82</v>
      </c>
      <c r="Y319" s="543">
        <f>IFERROR(SUM(Y315:Y317),"0")</f>
        <v>85.8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155</v>
      </c>
      <c r="Y343" s="542">
        <f t="shared" ref="Y343:Y349" si="31">IFERROR(IF(X343="",0,CEILING((X343/$H343),1)*$H343),"")</f>
        <v>165</v>
      </c>
      <c r="Z343" s="36">
        <f>IFERROR(IF(Y343=0,"",ROUNDUP(Y343/H343,0)*0.02175),"")</f>
        <v>0.23924999999999999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159.85666666666665</v>
      </c>
      <c r="BN343" s="64">
        <f t="shared" ref="BN343:BN349" si="33">IFERROR(Y343*I343/H343,"0")</f>
        <v>170.17000000000002</v>
      </c>
      <c r="BO343" s="64">
        <f t="shared" ref="BO343:BO349" si="34">IFERROR(1/J343*(X343/H343),"0")</f>
        <v>0.21527777777777779</v>
      </c>
      <c r="BP343" s="64">
        <f t="shared" ref="BP343:BP349" si="35">IFERROR(1/J343*(Y343/H343),"0")</f>
        <v>0.22916666666666666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103</v>
      </c>
      <c r="Y346" s="542">
        <f t="shared" si="31"/>
        <v>105</v>
      </c>
      <c r="Z346" s="36">
        <f>IFERROR(IF(Y346=0,"",ROUNDUP(Y346/H346,0)*0.02175),"")</f>
        <v>0.15225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106.22733333333333</v>
      </c>
      <c r="BN346" s="64">
        <f t="shared" si="33"/>
        <v>108.29</v>
      </c>
      <c r="BO346" s="64">
        <f t="shared" si="34"/>
        <v>0.14305555555555555</v>
      </c>
      <c r="BP346" s="64">
        <f t="shared" si="35"/>
        <v>0.14583333333333331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17.2</v>
      </c>
      <c r="Y350" s="543">
        <f>IFERROR(Y343/H343,"0")+IFERROR(Y344/H344,"0")+IFERROR(Y345/H345,"0")+IFERROR(Y346/H346,"0")+IFERROR(Y347/H347,"0")+IFERROR(Y348/H348,"0")+IFERROR(Y349/H349,"0")</f>
        <v>18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0.39149999999999996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258</v>
      </c>
      <c r="Y351" s="543">
        <f>IFERROR(SUM(Y343:Y349),"0")</f>
        <v>270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121</v>
      </c>
      <c r="Y353" s="542">
        <f>IFERROR(IF(X353="",0,CEILING((X353/$H353),1)*$H353),"")</f>
        <v>135</v>
      </c>
      <c r="Z353" s="36">
        <f>IFERROR(IF(Y353=0,"",ROUNDUP(Y353/H353,0)*0.02175),"")</f>
        <v>0.19574999999999998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124.79133333333334</v>
      </c>
      <c r="BN353" s="64">
        <f>IFERROR(Y353*I353/H353,"0")</f>
        <v>139.23000000000002</v>
      </c>
      <c r="BO353" s="64">
        <f>IFERROR(1/J353*(X353/H353),"0")</f>
        <v>0.16805555555555554</v>
      </c>
      <c r="BP353" s="64">
        <f>IFERROR(1/J353*(Y353/H353),"0")</f>
        <v>0.1875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8.0666666666666664</v>
      </c>
      <c r="Y355" s="543">
        <f>IFERROR(Y353/H353,"0")+IFERROR(Y354/H354,"0")</f>
        <v>9</v>
      </c>
      <c r="Z355" s="543">
        <f>IFERROR(IF(Z353="",0,Z353),"0")+IFERROR(IF(Z354="",0,Z354),"0")</f>
        <v>0.19574999999999998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121</v>
      </c>
      <c r="Y356" s="543">
        <f>IFERROR(SUM(Y353:Y354),"0")</f>
        <v>135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279</v>
      </c>
      <c r="Y426" s="542">
        <f t="shared" si="42"/>
        <v>279.84000000000003</v>
      </c>
      <c r="Z426" s="36">
        <f t="shared" si="43"/>
        <v>0.63388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297.49431818181819</v>
      </c>
      <c r="BN426" s="64">
        <f t="shared" si="45"/>
        <v>298.39000000000004</v>
      </c>
      <c r="BO426" s="64">
        <f t="shared" si="46"/>
        <v>0.50808566433566427</v>
      </c>
      <c r="BP426" s="64">
        <f t="shared" si="47"/>
        <v>0.50961538461538469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52.840909090909086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0.63388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279</v>
      </c>
      <c r="Y433" s="543">
        <f>IFERROR(SUM(Y421:Y431),"0")</f>
        <v>279.84000000000003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112</v>
      </c>
      <c r="Y435" s="542">
        <f>IFERROR(IF(X435="",0,CEILING((X435/$H435),1)*$H435),"")</f>
        <v>116.16000000000001</v>
      </c>
      <c r="Z435" s="36">
        <f>IFERROR(IF(Y435=0,"",ROUNDUP(Y435/H435,0)*0.01196),"")</f>
        <v>0.26312000000000002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119.42424242424241</v>
      </c>
      <c r="BN435" s="64">
        <f>IFERROR(Y435*I435/H435,"0")</f>
        <v>123.86</v>
      </c>
      <c r="BO435" s="64">
        <f>IFERROR(1/J435*(X435/H435),"0")</f>
        <v>0.20396270396270397</v>
      </c>
      <c r="BP435" s="64">
        <f>IFERROR(1/J435*(Y435/H435),"0")</f>
        <v>0.21153846153846156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21.212121212121211</v>
      </c>
      <c r="Y438" s="543">
        <f>IFERROR(Y435/H435,"0")+IFERROR(Y436/H436,"0")+IFERROR(Y437/H437,"0")</f>
        <v>22</v>
      </c>
      <c r="Z438" s="543">
        <f>IFERROR(IF(Z435="",0,Z435),"0")+IFERROR(IF(Z436="",0,Z436),"0")+IFERROR(IF(Z437="",0,Z437),"0")</f>
        <v>0.26312000000000002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112</v>
      </c>
      <c r="Y439" s="543">
        <f>IFERROR(SUM(Y435:Y437),"0")</f>
        <v>116.16000000000001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70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74.640151515151501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0.12747668997668998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47</v>
      </c>
      <c r="Y442" s="542">
        <f t="shared" si="48"/>
        <v>47.52</v>
      </c>
      <c r="Z442" s="36">
        <f>IFERROR(IF(Y442=0,"",ROUNDUP(Y442/H442,0)*0.01196),"")</f>
        <v>0.10764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50.115530303030305</v>
      </c>
      <c r="BN442" s="64">
        <f t="shared" si="50"/>
        <v>50.669999999999995</v>
      </c>
      <c r="BO442" s="64">
        <f t="shared" si="51"/>
        <v>8.559149184149184E-2</v>
      </c>
      <c r="BP442" s="64">
        <f t="shared" si="52"/>
        <v>8.6538461538461536E-2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75</v>
      </c>
      <c r="Y443" s="542">
        <f t="shared" si="48"/>
        <v>79.2</v>
      </c>
      <c r="Z443" s="36">
        <f>IFERROR(IF(Y443=0,"",ROUNDUP(Y443/H443,0)*0.01196),"")</f>
        <v>0.1794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79.971590909090907</v>
      </c>
      <c r="BN443" s="64">
        <f t="shared" si="50"/>
        <v>84.45</v>
      </c>
      <c r="BO443" s="64">
        <f t="shared" si="51"/>
        <v>0.13658216783216784</v>
      </c>
      <c r="BP443" s="64">
        <f t="shared" si="52"/>
        <v>0.14423076923076925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36.36363636363636</v>
      </c>
      <c r="Y447" s="543">
        <f>IFERROR(Y441/H441,"0")+IFERROR(Y442/H442,"0")+IFERROR(Y443/H443,"0")+IFERROR(Y444/H444,"0")+IFERROR(Y445/H445,"0")+IFERROR(Y446/H446,"0")</f>
        <v>38</v>
      </c>
      <c r="Z447" s="543">
        <f>IFERROR(IF(Z441="",0,Z441),"0")+IFERROR(IF(Z442="",0,Z442),"0")+IFERROR(IF(Z443="",0,Z443),"0")+IFERROR(IF(Z444="",0,Z444),"0")+IFERROR(IF(Z445="",0,Z445),"0")+IFERROR(IF(Z446="",0,Z446),"0")</f>
        <v>0.45448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192</v>
      </c>
      <c r="Y448" s="543">
        <f>IFERROR(SUM(Y441:Y446),"0")</f>
        <v>200.64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1522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1586.04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1618.1854876543212</v>
      </c>
      <c r="Y490" s="543">
        <f>IFERROR(SUM(BN22:BN486),"0")</f>
        <v>1685.64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1693.1854876543212</v>
      </c>
      <c r="Y492" s="543">
        <f>GrossWeightTotalR+PalletQtyTotalR*25</f>
        <v>1760.64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287.89368471035135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297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3.4221900000000005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105.3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218.39999999999998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69.599999999999994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85.8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405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596.6400000000001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2025-11-19T06:33:27Z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