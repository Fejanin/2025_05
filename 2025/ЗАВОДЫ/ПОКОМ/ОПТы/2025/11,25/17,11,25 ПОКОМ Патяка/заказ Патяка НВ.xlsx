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8662C2E-1E8B-45EC-8FF5-3C9AF06C85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U499" i="1" s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499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6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Z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5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Y189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Y178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X493" i="1" s="1"/>
  <c r="BP22" i="1"/>
  <c r="BO22" i="1"/>
  <c r="BN22" i="1"/>
  <c r="BM22" i="1"/>
  <c r="Z22" i="1"/>
  <c r="Z23" i="1" s="1"/>
  <c r="Y22" i="1"/>
  <c r="P22" i="1"/>
  <c r="H10" i="1"/>
  <c r="A9" i="1"/>
  <c r="F10" i="1" s="1"/>
  <c r="D7" i="1"/>
  <c r="Q6" i="1"/>
  <c r="P2" i="1"/>
  <c r="B499" i="1" l="1"/>
  <c r="X490" i="1"/>
  <c r="X491" i="1"/>
  <c r="Y24" i="1"/>
  <c r="Z27" i="1"/>
  <c r="Z31" i="1" s="1"/>
  <c r="BN27" i="1"/>
  <c r="BP27" i="1"/>
  <c r="Z29" i="1"/>
  <c r="BN29" i="1"/>
  <c r="C499" i="1"/>
  <c r="Z41" i="1"/>
  <c r="Z43" i="1" s="1"/>
  <c r="BN41" i="1"/>
  <c r="BP41" i="1"/>
  <c r="Y44" i="1"/>
  <c r="D499" i="1"/>
  <c r="Y57" i="1"/>
  <c r="Z52" i="1"/>
  <c r="Z57" i="1" s="1"/>
  <c r="BN52" i="1"/>
  <c r="BP52" i="1"/>
  <c r="BP62" i="1"/>
  <c r="BN62" i="1"/>
  <c r="Z62" i="1"/>
  <c r="Y69" i="1"/>
  <c r="BP66" i="1"/>
  <c r="BN66" i="1"/>
  <c r="Z66" i="1"/>
  <c r="BP74" i="1"/>
  <c r="BN74" i="1"/>
  <c r="Z74" i="1"/>
  <c r="H9" i="1"/>
  <c r="A10" i="1"/>
  <c r="F9" i="1"/>
  <c r="J9" i="1"/>
  <c r="BP54" i="1"/>
  <c r="Y491" i="1" s="1"/>
  <c r="BN54" i="1"/>
  <c r="Y490" i="1" s="1"/>
  <c r="Y492" i="1" s="1"/>
  <c r="BP56" i="1"/>
  <c r="BN56" i="1"/>
  <c r="Z56" i="1"/>
  <c r="Y63" i="1"/>
  <c r="Y493" i="1" s="1"/>
  <c r="BP60" i="1"/>
  <c r="BN60" i="1"/>
  <c r="Z60" i="1"/>
  <c r="Z63" i="1" s="1"/>
  <c r="BP68" i="1"/>
  <c r="BN68" i="1"/>
  <c r="Z68" i="1"/>
  <c r="Y70" i="1"/>
  <c r="Y76" i="1"/>
  <c r="Y77" i="1"/>
  <c r="BP72" i="1"/>
  <c r="BN72" i="1"/>
  <c r="Z72" i="1"/>
  <c r="Z76" i="1" s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9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9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9" i="1"/>
  <c r="Y160" i="1"/>
  <c r="Z162" i="1"/>
  <c r="BN162" i="1"/>
  <c r="BP162" i="1"/>
  <c r="Z164" i="1"/>
  <c r="BN164" i="1"/>
  <c r="Z166" i="1"/>
  <c r="BN166" i="1"/>
  <c r="Z168" i="1"/>
  <c r="BN168" i="1"/>
  <c r="Z170" i="1"/>
  <c r="BN170" i="1"/>
  <c r="Y173" i="1"/>
  <c r="Z176" i="1"/>
  <c r="Z178" i="1" s="1"/>
  <c r="BN176" i="1"/>
  <c r="BP176" i="1"/>
  <c r="J499" i="1"/>
  <c r="Z187" i="1"/>
  <c r="Z188" i="1" s="1"/>
  <c r="BN187" i="1"/>
  <c r="BP187" i="1"/>
  <c r="Y188" i="1"/>
  <c r="Z191" i="1"/>
  <c r="Z193" i="1" s="1"/>
  <c r="BN191" i="1"/>
  <c r="BP191" i="1"/>
  <c r="Y194" i="1"/>
  <c r="Z197" i="1"/>
  <c r="Z204" i="1" s="1"/>
  <c r="BN197" i="1"/>
  <c r="Z199" i="1"/>
  <c r="BN199" i="1"/>
  <c r="Z201" i="1"/>
  <c r="BN201" i="1"/>
  <c r="Z203" i="1"/>
  <c r="BN203" i="1"/>
  <c r="Y204" i="1"/>
  <c r="Z207" i="1"/>
  <c r="BN207" i="1"/>
  <c r="BP207" i="1"/>
  <c r="Z209" i="1"/>
  <c r="BN209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Y89" i="1"/>
  <c r="Y144" i="1"/>
  <c r="BP211" i="1"/>
  <c r="BN211" i="1"/>
  <c r="BP213" i="1"/>
  <c r="BN213" i="1"/>
  <c r="Z213" i="1"/>
  <c r="BP226" i="1"/>
  <c r="BN226" i="1"/>
  <c r="Z226" i="1"/>
  <c r="Z235" i="1" s="1"/>
  <c r="Y236" i="1"/>
  <c r="BP230" i="1"/>
  <c r="BN230" i="1"/>
  <c r="Z230" i="1"/>
  <c r="Y240" i="1"/>
  <c r="Y244" i="1"/>
  <c r="Y252" i="1"/>
  <c r="Y261" i="1"/>
  <c r="Y268" i="1"/>
  <c r="Y275" i="1"/>
  <c r="Y282" i="1"/>
  <c r="Y287" i="1"/>
  <c r="Y296" i="1"/>
  <c r="Y306" i="1"/>
  <c r="Y312" i="1"/>
  <c r="Y318" i="1"/>
  <c r="Y325" i="1"/>
  <c r="Y331" i="1"/>
  <c r="Y338" i="1"/>
  <c r="Y351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Y463" i="1"/>
  <c r="BP467" i="1"/>
  <c r="BN467" i="1"/>
  <c r="Z467" i="1"/>
  <c r="Y469" i="1"/>
  <c r="Y474" i="1"/>
  <c r="BP471" i="1"/>
  <c r="BN471" i="1"/>
  <c r="Z471" i="1"/>
  <c r="Z473" i="1" s="1"/>
  <c r="Y473" i="1"/>
  <c r="L499" i="1"/>
  <c r="K499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Z264" i="1"/>
  <c r="Z268" i="1" s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Z281" i="1" s="1"/>
  <c r="BN280" i="1"/>
  <c r="Y281" i="1"/>
  <c r="Z285" i="1"/>
  <c r="Z286" i="1" s="1"/>
  <c r="BN285" i="1"/>
  <c r="Z290" i="1"/>
  <c r="Z295" i="1" s="1"/>
  <c r="BN290" i="1"/>
  <c r="BP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S499" i="1"/>
  <c r="Z344" i="1"/>
  <c r="Z350" i="1" s="1"/>
  <c r="BN344" i="1"/>
  <c r="Z347" i="1"/>
  <c r="BN347" i="1"/>
  <c r="Z349" i="1"/>
  <c r="BN349" i="1"/>
  <c r="Y350" i="1"/>
  <c r="Z353" i="1"/>
  <c r="Z355" i="1" s="1"/>
  <c r="BN353" i="1"/>
  <c r="BP353" i="1"/>
  <c r="Y356" i="1"/>
  <c r="Y361" i="1"/>
  <c r="BP358" i="1"/>
  <c r="BN358" i="1"/>
  <c r="Z358" i="1"/>
  <c r="Z360" i="1" s="1"/>
  <c r="Y375" i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411" i="1"/>
  <c r="Z172" i="1"/>
  <c r="Z149" i="1"/>
  <c r="Z143" i="1"/>
  <c r="Z116" i="1"/>
  <c r="Z109" i="1"/>
  <c r="Z69" i="1"/>
  <c r="Z494" i="1" s="1"/>
  <c r="Y489" i="1"/>
  <c r="X492" i="1"/>
  <c r="Z447" i="1"/>
  <c r="Z432" i="1"/>
  <c r="Z312" i="1"/>
  <c r="Z260" i="1"/>
  <c r="Z216" i="1"/>
  <c r="Z95" i="1"/>
  <c r="Z88" i="1"/>
</calcChain>
</file>

<file path=xl/sharedStrings.xml><?xml version="1.0" encoding="utf-8"?>
<sst xmlns="http://schemas.openxmlformats.org/spreadsheetml/2006/main" count="2322" uniqueCount="767">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</sst>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4.6296296296296298</v>
      </c>
      <c r="Y57" s="543">
        <f>IFERROR(Y51/H51,"0")+IFERROR(Y52/H52,"0")+IFERROR(Y53/H53,"0")+IFERROR(Y54/H54,"0")+IFERROR(Y55/H55,"0")+IFERROR(Y56/H56,"0")</f>
        <v>5</v>
      </c>
      <c r="Z57" s="543">
        <f>IFERROR(IF(Z51="",0,Z51),"0")+IFERROR(IF(Z52="",0,Z52),"0")+IFERROR(IF(Z53="",0,Z53),"0")+IFERROR(IF(Z54="",0,Z54),"0")+IFERROR(IF(Z55="",0,Z55),"0")+IFERROR(IF(Z56="",0,Z56),"0")</f>
        <v>9.4899999999999998E-2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50</v>
      </c>
      <c r="Y58" s="543">
        <f>IFERROR(SUM(Y51:Y56),"0")</f>
        <v>54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</v>
      </c>
      <c r="Y85" s="542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4.6296296296296298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9.4899999999999998E-2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50</v>
      </c>
      <c r="Y89" s="543">
        <f>IFERROR(SUM(Y85:Y87),"0")</f>
        <v>54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24.691358024691358</v>
      </c>
      <c r="Y95" s="543">
        <f>IFERROR(Y91/H91,"0")+IFERROR(Y92/H92,"0")+IFERROR(Y93/H93,"0")+IFERROR(Y94/H94,"0")</f>
        <v>25</v>
      </c>
      <c r="Z95" s="543">
        <f>IFERROR(IF(Z91="",0,Z91),"0")+IFERROR(IF(Z92="",0,Z92),"0")+IFERROR(IF(Z93="",0,Z93),"0")+IFERROR(IF(Z94="",0,Z94),"0")</f>
        <v>0.47450000000000003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200</v>
      </c>
      <c r="Y96" s="543">
        <f>IFERROR(SUM(Y91:Y94),"0")</f>
        <v>202.5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</v>
      </c>
      <c r="Y99" s="54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4.6296296296296298</v>
      </c>
      <c r="Y103" s="543">
        <f>IFERROR(Y99/H99,"0")+IFERROR(Y100/H100,"0")+IFERROR(Y101/H101,"0")+IFERROR(Y102/H102,"0")</f>
        <v>5</v>
      </c>
      <c r="Z103" s="543">
        <f>IFERROR(IF(Z99="",0,Z99),"0")+IFERROR(IF(Z100="",0,Z100),"0")+IFERROR(IF(Z101="",0,Z101),"0")+IFERROR(IF(Z102="",0,Z102),"0")</f>
        <v>9.4899999999999998E-2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50</v>
      </c>
      <c r="Y104" s="543">
        <f>IFERROR(SUM(Y99:Y102),"0")</f>
        <v>54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50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52.976190476190474</v>
      </c>
      <c r="BN163" s="64">
        <f t="shared" si="7"/>
        <v>53.400000000000006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80</v>
      </c>
      <c r="Y164" s="542">
        <f t="shared" si="5"/>
        <v>84</v>
      </c>
      <c r="Z164" s="36">
        <f>IFERROR(IF(Y164=0,"",ROUNDUP(Y164/H164,0)*0.00902),"")</f>
        <v>0.1804</v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84.761904761904759</v>
      </c>
      <c r="BN164" s="64">
        <f t="shared" si="7"/>
        <v>89</v>
      </c>
      <c r="BO164" s="64">
        <f t="shared" si="8"/>
        <v>0.14430014430014429</v>
      </c>
      <c r="BP164" s="64">
        <f t="shared" si="9"/>
        <v>0.15151515151515152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80</v>
      </c>
      <c r="Y165" s="542">
        <f t="shared" si="5"/>
        <v>84</v>
      </c>
      <c r="Z165" s="36">
        <f>IFERROR(IF(Y165=0,"",ROUNDUP(Y165/H165,0)*0.00902),"")</f>
        <v>0.1804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83.619047619047606</v>
      </c>
      <c r="BN165" s="64">
        <f t="shared" si="7"/>
        <v>87.8</v>
      </c>
      <c r="BO165" s="64">
        <f t="shared" si="8"/>
        <v>0.14430014430014429</v>
      </c>
      <c r="BP165" s="64">
        <f t="shared" si="9"/>
        <v>0.15151515151515152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50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52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0.46904000000000001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210</v>
      </c>
      <c r="Y173" s="543">
        <f>IFERROR(SUM(Y162:Y171),"0")</f>
        <v>218.4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124.2222222222222</v>
      </c>
      <c r="BN196" s="64">
        <f t="shared" ref="BN196:BN203" si="12">IFERROR(Y196*I196/H196,"0")</f>
        <v>128.57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150</v>
      </c>
      <c r="Y197" s="542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300</v>
      </c>
      <c r="Y198" s="542">
        <f t="shared" si="10"/>
        <v>302.40000000000003</v>
      </c>
      <c r="Z198" s="36">
        <f>IFERROR(IF(Y198=0,"",ROUNDUP(Y198/H198,0)*0.00902),"")</f>
        <v>0.50512000000000001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310.55555555555554</v>
      </c>
      <c r="BN198" s="64">
        <f t="shared" si="12"/>
        <v>313.04000000000002</v>
      </c>
      <c r="BO198" s="64">
        <f t="shared" si="13"/>
        <v>0.42087542087542085</v>
      </c>
      <c r="BP198" s="64">
        <f t="shared" si="14"/>
        <v>0.42424242424242425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200</v>
      </c>
      <c r="Y199" s="542">
        <f t="shared" si="10"/>
        <v>205.20000000000002</v>
      </c>
      <c r="Z199" s="36">
        <f>IFERROR(IF(Y199=0,"",ROUNDUP(Y199/H199,0)*0.00902),"")</f>
        <v>0.34276000000000001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207.03703703703701</v>
      </c>
      <c r="BN199" s="64">
        <f t="shared" si="12"/>
        <v>212.42</v>
      </c>
      <c r="BO199" s="64">
        <f t="shared" si="13"/>
        <v>0.28058361391694725</v>
      </c>
      <c r="BP199" s="64">
        <f t="shared" si="14"/>
        <v>0.2878787878787879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142.59259259259258</v>
      </c>
      <c r="Y204" s="543">
        <f>IFERROR(Y196/H196,"0")+IFERROR(Y197/H197,"0")+IFERROR(Y198/H198,"0")+IFERROR(Y199/H199,"0")+IFERROR(Y200/H200,"0")+IFERROR(Y201/H201,"0")+IFERROR(Y202/H202,"0")+IFERROR(Y203/H203,"0")</f>
        <v>145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1.3079000000000001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770</v>
      </c>
      <c r="Y205" s="543">
        <f>IFERROR(SUM(Y196:Y203),"0")</f>
        <v>783.00000000000011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96</v>
      </c>
      <c r="Y210" s="542">
        <f t="shared" si="15"/>
        <v>96</v>
      </c>
      <c r="Z210" s="36">
        <f t="shared" ref="Z210:Z215" si="20">IFERROR(IF(Y210=0,"",ROUNDUP(Y210/H210,0)*0.00651),"")</f>
        <v>0.26040000000000002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106.8</v>
      </c>
      <c r="BN210" s="64">
        <f t="shared" si="17"/>
        <v>106.8</v>
      </c>
      <c r="BO210" s="64">
        <f t="shared" si="18"/>
        <v>0.2197802197802198</v>
      </c>
      <c r="BP210" s="64">
        <f t="shared" si="19"/>
        <v>0.2197802197802198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168</v>
      </c>
      <c r="Y212" s="542">
        <f t="shared" si="15"/>
        <v>168</v>
      </c>
      <c r="Z212" s="36">
        <f t="shared" si="20"/>
        <v>0.45569999999999999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185.64000000000001</v>
      </c>
      <c r="BN212" s="64">
        <f t="shared" si="17"/>
        <v>185.64000000000001</v>
      </c>
      <c r="BO212" s="64">
        <f t="shared" si="18"/>
        <v>0.38461538461538464</v>
      </c>
      <c r="BP212" s="64">
        <f t="shared" si="19"/>
        <v>0.38461538461538464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168</v>
      </c>
      <c r="Y213" s="542">
        <f t="shared" si="15"/>
        <v>168</v>
      </c>
      <c r="Z213" s="36">
        <f t="shared" si="20"/>
        <v>0.45569999999999999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185.64000000000001</v>
      </c>
      <c r="BN213" s="64">
        <f t="shared" si="17"/>
        <v>185.64000000000001</v>
      </c>
      <c r="BO213" s="64">
        <f t="shared" si="18"/>
        <v>0.38461538461538464</v>
      </c>
      <c r="BP213" s="64">
        <f t="shared" si="19"/>
        <v>0.38461538461538464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240</v>
      </c>
      <c r="Y214" s="542">
        <f t="shared" si="15"/>
        <v>240</v>
      </c>
      <c r="Z214" s="36">
        <f t="shared" si="20"/>
        <v>0.65100000000000002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265.20000000000005</v>
      </c>
      <c r="BN214" s="64">
        <f t="shared" si="17"/>
        <v>265.20000000000005</v>
      </c>
      <c r="BO214" s="64">
        <f t="shared" si="18"/>
        <v>0.5494505494505495</v>
      </c>
      <c r="BP214" s="64">
        <f t="shared" si="19"/>
        <v>0.5494505494505495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240</v>
      </c>
      <c r="Y215" s="542">
        <f t="shared" si="15"/>
        <v>240</v>
      </c>
      <c r="Z215" s="36">
        <f t="shared" si="20"/>
        <v>0.65100000000000002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265.8</v>
      </c>
      <c r="BN215" s="64">
        <f t="shared" si="17"/>
        <v>265.8</v>
      </c>
      <c r="BO215" s="64">
        <f t="shared" si="18"/>
        <v>0.5494505494505495</v>
      </c>
      <c r="BP215" s="64">
        <f t="shared" si="19"/>
        <v>0.5494505494505495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380</v>
      </c>
      <c r="Y216" s="543">
        <f>IFERROR(Y207/H207,"0")+IFERROR(Y208/H208,"0")+IFERROR(Y209/H209,"0")+IFERROR(Y210/H210,"0")+IFERROR(Y211/H211,"0")+IFERROR(Y212/H212,"0")+IFERROR(Y213/H213,"0")+IFERROR(Y214/H214,"0")+IFERROR(Y215/H215,"0")</f>
        <v>380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2.4737999999999998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912</v>
      </c>
      <c r="Y217" s="543">
        <f>IFERROR(SUM(Y207:Y215),"0")</f>
        <v>912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30</v>
      </c>
      <c r="Y298" s="542">
        <f t="shared" ref="Y298:Y304" si="26">IFERROR(IF(X298="",0,CEILING((X298/$H298),1)*$H298),"")</f>
        <v>33.6</v>
      </c>
      <c r="Z298" s="36">
        <f>IFERROR(IF(Y298=0,"",ROUNDUP(Y298/H298,0)*0.00902),"")</f>
        <v>7.2160000000000002E-2</v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31.785714285714285</v>
      </c>
      <c r="BN298" s="64">
        <f t="shared" ref="BN298:BN304" si="28">IFERROR(Y298*I298/H298,"0")</f>
        <v>35.6</v>
      </c>
      <c r="BO298" s="64">
        <f t="shared" ref="BO298:BO304" si="29">IFERROR(1/J298*(X298/H298),"0")</f>
        <v>5.4112554112554112E-2</v>
      </c>
      <c r="BP298" s="64">
        <f t="shared" ref="BP298:BP304" si="30">IFERROR(1/J298*(Y298/H298),"0")</f>
        <v>6.0606060606060608E-2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7.1428571428571423</v>
      </c>
      <c r="Y305" s="543">
        <f>IFERROR(Y298/H298,"0")+IFERROR(Y299/H299,"0")+IFERROR(Y300/H300,"0")+IFERROR(Y301/H301,"0")+IFERROR(Y302/H302,"0")+IFERROR(Y303/H303,"0")+IFERROR(Y304/H304,"0")</f>
        <v>8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7.2160000000000002E-2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30</v>
      </c>
      <c r="Y306" s="543">
        <f>IFERROR(SUM(Y298:Y304),"0")</f>
        <v>33.6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50</v>
      </c>
      <c r="Y315" s="542">
        <f>IFERROR(IF(X315="",0,CEILING((X315/$H315),1)*$H315),"")</f>
        <v>50.400000000000006</v>
      </c>
      <c r="Z315" s="36">
        <f>IFERROR(IF(Y315=0,"",ROUNDUP(Y315/H315,0)*0.01898),"")</f>
        <v>0.11388000000000001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52.94047619047619</v>
      </c>
      <c r="BN315" s="64">
        <f>IFERROR(Y315*I315/H315,"0")</f>
        <v>53.364000000000004</v>
      </c>
      <c r="BO315" s="64">
        <f>IFERROR(1/J315*(X315/H315),"0")</f>
        <v>9.3005952380952384E-2</v>
      </c>
      <c r="BP315" s="64">
        <f>IFERROR(1/J315*(Y315/H315),"0")</f>
        <v>9.375E-2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80</v>
      </c>
      <c r="Y316" s="542">
        <f>IFERROR(IF(X316="",0,CEILING((X316/$H316),1)*$H316),"")</f>
        <v>85.8</v>
      </c>
      <c r="Z316" s="36">
        <f>IFERROR(IF(Y316=0,"",ROUNDUP(Y316/H316,0)*0.01898),"")</f>
        <v>0.20877999999999999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85.066666666666663</v>
      </c>
      <c r="BN316" s="64">
        <f>IFERROR(Y316*I316/H316,"0")</f>
        <v>91.234000000000009</v>
      </c>
      <c r="BO316" s="64">
        <f>IFERROR(1/J316*(X316/H316),"0")</f>
        <v>0.16025641025641027</v>
      </c>
      <c r="BP316" s="64">
        <f>IFERROR(1/J316*(Y316/H316),"0")</f>
        <v>0.171875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15</v>
      </c>
      <c r="Y317" s="542">
        <f>IFERROR(IF(X317="",0,CEILING((X317/$H317),1)*$H317),"")</f>
        <v>16.8</v>
      </c>
      <c r="Z317" s="36">
        <f>IFERROR(IF(Y317=0,"",ROUNDUP(Y317/H317,0)*0.01898),"")</f>
        <v>3.7960000000000001E-2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15.882142857142856</v>
      </c>
      <c r="BN317" s="64">
        <f>IFERROR(Y317*I317/H317,"0")</f>
        <v>17.788</v>
      </c>
      <c r="BO317" s="64">
        <f>IFERROR(1/J317*(X317/H317),"0")</f>
        <v>2.7901785714285712E-2</v>
      </c>
      <c r="BP317" s="64">
        <f>IFERROR(1/J317*(Y317/H317),"0")</f>
        <v>3.125E-2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17.994505494505496</v>
      </c>
      <c r="Y318" s="543">
        <f>IFERROR(Y315/H315,"0")+IFERROR(Y316/H316,"0")+IFERROR(Y317/H317,"0")</f>
        <v>19</v>
      </c>
      <c r="Z318" s="543">
        <f>IFERROR(IF(Z315="",0,Z315),"0")+IFERROR(IF(Z316="",0,Z316),"0")+IFERROR(IF(Z317="",0,Z317),"0")</f>
        <v>0.36062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145</v>
      </c>
      <c r="Y319" s="543">
        <f>IFERROR(SUM(Y315:Y317),"0")</f>
        <v>153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0</v>
      </c>
      <c r="Y350" s="543">
        <f>IFERROR(Y343/H343,"0")+IFERROR(Y344/H344,"0")+IFERROR(Y345/H345,"0")+IFERROR(Y346/H346,"0")+IFERROR(Y347/H347,"0")+IFERROR(Y348/H348,"0")+IFERROR(Y349/H349,"0")</f>
        <v>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0</v>
      </c>
      <c r="Y351" s="543">
        <f>IFERROR(SUM(Y343:Y349),"0")</f>
        <v>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3000</v>
      </c>
      <c r="Y353" s="542">
        <f>IFERROR(IF(X353="",0,CEILING((X353/$H353),1)*$H353),"")</f>
        <v>3000</v>
      </c>
      <c r="Z353" s="36">
        <f>IFERROR(IF(Y353=0,"",ROUNDUP(Y353/H353,0)*0.02175),"")</f>
        <v>4.3499999999999996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3094</v>
      </c>
      <c r="BN353" s="64">
        <f>IFERROR(Y353*I353/H353,"0")</f>
        <v>3094</v>
      </c>
      <c r="BO353" s="64">
        <f>IFERROR(1/J353*(X353/H353),"0")</f>
        <v>4.1666666666666661</v>
      </c>
      <c r="BP353" s="64">
        <f>IFERROR(1/J353*(Y353/H353),"0")</f>
        <v>4.1666666666666661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200</v>
      </c>
      <c r="Y355" s="543">
        <f>IFERROR(Y353/H353,"0")+IFERROR(Y354/H354,"0")</f>
        <v>200</v>
      </c>
      <c r="Z355" s="543">
        <f>IFERROR(IF(Z353="",0,Z353),"0")+IFERROR(IF(Z354="",0,Z354),"0")</f>
        <v>4.3499999999999996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3000</v>
      </c>
      <c r="Y356" s="543">
        <f>IFERROR(SUM(Y353:Y354),"0")</f>
        <v>3000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50</v>
      </c>
      <c r="Y359" s="542">
        <f>IFERROR(IF(X359="",0,CEILING((X359/$H359),1)*$H359),"")</f>
        <v>54</v>
      </c>
      <c r="Z359" s="36">
        <f>IFERROR(IF(Y359=0,"",ROUNDUP(Y359/H359,0)*0.01898),"")</f>
        <v>0.11388000000000001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52.74444444444444</v>
      </c>
      <c r="BN359" s="64">
        <f>IFERROR(Y359*I359/H359,"0")</f>
        <v>56.963999999999992</v>
      </c>
      <c r="BO359" s="64">
        <f>IFERROR(1/J359*(X359/H359),"0")</f>
        <v>8.6805555555555552E-2</v>
      </c>
      <c r="BP359" s="64">
        <f>IFERROR(1/J359*(Y359/H359),"0")</f>
        <v>9.375E-2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5.5555555555555554</v>
      </c>
      <c r="Y360" s="543">
        <f>IFERROR(Y358/H358,"0")+IFERROR(Y359/H359,"0")</f>
        <v>6</v>
      </c>
      <c r="Z360" s="543">
        <f>IFERROR(IF(Z358="",0,Z358),"0")+IFERROR(IF(Z359="",0,Z359),"0")</f>
        <v>0.11388000000000001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50</v>
      </c>
      <c r="Y361" s="543">
        <f>IFERROR(SUM(Y358:Y359),"0")</f>
        <v>54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150</v>
      </c>
      <c r="Y363" s="542">
        <f>IFERROR(IF(X363="",0,CEILING((X363/$H363),1)*$H363),"")</f>
        <v>153</v>
      </c>
      <c r="Z363" s="36">
        <f>IFERROR(IF(Y363=0,"",ROUNDUP(Y363/H363,0)*0.01898),"")</f>
        <v>0.32266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158.23333333333332</v>
      </c>
      <c r="BN363" s="64">
        <f>IFERROR(Y363*I363/H363,"0")</f>
        <v>161.398</v>
      </c>
      <c r="BO363" s="64">
        <f>IFERROR(1/J363*(X363/H363),"0")</f>
        <v>0.26041666666666669</v>
      </c>
      <c r="BP363" s="64">
        <f>IFERROR(1/J363*(Y363/H363),"0")</f>
        <v>0.265625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16.666666666666668</v>
      </c>
      <c r="Y364" s="543">
        <f>IFERROR(Y363/H363,"0")</f>
        <v>17</v>
      </c>
      <c r="Z364" s="543">
        <f>IFERROR(IF(Z363="",0,Z363),"0")</f>
        <v>0.32266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150</v>
      </c>
      <c r="Y365" s="543">
        <f>IFERROR(SUM(Y363:Y363),"0")</f>
        <v>153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12.6</v>
      </c>
      <c r="Y390" s="542">
        <f t="shared" si="36"/>
        <v>12.600000000000001</v>
      </c>
      <c r="Z390" s="36">
        <f t="shared" si="41"/>
        <v>3.0120000000000001E-2</v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13.379999999999999</v>
      </c>
      <c r="BN390" s="64">
        <f t="shared" si="38"/>
        <v>13.38</v>
      </c>
      <c r="BO390" s="64">
        <f t="shared" si="39"/>
        <v>2.5641025641025644E-2</v>
      </c>
      <c r="BP390" s="64">
        <f t="shared" si="40"/>
        <v>2.5641025641025644E-2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12.6</v>
      </c>
      <c r="Y392" s="542">
        <f t="shared" si="36"/>
        <v>12.600000000000001</v>
      </c>
      <c r="Z392" s="36">
        <f t="shared" si="41"/>
        <v>3.0120000000000001E-2</v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13.379999999999999</v>
      </c>
      <c r="BN392" s="64">
        <f t="shared" si="38"/>
        <v>13.38</v>
      </c>
      <c r="BO392" s="64">
        <f t="shared" si="39"/>
        <v>2.5641025641025644E-2</v>
      </c>
      <c r="BP392" s="64">
        <f t="shared" si="40"/>
        <v>2.5641025641025644E-2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6.0240000000000002E-2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25.2</v>
      </c>
      <c r="Y395" s="543">
        <f>IFERROR(SUM(Y385:Y393),"0")</f>
        <v>25.200000000000003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100</v>
      </c>
      <c r="Y407" s="542">
        <f>IFERROR(IF(X407="",0,CEILING((X407/$H407),1)*$H407),"")</f>
        <v>102.60000000000001</v>
      </c>
      <c r="Z407" s="36">
        <f>IFERROR(IF(Y407=0,"",ROUNDUP(Y407/H407,0)*0.00902),"")</f>
        <v>0.17138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103.5185185185185</v>
      </c>
      <c r="BN407" s="64">
        <f>IFERROR(Y407*I407/H407,"0")</f>
        <v>106.21</v>
      </c>
      <c r="BO407" s="64">
        <f>IFERROR(1/J407*(X407/H407),"0")</f>
        <v>0.14029180695847362</v>
      </c>
      <c r="BP407" s="64">
        <f>IFERROR(1/J407*(Y407/H407),"0")</f>
        <v>0.14393939393939395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8.3999999999999986</v>
      </c>
      <c r="Y408" s="542">
        <f>IFERROR(IF(X408="",0,CEILING((X408/$H408),1)*$H408),"")</f>
        <v>8.4</v>
      </c>
      <c r="Z408" s="36">
        <f>IFERROR(IF(Y408=0,"",ROUNDUP(Y408/H408,0)*0.00502),"")</f>
        <v>2.0080000000000001E-2</v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8.9199999999999982</v>
      </c>
      <c r="BN408" s="64">
        <f>IFERROR(Y408*I408/H408,"0")</f>
        <v>8.92</v>
      </c>
      <c r="BO408" s="64">
        <f>IFERROR(1/J408*(X408/H408),"0")</f>
        <v>1.7094017094017092E-2</v>
      </c>
      <c r="BP408" s="64">
        <f>IFERROR(1/J408*(Y408/H408),"0")</f>
        <v>1.7094017094017096E-2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22.518518518518519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0.19146000000000002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108.4</v>
      </c>
      <c r="Y412" s="543">
        <f>IFERROR(SUM(Y407:Y410),"0")</f>
        <v>111.00000000000001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30</v>
      </c>
      <c r="Y422" s="542">
        <f t="shared" si="42"/>
        <v>31.68</v>
      </c>
      <c r="Z422" s="36">
        <f t="shared" si="43"/>
        <v>7.1760000000000004E-2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31.988636363636363</v>
      </c>
      <c r="BN422" s="64">
        <f t="shared" si="45"/>
        <v>33.779999999999994</v>
      </c>
      <c r="BO422" s="64">
        <f t="shared" si="46"/>
        <v>5.4632867132867136E-2</v>
      </c>
      <c r="BP422" s="64">
        <f t="shared" si="47"/>
        <v>5.7692307692307696E-2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43.560606060606055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0.52624000000000004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230</v>
      </c>
      <c r="Y433" s="543">
        <f>IFERROR(SUM(Y421:Y431),"0")</f>
        <v>232.32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53.314393939393938</v>
      </c>
      <c r="BN443" s="64">
        <f t="shared" si="50"/>
        <v>56.3</v>
      </c>
      <c r="BO443" s="64">
        <f t="shared" si="51"/>
        <v>9.1054778554778545E-2</v>
      </c>
      <c r="BP443" s="64">
        <f t="shared" si="52"/>
        <v>9.6153846153846159E-2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37.878787878787875</v>
      </c>
      <c r="Y447" s="543">
        <f>IFERROR(Y441/H441,"0")+IFERROR(Y442/H442,"0")+IFERROR(Y443/H443,"0")+IFERROR(Y444/H444,"0")+IFERROR(Y445/H445,"0")+IFERROR(Y446/H446,"0")</f>
        <v>39</v>
      </c>
      <c r="Z447" s="543">
        <f>IFERROR(IF(Z441="",0,Z441),"0")+IFERROR(IF(Z442="",0,Z442),"0")+IFERROR(IF(Z443="",0,Z443),"0")+IFERROR(IF(Z444="",0,Z444),"0")+IFERROR(IF(Z445="",0,Z445),"0")+IFERROR(IF(Z446="",0,Z446),"0")</f>
        <v>0.46643999999999997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200</v>
      </c>
      <c r="Y448" s="543">
        <f>IFERROR(SUM(Y441:Y446),"0")</f>
        <v>205.92000000000002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16</v>
      </c>
      <c r="Z473" s="543">
        <f>IFERROR(IF(Z471="",0,Z471),"0")+IFERROR(IF(Z472="",0,Z472),"0")</f>
        <v>0.14432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60</v>
      </c>
      <c r="Y474" s="543">
        <f>IFERROR(SUM(Y471:Y472),"0")</f>
        <v>67.2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7490.5999999999995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7575.78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7867.3928362995048</v>
      </c>
      <c r="Y490" s="543">
        <f>IFERROR(SUM(BN22:BN486),"0")</f>
        <v>7956.876000000002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13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8192.3928362995048</v>
      </c>
      <c r="Y492" s="543">
        <f>GrossWeightTotalR+PalletQtyTotalR*25</f>
        <v>8281.876000000002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1142.3955797289127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1156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14.293099999999999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</v>
      </c>
      <c r="E499" s="46">
        <f>IFERROR(Y85*1,"0")+IFERROR(Y86*1,"0")+IFERROR(Y87*1,"0")+IFERROR(Y91*1,"0")+IFERROR(Y92*1,"0")+IFERROR(Y93*1,"0")+IFERROR(Y94*1,"0")</f>
        <v>256.5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218.4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186.60000000000002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3207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25.200000000000003</v>
      </c>
      <c r="V499" s="46">
        <f>IFERROR(Y403*1,"0")+IFERROR(Y407*1,"0")+IFERROR(Y408*1,"0")+IFERROR(Y409*1,"0")+IFERROR(Y410*1,"0")</f>
        <v>111.00000000000001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638.88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1075.2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