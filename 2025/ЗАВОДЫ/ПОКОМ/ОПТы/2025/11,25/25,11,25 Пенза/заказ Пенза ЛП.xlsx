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263A4D90-F191-494B-AFE9-A13A197BCE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42" i="1" l="1"/>
  <c r="Y31" i="1"/>
  <c r="Y43" i="1"/>
  <c r="Y493" i="1" s="1"/>
  <c r="Y58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Z177" i="1"/>
  <c r="BP175" i="1"/>
  <c r="BN175" i="1"/>
  <c r="Z175" i="1"/>
  <c r="BP196" i="1"/>
  <c r="BN196" i="1"/>
  <c r="Z196" i="1"/>
  <c r="Z203" i="1" s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Z274" i="1" s="1"/>
  <c r="Y27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Z370" i="1"/>
  <c r="D499" i="1"/>
  <c r="H9" i="1"/>
  <c r="B499" i="1"/>
  <c r="X490" i="1"/>
  <c r="X492" i="1" s="1"/>
  <c r="X491" i="1"/>
  <c r="X493" i="1"/>
  <c r="Y24" i="1"/>
  <c r="Z27" i="1"/>
  <c r="Z31" i="1" s="1"/>
  <c r="BN27" i="1"/>
  <c r="Z29" i="1"/>
  <c r="BN29" i="1"/>
  <c r="C499" i="1"/>
  <c r="Z41" i="1"/>
  <c r="Z43" i="1" s="1"/>
  <c r="BN41" i="1"/>
  <c r="Y490" i="1" s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Y63" i="1"/>
  <c r="Z69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Z325" i="1" s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Y371" i="1"/>
  <c r="Y376" i="1"/>
  <c r="BP373" i="1"/>
  <c r="BN373" i="1"/>
  <c r="Z373" i="1"/>
  <c r="Z375" i="1" s="1"/>
  <c r="Y375" i="1"/>
  <c r="Z380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Z338" i="1"/>
  <c r="Z234" i="1"/>
  <c r="Z305" i="1"/>
  <c r="Z494" i="1" s="1"/>
  <c r="Z148" i="1"/>
  <c r="Z438" i="1"/>
  <c r="Z447" i="1"/>
  <c r="Z432" i="1"/>
  <c r="Z350" i="1"/>
  <c r="Z331" i="1"/>
  <c r="Z215" i="1"/>
  <c r="Y489" i="1"/>
  <c r="Z103" i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<sst xmlns="http://schemas.openxmlformats.org/spreadsheetml/2006/main" count="2337" uniqueCount="763">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</sst>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6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900</v>
      </c>
      <c r="Y40" s="542">
        <f>IFERROR(IF(X40="",0,CEILING((X40/$H40),1)*$H40),"")</f>
        <v>907.2</v>
      </c>
      <c r="Z40" s="36">
        <f>IFERROR(IF(Y40=0,"",ROUNDUP(Y40/H40,0)*0.01898),"")</f>
        <v>1.59432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934.16666666666663</v>
      </c>
      <c r="BN40" s="64">
        <f>IFERROR(Y40*I40/H40,"0")</f>
        <v>941.6400000000001</v>
      </c>
      <c r="BO40" s="64">
        <f>IFERROR(1/J40*(X40/H40),"0")</f>
        <v>1.3020833333333333</v>
      </c>
      <c r="BP40" s="64">
        <f>IFERROR(1/J40*(Y40/H40),"0")</f>
        <v>1.3125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83.333333333333329</v>
      </c>
      <c r="Y43" s="543">
        <f>IFERROR(Y40/H40,"0")+IFERROR(Y41/H41,"0")+IFERROR(Y42/H42,"0")</f>
        <v>84</v>
      </c>
      <c r="Z43" s="543">
        <f>IFERROR(IF(Z40="",0,Z40),"0")+IFERROR(IF(Z41="",0,Z41),"0")+IFERROR(IF(Z42="",0,Z42),"0")</f>
        <v>1.59432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900</v>
      </c>
      <c r="Y44" s="543">
        <f>IFERROR(SUM(Y40:Y42),"0")</f>
        <v>907.2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50</v>
      </c>
      <c r="Y51" s="542">
        <f t="shared" ref="Y51:Y56" si="0">IFERROR(IF(X51="",0,CEILING((X51/$H51),1)*$H51),"")</f>
        <v>56</v>
      </c>
      <c r="Z51" s="36">
        <f>IFERROR(IF(Y51=0,"",ROUNDUP(Y51/H51,0)*0.01898),"")</f>
        <v>9.4899999999999998E-2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51.830357142857146</v>
      </c>
      <c r="BN51" s="64">
        <f t="shared" ref="BN51:BN56" si="2">IFERROR(Y51*I51/H51,"0")</f>
        <v>58.050000000000004</v>
      </c>
      <c r="BO51" s="64">
        <f t="shared" ref="BO51:BO56" si="3">IFERROR(1/J51*(X51/H51),"0")</f>
        <v>6.9754464285714288E-2</v>
      </c>
      <c r="BP51" s="64">
        <f t="shared" ref="BP51:BP56" si="4">IFERROR(1/J51*(Y51/H51),"0")</f>
        <v>7.8125E-2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600</v>
      </c>
      <c r="Y52" s="542">
        <f t="shared" si="0"/>
        <v>604.80000000000007</v>
      </c>
      <c r="Z52" s="36">
        <f>IFERROR(IF(Y52=0,"",ROUNDUP(Y52/H52,0)*0.01898),"")</f>
        <v>1.06288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622.77777777777783</v>
      </c>
      <c r="BN52" s="64">
        <f t="shared" si="2"/>
        <v>627.76</v>
      </c>
      <c r="BO52" s="64">
        <f t="shared" si="3"/>
        <v>0.86805555555555547</v>
      </c>
      <c r="BP52" s="64">
        <f t="shared" si="4"/>
        <v>0.875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60.019841269841265</v>
      </c>
      <c r="Y57" s="543">
        <f>IFERROR(Y51/H51,"0")+IFERROR(Y52/H52,"0")+IFERROR(Y53/H53,"0")+IFERROR(Y54/H54,"0")+IFERROR(Y55/H55,"0")+IFERROR(Y56/H56,"0")</f>
        <v>61</v>
      </c>
      <c r="Z57" s="543">
        <f>IFERROR(IF(Z51="",0,Z51),"0")+IFERROR(IF(Z52="",0,Z52),"0")+IFERROR(IF(Z53="",0,Z53),"0")+IFERROR(IF(Z54="",0,Z54),"0")+IFERROR(IF(Z55="",0,Z55),"0")+IFERROR(IF(Z56="",0,Z56),"0")</f>
        <v>1.15778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650</v>
      </c>
      <c r="Y58" s="543">
        <f>IFERROR(SUM(Y51:Y56),"0")</f>
        <v>660.80000000000007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400</v>
      </c>
      <c r="Y85" s="542">
        <f>IFERROR(IF(X85="",0,CEILING((X85/$H85),1)*$H85),"")</f>
        <v>410.40000000000003</v>
      </c>
      <c r="Z85" s="36">
        <f>IFERROR(IF(Y85=0,"",ROUNDUP(Y85/H85,0)*0.01898),"")</f>
        <v>0.72123999999999999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415.18518518518516</v>
      </c>
      <c r="BN85" s="64">
        <f>IFERROR(Y85*I85/H85,"0")</f>
        <v>425.98</v>
      </c>
      <c r="BO85" s="64">
        <f>IFERROR(1/J85*(X85/H85),"0")</f>
        <v>0.57870370370370372</v>
      </c>
      <c r="BP85" s="64">
        <f>IFERROR(1/J85*(Y85/H85),"0")</f>
        <v>0.59375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37.037037037037038</v>
      </c>
      <c r="Y88" s="543">
        <f>IFERROR(Y85/H85,"0")+IFERROR(Y86/H86,"0")+IFERROR(Y87/H87,"0")</f>
        <v>38</v>
      </c>
      <c r="Z88" s="543">
        <f>IFERROR(IF(Z85="",0,Z85),"0")+IFERROR(IF(Z86="",0,Z86),"0")+IFERROR(IF(Z87="",0,Z87),"0")</f>
        <v>0.72123999999999999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400</v>
      </c>
      <c r="Y89" s="543">
        <f>IFERROR(SUM(Y85:Y87),"0")</f>
        <v>410.40000000000003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500</v>
      </c>
      <c r="Y91" s="542">
        <f>IFERROR(IF(X91="",0,CEILING((X91/$H91),1)*$H91),"")</f>
        <v>502.2</v>
      </c>
      <c r="Z91" s="36">
        <f>IFERROR(IF(Y91=0,"",ROUNDUP(Y91/H91,0)*0.01898),"")</f>
        <v>1.17676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530.49382716049388</v>
      </c>
      <c r="BN91" s="64">
        <f>IFERROR(Y91*I91/H91,"0")</f>
        <v>532.82799999999997</v>
      </c>
      <c r="BO91" s="64">
        <f>IFERROR(1/J91*(X91/H91),"0")</f>
        <v>0.96450617283950624</v>
      </c>
      <c r="BP91" s="64">
        <f>IFERROR(1/J91*(Y91/H91),"0")</f>
        <v>0.96875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61.728395061728399</v>
      </c>
      <c r="Y95" s="543">
        <f>IFERROR(Y91/H91,"0")+IFERROR(Y92/H92,"0")+IFERROR(Y93/H93,"0")+IFERROR(Y94/H94,"0")</f>
        <v>62</v>
      </c>
      <c r="Z95" s="543">
        <f>IFERROR(IF(Z91="",0,Z91),"0")+IFERROR(IF(Z92="",0,Z92),"0")+IFERROR(IF(Z93="",0,Z93),"0")+IFERROR(IF(Z94="",0,Z94),"0")</f>
        <v>1.17676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500</v>
      </c>
      <c r="Y96" s="543">
        <f>IFERROR(SUM(Y91:Y94),"0")</f>
        <v>502.2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300</v>
      </c>
      <c r="Y99" s="542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27.777777777777775</v>
      </c>
      <c r="Y103" s="543">
        <f>IFERROR(Y99/H99,"0")+IFERROR(Y100/H100,"0")+IFERROR(Y101/H101,"0")+IFERROR(Y102/H102,"0")</f>
        <v>28</v>
      </c>
      <c r="Z103" s="543">
        <f>IFERROR(IF(Z99="",0,Z99),"0")+IFERROR(IF(Z100="",0,Z100),"0")+IFERROR(IF(Z101="",0,Z101),"0")+IFERROR(IF(Z102="",0,Z102),"0")</f>
        <v>0.53144000000000002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300</v>
      </c>
      <c r="Y104" s="543">
        <f>IFERROR(SUM(Y99:Y102),"0")</f>
        <v>302.40000000000003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750</v>
      </c>
      <c r="Y112" s="542">
        <f>IFERROR(IF(X112="",0,CEILING((X112/$H112),1)*$H112),"")</f>
        <v>753.3</v>
      </c>
      <c r="Z112" s="36">
        <f>IFERROR(IF(Y112=0,"",ROUNDUP(Y112/H112,0)*0.01898),"")</f>
        <v>1.7651399999999999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795.18518518518511</v>
      </c>
      <c r="BN112" s="64">
        <f>IFERROR(Y112*I112/H112,"0")</f>
        <v>798.68399999999997</v>
      </c>
      <c r="BO112" s="64">
        <f>IFERROR(1/J112*(X112/H112),"0")</f>
        <v>1.4467592592592593</v>
      </c>
      <c r="BP112" s="64">
        <f>IFERROR(1/J112*(Y112/H112),"0")</f>
        <v>1.453125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112.5</v>
      </c>
      <c r="Y114" s="542">
        <f>IFERROR(IF(X114="",0,CEILING((X114/$H114),1)*$H114),"")</f>
        <v>113.4</v>
      </c>
      <c r="Z114" s="36">
        <f>IFERROR(IF(Y114=0,"",ROUNDUP(Y114/H114,0)*0.00651),"")</f>
        <v>0.27342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123</v>
      </c>
      <c r="BN114" s="64">
        <f>IFERROR(Y114*I114/H114,"0")</f>
        <v>123.98399999999999</v>
      </c>
      <c r="BO114" s="64">
        <f>IFERROR(1/J114*(X114/H114),"0")</f>
        <v>0.22893772893772893</v>
      </c>
      <c r="BP114" s="64">
        <f>IFERROR(1/J114*(Y114/H114),"0")</f>
        <v>0.23076923076923078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134.25925925925927</v>
      </c>
      <c r="Y116" s="543">
        <f>IFERROR(Y112/H112,"0")+IFERROR(Y113/H113,"0")+IFERROR(Y114/H114,"0")+IFERROR(Y115/H115,"0")</f>
        <v>135</v>
      </c>
      <c r="Z116" s="543">
        <f>IFERROR(IF(Z112="",0,Z112),"0")+IFERROR(IF(Z113="",0,Z113),"0")+IFERROR(IF(Z114="",0,Z114),"0")+IFERROR(IF(Z115="",0,Z115),"0")</f>
        <v>2.0385599999999999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862.5</v>
      </c>
      <c r="Y117" s="543">
        <f>IFERROR(SUM(Y112:Y115),"0")</f>
        <v>866.69999999999993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100</v>
      </c>
      <c r="Y161" s="542">
        <f t="shared" ref="Y161:Y170" si="5">IFERROR(IF(X161="",0,CEILING((X161/$H161),1)*$H161),"")</f>
        <v>100.80000000000001</v>
      </c>
      <c r="Z161" s="36">
        <f>IFERROR(IF(Y161=0,"",ROUNDUP(Y161/H161,0)*0.00902),"")</f>
        <v>0.21648000000000001</v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105.95238095238095</v>
      </c>
      <c r="BN161" s="64">
        <f t="shared" ref="BN161:BN170" si="7">IFERROR(Y161*I161/H161,"0")</f>
        <v>106.80000000000001</v>
      </c>
      <c r="BO161" s="64">
        <f t="shared" ref="BO161:BO170" si="8">IFERROR(1/J161*(X161/H161),"0")</f>
        <v>0.18037518037518038</v>
      </c>
      <c r="BP161" s="64">
        <f t="shared" ref="BP161:BP170" si="9">IFERROR(1/J161*(Y161/H161),"0")</f>
        <v>0.18181818181818182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23.80952380952381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24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0.21648000000000001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100</v>
      </c>
      <c r="Y172" s="543">
        <f>IFERROR(SUM(Y161:Y170),"0")</f>
        <v>100.80000000000001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100</v>
      </c>
      <c r="Y195" s="542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100</v>
      </c>
      <c r="Y196" s="542">
        <f t="shared" si="10"/>
        <v>102.60000000000001</v>
      </c>
      <c r="Z196" s="36">
        <f>IFERROR(IF(Y196=0,"",ROUNDUP(Y196/H196,0)*0.00902),"")</f>
        <v>0.17138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103.5185185185185</v>
      </c>
      <c r="BN196" s="64">
        <f t="shared" si="12"/>
        <v>106.21</v>
      </c>
      <c r="BO196" s="64">
        <f t="shared" si="13"/>
        <v>0.14029180695847362</v>
      </c>
      <c r="BP196" s="64">
        <f t="shared" si="14"/>
        <v>0.14393939393939395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100</v>
      </c>
      <c r="Y197" s="542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250</v>
      </c>
      <c r="Y198" s="542">
        <f t="shared" si="10"/>
        <v>253.8</v>
      </c>
      <c r="Z198" s="36">
        <f>IFERROR(IF(Y198=0,"",ROUNDUP(Y198/H198,0)*0.00902),"")</f>
        <v>0.42393999999999998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258.7962962962963</v>
      </c>
      <c r="BN198" s="64">
        <f t="shared" si="12"/>
        <v>262.72999999999996</v>
      </c>
      <c r="BO198" s="64">
        <f t="shared" si="13"/>
        <v>0.35072951739618402</v>
      </c>
      <c r="BP198" s="64">
        <f t="shared" si="14"/>
        <v>0.35606060606060608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101.85185185185185</v>
      </c>
      <c r="Y203" s="543">
        <f>IFERROR(Y195/H195,"0")+IFERROR(Y196/H196,"0")+IFERROR(Y197/H197,"0")+IFERROR(Y198/H198,"0")+IFERROR(Y199/H199,"0")+IFERROR(Y200/H200,"0")+IFERROR(Y201/H201,"0")+IFERROR(Y202/H202,"0")</f>
        <v>104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0.93808000000000002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550</v>
      </c>
      <c r="Y204" s="543">
        <f>IFERROR(SUM(Y195:Y202),"0")</f>
        <v>561.6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100</v>
      </c>
      <c r="Y208" s="542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100</v>
      </c>
      <c r="Y211" s="542">
        <f t="shared" si="15"/>
        <v>100.8</v>
      </c>
      <c r="Z211" s="36">
        <f t="shared" si="20"/>
        <v>0.27342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110.5</v>
      </c>
      <c r="BN211" s="64">
        <f t="shared" si="17"/>
        <v>111.384</v>
      </c>
      <c r="BO211" s="64">
        <f t="shared" si="18"/>
        <v>0.22893772893772898</v>
      </c>
      <c r="BP211" s="64">
        <f t="shared" si="19"/>
        <v>0.23076923076923078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53.160919540229891</v>
      </c>
      <c r="Y215" s="543">
        <f>IFERROR(Y206/H206,"0")+IFERROR(Y207/H207,"0")+IFERROR(Y208/H208,"0")+IFERROR(Y209/H209,"0")+IFERROR(Y210/H210,"0")+IFERROR(Y211/H211,"0")+IFERROR(Y212/H212,"0")+IFERROR(Y213/H213,"0")+IFERROR(Y214/H214,"0")</f>
        <v>54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0.50117999999999996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200</v>
      </c>
      <c r="Y216" s="543">
        <f>IFERROR(SUM(Y206:Y214),"0")</f>
        <v>205.2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30</v>
      </c>
      <c r="Y241" s="542">
        <f>IFERROR(IF(X241="",0,CEILING((X241/$H241),1)*$H241),"")</f>
        <v>30.6</v>
      </c>
      <c r="Z241" s="36">
        <f>IFERROR(IF(Y241=0,"",ROUNDUP(Y241/H241,0)*0.0059),"")</f>
        <v>0.1003</v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32.916666666666664</v>
      </c>
      <c r="BN241" s="64">
        <f>IFERROR(Y241*I241/H241,"0")</f>
        <v>33.575000000000003</v>
      </c>
      <c r="BO241" s="64">
        <f>IFERROR(1/J241*(X241/H241),"0")</f>
        <v>7.716049382716049E-2</v>
      </c>
      <c r="BP241" s="64">
        <f>IFERROR(1/J241*(Y241/H241),"0")</f>
        <v>7.8703703703703692E-2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16.666666666666668</v>
      </c>
      <c r="Y242" s="543">
        <f>IFERROR(Y241/H241,"0")</f>
        <v>17</v>
      </c>
      <c r="Z242" s="543">
        <f>IFERROR(IF(Z241="",0,Z241),"0")</f>
        <v>0.1003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30</v>
      </c>
      <c r="Y243" s="543">
        <f>IFERROR(SUM(Y241:Y241),"0")</f>
        <v>30.6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11</v>
      </c>
      <c r="Y249" s="542">
        <f>IFERROR(IF(X249="",0,CEILING((X249/$H249),1)*$H249),"")</f>
        <v>11.879999999999999</v>
      </c>
      <c r="Z249" s="36">
        <f>IFERROR(IF(Y249=0,"",ROUNDUP(Y249/H249,0)*0.0059),"")</f>
        <v>7.0800000000000002E-2</v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13.111111111111111</v>
      </c>
      <c r="BN249" s="64">
        <f>IFERROR(Y249*I249/H249,"0")</f>
        <v>14.159999999999998</v>
      </c>
      <c r="BO249" s="64">
        <f>IFERROR(1/J249*(X249/H249),"0")</f>
        <v>5.1440329218106991E-2</v>
      </c>
      <c r="BP249" s="64">
        <f>IFERROR(1/J249*(Y249/H249),"0")</f>
        <v>5.5555555555555546E-2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11.111111111111111</v>
      </c>
      <c r="Y250" s="543">
        <f>IFERROR(Y245/H245,"0")+IFERROR(Y246/H246,"0")+IFERROR(Y247/H247,"0")+IFERROR(Y248/H248,"0")+IFERROR(Y249/H249,"0")</f>
        <v>11.999999999999998</v>
      </c>
      <c r="Z250" s="543">
        <f>IFERROR(IF(Z245="",0,Z245),"0")+IFERROR(IF(Z246="",0,Z246),"0")+IFERROR(IF(Z247="",0,Z247),"0")+IFERROR(IF(Z248="",0,Z248),"0")+IFERROR(IF(Z249="",0,Z249),"0")</f>
        <v>7.0800000000000002E-2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11</v>
      </c>
      <c r="Y251" s="543">
        <f>IFERROR(SUM(Y245:Y249),"0")</f>
        <v>11.879999999999999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100</v>
      </c>
      <c r="Y299" s="542">
        <f t="shared" si="31"/>
        <v>100.80000000000001</v>
      </c>
      <c r="Z299" s="36">
        <f>IFERROR(IF(Y299=0,"",ROUNDUP(Y299/H299,0)*0.00902),"")</f>
        <v>0.21648000000000001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105.95238095238095</v>
      </c>
      <c r="BN299" s="64">
        <f t="shared" si="33"/>
        <v>106.80000000000001</v>
      </c>
      <c r="BO299" s="64">
        <f t="shared" si="34"/>
        <v>0.18037518037518038</v>
      </c>
      <c r="BP299" s="64">
        <f t="shared" si="35"/>
        <v>0.18181818181818182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23.80952380952381</v>
      </c>
      <c r="Y305" s="543">
        <f>IFERROR(Y298/H298,"0")+IFERROR(Y299/H299,"0")+IFERROR(Y300/H300,"0")+IFERROR(Y301/H301,"0")+IFERROR(Y302/H302,"0")+IFERROR(Y303/H303,"0")+IFERROR(Y304/H304,"0")</f>
        <v>24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0.21648000000000001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100</v>
      </c>
      <c r="Y306" s="543">
        <f>IFERROR(SUM(Y298:Y304),"0")</f>
        <v>100.80000000000001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130</v>
      </c>
      <c r="Y316" s="542">
        <f>IFERROR(IF(X316="",0,CEILING((X316/$H316),1)*$H316),"")</f>
        <v>132.6</v>
      </c>
      <c r="Z316" s="36">
        <f>IFERROR(IF(Y316=0,"",ROUNDUP(Y316/H316,0)*0.01898),"")</f>
        <v>0.32266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138.23333333333335</v>
      </c>
      <c r="BN316" s="64">
        <f>IFERROR(Y316*I316/H316,"0")</f>
        <v>140.99799999999999</v>
      </c>
      <c r="BO316" s="64">
        <f>IFERROR(1/J316*(X316/H316),"0")</f>
        <v>0.26041666666666669</v>
      </c>
      <c r="BP316" s="64">
        <f>IFERROR(1/J316*(Y316/H316),"0")</f>
        <v>0.265625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16.666666666666668</v>
      </c>
      <c r="Y318" s="543">
        <f>IFERROR(Y315/H315,"0")+IFERROR(Y316/H316,"0")+IFERROR(Y317/H317,"0")</f>
        <v>17</v>
      </c>
      <c r="Z318" s="543">
        <f>IFERROR(IF(Z315="",0,Z315),"0")+IFERROR(IF(Z316="",0,Z316),"0")+IFERROR(IF(Z317="",0,Z317),"0")</f>
        <v>0.32266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130</v>
      </c>
      <c r="Y319" s="543">
        <f>IFERROR(SUM(Y315:Y317),"0")</f>
        <v>132.6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2000</v>
      </c>
      <c r="Y343" s="542">
        <f t="shared" ref="Y343:Y349" si="36">IFERROR(IF(X343="",0,CEILING((X343/$H343),1)*$H343),"")</f>
        <v>2010</v>
      </c>
      <c r="Z343" s="36">
        <f>IFERROR(IF(Y343=0,"",ROUNDUP(Y343/H343,0)*0.02175),"")</f>
        <v>2.9144999999999999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2062.6666666666665</v>
      </c>
      <c r="BN343" s="64">
        <f t="shared" ref="BN343:BN349" si="38">IFERROR(Y343*I343/H343,"0")</f>
        <v>2072.98</v>
      </c>
      <c r="BO343" s="64">
        <f t="shared" ref="BO343:BO349" si="39">IFERROR(1/J343*(X343/H343),"0")</f>
        <v>2.7777777777777777</v>
      </c>
      <c r="BP343" s="64">
        <f t="shared" ref="BP343:BP349" si="40">IFERROR(1/J343*(Y343/H343),"0")</f>
        <v>2.7916666666666665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1200</v>
      </c>
      <c r="Y344" s="542">
        <f t="shared" si="36"/>
        <v>1200</v>
      </c>
      <c r="Z344" s="36">
        <f>IFERROR(IF(Y344=0,"",ROUNDUP(Y344/H344,0)*0.02175),"")</f>
        <v>1.7399999999999998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1237.5999999999999</v>
      </c>
      <c r="BN344" s="64">
        <f t="shared" si="38"/>
        <v>1237.5999999999999</v>
      </c>
      <c r="BO344" s="64">
        <f t="shared" si="39"/>
        <v>1.6666666666666665</v>
      </c>
      <c r="BP344" s="64">
        <f t="shared" si="40"/>
        <v>1.6666666666666665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1500</v>
      </c>
      <c r="Y345" s="542">
        <f t="shared" si="36"/>
        <v>1500</v>
      </c>
      <c r="Z345" s="36">
        <f>IFERROR(IF(Y345=0,"",ROUNDUP(Y345/H345,0)*0.02175),"")</f>
        <v>2.1749999999999998</v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1547</v>
      </c>
      <c r="BN345" s="64">
        <f t="shared" si="38"/>
        <v>1547</v>
      </c>
      <c r="BO345" s="64">
        <f t="shared" si="39"/>
        <v>2.083333333333333</v>
      </c>
      <c r="BP345" s="64">
        <f t="shared" si="40"/>
        <v>2.083333333333333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313.33333333333337</v>
      </c>
      <c r="Y350" s="543">
        <f>IFERROR(Y343/H343,"0")+IFERROR(Y344/H344,"0")+IFERROR(Y345/H345,"0")+IFERROR(Y346/H346,"0")+IFERROR(Y347/H347,"0")+IFERROR(Y348/H348,"0")+IFERROR(Y349/H349,"0")</f>
        <v>314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6.8294999999999995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4700</v>
      </c>
      <c r="Y351" s="543">
        <f>IFERROR(SUM(Y343:Y349),"0")</f>
        <v>4710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2150</v>
      </c>
      <c r="Y353" s="542">
        <f>IFERROR(IF(X353="",0,CEILING((X353/$H353),1)*$H353),"")</f>
        <v>2160</v>
      </c>
      <c r="Z353" s="36">
        <f>IFERROR(IF(Y353=0,"",ROUNDUP(Y353/H353,0)*0.02175),"")</f>
        <v>3.1319999999999997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2217.3666666666668</v>
      </c>
      <c r="BN353" s="64">
        <f>IFERROR(Y353*I353/H353,"0")</f>
        <v>2227.6800000000003</v>
      </c>
      <c r="BO353" s="64">
        <f>IFERROR(1/J353*(X353/H353),"0")</f>
        <v>2.9861111111111112</v>
      </c>
      <c r="BP353" s="64">
        <f>IFERROR(1/J353*(Y353/H353),"0")</f>
        <v>3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143.33333333333334</v>
      </c>
      <c r="Y355" s="543">
        <f>IFERROR(Y353/H353,"0")+IFERROR(Y354/H354,"0")</f>
        <v>144</v>
      </c>
      <c r="Z355" s="543">
        <f>IFERROR(IF(Z353="",0,Z353),"0")+IFERROR(IF(Z354="",0,Z354),"0")</f>
        <v>3.1319999999999997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2150</v>
      </c>
      <c r="Y356" s="543">
        <f>IFERROR(SUM(Y353:Y354),"0")</f>
        <v>2160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80</v>
      </c>
      <c r="Y359" s="542">
        <f>IFERROR(IF(X359="",0,CEILING((X359/$H359),1)*$H359),"")</f>
        <v>81</v>
      </c>
      <c r="Z359" s="36">
        <f>IFERROR(IF(Y359=0,"",ROUNDUP(Y359/H359,0)*0.01898),"")</f>
        <v>0.17082</v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84.391111111111115</v>
      </c>
      <c r="BN359" s="64">
        <f>IFERROR(Y359*I359/H359,"0")</f>
        <v>85.445999999999998</v>
      </c>
      <c r="BO359" s="64">
        <f>IFERROR(1/J359*(X359/H359),"0")</f>
        <v>0.1388888888888889</v>
      </c>
      <c r="BP359" s="64">
        <f>IFERROR(1/J359*(Y359/H359),"0")</f>
        <v>0.140625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8.8888888888888893</v>
      </c>
      <c r="Y360" s="543">
        <f>IFERROR(Y358/H358,"0")+IFERROR(Y359/H359,"0")</f>
        <v>9</v>
      </c>
      <c r="Z360" s="543">
        <f>IFERROR(IF(Z358="",0,Z358),"0")+IFERROR(IF(Z359="",0,Z359),"0")</f>
        <v>0.17082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80</v>
      </c>
      <c r="Y361" s="543">
        <f>IFERROR(SUM(Y358:Y359),"0")</f>
        <v>81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2200</v>
      </c>
      <c r="Y378" s="542">
        <f>IFERROR(IF(X378="",0,CEILING((X378/$H378),1)*$H378),"")</f>
        <v>2205</v>
      </c>
      <c r="Z378" s="36">
        <f>IFERROR(IF(Y378=0,"",ROUNDUP(Y378/H378,0)*0.01898),"")</f>
        <v>4.6501000000000001</v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2320.7555555555555</v>
      </c>
      <c r="BN378" s="64">
        <f>IFERROR(Y378*I378/H378,"0")</f>
        <v>2326.0300000000002</v>
      </c>
      <c r="BO378" s="64">
        <f>IFERROR(1/J378*(X378/H378),"0")</f>
        <v>3.8194444444444446</v>
      </c>
      <c r="BP378" s="64">
        <f>IFERROR(1/J378*(Y378/H378),"0")</f>
        <v>3.828125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244.44444444444446</v>
      </c>
      <c r="Y380" s="543">
        <f>IFERROR(Y378/H378,"0")+IFERROR(Y379/H379,"0")</f>
        <v>245</v>
      </c>
      <c r="Z380" s="543">
        <f>IFERROR(IF(Z378="",0,Z378),"0")+IFERROR(IF(Z379="",0,Z379),"0")</f>
        <v>4.6501000000000001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2200</v>
      </c>
      <c r="Y381" s="543">
        <f>IFERROR(SUM(Y378:Y379),"0")</f>
        <v>2205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500</v>
      </c>
      <c r="Y421" s="542">
        <f t="shared" ref="Y421:Y431" si="47">IFERROR(IF(X421="",0,CEILING((X421/$H421),1)*$H421),"")</f>
        <v>501.6</v>
      </c>
      <c r="Z421" s="36">
        <f t="shared" ref="Z421:Z426" si="48">IFERROR(IF(Y421=0,"",ROUNDUP(Y421/H421,0)*0.01196),"")</f>
        <v>1.1362000000000001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533.14393939393938</v>
      </c>
      <c r="BN421" s="64">
        <f t="shared" ref="BN421:BN431" si="50">IFERROR(Y421*I421/H421,"0")</f>
        <v>534.85</v>
      </c>
      <c r="BO421" s="64">
        <f t="shared" ref="BO421:BO431" si="51">IFERROR(1/J421*(X421/H421),"0")</f>
        <v>0.91054778554778548</v>
      </c>
      <c r="BP421" s="64">
        <f t="shared" ref="BP421:BP431" si="52">IFERROR(1/J421*(Y421/H421),"0")</f>
        <v>0.91346153846153855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300</v>
      </c>
      <c r="Y423" s="542">
        <f t="shared" si="47"/>
        <v>300.96000000000004</v>
      </c>
      <c r="Z423" s="36">
        <f t="shared" si="48"/>
        <v>0.68171999999999999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319.88636363636363</v>
      </c>
      <c r="BN423" s="64">
        <f t="shared" si="50"/>
        <v>320.91000000000003</v>
      </c>
      <c r="BO423" s="64">
        <f t="shared" si="51"/>
        <v>0.54632867132867136</v>
      </c>
      <c r="BP423" s="64">
        <f t="shared" si="52"/>
        <v>0.54807692307692313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600</v>
      </c>
      <c r="Y424" s="542">
        <f t="shared" si="47"/>
        <v>601.92000000000007</v>
      </c>
      <c r="Z424" s="36">
        <f t="shared" si="48"/>
        <v>1.36344</v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639.77272727272725</v>
      </c>
      <c r="BN424" s="64">
        <f t="shared" si="50"/>
        <v>641.82000000000005</v>
      </c>
      <c r="BO424" s="64">
        <f t="shared" si="51"/>
        <v>1.0926573426573427</v>
      </c>
      <c r="BP424" s="64">
        <f t="shared" si="52"/>
        <v>1.0961538461538463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400</v>
      </c>
      <c r="Y426" s="542">
        <f t="shared" si="47"/>
        <v>401.28000000000003</v>
      </c>
      <c r="Z426" s="36">
        <f t="shared" si="48"/>
        <v>0.90895999999999999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426.5151515151515</v>
      </c>
      <c r="BN426" s="64">
        <f t="shared" si="50"/>
        <v>427.88</v>
      </c>
      <c r="BO426" s="64">
        <f t="shared" si="51"/>
        <v>0.72843822843822836</v>
      </c>
      <c r="BP426" s="64">
        <f t="shared" si="52"/>
        <v>0.73076923076923084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340.90909090909088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342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4.0903200000000002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1800</v>
      </c>
      <c r="Y433" s="543">
        <f>IFERROR(SUM(Y421:Y431),"0")</f>
        <v>1805.76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1000</v>
      </c>
      <c r="Y435" s="542">
        <f>IFERROR(IF(X435="",0,CEILING((X435/$H435),1)*$H435),"")</f>
        <v>1003.2</v>
      </c>
      <c r="Z435" s="36">
        <f>IFERROR(IF(Y435=0,"",ROUNDUP(Y435/H435,0)*0.01196),"")</f>
        <v>2.2724000000000002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1066.2878787878788</v>
      </c>
      <c r="BN435" s="64">
        <f>IFERROR(Y435*I435/H435,"0")</f>
        <v>1069.7</v>
      </c>
      <c r="BO435" s="64">
        <f>IFERROR(1/J435*(X435/H435),"0")</f>
        <v>1.821095571095571</v>
      </c>
      <c r="BP435" s="64">
        <f>IFERROR(1/J435*(Y435/H435),"0")</f>
        <v>1.8269230769230771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189.39393939393938</v>
      </c>
      <c r="Y438" s="543">
        <f>IFERROR(Y435/H435,"0")+IFERROR(Y436/H436,"0")+IFERROR(Y437/H437,"0")</f>
        <v>190</v>
      </c>
      <c r="Z438" s="543">
        <f>IFERROR(IF(Z435="",0,Z435),"0")+IFERROR(IF(Z436="",0,Z436),"0")+IFERROR(IF(Z437="",0,Z437),"0")</f>
        <v>2.2724000000000002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1000</v>
      </c>
      <c r="Y439" s="543">
        <f>IFERROR(SUM(Y435:Y437),"0")</f>
        <v>1003.2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400</v>
      </c>
      <c r="Y441" s="542">
        <f t="shared" ref="Y441:Y446" si="53">IFERROR(IF(X441="",0,CEILING((X441/$H441),1)*$H441),"")</f>
        <v>401.28000000000003</v>
      </c>
      <c r="Z441" s="36">
        <f>IFERROR(IF(Y441=0,"",ROUNDUP(Y441/H441,0)*0.01196),"")</f>
        <v>0.90895999999999999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426.5151515151515</v>
      </c>
      <c r="BN441" s="64">
        <f t="shared" ref="BN441:BN446" si="55">IFERROR(Y441*I441/H441,"0")</f>
        <v>427.88</v>
      </c>
      <c r="BO441" s="64">
        <f t="shared" ref="BO441:BO446" si="56">IFERROR(1/J441*(X441/H441),"0")</f>
        <v>0.72843822843822836</v>
      </c>
      <c r="BP441" s="64">
        <f t="shared" ref="BP441:BP446" si="57">IFERROR(1/J441*(Y441/H441),"0")</f>
        <v>0.73076923076923084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500</v>
      </c>
      <c r="Y442" s="542">
        <f t="shared" si="53"/>
        <v>501.6</v>
      </c>
      <c r="Z442" s="36">
        <f>IFERROR(IF(Y442=0,"",ROUNDUP(Y442/H442,0)*0.01196),"")</f>
        <v>1.1362000000000001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533.14393939393938</v>
      </c>
      <c r="BN442" s="64">
        <f t="shared" si="55"/>
        <v>534.85</v>
      </c>
      <c r="BO442" s="64">
        <f t="shared" si="56"/>
        <v>0.91054778554778548</v>
      </c>
      <c r="BP442" s="64">
        <f t="shared" si="57"/>
        <v>0.91346153846153855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500</v>
      </c>
      <c r="Y443" s="542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265.15151515151513</v>
      </c>
      <c r="Y447" s="543">
        <f>IFERROR(Y441/H441,"0")+IFERROR(Y442/H442,"0")+IFERROR(Y443/H443,"0")+IFERROR(Y444/H444,"0")+IFERROR(Y445/H445,"0")+IFERROR(Y446/H446,"0")</f>
        <v>266</v>
      </c>
      <c r="Z447" s="543">
        <f>IFERROR(IF(Z441="",0,Z441),"0")+IFERROR(IF(Z442="",0,Z442),"0")+IFERROR(IF(Z443="",0,Z443),"0")+IFERROR(IF(Z444="",0,Z444),"0")+IFERROR(IF(Z445="",0,Z445),"0")+IFERROR(IF(Z446="",0,Z446),"0")</f>
        <v>3.1813600000000002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1400</v>
      </c>
      <c r="Y448" s="543">
        <f>IFERROR(SUM(Y441:Y446),"0")</f>
        <v>1404.48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18063.5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18162.62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18913.912864703416</v>
      </c>
      <c r="Y490" s="543">
        <f>IFERROR(SUM(BN22:BN486),"0")</f>
        <v>19017.686999999998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29</v>
      </c>
      <c r="Y491" s="38">
        <f>ROUNDUP(SUM(BP22:BP486),0)</f>
        <v>30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19638.912864703416</v>
      </c>
      <c r="Y492" s="543">
        <f>GrossWeightTotalR+PalletQtyTotalR*25</f>
        <v>19767.686999999998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2156.6864526490963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2170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33.912580000000005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907.2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660.80000000000007</v>
      </c>
      <c r="E499" s="46">
        <f>IFERROR(Y85*1,"0")+IFERROR(Y86*1,"0")+IFERROR(Y87*1,"0")+IFERROR(Y91*1,"0")+IFERROR(Y92*1,"0")+IFERROR(Y93*1,"0")+IFERROR(Y94*1,"0")</f>
        <v>912.6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1169.1000000000001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100.80000000000001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766.8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42.480000000000004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233.4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6951</v>
      </c>
      <c r="T499" s="46">
        <f>IFERROR(Y368*1,"0")+IFERROR(Y369*1,"0")+IFERROR(Y373*1,"0")+IFERROR(Y374*1,"0")+IFERROR(Y378*1,"0")+IFERROR(Y379*1,"0")</f>
        <v>2205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4213.4400000000005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2025-11-25T08:26:38Z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