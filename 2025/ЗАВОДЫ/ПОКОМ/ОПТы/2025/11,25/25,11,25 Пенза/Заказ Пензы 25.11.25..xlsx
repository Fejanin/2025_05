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19E76CDD-57E7-4ADE-AB69-224185A232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Лист2!$F$2:$F$395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3" i="2" l="1"/>
  <c r="G392" i="2"/>
  <c r="G178" i="2" l="1"/>
  <c r="G268" i="2" l="1"/>
  <c r="G235" i="2"/>
  <c r="G189" i="2"/>
  <c r="G17" i="2" l="1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 l="1"/>
  <c r="G35" i="2" l="1"/>
  <c r="G36" i="2"/>
  <c r="G37" i="2"/>
  <c r="G38" i="2"/>
  <c r="G39" i="2"/>
  <c r="G40" i="2"/>
  <c r="G41" i="2"/>
  <c r="G42" i="2"/>
  <c r="G43" i="2"/>
  <c r="G44" i="2"/>
  <c r="G45" i="2"/>
  <c r="G46" i="2"/>
  <c r="G47" i="2"/>
  <c r="G48" i="2" l="1"/>
  <c r="G49" i="2"/>
  <c r="G50" i="2"/>
  <c r="G51" i="2"/>
  <c r="G52" i="2"/>
  <c r="G53" i="2" l="1"/>
  <c r="G54" i="2"/>
  <c r="G55" i="2"/>
  <c r="G56" i="2"/>
  <c r="G57" i="2"/>
  <c r="G58" i="2"/>
  <c r="G59" i="2"/>
  <c r="G60" i="2"/>
  <c r="G61" i="2"/>
  <c r="G62" i="2"/>
  <c r="G63" i="2"/>
  <c r="G64" i="2"/>
  <c r="G65" i="2" l="1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 l="1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9" i="2"/>
  <c r="G180" i="2"/>
  <c r="G181" i="2"/>
  <c r="G182" i="2"/>
  <c r="G183" i="2"/>
  <c r="G184" i="2"/>
  <c r="G185" i="2"/>
  <c r="G186" i="2"/>
  <c r="G187" i="2"/>
  <c r="G188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4" i="2"/>
  <c r="G3" i="2"/>
  <c r="F395" i="2" l="1"/>
  <c r="G395" i="2" l="1"/>
</calcChain>
</file>

<file path=xl/sharedStrings.xml><?xml version="1.0" encoding="utf-8"?>
<sst xmlns="http://schemas.openxmlformats.org/spreadsheetml/2006/main" count="563" uniqueCount="558">
  <si>
    <t>Ветчина Вязанка с индейкой, вектор 0,45 кг, ТМ Стародворские колбасы</t>
  </si>
  <si>
    <t>Ветчина Дугушка ТМ Стародворье, вектор в/у    ПОКОМ</t>
  </si>
  <si>
    <t>Ветчина Нежная ТМ Особый рецепт, п/а, 0,4кг    ПОКОМ</t>
  </si>
  <si>
    <t>Колбаса в/к Чесночная ТМ Особый Рецепт, в/у 0,35кг ПОКОМ</t>
  </si>
  <si>
    <t>Колбаса Вязанка со шпиком, вектор 0,5кг, ПОКОМ</t>
  </si>
  <si>
    <t>Колбаса Докторская Дугушка, ВЕС, НЕ ГОСТ, ТМ Стародворье ПОКОМ</t>
  </si>
  <si>
    <t>Колбаса Докторская Особая ТМ Особый рецепт,  0,5кг, ПОКОМ</t>
  </si>
  <si>
    <t>Колбаса Княжеская, белковой обол в термоусад. пакете, ВЕС, ТМ Стародворье</t>
  </si>
  <si>
    <t>Колбаса Кракушка пряная с сальцем, 0.3кг в/у п/к, БАВАРУШКА ПОКОМ</t>
  </si>
  <si>
    <t>Колбаса Молочная Дугушка, в/у, ВЕС, ТМ Стародворье   ПОКОМ</t>
  </si>
  <si>
    <t>Колбаса Молочная Дугушка, вектор 0,4 кг, ТМ Стародворье  ПОКОМ</t>
  </si>
  <si>
    <t>Колбаса Молочная по-стародворски, 0,5кг,ПОКОМ</t>
  </si>
  <si>
    <t>Колбаса Рубленая ЗАПЕЧ. Дугушка ТМ Стародворье, вектор, в/к    ПОКОМ</t>
  </si>
  <si>
    <t>Колбаса Русская стародворская, амифлекс 0,5 кг, ТМ Стародворье</t>
  </si>
  <si>
    <t>Колбаса Салями запеч Дугушка, оболочка вектор, ВЕС, ТМ Стародворье  ПОКОМ</t>
  </si>
  <si>
    <t>Колбаса Салями Филейбургская зернистая, в/у 0,35 кг срез, БАВАРУШКА ПОКОМ</t>
  </si>
  <si>
    <t>Колбаса Салями Финская, Вязанка фиброуз в/у, ПОКОМ</t>
  </si>
  <si>
    <t>Колбаса Сервелат Запекуша с говядиной, Вязанка ВЕС,  ПОКОМ</t>
  </si>
  <si>
    <t>Колбаса Сервелат Запекуша с сочным окороком, Вязанка ВЕС, 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</si>
  <si>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</si>
  <si>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</si>
  <si>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Левантский ТМ Особый Рецепт, ВЕС. ПОКОМ</t>
  </si>
  <si>
    <t>Колбаса Сервелат Столичный, Вязанка фиброуз в/у, 0.35кг,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</si>
  <si>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</si>
  <si>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</si>
  <si>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Сервелат Филейный ТМ Особый Рецепт, в/у 0,35кг  ПОКОМ</t>
  </si>
  <si>
    <t>Колбаса Сервелат Филейный ТМ Особый Рецепт, ВЕС. ПОКОМ</t>
  </si>
  <si>
    <t>Колбаса Сервелатная по-стародворски, Фирм. фиброуз в/у ВЕС, ТМ Стародворье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</si>
  <si>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</si>
  <si>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</si>
  <si>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</si>
  <si>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Венские, Вязанка NDX МГС, 0.5кг, ПОКОМ</t>
  </si>
  <si>
    <t>Сосиски Венские, Вязанка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</si>
  <si>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</si>
  <si>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</si>
  <si>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Сосиски Рубленые, Вязанка вискофан  ВЕС.ПОКОМ</t>
  </si>
  <si>
    <t>Ветчина Дугушка ТМ Стародворье, вектор в/у, 0,4кг    ПОКОМ</t>
  </si>
  <si>
    <t>Колбаса Вязанка с индейкой, вектор 0,45 кг, ПОКОМ</t>
  </si>
  <si>
    <t>Колбаса Докторская ГОСТ Дугушка, ВЕС, ТМ Стародворье ПОКОМ</t>
  </si>
  <si>
    <t>Колбаса Докторская Дугушка, вектор 0.4 кг, ТМ Стародворье    ПОКОМ</t>
  </si>
  <si>
    <t>Колбаса Особая ТМ Особый рецепт, 0,5 кг, ПОКОМ</t>
  </si>
  <si>
    <t>Колбаса Сервелат Филейбургский с ароматными пряностями, в/у 0,35 кг срез, БАВАРУШКА ПОКОМ</t>
  </si>
  <si>
    <t>Колбаса Сервелат Филейбургский с филе сочного окорока, в/у 0,35 кг срез, БАВАРУШКА ПОКОМ</t>
  </si>
  <si>
    <t>Сардельки Баварские, МГС 0.38кг, ТМ Стародворье  ПОКОМ</t>
  </si>
  <si>
    <t>Сардельки Вязанка Стародворские, Вязанка NDX МГС, ВЕС, ТМ Стародворские колбасы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</si>
  <si>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</si>
  <si>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</si>
  <si>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Рубленые, Вязанка вискофан МГС, 0.5кг, ПОКОМ</t>
  </si>
  <si>
    <t>Шпикачки Стародворские, ВЕС.  ПОКОМ</t>
  </si>
  <si>
    <t>Ветчина Вязанка с идейкой , вектор, ВЕС, ТМ Стародворские колбасы   ПОКОМ</t>
  </si>
  <si>
    <t>Колбаса Салями охотничья, ВЕС.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</si>
  <si>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</si>
  <si>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</si>
  <si>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</si>
  <si>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</si>
  <si>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</si>
  <si>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Вареные колбасы Докторская стародворская Бордо Фикс.вес 0,5 Стародворье</t>
  </si>
  <si>
    <t>Сосиски Ганноверские   ПОКОМ, кг</t>
  </si>
  <si>
    <t>Колбаса варено-копченая Сервелат Кремлевский ТМ Стародворье фиброуз в/у вес СК2</t>
  </si>
  <si>
    <t>Колбаса Русская по-стародворски, ВЕС.  ПОКОМ</t>
  </si>
  <si>
    <t>Наименование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</si>
  <si>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</si>
  <si>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</si>
  <si>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</si>
  <si>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Сосиски Сливочные по-стародворски, ВЕС.  ПОКОМ, кг</t>
  </si>
  <si>
    <t>Колбаса Вязанка со шпиком, вектор ВЕС,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</si>
  <si>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</si>
  <si>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</si>
  <si>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</si>
  <si>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Сосиски Баварские,  0.42кг,ПОКОМ, шт</t>
  </si>
  <si>
    <t>Сосиски Баварские с сыром,  0.42кг,ПОКОМ, шт</t>
  </si>
  <si>
    <t>Колбаски Баварские копченые, NDX в МГС 0,28 кг, ТМ Стародворье  ПОКОМ, шт</t>
  </si>
  <si>
    <t>Колбаса Докторская ГОСТ, Вязанка вектор, 0,4 кг, ПОКОМ, шт</t>
  </si>
  <si>
    <t>Колбаса Докторская Особая ТМ Особый рецепт, ВЕС  ПОКОМ, кг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</si>
  <si>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</si>
  <si>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</si>
  <si>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</si>
  <si>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</si>
  <si>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Колбаса Русская по-стародворски, 0,5 кг.  ПОКОМ</t>
  </si>
  <si>
    <t>Сосиски Молочные По-стародворски Бордо Весовые П/а Стародворье</t>
  </si>
  <si>
    <t>Сосиски Молочные по-стародворски Бордо Фикс.вес 0,45 п/а Стародворье</t>
  </si>
  <si>
    <t>Сосиски Сливочные по-стародворски Бордо Фикс.вес 0,45 П/а Стародворье</t>
  </si>
  <si>
    <t>Сосиски С сыром,  0.33кг,ядрена копоть ПОКОМ</t>
  </si>
  <si>
    <t>Вес, кг</t>
  </si>
  <si>
    <t>ИТОГО:</t>
  </si>
  <si>
    <t>Сосиски Молокуши миникушай Вязанка Ф/в 0,45 амилюкс мгс Вязанка</t>
  </si>
  <si>
    <t>ЗАКАЗ</t>
  </si>
  <si>
    <t>Сосиски Сочинки с сочным окороком, МГС 0.4кг,   ПОКОМ</t>
  </si>
  <si>
    <t>Сосиски Сочинки с сочной грудинкой, МГС 0.4кг,   ПОКОМ</t>
  </si>
  <si>
    <t>Колбаса Докторская по-стародворски Фирменная 0.5 кг, ПОКОМ</t>
  </si>
  <si>
    <t>Колбаса Докторская Дугушка НЕ ГОСТ, вектор 0.4 кг, ТМ Стародворье ПОКОМ</t>
  </si>
  <si>
    <t>Сосиски Баварские Бавария Весовые п/а  Стародворье</t>
  </si>
  <si>
    <t>Сосиски Сливочные Сливушки Фикс.вес 0,67 П/а Вязанка</t>
  </si>
  <si>
    <t>Колбаса Молочная стародворская ТМ Стародворье в оболочке амифлекс (бордо)</t>
  </si>
  <si>
    <t>Колбаса Классическая, Вязанка п/а 0,6кг, ПОКОМ</t>
  </si>
  <si>
    <t>Европоддон (невозвратный)</t>
  </si>
  <si>
    <t>Колбаса Русская стародворская, ВЕС.  ПОКОМ, кг</t>
  </si>
  <si>
    <t>Колбаса в/к Чесночная ТМ Особый Рецепт, ВЕС  ПОКОМ</t>
  </si>
  <si>
    <t>Колбаса Молочная стародворская, амифлекс, 0,5кг, ТМ Стародворье</t>
  </si>
  <si>
    <t>Колбаса Балыковая, Вязанка фиброуз в/у, ВЕС, ТМ Стародворские колбасы</t>
  </si>
  <si>
    <t>Колбаса Салями Финская, Вязанка фиброуз в/у0.35кг, ТМ Старод. Колбасы</t>
  </si>
  <si>
    <t>Колбаса Сервелат Филейбургский с копченой грудинкой,в/у 0,35кг срез,</t>
  </si>
  <si>
    <t>Колбаса Филейбургская с душистым чесноком,ВЕС, ТМ Баварушка ПОКОМ</t>
  </si>
  <si>
    <t>Сардельки Левантские ТМ Особый Рецепт, ВЕС. ПОКОМ</t>
  </si>
  <si>
    <t>Ветчина Филейская ВЕС ТМ  Вязанка ТС Столичная  ПОКОМ</t>
  </si>
  <si>
    <t>Колбаса Мясорубская ТМ Стародворье с сочной грудинкой , 0,35 кг срез  ПОКОМ</t>
  </si>
  <si>
    <t>Колбаса Мясорубская с рубленой грудинкой 0,35кг срез ТМ Стародворье  ПОКОМ</t>
  </si>
  <si>
    <t>Колбаса Мясорубская ТМ Стародворье с рубленой грудинкой в/у 0,4 кг срез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</si>
  <si>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</si>
  <si>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</si>
  <si>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</si>
  <si>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</si>
  <si>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Колбаса Сливушка ТМ Вязанка в оболочке полиамид 0,45 кг  ПОКОМ</t>
  </si>
  <si>
    <t>Колбаса Сливушка ТМ Вязанка, 0,375кг,  ПОКОМ</t>
  </si>
  <si>
    <t>Сосиски Сочинки, ВЕС, ТМ Стародворье ПОКОМ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</si>
  <si>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</si>
  <si>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</si>
  <si>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 Сочинки по-баварски 0,84 кг ТМ Стародворье  Поком</t>
  </si>
  <si>
    <t>Сосиски Сочинки с сыром 0,4 кг ТМ Стародворье  ПОКОМ</t>
  </si>
  <si>
    <t>Сосиски Сочинки по-баварски с сыром Стародворье, ВЕС ПОКОМ</t>
  </si>
  <si>
    <t>Колбаса вареная Сочинка ТМ Стародворье,  0,45 кг. ПОКОМ</t>
  </si>
  <si>
    <t>Сосиски Сочинки с сыром ТМ Стародворье, ВЕС ПОКОМ</t>
  </si>
  <si>
    <t>Сардельки Сочинки Стародворье ТМ  0,4 кг ПОКОМ</t>
  </si>
  <si>
    <t>Сардельки Сочинки с сыром Стародворье ТМ, 0,4 кг. ПОКОМ</t>
  </si>
  <si>
    <t>Колбаса вареная Филейская ТМ Вязанка ТС Классическая ВЕС  ПОКОМ</t>
  </si>
  <si>
    <t>Ветчина Филейская ТМ Вязанка Столичная 0,45 кг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</si>
  <si>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</si>
  <si>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</si>
  <si>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Ветчина Нежная ТМ Зареченские,большой батон, ВЕС ПОКОМ</t>
  </si>
  <si>
    <t>Колбаса Сервелат Пражский ТМ Зареченские, ВЕС ПОКОМ</t>
  </si>
  <si>
    <t>Колбаса Сервелат Рижский ТМ Зареченские, ВЕС  ПОКОМ</t>
  </si>
  <si>
    <t>Ветчина Запекуша с сочным окороком Вязанка ВЕС  ПОКОМ</t>
  </si>
  <si>
    <t>Колбаса Нежная ТМ Зареченские ВЕС  ПОКОМ</t>
  </si>
  <si>
    <t>Колбаса Сервелат Левантский ТМ Особый Рецепт, 0,35 кг. ПОКОМ</t>
  </si>
  <si>
    <t>Сосиски Датские ТМ Зареченские, ВЕС  ПОКОМ</t>
  </si>
  <si>
    <t>Сосиски Сливочные Дугушка, ВЕС.   ПОКОМ</t>
  </si>
  <si>
    <t>Колбаса вареная Молокуша ТМ Вязанка ВЕС, ПОКОМ</t>
  </si>
  <si>
    <t>Сосиски Классические, 0.42кг,ядрена копотьПОКОМ</t>
  </si>
  <si>
    <t>Сосиски Классические, 0,33кг, Ядрена копоть  ПОКОМ</t>
  </si>
  <si>
    <t>Колбаса Балыкбургская рубленая, в/у 0,35 кг срез, БАВАРУШКА ПОКОМ</t>
  </si>
  <si>
    <t>Колбаса Балыкбурская с копченым балыком, в/у 0,35 кг срез, БАВАРУШКА ПОКОМ</t>
  </si>
  <si>
    <t>Колбаса Докторская оригинальная ТМ Особый рецепт БОЛЬШОЙ БАТОН, п/а ВЕС, ТМ Стародворье ПОКОМ</t>
  </si>
  <si>
    <t>Колбаса Докторская оригинальная Особая ТМ Особый рецепт,  0,4кг, ПОКОМ</t>
  </si>
  <si>
    <t>Колбаса Докторская по-стародворски, натурин в/у, ВЕС, ТМ Стародворье ПОКОМ</t>
  </si>
  <si>
    <t>Колбаса Стародворская, ПОКОМ</t>
  </si>
  <si>
    <t>Колбаса полусухая Стародворская 0,17 кг., ШТ.,   ПОКОМ</t>
  </si>
  <si>
    <t>Кол Баварская, белков.обол. в термоусад. пакете 0.17 кг, ТМ Стародворье  ПОКОМ</t>
  </si>
  <si>
    <t>Колбаса Молочная по-стародворски, ВЕС   ПОКОМ</t>
  </si>
  <si>
    <t>Колбаса Докторская по-стародворски, фирменная амифлекс, ВЕС,   ПОКОМ</t>
  </si>
  <si>
    <t>Колбаса Салями Филейбургская зернистая, оболочка фиброуз, ВЕС, ТМ Баварушка  ПОКОМ</t>
  </si>
  <si>
    <t>Колбаса Сервелат запеч Дугушка, вектор 0,35 кг, ТМ Стародворье    ПОКОМ</t>
  </si>
  <si>
    <t>Колбаса Докторская традиционная ТМ Стародворье 0,5кг  ПОКОМ</t>
  </si>
  <si>
    <t>код 
завода</t>
  </si>
  <si>
    <t>Колбаса Докторская стародворская, фиброуз ВАКУУМ ВЕС, ТМ Стародворье ПОКОМ</t>
  </si>
  <si>
    <t>Ветчина Сливушка с индейкой ТМ Вязанка, 0,4кг  ПОКОМ</t>
  </si>
  <si>
    <t>Ветчина Столичная Вязанка, вектор 0.5кг, ПОКОМ</t>
  </si>
  <si>
    <t>Ветчина Балыкбургская ТМ Баварушка. ВЕС ПОКОМ</t>
  </si>
  <si>
    <t>Колбаски Филейбургские с филе сочного окорока, 0,28кг ТМ Баварушка  ПОКОМ</t>
  </si>
  <si>
    <t>Колбаса Баварушка с душистым чесноком, ВЕС, фиброуз в/у, ТМ Стародворье ПОКОМ, кг</t>
  </si>
  <si>
    <t>Колбаса Докторская стародворская, ВЕС, ВсхЗв   ПОКОМ, кг</t>
  </si>
  <si>
    <t>Колбаса Мясорубская с рубленой грудинкой ВЕС ТМ Стародворье  ПОКОМ, кг</t>
  </si>
  <si>
    <t>Ветчина Запекуша с сочным окороком, Вязанка 0,42кг,  ПОКОМ, шт</t>
  </si>
  <si>
    <t>Колбаса Молочная оригинальная ТМ Особый рецепт. большой батон, ВЕС ПОКОМ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</si>
  <si>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</si>
  <si>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</si>
  <si>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</si>
  <si>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</si>
  <si>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</si>
  <si>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Колбаски Балыкбургские с сыром ТМ Баварушка вес  Поком</t>
  </si>
  <si>
    <t>Сардельки Филейские Вязанка ВЕС NDX ТМ Вязанка  ПОКОМ</t>
  </si>
  <si>
    <t>Сосиски Молокуши миникушай ТМ Вязанка, 0.33кг, ПОКОМ</t>
  </si>
  <si>
    <t>Сосиски Филейбургские с филе сочного окорока, ВЕС, ТМ Баварушка  ПОКОМ</t>
  </si>
  <si>
    <t>Ветчина Сливушка с индейкой ТМ Вязанка. ВЕС  ПОКОМ</t>
  </si>
  <si>
    <t>Сосиски Сочинки по-баварски ВЕС ТМ Стародворье  Поком</t>
  </si>
  <si>
    <t>Сосиски Сочинки Молочные ТМ Стародворье 0,4 кг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</si>
  <si>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</si>
  <si>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</si>
  <si>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Сосиски Сочинки Сливочные ТМ Стародворье  0,4 кг</t>
  </si>
  <si>
    <t>Паштет Любительский ТМ Стародворье ламистер 0,1 кг  ПОКОМ</t>
  </si>
  <si>
    <t>Сосиски Сочные без свинины ТМ Особый рецепт 0,4 кг. ПОКОМ</t>
  </si>
  <si>
    <t>Сосиски Сочные без свинины ТМ Особый рецепт, ВЕС ПОКОМ</t>
  </si>
  <si>
    <t>Сосиски Вязанка Сливочные, Вязанка амицел МГС, 0.33кг, ТМ Стародворские колбасы</t>
  </si>
  <si>
    <t xml:space="preserve"> 254 Сосиски Датские, ВЕС, ТМ КОЛБАСНЫЙ СТАНДАРТ ПОКОМ, кг</t>
  </si>
  <si>
    <t>Колбаса Молочная стародворская, Вязанка вектор 0,5 кг,ПОКОМ</t>
  </si>
  <si>
    <t>Ветчина Нежная, (1,8кг б/б), ТМ КОЛБАСНЫЙ СТАНДАРТ ПОКОМ</t>
  </si>
  <si>
    <t xml:space="preserve"> 078  Колбаса Сервелат Зернистый, ПОКОМ 0.35 кг,ПОКОМ</t>
  </si>
  <si>
    <t xml:space="preserve"> 206  ВСД  Колбаса Докторская по-стародворски, Фирм. амифлекс, ВЕС, ТМ Стародворье  ПОКОМ</t>
  </si>
  <si>
    <t xml:space="preserve"> 394 Колбаса полукопченая Аль-Ислами халяль ТМ Вязанка оболочка фиброуз в в/у 0,35 кг  ПОКОМ</t>
  </si>
  <si>
    <t>Чипсы сыровяленые из натурального филе, 0,025кг ТМ Ядрена Копоть ПОКОМ</t>
  </si>
  <si>
    <t>Колбаса вареная Филейбургская, 0,45 кг, БАВАРУШКА ПОКОМ</t>
  </si>
  <si>
    <t>Колбаса Молочная Дугушка 0,6кг ТМ Стародворье  ПОКОМ</t>
  </si>
  <si>
    <t>Колбаса вареная Мусульманская Халяль ТМ Вязанка, 0,4 кг ПОКОМ</t>
  </si>
  <si>
    <t>Колбаса вареная Сочинка ТМ Стародворье ВЕС ПОКОМ</t>
  </si>
  <si>
    <t>Ветчина Сочинка ТМ Стародворье. ВЕС ПОКОМ</t>
  </si>
  <si>
    <t>Колбаса Филейбургская с филе сочного окорока 0,13кг с/в ТМ Баварушка  ПОКОМ</t>
  </si>
  <si>
    <t>Колбаса Балыкбургская с мраморным балыком 0,13 кг. ТМ Баварушка  ПОКОМ</t>
  </si>
  <si>
    <t>Колбаса Рубленая запеченная ТМ Стародворье,ТС Дугушка  0,6 кг ПОКОМ</t>
  </si>
  <si>
    <t xml:space="preserve"> Колбаса Салями запеченная ТМ Стародворье ТС Дугушка. 0,6 кг ПОКОМ</t>
  </si>
  <si>
    <t>Колбаса Сервелат запеченный ТМ Стародворье ТС Дугушка. 0,6 кг. ПОКОМ</t>
  </si>
  <si>
    <t>Колбаса Стародворская, 0,4кг ТС Старый двор,  ПОКОМ</t>
  </si>
  <si>
    <t xml:space="preserve"> Сосиски Восточные Халяль ТМ Вязанка 0,33 кг АК. ПОКОМ</t>
  </si>
  <si>
    <t>Сосиски Сочные ТМ Зареченские. ВЕС ПОКОМ</t>
  </si>
  <si>
    <t>Ветчина Балыкбургская ТМ Баварушка  в оболочке фиброуз в/у 0,42 кг ПОКОМ</t>
  </si>
  <si>
    <t>ВЫВЕДЕНА!!!001   Ветчина Столичная Вязанка, вектор, ВЕС.ПОКОМ</t>
  </si>
  <si>
    <t>Колбаса Классическая, Вязанка вектор, ВЕС., ВсхЗв. ПОКОМ, кг</t>
  </si>
  <si>
    <t>Выведена!!!!! 010  Колбаса Классическая, Вязанка вектор, ВЕС.ПОКОМ</t>
  </si>
  <si>
    <t xml:space="preserve"> 014  Сардельки Вязанка Стародворские, СЕМЕЙНАЯ УПАКОВКА, ВЕС, ТМ Стародворские колбасы, кг</t>
  </si>
  <si>
    <t xml:space="preserve"> 024  Колбаса Классическая, Вязанка вектор 0,5кг, ПОКОМ, шт</t>
  </si>
  <si>
    <t xml:space="preserve"> 035  Колбаса Сервелат Запекуша с говядиной, Вязанка 0,35кг,  ПОКОМ, шт</t>
  </si>
  <si>
    <t xml:space="preserve"> 036  Колбаса Сервелат Запекуша с сочным окороком, Вязанка 0,35кг,  ПОКОМ, шт</t>
  </si>
  <si>
    <t xml:space="preserve"> 279  Колбаса Докторский гарант, Вязанка вектор, 0,4 кг.  ПОКОМ, шт</t>
  </si>
  <si>
    <t xml:space="preserve"> 339  Колбаса вареная Филейская ТМ Вязанка ТС Классическая, 0,40 кг.  ПОКОМ, шт</t>
  </si>
  <si>
    <t xml:space="preserve"> 042  Ветчина Нежная Особая ТМ Стародворье, п/а, 0,4кг    ПОКОМ, шт</t>
  </si>
  <si>
    <t xml:space="preserve"> 054  Колбаса вареная Филейбургская с филе сочного окорока, 0,45 кг, БАВАРУШКА ПОКОМ, шт</t>
  </si>
  <si>
    <t xml:space="preserve"> 114  Сосиски Филейбургские с филе сочного окорока, 0,55 кг, БАВАРУШКА ПОКОМ, шт</t>
  </si>
  <si>
    <t xml:space="preserve"> 119  Паштет печеночный Гусь со вкусом гусиного мяса, 0,1 кг ПОКОМ, шт</t>
  </si>
  <si>
    <t xml:space="preserve"> 120  Паштет печеночный Копченый бекон со вкусом копченого бекона 0,1 кг ПОКОМ, шт</t>
  </si>
  <si>
    <t xml:space="preserve"> 203  Ветчина Нежная, ВЕС п/а ср.батон, ТМ КОЛБАСНЫЙ СТАНДАРТ ПОКОМ, кг</t>
  </si>
  <si>
    <t xml:space="preserve"> 212  Колбаса в/к Сервелат Пражский, ВЕС.,ТМ КОЛБАСНЫЙ СТАНДАРТ ПОКОМ, кг</t>
  </si>
  <si>
    <t xml:space="preserve"> 213  Колбаса в/к Сервелат Рижский, ВЕС.,ТМ КОЛБАСНЫЙ СТАНДАРТ ПОКОМ, кг</t>
  </si>
  <si>
    <t xml:space="preserve"> 224  Колбаса Докторская традиционная, амифлекс ВЕС, ТМ Стародворье ПОКОМ, кг</t>
  </si>
  <si>
    <t xml:space="preserve"> 232  Колбаса Молочная по-стародворски, ВЕС,  ВсхЗв,   ПОКОМ_, кг</t>
  </si>
  <si>
    <t xml:space="preserve"> 233  Колбаса Молочная по-стародворски, ВЕС, натурин, в/у, ТМ Стародворье ПОКОМ, кг</t>
  </si>
  <si>
    <t xml:space="preserve"> 234  Колбаса Нежная, п/а, ВЕС, ТМ КОЛБАСНЫЙ СТАНДАРТ ВсхЗв ПОКОМ, кг</t>
  </si>
  <si>
    <t xml:space="preserve"> 249  Сардельки Сочные, ПОКОМ, кг</t>
  </si>
  <si>
    <t xml:space="preserve"> 269  Колбаса Нежная, п/а БОЛЬШОЙ БАТОН, ВЕС, ТМ КОЛБАСНЫЙ СТАНДАРТ ПОКОМ, кг</t>
  </si>
  <si>
    <t xml:space="preserve"> 275  Колбаса полусухая Царедворская 0,15 кг., ШТ.,   ПОКОМ, шт</t>
  </si>
  <si>
    <t xml:space="preserve"> 285  Паштет печеночный со слив.маслом ТМ Стародворье ламистер 0,1 кг  ПОКОМ, шт</t>
  </si>
  <si>
    <t xml:space="preserve"> 290  Колбаса Царедворская, 0,4кг ТМ Стародворье  Поком, шт</t>
  </si>
  <si>
    <t xml:space="preserve"> 332  Колбаски бюргерсы ТМ Ядрена копоть, 0,3 кг ПОКОМ, шт</t>
  </si>
  <si>
    <t xml:space="preserve"> 337  Ветчина Сочинка ТМ Стародворье, 0,35 кг. ПОКОМ, шт</t>
  </si>
  <si>
    <t xml:space="preserve"> 352  Ветчина Нежная с нежным филе 0,4 кг ТМ Особый рецепт  ПОКОМ, шт</t>
  </si>
  <si>
    <t xml:space="preserve"> 359  Колбаса Муромская, ВЕС.,ТМ КОЛБАСНЫЙ СТАНДАРТ ПОКОМ, кг</t>
  </si>
  <si>
    <t xml:space="preserve"> 370  Колбаса Сервелат Мясорубский с мелкорубленным окороком 0,4 кг срез ТМ Стародворье   ПОКОМ, шт</t>
  </si>
  <si>
    <t xml:space="preserve"> 379  Колбаса Балыкбургская с копченым балыком ТМ Баварушка 0,28 кг срез ПОКОМ, шт</t>
  </si>
  <si>
    <t xml:space="preserve"> 389  Колбаса Сервелат Филейбургский с ароматными пряностями. Баварушка ТМ 0,28 кг срез ПОКОМ, шт</t>
  </si>
  <si>
    <t xml:space="preserve"> 390  Колбаса Сервелат Филейбургский с филе сочного окорока ТМ Баварушка 0,28 кг срез ПОКОМ, шт</t>
  </si>
  <si>
    <t xml:space="preserve"> 391  Колбаса Филейбургская с душистым чесноком ТМ Баварушка 0,28 кг срез. ПОКОМ, шт</t>
  </si>
  <si>
    <t xml:space="preserve"> 393  Колбаса Балыкбургская ТМ Баварушка в оболочке черева в в/у  0,28 кг. ПОКОМ, шт</t>
  </si>
  <si>
    <t>!!!ВЫВЕДЕНА!!! 386  Колбаса Балыкбургская с копченым балыком 0,35 кг срез ТМ Баварушка  ПОКОМ, шт</t>
  </si>
  <si>
    <t>Хрустящие крылышки ТМ Зареченские ТС Зареченские продукты. ВЕС ПОКОМ, кг</t>
  </si>
  <si>
    <t xml:space="preserve"> 108  Сосиски С сыром,  0.42кг,ядрена копоть ПОКОМ, шт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</si>
  <si>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</si>
  <si>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</si>
  <si>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416  Сосиски Датские ТМ Особый рецепт, ВЕС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</si>
  <si>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</si>
  <si>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</si>
  <si>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</si>
  <si>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</si>
  <si>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</si>
  <si>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</si>
  <si>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</si>
  <si>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</si>
  <si>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</si>
  <si>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</si>
  <si>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</si>
  <si>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Вязанка Сардельки Сливушки 330г (Стародвор)</t>
  </si>
  <si>
    <t>Вязанка сосиски Сливушки с сыром 300г (Стародвор)</t>
  </si>
  <si>
    <t>Балыкб мрамор балык/кор с/к ф/в 60г нар(Стародвор)</t>
  </si>
  <si>
    <t>445 Сосиски Стародворье Сочинки Молочные п/а вес  Поком, кг</t>
  </si>
  <si>
    <t>470 Колбаса Любительская ТМ Вязанка в оболочке полиамид.Мясной продукт категории А.  Поком, кг</t>
  </si>
  <si>
    <t>115  Колбаса Салями Филейбургская зернистая, в/у 0,35 кг срез, БАВАРУШКА ПОКОМ, шт</t>
  </si>
  <si>
    <t>273  Сосиски Сочинки с сочной грудинкой, МГС 0.4кг,   ПОКОМ, шт</t>
  </si>
  <si>
    <t>301  Сосиски Сочинки по-баварски с сыром,  0.4кг, ТМ Стародворье  ПОКОМ, шт</t>
  </si>
  <si>
    <t>320  Сосиски Сочинки с сочным окороком 0,4 кг ТМ Стародворье  ПОКОМ, шт</t>
  </si>
  <si>
    <t>324 Сосиски Классические ТМ Ядрена копоть ТС Ядрена копоть 0,33 кг  ПОКОМ, шт</t>
  </si>
  <si>
    <t>342 Колбаса вареная Филейбургская ТМ Баварушка ТС Баварушка в оболочке вектор 0,45 кг  ПОКОМ, шт</t>
  </si>
  <si>
    <t>346 Колбаса Сервелат Филейбургский с копченой грудинкой ТМ Баварушка в оболов/у 0,35 кг срез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</si>
  <si>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</si>
  <si>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</si>
  <si>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>351 Сосиски Филейбургские с грудкой ТМ Баварушка в оболо амицел в моди газовой среде 0,33 кг  Поком, шт</t>
  </si>
  <si>
    <t>361 Колбаса Салями Филейбургская зернистая ТМ Баварушка в оболочке  в вак 0.28кг ПОКОМ, шт</t>
  </si>
  <si>
    <t>364 Колбаса Сервелат Филейбургский с копченой грудинкой ТМ Баварушка  в/у 0,28 кг  ПОКОМ, шт</t>
  </si>
  <si>
    <t>374  Сосиски Сочинки с сыром ф/в 0,3 кг п/а ТМ "Стародворье"  Поком, шт</t>
  </si>
  <si>
    <t>375  Сосиски Сочинки по-баварски Бавария Фикс.вес 0,84 П/а мгс Стародворье, шт</t>
  </si>
  <si>
    <t>376  Сардельки Сочинки с сочным окороком ТМ Стародворье полиамид мгс ф/в 0,4 кг СК3, шт</t>
  </si>
  <si>
    <t>377  Сосиски Сочинки по-баварски с сыром ТМ Стародворье полиамид мгс ф/в 0,84 кг СК3, шт</t>
  </si>
  <si>
    <t>411 Вареные колбасы «Муромская» Весовой п/а ТМ «Зареченские»  Поком, кг</t>
  </si>
  <si>
    <t>412 Вареные колбасы «Молочная с нежным филе» Фикс.вес 0,4 кг п/а ТМ «Особый рецепт»  Поком, шт</t>
  </si>
  <si>
    <t>413 Вареные колбасы пастеризованн «Стародворская без шпика» Фикс.вес 0,4 п/а ТМ «Стародворье»  Поком, шт</t>
  </si>
  <si>
    <t>415 Вареные колбасы Докторская ГОСТ Золоченная в печи Весовые ц/о в/у Стародворье  Поком, кг</t>
  </si>
  <si>
    <t>416 Вареные колбасы Докторская стародворская Золоченная в печи Весовые ц/о в/у Стародворье  Поком, кг</t>
  </si>
  <si>
    <t>418 С/к колбасы Мини-салями во вкусом бекона Ядрена копоть Фикс.вес 0,05 б/о Ядрена копоть  Поком, шт</t>
  </si>
  <si>
    <t>440 Колбаса Стародворье 450г Сочинка с сочным окороком вар  Поком, шт</t>
  </si>
  <si>
    <t>441 Колбаса Стародворье Докторская стародворская Бордо вар п/а вес  Поком, кг</t>
  </si>
  <si>
    <t>451 Сосиски «Баварские» Фикс.вес 0,35 П/а ТМ «Стародворье»  Поком, шт</t>
  </si>
  <si>
    <t>456 Колбаса вареная Сочинка ТМ Стародворье в оболочке полиамид 0,45 кг.Мясной продукт.  Поком, шт</t>
  </si>
  <si>
    <t>459 Сосиски Сочинки ТМ Стародворье с сочной грудиной в оболочке полиамид в мо  0,3 кг.  Поком , шт</t>
  </si>
  <si>
    <t>256  Сосиски Молочные для завтрака, п/а МГС, ВЕС, ТМ Стародворье ПОКОМ, кг</t>
  </si>
  <si>
    <t>080  Колбаса Сервелат Филейбургский, в/у 0,35 кг срез, БАВАРУШКА ПОКОМ, шт</t>
  </si>
  <si>
    <t>102 Сосиски Ганноверские, амилюкс МГС, 0.6кг, ТМ Стародворье</t>
  </si>
  <si>
    <t>Ветчина Дугушка ТМ Стародворье ТС Дугушка в полиамидной оболочке 0,6 кг. ПОКОМ</t>
  </si>
  <si>
    <t>Колбаса Мясорубская 0,28 кг ТМ Стародворье в оболочке черева  ПОКОМ</t>
  </si>
  <si>
    <t>Колбаса варенокопченая из мяса птицы Сервелат Царедворский, 0,28 кг срез ПОКОМ</t>
  </si>
  <si>
    <t>Сосиски Царедворские 0,33 кг ТМ Стародворье  ПОКОМ</t>
  </si>
  <si>
    <t>Сосиски Царедворские по-баварски ТМ Стародворье, 0,33 кг ПОКОМ</t>
  </si>
  <si>
    <t>Колбаса Филейбургская ТМ Баварушка с филе сочного окорока в оболочке черева 0,11 кг.  Поком, шт</t>
  </si>
  <si>
    <t>Колбаса Филейбургская с ароматными пряностями 0,06 кг нарезка ТМ Баварушка  ПОКОМ</t>
  </si>
  <si>
    <t>Колбаса Стародворская с окороком в оболочке полиамид ТМ Стародворье ВЕС ПОКОМ</t>
  </si>
  <si>
    <t>Колбаса Стародворская со шпиком  в оболочке полиамид. ТМ Стародворье ВЕС ПОКОМ</t>
  </si>
  <si>
    <t>Колбаса Молочная стародворская с молоком, ВЕС, ТМ Стародворье  ПОКОМ</t>
  </si>
  <si>
    <t xml:space="preserve"> ВЫВЕДЕНА!310  Шпикачки "Шпикачки Филейбургские" ВЕС ТМ Баварушка  ПОКОМ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</si>
  <si>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</si>
  <si>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</si>
  <si>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</si>
  <si>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</si>
  <si>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</si>
  <si>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</si>
  <si>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</si>
  <si>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</si>
  <si>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</si>
  <si>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</si>
  <si>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</si>
  <si>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</si>
  <si>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</si>
  <si>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</si>
  <si>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</si>
  <si>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</si>
  <si>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</si>
  <si>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</si>
  <si>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</si>
  <si>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</si>
  <si>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</si>
  <si>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</si>
  <si>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</si>
  <si>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</si>
  <si>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</si>
  <si>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</si>
  <si>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</si>
  <si>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</si>
  <si>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</si>
  <si>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</si>
  <si>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</si>
  <si>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</si>
  <si>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</si>
  <si>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</si>
  <si>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</si>
  <si>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</si>
  <si>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</si>
  <si>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</si>
  <si>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</si>
  <si>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</si>
  <si>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</si>
  <si>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</si>
  <si>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</si>
  <si>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</si>
  <si>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</si>
  <si>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</si>
  <si>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</si>
  <si>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</si>
  <si>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</si>
  <si>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</si>
  <si>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</si>
  <si>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</si>
  <si>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</si>
  <si>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</si>
  <si>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</si>
  <si>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</si>
  <si>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</si>
  <si>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</si>
  <si>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</si>
  <si>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</si>
  <si>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</si>
  <si>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</si>
  <si>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</si>
  <si>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</si>
  <si>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</si>
  <si>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</si>
  <si>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</si>
  <si>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</si>
  <si>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</si>
  <si>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</si>
  <si>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</si>
  <si>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</si>
  <si>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</si>
  <si>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</si>
  <si>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</si>
  <si>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</si>
  <si>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</si>
  <si>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</si>
  <si>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</si>
  <si>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</si>
  <si>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</si>
  <si>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</si>
  <si>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</si>
  <si>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</si>
  <si>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</si>
  <si>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</si>
  <si>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</si>
  <si>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</si>
  <si>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</si>
  <si>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</si>
  <si>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</si>
  <si>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</si>
  <si>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</si>
  <si>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</si>
  <si>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</si>
  <si>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</si>
  <si>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</si>
  <si>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</si>
  <si>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</si>
  <si>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</si>
  <si>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</si>
  <si>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</si>
  <si>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</si>
  <si>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</si>
  <si>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</si>
  <si>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</si>
  <si>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</si>
  <si>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</si>
  <si>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</si>
  <si>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</si>
  <si>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</si>
  <si>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</si>
  <si>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</si>
  <si>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</si>
  <si>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</si>
  <si>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</si>
  <si>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</si>
  <si>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</si>
  <si>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</si>
  <si>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</si>
  <si>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</si>
  <si>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</si>
  <si>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</si>
  <si>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</si>
  <si>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</si>
  <si>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</si>
  <si>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</si>
  <si>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</si>
  <si>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</si>
  <si>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</si>
  <si>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</si>
  <si>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</si>
  <si>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</si>
  <si>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</si>
  <si>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</si>
  <si>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</si>
  <si>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</si>
  <si>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</si>
  <si>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</si>
  <si>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Молочная ТС Дугушка в оболочке диплекс УВС.ГОСТ ВЕС ПОКОМ</t>
  </si>
  <si>
    <r>
      <t xml:space="preserve">Колбаса Вязанка с индейкой, вектор ВЕС, ПОКОМ  </t>
    </r>
    <r>
      <rPr>
        <b/>
        <sz val="20"/>
        <rFont val="Calibri"/>
        <family val="2"/>
        <scheme val="minor"/>
      </rPr>
      <t>ВЫВЕЛИ!!!!</t>
    </r>
  </si>
  <si>
    <t>Колбаса Любительская ТМ Вязанка в оболочке полиамид.ВЕС ПОКОМ</t>
  </si>
  <si>
    <t>Колбаса Докторская ГОСТ ТМ Вязанка в оболочке полиамид 0,37 кг. ПОКОМ</t>
  </si>
  <si>
    <t>Колбаса Филедворская 0,4 кг. ТМ Стародворье  ПОКОМ</t>
  </si>
  <si>
    <t>Колбаса Молочная Стародворская  с молоком в оболочке полиамид 0,4 кг.ТМ Стародворье ПОКОМ</t>
  </si>
  <si>
    <t>Сосиски Сочинки ТМ Стародворье с сочной грудиной в оболочке полиамид в мо  0,3 кг.  Поком</t>
  </si>
  <si>
    <t>Сосиски Сочинки по-баварски с сыром ТМ Стародворье  0,84 кг ПОКОМ</t>
  </si>
  <si>
    <t>Сосиски Сочинки с сыром ТМ Стародворье, 0,3 кг. ПОКОМ</t>
  </si>
  <si>
    <t>Колбаса Филедворская ТМ Стародворье в оболочке полиамид. ВЕС ПОКОМ</t>
  </si>
  <si>
    <t>Колбаса Стародворская с окороком 0,4 кг. ТМ Стародворье в оболочке полиамид  ПОКОМ</t>
  </si>
  <si>
    <t>Сардельки Дугушки ТМ Стародворье. ВЕС ПОКОМ</t>
  </si>
  <si>
    <t>Сардельки Сочинки ТМ Стародворье в оболочке черева ВЕС ПОКОМ</t>
  </si>
  <si>
    <t xml:space="preserve"> Колбаса Филедворская с молоком ТМ Стародворье в оболочке полиамид. ВЕС ПОКОМ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</si>
  <si>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</si>
  <si>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</si>
  <si>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Докторская Филейная ТМ Особый рецепт, большой батон. Вес. Восх. Звезда</t>
  </si>
  <si>
    <t>Шпикачки Сочинки в оболочке черева в модифицированной газовой среде.ТМ Стародворье ВЕС ПОКОМ</t>
  </si>
  <si>
    <t>Колбаса Филейная ТМ Особый рецепт ВЕС большой батон  ПОКОМ</t>
  </si>
  <si>
    <t>Колбаса Молочная с нежным филе ТМ Особый рецепт в оболочке полиамид 0,4 кг. ПОКОМ</t>
  </si>
  <si>
    <t>Колбаса Стародворская Традиционная ВЕС ТМ Стародворье в оболочке полиамид. ПОКОМ</t>
  </si>
  <si>
    <t>Колбаса Филедворская, ВЕС оболочке натурин в в,у. ТМ Стародворье ПОКОМ</t>
  </si>
  <si>
    <t>Докторская Стародворская</t>
  </si>
  <si>
    <t>Колбаса Докторская Филейная 0,5кг ТМ Особый рецепт  ПОКОМ</t>
  </si>
  <si>
    <t>Колбаса Молочная Традиционнаяв оболочке полиамид.ТМ Стародворье. ВЕС ПОКОМ</t>
  </si>
  <si>
    <t>Молоч стародвор</t>
  </si>
  <si>
    <t>Колбаса Стародворская Традиционная со шпиком оболочке полиамид ТМ Стародворье.</t>
  </si>
  <si>
    <t>Русс стародв</t>
  </si>
  <si>
    <t>Доктор по-стародв</t>
  </si>
  <si>
    <t>Колбаса Филейная оригинальная ТМ Особый рецепт в оболочке полиамид. ВЕС. ПОКОМ</t>
  </si>
  <si>
    <t>Сосиски Ганноверские в оболочке амицел в модиф. газовой среде 0,5 кг ТМ Стародворье. ПОКОМ</t>
  </si>
  <si>
    <t>Колбаса Филедворская по-стародворски ТМ Стародворье в оболочке полиамид. ПОКОМ</t>
  </si>
  <si>
    <t>Докторская по-ст</t>
  </si>
  <si>
    <t>Колбаса Стародворская Традиционная ТМ Стародворье в оболочке полиамид 0,4 кг. ПОКОМ</t>
  </si>
  <si>
    <t>Колбаса Филедворская со шпиком по-стародворски ТМ Стародворье в оболочке полиамид. ПОКОМ</t>
  </si>
  <si>
    <t>Докторская стародв</t>
  </si>
  <si>
    <t>Русска по-старод</t>
  </si>
  <si>
    <t>Сосиски Венские ТМ Стародворье в оболочке полиамид в м.г среде 0,6 кг. ПОКОМ</t>
  </si>
  <si>
    <t>Колбаса Филейная оригинальная ТМ Особый рецепт в оболочке полиамид 0,4 кг. ПОКОМ</t>
  </si>
  <si>
    <t xml:space="preserve">Докторская оригинальная Особая </t>
  </si>
  <si>
    <t>Колбаса Филейная оригинальная ТМ Особый рецепт в оболочке полиамид большой батон.ВЕС. ПОКОМ</t>
  </si>
  <si>
    <t>Молочная старод</t>
  </si>
  <si>
    <t xml:space="preserve">1578
</t>
  </si>
  <si>
    <t>Колбаса Молочная по-стародворски ТМ Стародворье в оболочке полиамид 0,4 кг. ПОКОМ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</si>
  <si>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</si>
  <si>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</si>
  <si>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Филейная 0,5кг ТМ Особый рецепт  ПОКОМ</t>
  </si>
  <si>
    <t>Колбаса Молочная по-стародворски ТМ Стародворье в оболочке полиамид. ВЕС ПОКОМ</t>
  </si>
  <si>
    <t>Колбаса Со шпиком ТМ Особый рецепт в оболочке полиамид 0,5 кг. ПОКОМ</t>
  </si>
  <si>
    <t>Колбаса Молочная ТМ Особый рецепт ВЕС большой батон  ПОКОМ</t>
  </si>
  <si>
    <t>Колбаса Сервелат Пражский ТМ Зареченские,  0,28 кг срез. ПОКОМ</t>
  </si>
  <si>
    <t>Колбаса Сервелат Рижский ТМ Зареченские ТС Зареченские продукты, 0,28 кг срез ПОКОМ</t>
  </si>
  <si>
    <t xml:space="preserve"> Колбаса Нежная со шпиком.ТС Зареченские продукты в оболочке полиамид ВЕС ПОКОМ</t>
  </si>
  <si>
    <t>Колбаса Балыкбургская с мраморным балыком 0,11 кг ТМ Баварушка  ПОКОМ</t>
  </si>
  <si>
    <t>Колбаса Филейбургская зернистая 0,06 кг нарезка ТМ Баварушка  ПОКОМ</t>
  </si>
  <si>
    <t>Колбаса Докторская Дугушка 0,6кг НЕГОСТ ТМ Стародворье  ПОКОМ , шт</t>
  </si>
  <si>
    <t>Паштет печеночный с морковью ТМ Стародворье ламистер 0,1 кг.  ПОКОМ</t>
  </si>
  <si>
    <t>Мини-салями со вкусом бекона,  0.05кг, ядрена копоть   ПОКОМ</t>
  </si>
  <si>
    <t>Колбаса Филейская со шпиком ТМ Вязанка в оболочке полиамид.ПОКОМ</t>
  </si>
  <si>
    <t>Сосиски Сливушки по-венски ТМ Вязанка. 0,3 кг ПОКОМ</t>
  </si>
  <si>
    <t>Сосиски Сливушки по-венски ВЕС ТМ Вязанка  ПОКОМ</t>
  </si>
  <si>
    <t>Сосиски Филейские рубленые ТМ Вязанка в оболочке целлофан в м/г среде. ВЕС.ПОКОМ</t>
  </si>
  <si>
    <t>Ветчина Нежная ВЕС ТМ Зареченские  ПОКОМ</t>
  </si>
  <si>
    <t>Колбаса Филейская со шпиком ТМ Вязанка 0,35 кг ПОКОМ</t>
  </si>
  <si>
    <t>Сосиски Филейские ТМ Вязанка ВЕС ПОКОМ</t>
  </si>
  <si>
    <t>Сосиски Филейские по-ганноверски ТМ Вязанка.в оболочке амицел в м.г.с ВЕС. ПОКОМ</t>
  </si>
  <si>
    <t>Колбаса вареная Молокуша ТМ Вязанка 0,4 кг ПОКОМ</t>
  </si>
  <si>
    <t>Колбаса Сочинка по-европейски с сочной грудинкой 0,3кг ТМ Стародворье  ПОКОМ</t>
  </si>
  <si>
    <t>Колбаса Сочинка зернистая с сочной грудинкой 0,3кг ТМ Стародворье  ПОКОМ</t>
  </si>
  <si>
    <t>Колбаса Филейская Рубленая ТМ Вязанка ВЕС  ПОКОМ</t>
  </si>
  <si>
    <t>Сардельки Сливушки с сыром #Минидельки ТМ Вязанка в оболочке амицел 0,33 кг ПОКОМ</t>
  </si>
  <si>
    <t>Колбаса Рубленая Запеченная 0,4 кг. ТМ Стародворье ТС Дугушка  ПОКОМ</t>
  </si>
  <si>
    <t>Докторская по-старод</t>
  </si>
  <si>
    <t>Колбаса Пряная Халяль ВЕС ТМ Сафияль  ПОКОМ</t>
  </si>
  <si>
    <t>Шпикачки Бюргерсы ТМ Баварушка с натуральным шпиком 0,27кг  ПОКОМ</t>
  </si>
  <si>
    <t>Колбаса Докторская Дугушка 0,6кг ГОСТ ТМ Стародворье  ПОКОМ</t>
  </si>
  <si>
    <t>Сосиски Филейские Рубленые 0,3кг ТМ Вязанка  ПОКОМ</t>
  </si>
  <si>
    <t>Колбаса Филейская Рубленая ТМ Вязанка  0,3 кг. срез.  ПОКОМ</t>
  </si>
  <si>
    <r>
      <t xml:space="preserve">Колб. Молоч. стародворская, Вязанка вектор, ВЕС. ПОКОМ </t>
    </r>
    <r>
      <rPr>
        <b/>
        <sz val="18"/>
        <rFont val="Calibri"/>
        <family val="2"/>
        <charset val="204"/>
        <scheme val="minor"/>
      </rPr>
      <t>ВЫВЕДЕНА!!</t>
    </r>
  </si>
  <si>
    <t xml:space="preserve"> ВЫВЕДЕНА!!!300  Колбаса Сервелат Мясорубский ТМ Стародворье, в/у 0,35кг  ПОКОМ</t>
  </si>
  <si>
    <t>Колбаски Краковюрст ТМ Баварушка с изысканными пряностями в оболочке NDX в мгс 0,28 кг. ПОКОМ</t>
  </si>
  <si>
    <t>Колбаса Сервелат Кремлевский в вакуумной упаковке ТМ Стародворье.ВЕС  ПОКОМ</t>
  </si>
  <si>
    <t>Колбаса Сервелат Филейский ТМ Вязанка  0,3 кг. срез  ПОКОМ</t>
  </si>
  <si>
    <t>Сосиски Молочные ТМ Вязанка в оболочке целлофан в модифицированной газовой среде 0,3 кг  ПОКОМ</t>
  </si>
  <si>
    <t>Колбаса Классическая ТМ Вязанка в оболочке полиамид 0,6 кг  ПОКОМ</t>
  </si>
  <si>
    <t>Колбаса Салями Филейская 0,3кг ТМ Вязанка  ПОКОМ</t>
  </si>
  <si>
    <t>Колбаса Сочинка рубленая с сочным окороком 0,3кг ТМ Стародворье  ПОКОМ</t>
  </si>
  <si>
    <t>Колбаса Сочинка по-фински с сочным окроком 0,3кг ТМ Стародворье  ПОКОМ</t>
  </si>
  <si>
    <t>Сосиски Филейские по-ганноверски 0,42кг ТМ Вязанка  ПОКОМ</t>
  </si>
  <si>
    <t>Ветчина Сливушка с индейкой ТМ Вязанка  0,3 кг. ПОКОМ</t>
  </si>
  <si>
    <t>Ветчина Мясорубская с окороком 0,33кг срез ТМ Стародворье  ПОКОМ</t>
  </si>
  <si>
    <t>Колбаса Сервелат Мясорубский Делюкс 0,3кг ТМ Стародворье  ПОКОМ</t>
  </si>
  <si>
    <t>Ветчина Стародворская ТМ Стародворье брикет 0,33 кг.  ПОКОМ</t>
  </si>
  <si>
    <t>Колбаса Сервелат Стародворский ТМ Стародворье в оболочке фиброуз в вак.упаковке 0,28 кг ПОКОМ</t>
  </si>
  <si>
    <t>Ветчина Балыкбургская ТМ Баварушка в оболочке айцел в вакуумной упаковке 0,35 кг срез.  ПОКОМ</t>
  </si>
  <si>
    <t>Колбаса Русская ТМ Стародворье ТС Дугушка в оболочке диплекс УВС. ВЕС  ПОКОМ</t>
  </si>
  <si>
    <t>Колбаса Докторская ТМ Стародворье ТС Дугушка в оболочке полиамид 0,4 кг  ПОКОМ</t>
  </si>
  <si>
    <t>Сосиски Молочные Дугушка, ВЕС.   ПОКОМ</t>
  </si>
  <si>
    <t>Колбаски Бюргерсы с сыром 0,27кг ТМ Баварушка  ПОКОМ</t>
  </si>
  <si>
    <t>Сардельки Филейские Вязанка ТМ Вязанка в оболочке NDX  0,4 кг. ПОКОМ</t>
  </si>
  <si>
    <t>Колбаса Сливушка ТМ Вязанка в оболочке полиамид 0,75 кг  ПОКОМ</t>
  </si>
  <si>
    <t>Колбаса Сервелат Филейбургский с копченой грудинкой, 0,28 кг срез ТМ Баварушка ПОКОМ</t>
  </si>
  <si>
    <t>Сосиски Молочные Дугушки ТМ Стародворье ТС Дугушка в оболочке амицел 0,3 кг  ПОКОМ</t>
  </si>
  <si>
    <t>Сардельки Зареченские ВЕС ТМ Зареченские  ПОКОМ</t>
  </si>
  <si>
    <t xml:space="preserve"> Колбаса в/к Сервелат Пражский,  0.35 кг,ПОКОМ, шт</t>
  </si>
  <si>
    <t>Колбаса в/к Сервелат Рижский,  0,35 кг, ПОКОМ, шт</t>
  </si>
  <si>
    <t xml:space="preserve"> 365  Колбаса Салями Филейбургская зернистая, 0,28 кг срез ТМ Баварушка ПОКОМ</t>
  </si>
  <si>
    <t xml:space="preserve"> 545  Колбаса Дугушка со шпиком 0,6 кг ТМ Стародворье ТС Дугушка  ПОКОМ</t>
  </si>
  <si>
    <t xml:space="preserve"> 543  Колбаса Рубленая ТС Ядрена копоть 0,19 кг срез  ПОКОМ</t>
  </si>
  <si>
    <t xml:space="preserve"> 544  Сосиски Мясные для гриля ТС Ядрена копоть 0,3 кг  ПОКОМ</t>
  </si>
  <si>
    <t xml:space="preserve"> 451 Сосиски Филейские ТМ Вязанка в оболочке целлофан 0,3 кг. ПОКОМ</t>
  </si>
  <si>
    <t xml:space="preserve"> 100  Сосиски Баварушки, 0.6кг, БАВАРУШКА ПОКОМ, шт (с маслом)</t>
  </si>
  <si>
    <t xml:space="preserve"> 530  Окорок Хамон выдержанный нарезка 0,055кг ТМ Стародворье  ПОКОМ</t>
  </si>
  <si>
    <t>530</t>
  </si>
  <si>
    <t xml:space="preserve"> 519  Грудинка 0,12 кг нарезка ТМ Стародворье  ПОКОМ</t>
  </si>
  <si>
    <t>519</t>
  </si>
  <si>
    <t>Заказ Пензы 25.11.25.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</si>
</sst>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64"/>
      </bottom>
      <diagonal/>
    </border>
  </borders>
  <cellStyleXfs count="1955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7" fillId="0" borderId="0"/>
  </cellStyleXfs>
  <cellXfs count="79"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32" xfId="0" applyNumberFormat="1" applyFont="1" applyFill="1" applyBorder="1" applyAlignment="1">
      <alignment horizontal="right" vertical="top"/>
    </xf>
    <xf numFmtId="2" fontId="45" fillId="27" borderId="32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49" fontId="32" fillId="32" borderId="23" xfId="0" applyNumberFormat="1" applyFont="1" applyFill="1" applyBorder="1" applyAlignment="1">
      <alignment horizontal="center" vertical="center"/>
    </xf>
    <xf numFmtId="49" fontId="32" fillId="32" borderId="25" xfId="0" applyNumberFormat="1" applyFont="1" applyFill="1" applyBorder="1" applyAlignment="1">
      <alignment horizontal="center" vertical="center"/>
    </xf>
    <xf numFmtId="168" fontId="36" fillId="25" borderId="27" xfId="0" applyNumberFormat="1" applyFont="1" applyFill="1" applyBorder="1" applyAlignment="1">
      <alignment horizontal="center" vertical="center"/>
    </xf>
    <xf numFmtId="168" fontId="36" fillId="25" borderId="28" xfId="0" applyNumberFormat="1" applyFont="1" applyFill="1" applyBorder="1" applyAlignment="1">
      <alignment horizontal="center" vertical="center"/>
    </xf>
    <xf numFmtId="168" fontId="42" fillId="26" borderId="11" xfId="0" applyNumberFormat="1" applyFont="1" applyFill="1" applyBorder="1" applyAlignment="1">
      <alignment horizontal="center" vertical="center"/>
    </xf>
    <xf numFmtId="168" fontId="36" fillId="25" borderId="31" xfId="0" applyNumberFormat="1" applyFont="1" applyFill="1" applyBorder="1" applyAlignment="1">
      <alignment horizontal="center" vertical="center"/>
    </xf>
    <xf numFmtId="49" fontId="32" fillId="32" borderId="37" xfId="0" applyNumberFormat="1" applyFont="1" applyFill="1" applyBorder="1" applyAlignment="1">
      <alignment horizontal="center" vertical="center"/>
    </xf>
    <xf numFmtId="0" fontId="34" fillId="33" borderId="24" xfId="1954" applyNumberFormat="1" applyFont="1" applyFill="1" applyBorder="1" applyAlignment="1">
      <alignment horizontal="center" vertical="center" wrapText="1"/>
    </xf>
    <xf numFmtId="0" fontId="35" fillId="30" borderId="12" xfId="1954" applyNumberFormat="1" applyFont="1" applyFill="1" applyBorder="1" applyAlignment="1">
      <alignment horizontal="right" vertical="center" wrapText="1"/>
    </xf>
    <xf numFmtId="168" fontId="43" fillId="30" borderId="10" xfId="0" applyNumberFormat="1" applyFont="1" applyFill="1" applyBorder="1" applyAlignment="1">
      <alignment horizontal="center" vertical="center"/>
    </xf>
    <xf numFmtId="0" fontId="33" fillId="29" borderId="10" xfId="0" applyNumberFormat="1" applyFont="1" applyFill="1" applyBorder="1" applyAlignment="1">
      <alignment horizontal="center" vertical="center" wrapText="1"/>
    </xf>
    <xf numFmtId="0" fontId="47" fillId="0" borderId="29" xfId="1952" applyFont="1" applyFill="1" applyBorder="1" applyAlignment="1">
      <alignment horizontal="left" vertical="top" wrapText="1"/>
    </xf>
    <xf numFmtId="0" fontId="47" fillId="35" borderId="29" xfId="1952" applyFont="1" applyFill="1" applyBorder="1" applyAlignment="1">
      <alignment horizontal="left" vertical="top" wrapText="1"/>
    </xf>
    <xf numFmtId="0" fontId="47" fillId="34" borderId="29" xfId="1952" applyFont="1" applyFill="1" applyBorder="1" applyAlignment="1">
      <alignment horizontal="left" vertical="top" wrapText="1"/>
    </xf>
    <xf numFmtId="0" fontId="47" fillId="0" borderId="38" xfId="1952" applyFont="1" applyFill="1" applyBorder="1" applyAlignment="1">
      <alignment horizontal="left" vertical="top" wrapText="1"/>
    </xf>
    <xf numFmtId="0" fontId="47" fillId="34" borderId="38" xfId="1952" applyFont="1" applyFill="1" applyBorder="1" applyAlignment="1">
      <alignment horizontal="left" vertical="top" wrapText="1"/>
    </xf>
    <xf numFmtId="0" fontId="47" fillId="35" borderId="38" xfId="1952" applyFont="1" applyFill="1" applyBorder="1" applyAlignment="1">
      <alignment horizontal="left" vertical="top" wrapText="1"/>
    </xf>
    <xf numFmtId="0" fontId="47" fillId="28" borderId="38" xfId="1952" applyFont="1" applyFill="1" applyBorder="1" applyAlignment="1">
      <alignment horizontal="left" vertical="top" wrapText="1"/>
    </xf>
    <xf numFmtId="0" fontId="47" fillId="0" borderId="38" xfId="0" applyFont="1" applyFill="1" applyBorder="1" applyAlignment="1">
      <alignment vertical="top" wrapText="1"/>
    </xf>
    <xf numFmtId="0" fontId="47" fillId="0" borderId="38" xfId="1952" applyNumberFormat="1" applyFont="1" applyFill="1" applyBorder="1" applyAlignment="1">
      <alignment horizontal="left" vertical="top" wrapText="1"/>
    </xf>
    <xf numFmtId="0" fontId="47" fillId="0" borderId="38" xfId="0" applyFont="1" applyFill="1" applyBorder="1" applyAlignment="1">
      <alignment horizontal="left" vertical="top"/>
    </xf>
    <xf numFmtId="0" fontId="47" fillId="35" borderId="38" xfId="1952" applyNumberFormat="1" applyFont="1" applyFill="1" applyBorder="1" applyAlignment="1">
      <alignment horizontal="left" vertical="top" wrapText="1"/>
    </xf>
    <xf numFmtId="0" fontId="47" fillId="28" borderId="38" xfId="1952" applyNumberFormat="1" applyFont="1" applyFill="1" applyBorder="1" applyAlignment="1">
      <alignment horizontal="left" vertical="top" wrapText="1"/>
    </xf>
    <xf numFmtId="4" fontId="47" fillId="0" borderId="38" xfId="0" applyNumberFormat="1" applyFont="1" applyFill="1" applyBorder="1" applyAlignment="1">
      <alignment horizontal="left" vertical="top"/>
    </xf>
    <xf numFmtId="0" fontId="47" fillId="0" borderId="39" xfId="0" applyFont="1" applyFill="1" applyBorder="1" applyAlignment="1">
      <alignment vertical="top" wrapText="1"/>
    </xf>
    <xf numFmtId="0" fontId="32" fillId="24" borderId="40" xfId="1952" applyNumberFormat="1" applyFont="1" applyFill="1" applyBorder="1" applyAlignment="1">
      <alignment horizontal="left" vertical="top" wrapText="1"/>
    </xf>
    <xf numFmtId="4" fontId="48" fillId="0" borderId="22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center" vertical="center"/>
    </xf>
    <xf numFmtId="4" fontId="48" fillId="0" borderId="19" xfId="1952" applyNumberFormat="1" applyFont="1" applyFill="1" applyBorder="1" applyAlignment="1">
      <alignment horizontal="center" vertical="center"/>
    </xf>
    <xf numFmtId="4" fontId="49" fillId="0" borderId="16" xfId="1952" applyNumberFormat="1" applyFont="1" applyFill="1" applyBorder="1" applyAlignment="1">
      <alignment horizontal="center" vertical="center"/>
    </xf>
    <xf numFmtId="4" fontId="48" fillId="0" borderId="21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left" vertical="center" wrapText="1"/>
    </xf>
    <xf numFmtId="4" fontId="48" fillId="0" borderId="17" xfId="1952" applyNumberFormat="1" applyFont="1" applyFill="1" applyBorder="1" applyAlignment="1">
      <alignment horizontal="center" vertical="center"/>
    </xf>
    <xf numFmtId="4" fontId="48" fillId="0" borderId="20" xfId="1952" applyNumberFormat="1" applyFont="1" applyFill="1" applyBorder="1" applyAlignment="1">
      <alignment horizontal="center" vertical="center"/>
    </xf>
    <xf numFmtId="4" fontId="47" fillId="0" borderId="0" xfId="0" applyNumberFormat="1" applyFont="1" applyFill="1" applyBorder="1" applyAlignment="1">
      <alignment horizontal="center" vertical="top"/>
    </xf>
    <xf numFmtId="4" fontId="37" fillId="24" borderId="0" xfId="1952" applyNumberFormat="1" applyFont="1" applyFill="1" applyBorder="1" applyAlignment="1">
      <alignment horizontal="center" vertical="center"/>
    </xf>
    <xf numFmtId="0" fontId="32" fillId="32" borderId="30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 wrapText="1"/>
    </xf>
    <xf numFmtId="0" fontId="32" fillId="32" borderId="14" xfId="1953" applyNumberFormat="1" applyFont="1" applyFill="1" applyBorder="1" applyAlignment="1">
      <alignment horizontal="center" vertical="center"/>
    </xf>
    <xf numFmtId="0" fontId="32" fillId="32" borderId="23" xfId="0" applyNumberFormat="1" applyFont="1" applyFill="1" applyBorder="1" applyAlignment="1">
      <alignment horizontal="center" vertical="center"/>
    </xf>
    <xf numFmtId="0" fontId="32" fillId="32" borderId="18" xfId="0" applyNumberFormat="1" applyFont="1" applyFill="1" applyBorder="1" applyAlignment="1">
      <alignment horizontal="center" vertical="center"/>
    </xf>
    <xf numFmtId="0" fontId="32" fillId="32" borderId="15" xfId="0" applyNumberFormat="1" applyFont="1" applyFill="1" applyBorder="1" applyAlignment="1">
      <alignment horizontal="center" vertical="center"/>
    </xf>
    <xf numFmtId="0" fontId="32" fillId="32" borderId="26" xfId="0" applyNumberFormat="1" applyFont="1" applyFill="1" applyBorder="1" applyAlignment="1">
      <alignment horizontal="center" vertical="center"/>
    </xf>
    <xf numFmtId="0" fontId="32" fillId="32" borderId="25" xfId="0" applyNumberFormat="1" applyFont="1" applyFill="1" applyBorder="1" applyAlignment="1">
      <alignment horizontal="center" vertical="center"/>
    </xf>
    <xf numFmtId="0" fontId="34" fillId="33" borderId="35" xfId="1954" applyNumberFormat="1" applyFont="1" applyFill="1" applyBorder="1" applyAlignment="1">
      <alignment horizontal="center" vertical="center" wrapText="1"/>
    </xf>
    <xf numFmtId="0" fontId="34" fillId="33" borderId="33" xfId="1954" applyNumberFormat="1" applyFont="1" applyFill="1" applyBorder="1" applyAlignment="1">
      <alignment horizontal="center" vertical="center" wrapText="1"/>
    </xf>
    <xf numFmtId="0" fontId="34" fillId="33" borderId="33" xfId="1954" applyFont="1" applyFill="1" applyBorder="1" applyAlignment="1">
      <alignment horizontal="center" vertical="center" wrapText="1"/>
    </xf>
    <xf numFmtId="0" fontId="34" fillId="27" borderId="33" xfId="1954" applyNumberFormat="1" applyFont="1" applyFill="1" applyBorder="1" applyAlignment="1">
      <alignment horizontal="center" vertical="center" wrapText="1"/>
    </xf>
    <xf numFmtId="168" fontId="42" fillId="26" borderId="29" xfId="0" applyNumberFormat="1" applyFont="1" applyFill="1" applyBorder="1" applyAlignment="1">
      <alignment horizontal="center" vertical="center"/>
    </xf>
    <xf numFmtId="2" fontId="41" fillId="29" borderId="13" xfId="0" applyNumberFormat="1" applyFont="1" applyFill="1" applyBorder="1" applyAlignment="1">
      <alignment horizontal="center" vertical="center" wrapText="1"/>
    </xf>
    <xf numFmtId="0" fontId="35" fillId="30" borderId="34" xfId="1954" applyNumberFormat="1" applyFont="1" applyFill="1" applyBorder="1" applyAlignment="1">
      <alignment horizontal="right" vertical="center" wrapText="1"/>
    </xf>
    <xf numFmtId="0" fontId="35" fillId="30" borderId="13" xfId="1954" applyNumberFormat="1" applyFont="1" applyFill="1" applyBorder="1" applyAlignment="1">
      <alignment horizontal="right" vertical="center" wrapText="1"/>
    </xf>
    <xf numFmtId="0" fontId="47" fillId="0" borderId="41" xfId="0" applyFont="1" applyFill="1" applyBorder="1" applyAlignment="1">
      <alignment vertical="top" wrapText="1"/>
    </xf>
    <xf numFmtId="49" fontId="32" fillId="32" borderId="26" xfId="0" applyNumberFormat="1" applyFont="1" applyFill="1" applyBorder="1" applyAlignment="1">
      <alignment horizontal="center" vertical="center"/>
    </xf>
    <xf numFmtId="0" fontId="34" fillId="33" borderId="36" xfId="1954" applyNumberFormat="1" applyFont="1" applyFill="1" applyBorder="1" applyAlignment="1">
      <alignment horizontal="center" vertical="center" wrapText="1"/>
    </xf>
    <xf numFmtId="168" fontId="36" fillId="25" borderId="42" xfId="0" applyNumberFormat="1" applyFont="1" applyFill="1" applyBorder="1" applyAlignment="1">
      <alignment horizontal="center" vertical="center"/>
    </xf>
    <xf numFmtId="168" fontId="39" fillId="30" borderId="10" xfId="0" applyNumberFormat="1" applyFont="1" applyFill="1" applyBorder="1" applyAlignment="1">
      <alignment horizontal="center" vertical="center"/>
    </xf>
    <xf numFmtId="0" fontId="47" fillId="0" borderId="43" xfId="0" applyFont="1" applyFill="1" applyBorder="1" applyAlignment="1">
      <alignment vertical="top" wrapText="1"/>
    </xf>
    <xf numFmtId="0" fontId="33" fillId="0" borderId="0" xfId="0" applyFont="1" applyAlignment="1">
      <alignment horizontal="center" vertical="center" wrapText="1"/>
    </xf>
  </cellXfs>
  <cellStyles count="1955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4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" xfId="1953" builtinId="3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8"/>
    </tableStyle>
    <tableStyle name="Стиль сводной таблицы 2" table="0" count="1" xr9:uid="{00000000-0011-0000-FFFF-FFFF01000000}">
      <tableStyleElement type="thirdSubtotalColumn" dxfId="7"/>
    </tableStyle>
    <tableStyle name="Стиль сводной таблицы 3" table="0" count="1" xr9:uid="{00000000-0011-0000-FFFF-FFFF02000000}">
      <tableStyleElement type="thirdColumnSubheading" dxfId="6"/>
    </tableStyle>
  </tableStyles>
  <colors>
    <mruColors>
      <color rgb="FFB8FEF7"/>
      <color rgb="FFFFCC99"/>
      <color rgb="FFE8D49C"/>
      <color rgb="FFFF0066"/>
      <color rgb="FFC2A3FB"/>
      <color rgb="FFFFDF57"/>
      <color rgb="FFFEC0AC"/>
      <color rgb="FFAEE8FC"/>
      <color rgb="FFF3CEFE"/>
      <color rgb="FFD0F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395"/>
  <sheetViews>
    <sheetView tabSelected="1" zoomScale="70" zoomScaleNormal="70" workbookViewId="0">
      <pane ySplit="2" topLeftCell="A132" activePane="bottomLeft" state="frozen"/>
      <selection pane="bottomLeft" activeCell="P145" sqref="P145"/>
    </sheetView>
  </sheetViews>
  <sheetFormatPr defaultRowHeight="18.75" x14ac:dyDescent="0.25"/>
  <cols>
    <col min="1" max="1" width="14.28515625" customWidth="1"/>
    <col min="2" max="2" width="108.85546875" style="6" customWidth="1"/>
    <col min="3" max="3" width="10.42578125" style="4" customWidth="1"/>
    <col min="4" max="4" width="15.140625" style="7" customWidth="1"/>
    <col min="5" max="5" width="13" style="12" customWidth="1"/>
    <col min="6" max="6" width="21.5703125" style="3" customWidth="1"/>
    <col min="7" max="7" width="21.5703125" style="5" customWidth="1"/>
  </cols>
  <sheetData>
    <row r="1" spans="2:7" ht="21.75" thickBot="1" x14ac:dyDescent="0.3">
      <c r="B1" s="78" t="s">
        <v>557</v>
      </c>
    </row>
    <row r="2" spans="2:7" ht="69.75" customHeight="1" thickBot="1" x14ac:dyDescent="0.3">
      <c r="B2" s="13" t="s">
        <v>60</v>
      </c>
      <c r="C2" s="14"/>
      <c r="D2" s="15" t="s">
        <v>61</v>
      </c>
      <c r="E2" s="16" t="s">
        <v>152</v>
      </c>
      <c r="F2" s="28" t="s">
        <v>86</v>
      </c>
      <c r="G2" s="69" t="s">
        <v>83</v>
      </c>
    </row>
    <row r="3" spans="2:7" ht="27" hidden="1" customHeight="1" x14ac:dyDescent="0.3">
      <c r="B3" s="29" t="s">
        <v>56</v>
      </c>
      <c r="C3" s="44">
        <v>0.5</v>
      </c>
      <c r="D3" s="55">
        <v>60</v>
      </c>
      <c r="E3" s="64">
        <v>1800</v>
      </c>
      <c r="F3" s="23"/>
      <c r="G3" s="68">
        <f>F3*C3</f>
        <v>0</v>
      </c>
    </row>
    <row r="4" spans="2:7" ht="27" hidden="1" customHeight="1" x14ac:dyDescent="0.3">
      <c r="B4" s="29" t="s">
        <v>551</v>
      </c>
      <c r="C4" s="44">
        <v>0.3</v>
      </c>
      <c r="D4" s="55">
        <v>451</v>
      </c>
      <c r="E4" s="64">
        <v>2825</v>
      </c>
      <c r="F4" s="23"/>
      <c r="G4" s="68"/>
    </row>
    <row r="5" spans="2:7" ht="27" hidden="1" customHeight="1" x14ac:dyDescent="0.3">
      <c r="B5" s="29" t="s">
        <v>549</v>
      </c>
      <c r="C5" s="44">
        <v>0.19</v>
      </c>
      <c r="D5" s="55">
        <v>543</v>
      </c>
      <c r="E5" s="64">
        <v>3188</v>
      </c>
      <c r="F5" s="23"/>
      <c r="G5" s="68"/>
    </row>
    <row r="6" spans="2:7" ht="27" hidden="1" customHeight="1" x14ac:dyDescent="0.3">
      <c r="B6" s="29" t="s">
        <v>550</v>
      </c>
      <c r="C6" s="44">
        <v>0.3</v>
      </c>
      <c r="D6" s="55">
        <v>544</v>
      </c>
      <c r="E6" s="64">
        <v>4016</v>
      </c>
      <c r="F6" s="23"/>
      <c r="G6" s="68"/>
    </row>
    <row r="7" spans="2:7" ht="27" hidden="1" customHeight="1" x14ac:dyDescent="0.3">
      <c r="B7" s="29" t="s">
        <v>548</v>
      </c>
      <c r="C7" s="44">
        <v>0.6</v>
      </c>
      <c r="D7" s="55">
        <v>545</v>
      </c>
      <c r="E7" s="64">
        <v>2635</v>
      </c>
      <c r="F7" s="23"/>
      <c r="G7" s="68"/>
    </row>
    <row r="8" spans="2:7" ht="27" hidden="1" customHeight="1" x14ac:dyDescent="0.3">
      <c r="B8" s="29" t="s">
        <v>547</v>
      </c>
      <c r="C8" s="44">
        <v>0.28000000000000003</v>
      </c>
      <c r="D8" s="55">
        <v>365</v>
      </c>
      <c r="E8" s="64">
        <v>3083</v>
      </c>
      <c r="F8" s="23"/>
      <c r="G8" s="68"/>
    </row>
    <row r="9" spans="2:7" ht="27.75" hidden="1" customHeight="1" x14ac:dyDescent="0.3">
      <c r="B9" s="29" t="s">
        <v>546</v>
      </c>
      <c r="C9" s="44">
        <v>0.35</v>
      </c>
      <c r="D9" s="55">
        <v>52</v>
      </c>
      <c r="E9" s="64"/>
      <c r="F9" s="23"/>
      <c r="G9" s="68"/>
    </row>
    <row r="10" spans="2:7" ht="27.75" hidden="1" customHeight="1" x14ac:dyDescent="0.3">
      <c r="B10" s="29" t="s">
        <v>545</v>
      </c>
      <c r="C10" s="44">
        <v>0.35</v>
      </c>
      <c r="D10" s="55">
        <v>50</v>
      </c>
      <c r="E10" s="64"/>
      <c r="F10" s="23"/>
      <c r="G10" s="68"/>
    </row>
    <row r="11" spans="2:7" ht="27.75" hidden="1" customHeight="1" x14ac:dyDescent="0.3">
      <c r="B11" s="29" t="s">
        <v>544</v>
      </c>
      <c r="C11" s="44">
        <v>1</v>
      </c>
      <c r="D11" s="55">
        <v>478</v>
      </c>
      <c r="E11" s="64">
        <v>2970</v>
      </c>
      <c r="F11" s="23"/>
      <c r="G11" s="68"/>
    </row>
    <row r="12" spans="2:7" ht="27.75" hidden="1" customHeight="1" x14ac:dyDescent="0.3">
      <c r="B12" s="29" t="s">
        <v>543</v>
      </c>
      <c r="C12" s="44">
        <v>0.3</v>
      </c>
      <c r="D12" s="55">
        <v>542</v>
      </c>
      <c r="E12" s="64">
        <v>2146</v>
      </c>
      <c r="F12" s="23"/>
      <c r="G12" s="68"/>
    </row>
    <row r="13" spans="2:7" ht="27.75" hidden="1" customHeight="1" x14ac:dyDescent="0.3">
      <c r="B13" s="29" t="s">
        <v>542</v>
      </c>
      <c r="C13" s="44">
        <v>0.28000000000000003</v>
      </c>
      <c r="D13" s="55">
        <v>371</v>
      </c>
      <c r="E13" s="64">
        <v>3080</v>
      </c>
      <c r="F13" s="23"/>
      <c r="G13" s="68"/>
    </row>
    <row r="14" spans="2:7" ht="27.75" hidden="1" customHeight="1" x14ac:dyDescent="0.3">
      <c r="B14" s="29" t="s">
        <v>541</v>
      </c>
      <c r="C14" s="44">
        <v>0.75</v>
      </c>
      <c r="D14" s="55">
        <v>540</v>
      </c>
      <c r="E14" s="64">
        <v>2827</v>
      </c>
      <c r="F14" s="23"/>
      <c r="G14" s="68"/>
    </row>
    <row r="15" spans="2:7" ht="27.75" hidden="1" customHeight="1" x14ac:dyDescent="0.3">
      <c r="B15" s="29" t="s">
        <v>540</v>
      </c>
      <c r="C15" s="44">
        <v>0.4</v>
      </c>
      <c r="D15" s="55">
        <v>396</v>
      </c>
      <c r="E15" s="64">
        <v>2834</v>
      </c>
      <c r="F15" s="23"/>
      <c r="G15" s="68"/>
    </row>
    <row r="16" spans="2:7" ht="27.75" hidden="1" customHeight="1" x14ac:dyDescent="0.3">
      <c r="B16" s="29" t="s">
        <v>539</v>
      </c>
      <c r="C16" s="44">
        <v>0.27</v>
      </c>
      <c r="D16" s="55">
        <v>486</v>
      </c>
      <c r="E16" s="64">
        <v>3132</v>
      </c>
      <c r="F16" s="23"/>
      <c r="G16" s="68"/>
    </row>
    <row r="17" spans="2:7" ht="27.75" hidden="1" customHeight="1" x14ac:dyDescent="0.3">
      <c r="B17" s="29" t="s">
        <v>536</v>
      </c>
      <c r="C17" s="44">
        <v>1</v>
      </c>
      <c r="D17" s="55">
        <v>536</v>
      </c>
      <c r="E17" s="64">
        <v>2999</v>
      </c>
      <c r="F17" s="23"/>
      <c r="G17" s="68">
        <f>F17*C17</f>
        <v>0</v>
      </c>
    </row>
    <row r="18" spans="2:7" ht="27.75" hidden="1" customHeight="1" x14ac:dyDescent="0.3">
      <c r="B18" s="29" t="s">
        <v>537</v>
      </c>
      <c r="C18" s="44">
        <v>0.4</v>
      </c>
      <c r="D18" s="55">
        <v>537</v>
      </c>
      <c r="E18" s="64">
        <v>3847</v>
      </c>
      <c r="F18" s="23"/>
      <c r="G18" s="68">
        <f>F18*C18</f>
        <v>0</v>
      </c>
    </row>
    <row r="19" spans="2:7" ht="27.75" hidden="1" customHeight="1" x14ac:dyDescent="0.3">
      <c r="B19" s="29" t="s">
        <v>538</v>
      </c>
      <c r="C19" s="44">
        <v>1</v>
      </c>
      <c r="D19" s="55">
        <v>292</v>
      </c>
      <c r="E19" s="64">
        <v>2218</v>
      </c>
      <c r="F19" s="23"/>
      <c r="G19" s="68">
        <f>F19*C19</f>
        <v>0</v>
      </c>
    </row>
    <row r="20" spans="2:7" ht="27.75" hidden="1" customHeight="1" x14ac:dyDescent="0.3">
      <c r="B20" s="29" t="s">
        <v>535</v>
      </c>
      <c r="C20" s="44">
        <v>0.35</v>
      </c>
      <c r="D20" s="55">
        <v>535</v>
      </c>
      <c r="E20" s="64">
        <v>3500</v>
      </c>
      <c r="F20" s="23"/>
      <c r="G20" s="68">
        <f>F20*C20</f>
        <v>0</v>
      </c>
    </row>
    <row r="21" spans="2:7" ht="27.75" hidden="1" customHeight="1" x14ac:dyDescent="0.3">
      <c r="B21" s="29" t="s">
        <v>534</v>
      </c>
      <c r="C21" s="44">
        <v>0.28000000000000003</v>
      </c>
      <c r="D21" s="55">
        <v>534</v>
      </c>
      <c r="E21" s="64">
        <v>2698</v>
      </c>
      <c r="F21" s="23"/>
      <c r="G21" s="68">
        <f>F21*C21</f>
        <v>0</v>
      </c>
    </row>
    <row r="22" spans="2:7" ht="27.75" hidden="1" customHeight="1" x14ac:dyDescent="0.3">
      <c r="B22" s="29" t="s">
        <v>533</v>
      </c>
      <c r="C22" s="44">
        <v>0.33</v>
      </c>
      <c r="D22" s="55">
        <v>505</v>
      </c>
      <c r="E22" s="64">
        <v>3573</v>
      </c>
      <c r="F22" s="23"/>
      <c r="G22" s="68">
        <f>F22*C22</f>
        <v>0</v>
      </c>
    </row>
    <row r="23" spans="2:7" ht="27.75" hidden="1" customHeight="1" x14ac:dyDescent="0.3">
      <c r="B23" s="29" t="s">
        <v>532</v>
      </c>
      <c r="C23" s="44">
        <v>0.3</v>
      </c>
      <c r="D23" s="55">
        <v>515</v>
      </c>
      <c r="E23" s="64">
        <v>3829</v>
      </c>
      <c r="F23" s="23"/>
      <c r="G23" s="68">
        <f>F23*C23</f>
        <v>0</v>
      </c>
    </row>
    <row r="24" spans="2:7" ht="27.75" hidden="1" customHeight="1" x14ac:dyDescent="0.3">
      <c r="B24" s="29" t="s">
        <v>531</v>
      </c>
      <c r="C24" s="44">
        <v>0.33</v>
      </c>
      <c r="D24" s="55">
        <v>504</v>
      </c>
      <c r="E24" s="64">
        <v>3512</v>
      </c>
      <c r="F24" s="23"/>
      <c r="G24" s="68">
        <f>F24*C24</f>
        <v>0</v>
      </c>
    </row>
    <row r="25" spans="2:7" ht="27.75" hidden="1" customHeight="1" x14ac:dyDescent="0.3">
      <c r="B25" s="29" t="s">
        <v>530</v>
      </c>
      <c r="C25" s="44">
        <v>0.3</v>
      </c>
      <c r="D25" s="55">
        <v>413</v>
      </c>
      <c r="E25" s="64">
        <v>3037</v>
      </c>
      <c r="F25" s="23"/>
      <c r="G25" s="68">
        <f>F25*C25</f>
        <v>0</v>
      </c>
    </row>
    <row r="26" spans="2:7" ht="27.75" hidden="1" customHeight="1" x14ac:dyDescent="0.3">
      <c r="B26" s="29" t="s">
        <v>529</v>
      </c>
      <c r="C26" s="44">
        <v>0.42</v>
      </c>
      <c r="D26" s="55">
        <v>528</v>
      </c>
      <c r="E26" s="64">
        <v>3617</v>
      </c>
      <c r="F26" s="23"/>
      <c r="G26" s="68">
        <f>F26*C26</f>
        <v>0</v>
      </c>
    </row>
    <row r="27" spans="2:7" ht="27.75" hidden="1" customHeight="1" x14ac:dyDescent="0.3">
      <c r="B27" s="29" t="s">
        <v>524</v>
      </c>
      <c r="C27" s="44">
        <v>0.3</v>
      </c>
      <c r="D27" s="55">
        <v>532</v>
      </c>
      <c r="E27" s="64">
        <v>3313</v>
      </c>
      <c r="F27" s="23"/>
      <c r="G27" s="68">
        <f>F27*C27</f>
        <v>0</v>
      </c>
    </row>
    <row r="28" spans="2:7" ht="27.75" hidden="1" customHeight="1" x14ac:dyDescent="0.3">
      <c r="B28" s="29" t="s">
        <v>525</v>
      </c>
      <c r="C28" s="44">
        <v>0.6</v>
      </c>
      <c r="D28" s="55">
        <v>533</v>
      </c>
      <c r="E28" s="64">
        <v>2674</v>
      </c>
      <c r="F28" s="23"/>
      <c r="G28" s="68">
        <f>F28*C28</f>
        <v>0</v>
      </c>
    </row>
    <row r="29" spans="2:7" ht="27.75" hidden="1" customHeight="1" x14ac:dyDescent="0.3">
      <c r="B29" s="29" t="s">
        <v>523</v>
      </c>
      <c r="C29" s="44">
        <v>0.3</v>
      </c>
      <c r="D29" s="55">
        <v>490</v>
      </c>
      <c r="E29" s="64">
        <v>3029</v>
      </c>
      <c r="F29" s="23"/>
      <c r="G29" s="68">
        <f>F29*C29</f>
        <v>0</v>
      </c>
    </row>
    <row r="30" spans="2:7" ht="27.75" hidden="1" customHeight="1" x14ac:dyDescent="0.3">
      <c r="B30" s="29" t="s">
        <v>526</v>
      </c>
      <c r="C30" s="44">
        <v>0.3</v>
      </c>
      <c r="D30" s="55">
        <v>492</v>
      </c>
      <c r="E30" s="64">
        <v>3027</v>
      </c>
      <c r="F30" s="23"/>
      <c r="G30" s="68">
        <f>F30*C30</f>
        <v>0</v>
      </c>
    </row>
    <row r="31" spans="2:7" ht="27.75" hidden="1" customHeight="1" x14ac:dyDescent="0.3">
      <c r="B31" s="29" t="s">
        <v>522</v>
      </c>
      <c r="C31" s="44">
        <v>1</v>
      </c>
      <c r="D31" s="55">
        <v>434</v>
      </c>
      <c r="E31" s="64"/>
      <c r="F31" s="23"/>
      <c r="G31" s="68">
        <f>F31*C31</f>
        <v>0</v>
      </c>
    </row>
    <row r="32" spans="2:7" ht="27.75" hidden="1" customHeight="1" x14ac:dyDescent="0.3">
      <c r="B32" s="29" t="s">
        <v>521</v>
      </c>
      <c r="C32" s="44">
        <v>0.28000000000000003</v>
      </c>
      <c r="D32" s="55">
        <v>502</v>
      </c>
      <c r="E32" s="64">
        <v>3505</v>
      </c>
      <c r="F32" s="23"/>
      <c r="G32" s="68">
        <f>F32*C32</f>
        <v>0</v>
      </c>
    </row>
    <row r="33" spans="2:7" ht="27" hidden="1" customHeight="1" thickBot="1" x14ac:dyDescent="0.3">
      <c r="B33" s="29" t="s">
        <v>527</v>
      </c>
      <c r="C33" s="44">
        <v>0.3</v>
      </c>
      <c r="D33" s="55">
        <v>498</v>
      </c>
      <c r="E33" s="64">
        <v>2948</v>
      </c>
      <c r="F33" s="23"/>
      <c r="G33" s="68">
        <f>F33*C33</f>
        <v>0</v>
      </c>
    </row>
    <row r="34" spans="2:7" ht="27" hidden="1" customHeight="1" thickBot="1" x14ac:dyDescent="0.3">
      <c r="B34" s="29" t="s">
        <v>528</v>
      </c>
      <c r="C34" s="44">
        <v>0.3</v>
      </c>
      <c r="D34" s="55">
        <v>496</v>
      </c>
      <c r="E34" s="64">
        <v>2942</v>
      </c>
      <c r="F34" s="23"/>
      <c r="G34" s="22">
        <f>F34*C34</f>
        <v>0</v>
      </c>
    </row>
    <row r="35" spans="2:7" ht="27" hidden="1" customHeight="1" thickBot="1" x14ac:dyDescent="0.3">
      <c r="B35" s="29" t="s">
        <v>515</v>
      </c>
      <c r="C35" s="44">
        <v>0.27</v>
      </c>
      <c r="D35" s="55">
        <v>518</v>
      </c>
      <c r="E35" s="64">
        <v>2437</v>
      </c>
      <c r="F35" s="23"/>
      <c r="G35" s="22">
        <f>F35*C35</f>
        <v>0</v>
      </c>
    </row>
    <row r="36" spans="2:7" ht="27" hidden="1" customHeight="1" thickBot="1" x14ac:dyDescent="0.3">
      <c r="B36" s="29" t="s">
        <v>514</v>
      </c>
      <c r="C36" s="44">
        <v>1</v>
      </c>
      <c r="D36" s="55">
        <v>509</v>
      </c>
      <c r="E36" s="64">
        <v>3403</v>
      </c>
      <c r="F36" s="23"/>
      <c r="G36" s="22">
        <f>F36*C36</f>
        <v>0</v>
      </c>
    </row>
    <row r="37" spans="2:7" ht="27" hidden="1" customHeight="1" thickBot="1" x14ac:dyDescent="0.3">
      <c r="B37" s="29" t="s">
        <v>516</v>
      </c>
      <c r="C37" s="44">
        <v>0.6</v>
      </c>
      <c r="D37" s="55">
        <v>376</v>
      </c>
      <c r="E37" s="64">
        <v>2632</v>
      </c>
      <c r="F37" s="23"/>
      <c r="G37" s="22">
        <f>F37*C37</f>
        <v>0</v>
      </c>
    </row>
    <row r="38" spans="2:7" ht="27" hidden="1" customHeight="1" thickBot="1" x14ac:dyDescent="0.3">
      <c r="B38" s="29" t="s">
        <v>517</v>
      </c>
      <c r="C38" s="44">
        <v>0.3</v>
      </c>
      <c r="D38" s="55">
        <v>489</v>
      </c>
      <c r="E38" s="64">
        <v>3288</v>
      </c>
      <c r="F38" s="23"/>
      <c r="G38" s="22">
        <f>F38*C38</f>
        <v>0</v>
      </c>
    </row>
    <row r="39" spans="2:7" ht="27" hidden="1" customHeight="1" thickBot="1" x14ac:dyDescent="0.3">
      <c r="B39" s="29" t="s">
        <v>518</v>
      </c>
      <c r="C39" s="44">
        <v>0.3</v>
      </c>
      <c r="D39" s="55">
        <v>491</v>
      </c>
      <c r="E39" s="64">
        <v>3031</v>
      </c>
      <c r="F39" s="23"/>
      <c r="G39" s="22">
        <f>F39*C39</f>
        <v>0</v>
      </c>
    </row>
    <row r="40" spans="2:7" ht="27" hidden="1" customHeight="1" thickBot="1" x14ac:dyDescent="0.3">
      <c r="B40" s="29" t="s">
        <v>512</v>
      </c>
      <c r="C40" s="44">
        <v>0.4</v>
      </c>
      <c r="D40" s="55">
        <v>514</v>
      </c>
      <c r="E40" s="64">
        <v>3848</v>
      </c>
      <c r="F40" s="23"/>
      <c r="G40" s="22">
        <f>F40*C40</f>
        <v>0</v>
      </c>
    </row>
    <row r="41" spans="2:7" ht="27" hidden="1" customHeight="1" thickBot="1" x14ac:dyDescent="0.3">
      <c r="B41" s="29" t="s">
        <v>508</v>
      </c>
      <c r="C41" s="44">
        <v>0.3</v>
      </c>
      <c r="D41" s="55">
        <v>495</v>
      </c>
      <c r="E41" s="64">
        <v>2944</v>
      </c>
      <c r="F41" s="23"/>
      <c r="G41" s="22">
        <f>F41*C41</f>
        <v>0</v>
      </c>
    </row>
    <row r="42" spans="2:7" ht="27" hidden="1" customHeight="1" thickBot="1" x14ac:dyDescent="0.3">
      <c r="B42" s="29" t="s">
        <v>509</v>
      </c>
      <c r="C42" s="44">
        <v>0.3</v>
      </c>
      <c r="D42" s="55">
        <v>497</v>
      </c>
      <c r="E42" s="64">
        <v>2946</v>
      </c>
      <c r="F42" s="23"/>
      <c r="G42" s="22">
        <f>F42*C42</f>
        <v>0</v>
      </c>
    </row>
    <row r="43" spans="2:7" ht="27" hidden="1" customHeight="1" thickBot="1" x14ac:dyDescent="0.3">
      <c r="B43" s="29" t="s">
        <v>510</v>
      </c>
      <c r="C43" s="44">
        <v>1</v>
      </c>
      <c r="D43" s="55">
        <v>494</v>
      </c>
      <c r="E43" s="64">
        <v>3032</v>
      </c>
      <c r="F43" s="23"/>
      <c r="G43" s="22">
        <f>F43*C43</f>
        <v>0</v>
      </c>
    </row>
    <row r="44" spans="2:7" ht="27" hidden="1" customHeight="1" thickBot="1" x14ac:dyDescent="0.3">
      <c r="B44" s="29" t="s">
        <v>504</v>
      </c>
      <c r="C44" s="44">
        <v>0.35</v>
      </c>
      <c r="D44" s="55">
        <v>511</v>
      </c>
      <c r="E44" s="64">
        <v>3033</v>
      </c>
      <c r="F44" s="23"/>
      <c r="G44" s="22">
        <f>F44*C44</f>
        <v>0</v>
      </c>
    </row>
    <row r="45" spans="2:7" ht="27" hidden="1" customHeight="1" thickBot="1" x14ac:dyDescent="0.3">
      <c r="B45" s="29" t="s">
        <v>505</v>
      </c>
      <c r="C45" s="44">
        <v>1</v>
      </c>
      <c r="D45" s="55">
        <v>512</v>
      </c>
      <c r="E45" s="64">
        <v>2887</v>
      </c>
      <c r="F45" s="23"/>
      <c r="G45" s="22">
        <f>F45*C45</f>
        <v>0</v>
      </c>
    </row>
    <row r="46" spans="2:7" ht="27" hidden="1" customHeight="1" thickBot="1" x14ac:dyDescent="0.3">
      <c r="B46" s="29" t="s">
        <v>506</v>
      </c>
      <c r="C46" s="44">
        <v>1</v>
      </c>
      <c r="D46" s="55">
        <v>501</v>
      </c>
      <c r="E46" s="64">
        <v>3616</v>
      </c>
      <c r="F46" s="23"/>
      <c r="G46" s="22">
        <f>F46*C46</f>
        <v>0</v>
      </c>
    </row>
    <row r="47" spans="2:7" ht="27" hidden="1" customHeight="1" thickBot="1" x14ac:dyDescent="0.3">
      <c r="B47" s="29" t="s">
        <v>507</v>
      </c>
      <c r="C47" s="44">
        <v>0.4</v>
      </c>
      <c r="D47" s="55">
        <v>374</v>
      </c>
      <c r="E47" s="64">
        <v>2832</v>
      </c>
      <c r="F47" s="23"/>
      <c r="G47" s="22">
        <f>F47*C47</f>
        <v>0</v>
      </c>
    </row>
    <row r="48" spans="2:7" ht="27" hidden="1" customHeight="1" thickBot="1" x14ac:dyDescent="0.3">
      <c r="B48" s="29" t="s">
        <v>503</v>
      </c>
      <c r="C48" s="44">
        <v>1</v>
      </c>
      <c r="D48" s="55">
        <v>510</v>
      </c>
      <c r="E48" s="64">
        <v>2806</v>
      </c>
      <c r="F48" s="23"/>
      <c r="G48" s="22">
        <f>F48*C48</f>
        <v>0</v>
      </c>
    </row>
    <row r="49" spans="1:7" ht="27" hidden="1" customHeight="1" thickBot="1" x14ac:dyDescent="0.3">
      <c r="B49" s="29" t="s">
        <v>500</v>
      </c>
      <c r="C49" s="44">
        <v>0.3</v>
      </c>
      <c r="D49" s="55">
        <v>448</v>
      </c>
      <c r="E49" s="64">
        <v>3336</v>
      </c>
      <c r="F49" s="23"/>
      <c r="G49" s="22">
        <f>F49*C49</f>
        <v>0</v>
      </c>
    </row>
    <row r="50" spans="1:7" ht="27" hidden="1" customHeight="1" thickBot="1" x14ac:dyDescent="0.3">
      <c r="B50" s="29" t="s">
        <v>501</v>
      </c>
      <c r="C50" s="44">
        <v>1</v>
      </c>
      <c r="D50" s="55">
        <v>500</v>
      </c>
      <c r="E50" s="64">
        <v>3337</v>
      </c>
      <c r="F50" s="23"/>
      <c r="G50" s="22">
        <f>F50*C50</f>
        <v>0</v>
      </c>
    </row>
    <row r="51" spans="1:7" ht="27" hidden="1" customHeight="1" thickBot="1" x14ac:dyDescent="0.3">
      <c r="B51" s="29" t="s">
        <v>502</v>
      </c>
      <c r="C51" s="44">
        <v>1</v>
      </c>
      <c r="D51" s="55">
        <v>506</v>
      </c>
      <c r="E51" s="64">
        <v>3287</v>
      </c>
      <c r="F51" s="23"/>
      <c r="G51" s="22">
        <f>F51*C51</f>
        <v>0</v>
      </c>
    </row>
    <row r="52" spans="1:7" ht="27" customHeight="1" thickBot="1" x14ac:dyDescent="0.3">
      <c r="B52" s="29" t="s">
        <v>499</v>
      </c>
      <c r="C52" s="44">
        <v>1</v>
      </c>
      <c r="D52" s="55">
        <v>503</v>
      </c>
      <c r="E52" s="64">
        <v>3642</v>
      </c>
      <c r="F52" s="23">
        <v>50</v>
      </c>
      <c r="G52" s="22">
        <f>F52*C52</f>
        <v>50</v>
      </c>
    </row>
    <row r="53" spans="1:7" ht="27" hidden="1" customHeight="1" thickBot="1" x14ac:dyDescent="0.3">
      <c r="B53" s="29" t="s">
        <v>484</v>
      </c>
      <c r="C53" s="44">
        <v>0.4</v>
      </c>
      <c r="D53" s="55">
        <v>482</v>
      </c>
      <c r="E53" s="64">
        <v>3390</v>
      </c>
      <c r="F53" s="23"/>
      <c r="G53" s="22">
        <f>F53*C53</f>
        <v>0</v>
      </c>
    </row>
    <row r="54" spans="1:7" ht="27" hidden="1" customHeight="1" thickBot="1" x14ac:dyDescent="0.3">
      <c r="A54" t="s">
        <v>482</v>
      </c>
      <c r="B54" s="29" t="s">
        <v>485</v>
      </c>
      <c r="C54" s="44">
        <v>0.4</v>
      </c>
      <c r="D54" s="55">
        <v>483</v>
      </c>
      <c r="E54" s="64">
        <v>3395</v>
      </c>
      <c r="F54" s="23"/>
      <c r="G54" s="22">
        <f>F54*C54</f>
        <v>0</v>
      </c>
    </row>
    <row r="55" spans="1:7" ht="27" hidden="1" customHeight="1" thickBot="1" x14ac:dyDescent="0.3">
      <c r="A55" t="s">
        <v>513</v>
      </c>
      <c r="B55" s="29" t="s">
        <v>486</v>
      </c>
      <c r="C55" s="44">
        <v>0.4</v>
      </c>
      <c r="D55" s="55">
        <v>484</v>
      </c>
      <c r="E55" s="64">
        <v>3388</v>
      </c>
      <c r="F55" s="23"/>
      <c r="G55" s="22">
        <f>F55*C55</f>
        <v>0</v>
      </c>
    </row>
    <row r="56" spans="1:7" ht="27" hidden="1" customHeight="1" thickBot="1" x14ac:dyDescent="0.3">
      <c r="B56" s="29" t="s">
        <v>487</v>
      </c>
      <c r="C56" s="44">
        <v>0.5</v>
      </c>
      <c r="D56" s="55">
        <v>467</v>
      </c>
      <c r="E56" s="64">
        <v>3421</v>
      </c>
      <c r="F56" s="23"/>
      <c r="G56" s="22">
        <f>F56*C56</f>
        <v>0</v>
      </c>
    </row>
    <row r="57" spans="1:7" ht="27" hidden="1" customHeight="1" thickBot="1" x14ac:dyDescent="0.3">
      <c r="B57" s="29" t="s">
        <v>488</v>
      </c>
      <c r="C57" s="44">
        <v>1</v>
      </c>
      <c r="D57" s="55">
        <v>485</v>
      </c>
      <c r="E57" s="64">
        <v>3389</v>
      </c>
      <c r="F57" s="23"/>
      <c r="G57" s="22">
        <f>F57*C57</f>
        <v>0</v>
      </c>
    </row>
    <row r="58" spans="1:7" ht="27" hidden="1" customHeight="1" thickBot="1" x14ac:dyDescent="0.3">
      <c r="B58" s="29" t="s">
        <v>489</v>
      </c>
      <c r="C58" s="44">
        <v>0.5</v>
      </c>
      <c r="D58" s="55">
        <v>462</v>
      </c>
      <c r="E58" s="64">
        <v>3432</v>
      </c>
      <c r="F58" s="23"/>
      <c r="G58" s="22">
        <f>F58*C58</f>
        <v>0</v>
      </c>
    </row>
    <row r="59" spans="1:7" ht="27" hidden="1" customHeight="1" thickBot="1" x14ac:dyDescent="0.3">
      <c r="A59" t="s">
        <v>480</v>
      </c>
      <c r="B59" s="29" t="s">
        <v>479</v>
      </c>
      <c r="C59" s="44">
        <v>0.4</v>
      </c>
      <c r="D59" s="55">
        <v>480</v>
      </c>
      <c r="E59" s="64">
        <v>3426</v>
      </c>
      <c r="F59" s="23"/>
      <c r="G59" s="22">
        <f>F59*C59</f>
        <v>0</v>
      </c>
    </row>
    <row r="60" spans="1:7" ht="27" hidden="1" customHeight="1" thickBot="1" x14ac:dyDescent="0.3">
      <c r="B60" s="29" t="s">
        <v>481</v>
      </c>
      <c r="C60" s="44">
        <v>1</v>
      </c>
      <c r="D60" s="55">
        <v>481</v>
      </c>
      <c r="E60" s="64">
        <v>3424</v>
      </c>
      <c r="F60" s="23"/>
      <c r="G60" s="22">
        <f>F60*C60</f>
        <v>0</v>
      </c>
    </row>
    <row r="61" spans="1:7" ht="27" hidden="1" customHeight="1" thickBot="1" x14ac:dyDescent="0.3">
      <c r="A61" t="s">
        <v>473</v>
      </c>
      <c r="B61" s="30" t="s">
        <v>472</v>
      </c>
      <c r="C61" s="44">
        <v>1</v>
      </c>
      <c r="D61" s="55">
        <v>469</v>
      </c>
      <c r="E61" s="64">
        <v>3387</v>
      </c>
      <c r="F61" s="23"/>
      <c r="G61" s="22">
        <f>F61*C61</f>
        <v>0</v>
      </c>
    </row>
    <row r="62" spans="1:7" ht="27" hidden="1" customHeight="1" thickBot="1" x14ac:dyDescent="0.3">
      <c r="A62" t="s">
        <v>476</v>
      </c>
      <c r="B62" s="30" t="s">
        <v>474</v>
      </c>
      <c r="C62" s="44">
        <v>0.4</v>
      </c>
      <c r="D62" s="55">
        <v>468</v>
      </c>
      <c r="E62" s="64">
        <v>3393</v>
      </c>
      <c r="F62" s="23"/>
      <c r="G62" s="22">
        <f>F62*C62</f>
        <v>0</v>
      </c>
    </row>
    <row r="63" spans="1:7" ht="27" hidden="1" customHeight="1" thickBot="1" x14ac:dyDescent="0.3">
      <c r="A63" t="s">
        <v>477</v>
      </c>
      <c r="B63" s="30" t="s">
        <v>475</v>
      </c>
      <c r="C63" s="44">
        <v>1</v>
      </c>
      <c r="D63" s="55">
        <v>470</v>
      </c>
      <c r="E63" s="64">
        <v>3391</v>
      </c>
      <c r="F63" s="23"/>
      <c r="G63" s="22">
        <f>F63*C63</f>
        <v>0</v>
      </c>
    </row>
    <row r="64" spans="1:7" ht="27" hidden="1" customHeight="1" thickBot="1" x14ac:dyDescent="0.3">
      <c r="B64" s="29" t="s">
        <v>478</v>
      </c>
      <c r="C64" s="44">
        <v>0.6</v>
      </c>
      <c r="D64" s="55">
        <v>471</v>
      </c>
      <c r="E64" s="64">
        <v>3340</v>
      </c>
      <c r="F64" s="23"/>
      <c r="G64" s="22">
        <f>F64*C64</f>
        <v>0</v>
      </c>
    </row>
    <row r="65" spans="1:7" ht="27" hidden="1" customHeight="1" thickBot="1" x14ac:dyDescent="0.3">
      <c r="B65" s="29" t="s">
        <v>471</v>
      </c>
      <c r="C65" s="44">
        <v>0.5</v>
      </c>
      <c r="D65" s="55">
        <v>466</v>
      </c>
      <c r="E65" s="64">
        <v>3333</v>
      </c>
      <c r="F65" s="23"/>
      <c r="G65" s="22">
        <f>F65*C65</f>
        <v>0</v>
      </c>
    </row>
    <row r="66" spans="1:7" ht="27" hidden="1" customHeight="1" thickBot="1" x14ac:dyDescent="0.3">
      <c r="B66" s="29" t="s">
        <v>470</v>
      </c>
      <c r="C66" s="44">
        <v>1</v>
      </c>
      <c r="D66" s="55">
        <v>465</v>
      </c>
      <c r="E66" s="64">
        <v>3425</v>
      </c>
      <c r="F66" s="23"/>
      <c r="G66" s="22">
        <f>F66*C66</f>
        <v>0</v>
      </c>
    </row>
    <row r="67" spans="1:7" ht="27" hidden="1" customHeight="1" thickBot="1" x14ac:dyDescent="0.3">
      <c r="A67" t="s">
        <v>468</v>
      </c>
      <c r="B67" s="30" t="s">
        <v>467</v>
      </c>
      <c r="C67" s="44">
        <v>1</v>
      </c>
      <c r="D67" s="55">
        <v>464</v>
      </c>
      <c r="E67" s="64">
        <v>3396</v>
      </c>
      <c r="F67" s="23"/>
      <c r="G67" s="22">
        <f>F67*C67</f>
        <v>0</v>
      </c>
    </row>
    <row r="68" spans="1:7" ht="27" hidden="1" customHeight="1" thickBot="1" x14ac:dyDescent="0.3">
      <c r="A68" t="s">
        <v>466</v>
      </c>
      <c r="B68" s="30" t="s">
        <v>465</v>
      </c>
      <c r="C68" s="44">
        <v>1</v>
      </c>
      <c r="D68" s="55">
        <v>463</v>
      </c>
      <c r="E68" s="64">
        <v>3394</v>
      </c>
      <c r="F68" s="23"/>
      <c r="G68" s="22">
        <f>F68*C68</f>
        <v>0</v>
      </c>
    </row>
    <row r="69" spans="1:7" ht="27" hidden="1" customHeight="1" thickBot="1" x14ac:dyDescent="0.3">
      <c r="B69" s="29" t="s">
        <v>464</v>
      </c>
      <c r="C69" s="44">
        <v>0.5</v>
      </c>
      <c r="D69" s="55">
        <v>459</v>
      </c>
      <c r="E69" s="64">
        <v>3419</v>
      </c>
      <c r="F69" s="23"/>
      <c r="G69" s="22">
        <f>F69*C69</f>
        <v>0</v>
      </c>
    </row>
    <row r="70" spans="1:7" ht="27" hidden="1" customHeight="1" thickBot="1" x14ac:dyDescent="0.3">
      <c r="A70" t="s">
        <v>463</v>
      </c>
      <c r="B70" s="31" t="s">
        <v>461</v>
      </c>
      <c r="C70" s="44">
        <v>1</v>
      </c>
      <c r="D70" s="55">
        <v>460</v>
      </c>
      <c r="E70" s="64">
        <v>3392</v>
      </c>
      <c r="F70" s="23"/>
      <c r="G70" s="22">
        <f>F70*C70</f>
        <v>0</v>
      </c>
    </row>
    <row r="71" spans="1:7" ht="27" hidden="1" customHeight="1" thickBot="1" x14ac:dyDescent="0.3">
      <c r="A71" t="s">
        <v>469</v>
      </c>
      <c r="B71" s="29" t="s">
        <v>462</v>
      </c>
      <c r="C71" s="44">
        <v>1</v>
      </c>
      <c r="D71" s="55">
        <v>461</v>
      </c>
      <c r="E71" s="64">
        <v>3427</v>
      </c>
      <c r="F71" s="23"/>
      <c r="G71" s="22">
        <f>F71*C71</f>
        <v>0</v>
      </c>
    </row>
    <row r="72" spans="1:7" ht="27" hidden="1" customHeight="1" thickBot="1" x14ac:dyDescent="0.3">
      <c r="B72" s="29" t="s">
        <v>460</v>
      </c>
      <c r="C72" s="44">
        <v>0.4</v>
      </c>
      <c r="D72" s="55">
        <v>407</v>
      </c>
      <c r="E72" s="64">
        <v>2787</v>
      </c>
      <c r="F72" s="23"/>
      <c r="G72" s="22">
        <f>F72*C72</f>
        <v>0</v>
      </c>
    </row>
    <row r="73" spans="1:7" ht="27" customHeight="1" thickBot="1" x14ac:dyDescent="0.3">
      <c r="B73" s="29" t="s">
        <v>459</v>
      </c>
      <c r="C73" s="44">
        <v>1</v>
      </c>
      <c r="D73" s="55">
        <v>456</v>
      </c>
      <c r="E73" s="64">
        <v>3420</v>
      </c>
      <c r="F73" s="23">
        <v>1500</v>
      </c>
      <c r="G73" s="22">
        <f>F73*C73</f>
        <v>1500</v>
      </c>
    </row>
    <row r="74" spans="1:7" ht="27" customHeight="1" thickBot="1" x14ac:dyDescent="0.3">
      <c r="B74" s="29" t="s">
        <v>490</v>
      </c>
      <c r="C74" s="44">
        <v>1</v>
      </c>
      <c r="D74" s="55">
        <v>457</v>
      </c>
      <c r="E74" s="64">
        <v>3422</v>
      </c>
      <c r="F74" s="23">
        <v>2000</v>
      </c>
      <c r="G74" s="22">
        <f>F74*C74</f>
        <v>2000</v>
      </c>
    </row>
    <row r="75" spans="1:7" ht="27" hidden="1" customHeight="1" thickBot="1" x14ac:dyDescent="0.3">
      <c r="B75" s="29" t="s">
        <v>458</v>
      </c>
      <c r="C75" s="44">
        <v>1</v>
      </c>
      <c r="D75" s="55">
        <v>437</v>
      </c>
      <c r="E75" s="64">
        <v>3043</v>
      </c>
      <c r="F75" s="23"/>
      <c r="G75" s="22">
        <f>F75*C75</f>
        <v>0</v>
      </c>
    </row>
    <row r="76" spans="1:7" ht="27" hidden="1" customHeight="1" thickBot="1" x14ac:dyDescent="0.3">
      <c r="B76" s="29" t="s">
        <v>457</v>
      </c>
      <c r="C76" s="44">
        <v>1</v>
      </c>
      <c r="D76" s="55">
        <v>453</v>
      </c>
      <c r="E76" s="64">
        <v>3418</v>
      </c>
      <c r="F76" s="23"/>
      <c r="G76" s="22">
        <f>F76*C76</f>
        <v>0</v>
      </c>
    </row>
    <row r="77" spans="1:7" ht="27.75" customHeight="1" thickBot="1" x14ac:dyDescent="0.3">
      <c r="B77" s="29" t="s">
        <v>455</v>
      </c>
      <c r="C77" s="44">
        <v>1</v>
      </c>
      <c r="D77" s="55">
        <v>452</v>
      </c>
      <c r="E77" s="64">
        <v>3423</v>
      </c>
      <c r="F77" s="23">
        <v>1200</v>
      </c>
      <c r="G77" s="22">
        <f>F77*C77</f>
        <v>1200</v>
      </c>
    </row>
    <row r="78" spans="1:7" ht="27" customHeight="1" thickBot="1" x14ac:dyDescent="0.3">
      <c r="B78" s="29" t="s">
        <v>456</v>
      </c>
      <c r="C78" s="44">
        <v>1</v>
      </c>
      <c r="D78" s="55">
        <v>449</v>
      </c>
      <c r="E78" s="64">
        <v>2634</v>
      </c>
      <c r="F78" s="23">
        <v>600</v>
      </c>
      <c r="G78" s="22">
        <f>F78*C78</f>
        <v>600</v>
      </c>
    </row>
    <row r="79" spans="1:7" ht="27" hidden="1" customHeight="1" thickBot="1" x14ac:dyDescent="0.3">
      <c r="B79" s="30" t="s">
        <v>454</v>
      </c>
      <c r="C79" s="44">
        <v>1</v>
      </c>
      <c r="D79" s="55">
        <v>444</v>
      </c>
      <c r="E79" s="64">
        <v>3267</v>
      </c>
      <c r="F79" s="23"/>
      <c r="G79" s="22">
        <f>F79*C79</f>
        <v>0</v>
      </c>
    </row>
    <row r="80" spans="1:7" ht="27" hidden="1" customHeight="1" thickBot="1" x14ac:dyDescent="0.3">
      <c r="B80" s="29" t="s">
        <v>453</v>
      </c>
      <c r="C80" s="44">
        <v>1</v>
      </c>
      <c r="D80" s="55">
        <v>443</v>
      </c>
      <c r="E80" s="64">
        <v>3042</v>
      </c>
      <c r="F80" s="23"/>
      <c r="G80" s="22">
        <f>F80*C80</f>
        <v>0</v>
      </c>
    </row>
    <row r="81" spans="1:7" ht="27" hidden="1" customHeight="1" thickBot="1" x14ac:dyDescent="0.3">
      <c r="B81" s="29" t="s">
        <v>452</v>
      </c>
      <c r="C81" s="44">
        <v>1</v>
      </c>
      <c r="D81" s="55">
        <v>442</v>
      </c>
      <c r="E81" s="64">
        <v>3136</v>
      </c>
      <c r="F81" s="23"/>
      <c r="G81" s="22">
        <f>F81*C81</f>
        <v>0</v>
      </c>
    </row>
    <row r="82" spans="1:7" ht="27" hidden="1" customHeight="1" thickBot="1" x14ac:dyDescent="0.3">
      <c r="B82" s="29" t="s">
        <v>451</v>
      </c>
      <c r="C82" s="44">
        <v>0.4</v>
      </c>
      <c r="D82" s="55">
        <v>430</v>
      </c>
      <c r="E82" s="64">
        <v>3272</v>
      </c>
      <c r="F82" s="23"/>
      <c r="G82" s="22">
        <f>F82*C82</f>
        <v>0</v>
      </c>
    </row>
    <row r="83" spans="1:7" ht="27" hidden="1" customHeight="1" thickBot="1" x14ac:dyDescent="0.3">
      <c r="A83" t="s">
        <v>469</v>
      </c>
      <c r="B83" s="29" t="s">
        <v>450</v>
      </c>
      <c r="C83" s="44">
        <v>1</v>
      </c>
      <c r="D83" s="55">
        <v>427</v>
      </c>
      <c r="E83" s="64">
        <v>3265</v>
      </c>
      <c r="F83" s="23"/>
      <c r="G83" s="22">
        <f>F83*C83</f>
        <v>0</v>
      </c>
    </row>
    <row r="84" spans="1:7" ht="27" hidden="1" customHeight="1" thickBot="1" x14ac:dyDescent="0.3">
      <c r="B84" s="29" t="s">
        <v>449</v>
      </c>
      <c r="C84" s="44">
        <v>0.3</v>
      </c>
      <c r="D84" s="55">
        <v>383</v>
      </c>
      <c r="E84" s="64">
        <v>3073</v>
      </c>
      <c r="F84" s="23"/>
      <c r="G84" s="22">
        <f>F84*C84</f>
        <v>0</v>
      </c>
    </row>
    <row r="85" spans="1:7" ht="27" hidden="1" customHeight="1" thickBot="1" x14ac:dyDescent="0.3">
      <c r="B85" s="29" t="s">
        <v>448</v>
      </c>
      <c r="C85" s="44">
        <v>0.84</v>
      </c>
      <c r="D85" s="55">
        <v>382</v>
      </c>
      <c r="E85" s="64">
        <v>2802</v>
      </c>
      <c r="F85" s="23"/>
      <c r="G85" s="22">
        <f>F85*C85</f>
        <v>0</v>
      </c>
    </row>
    <row r="86" spans="1:7" ht="27" hidden="1" customHeight="1" thickBot="1" x14ac:dyDescent="0.3">
      <c r="B86" s="29" t="s">
        <v>447</v>
      </c>
      <c r="C86" s="44">
        <v>0.3</v>
      </c>
      <c r="D86" s="55">
        <v>441</v>
      </c>
      <c r="E86" s="64">
        <v>2992</v>
      </c>
      <c r="F86" s="23"/>
      <c r="G86" s="22">
        <f>F86*C86</f>
        <v>0</v>
      </c>
    </row>
    <row r="87" spans="1:7" ht="27" hidden="1" customHeight="1" thickBot="1" x14ac:dyDescent="0.3">
      <c r="B87" s="29" t="s">
        <v>446</v>
      </c>
      <c r="C87" s="44">
        <v>0.4</v>
      </c>
      <c r="D87" s="55">
        <v>435</v>
      </c>
      <c r="E87" s="64">
        <v>3274</v>
      </c>
      <c r="F87" s="23"/>
      <c r="G87" s="22">
        <f>F87*C87</f>
        <v>0</v>
      </c>
    </row>
    <row r="88" spans="1:7" ht="27" hidden="1" customHeight="1" thickBot="1" x14ac:dyDescent="0.3">
      <c r="B88" s="29" t="s">
        <v>445</v>
      </c>
      <c r="C88" s="44">
        <v>0.4</v>
      </c>
      <c r="D88" s="55">
        <v>438</v>
      </c>
      <c r="E88" s="64">
        <v>3266</v>
      </c>
      <c r="F88" s="23"/>
      <c r="G88" s="22">
        <f>F88*C88</f>
        <v>0</v>
      </c>
    </row>
    <row r="89" spans="1:7" ht="27" hidden="1" customHeight="1" thickBot="1" x14ac:dyDescent="0.3">
      <c r="B89" s="29" t="s">
        <v>444</v>
      </c>
      <c r="C89" s="44">
        <v>0.37</v>
      </c>
      <c r="D89" s="55">
        <v>395</v>
      </c>
      <c r="E89" s="64">
        <v>2986</v>
      </c>
      <c r="F89" s="23"/>
      <c r="G89" s="22">
        <f>F89*C89</f>
        <v>0</v>
      </c>
    </row>
    <row r="90" spans="1:7" ht="27" hidden="1" customHeight="1" thickBot="1" x14ac:dyDescent="0.3">
      <c r="B90" s="29" t="s">
        <v>443</v>
      </c>
      <c r="C90" s="44">
        <v>1</v>
      </c>
      <c r="D90" s="55">
        <v>440</v>
      </c>
      <c r="E90" s="64">
        <v>3111</v>
      </c>
      <c r="F90" s="23"/>
      <c r="G90" s="22">
        <f>F90*C90</f>
        <v>0</v>
      </c>
    </row>
    <row r="91" spans="1:7" ht="27" hidden="1" customHeight="1" thickBot="1" x14ac:dyDescent="0.3">
      <c r="B91" s="29" t="s">
        <v>441</v>
      </c>
      <c r="C91" s="45">
        <v>1</v>
      </c>
      <c r="D91" s="55">
        <v>439</v>
      </c>
      <c r="E91" s="65"/>
      <c r="F91" s="20"/>
      <c r="G91" s="22">
        <f>F91*C91</f>
        <v>0</v>
      </c>
    </row>
    <row r="92" spans="1:7" ht="27" hidden="1" customHeight="1" thickBot="1" x14ac:dyDescent="0.3">
      <c r="B92" s="29" t="s">
        <v>491</v>
      </c>
      <c r="C92" s="45">
        <v>0.28000000000000003</v>
      </c>
      <c r="D92" s="55">
        <v>424</v>
      </c>
      <c r="E92" s="65">
        <v>2855</v>
      </c>
      <c r="F92" s="20"/>
      <c r="G92" s="22">
        <f>F92*C92</f>
        <v>0</v>
      </c>
    </row>
    <row r="93" spans="1:7" ht="27" hidden="1" customHeight="1" thickBot="1" x14ac:dyDescent="0.3">
      <c r="B93" s="29" t="s">
        <v>492</v>
      </c>
      <c r="C93" s="45">
        <v>0.28000000000000003</v>
      </c>
      <c r="D93" s="55">
        <v>423</v>
      </c>
      <c r="E93" s="65">
        <v>2856</v>
      </c>
      <c r="F93" s="20"/>
      <c r="G93" s="22">
        <f>F93*C93</f>
        <v>0</v>
      </c>
    </row>
    <row r="94" spans="1:7" ht="27" hidden="1" customHeight="1" thickBot="1" x14ac:dyDescent="0.3">
      <c r="B94" s="29" t="s">
        <v>301</v>
      </c>
      <c r="C94" s="45">
        <v>1</v>
      </c>
      <c r="D94" s="55">
        <v>310</v>
      </c>
      <c r="E94" s="65">
        <v>2846</v>
      </c>
      <c r="F94" s="20"/>
      <c r="G94" s="22">
        <f>F94*C94</f>
        <v>0</v>
      </c>
    </row>
    <row r="95" spans="1:7" ht="27" hidden="1" customHeight="1" thickBot="1" x14ac:dyDescent="0.3">
      <c r="B95" s="29" t="s">
        <v>298</v>
      </c>
      <c r="C95" s="45">
        <v>1</v>
      </c>
      <c r="D95" s="55">
        <v>431</v>
      </c>
      <c r="E95" s="65">
        <v>3271</v>
      </c>
      <c r="F95" s="20"/>
      <c r="G95" s="22">
        <f>F95*C95</f>
        <v>0</v>
      </c>
    </row>
    <row r="96" spans="1:7" ht="27" hidden="1" customHeight="1" thickBot="1" x14ac:dyDescent="0.3">
      <c r="B96" s="29" t="s">
        <v>299</v>
      </c>
      <c r="C96" s="45">
        <v>1</v>
      </c>
      <c r="D96" s="55">
        <v>433</v>
      </c>
      <c r="E96" s="65">
        <v>3275</v>
      </c>
      <c r="F96" s="20"/>
      <c r="G96" s="22">
        <f>F96*C96</f>
        <v>0</v>
      </c>
    </row>
    <row r="97" spans="2:7" ht="27" hidden="1" customHeight="1" thickBot="1" x14ac:dyDescent="0.3">
      <c r="B97" s="29" t="s">
        <v>300</v>
      </c>
      <c r="C97" s="45">
        <v>1</v>
      </c>
      <c r="D97" s="55">
        <v>436</v>
      </c>
      <c r="E97" s="65">
        <v>3273</v>
      </c>
      <c r="F97" s="20"/>
      <c r="G97" s="22">
        <f>F97*C97</f>
        <v>0</v>
      </c>
    </row>
    <row r="98" spans="2:7" ht="27" hidden="1" customHeight="1" thickBot="1" x14ac:dyDescent="0.3">
      <c r="B98" s="29" t="s">
        <v>297</v>
      </c>
      <c r="C98" s="45">
        <v>0.06</v>
      </c>
      <c r="D98" s="55">
        <v>417</v>
      </c>
      <c r="E98" s="65">
        <v>3278</v>
      </c>
      <c r="F98" s="20"/>
      <c r="G98" s="22">
        <f>F98*C98</f>
        <v>0</v>
      </c>
    </row>
    <row r="99" spans="2:7" ht="27" hidden="1" customHeight="1" thickBot="1" x14ac:dyDescent="0.3">
      <c r="B99" s="29" t="s">
        <v>292</v>
      </c>
      <c r="C99" s="45">
        <v>0.28000000000000003</v>
      </c>
      <c r="D99" s="55">
        <v>420</v>
      </c>
      <c r="E99" s="65">
        <v>3046</v>
      </c>
      <c r="F99" s="20"/>
      <c r="G99" s="22">
        <f>F99*C99</f>
        <v>0</v>
      </c>
    </row>
    <row r="100" spans="2:7" ht="27" hidden="1" customHeight="1" thickBot="1" x14ac:dyDescent="0.3">
      <c r="B100" s="29" t="s">
        <v>493</v>
      </c>
      <c r="C100" s="45">
        <v>1</v>
      </c>
      <c r="D100" s="55">
        <v>429</v>
      </c>
      <c r="E100" s="65">
        <v>3289</v>
      </c>
      <c r="F100" s="20"/>
      <c r="G100" s="22">
        <f>F100*C100</f>
        <v>0</v>
      </c>
    </row>
    <row r="101" spans="2:7" ht="27" hidden="1" customHeight="1" thickBot="1" x14ac:dyDescent="0.3">
      <c r="B101" s="29" t="s">
        <v>494</v>
      </c>
      <c r="C101" s="45">
        <v>0.11</v>
      </c>
      <c r="D101" s="55">
        <v>415</v>
      </c>
      <c r="E101" s="65">
        <v>3279</v>
      </c>
      <c r="F101" s="20"/>
      <c r="G101" s="22">
        <f>F101*C101</f>
        <v>0</v>
      </c>
    </row>
    <row r="102" spans="2:7" ht="27" hidden="1" customHeight="1" thickBot="1" x14ac:dyDescent="0.3">
      <c r="B102" s="29" t="s">
        <v>293</v>
      </c>
      <c r="C102" s="45">
        <v>0.28000000000000003</v>
      </c>
      <c r="D102" s="55">
        <v>426</v>
      </c>
      <c r="E102" s="65">
        <v>2699</v>
      </c>
      <c r="F102" s="20"/>
      <c r="G102" s="22">
        <f>F102*C102</f>
        <v>0</v>
      </c>
    </row>
    <row r="103" spans="2:7" ht="27" hidden="1" customHeight="1" thickBot="1" x14ac:dyDescent="0.3">
      <c r="B103" s="29" t="s">
        <v>294</v>
      </c>
      <c r="C103" s="45">
        <v>0.33</v>
      </c>
      <c r="D103" s="55">
        <v>421</v>
      </c>
      <c r="E103" s="65">
        <v>2619</v>
      </c>
      <c r="F103" s="20"/>
      <c r="G103" s="22">
        <f>F103*C103</f>
        <v>0</v>
      </c>
    </row>
    <row r="104" spans="2:7" ht="27" hidden="1" customHeight="1" thickBot="1" x14ac:dyDescent="0.3">
      <c r="B104" s="29" t="s">
        <v>295</v>
      </c>
      <c r="C104" s="45">
        <v>0.33</v>
      </c>
      <c r="D104" s="55">
        <v>428</v>
      </c>
      <c r="E104" s="65">
        <v>2723</v>
      </c>
      <c r="F104" s="20"/>
      <c r="G104" s="22">
        <f>F104*C104</f>
        <v>0</v>
      </c>
    </row>
    <row r="105" spans="2:7" ht="27" hidden="1" customHeight="1" thickBot="1" x14ac:dyDescent="0.3">
      <c r="B105" s="29" t="s">
        <v>495</v>
      </c>
      <c r="C105" s="45">
        <v>0.06</v>
      </c>
      <c r="D105" s="55">
        <v>419</v>
      </c>
      <c r="E105" s="65">
        <v>3277</v>
      </c>
      <c r="F105" s="20"/>
      <c r="G105" s="22">
        <f>F105*C105</f>
        <v>0</v>
      </c>
    </row>
    <row r="106" spans="2:7" ht="27" hidden="1" customHeight="1" thickBot="1" x14ac:dyDescent="0.3">
      <c r="B106" s="32" t="s">
        <v>291</v>
      </c>
      <c r="C106" s="45">
        <v>0.6</v>
      </c>
      <c r="D106" s="55">
        <v>397</v>
      </c>
      <c r="E106" s="65">
        <v>2643</v>
      </c>
      <c r="F106" s="20"/>
      <c r="G106" s="22">
        <f>F106*C106</f>
        <v>0</v>
      </c>
    </row>
    <row r="107" spans="2:7" ht="27" hidden="1" customHeight="1" thickBot="1" x14ac:dyDescent="0.3">
      <c r="B107" s="33" t="s">
        <v>104</v>
      </c>
      <c r="C107" s="45">
        <v>1</v>
      </c>
      <c r="D107" s="56">
        <v>312</v>
      </c>
      <c r="E107" s="65">
        <v>2828</v>
      </c>
      <c r="F107" s="20"/>
      <c r="G107" s="22">
        <f>F107*C107</f>
        <v>0</v>
      </c>
    </row>
    <row r="108" spans="2:7" ht="27" hidden="1" customHeight="1" thickBot="1" x14ac:dyDescent="0.3">
      <c r="B108" s="33" t="s">
        <v>125</v>
      </c>
      <c r="C108" s="45">
        <v>0.45</v>
      </c>
      <c r="D108" s="56">
        <v>324</v>
      </c>
      <c r="E108" s="65">
        <v>2814</v>
      </c>
      <c r="F108" s="20"/>
      <c r="G108" s="22">
        <f>F108*C108</f>
        <v>0</v>
      </c>
    </row>
    <row r="109" spans="2:7" ht="27" customHeight="1" thickBot="1" x14ac:dyDescent="0.3">
      <c r="B109" s="32" t="s">
        <v>136</v>
      </c>
      <c r="C109" s="45">
        <v>1</v>
      </c>
      <c r="D109" s="56">
        <v>315</v>
      </c>
      <c r="E109" s="65">
        <v>2830</v>
      </c>
      <c r="F109" s="20">
        <v>400</v>
      </c>
      <c r="G109" s="22">
        <f>F109*C109</f>
        <v>400</v>
      </c>
    </row>
    <row r="110" spans="2:7" ht="27" hidden="1" customHeight="1" thickBot="1" x14ac:dyDescent="0.3">
      <c r="B110" s="32" t="s">
        <v>53</v>
      </c>
      <c r="C110" s="45">
        <v>1</v>
      </c>
      <c r="D110" s="56">
        <v>265</v>
      </c>
      <c r="E110" s="65">
        <v>2612</v>
      </c>
      <c r="F110" s="20"/>
      <c r="G110" s="22">
        <f>F110*C110</f>
        <v>0</v>
      </c>
    </row>
    <row r="111" spans="2:7" ht="27" customHeight="1" thickBot="1" x14ac:dyDescent="0.3">
      <c r="B111" s="32" t="s">
        <v>58</v>
      </c>
      <c r="C111" s="45">
        <v>1</v>
      </c>
      <c r="D111" s="57">
        <v>244</v>
      </c>
      <c r="E111" s="65">
        <v>1822</v>
      </c>
      <c r="F111" s="20">
        <v>100</v>
      </c>
      <c r="G111" s="22">
        <f>F111*C111</f>
        <v>100</v>
      </c>
    </row>
    <row r="112" spans="2:7" ht="27" hidden="1" customHeight="1" thickBot="1" x14ac:dyDescent="0.3">
      <c r="B112" s="32" t="s">
        <v>65</v>
      </c>
      <c r="C112" s="45">
        <v>1</v>
      </c>
      <c r="D112" s="58">
        <v>4</v>
      </c>
      <c r="E112" s="65">
        <v>124</v>
      </c>
      <c r="F112" s="20"/>
      <c r="G112" s="22">
        <f>F112*C112</f>
        <v>0</v>
      </c>
    </row>
    <row r="113" spans="2:7" ht="27" hidden="1" customHeight="1" thickBot="1" x14ac:dyDescent="0.3">
      <c r="B113" s="32" t="s">
        <v>189</v>
      </c>
      <c r="C113" s="45">
        <v>0.45</v>
      </c>
      <c r="D113" s="58">
        <v>55</v>
      </c>
      <c r="E113" s="65">
        <v>2476</v>
      </c>
      <c r="F113" s="20"/>
      <c r="G113" s="22">
        <f>F113*C113</f>
        <v>0</v>
      </c>
    </row>
    <row r="114" spans="2:7" ht="27" hidden="1" customHeight="1" thickBot="1" x14ac:dyDescent="0.3">
      <c r="B114" s="32" t="s">
        <v>72</v>
      </c>
      <c r="C114" s="45">
        <v>0.4</v>
      </c>
      <c r="D114" s="56">
        <v>23</v>
      </c>
      <c r="E114" s="65">
        <v>1485</v>
      </c>
      <c r="F114" s="20"/>
      <c r="G114" s="22">
        <f>F114*C114</f>
        <v>0</v>
      </c>
    </row>
    <row r="115" spans="2:7" ht="27" hidden="1" customHeight="1" thickBot="1" x14ac:dyDescent="0.3">
      <c r="B115" s="32" t="s">
        <v>190</v>
      </c>
      <c r="C115" s="45">
        <v>0.6</v>
      </c>
      <c r="D115" s="56">
        <v>377</v>
      </c>
      <c r="E115" s="65">
        <v>2631</v>
      </c>
      <c r="F115" s="20"/>
      <c r="G115" s="22">
        <f>F115*C115</f>
        <v>0</v>
      </c>
    </row>
    <row r="116" spans="2:7" ht="27" customHeight="1" thickBot="1" x14ac:dyDescent="0.3">
      <c r="B116" s="32" t="s">
        <v>66</v>
      </c>
      <c r="C116" s="45">
        <v>1</v>
      </c>
      <c r="D116" s="56">
        <v>5</v>
      </c>
      <c r="E116" s="65">
        <v>722</v>
      </c>
      <c r="F116" s="20">
        <v>900</v>
      </c>
      <c r="G116" s="22">
        <f>F116*C116</f>
        <v>900</v>
      </c>
    </row>
    <row r="117" spans="2:7" ht="27" hidden="1" customHeight="1" thickBot="1" x14ac:dyDescent="0.3">
      <c r="B117" s="36" t="s">
        <v>496</v>
      </c>
      <c r="C117" s="45">
        <v>0.6</v>
      </c>
      <c r="D117" s="56">
        <v>378</v>
      </c>
      <c r="E117" s="65"/>
      <c r="F117" s="20"/>
      <c r="G117" s="22">
        <f>F117*C117</f>
        <v>0</v>
      </c>
    </row>
    <row r="118" spans="2:7" ht="27" hidden="1" customHeight="1" thickBot="1" x14ac:dyDescent="0.3">
      <c r="B118" s="32" t="s">
        <v>151</v>
      </c>
      <c r="C118" s="45">
        <v>0.5</v>
      </c>
      <c r="D118" s="17"/>
      <c r="E118" s="65"/>
      <c r="F118" s="20"/>
      <c r="G118" s="22">
        <f>F118*C118</f>
        <v>0</v>
      </c>
    </row>
    <row r="119" spans="2:7" ht="27" hidden="1" customHeight="1" thickBot="1" x14ac:dyDescent="0.3">
      <c r="B119" s="32" t="s">
        <v>188</v>
      </c>
      <c r="C119" s="45">
        <v>2.5000000000000001E-2</v>
      </c>
      <c r="D119" s="56">
        <v>113</v>
      </c>
      <c r="E119" s="65">
        <v>2049</v>
      </c>
      <c r="F119" s="20"/>
      <c r="G119" s="22">
        <f>F119*C119</f>
        <v>0</v>
      </c>
    </row>
    <row r="120" spans="2:7" ht="27" hidden="1" customHeight="1" thickBot="1" x14ac:dyDescent="0.3">
      <c r="B120" s="32" t="s">
        <v>148</v>
      </c>
      <c r="C120" s="45">
        <v>1</v>
      </c>
      <c r="D120" s="56">
        <v>220</v>
      </c>
      <c r="E120" s="65">
        <v>1793</v>
      </c>
      <c r="F120" s="20"/>
      <c r="G120" s="22">
        <f>F120*C120</f>
        <v>0</v>
      </c>
    </row>
    <row r="121" spans="2:7" ht="27" hidden="1" customHeight="1" thickBot="1" x14ac:dyDescent="0.3">
      <c r="B121" s="32" t="s">
        <v>147</v>
      </c>
      <c r="C121" s="45">
        <v>1</v>
      </c>
      <c r="D121" s="56">
        <v>231</v>
      </c>
      <c r="E121" s="65">
        <v>1799</v>
      </c>
      <c r="F121" s="20"/>
      <c r="G121" s="22">
        <f>F121*C121</f>
        <v>0</v>
      </c>
    </row>
    <row r="122" spans="2:7" ht="27" hidden="1" customHeight="1" thickBot="1" x14ac:dyDescent="0.3">
      <c r="B122" s="32" t="s">
        <v>519</v>
      </c>
      <c r="C122" s="45">
        <v>1</v>
      </c>
      <c r="D122" s="56">
        <v>2</v>
      </c>
      <c r="E122" s="65"/>
      <c r="F122" s="20"/>
      <c r="G122" s="22">
        <f>F122*C122</f>
        <v>0</v>
      </c>
    </row>
    <row r="123" spans="2:7" ht="27" hidden="1" customHeight="1" thickBot="1" x14ac:dyDescent="0.3">
      <c r="B123" s="32" t="s">
        <v>93</v>
      </c>
      <c r="C123" s="45">
        <v>1</v>
      </c>
      <c r="D123" s="56">
        <v>264</v>
      </c>
      <c r="E123" s="65">
        <v>1780</v>
      </c>
      <c r="F123" s="20"/>
      <c r="G123" s="22">
        <f>F123*C123</f>
        <v>0</v>
      </c>
    </row>
    <row r="124" spans="2:7" ht="26.25" hidden="1" customHeight="1" thickBot="1" x14ac:dyDescent="0.3">
      <c r="B124" s="32" t="s">
        <v>96</v>
      </c>
      <c r="C124" s="45">
        <v>1</v>
      </c>
      <c r="D124" s="56">
        <v>369</v>
      </c>
      <c r="E124" s="65">
        <v>1778</v>
      </c>
      <c r="F124" s="20"/>
      <c r="G124" s="22">
        <f>F124*C124</f>
        <v>0</v>
      </c>
    </row>
    <row r="125" spans="2:7" ht="26.25" hidden="1" customHeight="1" thickBot="1" x14ac:dyDescent="0.3">
      <c r="B125" s="32" t="s">
        <v>497</v>
      </c>
      <c r="C125" s="45">
        <v>0.1</v>
      </c>
      <c r="D125" s="56">
        <v>338</v>
      </c>
      <c r="E125" s="65">
        <v>2840</v>
      </c>
      <c r="F125" s="20"/>
      <c r="G125" s="22">
        <f>F125*C125</f>
        <v>0</v>
      </c>
    </row>
    <row r="126" spans="2:7" ht="26.25" hidden="1" customHeight="1" thickBot="1" x14ac:dyDescent="0.3">
      <c r="B126" s="32" t="s">
        <v>498</v>
      </c>
      <c r="C126" s="45">
        <v>0.05</v>
      </c>
      <c r="D126" s="56">
        <v>90</v>
      </c>
      <c r="E126" s="65">
        <v>2050</v>
      </c>
      <c r="F126" s="20"/>
      <c r="G126" s="22">
        <f>F126*C126</f>
        <v>0</v>
      </c>
    </row>
    <row r="127" spans="2:7" ht="27" hidden="1" customHeight="1" thickBot="1" x14ac:dyDescent="0.3">
      <c r="B127" s="32" t="s">
        <v>149</v>
      </c>
      <c r="C127" s="45">
        <v>1</v>
      </c>
      <c r="D127" s="56">
        <v>267</v>
      </c>
      <c r="E127" s="65">
        <v>2614</v>
      </c>
      <c r="F127" s="20"/>
      <c r="G127" s="22">
        <f>F127*C127</f>
        <v>0</v>
      </c>
    </row>
    <row r="128" spans="2:7" ht="27" hidden="1" customHeight="1" thickBot="1" x14ac:dyDescent="0.3">
      <c r="B128" s="35" t="s">
        <v>68</v>
      </c>
      <c r="C128" s="46">
        <v>1</v>
      </c>
      <c r="D128" s="17">
        <v>243</v>
      </c>
      <c r="E128" s="65">
        <v>1820</v>
      </c>
      <c r="F128" s="20"/>
      <c r="G128" s="22">
        <f>F128*C128</f>
        <v>0</v>
      </c>
    </row>
    <row r="129" spans="2:7" ht="27" hidden="1" customHeight="1" thickBot="1" x14ac:dyDescent="0.3">
      <c r="B129" s="32" t="s">
        <v>67</v>
      </c>
      <c r="C129" s="45">
        <v>1</v>
      </c>
      <c r="D129" s="17">
        <v>266</v>
      </c>
      <c r="E129" s="65">
        <v>2613</v>
      </c>
      <c r="F129" s="20"/>
      <c r="G129" s="22">
        <f>F129*C129</f>
        <v>0</v>
      </c>
    </row>
    <row r="130" spans="2:7" ht="27" hidden="1" customHeight="1" thickBot="1" x14ac:dyDescent="0.3">
      <c r="B130" s="32" t="s">
        <v>71</v>
      </c>
      <c r="C130" s="45">
        <v>0.28000000000000003</v>
      </c>
      <c r="D130" s="56">
        <v>84</v>
      </c>
      <c r="E130" s="65">
        <v>2061</v>
      </c>
      <c r="F130" s="20"/>
      <c r="G130" s="22">
        <f>F130*C130</f>
        <v>0</v>
      </c>
    </row>
    <row r="131" spans="2:7" ht="26.25" hidden="1" customHeight="1" thickBot="1" x14ac:dyDescent="0.3">
      <c r="B131" s="32" t="s">
        <v>168</v>
      </c>
      <c r="C131" s="45">
        <v>1</v>
      </c>
      <c r="D131" s="56">
        <v>384</v>
      </c>
      <c r="E131" s="66">
        <v>3071</v>
      </c>
      <c r="F131" s="20"/>
      <c r="G131" s="22">
        <f>F131*C131</f>
        <v>0</v>
      </c>
    </row>
    <row r="132" spans="2:7" ht="26.25" customHeight="1" thickBot="1" x14ac:dyDescent="0.3">
      <c r="B132" s="32" t="s">
        <v>163</v>
      </c>
      <c r="C132" s="47">
        <v>1</v>
      </c>
      <c r="D132" s="56">
        <v>335</v>
      </c>
      <c r="E132" s="66">
        <v>2928</v>
      </c>
      <c r="F132" s="20">
        <v>300</v>
      </c>
      <c r="G132" s="22">
        <f>F132*C132</f>
        <v>300</v>
      </c>
    </row>
    <row r="133" spans="2:7" ht="26.25" customHeight="1" thickBot="1" x14ac:dyDescent="0.3">
      <c r="B133" s="32" t="s">
        <v>164</v>
      </c>
      <c r="C133" s="47">
        <v>1</v>
      </c>
      <c r="D133" s="56">
        <v>344</v>
      </c>
      <c r="E133" s="66">
        <v>2941</v>
      </c>
      <c r="F133" s="20">
        <v>100</v>
      </c>
      <c r="G133" s="22">
        <f>F133*C133</f>
        <v>100</v>
      </c>
    </row>
    <row r="134" spans="2:7" ht="27" customHeight="1" thickBot="1" x14ac:dyDescent="0.3">
      <c r="B134" s="32" t="s">
        <v>165</v>
      </c>
      <c r="C134" s="47">
        <v>1</v>
      </c>
      <c r="D134" s="56">
        <v>345</v>
      </c>
      <c r="E134" s="66">
        <v>2943</v>
      </c>
      <c r="F134" s="20">
        <v>100</v>
      </c>
      <c r="G134" s="22">
        <f>F134*C134</f>
        <v>100</v>
      </c>
    </row>
    <row r="135" spans="2:7" ht="27" customHeight="1" thickBot="1" x14ac:dyDescent="0.3">
      <c r="B135" s="32" t="s">
        <v>166</v>
      </c>
      <c r="C135" s="47">
        <v>1</v>
      </c>
      <c r="D135" s="56">
        <v>346</v>
      </c>
      <c r="E135" s="66">
        <v>2945</v>
      </c>
      <c r="F135" s="20">
        <v>100</v>
      </c>
      <c r="G135" s="22">
        <f>F135*C135</f>
        <v>100</v>
      </c>
    </row>
    <row r="136" spans="2:7" ht="27" customHeight="1" thickBot="1" x14ac:dyDescent="0.3">
      <c r="B136" s="32" t="s">
        <v>167</v>
      </c>
      <c r="C136" s="47">
        <v>1</v>
      </c>
      <c r="D136" s="56">
        <v>347</v>
      </c>
      <c r="E136" s="66">
        <v>2947</v>
      </c>
      <c r="F136" s="20">
        <v>250</v>
      </c>
      <c r="G136" s="22">
        <f>F136*C136</f>
        <v>250</v>
      </c>
    </row>
    <row r="137" spans="2:7" ht="26.25" hidden="1" customHeight="1" thickBot="1" x14ac:dyDescent="0.3">
      <c r="B137" s="32" t="s">
        <v>171</v>
      </c>
      <c r="C137" s="45">
        <v>1</v>
      </c>
      <c r="D137" s="56">
        <v>268</v>
      </c>
      <c r="E137" s="66">
        <v>2448</v>
      </c>
      <c r="F137" s="20"/>
      <c r="G137" s="22">
        <f>F137*C137</f>
        <v>0</v>
      </c>
    </row>
    <row r="138" spans="2:7" ht="27" hidden="1" customHeight="1" thickBot="1" x14ac:dyDescent="0.3">
      <c r="B138" s="32" t="s">
        <v>63</v>
      </c>
      <c r="C138" s="45">
        <v>1</v>
      </c>
      <c r="D138" s="17">
        <v>248</v>
      </c>
      <c r="E138" s="65">
        <v>2287</v>
      </c>
      <c r="F138" s="20"/>
      <c r="G138" s="22">
        <f>F138*C138</f>
        <v>0</v>
      </c>
    </row>
    <row r="139" spans="2:7" ht="26.25" hidden="1" customHeight="1" thickBot="1" x14ac:dyDescent="0.3">
      <c r="B139" s="32" t="s">
        <v>169</v>
      </c>
      <c r="C139" s="45">
        <v>1</v>
      </c>
      <c r="D139" s="56">
        <v>364</v>
      </c>
      <c r="E139" s="66">
        <v>2835</v>
      </c>
      <c r="F139" s="20"/>
      <c r="G139" s="22">
        <f>F139*C139</f>
        <v>0</v>
      </c>
    </row>
    <row r="140" spans="2:7" ht="26.25" hidden="1" customHeight="1" thickBot="1" x14ac:dyDescent="0.3">
      <c r="B140" s="32" t="s">
        <v>170</v>
      </c>
      <c r="C140" s="47">
        <v>0.33</v>
      </c>
      <c r="D140" s="56">
        <v>291</v>
      </c>
      <c r="E140" s="66">
        <v>2769</v>
      </c>
      <c r="F140" s="20"/>
      <c r="G140" s="22">
        <f>F140*C140</f>
        <v>0</v>
      </c>
    </row>
    <row r="141" spans="2:7" ht="27" hidden="1" customHeight="1" thickBot="1" x14ac:dyDescent="0.3">
      <c r="B141" s="32" t="s">
        <v>91</v>
      </c>
      <c r="C141" s="45">
        <v>1</v>
      </c>
      <c r="D141" s="56">
        <v>251</v>
      </c>
      <c r="E141" s="65">
        <v>1835</v>
      </c>
      <c r="F141" s="20"/>
      <c r="G141" s="22">
        <f>F141*C141</f>
        <v>0</v>
      </c>
    </row>
    <row r="142" spans="2:7" ht="27" hidden="1" customHeight="1" thickBot="1" x14ac:dyDescent="0.3">
      <c r="B142" s="32" t="s">
        <v>70</v>
      </c>
      <c r="C142" s="45">
        <v>0.42</v>
      </c>
      <c r="D142" s="56">
        <v>92</v>
      </c>
      <c r="E142" s="65">
        <v>1970</v>
      </c>
      <c r="F142" s="20"/>
      <c r="G142" s="22">
        <f>F142*C142</f>
        <v>0</v>
      </c>
    </row>
    <row r="143" spans="2:7" ht="27" hidden="1" customHeight="1" thickBot="1" x14ac:dyDescent="0.3">
      <c r="B143" s="32" t="s">
        <v>69</v>
      </c>
      <c r="C143" s="46">
        <v>0.42</v>
      </c>
      <c r="D143" s="56">
        <v>96</v>
      </c>
      <c r="E143" s="65">
        <v>1836</v>
      </c>
      <c r="F143" s="20"/>
      <c r="G143" s="22">
        <f>F143*C143</f>
        <v>0</v>
      </c>
    </row>
    <row r="144" spans="2:7" ht="27" customHeight="1" thickBot="1" x14ac:dyDescent="0.3">
      <c r="B144" s="32" t="s">
        <v>54</v>
      </c>
      <c r="C144" s="45">
        <v>1</v>
      </c>
      <c r="D144" s="56">
        <v>17</v>
      </c>
      <c r="E144" s="65">
        <v>1721</v>
      </c>
      <c r="F144" s="20">
        <v>750</v>
      </c>
      <c r="G144" s="22">
        <f>F144*C144</f>
        <v>750</v>
      </c>
    </row>
    <row r="145" spans="2:7" ht="27" customHeight="1" thickBot="1" x14ac:dyDescent="0.3">
      <c r="B145" s="37" t="s">
        <v>34</v>
      </c>
      <c r="C145" s="45">
        <v>1</v>
      </c>
      <c r="D145" s="56">
        <v>255</v>
      </c>
      <c r="E145" s="65">
        <v>2074</v>
      </c>
      <c r="F145" s="20">
        <v>2200</v>
      </c>
      <c r="G145" s="22">
        <f>F145*C145</f>
        <v>2200</v>
      </c>
    </row>
    <row r="146" spans="2:7" ht="27" customHeight="1" thickBot="1" x14ac:dyDescent="0.3">
      <c r="B146" s="32" t="s">
        <v>52</v>
      </c>
      <c r="C146" s="48">
        <v>1</v>
      </c>
      <c r="D146" s="59">
        <v>257</v>
      </c>
      <c r="E146" s="65">
        <v>246</v>
      </c>
      <c r="F146" s="20">
        <v>80</v>
      </c>
      <c r="G146" s="22">
        <f>F146*C146</f>
        <v>80</v>
      </c>
    </row>
    <row r="147" spans="2:7" s="1" customFormat="1" ht="27" hidden="1" customHeight="1" thickBot="1" x14ac:dyDescent="0.3">
      <c r="B147" s="32" t="s">
        <v>64</v>
      </c>
      <c r="C147" s="48">
        <v>1</v>
      </c>
      <c r="D147" s="18">
        <v>260</v>
      </c>
      <c r="E147" s="65">
        <v>1728</v>
      </c>
      <c r="F147" s="20"/>
      <c r="G147" s="22">
        <f>F147*C147</f>
        <v>0</v>
      </c>
    </row>
    <row r="148" spans="2:7" ht="27" customHeight="1" thickBot="1" x14ac:dyDescent="0.3">
      <c r="B148" s="37" t="s">
        <v>1</v>
      </c>
      <c r="C148" s="49">
        <v>1</v>
      </c>
      <c r="D148" s="60">
        <v>200</v>
      </c>
      <c r="E148" s="65">
        <v>2035</v>
      </c>
      <c r="F148" s="20">
        <v>1000</v>
      </c>
      <c r="G148" s="22">
        <f>F148*C148</f>
        <v>1000</v>
      </c>
    </row>
    <row r="149" spans="2:7" ht="27" hidden="1" customHeight="1" thickBot="1" x14ac:dyDescent="0.3">
      <c r="B149" s="32" t="s">
        <v>159</v>
      </c>
      <c r="C149" s="45">
        <v>1</v>
      </c>
      <c r="D149" s="56">
        <v>222</v>
      </c>
      <c r="E149" s="65">
        <v>1777</v>
      </c>
      <c r="F149" s="20"/>
      <c r="G149" s="22">
        <f>F149*C149</f>
        <v>0</v>
      </c>
    </row>
    <row r="150" spans="2:7" ht="27" hidden="1" customHeight="1" thickBot="1" x14ac:dyDescent="0.3">
      <c r="B150" s="32" t="s">
        <v>183</v>
      </c>
      <c r="C150" s="45">
        <v>0.5</v>
      </c>
      <c r="D150" s="56">
        <v>25</v>
      </c>
      <c r="E150" s="67">
        <v>11</v>
      </c>
      <c r="F150" s="20"/>
      <c r="G150" s="22">
        <f>F150*C150</f>
        <v>0</v>
      </c>
    </row>
    <row r="151" spans="2:7" ht="27" hidden="1" customHeight="1" thickBot="1" x14ac:dyDescent="0.3">
      <c r="B151" s="32" t="s">
        <v>185</v>
      </c>
      <c r="C151" s="45">
        <v>0.35</v>
      </c>
      <c r="D151" s="56">
        <v>78</v>
      </c>
      <c r="E151" s="65"/>
      <c r="F151" s="20"/>
      <c r="G151" s="22">
        <f>F151*C151</f>
        <v>0</v>
      </c>
    </row>
    <row r="152" spans="2:7" ht="27" hidden="1" customHeight="1" thickBot="1" x14ac:dyDescent="0.3">
      <c r="B152" s="32" t="s">
        <v>182</v>
      </c>
      <c r="C152" s="45">
        <v>1</v>
      </c>
      <c r="D152" s="56">
        <v>254</v>
      </c>
      <c r="E152" s="65">
        <v>255</v>
      </c>
      <c r="F152" s="20"/>
      <c r="G152" s="22">
        <f>F152*C152</f>
        <v>0</v>
      </c>
    </row>
    <row r="153" spans="2:7" ht="27" customHeight="1" thickBot="1" x14ac:dyDescent="0.3">
      <c r="B153" s="32" t="s">
        <v>124</v>
      </c>
      <c r="C153" s="45">
        <v>1</v>
      </c>
      <c r="D153" s="56">
        <v>330</v>
      </c>
      <c r="E153" s="65">
        <v>2829</v>
      </c>
      <c r="F153" s="20">
        <v>600</v>
      </c>
      <c r="G153" s="22">
        <f>F153*C153</f>
        <v>600</v>
      </c>
    </row>
    <row r="154" spans="2:7" ht="27" hidden="1" customHeight="1" thickBot="1" x14ac:dyDescent="0.3">
      <c r="B154" s="37" t="s">
        <v>5</v>
      </c>
      <c r="C154" s="45">
        <v>1</v>
      </c>
      <c r="D154" s="56">
        <v>217</v>
      </c>
      <c r="E154" s="65">
        <v>2094</v>
      </c>
      <c r="F154" s="20"/>
      <c r="G154" s="22">
        <f>F154*C154</f>
        <v>0</v>
      </c>
    </row>
    <row r="155" spans="2:7" ht="27" hidden="1" customHeight="1" thickBot="1" x14ac:dyDescent="0.3">
      <c r="B155" s="32" t="s">
        <v>73</v>
      </c>
      <c r="C155" s="45">
        <v>1</v>
      </c>
      <c r="D155" s="17">
        <v>219</v>
      </c>
      <c r="E155" s="65">
        <v>251</v>
      </c>
      <c r="F155" s="20"/>
      <c r="G155" s="22">
        <f>F155*C155</f>
        <v>0</v>
      </c>
    </row>
    <row r="156" spans="2:7" ht="27" hidden="1" customHeight="1" thickBot="1" x14ac:dyDescent="0.3">
      <c r="B156" s="32" t="s">
        <v>74</v>
      </c>
      <c r="C156" s="45">
        <v>1</v>
      </c>
      <c r="D156" s="17">
        <v>230</v>
      </c>
      <c r="E156" s="65" t="s">
        <v>483</v>
      </c>
      <c r="F156" s="20"/>
      <c r="G156" s="22">
        <f>F156*C156</f>
        <v>0</v>
      </c>
    </row>
    <row r="157" spans="2:7" ht="27" customHeight="1" thickBot="1" x14ac:dyDescent="0.3">
      <c r="B157" s="32" t="s">
        <v>55</v>
      </c>
      <c r="C157" s="48">
        <v>1</v>
      </c>
      <c r="D157" s="61">
        <v>16</v>
      </c>
      <c r="E157" s="65">
        <v>1523</v>
      </c>
      <c r="F157" s="20">
        <v>500</v>
      </c>
      <c r="G157" s="22">
        <f>F157*C157</f>
        <v>500</v>
      </c>
    </row>
    <row r="158" spans="2:7" ht="27" hidden="1" customHeight="1" thickBot="1" x14ac:dyDescent="0.3">
      <c r="B158" s="38" t="s">
        <v>181</v>
      </c>
      <c r="C158" s="49">
        <v>0.33</v>
      </c>
      <c r="D158" s="62">
        <v>31</v>
      </c>
      <c r="E158" s="65"/>
      <c r="F158" s="20"/>
      <c r="G158" s="22">
        <f>F158*C158</f>
        <v>0</v>
      </c>
    </row>
    <row r="159" spans="2:7" ht="27" hidden="1" customHeight="1" thickBot="1" x14ac:dyDescent="0.3">
      <c r="B159" s="37" t="s">
        <v>153</v>
      </c>
      <c r="C159" s="44">
        <v>1</v>
      </c>
      <c r="D159" s="60">
        <v>223</v>
      </c>
      <c r="E159" s="65">
        <v>2203</v>
      </c>
      <c r="F159" s="20"/>
      <c r="G159" s="22">
        <f>F159*C159</f>
        <v>0</v>
      </c>
    </row>
    <row r="160" spans="2:7" ht="27" hidden="1" customHeight="1" thickBot="1" x14ac:dyDescent="0.3">
      <c r="B160" s="37" t="s">
        <v>49</v>
      </c>
      <c r="C160" s="45">
        <v>1</v>
      </c>
      <c r="D160" s="56">
        <v>280</v>
      </c>
      <c r="E160" s="65">
        <v>1944</v>
      </c>
      <c r="F160" s="20"/>
      <c r="G160" s="22">
        <f>F160*C160</f>
        <v>0</v>
      </c>
    </row>
    <row r="161" spans="2:7" ht="27" hidden="1" customHeight="1" thickBot="1" x14ac:dyDescent="0.3">
      <c r="B161" s="37" t="s">
        <v>186</v>
      </c>
      <c r="C161" s="44">
        <v>1</v>
      </c>
      <c r="D161" s="56">
        <v>206</v>
      </c>
      <c r="E161" s="65"/>
      <c r="F161" s="20"/>
      <c r="G161" s="22">
        <f>F161*C161</f>
        <v>0</v>
      </c>
    </row>
    <row r="162" spans="2:7" ht="27" hidden="1" customHeight="1" thickBot="1" x14ac:dyDescent="0.3">
      <c r="B162" s="39" t="s">
        <v>172</v>
      </c>
      <c r="C162" s="44">
        <v>1</v>
      </c>
      <c r="D162" s="56">
        <v>336</v>
      </c>
      <c r="E162" s="65">
        <v>2833</v>
      </c>
      <c r="F162" s="20"/>
      <c r="G162" s="22">
        <f>F162*C162</f>
        <v>0</v>
      </c>
    </row>
    <row r="163" spans="2:7" ht="26.25" hidden="1" customHeight="1" thickBot="1" x14ac:dyDescent="0.3">
      <c r="B163" s="37" t="s">
        <v>0</v>
      </c>
      <c r="C163" s="46">
        <v>0.45</v>
      </c>
      <c r="D163" s="56">
        <v>287</v>
      </c>
      <c r="E163" s="65">
        <v>0</v>
      </c>
      <c r="F163" s="20"/>
      <c r="G163" s="22">
        <f>F163*C163</f>
        <v>0</v>
      </c>
    </row>
    <row r="164" spans="2:7" ht="26.25" hidden="1" customHeight="1" thickBot="1" x14ac:dyDescent="0.3">
      <c r="B164" s="37" t="s">
        <v>36</v>
      </c>
      <c r="C164" s="45">
        <v>0.4</v>
      </c>
      <c r="D164" s="56">
        <v>40</v>
      </c>
      <c r="E164" s="65">
        <v>0</v>
      </c>
      <c r="F164" s="20"/>
      <c r="G164" s="22">
        <f>F164*C164</f>
        <v>0</v>
      </c>
    </row>
    <row r="165" spans="2:7" ht="26.25" hidden="1" customHeight="1" thickBot="1" x14ac:dyDescent="0.3">
      <c r="B165" s="37" t="s">
        <v>131</v>
      </c>
      <c r="C165" s="45">
        <v>1</v>
      </c>
      <c r="D165" s="56">
        <v>311</v>
      </c>
      <c r="E165" s="65">
        <v>0</v>
      </c>
      <c r="F165" s="20"/>
      <c r="G165" s="22">
        <f>F165*C165</f>
        <v>0</v>
      </c>
    </row>
    <row r="166" spans="2:7" ht="26.25" hidden="1" customHeight="1" thickBot="1" x14ac:dyDescent="0.3">
      <c r="B166" s="37" t="s">
        <v>128</v>
      </c>
      <c r="C166" s="45">
        <v>1</v>
      </c>
      <c r="D166" s="56">
        <v>320</v>
      </c>
      <c r="E166" s="65">
        <v>2811</v>
      </c>
      <c r="F166" s="20"/>
      <c r="G166" s="22">
        <f>F166*C166</f>
        <v>0</v>
      </c>
    </row>
    <row r="167" spans="2:7" ht="26.25" customHeight="1" thickBot="1" x14ac:dyDescent="0.3">
      <c r="B167" s="32" t="s">
        <v>76</v>
      </c>
      <c r="C167" s="45">
        <v>1</v>
      </c>
      <c r="D167" s="17">
        <v>201</v>
      </c>
      <c r="E167" s="65">
        <v>126</v>
      </c>
      <c r="F167" s="20">
        <v>2150</v>
      </c>
      <c r="G167" s="22">
        <f>F167*C167</f>
        <v>2150</v>
      </c>
    </row>
    <row r="168" spans="2:7" ht="26.25" hidden="1" customHeight="1" thickBot="1" x14ac:dyDescent="0.3">
      <c r="B168" s="32" t="s">
        <v>156</v>
      </c>
      <c r="C168" s="48">
        <v>1</v>
      </c>
      <c r="D168" s="56">
        <v>375</v>
      </c>
      <c r="E168" s="65">
        <v>2542</v>
      </c>
      <c r="F168" s="20"/>
      <c r="G168" s="22">
        <f>F168*C168</f>
        <v>0</v>
      </c>
    </row>
    <row r="169" spans="2:7" ht="26.25" hidden="1" customHeight="1" thickBot="1" x14ac:dyDescent="0.3">
      <c r="B169" s="32" t="s">
        <v>184</v>
      </c>
      <c r="C169" s="50">
        <v>1</v>
      </c>
      <c r="D169" s="56">
        <v>202</v>
      </c>
      <c r="E169" s="65"/>
      <c r="F169" s="20"/>
      <c r="G169" s="22">
        <f>F169*C169</f>
        <v>0</v>
      </c>
    </row>
    <row r="170" spans="2:7" ht="26.25" hidden="1" customHeight="1" thickBot="1" x14ac:dyDescent="0.3">
      <c r="B170" s="37" t="s">
        <v>2</v>
      </c>
      <c r="C170" s="48">
        <v>0.4</v>
      </c>
      <c r="D170" s="56">
        <v>43</v>
      </c>
      <c r="E170" s="65">
        <v>2027</v>
      </c>
      <c r="F170" s="20"/>
      <c r="G170" s="22">
        <f>F170*C170</f>
        <v>0</v>
      </c>
    </row>
    <row r="171" spans="2:7" ht="26.25" hidden="1" customHeight="1" thickBot="1" x14ac:dyDescent="0.3">
      <c r="B171" s="37" t="s">
        <v>146</v>
      </c>
      <c r="C171" s="45">
        <v>0.17</v>
      </c>
      <c r="D171" s="56">
        <v>47</v>
      </c>
      <c r="E171" s="65">
        <v>2092</v>
      </c>
      <c r="F171" s="20"/>
      <c r="G171" s="22">
        <f>F171*C171</f>
        <v>0</v>
      </c>
    </row>
    <row r="172" spans="2:7" ht="26.25" hidden="1" customHeight="1" thickBot="1" x14ac:dyDescent="0.3">
      <c r="B172" s="37" t="s">
        <v>139</v>
      </c>
      <c r="C172" s="45">
        <v>0.35</v>
      </c>
      <c r="D172" s="56">
        <v>282</v>
      </c>
      <c r="E172" s="65">
        <v>2545</v>
      </c>
      <c r="F172" s="20"/>
      <c r="G172" s="22">
        <f>F172*C172</f>
        <v>0</v>
      </c>
    </row>
    <row r="173" spans="2:7" ht="26.25" hidden="1" customHeight="1" thickBot="1" x14ac:dyDescent="0.3">
      <c r="B173" s="37" t="s">
        <v>140</v>
      </c>
      <c r="C173" s="45">
        <v>0.35</v>
      </c>
      <c r="D173" s="56">
        <v>116</v>
      </c>
      <c r="E173" s="65">
        <v>2604</v>
      </c>
      <c r="F173" s="20"/>
      <c r="G173" s="22">
        <f>F173*C173</f>
        <v>0</v>
      </c>
    </row>
    <row r="174" spans="2:7" ht="27" hidden="1" customHeight="1" thickBot="1" x14ac:dyDescent="0.3">
      <c r="B174" s="37" t="s">
        <v>99</v>
      </c>
      <c r="C174" s="45">
        <v>1</v>
      </c>
      <c r="D174" s="56">
        <v>333</v>
      </c>
      <c r="E174" s="65">
        <v>64</v>
      </c>
      <c r="F174" s="20"/>
      <c r="G174" s="22">
        <f>F174*C174</f>
        <v>0</v>
      </c>
    </row>
    <row r="175" spans="2:7" ht="27" hidden="1" customHeight="1" thickBot="1" x14ac:dyDescent="0.3">
      <c r="B175" s="37" t="s">
        <v>158</v>
      </c>
      <c r="C175" s="44">
        <v>1</v>
      </c>
      <c r="D175" s="56">
        <v>211</v>
      </c>
      <c r="E175" s="65"/>
      <c r="F175" s="20"/>
      <c r="G175" s="22">
        <f>F175*C175</f>
        <v>0</v>
      </c>
    </row>
    <row r="176" spans="2:7" ht="26.25" hidden="1" customHeight="1" thickBot="1" x14ac:dyDescent="0.3">
      <c r="B176" s="37" t="s">
        <v>3</v>
      </c>
      <c r="C176" s="46">
        <v>0.35</v>
      </c>
      <c r="D176" s="56">
        <v>294</v>
      </c>
      <c r="E176" s="65">
        <v>0</v>
      </c>
      <c r="F176" s="20"/>
      <c r="G176" s="22">
        <f>F176*C176</f>
        <v>0</v>
      </c>
    </row>
    <row r="177" spans="2:7" ht="26.25" hidden="1" customHeight="1" thickBot="1" x14ac:dyDescent="0.3">
      <c r="B177" s="37" t="s">
        <v>97</v>
      </c>
      <c r="C177" s="45">
        <v>1</v>
      </c>
      <c r="D177" s="56">
        <v>357</v>
      </c>
      <c r="E177" s="65"/>
      <c r="F177" s="20"/>
      <c r="G177" s="22">
        <f>F177*C177</f>
        <v>0</v>
      </c>
    </row>
    <row r="178" spans="2:7" ht="26.25" hidden="1" customHeight="1" thickBot="1" x14ac:dyDescent="0.3">
      <c r="B178" s="34" t="s">
        <v>127</v>
      </c>
      <c r="C178" s="45">
        <v>0.45</v>
      </c>
      <c r="D178" s="56">
        <v>322</v>
      </c>
      <c r="E178" s="65">
        <v>2816</v>
      </c>
      <c r="F178" s="20"/>
      <c r="G178" s="22">
        <f>F178*C178</f>
        <v>0</v>
      </c>
    </row>
    <row r="179" spans="2:7" ht="26.25" hidden="1" customHeight="1" thickBot="1" x14ac:dyDescent="0.3">
      <c r="B179" s="34" t="s">
        <v>127</v>
      </c>
      <c r="C179" s="45">
        <v>0.45</v>
      </c>
      <c r="D179" s="56">
        <v>322</v>
      </c>
      <c r="E179" s="65">
        <v>3584</v>
      </c>
      <c r="F179" s="20"/>
      <c r="G179" s="22">
        <f>F179*C179</f>
        <v>0</v>
      </c>
    </row>
    <row r="180" spans="2:7" ht="26.25" hidden="1" customHeight="1" thickBot="1" x14ac:dyDescent="0.3">
      <c r="B180" s="32" t="s">
        <v>120</v>
      </c>
      <c r="C180" s="47">
        <v>0.45</v>
      </c>
      <c r="D180" s="56">
        <v>326</v>
      </c>
      <c r="E180" s="65">
        <v>2823</v>
      </c>
      <c r="F180" s="20"/>
      <c r="G180" s="22">
        <f>F180*C180</f>
        <v>0</v>
      </c>
    </row>
    <row r="181" spans="2:7" ht="26.25" hidden="1" customHeight="1" thickBot="1" x14ac:dyDescent="0.3">
      <c r="B181" s="33" t="s">
        <v>126</v>
      </c>
      <c r="C181" s="45">
        <v>0.45</v>
      </c>
      <c r="D181" s="56">
        <v>319</v>
      </c>
      <c r="E181" s="65">
        <v>2815</v>
      </c>
      <c r="F181" s="20"/>
      <c r="G181" s="22">
        <f>F181*C181</f>
        <v>0</v>
      </c>
    </row>
    <row r="182" spans="2:7" ht="26.25" hidden="1" customHeight="1" thickBot="1" x14ac:dyDescent="0.3">
      <c r="B182" s="37" t="s">
        <v>37</v>
      </c>
      <c r="C182" s="45">
        <v>0.45</v>
      </c>
      <c r="D182" s="56">
        <v>21</v>
      </c>
      <c r="E182" s="65">
        <v>1905</v>
      </c>
      <c r="F182" s="20"/>
      <c r="G182" s="22">
        <f>F182*C182</f>
        <v>0</v>
      </c>
    </row>
    <row r="183" spans="2:7" ht="26.25" hidden="1" customHeight="1" thickBot="1" x14ac:dyDescent="0.3">
      <c r="B183" s="37" t="s">
        <v>442</v>
      </c>
      <c r="C183" s="45">
        <v>1</v>
      </c>
      <c r="D183" s="56">
        <v>3</v>
      </c>
      <c r="E183" s="65">
        <v>1904</v>
      </c>
      <c r="F183" s="20"/>
      <c r="G183" s="22">
        <f>F183*C183</f>
        <v>0</v>
      </c>
    </row>
    <row r="184" spans="2:7" ht="26.25" hidden="1" customHeight="1" thickBot="1" x14ac:dyDescent="0.3">
      <c r="B184" s="37" t="s">
        <v>4</v>
      </c>
      <c r="C184" s="45">
        <v>0.5</v>
      </c>
      <c r="D184" s="56">
        <v>22</v>
      </c>
      <c r="E184" s="65">
        <v>125</v>
      </c>
      <c r="F184" s="20"/>
      <c r="G184" s="22">
        <f>F184*C184</f>
        <v>0</v>
      </c>
    </row>
    <row r="185" spans="2:7" ht="26.25" customHeight="1" thickBot="1" x14ac:dyDescent="0.3">
      <c r="B185" s="37" t="s">
        <v>38</v>
      </c>
      <c r="C185" s="45">
        <v>1</v>
      </c>
      <c r="D185" s="56">
        <v>215</v>
      </c>
      <c r="E185" s="65">
        <v>2011</v>
      </c>
      <c r="F185" s="20">
        <v>500</v>
      </c>
      <c r="G185" s="22">
        <f>F185*C185</f>
        <v>500</v>
      </c>
    </row>
    <row r="186" spans="2:7" ht="26.25" hidden="1" customHeight="1" thickBot="1" x14ac:dyDescent="0.3">
      <c r="B186" s="37" t="s">
        <v>90</v>
      </c>
      <c r="C186" s="45">
        <v>0.4</v>
      </c>
      <c r="D186" s="56">
        <v>56</v>
      </c>
      <c r="E186" s="65">
        <v>0</v>
      </c>
      <c r="F186" s="20"/>
      <c r="G186" s="22">
        <f>F186*C186</f>
        <v>0</v>
      </c>
    </row>
    <row r="187" spans="2:7" ht="26.25" hidden="1" customHeight="1" thickBot="1" x14ac:dyDescent="0.3">
      <c r="B187" s="37" t="s">
        <v>39</v>
      </c>
      <c r="C187" s="45">
        <v>0.4</v>
      </c>
      <c r="D187" s="56">
        <v>57</v>
      </c>
      <c r="E187" s="65">
        <v>2019</v>
      </c>
      <c r="F187" s="20"/>
      <c r="G187" s="22">
        <f>F187*C187</f>
        <v>0</v>
      </c>
    </row>
    <row r="188" spans="2:7" ht="26.25" hidden="1" customHeight="1" thickBot="1" x14ac:dyDescent="0.3">
      <c r="B188" s="32" t="s">
        <v>142</v>
      </c>
      <c r="C188" s="47">
        <v>0.4</v>
      </c>
      <c r="D188" s="56">
        <v>288</v>
      </c>
      <c r="E188" s="65">
        <v>2462</v>
      </c>
      <c r="F188" s="20"/>
      <c r="G188" s="22">
        <f>F188*C188</f>
        <v>0</v>
      </c>
    </row>
    <row r="189" spans="2:7" ht="26.25" hidden="1" customHeight="1" thickBot="1" x14ac:dyDescent="0.3">
      <c r="B189" s="32" t="s">
        <v>141</v>
      </c>
      <c r="C189" s="47">
        <v>1</v>
      </c>
      <c r="D189" s="56">
        <v>218</v>
      </c>
      <c r="E189" s="65">
        <v>2073</v>
      </c>
      <c r="F189" s="20"/>
      <c r="G189" s="22">
        <f>F189*C189</f>
        <v>0</v>
      </c>
    </row>
    <row r="190" spans="2:7" ht="26.25" hidden="1" customHeight="1" thickBot="1" x14ac:dyDescent="0.3">
      <c r="B190" s="32" t="s">
        <v>141</v>
      </c>
      <c r="C190" s="47">
        <v>1</v>
      </c>
      <c r="D190" s="56">
        <v>218</v>
      </c>
      <c r="E190" s="65">
        <v>2187</v>
      </c>
      <c r="F190" s="20"/>
      <c r="G190" s="22">
        <f>F190*C190</f>
        <v>0</v>
      </c>
    </row>
    <row r="191" spans="2:7" ht="26.25" hidden="1" customHeight="1" thickBot="1" x14ac:dyDescent="0.3">
      <c r="B191" s="37" t="s">
        <v>6</v>
      </c>
      <c r="C191" s="45">
        <v>0.5</v>
      </c>
      <c r="D191" s="56">
        <v>58</v>
      </c>
      <c r="E191" s="65">
        <v>1989</v>
      </c>
      <c r="F191" s="20"/>
      <c r="G191" s="22">
        <f>F191*C191</f>
        <v>0</v>
      </c>
    </row>
    <row r="192" spans="2:7" ht="26.25" hidden="1" customHeight="1" thickBot="1" x14ac:dyDescent="0.3">
      <c r="B192" s="37" t="s">
        <v>89</v>
      </c>
      <c r="C192" s="45">
        <v>0.5</v>
      </c>
      <c r="D192" s="56">
        <v>59</v>
      </c>
      <c r="E192" s="65">
        <v>1794</v>
      </c>
      <c r="F192" s="20"/>
      <c r="G192" s="22">
        <f>F192*C192</f>
        <v>0</v>
      </c>
    </row>
    <row r="193" spans="2:7" ht="26.25" hidden="1" customHeight="1" thickBot="1" x14ac:dyDescent="0.3">
      <c r="B193" s="37" t="s">
        <v>187</v>
      </c>
      <c r="C193" s="45">
        <v>0.35</v>
      </c>
      <c r="D193" s="56">
        <v>394</v>
      </c>
      <c r="E193" s="65">
        <v>2985</v>
      </c>
      <c r="F193" s="20"/>
      <c r="G193" s="22">
        <f>F193*C193</f>
        <v>0</v>
      </c>
    </row>
    <row r="194" spans="2:7" ht="47.25" hidden="1" customHeight="1" thickBot="1" x14ac:dyDescent="0.3">
      <c r="B194" s="37" t="s">
        <v>143</v>
      </c>
      <c r="C194" s="45">
        <v>1</v>
      </c>
      <c r="D194" s="56">
        <v>221</v>
      </c>
      <c r="E194" s="65">
        <v>57</v>
      </c>
      <c r="F194" s="20"/>
      <c r="G194" s="22">
        <f>F194*C194</f>
        <v>0</v>
      </c>
    </row>
    <row r="195" spans="2:7" ht="26.25" hidden="1" customHeight="1" thickBot="1" x14ac:dyDescent="0.3">
      <c r="B195" s="32" t="s">
        <v>162</v>
      </c>
      <c r="C195" s="45">
        <v>1</v>
      </c>
      <c r="D195" s="56">
        <v>348</v>
      </c>
      <c r="E195" s="66">
        <v>2899</v>
      </c>
      <c r="F195" s="20"/>
      <c r="G195" s="22">
        <f>F195*C195</f>
        <v>0</v>
      </c>
    </row>
    <row r="196" spans="2:7" ht="26.25" customHeight="1" thickBot="1" x14ac:dyDescent="0.3">
      <c r="B196" s="37" t="s">
        <v>51</v>
      </c>
      <c r="C196" s="45">
        <v>1</v>
      </c>
      <c r="D196" s="56">
        <v>225</v>
      </c>
      <c r="E196" s="65">
        <v>2182</v>
      </c>
      <c r="F196" s="20">
        <v>300</v>
      </c>
      <c r="G196" s="22">
        <f>F196*C196</f>
        <v>300</v>
      </c>
    </row>
    <row r="197" spans="2:7" ht="26.25" hidden="1" customHeight="1" thickBot="1" x14ac:dyDescent="0.3">
      <c r="B197" s="37" t="s">
        <v>94</v>
      </c>
      <c r="C197" s="45">
        <v>0.6</v>
      </c>
      <c r="D197" s="56">
        <v>299</v>
      </c>
      <c r="E197" s="65">
        <v>0</v>
      </c>
      <c r="F197" s="20"/>
      <c r="G197" s="22">
        <f>F197*C197</f>
        <v>0</v>
      </c>
    </row>
    <row r="198" spans="2:7" ht="26.25" hidden="1" customHeight="1" thickBot="1" x14ac:dyDescent="0.3">
      <c r="B198" s="37" t="s">
        <v>7</v>
      </c>
      <c r="C198" s="45">
        <v>1</v>
      </c>
      <c r="D198" s="56">
        <v>226</v>
      </c>
      <c r="E198" s="65">
        <v>1920</v>
      </c>
      <c r="F198" s="20"/>
      <c r="G198" s="22">
        <f>F198*C198</f>
        <v>0</v>
      </c>
    </row>
    <row r="199" spans="2:7" ht="26.25" hidden="1" customHeight="1" thickBot="1" x14ac:dyDescent="0.3">
      <c r="B199" s="37" t="s">
        <v>8</v>
      </c>
      <c r="C199" s="45">
        <v>0.3</v>
      </c>
      <c r="D199" s="56">
        <v>62</v>
      </c>
      <c r="E199" s="65">
        <v>2252</v>
      </c>
      <c r="F199" s="20"/>
      <c r="G199" s="22">
        <f>F199*C199</f>
        <v>0</v>
      </c>
    </row>
    <row r="200" spans="2:7" ht="26.25" customHeight="1" thickBot="1" x14ac:dyDescent="0.3">
      <c r="B200" s="37" t="s">
        <v>9</v>
      </c>
      <c r="C200" s="45">
        <v>1</v>
      </c>
      <c r="D200" s="56">
        <v>229</v>
      </c>
      <c r="E200" s="65">
        <v>2010</v>
      </c>
      <c r="F200" s="20">
        <v>400</v>
      </c>
      <c r="G200" s="22">
        <f>F200*C200</f>
        <v>400</v>
      </c>
    </row>
    <row r="201" spans="2:7" ht="26.25" hidden="1" customHeight="1" thickBot="1" x14ac:dyDescent="0.3">
      <c r="B201" s="37" t="s">
        <v>10</v>
      </c>
      <c r="C201" s="45">
        <v>0.4</v>
      </c>
      <c r="D201" s="56">
        <v>64</v>
      </c>
      <c r="E201" s="65">
        <v>2020</v>
      </c>
      <c r="F201" s="20"/>
      <c r="G201" s="22">
        <f>F201*C201</f>
        <v>0</v>
      </c>
    </row>
    <row r="202" spans="2:7" ht="33.75" hidden="1" customHeight="1" thickBot="1" x14ac:dyDescent="0.3">
      <c r="B202" s="37" t="s">
        <v>11</v>
      </c>
      <c r="C202" s="45">
        <v>0.5</v>
      </c>
      <c r="D202" s="56">
        <v>65</v>
      </c>
      <c r="E202" s="65">
        <v>1795</v>
      </c>
      <c r="F202" s="20"/>
      <c r="G202" s="22">
        <f>F202*C202</f>
        <v>0</v>
      </c>
    </row>
    <row r="203" spans="2:7" ht="26.25" hidden="1" customHeight="1" thickBot="1" x14ac:dyDescent="0.3">
      <c r="B203" s="37" t="s">
        <v>98</v>
      </c>
      <c r="C203" s="45">
        <v>0.5</v>
      </c>
      <c r="D203" s="56">
        <v>358</v>
      </c>
      <c r="E203" s="65">
        <v>1829</v>
      </c>
      <c r="F203" s="20"/>
      <c r="G203" s="22">
        <f>F203*C203</f>
        <v>0</v>
      </c>
    </row>
    <row r="204" spans="2:7" s="1" customFormat="1" ht="26.25" hidden="1" customHeight="1" thickBot="1" x14ac:dyDescent="0.3">
      <c r="B204" s="32" t="s">
        <v>106</v>
      </c>
      <c r="C204" s="47">
        <v>0.35</v>
      </c>
      <c r="D204" s="56">
        <v>296</v>
      </c>
      <c r="E204" s="65">
        <v>2660</v>
      </c>
      <c r="F204" s="20"/>
      <c r="G204" s="22">
        <f>F204*C204</f>
        <v>0</v>
      </c>
    </row>
    <row r="205" spans="2:7" ht="26.25" customHeight="1" thickBot="1" x14ac:dyDescent="0.3">
      <c r="B205" s="32" t="s">
        <v>160</v>
      </c>
      <c r="C205" s="47">
        <v>1</v>
      </c>
      <c r="D205" s="56">
        <v>297</v>
      </c>
      <c r="E205" s="65">
        <v>2756</v>
      </c>
      <c r="F205" s="20">
        <v>100</v>
      </c>
      <c r="G205" s="22">
        <f>F205*C205</f>
        <v>100</v>
      </c>
    </row>
    <row r="206" spans="2:7" ht="26.25" hidden="1" customHeight="1" thickBot="1" x14ac:dyDescent="0.3">
      <c r="B206" s="32" t="s">
        <v>161</v>
      </c>
      <c r="C206" s="47">
        <v>0.42</v>
      </c>
      <c r="D206" s="56">
        <v>289</v>
      </c>
      <c r="E206" s="65">
        <v>0</v>
      </c>
      <c r="F206" s="20"/>
      <c r="G206" s="22">
        <f>F206*C206</f>
        <v>0</v>
      </c>
    </row>
    <row r="207" spans="2:7" ht="26.25" hidden="1" customHeight="1" thickBot="1" x14ac:dyDescent="0.3">
      <c r="B207" s="32" t="s">
        <v>107</v>
      </c>
      <c r="C207" s="47">
        <v>0.4</v>
      </c>
      <c r="D207" s="56">
        <v>303</v>
      </c>
      <c r="E207" s="65">
        <v>2826</v>
      </c>
      <c r="F207" s="20"/>
      <c r="G207" s="22">
        <f>F207*C207</f>
        <v>0</v>
      </c>
    </row>
    <row r="208" spans="2:7" ht="26.25" hidden="1" customHeight="1" thickBot="1" x14ac:dyDescent="0.3">
      <c r="B208" s="37" t="s">
        <v>105</v>
      </c>
      <c r="C208" s="45">
        <v>0.35</v>
      </c>
      <c r="D208" s="56">
        <v>277</v>
      </c>
      <c r="E208" s="65">
        <v>0</v>
      </c>
      <c r="F208" s="20"/>
      <c r="G208" s="22">
        <f>F208*C208</f>
        <v>0</v>
      </c>
    </row>
    <row r="209" spans="2:7" s="1" customFormat="1" ht="26.25" hidden="1" customHeight="1" thickBot="1" x14ac:dyDescent="0.3">
      <c r="B209" s="37" t="s">
        <v>132</v>
      </c>
      <c r="C209" s="45">
        <v>1</v>
      </c>
      <c r="D209" s="56">
        <v>316</v>
      </c>
      <c r="E209" s="65">
        <v>2808</v>
      </c>
      <c r="F209" s="20"/>
      <c r="G209" s="22">
        <f>F209*C209</f>
        <v>0</v>
      </c>
    </row>
    <row r="210" spans="2:7" s="1" customFormat="1" ht="26.25" hidden="1" customHeight="1" thickBot="1" x14ac:dyDescent="0.3">
      <c r="B210" s="37" t="s">
        <v>40</v>
      </c>
      <c r="C210" s="45">
        <v>0.5</v>
      </c>
      <c r="D210" s="56">
        <v>68</v>
      </c>
      <c r="E210" s="65">
        <v>256</v>
      </c>
      <c r="F210" s="20"/>
      <c r="G210" s="22">
        <f>F210*C210</f>
        <v>0</v>
      </c>
    </row>
    <row r="211" spans="2:7" ht="26.25" hidden="1" customHeight="1" thickBot="1" x14ac:dyDescent="0.3">
      <c r="B211" s="32" t="s">
        <v>75</v>
      </c>
      <c r="C211" s="45">
        <v>1</v>
      </c>
      <c r="D211" s="17">
        <v>235</v>
      </c>
      <c r="E211" s="65">
        <v>102</v>
      </c>
      <c r="F211" s="20"/>
      <c r="G211" s="22">
        <f>F211*C211</f>
        <v>0</v>
      </c>
    </row>
    <row r="212" spans="2:7" ht="26.25" hidden="1" customHeight="1" thickBot="1" x14ac:dyDescent="0.3">
      <c r="B212" s="37" t="s">
        <v>145</v>
      </c>
      <c r="C212" s="45">
        <v>0.17</v>
      </c>
      <c r="D212" s="56">
        <v>274</v>
      </c>
      <c r="E212" s="65">
        <v>0</v>
      </c>
      <c r="F212" s="20"/>
      <c r="G212" s="22">
        <f>F212*C212</f>
        <v>0</v>
      </c>
    </row>
    <row r="213" spans="2:7" ht="26.25" customHeight="1" thickBot="1" x14ac:dyDescent="0.3">
      <c r="B213" s="37" t="s">
        <v>12</v>
      </c>
      <c r="C213" s="45">
        <v>1</v>
      </c>
      <c r="D213" s="56">
        <v>236</v>
      </c>
      <c r="E213" s="65">
        <v>2150</v>
      </c>
      <c r="F213" s="20">
        <v>400</v>
      </c>
      <c r="G213" s="22">
        <f>F213*C213</f>
        <v>400</v>
      </c>
    </row>
    <row r="214" spans="2:7" s="1" customFormat="1" ht="26.25" hidden="1" customHeight="1" thickBot="1" x14ac:dyDescent="0.3">
      <c r="B214" s="37" t="s">
        <v>78</v>
      </c>
      <c r="C214" s="45">
        <v>0.5</v>
      </c>
      <c r="D214" s="56">
        <v>71</v>
      </c>
      <c r="E214" s="65">
        <v>0</v>
      </c>
      <c r="F214" s="20"/>
      <c r="G214" s="22">
        <f>F214*C214</f>
        <v>0</v>
      </c>
    </row>
    <row r="215" spans="2:7" s="1" customFormat="1" ht="26.25" hidden="1" customHeight="1" thickBot="1" x14ac:dyDescent="0.3">
      <c r="B215" s="37" t="s">
        <v>59</v>
      </c>
      <c r="C215" s="45">
        <v>1</v>
      </c>
      <c r="D215" s="56">
        <v>237</v>
      </c>
      <c r="E215" s="65">
        <v>1792</v>
      </c>
      <c r="F215" s="20"/>
      <c r="G215" s="22">
        <f>F215*C215</f>
        <v>0</v>
      </c>
    </row>
    <row r="216" spans="2:7" ht="26.25" hidden="1" customHeight="1" thickBot="1" x14ac:dyDescent="0.3">
      <c r="B216" s="37" t="s">
        <v>13</v>
      </c>
      <c r="C216" s="45">
        <v>0.5</v>
      </c>
      <c r="D216" s="56">
        <v>72</v>
      </c>
      <c r="E216" s="65">
        <v>0</v>
      </c>
      <c r="F216" s="20"/>
      <c r="G216" s="22">
        <f>F216*C216</f>
        <v>0</v>
      </c>
    </row>
    <row r="217" spans="2:7" ht="26.25" customHeight="1" thickBot="1" x14ac:dyDescent="0.3">
      <c r="B217" s="37" t="s">
        <v>14</v>
      </c>
      <c r="C217" s="45">
        <v>1</v>
      </c>
      <c r="D217" s="56">
        <v>239</v>
      </c>
      <c r="E217" s="65">
        <v>2158</v>
      </c>
      <c r="F217" s="20">
        <v>500</v>
      </c>
      <c r="G217" s="22">
        <f>F217*C217</f>
        <v>500</v>
      </c>
    </row>
    <row r="218" spans="2:7" ht="26.25" hidden="1" customHeight="1" thickBot="1" x14ac:dyDescent="0.3">
      <c r="B218" s="32" t="s">
        <v>108</v>
      </c>
      <c r="C218" s="47">
        <v>1</v>
      </c>
      <c r="D218" s="56">
        <v>304</v>
      </c>
      <c r="E218" s="65">
        <v>2876</v>
      </c>
      <c r="F218" s="20"/>
      <c r="G218" s="22">
        <f>F218*C218</f>
        <v>0</v>
      </c>
    </row>
    <row r="219" spans="2:7" s="1" customFormat="1" ht="26.25" hidden="1" customHeight="1" thickBot="1" x14ac:dyDescent="0.3">
      <c r="B219" s="32" t="s">
        <v>110</v>
      </c>
      <c r="C219" s="47">
        <v>0.35</v>
      </c>
      <c r="D219" s="56">
        <v>306</v>
      </c>
      <c r="E219" s="65">
        <v>2877</v>
      </c>
      <c r="F219" s="20"/>
      <c r="G219" s="22">
        <f>F219*C219</f>
        <v>0</v>
      </c>
    </row>
    <row r="220" spans="2:7" s="1" customFormat="1" ht="26.25" hidden="1" customHeight="1" thickBot="1" x14ac:dyDescent="0.3">
      <c r="B220" s="37" t="s">
        <v>50</v>
      </c>
      <c r="C220" s="45">
        <v>1</v>
      </c>
      <c r="D220" s="56">
        <v>240</v>
      </c>
      <c r="E220" s="65">
        <v>1921</v>
      </c>
      <c r="F220" s="20"/>
      <c r="G220" s="22">
        <f>F220*C220</f>
        <v>0</v>
      </c>
    </row>
    <row r="221" spans="2:7" ht="24.75" hidden="1" customHeight="1" thickBot="1" x14ac:dyDescent="0.3">
      <c r="B221" s="37" t="s">
        <v>15</v>
      </c>
      <c r="C221" s="45">
        <v>0.35</v>
      </c>
      <c r="D221" s="56">
        <v>115</v>
      </c>
      <c r="E221" s="65">
        <v>2538</v>
      </c>
      <c r="F221" s="20"/>
      <c r="G221" s="22">
        <f>F221*C221</f>
        <v>0</v>
      </c>
    </row>
    <row r="222" spans="2:7" ht="26.25" hidden="1" customHeight="1" thickBot="1" x14ac:dyDescent="0.3">
      <c r="B222" s="37" t="s">
        <v>16</v>
      </c>
      <c r="C222" s="45">
        <v>1</v>
      </c>
      <c r="D222" s="56">
        <v>11</v>
      </c>
      <c r="E222" s="65">
        <v>664</v>
      </c>
      <c r="F222" s="20"/>
      <c r="G222" s="22">
        <f>F222*C222</f>
        <v>0</v>
      </c>
    </row>
    <row r="223" spans="2:7" ht="26.25" hidden="1" customHeight="1" thickBot="1" x14ac:dyDescent="0.3">
      <c r="B223" s="37" t="s">
        <v>100</v>
      </c>
      <c r="C223" s="45">
        <v>0.35</v>
      </c>
      <c r="D223" s="56">
        <v>360</v>
      </c>
      <c r="E223" s="65">
        <v>665</v>
      </c>
      <c r="F223" s="20"/>
      <c r="G223" s="22">
        <f>F223*C223</f>
        <v>0</v>
      </c>
    </row>
    <row r="224" spans="2:7" ht="52.5" hidden="1" customHeight="1" thickBot="1" x14ac:dyDescent="0.3">
      <c r="B224" s="37" t="s">
        <v>17</v>
      </c>
      <c r="C224" s="45">
        <v>1</v>
      </c>
      <c r="D224" s="56">
        <v>313</v>
      </c>
      <c r="E224" s="65">
        <v>2308</v>
      </c>
      <c r="F224" s="20"/>
      <c r="G224" s="22">
        <f>F224*C224</f>
        <v>0</v>
      </c>
    </row>
    <row r="225" spans="2:7" s="1" customFormat="1" ht="26.25" hidden="1" customHeight="1" thickBot="1" x14ac:dyDescent="0.3">
      <c r="B225" s="37" t="s">
        <v>18</v>
      </c>
      <c r="C225" s="45">
        <v>1</v>
      </c>
      <c r="D225" s="56">
        <v>323</v>
      </c>
      <c r="E225" s="65">
        <v>2310</v>
      </c>
      <c r="F225" s="20"/>
      <c r="G225" s="22">
        <f>F225*C225</f>
        <v>0</v>
      </c>
    </row>
    <row r="226" spans="2:7" ht="26.25" hidden="1" customHeight="1" thickBot="1" x14ac:dyDescent="0.3">
      <c r="B226" s="37" t="s">
        <v>150</v>
      </c>
      <c r="C226" s="45">
        <v>0.35</v>
      </c>
      <c r="D226" s="56">
        <v>77</v>
      </c>
      <c r="E226" s="65">
        <v>0</v>
      </c>
      <c r="F226" s="20"/>
      <c r="G226" s="22">
        <f>F226*C226</f>
        <v>0</v>
      </c>
    </row>
    <row r="227" spans="2:7" ht="26.25" customHeight="1" thickBot="1" x14ac:dyDescent="0.3">
      <c r="B227" s="37" t="s">
        <v>19</v>
      </c>
      <c r="C227" s="45">
        <v>1</v>
      </c>
      <c r="D227" s="56">
        <v>242</v>
      </c>
      <c r="E227" s="65">
        <v>2151</v>
      </c>
      <c r="F227" s="20">
        <v>500</v>
      </c>
      <c r="G227" s="22">
        <f>F227*C227</f>
        <v>500</v>
      </c>
    </row>
    <row r="228" spans="2:7" s="1" customFormat="1" ht="26.25" hidden="1" customHeight="1" thickBot="1" x14ac:dyDescent="0.3">
      <c r="B228" s="39" t="s">
        <v>20</v>
      </c>
      <c r="C228" s="45">
        <v>0.35</v>
      </c>
      <c r="D228" s="56">
        <v>79</v>
      </c>
      <c r="E228" s="65">
        <v>2579</v>
      </c>
      <c r="F228" s="20"/>
      <c r="G228" s="22">
        <f>F228*C228</f>
        <v>0</v>
      </c>
    </row>
    <row r="229" spans="2:7" ht="26.25" hidden="1" customHeight="1" thickBot="1" x14ac:dyDescent="0.3">
      <c r="B229" s="37" t="s">
        <v>133</v>
      </c>
      <c r="C229" s="45">
        <v>0.35</v>
      </c>
      <c r="D229" s="56">
        <v>286</v>
      </c>
      <c r="E229" s="65">
        <v>2361</v>
      </c>
      <c r="F229" s="20"/>
      <c r="G229" s="22">
        <f>F229*C229</f>
        <v>0</v>
      </c>
    </row>
    <row r="230" spans="2:7" ht="26.25" hidden="1" customHeight="1" thickBot="1" x14ac:dyDescent="0.3">
      <c r="B230" s="37" t="s">
        <v>21</v>
      </c>
      <c r="C230" s="45">
        <v>1</v>
      </c>
      <c r="D230" s="56">
        <v>271</v>
      </c>
      <c r="E230" s="65">
        <v>2360</v>
      </c>
      <c r="F230" s="20"/>
      <c r="G230" s="22">
        <f>F230*C230</f>
        <v>0</v>
      </c>
    </row>
    <row r="231" spans="2:7" s="1" customFormat="1" ht="26.25" hidden="1" customHeight="1" thickBot="1" x14ac:dyDescent="0.3">
      <c r="B231" s="32" t="s">
        <v>111</v>
      </c>
      <c r="C231" s="47">
        <v>0.35</v>
      </c>
      <c r="D231" s="56">
        <v>307</v>
      </c>
      <c r="E231" s="65">
        <v>2848</v>
      </c>
      <c r="F231" s="20"/>
      <c r="G231" s="22">
        <f>F231*C231</f>
        <v>0</v>
      </c>
    </row>
    <row r="232" spans="2:7" ht="26.25" hidden="1" customHeight="1" thickBot="1" x14ac:dyDescent="0.3">
      <c r="B232" s="32" t="s">
        <v>109</v>
      </c>
      <c r="C232" s="47">
        <v>1</v>
      </c>
      <c r="D232" s="56">
        <v>305</v>
      </c>
      <c r="E232" s="65">
        <v>2847</v>
      </c>
      <c r="F232" s="20"/>
      <c r="G232" s="22">
        <f>F232*C232</f>
        <v>0</v>
      </c>
    </row>
    <row r="233" spans="2:7" ht="32.25" hidden="1" customHeight="1" thickBot="1" x14ac:dyDescent="0.3">
      <c r="B233" s="32" t="s">
        <v>520</v>
      </c>
      <c r="C233" s="47">
        <v>0.35</v>
      </c>
      <c r="D233" s="56">
        <v>300</v>
      </c>
      <c r="E233" s="65">
        <v>0</v>
      </c>
      <c r="F233" s="20"/>
      <c r="G233" s="22">
        <f>F233*C233</f>
        <v>0</v>
      </c>
    </row>
    <row r="234" spans="2:7" ht="31.5" hidden="1" customHeight="1" thickBot="1" x14ac:dyDescent="0.3">
      <c r="B234" s="40" t="s">
        <v>129</v>
      </c>
      <c r="C234" s="45">
        <v>1</v>
      </c>
      <c r="D234" s="56">
        <v>321</v>
      </c>
      <c r="E234" s="65">
        <v>2805</v>
      </c>
      <c r="F234" s="20"/>
      <c r="G234" s="22">
        <f>F234*C234</f>
        <v>0</v>
      </c>
    </row>
    <row r="235" spans="2:7" ht="26.25" hidden="1" customHeight="1" thickBot="1" x14ac:dyDescent="0.3">
      <c r="B235" s="40" t="s">
        <v>130</v>
      </c>
      <c r="C235" s="45">
        <v>1</v>
      </c>
      <c r="D235" s="56">
        <v>317</v>
      </c>
      <c r="E235" s="65">
        <v>2809</v>
      </c>
      <c r="F235" s="20"/>
      <c r="G235" s="22">
        <f>F235*C235</f>
        <v>0</v>
      </c>
    </row>
    <row r="236" spans="2:7" ht="26.25" hidden="1" customHeight="1" thickBot="1" x14ac:dyDescent="0.3">
      <c r="B236" s="40" t="s">
        <v>130</v>
      </c>
      <c r="C236" s="45">
        <v>1</v>
      </c>
      <c r="D236" s="56">
        <v>317</v>
      </c>
      <c r="E236" s="65">
        <v>2654</v>
      </c>
      <c r="F236" s="20"/>
      <c r="G236" s="22">
        <f>F236*C236</f>
        <v>0</v>
      </c>
    </row>
    <row r="237" spans="2:7" s="1" customFormat="1" ht="26.25" hidden="1" customHeight="1" thickBot="1" x14ac:dyDescent="0.3">
      <c r="B237" s="37" t="s">
        <v>22</v>
      </c>
      <c r="C237" s="45">
        <v>0.35</v>
      </c>
      <c r="D237" s="56">
        <v>27</v>
      </c>
      <c r="E237" s="65">
        <v>1605</v>
      </c>
      <c r="F237" s="20"/>
      <c r="G237" s="22">
        <f>F237*C237</f>
        <v>0</v>
      </c>
    </row>
    <row r="238" spans="2:7" s="1" customFormat="1" ht="26.25" hidden="1" customHeight="1" thickBot="1" x14ac:dyDescent="0.3">
      <c r="B238" s="37" t="s">
        <v>23</v>
      </c>
      <c r="C238" s="45">
        <v>1</v>
      </c>
      <c r="D238" s="56">
        <v>12</v>
      </c>
      <c r="E238" s="65">
        <v>97</v>
      </c>
      <c r="F238" s="20"/>
      <c r="G238" s="22">
        <f>F238*C238</f>
        <v>0</v>
      </c>
    </row>
    <row r="239" spans="2:7" s="1" customFormat="1" ht="26.25" hidden="1" customHeight="1" thickBot="1" x14ac:dyDescent="0.3">
      <c r="B239" s="37" t="s">
        <v>24</v>
      </c>
      <c r="C239" s="45">
        <v>0.35</v>
      </c>
      <c r="D239" s="56">
        <v>272</v>
      </c>
      <c r="E239" s="65">
        <v>2617</v>
      </c>
      <c r="F239" s="20"/>
      <c r="G239" s="22">
        <f>F239*C239</f>
        <v>0</v>
      </c>
    </row>
    <row r="240" spans="2:7" s="1" customFormat="1" ht="26.25" hidden="1" customHeight="1" thickBot="1" x14ac:dyDescent="0.3">
      <c r="B240" s="37" t="s">
        <v>41</v>
      </c>
      <c r="C240" s="45">
        <v>0.35</v>
      </c>
      <c r="D240" s="56">
        <v>117</v>
      </c>
      <c r="E240" s="65">
        <v>2602</v>
      </c>
      <c r="F240" s="20"/>
      <c r="G240" s="22">
        <f>F240*C240</f>
        <v>0</v>
      </c>
    </row>
    <row r="241" spans="2:7" ht="26.25" hidden="1" customHeight="1" thickBot="1" x14ac:dyDescent="0.3">
      <c r="B241" s="37" t="s">
        <v>101</v>
      </c>
      <c r="C241" s="45">
        <v>0.35</v>
      </c>
      <c r="D241" s="56">
        <v>361</v>
      </c>
      <c r="E241" s="65">
        <v>2603</v>
      </c>
      <c r="F241" s="20"/>
      <c r="G241" s="22">
        <f>F241*C241</f>
        <v>0</v>
      </c>
    </row>
    <row r="242" spans="2:7" s="1" customFormat="1" ht="30.75" hidden="1" customHeight="1" thickBot="1" x14ac:dyDescent="0.3">
      <c r="B242" s="37" t="s">
        <v>42</v>
      </c>
      <c r="C242" s="45">
        <v>0.35</v>
      </c>
      <c r="D242" s="56">
        <v>118</v>
      </c>
      <c r="E242" s="65">
        <v>2606</v>
      </c>
      <c r="F242" s="20"/>
      <c r="G242" s="22">
        <f>F242*C242</f>
        <v>0</v>
      </c>
    </row>
    <row r="243" spans="2:7" s="1" customFormat="1" ht="26.25" hidden="1" customHeight="1" thickBot="1" x14ac:dyDescent="0.3">
      <c r="B243" s="37" t="s">
        <v>25</v>
      </c>
      <c r="C243" s="45">
        <v>0.35</v>
      </c>
      <c r="D243" s="56">
        <v>293</v>
      </c>
      <c r="E243" s="65">
        <v>0</v>
      </c>
      <c r="F243" s="20"/>
      <c r="G243" s="22">
        <f>F243*C243</f>
        <v>0</v>
      </c>
    </row>
    <row r="244" spans="2:7" ht="36" hidden="1" customHeight="1" thickBot="1" x14ac:dyDescent="0.3">
      <c r="B244" s="37" t="s">
        <v>26</v>
      </c>
      <c r="C244" s="45">
        <v>1</v>
      </c>
      <c r="D244" s="56">
        <v>270</v>
      </c>
      <c r="E244" s="65">
        <v>2362</v>
      </c>
      <c r="F244" s="20"/>
      <c r="G244" s="22">
        <f>F244*C244</f>
        <v>0</v>
      </c>
    </row>
    <row r="245" spans="2:7" s="1" customFormat="1" ht="26.25" hidden="1" customHeight="1" thickBot="1" x14ac:dyDescent="0.3">
      <c r="B245" s="37" t="s">
        <v>27</v>
      </c>
      <c r="C245" s="45">
        <v>1</v>
      </c>
      <c r="D245" s="56">
        <v>245</v>
      </c>
      <c r="E245" s="65">
        <v>1801</v>
      </c>
      <c r="F245" s="20"/>
      <c r="G245" s="22">
        <f>F245*C245</f>
        <v>0</v>
      </c>
    </row>
    <row r="246" spans="2:7" ht="26.25" hidden="1" customHeight="1" thickBot="1" x14ac:dyDescent="0.3">
      <c r="B246" s="32" t="s">
        <v>112</v>
      </c>
      <c r="C246" s="47">
        <v>0.45</v>
      </c>
      <c r="D246" s="56">
        <v>276</v>
      </c>
      <c r="E246" s="65">
        <v>2734</v>
      </c>
      <c r="F246" s="20"/>
      <c r="G246" s="22">
        <f>F246*C246</f>
        <v>0</v>
      </c>
    </row>
    <row r="247" spans="2:7" ht="26.25" hidden="1" customHeight="1" thickBot="1" x14ac:dyDescent="0.3">
      <c r="B247" s="32" t="s">
        <v>113</v>
      </c>
      <c r="C247" s="47">
        <v>0.375</v>
      </c>
      <c r="D247" s="56">
        <v>298</v>
      </c>
      <c r="E247" s="65">
        <v>2733</v>
      </c>
      <c r="F247" s="20"/>
      <c r="G247" s="22">
        <f>F247*C247</f>
        <v>0</v>
      </c>
    </row>
    <row r="248" spans="2:7" ht="26.25" hidden="1" customHeight="1" thickBot="1" x14ac:dyDescent="0.3">
      <c r="B248" s="37" t="s">
        <v>199</v>
      </c>
      <c r="C248" s="45">
        <v>0.4</v>
      </c>
      <c r="D248" s="56">
        <v>82</v>
      </c>
      <c r="E248" s="65">
        <v>78</v>
      </c>
      <c r="F248" s="20"/>
      <c r="G248" s="22">
        <f>F248*C248</f>
        <v>0</v>
      </c>
    </row>
    <row r="249" spans="2:7" s="1" customFormat="1" ht="26.25" hidden="1" customHeight="1" thickBot="1" x14ac:dyDescent="0.3">
      <c r="B249" s="37" t="s">
        <v>144</v>
      </c>
      <c r="C249" s="45">
        <v>1</v>
      </c>
      <c r="D249" s="56">
        <v>246</v>
      </c>
      <c r="E249" s="65">
        <v>43</v>
      </c>
      <c r="F249" s="20"/>
      <c r="G249" s="22">
        <f>F249*C249</f>
        <v>0</v>
      </c>
    </row>
    <row r="250" spans="2:7" ht="26.25" hidden="1" customHeight="1" thickBot="1" x14ac:dyDescent="0.3">
      <c r="B250" s="37" t="s">
        <v>102</v>
      </c>
      <c r="C250" s="45">
        <v>1</v>
      </c>
      <c r="D250" s="56">
        <v>362</v>
      </c>
      <c r="E250" s="65">
        <v>2615</v>
      </c>
      <c r="F250" s="20"/>
      <c r="G250" s="22">
        <f>F250*C250</f>
        <v>0</v>
      </c>
    </row>
    <row r="251" spans="2:7" ht="26.25" hidden="1" customHeight="1" thickBot="1" x14ac:dyDescent="0.3">
      <c r="B251" s="37" t="s">
        <v>28</v>
      </c>
      <c r="C251" s="45">
        <v>0.17</v>
      </c>
      <c r="D251" s="56">
        <v>83</v>
      </c>
      <c r="E251" s="65">
        <v>1869</v>
      </c>
      <c r="F251" s="20"/>
      <c r="G251" s="22">
        <f>F251*C251</f>
        <v>0</v>
      </c>
    </row>
    <row r="252" spans="2:7" s="1" customFormat="1" ht="26.25" hidden="1" customHeight="1" thickBot="1" x14ac:dyDescent="0.3">
      <c r="B252" s="37" t="s">
        <v>43</v>
      </c>
      <c r="C252" s="45">
        <v>0.38</v>
      </c>
      <c r="D252" s="56">
        <v>91</v>
      </c>
      <c r="E252" s="65">
        <v>2173</v>
      </c>
      <c r="F252" s="20"/>
      <c r="G252" s="22">
        <f>F252*C252</f>
        <v>0</v>
      </c>
    </row>
    <row r="253" spans="2:7" ht="26.25" hidden="1" customHeight="1" thickBot="1" x14ac:dyDescent="0.3">
      <c r="B253" s="37" t="s">
        <v>44</v>
      </c>
      <c r="C253" s="45">
        <v>1</v>
      </c>
      <c r="D253" s="56">
        <v>13</v>
      </c>
      <c r="E253" s="65">
        <v>1831</v>
      </c>
      <c r="F253" s="20"/>
      <c r="G253" s="22">
        <f>F253*C253</f>
        <v>0</v>
      </c>
    </row>
    <row r="254" spans="2:7" ht="26.25" hidden="1" customHeight="1" thickBot="1" x14ac:dyDescent="0.3">
      <c r="B254" s="37" t="s">
        <v>103</v>
      </c>
      <c r="C254" s="45">
        <v>1</v>
      </c>
      <c r="D254" s="56">
        <v>363</v>
      </c>
      <c r="E254" s="65">
        <v>2472</v>
      </c>
      <c r="F254" s="20"/>
      <c r="G254" s="22">
        <f>F254*C254</f>
        <v>0</v>
      </c>
    </row>
    <row r="255" spans="2:7" ht="24.75" hidden="1" customHeight="1" thickBot="1" x14ac:dyDescent="0.3">
      <c r="B255" s="37" t="s">
        <v>29</v>
      </c>
      <c r="C255" s="45">
        <v>1</v>
      </c>
      <c r="D255" s="56">
        <v>247</v>
      </c>
      <c r="E255" s="65">
        <v>1051</v>
      </c>
      <c r="F255" s="20"/>
      <c r="G255" s="22">
        <f>F255*C255</f>
        <v>0</v>
      </c>
    </row>
    <row r="256" spans="2:7" ht="26.25" hidden="1" customHeight="1" thickBot="1" x14ac:dyDescent="0.3">
      <c r="B256" s="32" t="s">
        <v>123</v>
      </c>
      <c r="C256" s="47">
        <v>0.4</v>
      </c>
      <c r="D256" s="56">
        <v>329</v>
      </c>
      <c r="E256" s="65">
        <v>2759</v>
      </c>
      <c r="F256" s="20"/>
      <c r="G256" s="22">
        <f>F256*C256</f>
        <v>0</v>
      </c>
    </row>
    <row r="257" spans="2:7" ht="26.25" hidden="1" customHeight="1" thickBot="1" x14ac:dyDescent="0.3">
      <c r="B257" s="32" t="s">
        <v>122</v>
      </c>
      <c r="C257" s="47">
        <v>0.4</v>
      </c>
      <c r="D257" s="56">
        <v>328</v>
      </c>
      <c r="E257" s="65">
        <v>2758</v>
      </c>
      <c r="F257" s="20"/>
      <c r="G257" s="22">
        <f>F257*C257</f>
        <v>0</v>
      </c>
    </row>
    <row r="258" spans="2:7" s="1" customFormat="1" ht="26.25" customHeight="1" thickBot="1" x14ac:dyDescent="0.3">
      <c r="B258" s="37" t="s">
        <v>30</v>
      </c>
      <c r="C258" s="45">
        <v>1</v>
      </c>
      <c r="D258" s="56">
        <v>250</v>
      </c>
      <c r="E258" s="65">
        <v>227</v>
      </c>
      <c r="F258" s="20">
        <v>130</v>
      </c>
      <c r="G258" s="22">
        <f>F258*C258</f>
        <v>130</v>
      </c>
    </row>
    <row r="259" spans="2:7" s="1" customFormat="1" ht="26.25" hidden="1" customHeight="1" thickBot="1" x14ac:dyDescent="0.3">
      <c r="B259" s="32" t="s">
        <v>117</v>
      </c>
      <c r="C259" s="47">
        <v>0.84</v>
      </c>
      <c r="D259" s="56">
        <v>308</v>
      </c>
      <c r="E259" s="65">
        <v>2800</v>
      </c>
      <c r="F259" s="20"/>
      <c r="G259" s="22">
        <f>F259*C259</f>
        <v>0</v>
      </c>
    </row>
    <row r="260" spans="2:7" ht="26.25" hidden="1" customHeight="1" thickBot="1" x14ac:dyDescent="0.3">
      <c r="B260" s="37" t="s">
        <v>45</v>
      </c>
      <c r="C260" s="45">
        <v>0.42</v>
      </c>
      <c r="D260" s="56">
        <v>93</v>
      </c>
      <c r="E260" s="65">
        <v>0</v>
      </c>
      <c r="F260" s="20"/>
      <c r="G260" s="22">
        <f>F260*C260</f>
        <v>0</v>
      </c>
    </row>
    <row r="261" spans="2:7" ht="26.25" hidden="1" customHeight="1" thickBot="1" x14ac:dyDescent="0.3">
      <c r="B261" s="37" t="s">
        <v>46</v>
      </c>
      <c r="C261" s="45">
        <v>0.42</v>
      </c>
      <c r="D261" s="56">
        <v>95</v>
      </c>
      <c r="E261" s="65">
        <v>0</v>
      </c>
      <c r="F261" s="20"/>
      <c r="G261" s="22">
        <f>F261*C261</f>
        <v>0</v>
      </c>
    </row>
    <row r="262" spans="2:7" s="1" customFormat="1" ht="26.25" hidden="1" customHeight="1" thickBot="1" x14ac:dyDescent="0.3">
      <c r="B262" s="37" t="s">
        <v>31</v>
      </c>
      <c r="C262" s="45">
        <v>0.5</v>
      </c>
      <c r="D262" s="56">
        <v>29</v>
      </c>
      <c r="E262" s="65">
        <v>1527</v>
      </c>
      <c r="F262" s="20"/>
      <c r="G262" s="22">
        <f>F262*C262</f>
        <v>0</v>
      </c>
    </row>
    <row r="263" spans="2:7" ht="26.25" hidden="1" customHeight="1" thickBot="1" x14ac:dyDescent="0.3">
      <c r="B263" s="37" t="s">
        <v>32</v>
      </c>
      <c r="C263" s="45">
        <v>1</v>
      </c>
      <c r="D263" s="56">
        <v>15</v>
      </c>
      <c r="E263" s="65">
        <v>0</v>
      </c>
      <c r="F263" s="20"/>
      <c r="G263" s="22">
        <f>F263*C263</f>
        <v>0</v>
      </c>
    </row>
    <row r="264" spans="2:7" ht="26.25" hidden="1" customHeight="1" thickBot="1" x14ac:dyDescent="0.3">
      <c r="B264" s="32" t="s">
        <v>77</v>
      </c>
      <c r="C264" s="45">
        <v>0.45</v>
      </c>
      <c r="D264" s="56">
        <v>30</v>
      </c>
      <c r="E264" s="65">
        <v>1718</v>
      </c>
      <c r="F264" s="20"/>
      <c r="G264" s="22">
        <f>F264*C264</f>
        <v>0</v>
      </c>
    </row>
    <row r="265" spans="2:7" s="1" customFormat="1" ht="26.25" customHeight="1" thickBot="1" x14ac:dyDescent="0.3">
      <c r="B265" s="32" t="s">
        <v>62</v>
      </c>
      <c r="C265" s="45">
        <v>0.45</v>
      </c>
      <c r="D265" s="56">
        <v>32</v>
      </c>
      <c r="E265" s="65">
        <v>1720</v>
      </c>
      <c r="F265" s="20">
        <v>250</v>
      </c>
      <c r="G265" s="22">
        <f>F265*C265</f>
        <v>112.5</v>
      </c>
    </row>
    <row r="266" spans="2:7" s="1" customFormat="1" ht="26.25" hidden="1" customHeight="1" thickBot="1" x14ac:dyDescent="0.3">
      <c r="B266" s="37" t="s">
        <v>290</v>
      </c>
      <c r="C266" s="45">
        <v>0.6</v>
      </c>
      <c r="D266" s="56">
        <v>102</v>
      </c>
      <c r="E266" s="65">
        <v>1341</v>
      </c>
      <c r="F266" s="20"/>
      <c r="G266" s="22">
        <f>F266*C266</f>
        <v>0</v>
      </c>
    </row>
    <row r="267" spans="2:7" ht="26.25" hidden="1" customHeight="1" thickBot="1" x14ac:dyDescent="0.3">
      <c r="B267" s="32" t="s">
        <v>57</v>
      </c>
      <c r="C267" s="45">
        <v>1</v>
      </c>
      <c r="D267" s="56">
        <v>253</v>
      </c>
      <c r="E267" s="65">
        <v>1340</v>
      </c>
      <c r="F267" s="20"/>
      <c r="G267" s="22">
        <f>F267*C267</f>
        <v>0</v>
      </c>
    </row>
    <row r="268" spans="2:7" s="1" customFormat="1" ht="26.25" hidden="1" customHeight="1" thickBot="1" x14ac:dyDescent="0.3">
      <c r="B268" s="37" t="s">
        <v>134</v>
      </c>
      <c r="C268" s="45">
        <v>1</v>
      </c>
      <c r="D268" s="56">
        <v>318</v>
      </c>
      <c r="E268" s="65">
        <v>2810</v>
      </c>
      <c r="F268" s="20"/>
      <c r="G268" s="22">
        <f>F268*C268</f>
        <v>0</v>
      </c>
    </row>
    <row r="269" spans="2:7" s="1" customFormat="1" ht="26.25" hidden="1" customHeight="1" thickBot="1" x14ac:dyDescent="0.3">
      <c r="B269" s="37" t="s">
        <v>134</v>
      </c>
      <c r="C269" s="45">
        <v>1</v>
      </c>
      <c r="D269" s="56">
        <v>318</v>
      </c>
      <c r="E269" s="65">
        <v>2655</v>
      </c>
      <c r="F269" s="20"/>
      <c r="G269" s="22">
        <f>F269*C269</f>
        <v>0</v>
      </c>
    </row>
    <row r="270" spans="2:7" s="1" customFormat="1" ht="26.25" hidden="1" customHeight="1" thickBot="1" x14ac:dyDescent="0.3">
      <c r="B270" s="37" t="s">
        <v>138</v>
      </c>
      <c r="C270" s="45">
        <v>0.33</v>
      </c>
      <c r="D270" s="56">
        <v>401</v>
      </c>
      <c r="E270" s="65"/>
      <c r="F270" s="20"/>
      <c r="G270" s="22">
        <f>F270*C270</f>
        <v>0</v>
      </c>
    </row>
    <row r="271" spans="2:7" ht="26.25" hidden="1" customHeight="1" thickBot="1" x14ac:dyDescent="0.3">
      <c r="B271" s="37" t="s">
        <v>137</v>
      </c>
      <c r="C271" s="45">
        <v>0.42</v>
      </c>
      <c r="D271" s="56">
        <v>103</v>
      </c>
      <c r="E271" s="65">
        <v>341</v>
      </c>
      <c r="F271" s="20"/>
      <c r="G271" s="22">
        <f>F271*C271</f>
        <v>0</v>
      </c>
    </row>
    <row r="272" spans="2:7" s="1" customFormat="1" ht="26.25" hidden="1" customHeight="1" thickBot="1" x14ac:dyDescent="0.3">
      <c r="B272" s="37" t="s">
        <v>85</v>
      </c>
      <c r="C272" s="45">
        <v>0.45</v>
      </c>
      <c r="D272" s="56">
        <v>284</v>
      </c>
      <c r="E272" s="65">
        <v>2658</v>
      </c>
      <c r="F272" s="20"/>
      <c r="G272" s="22">
        <f>F272*C272</f>
        <v>0</v>
      </c>
    </row>
    <row r="273" spans="2:7" ht="26.25" hidden="1" customHeight="1" thickBot="1" x14ac:dyDescent="0.3">
      <c r="B273" s="37" t="s">
        <v>33</v>
      </c>
      <c r="C273" s="45">
        <v>0.4</v>
      </c>
      <c r="D273" s="56">
        <v>281</v>
      </c>
      <c r="E273" s="65">
        <v>2205</v>
      </c>
      <c r="F273" s="20"/>
      <c r="G273" s="22">
        <f>F273*C273</f>
        <v>0</v>
      </c>
    </row>
    <row r="274" spans="2:7" s="1" customFormat="1" ht="26.25" hidden="1" customHeight="1" thickBot="1" x14ac:dyDescent="0.3">
      <c r="B274" s="37" t="s">
        <v>79</v>
      </c>
      <c r="C274" s="45">
        <v>1</v>
      </c>
      <c r="D274" s="56">
        <v>258</v>
      </c>
      <c r="E274" s="65">
        <v>1727</v>
      </c>
      <c r="F274" s="20"/>
      <c r="G274" s="22">
        <f>F274*C274</f>
        <v>0</v>
      </c>
    </row>
    <row r="275" spans="2:7" ht="26.25" hidden="1" customHeight="1" thickBot="1" x14ac:dyDescent="0.3">
      <c r="B275" s="37" t="s">
        <v>80</v>
      </c>
      <c r="C275" s="45">
        <v>0.45</v>
      </c>
      <c r="D275" s="56">
        <v>104</v>
      </c>
      <c r="E275" s="65">
        <v>0</v>
      </c>
      <c r="F275" s="20"/>
      <c r="G275" s="22">
        <f>F275*C275</f>
        <v>0</v>
      </c>
    </row>
    <row r="276" spans="2:7" ht="26.25" hidden="1" customHeight="1" thickBot="1" x14ac:dyDescent="0.3">
      <c r="B276" s="37" t="s">
        <v>35</v>
      </c>
      <c r="C276" s="45">
        <v>1</v>
      </c>
      <c r="D276" s="56">
        <v>18</v>
      </c>
      <c r="E276" s="65">
        <v>1351</v>
      </c>
      <c r="F276" s="20"/>
      <c r="G276" s="22">
        <f>F276*C276</f>
        <v>0</v>
      </c>
    </row>
    <row r="277" spans="2:7" ht="26.25" hidden="1" customHeight="1" thickBot="1" x14ac:dyDescent="0.3">
      <c r="B277" s="37" t="s">
        <v>47</v>
      </c>
      <c r="C277" s="45">
        <v>0.5</v>
      </c>
      <c r="D277" s="56">
        <v>34</v>
      </c>
      <c r="E277" s="65">
        <v>1354</v>
      </c>
      <c r="F277" s="20"/>
      <c r="G277" s="22">
        <f>F277*C277</f>
        <v>0</v>
      </c>
    </row>
    <row r="278" spans="2:7" ht="26.25" hidden="1" customHeight="1" thickBot="1" x14ac:dyDescent="0.3">
      <c r="B278" s="37" t="s">
        <v>82</v>
      </c>
      <c r="C278" s="45">
        <v>0.33</v>
      </c>
      <c r="D278" s="56">
        <v>107</v>
      </c>
      <c r="E278" s="65">
        <v>0</v>
      </c>
      <c r="F278" s="20"/>
      <c r="G278" s="22">
        <f>F278*C278</f>
        <v>0</v>
      </c>
    </row>
    <row r="279" spans="2:7" s="2" customFormat="1" ht="26.25" hidden="1" customHeight="1" thickBot="1" x14ac:dyDescent="0.3">
      <c r="B279" s="37" t="s">
        <v>135</v>
      </c>
      <c r="C279" s="45">
        <v>1</v>
      </c>
      <c r="D279" s="56">
        <v>259</v>
      </c>
      <c r="E279" s="65">
        <v>2219</v>
      </c>
      <c r="F279" s="20"/>
      <c r="G279" s="22">
        <f>F279*C279</f>
        <v>0</v>
      </c>
    </row>
    <row r="280" spans="2:7" ht="26.25" hidden="1" customHeight="1" thickBot="1" x14ac:dyDescent="0.3">
      <c r="B280" s="37" t="s">
        <v>81</v>
      </c>
      <c r="C280" s="45">
        <v>0.45</v>
      </c>
      <c r="D280" s="56">
        <v>109</v>
      </c>
      <c r="E280" s="65">
        <v>0</v>
      </c>
      <c r="F280" s="20"/>
      <c r="G280" s="22">
        <f>F280*C280</f>
        <v>0</v>
      </c>
    </row>
    <row r="281" spans="2:7" ht="26.25" hidden="1" customHeight="1" thickBot="1" x14ac:dyDescent="0.3">
      <c r="B281" s="37" t="s">
        <v>92</v>
      </c>
      <c r="C281" s="45">
        <v>0.67</v>
      </c>
      <c r="D281" s="17"/>
      <c r="E281" s="65"/>
      <c r="F281" s="20"/>
      <c r="G281" s="22">
        <f>F281*C281</f>
        <v>0</v>
      </c>
    </row>
    <row r="282" spans="2:7" ht="26.25" hidden="1" customHeight="1" thickBot="1" x14ac:dyDescent="0.3">
      <c r="B282" s="37" t="s">
        <v>176</v>
      </c>
      <c r="C282" s="45">
        <v>1</v>
      </c>
      <c r="D282" s="56">
        <v>341</v>
      </c>
      <c r="E282" s="65">
        <v>2845</v>
      </c>
      <c r="F282" s="20"/>
      <c r="G282" s="22">
        <f>F282*C282</f>
        <v>0</v>
      </c>
    </row>
    <row r="283" spans="2:7" ht="26.25" hidden="1" customHeight="1" thickBot="1" x14ac:dyDescent="0.3">
      <c r="B283" s="37" t="s">
        <v>177</v>
      </c>
      <c r="C283" s="45">
        <v>0.4</v>
      </c>
      <c r="D283" s="56">
        <v>343</v>
      </c>
      <c r="E283" s="65">
        <v>2844</v>
      </c>
      <c r="F283" s="20"/>
      <c r="G283" s="22">
        <f>F283*C283</f>
        <v>0</v>
      </c>
    </row>
    <row r="284" spans="2:7" ht="26.25" hidden="1" customHeight="1" thickBot="1" x14ac:dyDescent="0.3">
      <c r="B284" s="37" t="s">
        <v>173</v>
      </c>
      <c r="C284" s="45">
        <v>1</v>
      </c>
      <c r="D284" s="56">
        <v>331</v>
      </c>
      <c r="E284" s="65">
        <v>2857</v>
      </c>
      <c r="F284" s="20"/>
      <c r="G284" s="22">
        <f>F284*C284</f>
        <v>0</v>
      </c>
    </row>
    <row r="285" spans="2:7" ht="26.25" hidden="1" customHeight="1" thickBot="1" x14ac:dyDescent="0.3">
      <c r="B285" s="37" t="s">
        <v>175</v>
      </c>
      <c r="C285" s="45">
        <v>1</v>
      </c>
      <c r="D285" s="56">
        <v>340</v>
      </c>
      <c r="E285" s="65">
        <v>2843</v>
      </c>
      <c r="F285" s="20"/>
      <c r="G285" s="22">
        <f>F285*C285</f>
        <v>0</v>
      </c>
    </row>
    <row r="286" spans="2:7" ht="26.25" hidden="1" customHeight="1" thickBot="1" x14ac:dyDescent="0.3">
      <c r="B286" s="37" t="s">
        <v>174</v>
      </c>
      <c r="C286" s="45">
        <v>0.4</v>
      </c>
      <c r="D286" s="56">
        <v>342</v>
      </c>
      <c r="E286" s="65">
        <v>2842</v>
      </c>
      <c r="F286" s="20"/>
      <c r="G286" s="22">
        <f>F286*C286</f>
        <v>0</v>
      </c>
    </row>
    <row r="287" spans="2:7" s="1" customFormat="1" ht="26.25" hidden="1" customHeight="1" thickBot="1" x14ac:dyDescent="0.3">
      <c r="B287" s="32" t="s">
        <v>119</v>
      </c>
      <c r="C287" s="47">
        <v>1</v>
      </c>
      <c r="D287" s="56">
        <v>325</v>
      </c>
      <c r="E287" s="65">
        <v>2858</v>
      </c>
      <c r="F287" s="20"/>
      <c r="G287" s="22">
        <f>F287*C287</f>
        <v>0</v>
      </c>
    </row>
    <row r="288" spans="2:7" s="1" customFormat="1" ht="26.25" hidden="1" customHeight="1" thickBot="1" x14ac:dyDescent="0.3">
      <c r="B288" s="32" t="s">
        <v>115</v>
      </c>
      <c r="C288" s="47">
        <v>0.4</v>
      </c>
      <c r="D288" s="56">
        <v>301</v>
      </c>
      <c r="E288" s="65">
        <v>2801</v>
      </c>
      <c r="F288" s="20"/>
      <c r="G288" s="22">
        <f>F288*C288</f>
        <v>0</v>
      </c>
    </row>
    <row r="289" spans="2:7" ht="26.25" hidden="1" customHeight="1" thickBot="1" x14ac:dyDescent="0.3">
      <c r="B289" s="32" t="s">
        <v>116</v>
      </c>
      <c r="C289" s="47">
        <v>0.4</v>
      </c>
      <c r="D289" s="56">
        <v>302</v>
      </c>
      <c r="E289" s="65">
        <v>2799</v>
      </c>
      <c r="F289" s="20"/>
      <c r="G289" s="22">
        <f>F289*C289</f>
        <v>0</v>
      </c>
    </row>
    <row r="290" spans="2:7" ht="26.25" customHeight="1" thickBot="1" x14ac:dyDescent="0.3">
      <c r="B290" s="32" t="s">
        <v>88</v>
      </c>
      <c r="C290" s="45">
        <v>0.4</v>
      </c>
      <c r="D290" s="56">
        <v>273</v>
      </c>
      <c r="E290" s="65">
        <v>2618</v>
      </c>
      <c r="F290" s="20">
        <v>250</v>
      </c>
      <c r="G290" s="22">
        <f>F290*C290</f>
        <v>100</v>
      </c>
    </row>
    <row r="291" spans="2:7" ht="26.25" hidden="1" customHeight="1" thickBot="1" x14ac:dyDescent="0.3">
      <c r="B291" s="32" t="s">
        <v>87</v>
      </c>
      <c r="C291" s="45">
        <v>0.4</v>
      </c>
      <c r="D291" s="56">
        <v>278</v>
      </c>
      <c r="E291" s="65">
        <v>2621</v>
      </c>
      <c r="F291" s="20"/>
      <c r="G291" s="22">
        <f>F291*C291</f>
        <v>0</v>
      </c>
    </row>
    <row r="292" spans="2:7" ht="26.25" hidden="1" customHeight="1" thickBot="1" x14ac:dyDescent="0.3">
      <c r="B292" s="32" t="s">
        <v>118</v>
      </c>
      <c r="C292" s="47">
        <v>0.4</v>
      </c>
      <c r="D292" s="56">
        <v>309</v>
      </c>
      <c r="E292" s="65">
        <v>2686</v>
      </c>
      <c r="F292" s="20"/>
      <c r="G292" s="22">
        <f>F292*C292</f>
        <v>0</v>
      </c>
    </row>
    <row r="293" spans="2:7" s="1" customFormat="1" ht="26.25" hidden="1" customHeight="1" thickBot="1" x14ac:dyDescent="0.3">
      <c r="B293" s="32" t="s">
        <v>121</v>
      </c>
      <c r="C293" s="47">
        <v>1</v>
      </c>
      <c r="D293" s="56">
        <v>327</v>
      </c>
      <c r="E293" s="65">
        <v>2795</v>
      </c>
      <c r="F293" s="20"/>
      <c r="G293" s="22">
        <f>F293*C293</f>
        <v>0</v>
      </c>
    </row>
    <row r="294" spans="2:7" s="1" customFormat="1" ht="26.25" hidden="1" customHeight="1" thickBot="1" x14ac:dyDescent="0.3">
      <c r="B294" s="32" t="s">
        <v>179</v>
      </c>
      <c r="C294" s="47">
        <v>0.4</v>
      </c>
      <c r="D294" s="56">
        <v>350</v>
      </c>
      <c r="E294" s="65">
        <v>2895</v>
      </c>
      <c r="F294" s="20"/>
      <c r="G294" s="22">
        <f>F294*C294</f>
        <v>0</v>
      </c>
    </row>
    <row r="295" spans="2:7" s="1" customFormat="1" ht="26.25" hidden="1" customHeight="1" thickBot="1" x14ac:dyDescent="0.3">
      <c r="B295" s="32" t="s">
        <v>180</v>
      </c>
      <c r="C295" s="47">
        <v>1</v>
      </c>
      <c r="D295" s="56">
        <v>349</v>
      </c>
      <c r="E295" s="65">
        <v>2896</v>
      </c>
      <c r="F295" s="20"/>
      <c r="G295" s="22">
        <f>F295*C295</f>
        <v>0</v>
      </c>
    </row>
    <row r="296" spans="2:7" s="1" customFormat="1" ht="26.25" customHeight="1" thickBot="1" x14ac:dyDescent="0.3">
      <c r="B296" s="37" t="s">
        <v>114</v>
      </c>
      <c r="C296" s="45">
        <v>1</v>
      </c>
      <c r="D296" s="56">
        <v>283</v>
      </c>
      <c r="E296" s="65">
        <v>2725</v>
      </c>
      <c r="F296" s="20">
        <v>100</v>
      </c>
      <c r="G296" s="22">
        <f>F296*C296</f>
        <v>100</v>
      </c>
    </row>
    <row r="297" spans="2:7" s="1" customFormat="1" ht="26.25" hidden="1" customHeight="1" thickBot="1" x14ac:dyDescent="0.3">
      <c r="B297" s="37" t="s">
        <v>154</v>
      </c>
      <c r="C297" s="48">
        <v>0.4</v>
      </c>
      <c r="D297" s="59">
        <v>408</v>
      </c>
      <c r="E297" s="65">
        <v>2735</v>
      </c>
      <c r="F297" s="20"/>
      <c r="G297" s="22">
        <f>F297*C297</f>
        <v>0</v>
      </c>
    </row>
    <row r="298" spans="2:7" s="1" customFormat="1" ht="26.25" hidden="1" customHeight="1" thickBot="1" x14ac:dyDescent="0.3">
      <c r="B298" s="37" t="s">
        <v>178</v>
      </c>
      <c r="C298" s="48">
        <v>0.1</v>
      </c>
      <c r="D298" s="59">
        <v>334</v>
      </c>
      <c r="E298" s="65">
        <v>2841</v>
      </c>
      <c r="F298" s="20"/>
      <c r="G298" s="22">
        <f>F298*C298</f>
        <v>0</v>
      </c>
    </row>
    <row r="299" spans="2:7" s="1" customFormat="1" ht="26.25" hidden="1" customHeight="1" thickBot="1" x14ac:dyDescent="0.3">
      <c r="B299" s="37" t="s">
        <v>155</v>
      </c>
      <c r="C299" s="48">
        <v>0.5</v>
      </c>
      <c r="D299" s="59">
        <v>20</v>
      </c>
      <c r="E299" s="65">
        <v>82</v>
      </c>
      <c r="F299" s="20"/>
      <c r="G299" s="22">
        <f>F299*C299</f>
        <v>0</v>
      </c>
    </row>
    <row r="300" spans="2:7" s="1" customFormat="1" ht="27" hidden="1" customHeight="1" thickBot="1" x14ac:dyDescent="0.3">
      <c r="B300" s="37" t="s">
        <v>48</v>
      </c>
      <c r="C300" s="51">
        <v>1</v>
      </c>
      <c r="D300" s="61">
        <v>263</v>
      </c>
      <c r="E300" s="65">
        <v>1430</v>
      </c>
      <c r="F300" s="20"/>
      <c r="G300" s="22">
        <f>F300*C300</f>
        <v>0</v>
      </c>
    </row>
    <row r="301" spans="2:7" s="1" customFormat="1" ht="27" hidden="1" customHeight="1" thickBot="1" x14ac:dyDescent="0.3">
      <c r="B301" s="37" t="s">
        <v>191</v>
      </c>
      <c r="C301" s="52">
        <v>0.4</v>
      </c>
      <c r="D301" s="63">
        <v>387</v>
      </c>
      <c r="E301" s="65">
        <v>2983</v>
      </c>
      <c r="F301" s="20"/>
      <c r="G301" s="22">
        <f>F301*C301</f>
        <v>0</v>
      </c>
    </row>
    <row r="302" spans="2:7" s="1" customFormat="1" ht="27" hidden="1" customHeight="1" thickBot="1" x14ac:dyDescent="0.3">
      <c r="B302" s="37" t="s">
        <v>192</v>
      </c>
      <c r="C302" s="52">
        <v>1</v>
      </c>
      <c r="D302" s="63">
        <v>373</v>
      </c>
      <c r="E302" s="65">
        <v>2824</v>
      </c>
      <c r="F302" s="20"/>
      <c r="G302" s="22">
        <f>F302*C302</f>
        <v>0</v>
      </c>
    </row>
    <row r="303" spans="2:7" s="1" customFormat="1" ht="27" hidden="1" customHeight="1" thickBot="1" x14ac:dyDescent="0.3">
      <c r="B303" s="37" t="s">
        <v>193</v>
      </c>
      <c r="C303" s="52">
        <v>1</v>
      </c>
      <c r="D303" s="63">
        <v>372</v>
      </c>
      <c r="E303" s="65">
        <v>3068</v>
      </c>
      <c r="F303" s="20"/>
      <c r="G303" s="22">
        <f>F303*C303</f>
        <v>0</v>
      </c>
    </row>
    <row r="304" spans="2:7" s="1" customFormat="1" ht="27" hidden="1" customHeight="1" thickBot="1" x14ac:dyDescent="0.3">
      <c r="B304" s="37" t="s">
        <v>157</v>
      </c>
      <c r="C304" s="52">
        <v>0.28000000000000003</v>
      </c>
      <c r="D304" s="63">
        <v>385</v>
      </c>
      <c r="E304" s="65">
        <v>3035</v>
      </c>
      <c r="F304" s="20"/>
      <c r="G304" s="22">
        <f>F304*C304</f>
        <v>0</v>
      </c>
    </row>
    <row r="305" spans="2:7" s="1" customFormat="1" ht="27" hidden="1" customHeight="1" thickBot="1" x14ac:dyDescent="0.3">
      <c r="B305" s="37" t="s">
        <v>194</v>
      </c>
      <c r="C305" s="52">
        <v>0.13</v>
      </c>
      <c r="D305" s="63">
        <v>380</v>
      </c>
      <c r="E305" s="65">
        <v>3060</v>
      </c>
      <c r="F305" s="20"/>
      <c r="G305" s="22">
        <f>F305*C305</f>
        <v>0</v>
      </c>
    </row>
    <row r="306" spans="2:7" s="1" customFormat="1" ht="27" hidden="1" customHeight="1" thickBot="1" x14ac:dyDescent="0.3">
      <c r="B306" s="37" t="s">
        <v>195</v>
      </c>
      <c r="C306" s="52">
        <v>0.13</v>
      </c>
      <c r="D306" s="63">
        <v>368</v>
      </c>
      <c r="E306" s="65">
        <v>3056</v>
      </c>
      <c r="F306" s="20"/>
      <c r="G306" s="22">
        <f>F306*C306</f>
        <v>0</v>
      </c>
    </row>
    <row r="307" spans="2:7" s="1" customFormat="1" ht="27" hidden="1" customHeight="1" thickBot="1" x14ac:dyDescent="0.3">
      <c r="B307" s="37" t="s">
        <v>196</v>
      </c>
      <c r="C307" s="52">
        <v>0.6</v>
      </c>
      <c r="D307" s="63">
        <v>354</v>
      </c>
      <c r="E307" s="65">
        <v>2916</v>
      </c>
      <c r="F307" s="20"/>
      <c r="G307" s="22">
        <f>F307*C307</f>
        <v>0</v>
      </c>
    </row>
    <row r="308" spans="2:7" s="1" customFormat="1" ht="27" hidden="1" customHeight="1" thickBot="1" x14ac:dyDescent="0.3">
      <c r="B308" s="37" t="s">
        <v>197</v>
      </c>
      <c r="C308" s="52">
        <v>0.6</v>
      </c>
      <c r="D308" s="63">
        <v>353</v>
      </c>
      <c r="E308" s="65">
        <v>2919</v>
      </c>
      <c r="F308" s="20"/>
      <c r="G308" s="22">
        <f>F308*C308</f>
        <v>0</v>
      </c>
    </row>
    <row r="309" spans="2:7" s="1" customFormat="1" ht="27" hidden="1" customHeight="1" thickBot="1" x14ac:dyDescent="0.3">
      <c r="B309" s="37" t="s">
        <v>198</v>
      </c>
      <c r="C309" s="52">
        <v>0.6</v>
      </c>
      <c r="D309" s="63">
        <v>355</v>
      </c>
      <c r="E309" s="65">
        <v>2918</v>
      </c>
      <c r="F309" s="20"/>
      <c r="G309" s="22">
        <f>F309*C309</f>
        <v>0</v>
      </c>
    </row>
    <row r="310" spans="2:7" s="1" customFormat="1" ht="27" hidden="1" customHeight="1" thickBot="1" x14ac:dyDescent="0.3">
      <c r="B310" s="37" t="s">
        <v>200</v>
      </c>
      <c r="C310" s="52">
        <v>0.33</v>
      </c>
      <c r="D310" s="63">
        <v>388</v>
      </c>
      <c r="E310" s="65">
        <v>2984</v>
      </c>
      <c r="F310" s="20"/>
      <c r="G310" s="22">
        <f>F310*C310</f>
        <v>0</v>
      </c>
    </row>
    <row r="311" spans="2:7" s="1" customFormat="1" ht="27" hidden="1" customHeight="1" thickBot="1" x14ac:dyDescent="0.3">
      <c r="B311" s="37" t="s">
        <v>201</v>
      </c>
      <c r="C311" s="52">
        <v>1</v>
      </c>
      <c r="D311" s="63">
        <v>400</v>
      </c>
      <c r="E311" s="65">
        <v>2803</v>
      </c>
      <c r="F311" s="20"/>
      <c r="G311" s="22">
        <f>F311*C311</f>
        <v>0</v>
      </c>
    </row>
    <row r="312" spans="2:7" s="1" customFormat="1" ht="27" hidden="1" customHeight="1" thickBot="1" x14ac:dyDescent="0.3">
      <c r="B312" s="37" t="s">
        <v>202</v>
      </c>
      <c r="C312" s="52">
        <v>0.42</v>
      </c>
      <c r="D312" s="63">
        <v>409</v>
      </c>
      <c r="E312" s="65">
        <v>2319</v>
      </c>
      <c r="F312" s="20"/>
      <c r="G312" s="22">
        <f>F312*C312</f>
        <v>0</v>
      </c>
    </row>
    <row r="313" spans="2:7" s="1" customFormat="1" ht="27" hidden="1" customHeight="1" thickBot="1" x14ac:dyDescent="0.3">
      <c r="B313" s="37" t="s">
        <v>203</v>
      </c>
      <c r="C313" s="52">
        <v>1</v>
      </c>
      <c r="D313" s="63">
        <v>1</v>
      </c>
      <c r="E313" s="65"/>
      <c r="F313" s="20"/>
      <c r="G313" s="22">
        <f>F313*C313</f>
        <v>0</v>
      </c>
    </row>
    <row r="314" spans="2:7" s="1" customFormat="1" ht="27" hidden="1" customHeight="1" thickBot="1" x14ac:dyDescent="0.3">
      <c r="B314" s="37" t="s">
        <v>204</v>
      </c>
      <c r="C314" s="52">
        <v>1</v>
      </c>
      <c r="D314" s="63">
        <v>9</v>
      </c>
      <c r="E314" s="65"/>
      <c r="F314" s="20"/>
      <c r="G314" s="22">
        <f>F314*C314</f>
        <v>0</v>
      </c>
    </row>
    <row r="315" spans="2:7" s="1" customFormat="1" ht="27" hidden="1" customHeight="1" thickBot="1" x14ac:dyDescent="0.3">
      <c r="B315" s="37" t="s">
        <v>205</v>
      </c>
      <c r="C315" s="52">
        <v>1</v>
      </c>
      <c r="D315" s="63">
        <v>10</v>
      </c>
      <c r="E315" s="65"/>
      <c r="F315" s="20"/>
      <c r="G315" s="22">
        <f>F315*C315</f>
        <v>0</v>
      </c>
    </row>
    <row r="316" spans="2:7" s="1" customFormat="1" ht="27" hidden="1" customHeight="1" thickBot="1" x14ac:dyDescent="0.3">
      <c r="B316" s="36" t="s">
        <v>206</v>
      </c>
      <c r="C316" s="52">
        <v>1</v>
      </c>
      <c r="D316" s="63">
        <v>14</v>
      </c>
      <c r="E316" s="65">
        <v>2071</v>
      </c>
      <c r="F316" s="20"/>
      <c r="G316" s="22">
        <f>F316*C316</f>
        <v>0</v>
      </c>
    </row>
    <row r="317" spans="2:7" s="1" customFormat="1" ht="27" hidden="1" customHeight="1" thickBot="1" x14ac:dyDescent="0.3">
      <c r="B317" s="36" t="s">
        <v>207</v>
      </c>
      <c r="C317" s="52">
        <v>0.5</v>
      </c>
      <c r="D317" s="63">
        <v>24</v>
      </c>
      <c r="E317" s="65"/>
      <c r="F317" s="20"/>
      <c r="G317" s="22">
        <f>F317*C317</f>
        <v>0</v>
      </c>
    </row>
    <row r="318" spans="2:7" s="1" customFormat="1" ht="27" hidden="1" customHeight="1" thickBot="1" x14ac:dyDescent="0.3">
      <c r="B318" s="36" t="s">
        <v>208</v>
      </c>
      <c r="C318" s="52">
        <v>0.35</v>
      </c>
      <c r="D318" s="63">
        <v>35</v>
      </c>
      <c r="E318" s="65"/>
      <c r="F318" s="20"/>
      <c r="G318" s="22">
        <f>F318*C318</f>
        <v>0</v>
      </c>
    </row>
    <row r="319" spans="2:7" s="1" customFormat="1" ht="27" hidden="1" customHeight="1" thickBot="1" x14ac:dyDescent="0.3">
      <c r="B319" s="36" t="s">
        <v>209</v>
      </c>
      <c r="C319" s="52">
        <v>0.35</v>
      </c>
      <c r="D319" s="63">
        <v>36</v>
      </c>
      <c r="E319" s="65"/>
      <c r="F319" s="20"/>
      <c r="G319" s="22">
        <f>F319*C319</f>
        <v>0</v>
      </c>
    </row>
    <row r="320" spans="2:7" s="1" customFormat="1" ht="27" hidden="1" customHeight="1" thickBot="1" x14ac:dyDescent="0.3">
      <c r="B320" s="36" t="s">
        <v>210</v>
      </c>
      <c r="C320" s="52">
        <v>0.4</v>
      </c>
      <c r="D320" s="63">
        <v>279</v>
      </c>
      <c r="E320" s="65">
        <v>2312</v>
      </c>
      <c r="F320" s="20"/>
      <c r="G320" s="22">
        <f>F320*C320</f>
        <v>0</v>
      </c>
    </row>
    <row r="321" spans="2:7" s="1" customFormat="1" ht="27" hidden="1" customHeight="1" thickBot="1" x14ac:dyDescent="0.3">
      <c r="B321" s="36" t="s">
        <v>211</v>
      </c>
      <c r="C321" s="52">
        <v>0.4</v>
      </c>
      <c r="D321" s="63">
        <v>339</v>
      </c>
      <c r="E321" s="65">
        <v>2831</v>
      </c>
      <c r="F321" s="20"/>
      <c r="G321" s="22">
        <f>F321*C321</f>
        <v>0</v>
      </c>
    </row>
    <row r="322" spans="2:7" s="1" customFormat="1" ht="27" hidden="1" customHeight="1" thickBot="1" x14ac:dyDescent="0.3">
      <c r="B322" s="36" t="s">
        <v>212</v>
      </c>
      <c r="C322" s="52">
        <v>0.4</v>
      </c>
      <c r="D322" s="63">
        <v>42</v>
      </c>
      <c r="E322" s="65"/>
      <c r="F322" s="20"/>
      <c r="G322" s="22">
        <f>F322*C322</f>
        <v>0</v>
      </c>
    </row>
    <row r="323" spans="2:7" s="1" customFormat="1" ht="27" hidden="1" customHeight="1" thickBot="1" x14ac:dyDescent="0.3">
      <c r="B323" s="36" t="s">
        <v>213</v>
      </c>
      <c r="C323" s="52">
        <v>0.4</v>
      </c>
      <c r="D323" s="63">
        <v>54</v>
      </c>
      <c r="E323" s="65">
        <v>2477</v>
      </c>
      <c r="F323" s="20"/>
      <c r="G323" s="22">
        <f>F323*C323</f>
        <v>0</v>
      </c>
    </row>
    <row r="324" spans="2:7" s="1" customFormat="1" ht="27" hidden="1" customHeight="1" thickBot="1" x14ac:dyDescent="0.3">
      <c r="B324" s="36" t="s">
        <v>552</v>
      </c>
      <c r="C324" s="52">
        <v>0.6</v>
      </c>
      <c r="D324" s="63">
        <v>100</v>
      </c>
      <c r="E324" s="65">
        <v>2285</v>
      </c>
      <c r="F324" s="20"/>
      <c r="G324" s="22">
        <f>F324*C324</f>
        <v>0</v>
      </c>
    </row>
    <row r="325" spans="2:7" s="1" customFormat="1" ht="27" hidden="1" customHeight="1" thickBot="1" x14ac:dyDescent="0.3">
      <c r="B325" s="36" t="s">
        <v>214</v>
      </c>
      <c r="C325" s="52">
        <v>0.55000000000000004</v>
      </c>
      <c r="D325" s="63">
        <v>114</v>
      </c>
      <c r="E325" s="65"/>
      <c r="F325" s="20"/>
      <c r="G325" s="22">
        <f>F325*C325</f>
        <v>0</v>
      </c>
    </row>
    <row r="326" spans="2:7" s="1" customFormat="1" ht="27" hidden="1" customHeight="1" thickBot="1" x14ac:dyDescent="0.3">
      <c r="B326" s="36" t="s">
        <v>215</v>
      </c>
      <c r="C326" s="52">
        <v>0.1</v>
      </c>
      <c r="D326" s="63">
        <v>119</v>
      </c>
      <c r="E326" s="65"/>
      <c r="F326" s="20"/>
      <c r="G326" s="22">
        <f>F326*C326</f>
        <v>0</v>
      </c>
    </row>
    <row r="327" spans="2:7" s="1" customFormat="1" ht="27" hidden="1" customHeight="1" thickBot="1" x14ac:dyDescent="0.3">
      <c r="B327" s="36" t="s">
        <v>216</v>
      </c>
      <c r="C327" s="52">
        <v>0.1</v>
      </c>
      <c r="D327" s="63">
        <v>120</v>
      </c>
      <c r="E327" s="65"/>
      <c r="F327" s="20"/>
      <c r="G327" s="22">
        <f>F327*C327</f>
        <v>0</v>
      </c>
    </row>
    <row r="328" spans="2:7" s="1" customFormat="1" ht="27" hidden="1" customHeight="1" thickBot="1" x14ac:dyDescent="0.3">
      <c r="B328" s="36" t="s">
        <v>217</v>
      </c>
      <c r="C328" s="52">
        <v>1</v>
      </c>
      <c r="D328" s="63">
        <v>203</v>
      </c>
      <c r="E328" s="65"/>
      <c r="F328" s="20"/>
      <c r="G328" s="22">
        <f>F328*C328</f>
        <v>0</v>
      </c>
    </row>
    <row r="329" spans="2:7" s="1" customFormat="1" ht="27" hidden="1" customHeight="1" thickBot="1" x14ac:dyDescent="0.3">
      <c r="B329" s="36" t="s">
        <v>218</v>
      </c>
      <c r="C329" s="52">
        <v>1</v>
      </c>
      <c r="D329" s="63">
        <v>212</v>
      </c>
      <c r="E329" s="65"/>
      <c r="F329" s="20"/>
      <c r="G329" s="22">
        <f>F329*C329</f>
        <v>0</v>
      </c>
    </row>
    <row r="330" spans="2:7" s="1" customFormat="1" ht="27" hidden="1" customHeight="1" thickBot="1" x14ac:dyDescent="0.3">
      <c r="B330" s="36" t="s">
        <v>219</v>
      </c>
      <c r="C330" s="52">
        <v>1</v>
      </c>
      <c r="D330" s="63">
        <v>213</v>
      </c>
      <c r="E330" s="65"/>
      <c r="F330" s="20"/>
      <c r="G330" s="22">
        <f>F330*C330</f>
        <v>0</v>
      </c>
    </row>
    <row r="331" spans="2:7" s="1" customFormat="1" ht="27" hidden="1" customHeight="1" thickBot="1" x14ac:dyDescent="0.3">
      <c r="B331" s="36" t="s">
        <v>220</v>
      </c>
      <c r="C331" s="52">
        <v>1</v>
      </c>
      <c r="D331" s="63">
        <v>224</v>
      </c>
      <c r="E331" s="65"/>
      <c r="F331" s="20"/>
      <c r="G331" s="22">
        <f>F331*C331</f>
        <v>0</v>
      </c>
    </row>
    <row r="332" spans="2:7" s="1" customFormat="1" ht="27" hidden="1" customHeight="1" thickBot="1" x14ac:dyDescent="0.3">
      <c r="B332" s="36" t="s">
        <v>221</v>
      </c>
      <c r="C332" s="52">
        <v>1</v>
      </c>
      <c r="D332" s="63">
        <v>232</v>
      </c>
      <c r="E332" s="65"/>
      <c r="F332" s="20"/>
      <c r="G332" s="22">
        <f>F332*C332</f>
        <v>0</v>
      </c>
    </row>
    <row r="333" spans="2:7" s="1" customFormat="1" ht="27" hidden="1" customHeight="1" thickBot="1" x14ac:dyDescent="0.3">
      <c r="B333" s="36" t="s">
        <v>222</v>
      </c>
      <c r="C333" s="52">
        <v>1</v>
      </c>
      <c r="D333" s="63">
        <v>233</v>
      </c>
      <c r="E333" s="65"/>
      <c r="F333" s="20"/>
      <c r="G333" s="22">
        <f>F333*C333</f>
        <v>0</v>
      </c>
    </row>
    <row r="334" spans="2:7" s="1" customFormat="1" ht="27" hidden="1" customHeight="1" thickBot="1" x14ac:dyDescent="0.3">
      <c r="B334" s="36" t="s">
        <v>223</v>
      </c>
      <c r="C334" s="52">
        <v>1</v>
      </c>
      <c r="D334" s="63">
        <v>234</v>
      </c>
      <c r="E334" s="65"/>
      <c r="F334" s="20"/>
      <c r="G334" s="22">
        <f>F334*C334</f>
        <v>0</v>
      </c>
    </row>
    <row r="335" spans="2:7" s="1" customFormat="1" ht="27" hidden="1" customHeight="1" thickBot="1" x14ac:dyDescent="0.3">
      <c r="B335" s="36" t="s">
        <v>224</v>
      </c>
      <c r="C335" s="52">
        <v>1</v>
      </c>
      <c r="D335" s="63">
        <v>249</v>
      </c>
      <c r="E335" s="65"/>
      <c r="F335" s="20"/>
      <c r="G335" s="22">
        <f>F335*C335</f>
        <v>0</v>
      </c>
    </row>
    <row r="336" spans="2:7" s="1" customFormat="1" ht="27" hidden="1" customHeight="1" thickBot="1" x14ac:dyDescent="0.3">
      <c r="B336" s="36" t="s">
        <v>225</v>
      </c>
      <c r="C336" s="52">
        <v>1</v>
      </c>
      <c r="D336" s="63">
        <v>269</v>
      </c>
      <c r="E336" s="65"/>
      <c r="F336" s="20"/>
      <c r="G336" s="22">
        <f>F336*C336</f>
        <v>0</v>
      </c>
    </row>
    <row r="337" spans="2:7" s="1" customFormat="1" ht="27" hidden="1" customHeight="1" thickBot="1" x14ac:dyDescent="0.3">
      <c r="B337" s="36" t="s">
        <v>226</v>
      </c>
      <c r="C337" s="52">
        <v>0.15</v>
      </c>
      <c r="D337" s="63">
        <v>275</v>
      </c>
      <c r="E337" s="65"/>
      <c r="F337" s="20"/>
      <c r="G337" s="22">
        <f>F337*C337</f>
        <v>0</v>
      </c>
    </row>
    <row r="338" spans="2:7" s="1" customFormat="1" ht="27" hidden="1" customHeight="1" thickBot="1" x14ac:dyDescent="0.3">
      <c r="B338" s="36" t="s">
        <v>227</v>
      </c>
      <c r="C338" s="52">
        <v>0.1</v>
      </c>
      <c r="D338" s="63">
        <v>285</v>
      </c>
      <c r="E338" s="65">
        <v>2368</v>
      </c>
      <c r="F338" s="20"/>
      <c r="G338" s="22">
        <f>F338*C338</f>
        <v>0</v>
      </c>
    </row>
    <row r="339" spans="2:7" s="1" customFormat="1" ht="27" hidden="1" customHeight="1" thickBot="1" x14ac:dyDescent="0.3">
      <c r="B339" s="36" t="s">
        <v>228</v>
      </c>
      <c r="C339" s="52">
        <v>0.4</v>
      </c>
      <c r="D339" s="63">
        <v>290</v>
      </c>
      <c r="E339" s="65">
        <v>2616</v>
      </c>
      <c r="F339" s="20"/>
      <c r="G339" s="22">
        <f>F339*C339</f>
        <v>0</v>
      </c>
    </row>
    <row r="340" spans="2:7" s="1" customFormat="1" ht="27" hidden="1" customHeight="1" thickBot="1" x14ac:dyDescent="0.3">
      <c r="B340" s="36" t="s">
        <v>229</v>
      </c>
      <c r="C340" s="52">
        <v>0.3</v>
      </c>
      <c r="D340" s="63">
        <v>332</v>
      </c>
      <c r="E340" s="65"/>
      <c r="F340" s="20"/>
      <c r="G340" s="22">
        <f>F340*C340</f>
        <v>0</v>
      </c>
    </row>
    <row r="341" spans="2:7" s="1" customFormat="1" ht="27" hidden="1" customHeight="1" thickBot="1" x14ac:dyDescent="0.3">
      <c r="B341" s="36" t="s">
        <v>230</v>
      </c>
      <c r="C341" s="52">
        <v>0.35</v>
      </c>
      <c r="D341" s="63">
        <v>337</v>
      </c>
      <c r="E341" s="65">
        <v>2757</v>
      </c>
      <c r="F341" s="20"/>
      <c r="G341" s="22">
        <f>F341*C341</f>
        <v>0</v>
      </c>
    </row>
    <row r="342" spans="2:7" s="1" customFormat="1" ht="27" hidden="1" customHeight="1" thickBot="1" x14ac:dyDescent="0.3">
      <c r="B342" s="36" t="s">
        <v>231</v>
      </c>
      <c r="C342" s="52">
        <v>0.4</v>
      </c>
      <c r="D342" s="63">
        <v>352</v>
      </c>
      <c r="E342" s="65"/>
      <c r="F342" s="20"/>
      <c r="G342" s="22">
        <f>F342*C342</f>
        <v>0</v>
      </c>
    </row>
    <row r="343" spans="2:7" s="1" customFormat="1" ht="27" hidden="1" customHeight="1" thickBot="1" x14ac:dyDescent="0.3">
      <c r="B343" s="36" t="s">
        <v>232</v>
      </c>
      <c r="C343" s="52">
        <v>1</v>
      </c>
      <c r="D343" s="63">
        <v>359</v>
      </c>
      <c r="E343" s="65"/>
      <c r="F343" s="20"/>
      <c r="G343" s="22">
        <f>F343*C343</f>
        <v>0</v>
      </c>
    </row>
    <row r="344" spans="2:7" s="1" customFormat="1" ht="27" hidden="1" customHeight="1" thickBot="1" x14ac:dyDescent="0.3">
      <c r="B344" s="36" t="s">
        <v>233</v>
      </c>
      <c r="C344" s="52">
        <v>0.4</v>
      </c>
      <c r="D344" s="63">
        <v>370</v>
      </c>
      <c r="E344" s="65"/>
      <c r="F344" s="20"/>
      <c r="G344" s="22">
        <f>F344*C344</f>
        <v>0</v>
      </c>
    </row>
    <row r="345" spans="2:7" s="1" customFormat="1" ht="27" hidden="1" customHeight="1" thickBot="1" x14ac:dyDescent="0.3">
      <c r="B345" s="36" t="s">
        <v>234</v>
      </c>
      <c r="C345" s="52">
        <v>0.28000000000000003</v>
      </c>
      <c r="D345" s="63">
        <v>379</v>
      </c>
      <c r="E345" s="65">
        <v>2726</v>
      </c>
      <c r="F345" s="20"/>
      <c r="G345" s="22">
        <f>F345*C345</f>
        <v>0</v>
      </c>
    </row>
    <row r="346" spans="2:7" s="1" customFormat="1" ht="27" hidden="1" customHeight="1" thickBot="1" x14ac:dyDescent="0.3">
      <c r="B346" s="36" t="s">
        <v>235</v>
      </c>
      <c r="C346" s="52">
        <v>0.28000000000000003</v>
      </c>
      <c r="D346" s="63">
        <v>389</v>
      </c>
      <c r="E346" s="65"/>
      <c r="F346" s="20"/>
      <c r="G346" s="22">
        <f>F346*C346</f>
        <v>0</v>
      </c>
    </row>
    <row r="347" spans="2:7" s="1" customFormat="1" ht="27" hidden="1" customHeight="1" thickBot="1" x14ac:dyDescent="0.3">
      <c r="B347" s="36" t="s">
        <v>236</v>
      </c>
      <c r="C347" s="52">
        <v>0.28000000000000003</v>
      </c>
      <c r="D347" s="63">
        <v>390</v>
      </c>
      <c r="E347" s="65"/>
      <c r="F347" s="20"/>
      <c r="G347" s="22">
        <f>F347*C347</f>
        <v>0</v>
      </c>
    </row>
    <row r="348" spans="2:7" s="1" customFormat="1" ht="27" hidden="1" customHeight="1" thickBot="1" x14ac:dyDescent="0.3">
      <c r="B348" s="36" t="s">
        <v>237</v>
      </c>
      <c r="C348" s="52">
        <v>0.28000000000000003</v>
      </c>
      <c r="D348" s="63">
        <v>391</v>
      </c>
      <c r="E348" s="65"/>
      <c r="F348" s="20"/>
      <c r="G348" s="22">
        <f>F348*C348</f>
        <v>0</v>
      </c>
    </row>
    <row r="349" spans="2:7" s="1" customFormat="1" ht="27" hidden="1" customHeight="1" thickBot="1" x14ac:dyDescent="0.3">
      <c r="B349" s="36" t="s">
        <v>238</v>
      </c>
      <c r="C349" s="52">
        <v>0.28000000000000003</v>
      </c>
      <c r="D349" s="63">
        <v>393</v>
      </c>
      <c r="E349" s="65"/>
      <c r="F349" s="20"/>
      <c r="G349" s="22">
        <f>F349*C349</f>
        <v>0</v>
      </c>
    </row>
    <row r="350" spans="2:7" s="1" customFormat="1" ht="27" hidden="1" customHeight="1" thickBot="1" x14ac:dyDescent="0.3">
      <c r="B350" s="36" t="s">
        <v>239</v>
      </c>
      <c r="C350" s="52">
        <v>0.35</v>
      </c>
      <c r="D350" s="63">
        <v>386</v>
      </c>
      <c r="E350" s="65"/>
      <c r="F350" s="20"/>
      <c r="G350" s="22">
        <f>F350*C350</f>
        <v>0</v>
      </c>
    </row>
    <row r="351" spans="2:7" s="1" customFormat="1" ht="27" hidden="1" customHeight="1" thickBot="1" x14ac:dyDescent="0.3">
      <c r="B351" s="36" t="s">
        <v>240</v>
      </c>
      <c r="C351" s="52">
        <v>1</v>
      </c>
      <c r="D351" s="19"/>
      <c r="E351" s="65"/>
      <c r="F351" s="20"/>
      <c r="G351" s="22">
        <f>F351*C351</f>
        <v>0</v>
      </c>
    </row>
    <row r="352" spans="2:7" s="1" customFormat="1" ht="27" hidden="1" customHeight="1" thickBot="1" x14ac:dyDescent="0.3">
      <c r="B352" s="36" t="s">
        <v>241</v>
      </c>
      <c r="C352" s="52">
        <v>0.42</v>
      </c>
      <c r="D352" s="63">
        <v>108</v>
      </c>
      <c r="E352" s="65">
        <v>152</v>
      </c>
      <c r="F352" s="20"/>
      <c r="G352" s="22">
        <f>F352*C352</f>
        <v>0</v>
      </c>
    </row>
    <row r="353" spans="2:7" s="1" customFormat="1" ht="27" hidden="1" customHeight="1" thickBot="1" x14ac:dyDescent="0.3">
      <c r="B353" s="36" t="s">
        <v>242</v>
      </c>
      <c r="C353" s="53">
        <v>0.35</v>
      </c>
      <c r="D353" s="63">
        <v>410</v>
      </c>
      <c r="E353" s="65">
        <v>3168</v>
      </c>
      <c r="F353" s="20"/>
      <c r="G353" s="22">
        <f>F353*C353</f>
        <v>0</v>
      </c>
    </row>
    <row r="354" spans="2:7" s="1" customFormat="1" ht="27" hidden="1" customHeight="1" thickBot="1" x14ac:dyDescent="0.3">
      <c r="B354" s="36" t="s">
        <v>243</v>
      </c>
      <c r="C354" s="52">
        <v>0.35</v>
      </c>
      <c r="D354" s="63">
        <v>412</v>
      </c>
      <c r="E354" s="65">
        <v>3167</v>
      </c>
      <c r="F354" s="20"/>
      <c r="G354" s="22">
        <f>F354*C354</f>
        <v>0</v>
      </c>
    </row>
    <row r="355" spans="2:7" s="1" customFormat="1" ht="27" hidden="1" customHeight="1" thickBot="1" x14ac:dyDescent="0.3">
      <c r="B355" s="36" t="s">
        <v>244</v>
      </c>
      <c r="C355" s="52">
        <v>1</v>
      </c>
      <c r="D355" s="63">
        <v>416</v>
      </c>
      <c r="E355" s="65">
        <v>3161</v>
      </c>
      <c r="F355" s="20"/>
      <c r="G355" s="22">
        <f>F355*C355</f>
        <v>0</v>
      </c>
    </row>
    <row r="356" spans="2:7" s="1" customFormat="1" ht="27" hidden="1" customHeight="1" thickBot="1" x14ac:dyDescent="0.3">
      <c r="B356" s="41" t="s">
        <v>256</v>
      </c>
      <c r="C356" s="52">
        <v>0.33</v>
      </c>
      <c r="D356" s="63">
        <v>405</v>
      </c>
      <c r="E356" s="65">
        <v>2367</v>
      </c>
      <c r="F356" s="20"/>
      <c r="G356" s="22">
        <f>F356*C356</f>
        <v>0</v>
      </c>
    </row>
    <row r="357" spans="2:7" s="1" customFormat="1" ht="27" hidden="1" customHeight="1" thickBot="1" x14ac:dyDescent="0.3">
      <c r="B357" s="41" t="s">
        <v>511</v>
      </c>
      <c r="C357" s="52">
        <v>0.33</v>
      </c>
      <c r="D357" s="63">
        <v>404</v>
      </c>
      <c r="E357" s="65">
        <v>2997</v>
      </c>
      <c r="F357" s="20"/>
      <c r="G357" s="22">
        <f>F357*C357</f>
        <v>0</v>
      </c>
    </row>
    <row r="358" spans="2:7" s="1" customFormat="1" ht="27" hidden="1" customHeight="1" thickBot="1" x14ac:dyDescent="0.3">
      <c r="B358" s="41" t="s">
        <v>257</v>
      </c>
      <c r="C358" s="52">
        <v>0.3</v>
      </c>
      <c r="D358" s="63">
        <v>403</v>
      </c>
      <c r="E358" s="65">
        <v>2996</v>
      </c>
      <c r="F358" s="20"/>
      <c r="G358" s="22">
        <f>F358*C358</f>
        <v>0</v>
      </c>
    </row>
    <row r="359" spans="2:7" s="1" customFormat="1" ht="27" hidden="1" customHeight="1" thickBot="1" x14ac:dyDescent="0.3">
      <c r="B359" s="41" t="s">
        <v>258</v>
      </c>
      <c r="C359" s="52">
        <v>0.06</v>
      </c>
      <c r="D359" s="63">
        <v>418</v>
      </c>
      <c r="E359" s="65"/>
      <c r="F359" s="20"/>
      <c r="G359" s="22">
        <f>F359*C359</f>
        <v>0</v>
      </c>
    </row>
    <row r="360" spans="2:7" s="1" customFormat="1" ht="27" hidden="1" customHeight="1" thickBot="1" x14ac:dyDescent="0.3">
      <c r="B360" s="42" t="s">
        <v>259</v>
      </c>
      <c r="C360" s="52">
        <v>1</v>
      </c>
      <c r="D360" s="19"/>
      <c r="E360" s="65"/>
      <c r="F360" s="20"/>
      <c r="G360" s="22">
        <f>F360*C360</f>
        <v>0</v>
      </c>
    </row>
    <row r="361" spans="2:7" s="1" customFormat="1" ht="27" hidden="1" customHeight="1" thickBot="1" x14ac:dyDescent="0.3">
      <c r="B361" s="42" t="s">
        <v>260</v>
      </c>
      <c r="C361" s="52">
        <v>1</v>
      </c>
      <c r="D361" s="19"/>
      <c r="E361" s="65"/>
      <c r="F361" s="20"/>
      <c r="G361" s="22">
        <f>F361*C361</f>
        <v>0</v>
      </c>
    </row>
    <row r="362" spans="2:7" s="1" customFormat="1" ht="27" hidden="1" customHeight="1" thickBot="1" x14ac:dyDescent="0.3">
      <c r="B362" s="42" t="s">
        <v>261</v>
      </c>
      <c r="C362" s="52">
        <v>0.35</v>
      </c>
      <c r="D362" s="19"/>
      <c r="E362" s="65"/>
      <c r="F362" s="20"/>
      <c r="G362" s="22">
        <f>F362*C362</f>
        <v>0</v>
      </c>
    </row>
    <row r="363" spans="2:7" s="1" customFormat="1" ht="27" hidden="1" customHeight="1" thickBot="1" x14ac:dyDescent="0.3">
      <c r="B363" s="42" t="s">
        <v>262</v>
      </c>
      <c r="C363" s="52">
        <v>0.4</v>
      </c>
      <c r="D363" s="19"/>
      <c r="E363" s="65"/>
      <c r="F363" s="20"/>
      <c r="G363" s="22">
        <f>F363*C363</f>
        <v>0</v>
      </c>
    </row>
    <row r="364" spans="2:7" s="1" customFormat="1" ht="27" hidden="1" customHeight="1" thickBot="1" x14ac:dyDescent="0.3">
      <c r="B364" s="42" t="s">
        <v>263</v>
      </c>
      <c r="C364" s="52">
        <v>0.4</v>
      </c>
      <c r="D364" s="19"/>
      <c r="E364" s="65"/>
      <c r="F364" s="20"/>
      <c r="G364" s="22">
        <f>F364*C364</f>
        <v>0</v>
      </c>
    </row>
    <row r="365" spans="2:7" s="1" customFormat="1" ht="27" hidden="1" customHeight="1" thickBot="1" x14ac:dyDescent="0.3">
      <c r="B365" s="42" t="s">
        <v>264</v>
      </c>
      <c r="C365" s="52">
        <v>0.4</v>
      </c>
      <c r="D365" s="19"/>
      <c r="E365" s="65"/>
      <c r="F365" s="20"/>
      <c r="G365" s="22">
        <f>F365*C365</f>
        <v>0</v>
      </c>
    </row>
    <row r="366" spans="2:7" s="1" customFormat="1" ht="27" hidden="1" customHeight="1" thickBot="1" x14ac:dyDescent="0.3">
      <c r="B366" s="42" t="s">
        <v>265</v>
      </c>
      <c r="C366" s="52">
        <v>0.33</v>
      </c>
      <c r="D366" s="19"/>
      <c r="E366" s="65"/>
      <c r="F366" s="20"/>
      <c r="G366" s="22">
        <f>F366*C366</f>
        <v>0</v>
      </c>
    </row>
    <row r="367" spans="2:7" s="1" customFormat="1" ht="27" hidden="1" customHeight="1" thickBot="1" x14ac:dyDescent="0.3">
      <c r="B367" s="42" t="s">
        <v>266</v>
      </c>
      <c r="C367" s="52">
        <v>0.45</v>
      </c>
      <c r="D367" s="19"/>
      <c r="E367" s="65"/>
      <c r="F367" s="20"/>
      <c r="G367" s="22">
        <f>F367*C367</f>
        <v>0</v>
      </c>
    </row>
    <row r="368" spans="2:7" s="1" customFormat="1" ht="27" hidden="1" customHeight="1" thickBot="1" x14ac:dyDescent="0.3">
      <c r="B368" s="42" t="s">
        <v>267</v>
      </c>
      <c r="C368" s="52">
        <v>0.35</v>
      </c>
      <c r="D368" s="19"/>
      <c r="E368" s="65"/>
      <c r="F368" s="20"/>
      <c r="G368" s="22">
        <f>F368*C368</f>
        <v>0</v>
      </c>
    </row>
    <row r="369" spans="2:7" s="1" customFormat="1" ht="27" hidden="1" customHeight="1" thickBot="1" x14ac:dyDescent="0.3">
      <c r="B369" s="42" t="s">
        <v>268</v>
      </c>
      <c r="C369" s="52">
        <v>0.42</v>
      </c>
      <c r="D369" s="19"/>
      <c r="E369" s="65"/>
      <c r="F369" s="20"/>
      <c r="G369" s="22">
        <f>F369*C369</f>
        <v>0</v>
      </c>
    </row>
    <row r="370" spans="2:7" s="1" customFormat="1" ht="27" hidden="1" customHeight="1" thickBot="1" x14ac:dyDescent="0.3">
      <c r="B370" s="42" t="s">
        <v>269</v>
      </c>
      <c r="C370" s="52">
        <v>0.42</v>
      </c>
      <c r="D370" s="19"/>
      <c r="E370" s="65"/>
      <c r="F370" s="20"/>
      <c r="G370" s="22">
        <f>F370*C370</f>
        <v>0</v>
      </c>
    </row>
    <row r="371" spans="2:7" s="1" customFormat="1" ht="27" hidden="1" customHeight="1" thickBot="1" x14ac:dyDescent="0.3">
      <c r="B371" s="42" t="s">
        <v>270</v>
      </c>
      <c r="C371" s="52">
        <v>0.33</v>
      </c>
      <c r="D371" s="19"/>
      <c r="E371" s="65"/>
      <c r="F371" s="20"/>
      <c r="G371" s="22">
        <f>F371*C371</f>
        <v>0</v>
      </c>
    </row>
    <row r="372" spans="2:7" s="1" customFormat="1" ht="27" hidden="1" customHeight="1" thickBot="1" x14ac:dyDescent="0.3">
      <c r="B372" s="42" t="s">
        <v>271</v>
      </c>
      <c r="C372" s="52">
        <v>0.28000000000000003</v>
      </c>
      <c r="D372" s="19"/>
      <c r="E372" s="65"/>
      <c r="F372" s="20"/>
      <c r="G372" s="22">
        <f>F372*C372</f>
        <v>0</v>
      </c>
    </row>
    <row r="373" spans="2:7" s="1" customFormat="1" ht="27" hidden="1" customHeight="1" thickBot="1" x14ac:dyDescent="0.3">
      <c r="B373" s="42" t="s">
        <v>272</v>
      </c>
      <c r="C373" s="52">
        <v>0.28000000000000003</v>
      </c>
      <c r="D373" s="19"/>
      <c r="E373" s="65"/>
      <c r="F373" s="20"/>
      <c r="G373" s="22">
        <f>F373*C373</f>
        <v>0</v>
      </c>
    </row>
    <row r="374" spans="2:7" s="1" customFormat="1" ht="27" hidden="1" customHeight="1" thickBot="1" x14ac:dyDescent="0.3">
      <c r="B374" s="42" t="s">
        <v>273</v>
      </c>
      <c r="C374" s="52">
        <v>0.3</v>
      </c>
      <c r="D374" s="19"/>
      <c r="E374" s="65"/>
      <c r="F374" s="20"/>
      <c r="G374" s="22">
        <f>F374*C374</f>
        <v>0</v>
      </c>
    </row>
    <row r="375" spans="2:7" s="1" customFormat="1" ht="27" hidden="1" customHeight="1" thickBot="1" x14ac:dyDescent="0.3">
      <c r="B375" s="42" t="s">
        <v>274</v>
      </c>
      <c r="C375" s="52">
        <v>0.84</v>
      </c>
      <c r="D375" s="19"/>
      <c r="E375" s="65"/>
      <c r="F375" s="20"/>
      <c r="G375" s="22">
        <f>F375*C375</f>
        <v>0</v>
      </c>
    </row>
    <row r="376" spans="2:7" s="1" customFormat="1" ht="27" hidden="1" customHeight="1" thickBot="1" x14ac:dyDescent="0.3">
      <c r="B376" s="42" t="s">
        <v>275</v>
      </c>
      <c r="C376" s="52">
        <v>0.4</v>
      </c>
      <c r="D376" s="19"/>
      <c r="E376" s="65"/>
      <c r="F376" s="20"/>
      <c r="G376" s="22">
        <f>F376*C376</f>
        <v>0</v>
      </c>
    </row>
    <row r="377" spans="2:7" s="1" customFormat="1" ht="27" hidden="1" customHeight="1" thickBot="1" x14ac:dyDescent="0.3">
      <c r="B377" s="42" t="s">
        <v>276</v>
      </c>
      <c r="C377" s="52">
        <v>0.84</v>
      </c>
      <c r="D377" s="19"/>
      <c r="E377" s="65"/>
      <c r="F377" s="20"/>
      <c r="G377" s="22">
        <f>F377*C377</f>
        <v>0</v>
      </c>
    </row>
    <row r="378" spans="2:7" s="1" customFormat="1" ht="27" hidden="1" customHeight="1" thickBot="1" x14ac:dyDescent="0.3">
      <c r="B378" s="42" t="s">
        <v>277</v>
      </c>
      <c r="C378" s="52">
        <v>1</v>
      </c>
      <c r="D378" s="19"/>
      <c r="E378" s="65"/>
      <c r="F378" s="20"/>
      <c r="G378" s="22">
        <f>F378*C378</f>
        <v>0</v>
      </c>
    </row>
    <row r="379" spans="2:7" s="1" customFormat="1" ht="27" hidden="1" customHeight="1" thickBot="1" x14ac:dyDescent="0.3">
      <c r="B379" s="42" t="s">
        <v>278</v>
      </c>
      <c r="C379" s="52">
        <v>0.4</v>
      </c>
      <c r="D379" s="19"/>
      <c r="E379" s="65"/>
      <c r="F379" s="20"/>
      <c r="G379" s="22">
        <f>F379*C379</f>
        <v>0</v>
      </c>
    </row>
    <row r="380" spans="2:7" s="1" customFormat="1" ht="27" hidden="1" customHeight="1" thickBot="1" x14ac:dyDescent="0.3">
      <c r="B380" s="42" t="s">
        <v>279</v>
      </c>
      <c r="C380" s="52">
        <v>0.4</v>
      </c>
      <c r="D380" s="19"/>
      <c r="E380" s="65"/>
      <c r="F380" s="20"/>
      <c r="G380" s="22">
        <f>F380*C380</f>
        <v>0</v>
      </c>
    </row>
    <row r="381" spans="2:7" s="1" customFormat="1" ht="27" hidden="1" customHeight="1" thickBot="1" x14ac:dyDescent="0.3">
      <c r="B381" s="42" t="s">
        <v>280</v>
      </c>
      <c r="C381" s="52">
        <v>1</v>
      </c>
      <c r="D381" s="19"/>
      <c r="E381" s="65"/>
      <c r="F381" s="20"/>
      <c r="G381" s="22">
        <f>F381*C381</f>
        <v>0</v>
      </c>
    </row>
    <row r="382" spans="2:7" s="1" customFormat="1" ht="27" hidden="1" customHeight="1" thickBot="1" x14ac:dyDescent="0.3">
      <c r="B382" s="42" t="s">
        <v>281</v>
      </c>
      <c r="C382" s="52">
        <v>1</v>
      </c>
      <c r="D382" s="19"/>
      <c r="E382" s="65"/>
      <c r="F382" s="20"/>
      <c r="G382" s="22">
        <f>F382*C382</f>
        <v>0</v>
      </c>
    </row>
    <row r="383" spans="2:7" s="1" customFormat="1" ht="27" hidden="1" customHeight="1" thickBot="1" x14ac:dyDescent="0.3">
      <c r="B383" s="42" t="s">
        <v>282</v>
      </c>
      <c r="C383" s="52">
        <v>0.05</v>
      </c>
      <c r="D383" s="19"/>
      <c r="E383" s="65"/>
      <c r="F383" s="20"/>
      <c r="G383" s="22">
        <f>F383*C383</f>
        <v>0</v>
      </c>
    </row>
    <row r="384" spans="2:7" s="1" customFormat="1" ht="27" hidden="1" customHeight="1" thickBot="1" x14ac:dyDescent="0.3">
      <c r="B384" s="42" t="s">
        <v>283</v>
      </c>
      <c r="C384" s="52">
        <v>0.45</v>
      </c>
      <c r="D384" s="19"/>
      <c r="E384" s="65"/>
      <c r="F384" s="20"/>
      <c r="G384" s="22">
        <f>F384*C384</f>
        <v>0</v>
      </c>
    </row>
    <row r="385" spans="2:7" s="1" customFormat="1" ht="27" hidden="1" customHeight="1" thickBot="1" x14ac:dyDescent="0.3">
      <c r="B385" s="42" t="s">
        <v>284</v>
      </c>
      <c r="C385" s="52">
        <v>1</v>
      </c>
      <c r="D385" s="19"/>
      <c r="E385" s="65"/>
      <c r="F385" s="20"/>
      <c r="G385" s="22">
        <f>F385*C385</f>
        <v>0</v>
      </c>
    </row>
    <row r="386" spans="2:7" s="1" customFormat="1" ht="27" hidden="1" customHeight="1" thickBot="1" x14ac:dyDescent="0.3">
      <c r="B386" s="42" t="s">
        <v>285</v>
      </c>
      <c r="C386" s="52">
        <v>0.35</v>
      </c>
      <c r="D386" s="19"/>
      <c r="E386" s="65"/>
      <c r="F386" s="20"/>
      <c r="G386" s="22">
        <f>F386*C386</f>
        <v>0</v>
      </c>
    </row>
    <row r="387" spans="2:7" s="1" customFormat="1" ht="27" hidden="1" customHeight="1" thickBot="1" x14ac:dyDescent="0.3">
      <c r="B387" s="42" t="s">
        <v>286</v>
      </c>
      <c r="C387" s="52">
        <v>0.45</v>
      </c>
      <c r="D387" s="19"/>
      <c r="E387" s="65"/>
      <c r="F387" s="20"/>
      <c r="G387" s="22">
        <f>F387*C387</f>
        <v>0</v>
      </c>
    </row>
    <row r="388" spans="2:7" s="1" customFormat="1" ht="27" hidden="1" customHeight="1" thickBot="1" x14ac:dyDescent="0.3">
      <c r="B388" s="42" t="s">
        <v>287</v>
      </c>
      <c r="C388" s="52">
        <v>0.3</v>
      </c>
      <c r="D388" s="19"/>
      <c r="E388" s="65"/>
      <c r="F388" s="20"/>
      <c r="G388" s="22">
        <f>F388*C388</f>
        <v>0</v>
      </c>
    </row>
    <row r="389" spans="2:7" s="1" customFormat="1" ht="27" hidden="1" customHeight="1" thickBot="1" x14ac:dyDescent="0.3">
      <c r="B389" s="42" t="s">
        <v>296</v>
      </c>
      <c r="C389" s="52">
        <v>0.11</v>
      </c>
      <c r="D389" s="63">
        <v>414</v>
      </c>
      <c r="E389" s="65">
        <v>3281</v>
      </c>
      <c r="F389" s="20"/>
      <c r="G389" s="22">
        <f>F389*C389</f>
        <v>0</v>
      </c>
    </row>
    <row r="390" spans="2:7" s="1" customFormat="1" ht="27" hidden="1" customHeight="1" thickBot="1" x14ac:dyDescent="0.3">
      <c r="B390" s="42" t="s">
        <v>288</v>
      </c>
      <c r="C390" s="52">
        <v>1</v>
      </c>
      <c r="D390" s="19"/>
      <c r="E390" s="65"/>
      <c r="F390" s="20"/>
      <c r="G390" s="22">
        <f>F390*C390</f>
        <v>0</v>
      </c>
    </row>
    <row r="391" spans="2:7" s="1" customFormat="1" ht="27" hidden="1" customHeight="1" thickBot="1" x14ac:dyDescent="0.3">
      <c r="B391" s="42" t="s">
        <v>289</v>
      </c>
      <c r="C391" s="52">
        <v>0.35</v>
      </c>
      <c r="D391" s="19"/>
      <c r="E391" s="65"/>
      <c r="F391" s="20"/>
      <c r="G391" s="22">
        <f>F391*C391</f>
        <v>0</v>
      </c>
    </row>
    <row r="392" spans="2:7" s="1" customFormat="1" ht="27" customHeight="1" thickBot="1" x14ac:dyDescent="0.3">
      <c r="B392" s="77" t="s">
        <v>553</v>
      </c>
      <c r="C392" s="49">
        <v>5.5E-2</v>
      </c>
      <c r="D392" s="73" t="s">
        <v>554</v>
      </c>
      <c r="E392" s="74">
        <v>3923</v>
      </c>
      <c r="F392" s="75">
        <v>200</v>
      </c>
      <c r="G392" s="22">
        <f>F392*C392</f>
        <v>11</v>
      </c>
    </row>
    <row r="393" spans="2:7" s="1" customFormat="1" ht="27" customHeight="1" thickBot="1" x14ac:dyDescent="0.3">
      <c r="B393" s="72" t="s">
        <v>555</v>
      </c>
      <c r="C393" s="49">
        <v>0.12</v>
      </c>
      <c r="D393" s="73" t="s">
        <v>556</v>
      </c>
      <c r="E393" s="74">
        <v>3921</v>
      </c>
      <c r="F393" s="75">
        <v>250</v>
      </c>
      <c r="G393" s="22">
        <f>F393*C393</f>
        <v>30</v>
      </c>
    </row>
    <row r="394" spans="2:7" s="1" customFormat="1" ht="27" hidden="1" customHeight="1" thickBot="1" x14ac:dyDescent="0.3">
      <c r="B394" s="43" t="s">
        <v>95</v>
      </c>
      <c r="C394" s="54"/>
      <c r="D394" s="24"/>
      <c r="E394" s="25"/>
      <c r="F394" s="21"/>
      <c r="G394" s="22">
        <f>F394*C394</f>
        <v>0</v>
      </c>
    </row>
    <row r="395" spans="2:7" ht="24.75" customHeight="1" thickBot="1" x14ac:dyDescent="0.3">
      <c r="B395" s="70" t="s">
        <v>84</v>
      </c>
      <c r="C395" s="71"/>
      <c r="D395" s="26"/>
      <c r="E395" s="26"/>
      <c r="F395" s="76">
        <f>SUM(F3:F394)</f>
        <v>18760</v>
      </c>
      <c r="G395" s="27">
        <f>SUM(G3:G394)</f>
        <v>18063.5</v>
      </c>
    </row>
  </sheetData>
  <autoFilter ref="F2:F395" xr:uid="{06865F7D-629D-46AD-BC85-A64E37E1079A}">
    <filterColumn colId="0">
      <customFilters>
        <customFilter operator="notEqual" val=" "/>
      </customFilters>
    </filterColumn>
  </autoFilter>
  <sortState xmlns:xlrd2="http://schemas.microsoft.com/office/spreadsheetml/2017/richdata2" ref="B159:G300">
    <sortCondition ref="B159:B300"/>
  </sortState>
  <mergeCells count="1">
    <mergeCell ref="B395:C395"/>
  </mergeCells>
  <conditionalFormatting sqref="D190:D234 D2:D177 D236:D267 D269:D1048576 D179:D188">
    <cfRule type="duplicateValues" dxfId="5" priority="43"/>
  </conditionalFormatting>
  <conditionalFormatting sqref="D189">
    <cfRule type="duplicateValues" dxfId="4" priority="53"/>
  </conditionalFormatting>
  <conditionalFormatting sqref="D235">
    <cfRule type="duplicateValues" dxfId="3" priority="54"/>
  </conditionalFormatting>
  <conditionalFormatting sqref="D268">
    <cfRule type="duplicateValues" dxfId="2" priority="55"/>
  </conditionalFormatting>
  <conditionalFormatting sqref="D178">
    <cfRule type="duplicateValues" dxfId="1" priority="56"/>
  </conditionalFormatting>
  <conditionalFormatting sqref="D1:D1048576">
    <cfRule type="duplicateValues" dxfId="0" priority="57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1" customWidth="1"/>
  </cols>
  <sheetData>
    <row r="1" spans="2:3" x14ac:dyDescent="0.25">
      <c r="B1" s="8" t="s">
        <v>302</v>
      </c>
      <c r="C1" s="10" t="s">
        <v>440</v>
      </c>
    </row>
    <row r="2" spans="2:3" x14ac:dyDescent="0.25">
      <c r="B2" s="8"/>
      <c r="C2" s="11">
        <v>29.74</v>
      </c>
    </row>
    <row r="3" spans="2:3" x14ac:dyDescent="0.25">
      <c r="B3" s="8" t="s">
        <v>245</v>
      </c>
      <c r="C3" s="11">
        <v>39.15</v>
      </c>
    </row>
    <row r="4" spans="2:3" x14ac:dyDescent="0.25">
      <c r="B4" s="8" t="s">
        <v>303</v>
      </c>
      <c r="C4" s="11">
        <v>37.840000000000003</v>
      </c>
    </row>
    <row r="5" spans="2:3" x14ac:dyDescent="0.25">
      <c r="B5" s="8" t="s">
        <v>304</v>
      </c>
      <c r="C5" s="11">
        <v>37.840000000000003</v>
      </c>
    </row>
    <row r="6" spans="2:3" x14ac:dyDescent="0.25">
      <c r="B6" s="8" t="s">
        <v>305</v>
      </c>
      <c r="C6" s="11">
        <v>64.59</v>
      </c>
    </row>
    <row r="7" spans="2:3" x14ac:dyDescent="0.25">
      <c r="B7" s="8" t="s">
        <v>306</v>
      </c>
      <c r="C7" s="11">
        <v>64.59</v>
      </c>
    </row>
    <row r="8" spans="2:3" x14ac:dyDescent="0.25">
      <c r="B8" s="8" t="s">
        <v>307</v>
      </c>
      <c r="C8" s="11">
        <v>88.926327000000001</v>
      </c>
    </row>
    <row r="9" spans="2:3" x14ac:dyDescent="0.25">
      <c r="B9" s="8" t="s">
        <v>308</v>
      </c>
      <c r="C9" s="11">
        <v>86.952600000000004</v>
      </c>
    </row>
    <row r="10" spans="2:3" x14ac:dyDescent="0.25">
      <c r="B10" s="8" t="s">
        <v>309</v>
      </c>
      <c r="C10" s="10">
        <v>96.315538000000004</v>
      </c>
    </row>
    <row r="11" spans="2:3" x14ac:dyDescent="0.25">
      <c r="B11" s="8" t="s">
        <v>310</v>
      </c>
      <c r="C11" s="11">
        <v>94.258780000000002</v>
      </c>
    </row>
    <row r="12" spans="2:3" x14ac:dyDescent="0.25">
      <c r="B12" s="8" t="s">
        <v>311</v>
      </c>
      <c r="C12" s="11">
        <v>94.258780000000002</v>
      </c>
    </row>
    <row r="13" spans="2:3" x14ac:dyDescent="0.25">
      <c r="B13" s="8" t="s">
        <v>312</v>
      </c>
      <c r="C13" s="11">
        <v>91.247700000000009</v>
      </c>
    </row>
    <row r="14" spans="2:3" x14ac:dyDescent="0.25">
      <c r="B14" s="8" t="s">
        <v>313</v>
      </c>
      <c r="C14" s="11">
        <v>100.83150000000001</v>
      </c>
    </row>
    <row r="15" spans="2:3" x14ac:dyDescent="0.25">
      <c r="B15" s="8" t="s">
        <v>314</v>
      </c>
      <c r="C15" s="11">
        <v>95.813640000000007</v>
      </c>
    </row>
    <row r="16" spans="2:3" x14ac:dyDescent="0.25">
      <c r="B16" s="8" t="s">
        <v>315</v>
      </c>
      <c r="C16" s="11">
        <v>99.239184000000009</v>
      </c>
    </row>
    <row r="17" spans="2:3" x14ac:dyDescent="0.25">
      <c r="B17" s="8" t="s">
        <v>316</v>
      </c>
      <c r="C17" s="11">
        <v>97.996499999999997</v>
      </c>
    </row>
    <row r="18" spans="2:3" x14ac:dyDescent="0.25">
      <c r="B18" s="8" t="s">
        <v>317</v>
      </c>
      <c r="C18" s="11">
        <v>97.996499999999997</v>
      </c>
    </row>
    <row r="19" spans="2:3" x14ac:dyDescent="0.25">
      <c r="B19" s="8" t="s">
        <v>318</v>
      </c>
      <c r="C19" s="11">
        <v>107.03700000000001</v>
      </c>
    </row>
    <row r="20" spans="2:3" x14ac:dyDescent="0.25">
      <c r="B20" s="8" t="s">
        <v>248</v>
      </c>
      <c r="C20" s="11">
        <v>100.905</v>
      </c>
    </row>
    <row r="21" spans="2:3" x14ac:dyDescent="0.25">
      <c r="B21" s="8" t="s">
        <v>319</v>
      </c>
      <c r="C21" s="11">
        <v>102.312</v>
      </c>
    </row>
    <row r="22" spans="2:3" x14ac:dyDescent="0.25">
      <c r="B22" s="8" t="s">
        <v>320</v>
      </c>
      <c r="C22" s="11">
        <v>102.83770500000001</v>
      </c>
    </row>
    <row r="23" spans="2:3" x14ac:dyDescent="0.25">
      <c r="B23" s="8" t="s">
        <v>321</v>
      </c>
      <c r="C23" s="10">
        <v>90.76</v>
      </c>
    </row>
    <row r="24" spans="2:3" x14ac:dyDescent="0.25">
      <c r="B24" s="8" t="s">
        <v>322</v>
      </c>
      <c r="C24" s="11">
        <v>106.44383400000001</v>
      </c>
    </row>
    <row r="25" spans="2:3" x14ac:dyDescent="0.25">
      <c r="B25" s="8" t="s">
        <v>323</v>
      </c>
      <c r="C25" s="11">
        <v>110.0085</v>
      </c>
    </row>
    <row r="26" spans="2:3" x14ac:dyDescent="0.25">
      <c r="B26" s="8" t="s">
        <v>324</v>
      </c>
      <c r="C26" s="11">
        <v>111.91</v>
      </c>
    </row>
    <row r="27" spans="2:3" x14ac:dyDescent="0.25">
      <c r="B27" s="8" t="s">
        <v>325</v>
      </c>
      <c r="C27" s="11">
        <v>113.9632</v>
      </c>
    </row>
    <row r="28" spans="2:3" x14ac:dyDescent="0.25">
      <c r="B28" s="8" t="s">
        <v>326</v>
      </c>
      <c r="C28" s="11">
        <v>115.8338</v>
      </c>
    </row>
    <row r="29" spans="2:3" x14ac:dyDescent="0.25">
      <c r="B29" s="8" t="s">
        <v>327</v>
      </c>
      <c r="C29" s="11">
        <v>124.46700000000001</v>
      </c>
    </row>
    <row r="30" spans="2:3" x14ac:dyDescent="0.25">
      <c r="B30" s="8" t="s">
        <v>328</v>
      </c>
      <c r="C30" s="11">
        <v>119.61040000000001</v>
      </c>
    </row>
    <row r="31" spans="2:3" x14ac:dyDescent="0.25">
      <c r="B31" s="8" t="s">
        <v>329</v>
      </c>
      <c r="C31" s="11">
        <v>121.64880000000001</v>
      </c>
    </row>
    <row r="32" spans="2:3" x14ac:dyDescent="0.25">
      <c r="B32" s="8" t="s">
        <v>330</v>
      </c>
      <c r="C32" s="11">
        <v>117.61</v>
      </c>
    </row>
    <row r="33" spans="2:3" x14ac:dyDescent="0.25">
      <c r="B33" s="8" t="s">
        <v>331</v>
      </c>
      <c r="C33" s="10">
        <v>108.42</v>
      </c>
    </row>
    <row r="34" spans="2:3" x14ac:dyDescent="0.25">
      <c r="B34" s="8" t="s">
        <v>332</v>
      </c>
      <c r="C34" s="11">
        <v>133.93800000000002</v>
      </c>
    </row>
    <row r="35" spans="2:3" x14ac:dyDescent="0.25">
      <c r="B35" s="8" t="s">
        <v>333</v>
      </c>
      <c r="C35" s="11">
        <v>129.20959999999999</v>
      </c>
    </row>
    <row r="36" spans="2:3" x14ac:dyDescent="0.25">
      <c r="B36" s="8" t="s">
        <v>334</v>
      </c>
      <c r="C36" s="11">
        <v>129.62559999999999</v>
      </c>
    </row>
    <row r="37" spans="2:3" x14ac:dyDescent="0.25">
      <c r="B37" s="8" t="s">
        <v>335</v>
      </c>
      <c r="C37" s="11">
        <v>132.767</v>
      </c>
    </row>
    <row r="38" spans="2:3" x14ac:dyDescent="0.25">
      <c r="B38" s="8" t="s">
        <v>336</v>
      </c>
      <c r="C38" s="11">
        <v>134.8776</v>
      </c>
    </row>
    <row r="39" spans="2:3" x14ac:dyDescent="0.25">
      <c r="B39" s="8" t="s">
        <v>337</v>
      </c>
      <c r="C39" s="11">
        <v>135.26240000000001</v>
      </c>
    </row>
    <row r="40" spans="2:3" x14ac:dyDescent="0.25">
      <c r="B40" s="8" t="s">
        <v>338</v>
      </c>
      <c r="C40" s="11">
        <v>138.29817</v>
      </c>
    </row>
    <row r="41" spans="2:3" x14ac:dyDescent="0.25">
      <c r="B41" s="8" t="s">
        <v>251</v>
      </c>
      <c r="C41" s="11">
        <v>140.00700000000001</v>
      </c>
    </row>
    <row r="42" spans="2:3" x14ac:dyDescent="0.25">
      <c r="B42" s="8" t="s">
        <v>254</v>
      </c>
      <c r="C42" s="11">
        <v>140.00700000000001</v>
      </c>
    </row>
    <row r="43" spans="2:3" x14ac:dyDescent="0.25">
      <c r="B43" s="8" t="s">
        <v>339</v>
      </c>
      <c r="C43" s="11">
        <v>150.41249999999999</v>
      </c>
    </row>
    <row r="44" spans="2:3" x14ac:dyDescent="0.25">
      <c r="B44" s="8" t="s">
        <v>340</v>
      </c>
      <c r="C44" s="11">
        <v>136.16999999999999</v>
      </c>
    </row>
    <row r="45" spans="2:3" x14ac:dyDescent="0.25">
      <c r="B45" s="9" t="s">
        <v>341</v>
      </c>
      <c r="C45" s="11">
        <v>136.63999999999999</v>
      </c>
    </row>
    <row r="46" spans="2:3" x14ac:dyDescent="0.25">
      <c r="B46" s="8" t="s">
        <v>342</v>
      </c>
      <c r="C46" s="10">
        <v>138.19</v>
      </c>
    </row>
    <row r="47" spans="2:3" x14ac:dyDescent="0.25">
      <c r="B47" s="8"/>
      <c r="C47" s="10">
        <v>132.91999999999999</v>
      </c>
    </row>
    <row r="48" spans="2:3" x14ac:dyDescent="0.25">
      <c r="B48" s="8" t="s">
        <v>343</v>
      </c>
      <c r="C48" s="11">
        <v>138.66999999999999</v>
      </c>
    </row>
    <row r="49" spans="2:3" x14ac:dyDescent="0.25">
      <c r="B49" s="8" t="s">
        <v>344</v>
      </c>
      <c r="C49" s="11">
        <v>150.8312</v>
      </c>
    </row>
    <row r="50" spans="2:3" x14ac:dyDescent="0.25">
      <c r="B50" s="8" t="s">
        <v>345</v>
      </c>
      <c r="C50" s="11">
        <v>151.5488</v>
      </c>
    </row>
    <row r="51" spans="2:3" x14ac:dyDescent="0.25">
      <c r="B51" s="8" t="s">
        <v>255</v>
      </c>
      <c r="C51" s="11">
        <v>152.34960000000001</v>
      </c>
    </row>
    <row r="52" spans="2:3" x14ac:dyDescent="0.25">
      <c r="B52" s="8" t="s">
        <v>346</v>
      </c>
      <c r="C52" s="11">
        <v>156.53505000000001</v>
      </c>
    </row>
    <row r="53" spans="2:3" x14ac:dyDescent="0.25">
      <c r="B53" s="8" t="s">
        <v>347</v>
      </c>
      <c r="C53" s="11">
        <v>150.88</v>
      </c>
    </row>
    <row r="54" spans="2:3" x14ac:dyDescent="0.25">
      <c r="B54" s="8" t="s">
        <v>348</v>
      </c>
      <c r="C54" s="11">
        <v>170.77776299999999</v>
      </c>
    </row>
    <row r="55" spans="2:3" x14ac:dyDescent="0.25">
      <c r="B55" s="8" t="s">
        <v>349</v>
      </c>
      <c r="C55" s="11">
        <v>170.77776299999999</v>
      </c>
    </row>
    <row r="56" spans="2:3" x14ac:dyDescent="0.25">
      <c r="B56" s="8" t="s">
        <v>350</v>
      </c>
      <c r="C56" s="11">
        <v>161.70000000000002</v>
      </c>
    </row>
    <row r="57" spans="2:3" x14ac:dyDescent="0.25">
      <c r="B57" s="8" t="s">
        <v>351</v>
      </c>
      <c r="C57" s="11">
        <v>161.70000000000002</v>
      </c>
    </row>
    <row r="58" spans="2:3" x14ac:dyDescent="0.25">
      <c r="B58" s="8" t="s">
        <v>352</v>
      </c>
      <c r="C58" s="11">
        <v>162.10480000000001</v>
      </c>
    </row>
    <row r="59" spans="2:3" x14ac:dyDescent="0.25">
      <c r="B59" s="8" t="s">
        <v>353</v>
      </c>
      <c r="C59" s="11">
        <v>162.11519999999999</v>
      </c>
    </row>
    <row r="60" spans="2:3" x14ac:dyDescent="0.25">
      <c r="B60" s="8" t="s">
        <v>354</v>
      </c>
      <c r="C60" s="11">
        <v>162.11519999999999</v>
      </c>
    </row>
    <row r="61" spans="2:3" x14ac:dyDescent="0.25">
      <c r="B61" s="8" t="s">
        <v>355</v>
      </c>
      <c r="C61" s="11">
        <v>156.21</v>
      </c>
    </row>
    <row r="62" spans="2:3" x14ac:dyDescent="0.25">
      <c r="B62" s="8" t="s">
        <v>356</v>
      </c>
      <c r="C62" s="11">
        <v>162.708</v>
      </c>
    </row>
    <row r="63" spans="2:3" x14ac:dyDescent="0.25">
      <c r="B63" s="8" t="s">
        <v>357</v>
      </c>
      <c r="C63" s="11">
        <v>165.22480000000002</v>
      </c>
    </row>
    <row r="64" spans="2:3" x14ac:dyDescent="0.25">
      <c r="B64" s="8" t="s">
        <v>358</v>
      </c>
      <c r="C64" s="11">
        <v>166.90960000000001</v>
      </c>
    </row>
    <row r="65" spans="2:3" x14ac:dyDescent="0.25">
      <c r="B65" s="8" t="s">
        <v>359</v>
      </c>
      <c r="C65" s="11">
        <v>166.90960000000001</v>
      </c>
    </row>
    <row r="66" spans="2:3" x14ac:dyDescent="0.25">
      <c r="B66" s="8" t="s">
        <v>360</v>
      </c>
      <c r="C66" s="11">
        <v>166.98240000000001</v>
      </c>
    </row>
    <row r="67" spans="2:3" x14ac:dyDescent="0.25">
      <c r="B67" s="8" t="s">
        <v>361</v>
      </c>
      <c r="C67" s="11">
        <v>167.81440000000001</v>
      </c>
    </row>
    <row r="68" spans="2:3" x14ac:dyDescent="0.25">
      <c r="B68" s="8" t="s">
        <v>362</v>
      </c>
      <c r="C68" s="11">
        <v>172.02</v>
      </c>
    </row>
    <row r="69" spans="2:3" x14ac:dyDescent="0.25">
      <c r="B69" s="8" t="s">
        <v>363</v>
      </c>
      <c r="C69" s="11">
        <v>165.35</v>
      </c>
    </row>
    <row r="70" spans="2:3" x14ac:dyDescent="0.25">
      <c r="B70" s="8" t="s">
        <v>364</v>
      </c>
      <c r="C70" s="11">
        <v>185.95200000000003</v>
      </c>
    </row>
    <row r="71" spans="2:3" x14ac:dyDescent="0.25">
      <c r="B71" s="9" t="s">
        <v>365</v>
      </c>
      <c r="C71" s="11">
        <v>179.34000000000003</v>
      </c>
    </row>
    <row r="72" spans="2:3" x14ac:dyDescent="0.25">
      <c r="B72" s="8" t="s">
        <v>366</v>
      </c>
      <c r="C72" s="11">
        <v>180.68400000000003</v>
      </c>
    </row>
    <row r="73" spans="2:3" x14ac:dyDescent="0.25">
      <c r="B73" s="8" t="s">
        <v>367</v>
      </c>
      <c r="C73" s="11">
        <v>174.94</v>
      </c>
    </row>
    <row r="74" spans="2:3" x14ac:dyDescent="0.25">
      <c r="B74" s="8" t="s">
        <v>253</v>
      </c>
      <c r="C74" s="11">
        <v>186.21200000000002</v>
      </c>
    </row>
    <row r="75" spans="2:3" x14ac:dyDescent="0.25">
      <c r="B75" s="8" t="s">
        <v>368</v>
      </c>
      <c r="C75" s="11">
        <v>189.11360000000002</v>
      </c>
    </row>
    <row r="76" spans="2:3" x14ac:dyDescent="0.25">
      <c r="B76" s="8" t="s">
        <v>369</v>
      </c>
      <c r="C76" s="11">
        <v>192.22</v>
      </c>
    </row>
    <row r="77" spans="2:3" x14ac:dyDescent="0.25">
      <c r="B77" s="8" t="s">
        <v>246</v>
      </c>
      <c r="C77" s="11">
        <v>200.35600000000002</v>
      </c>
    </row>
    <row r="78" spans="2:3" x14ac:dyDescent="0.25">
      <c r="B78" s="8" t="s">
        <v>370</v>
      </c>
      <c r="C78" s="11">
        <v>200.7824</v>
      </c>
    </row>
    <row r="79" spans="2:3" x14ac:dyDescent="0.25">
      <c r="B79" s="8" t="s">
        <v>371</v>
      </c>
      <c r="C79" s="11">
        <v>200.83440000000002</v>
      </c>
    </row>
    <row r="80" spans="2:3" x14ac:dyDescent="0.25">
      <c r="B80" s="8" t="s">
        <v>372</v>
      </c>
      <c r="C80" s="11">
        <v>201.82240000000002</v>
      </c>
    </row>
    <row r="81" spans="2:3" x14ac:dyDescent="0.25">
      <c r="B81" s="8" t="s">
        <v>373</v>
      </c>
      <c r="C81" s="11">
        <v>202.16559999999998</v>
      </c>
    </row>
    <row r="82" spans="2:3" x14ac:dyDescent="0.25">
      <c r="B82" s="8" t="s">
        <v>374</v>
      </c>
      <c r="C82" s="11">
        <v>204.45360000000002</v>
      </c>
    </row>
    <row r="83" spans="2:3" x14ac:dyDescent="0.25">
      <c r="B83" s="8" t="s">
        <v>375</v>
      </c>
      <c r="C83" s="11">
        <v>210.22980000000001</v>
      </c>
    </row>
    <row r="84" spans="2:3" x14ac:dyDescent="0.25">
      <c r="B84" s="8" t="s">
        <v>376</v>
      </c>
      <c r="C84" s="11">
        <v>208</v>
      </c>
    </row>
    <row r="85" spans="2:3" x14ac:dyDescent="0.25">
      <c r="B85" s="8" t="s">
        <v>377</v>
      </c>
      <c r="C85" s="11">
        <v>226.89450000000002</v>
      </c>
    </row>
    <row r="86" spans="2:3" x14ac:dyDescent="0.25">
      <c r="B86" s="8" t="s">
        <v>378</v>
      </c>
      <c r="C86" s="11">
        <v>211.20320000000001</v>
      </c>
    </row>
    <row r="87" spans="2:3" x14ac:dyDescent="0.25">
      <c r="B87" s="8"/>
      <c r="C87" s="11">
        <v>212.43039999999999</v>
      </c>
    </row>
    <row r="88" spans="2:3" x14ac:dyDescent="0.25">
      <c r="B88" s="8" t="s">
        <v>379</v>
      </c>
      <c r="C88" s="11">
        <v>227.10480000000001</v>
      </c>
    </row>
    <row r="89" spans="2:3" x14ac:dyDescent="0.25">
      <c r="B89" s="8"/>
      <c r="C89" s="11">
        <v>218.79900000000001</v>
      </c>
    </row>
    <row r="90" spans="2:3" x14ac:dyDescent="0.25">
      <c r="B90" s="8" t="s">
        <v>380</v>
      </c>
      <c r="C90" s="11">
        <v>229.37200000000001</v>
      </c>
    </row>
    <row r="91" spans="2:3" x14ac:dyDescent="0.25">
      <c r="B91" s="8" t="s">
        <v>381</v>
      </c>
      <c r="C91" s="11">
        <v>229.37200000000001</v>
      </c>
    </row>
    <row r="92" spans="2:3" x14ac:dyDescent="0.25">
      <c r="B92" s="8" t="s">
        <v>382</v>
      </c>
      <c r="C92" s="11">
        <v>219.27360000000002</v>
      </c>
    </row>
    <row r="93" spans="2:3" x14ac:dyDescent="0.25">
      <c r="B93" s="8" t="s">
        <v>383</v>
      </c>
      <c r="C93" s="11">
        <v>222.1695</v>
      </c>
    </row>
    <row r="94" spans="2:3" x14ac:dyDescent="0.25">
      <c r="B94" s="8" t="s">
        <v>384</v>
      </c>
      <c r="C94" s="11">
        <v>221.55120000000002</v>
      </c>
    </row>
    <row r="95" spans="2:3" x14ac:dyDescent="0.25">
      <c r="B95" s="8" t="s">
        <v>385</v>
      </c>
      <c r="C95" s="11">
        <v>221.9152</v>
      </c>
    </row>
    <row r="96" spans="2:3" x14ac:dyDescent="0.25">
      <c r="B96" s="8" t="s">
        <v>386</v>
      </c>
      <c r="C96" s="11">
        <v>226.32750000000001</v>
      </c>
    </row>
    <row r="97" spans="2:3" x14ac:dyDescent="0.25">
      <c r="B97" s="8" t="s">
        <v>387</v>
      </c>
      <c r="C97" s="11">
        <v>226.92600000000002</v>
      </c>
    </row>
    <row r="98" spans="2:3" x14ac:dyDescent="0.25">
      <c r="B98" s="8" t="s">
        <v>388</v>
      </c>
      <c r="C98" s="10">
        <v>202.61</v>
      </c>
    </row>
    <row r="99" spans="2:3" x14ac:dyDescent="0.25">
      <c r="B99" s="8" t="s">
        <v>389</v>
      </c>
      <c r="C99" s="11">
        <v>227.1568</v>
      </c>
    </row>
    <row r="100" spans="2:3" x14ac:dyDescent="0.25">
      <c r="B100" s="8" t="s">
        <v>390</v>
      </c>
      <c r="C100" s="11">
        <v>229.79338300000003</v>
      </c>
    </row>
    <row r="101" spans="2:3" x14ac:dyDescent="0.25">
      <c r="B101" s="8" t="s">
        <v>391</v>
      </c>
      <c r="C101" s="11">
        <v>229.43440000000001</v>
      </c>
    </row>
    <row r="102" spans="2:3" x14ac:dyDescent="0.25">
      <c r="B102" s="8" t="s">
        <v>392</v>
      </c>
      <c r="C102" s="11">
        <v>229.43440000000001</v>
      </c>
    </row>
    <row r="103" spans="2:3" x14ac:dyDescent="0.25">
      <c r="B103" s="8" t="s">
        <v>393</v>
      </c>
      <c r="C103" s="11">
        <v>227.26950000000002</v>
      </c>
    </row>
    <row r="104" spans="2:3" x14ac:dyDescent="0.25">
      <c r="B104" s="8" t="s">
        <v>394</v>
      </c>
      <c r="C104" s="11">
        <v>231.4624</v>
      </c>
    </row>
    <row r="105" spans="2:3" x14ac:dyDescent="0.25">
      <c r="B105" s="8" t="s">
        <v>395</v>
      </c>
      <c r="C105" s="11">
        <v>233.3552</v>
      </c>
    </row>
    <row r="106" spans="2:3" x14ac:dyDescent="0.25">
      <c r="B106" s="8" t="s">
        <v>396</v>
      </c>
      <c r="C106" s="11">
        <v>240.09729999999999</v>
      </c>
    </row>
    <row r="107" spans="2:3" x14ac:dyDescent="0.25">
      <c r="B107" s="8" t="s">
        <v>397</v>
      </c>
      <c r="C107" s="11">
        <v>235.58080000000001</v>
      </c>
    </row>
    <row r="108" spans="2:3" x14ac:dyDescent="0.25">
      <c r="B108" s="8" t="s">
        <v>398</v>
      </c>
      <c r="C108" s="10">
        <v>218.26</v>
      </c>
    </row>
    <row r="109" spans="2:3" x14ac:dyDescent="0.25">
      <c r="B109" s="8" t="s">
        <v>399</v>
      </c>
      <c r="C109" s="11">
        <v>239.30620800000003</v>
      </c>
    </row>
    <row r="110" spans="2:3" x14ac:dyDescent="0.25">
      <c r="B110" s="8" t="s">
        <v>400</v>
      </c>
      <c r="C110" s="11">
        <v>245.48248800000002</v>
      </c>
    </row>
    <row r="111" spans="2:3" x14ac:dyDescent="0.25">
      <c r="B111" s="8" t="s">
        <v>401</v>
      </c>
      <c r="C111" s="10">
        <v>222.1</v>
      </c>
    </row>
    <row r="112" spans="2:3" x14ac:dyDescent="0.25">
      <c r="B112" s="8" t="s">
        <v>402</v>
      </c>
      <c r="C112" s="11">
        <v>251.787948</v>
      </c>
    </row>
    <row r="113" spans="2:3" x14ac:dyDescent="0.25">
      <c r="B113" s="8" t="s">
        <v>403</v>
      </c>
      <c r="C113" s="11">
        <v>247.59139999999999</v>
      </c>
    </row>
    <row r="114" spans="2:3" x14ac:dyDescent="0.25">
      <c r="B114" s="8" t="s">
        <v>404</v>
      </c>
      <c r="C114" s="11">
        <v>258.64608599999997</v>
      </c>
    </row>
    <row r="115" spans="2:3" x14ac:dyDescent="0.25">
      <c r="B115" s="8" t="s">
        <v>252</v>
      </c>
      <c r="C115" s="11">
        <v>263.38440000000003</v>
      </c>
    </row>
    <row r="116" spans="2:3" x14ac:dyDescent="0.25">
      <c r="B116" s="8" t="s">
        <v>405</v>
      </c>
      <c r="C116" s="11">
        <v>274.33350000000002</v>
      </c>
    </row>
    <row r="117" spans="2:3" x14ac:dyDescent="0.25">
      <c r="B117" s="8" t="s">
        <v>406</v>
      </c>
      <c r="C117" s="11">
        <v>258.7312</v>
      </c>
    </row>
    <row r="118" spans="2:3" x14ac:dyDescent="0.25">
      <c r="B118" s="8" t="s">
        <v>249</v>
      </c>
      <c r="C118" s="11">
        <v>258.97039999999998</v>
      </c>
    </row>
    <row r="119" spans="2:3" x14ac:dyDescent="0.25">
      <c r="B119" s="8" t="s">
        <v>250</v>
      </c>
      <c r="C119" s="11">
        <v>279.25</v>
      </c>
    </row>
    <row r="120" spans="2:3" x14ac:dyDescent="0.25">
      <c r="B120" s="8" t="s">
        <v>407</v>
      </c>
      <c r="C120" s="11">
        <v>303.39999999999998</v>
      </c>
    </row>
    <row r="121" spans="2:3" x14ac:dyDescent="0.25">
      <c r="B121" s="8" t="s">
        <v>408</v>
      </c>
      <c r="C121" s="11">
        <v>262.5376</v>
      </c>
    </row>
    <row r="122" spans="2:3" x14ac:dyDescent="0.25">
      <c r="B122" s="8" t="s">
        <v>409</v>
      </c>
      <c r="C122" s="11">
        <v>265.76550000000003</v>
      </c>
    </row>
    <row r="123" spans="2:3" x14ac:dyDescent="0.25">
      <c r="B123" s="8" t="s">
        <v>410</v>
      </c>
      <c r="C123" s="11">
        <v>273.377994</v>
      </c>
    </row>
    <row r="124" spans="2:3" x14ac:dyDescent="0.25">
      <c r="B124" s="8" t="s">
        <v>411</v>
      </c>
      <c r="C124" s="11">
        <v>273.377994</v>
      </c>
    </row>
    <row r="125" spans="2:3" x14ac:dyDescent="0.25">
      <c r="B125" s="8" t="s">
        <v>412</v>
      </c>
      <c r="C125" s="11">
        <v>269.048</v>
      </c>
    </row>
    <row r="126" spans="2:3" x14ac:dyDescent="0.25">
      <c r="B126" s="8" t="s">
        <v>413</v>
      </c>
      <c r="C126" s="11">
        <v>270.63920000000002</v>
      </c>
    </row>
    <row r="127" spans="2:3" x14ac:dyDescent="0.25">
      <c r="B127" s="8" t="s">
        <v>414</v>
      </c>
      <c r="C127" s="11">
        <v>277.04788300000001</v>
      </c>
    </row>
    <row r="128" spans="2:3" x14ac:dyDescent="0.25">
      <c r="B128" s="8" t="s">
        <v>415</v>
      </c>
      <c r="C128" s="11">
        <v>283.02628800000002</v>
      </c>
    </row>
    <row r="129" spans="2:3" x14ac:dyDescent="0.25">
      <c r="B129" s="8" t="s">
        <v>416</v>
      </c>
      <c r="C129" s="11">
        <v>273.20749999999998</v>
      </c>
    </row>
    <row r="130" spans="2:3" x14ac:dyDescent="0.25">
      <c r="B130" s="8" t="s">
        <v>417</v>
      </c>
      <c r="C130" s="11">
        <v>279.77249999999998</v>
      </c>
    </row>
    <row r="131" spans="2:3" x14ac:dyDescent="0.25">
      <c r="B131" s="8" t="s">
        <v>418</v>
      </c>
      <c r="C131" s="11">
        <v>266.61</v>
      </c>
    </row>
    <row r="132" spans="2:3" x14ac:dyDescent="0.25">
      <c r="B132" s="8" t="s">
        <v>419</v>
      </c>
      <c r="C132" s="11">
        <v>284.41958500000004</v>
      </c>
    </row>
    <row r="133" spans="2:3" x14ac:dyDescent="0.25">
      <c r="B133" s="8" t="s">
        <v>420</v>
      </c>
      <c r="C133" s="11">
        <v>271.89999999999998</v>
      </c>
    </row>
    <row r="134" spans="2:3" x14ac:dyDescent="0.25">
      <c r="B134" s="8" t="s">
        <v>421</v>
      </c>
      <c r="C134" s="11">
        <v>275.79059999999998</v>
      </c>
    </row>
    <row r="135" spans="2:3" x14ac:dyDescent="0.25">
      <c r="B135" s="8" t="s">
        <v>422</v>
      </c>
      <c r="C135" s="11">
        <v>278.44690000000003</v>
      </c>
    </row>
    <row r="136" spans="2:3" x14ac:dyDescent="0.25">
      <c r="B136" s="8" t="s">
        <v>423</v>
      </c>
      <c r="C136" s="11">
        <v>285.17610000000002</v>
      </c>
    </row>
    <row r="137" spans="2:3" x14ac:dyDescent="0.25">
      <c r="B137" s="8" t="s">
        <v>424</v>
      </c>
      <c r="C137" s="11">
        <v>293.49599999999998</v>
      </c>
    </row>
    <row r="138" spans="2:3" x14ac:dyDescent="0.25">
      <c r="B138" s="8" t="s">
        <v>425</v>
      </c>
      <c r="C138" s="11">
        <v>288.89440000000002</v>
      </c>
    </row>
    <row r="139" spans="2:3" x14ac:dyDescent="0.25">
      <c r="B139" s="8" t="s">
        <v>426</v>
      </c>
      <c r="C139" s="10">
        <v>260.47000000000003</v>
      </c>
    </row>
    <row r="140" spans="2:3" x14ac:dyDescent="0.25">
      <c r="B140" s="8" t="s">
        <v>427</v>
      </c>
      <c r="C140" s="11">
        <v>285.49</v>
      </c>
    </row>
    <row r="141" spans="2:3" x14ac:dyDescent="0.25">
      <c r="B141" s="8" t="s">
        <v>428</v>
      </c>
      <c r="C141" s="11">
        <v>285.58</v>
      </c>
    </row>
    <row r="142" spans="2:3" x14ac:dyDescent="0.25">
      <c r="B142" s="8" t="s">
        <v>429</v>
      </c>
      <c r="C142" s="11">
        <v>307.209</v>
      </c>
    </row>
    <row r="143" spans="2:3" x14ac:dyDescent="0.25">
      <c r="B143" s="8" t="s">
        <v>430</v>
      </c>
      <c r="C143" s="11">
        <v>316.54480000000001</v>
      </c>
    </row>
    <row r="144" spans="2:3" x14ac:dyDescent="0.25">
      <c r="B144" s="8" t="s">
        <v>431</v>
      </c>
      <c r="C144" s="11">
        <v>310.32249999999999</v>
      </c>
    </row>
    <row r="145" spans="2:3" x14ac:dyDescent="0.25">
      <c r="B145" s="8" t="s">
        <v>432</v>
      </c>
      <c r="C145" s="11">
        <v>314.09989999999999</v>
      </c>
    </row>
    <row r="146" spans="2:3" x14ac:dyDescent="0.25">
      <c r="B146" s="8" t="s">
        <v>433</v>
      </c>
      <c r="C146" s="11">
        <v>317.87730000000005</v>
      </c>
    </row>
    <row r="147" spans="2:3" x14ac:dyDescent="0.25">
      <c r="B147" s="8" t="s">
        <v>247</v>
      </c>
      <c r="C147" s="11">
        <v>320.8467</v>
      </c>
    </row>
    <row r="148" spans="2:3" x14ac:dyDescent="0.25">
      <c r="B148" s="8" t="s">
        <v>434</v>
      </c>
      <c r="C148" s="11">
        <v>328.54</v>
      </c>
    </row>
    <row r="149" spans="2:3" x14ac:dyDescent="0.25">
      <c r="B149" s="8" t="s">
        <v>435</v>
      </c>
      <c r="C149" s="11">
        <v>356.83</v>
      </c>
    </row>
    <row r="150" spans="2:3" x14ac:dyDescent="0.25">
      <c r="B150" s="8" t="s">
        <v>436</v>
      </c>
      <c r="C150" s="11">
        <v>390.37</v>
      </c>
    </row>
    <row r="151" spans="2:3" x14ac:dyDescent="0.25">
      <c r="B151" s="8" t="s">
        <v>437</v>
      </c>
      <c r="C151" s="11">
        <v>409.37</v>
      </c>
    </row>
    <row r="152" spans="2:3" x14ac:dyDescent="0.25">
      <c r="B152" s="8" t="s">
        <v>438</v>
      </c>
      <c r="C152" s="11">
        <v>437.35019999999997</v>
      </c>
    </row>
    <row r="153" spans="2:3" x14ac:dyDescent="0.25">
      <c r="B153" s="8" t="s">
        <v>439</v>
      </c>
      <c r="C153" s="11">
        <v>715.23</v>
      </c>
    </row>
    <row r="154" spans="2:3" x14ac:dyDescent="0.25">
      <c r="C154" s="11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2025-11-25T07:58:48Z</dcterms:modified>
</cp:coreProperties>
</file>