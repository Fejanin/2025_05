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F5987A4C-11F7-4E7E-9319-8F79B02B912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Y399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Y380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X319" i="1"/>
  <c r="Y318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X286" i="1"/>
  <c r="Y285" i="1"/>
  <c r="X285" i="1"/>
  <c r="BP284" i="1"/>
  <c r="BO284" i="1"/>
  <c r="BN284" i="1"/>
  <c r="BM284" i="1"/>
  <c r="Z284" i="1"/>
  <c r="Y284" i="1"/>
  <c r="BP283" i="1"/>
  <c r="BO283" i="1"/>
  <c r="BN283" i="1"/>
  <c r="BM283" i="1"/>
  <c r="Z283" i="1"/>
  <c r="Z285" i="1" s="1"/>
  <c r="Y283" i="1"/>
  <c r="Y286" i="1" s="1"/>
  <c r="P283" i="1"/>
  <c r="X281" i="1"/>
  <c r="Y280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BP245" i="1"/>
  <c r="BO245" i="1"/>
  <c r="BN245" i="1"/>
  <c r="BM245" i="1"/>
  <c r="Z245" i="1"/>
  <c r="Y245" i="1"/>
  <c r="Y251" i="1" s="1"/>
  <c r="P245" i="1"/>
  <c r="X243" i="1"/>
  <c r="Y242" i="1"/>
  <c r="X242" i="1"/>
  <c r="BP241" i="1"/>
  <c r="BO241" i="1"/>
  <c r="BN241" i="1"/>
  <c r="BM241" i="1"/>
  <c r="Z241" i="1"/>
  <c r="Z242" i="1" s="1"/>
  <c r="Y241" i="1"/>
  <c r="Y243" i="1" s="1"/>
  <c r="P241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P218" i="1"/>
  <c r="BO218" i="1"/>
  <c r="BN218" i="1"/>
  <c r="BM218" i="1"/>
  <c r="Z218" i="1"/>
  <c r="Y218" i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4" i="1"/>
  <c r="X203" i="1"/>
  <c r="BO202" i="1"/>
  <c r="BM202" i="1"/>
  <c r="Y202" i="1"/>
  <c r="P202" i="1"/>
  <c r="BP201" i="1"/>
  <c r="BO201" i="1"/>
  <c r="BN201" i="1"/>
  <c r="BM201" i="1"/>
  <c r="Z201" i="1"/>
  <c r="Y201" i="1"/>
  <c r="P201" i="1"/>
  <c r="BO200" i="1"/>
  <c r="BM200" i="1"/>
  <c r="Y200" i="1"/>
  <c r="P200" i="1"/>
  <c r="BP199" i="1"/>
  <c r="BO199" i="1"/>
  <c r="BN199" i="1"/>
  <c r="BM199" i="1"/>
  <c r="Z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BP195" i="1"/>
  <c r="BO195" i="1"/>
  <c r="BN195" i="1"/>
  <c r="BM195" i="1"/>
  <c r="Z195" i="1"/>
  <c r="Y195" i="1"/>
  <c r="Y203" i="1" s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Y192" i="1" s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P162" i="1"/>
  <c r="BP161" i="1"/>
  <c r="BO161" i="1"/>
  <c r="BN161" i="1"/>
  <c r="BM161" i="1"/>
  <c r="Z161" i="1"/>
  <c r="Y161" i="1"/>
  <c r="Y172" i="1" s="1"/>
  <c r="P161" i="1"/>
  <c r="X159" i="1"/>
  <c r="Y158" i="1"/>
  <c r="X158" i="1"/>
  <c r="BP157" i="1"/>
  <c r="BO157" i="1"/>
  <c r="BN157" i="1"/>
  <c r="BM157" i="1"/>
  <c r="Z157" i="1"/>
  <c r="Z158" i="1" s="1"/>
  <c r="Y157" i="1"/>
  <c r="P157" i="1"/>
  <c r="X153" i="1"/>
  <c r="Y152" i="1"/>
  <c r="X152" i="1"/>
  <c r="BP151" i="1"/>
  <c r="BO151" i="1"/>
  <c r="BN151" i="1"/>
  <c r="BM151" i="1"/>
  <c r="Z151" i="1"/>
  <c r="Z152" i="1" s="1"/>
  <c r="Y151" i="1"/>
  <c r="Y153" i="1" s="1"/>
  <c r="X149" i="1"/>
  <c r="X148" i="1"/>
  <c r="BO147" i="1"/>
  <c r="BM147" i="1"/>
  <c r="Y147" i="1"/>
  <c r="P147" i="1"/>
  <c r="BP146" i="1"/>
  <c r="BO146" i="1"/>
  <c r="BN146" i="1"/>
  <c r="BM146" i="1"/>
  <c r="Z146" i="1"/>
  <c r="Y146" i="1"/>
  <c r="P146" i="1"/>
  <c r="BO145" i="1"/>
  <c r="BM145" i="1"/>
  <c r="Y145" i="1"/>
  <c r="P145" i="1"/>
  <c r="X143" i="1"/>
  <c r="X142" i="1"/>
  <c r="BO141" i="1"/>
  <c r="BM141" i="1"/>
  <c r="Y141" i="1"/>
  <c r="P141" i="1"/>
  <c r="BP140" i="1"/>
  <c r="BO140" i="1"/>
  <c r="BN140" i="1"/>
  <c r="BM140" i="1"/>
  <c r="Z140" i="1"/>
  <c r="Y140" i="1"/>
  <c r="P140" i="1"/>
  <c r="X137" i="1"/>
  <c r="Y136" i="1"/>
  <c r="X136" i="1"/>
  <c r="BP135" i="1"/>
  <c r="BO135" i="1"/>
  <c r="BN135" i="1"/>
  <c r="BM135" i="1"/>
  <c r="Z135" i="1"/>
  <c r="Y135" i="1"/>
  <c r="P135" i="1"/>
  <c r="BO134" i="1"/>
  <c r="BM134" i="1"/>
  <c r="Y134" i="1"/>
  <c r="P134" i="1"/>
  <c r="X132" i="1"/>
  <c r="X131" i="1"/>
  <c r="BO130" i="1"/>
  <c r="BM130" i="1"/>
  <c r="Y130" i="1"/>
  <c r="P130" i="1"/>
  <c r="BP129" i="1"/>
  <c r="BO129" i="1"/>
  <c r="BN129" i="1"/>
  <c r="BM129" i="1"/>
  <c r="Z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BP112" i="1"/>
  <c r="BO112" i="1"/>
  <c r="BN112" i="1"/>
  <c r="BM112" i="1"/>
  <c r="Z112" i="1"/>
  <c r="Y112" i="1"/>
  <c r="Y116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Y81" i="1"/>
  <c r="X81" i="1"/>
  <c r="BP80" i="1"/>
  <c r="BO80" i="1"/>
  <c r="BN80" i="1"/>
  <c r="BM80" i="1"/>
  <c r="Z80" i="1"/>
  <c r="Y80" i="1"/>
  <c r="P80" i="1"/>
  <c r="BO79" i="1"/>
  <c r="BM79" i="1"/>
  <c r="Y79" i="1"/>
  <c r="P79" i="1"/>
  <c r="X77" i="1"/>
  <c r="X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X70" i="1"/>
  <c r="Y69" i="1"/>
  <c r="X69" i="1"/>
  <c r="BP68" i="1"/>
  <c r="BO68" i="1"/>
  <c r="BN68" i="1"/>
  <c r="BM68" i="1"/>
  <c r="Z68" i="1"/>
  <c r="Y68" i="1"/>
  <c r="P68" i="1"/>
  <c r="BO67" i="1"/>
  <c r="BM67" i="1"/>
  <c r="Y67" i="1"/>
  <c r="P67" i="1"/>
  <c r="BP66" i="1"/>
  <c r="BO66" i="1"/>
  <c r="BN66" i="1"/>
  <c r="BM66" i="1"/>
  <c r="Z66" i="1"/>
  <c r="Y66" i="1"/>
  <c r="Y70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4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Y57" i="1" s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9" i="1" s="1"/>
  <c r="Y23" i="1"/>
  <c r="X23" i="1"/>
  <c r="X493" i="1" s="1"/>
  <c r="BP22" i="1"/>
  <c r="BO22" i="1"/>
  <c r="BN22" i="1"/>
  <c r="BM22" i="1"/>
  <c r="Z22" i="1"/>
  <c r="Z23" i="1" s="1"/>
  <c r="Y22" i="1"/>
  <c r="P22" i="1"/>
  <c r="H10" i="1"/>
  <c r="A9" i="1"/>
  <c r="A10" i="1" s="1"/>
  <c r="D7" i="1"/>
  <c r="Q6" i="1"/>
  <c r="P2" i="1"/>
  <c r="F9" i="1" l="1"/>
  <c r="J9" i="1"/>
  <c r="F10" i="1"/>
  <c r="Y31" i="1"/>
  <c r="Y493" i="1" s="1"/>
  <c r="Y43" i="1"/>
  <c r="Y58" i="1"/>
  <c r="BP73" i="1"/>
  <c r="BN73" i="1"/>
  <c r="Z73" i="1"/>
  <c r="Z76" i="1" s="1"/>
  <c r="BP86" i="1"/>
  <c r="BN86" i="1"/>
  <c r="Z86" i="1"/>
  <c r="Z88" i="1" s="1"/>
  <c r="BP94" i="1"/>
  <c r="BN94" i="1"/>
  <c r="Z94" i="1"/>
  <c r="Y96" i="1"/>
  <c r="F499" i="1"/>
  <c r="Y104" i="1"/>
  <c r="BP99" i="1"/>
  <c r="BN99" i="1"/>
  <c r="Z99" i="1"/>
  <c r="Y103" i="1"/>
  <c r="Z109" i="1"/>
  <c r="BP107" i="1"/>
  <c r="BN107" i="1"/>
  <c r="Z107" i="1"/>
  <c r="BP115" i="1"/>
  <c r="BN115" i="1"/>
  <c r="Z115" i="1"/>
  <c r="Y117" i="1"/>
  <c r="Y120" i="1"/>
  <c r="BP119" i="1"/>
  <c r="BN119" i="1"/>
  <c r="Z119" i="1"/>
  <c r="Z120" i="1" s="1"/>
  <c r="Y121" i="1"/>
  <c r="G499" i="1"/>
  <c r="Y127" i="1"/>
  <c r="BP124" i="1"/>
  <c r="BN124" i="1"/>
  <c r="Z124" i="1"/>
  <c r="Z126" i="1" s="1"/>
  <c r="BP141" i="1"/>
  <c r="BN141" i="1"/>
  <c r="Z141" i="1"/>
  <c r="Z142" i="1" s="1"/>
  <c r="Y143" i="1"/>
  <c r="Y148" i="1"/>
  <c r="BP145" i="1"/>
  <c r="BN145" i="1"/>
  <c r="Z145" i="1"/>
  <c r="BP164" i="1"/>
  <c r="BN164" i="1"/>
  <c r="Z164" i="1"/>
  <c r="BP167" i="1"/>
  <c r="BN167" i="1"/>
  <c r="Z167" i="1"/>
  <c r="Y171" i="1"/>
  <c r="BP175" i="1"/>
  <c r="BN175" i="1"/>
  <c r="Z175" i="1"/>
  <c r="Z177" i="1" s="1"/>
  <c r="BP196" i="1"/>
  <c r="BN196" i="1"/>
  <c r="Z196" i="1"/>
  <c r="Z203" i="1" s="1"/>
  <c r="BP200" i="1"/>
  <c r="BN200" i="1"/>
  <c r="Z200" i="1"/>
  <c r="BP208" i="1"/>
  <c r="BN208" i="1"/>
  <c r="Z208" i="1"/>
  <c r="BP248" i="1"/>
  <c r="BN248" i="1"/>
  <c r="Z248" i="1"/>
  <c r="BP266" i="1"/>
  <c r="BN266" i="1"/>
  <c r="Z266" i="1"/>
  <c r="Y268" i="1"/>
  <c r="O499" i="1"/>
  <c r="Y274" i="1"/>
  <c r="BP271" i="1"/>
  <c r="BN271" i="1"/>
  <c r="Z271" i="1"/>
  <c r="Y275" i="1"/>
  <c r="BP290" i="1"/>
  <c r="BN290" i="1"/>
  <c r="Z290" i="1"/>
  <c r="Z295" i="1" s="1"/>
  <c r="BP294" i="1"/>
  <c r="BN294" i="1"/>
  <c r="Z294" i="1"/>
  <c r="Y296" i="1"/>
  <c r="Y305" i="1"/>
  <c r="BP298" i="1"/>
  <c r="BN298" i="1"/>
  <c r="Z298" i="1"/>
  <c r="Y306" i="1"/>
  <c r="BP302" i="1"/>
  <c r="BN302" i="1"/>
  <c r="Z302" i="1"/>
  <c r="BP310" i="1"/>
  <c r="BN310" i="1"/>
  <c r="Z310" i="1"/>
  <c r="D499" i="1"/>
  <c r="H9" i="1"/>
  <c r="B499" i="1"/>
  <c r="X490" i="1"/>
  <c r="X491" i="1"/>
  <c r="Y24" i="1"/>
  <c r="Z27" i="1"/>
  <c r="Z31" i="1" s="1"/>
  <c r="BN27" i="1"/>
  <c r="Y490" i="1" s="1"/>
  <c r="Z29" i="1"/>
  <c r="BN29" i="1"/>
  <c r="C499" i="1"/>
  <c r="Z41" i="1"/>
  <c r="Z43" i="1" s="1"/>
  <c r="BN41" i="1"/>
  <c r="Y44" i="1"/>
  <c r="Z52" i="1"/>
  <c r="Z57" i="1" s="1"/>
  <c r="BN52" i="1"/>
  <c r="Z54" i="1"/>
  <c r="BN54" i="1"/>
  <c r="Z56" i="1"/>
  <c r="BN56" i="1"/>
  <c r="Z60" i="1"/>
  <c r="Z63" i="1" s="1"/>
  <c r="BN60" i="1"/>
  <c r="BP60" i="1"/>
  <c r="Y491" i="1" s="1"/>
  <c r="Z62" i="1"/>
  <c r="BN62" i="1"/>
  <c r="Y63" i="1"/>
  <c r="Z69" i="1"/>
  <c r="BP67" i="1"/>
  <c r="BN67" i="1"/>
  <c r="Z67" i="1"/>
  <c r="Y76" i="1"/>
  <c r="BP75" i="1"/>
  <c r="BN75" i="1"/>
  <c r="Z75" i="1"/>
  <c r="Y77" i="1"/>
  <c r="Y82" i="1"/>
  <c r="BP79" i="1"/>
  <c r="BN79" i="1"/>
  <c r="Z79" i="1"/>
  <c r="Z81" i="1" s="1"/>
  <c r="Y88" i="1"/>
  <c r="BP92" i="1"/>
  <c r="BN92" i="1"/>
  <c r="Z92" i="1"/>
  <c r="Z95" i="1" s="1"/>
  <c r="BP101" i="1"/>
  <c r="BN101" i="1"/>
  <c r="Z101" i="1"/>
  <c r="Y110" i="1"/>
  <c r="Y109" i="1"/>
  <c r="BP113" i="1"/>
  <c r="BN113" i="1"/>
  <c r="Z113" i="1"/>
  <c r="Z116" i="1" s="1"/>
  <c r="Y126" i="1"/>
  <c r="BP130" i="1"/>
  <c r="BN130" i="1"/>
  <c r="Z130" i="1"/>
  <c r="Z131" i="1" s="1"/>
  <c r="Y132" i="1"/>
  <c r="Y137" i="1"/>
  <c r="BP134" i="1"/>
  <c r="BN134" i="1"/>
  <c r="Z134" i="1"/>
  <c r="Z136" i="1" s="1"/>
  <c r="BP147" i="1"/>
  <c r="BN147" i="1"/>
  <c r="Z147" i="1"/>
  <c r="Y149" i="1"/>
  <c r="BP162" i="1"/>
  <c r="BN162" i="1"/>
  <c r="Z162" i="1"/>
  <c r="BP165" i="1"/>
  <c r="BN165" i="1"/>
  <c r="Z165" i="1"/>
  <c r="Z171" i="1" s="1"/>
  <c r="BP169" i="1"/>
  <c r="BN169" i="1"/>
  <c r="Z169" i="1"/>
  <c r="Y178" i="1"/>
  <c r="Y177" i="1"/>
  <c r="BP186" i="1"/>
  <c r="BN186" i="1"/>
  <c r="Z186" i="1"/>
  <c r="Z187" i="1" s="1"/>
  <c r="Y188" i="1"/>
  <c r="Y193" i="1"/>
  <c r="BP190" i="1"/>
  <c r="BN190" i="1"/>
  <c r="Z190" i="1"/>
  <c r="Z192" i="1" s="1"/>
  <c r="BP198" i="1"/>
  <c r="BN198" i="1"/>
  <c r="Z198" i="1"/>
  <c r="BP202" i="1"/>
  <c r="BN202" i="1"/>
  <c r="Z202" i="1"/>
  <c r="Y204" i="1"/>
  <c r="Y216" i="1"/>
  <c r="BP206" i="1"/>
  <c r="BN206" i="1"/>
  <c r="Z206" i="1"/>
  <c r="BP211" i="1"/>
  <c r="BN211" i="1"/>
  <c r="Z211" i="1"/>
  <c r="Y215" i="1"/>
  <c r="BP219" i="1"/>
  <c r="BN219" i="1"/>
  <c r="Z219" i="1"/>
  <c r="Z220" i="1" s="1"/>
  <c r="Y221" i="1"/>
  <c r="K499" i="1"/>
  <c r="Y235" i="1"/>
  <c r="BP224" i="1"/>
  <c r="BN224" i="1"/>
  <c r="Z224" i="1"/>
  <c r="Y234" i="1"/>
  <c r="BP228" i="1"/>
  <c r="BN228" i="1"/>
  <c r="Z228" i="1"/>
  <c r="BP232" i="1"/>
  <c r="BN232" i="1"/>
  <c r="Z232" i="1"/>
  <c r="BP257" i="1"/>
  <c r="BN257" i="1"/>
  <c r="Z257" i="1"/>
  <c r="BP322" i="1"/>
  <c r="BN322" i="1"/>
  <c r="Z322" i="1"/>
  <c r="Y326" i="1"/>
  <c r="BP330" i="1"/>
  <c r="BN330" i="1"/>
  <c r="Z330" i="1"/>
  <c r="Y332" i="1"/>
  <c r="R499" i="1"/>
  <c r="Y338" i="1"/>
  <c r="BP335" i="1"/>
  <c r="BN335" i="1"/>
  <c r="Z335" i="1"/>
  <c r="Y339" i="1"/>
  <c r="BP345" i="1"/>
  <c r="BN345" i="1"/>
  <c r="Z345" i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BP408" i="1"/>
  <c r="BN408" i="1"/>
  <c r="Z408" i="1"/>
  <c r="Z411" i="1" s="1"/>
  <c r="Y412" i="1"/>
  <c r="BP423" i="1"/>
  <c r="BN423" i="1"/>
  <c r="Z423" i="1"/>
  <c r="BP459" i="1"/>
  <c r="BN459" i="1"/>
  <c r="Z459" i="1"/>
  <c r="Z462" i="1" s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E499" i="1"/>
  <c r="Y89" i="1"/>
  <c r="H499" i="1"/>
  <c r="Y142" i="1"/>
  <c r="I499" i="1"/>
  <c r="Y159" i="1"/>
  <c r="J499" i="1"/>
  <c r="Y187" i="1"/>
  <c r="BP209" i="1"/>
  <c r="BN209" i="1"/>
  <c r="Z209" i="1"/>
  <c r="BP213" i="1"/>
  <c r="BN213" i="1"/>
  <c r="Z213" i="1"/>
  <c r="Y220" i="1"/>
  <c r="BP226" i="1"/>
  <c r="BN226" i="1"/>
  <c r="Z226" i="1"/>
  <c r="BP230" i="1"/>
  <c r="BN230" i="1"/>
  <c r="Z230" i="1"/>
  <c r="BP246" i="1"/>
  <c r="BN246" i="1"/>
  <c r="Z246" i="1"/>
  <c r="Z250" i="1" s="1"/>
  <c r="Y250" i="1"/>
  <c r="Z259" i="1"/>
  <c r="BP255" i="1"/>
  <c r="BN255" i="1"/>
  <c r="Z255" i="1"/>
  <c r="Y259" i="1"/>
  <c r="BP264" i="1"/>
  <c r="BN264" i="1"/>
  <c r="Z264" i="1"/>
  <c r="Z267" i="1" s="1"/>
  <c r="BP273" i="1"/>
  <c r="BN273" i="1"/>
  <c r="Z273" i="1"/>
  <c r="P499" i="1"/>
  <c r="Y281" i="1"/>
  <c r="BP278" i="1"/>
  <c r="BN278" i="1"/>
  <c r="Z278" i="1"/>
  <c r="Z280" i="1" s="1"/>
  <c r="Q499" i="1"/>
  <c r="BP292" i="1"/>
  <c r="BN292" i="1"/>
  <c r="Z292" i="1"/>
  <c r="BP300" i="1"/>
  <c r="BN300" i="1"/>
  <c r="Z300" i="1"/>
  <c r="BP304" i="1"/>
  <c r="BN304" i="1"/>
  <c r="Z304" i="1"/>
  <c r="Y313" i="1"/>
  <c r="BP308" i="1"/>
  <c r="BN308" i="1"/>
  <c r="Z308" i="1"/>
  <c r="Z312" i="1" s="1"/>
  <c r="Y312" i="1"/>
  <c r="BP316" i="1"/>
  <c r="BN316" i="1"/>
  <c r="Z316" i="1"/>
  <c r="Z318" i="1" s="1"/>
  <c r="Y325" i="1"/>
  <c r="BP324" i="1"/>
  <c r="BN324" i="1"/>
  <c r="Z324" i="1"/>
  <c r="Z325" i="1" s="1"/>
  <c r="Y331" i="1"/>
  <c r="BP328" i="1"/>
  <c r="BN328" i="1"/>
  <c r="Z328" i="1"/>
  <c r="Z331" i="1" s="1"/>
  <c r="BP337" i="1"/>
  <c r="BN337" i="1"/>
  <c r="Z337" i="1"/>
  <c r="S499" i="1"/>
  <c r="Y350" i="1"/>
  <c r="BP343" i="1"/>
  <c r="BN343" i="1"/>
  <c r="Z343" i="1"/>
  <c r="Z350" i="1" s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Z375" i="1" s="1"/>
  <c r="Y375" i="1"/>
  <c r="L499" i="1"/>
  <c r="M499" i="1"/>
  <c r="Y267" i="1"/>
  <c r="Y295" i="1"/>
  <c r="Y361" i="1"/>
  <c r="BP358" i="1"/>
  <c r="BN358" i="1"/>
  <c r="Z358" i="1"/>
  <c r="Z360" i="1" s="1"/>
  <c r="BP379" i="1"/>
  <c r="BN379" i="1"/>
  <c r="Z379" i="1"/>
  <c r="Z380" i="1" s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Z438" i="1" s="1"/>
  <c r="BP443" i="1"/>
  <c r="BN443" i="1"/>
  <c r="Z443" i="1"/>
  <c r="Z453" i="1"/>
  <c r="BP451" i="1"/>
  <c r="BN451" i="1"/>
  <c r="Z451" i="1"/>
  <c r="Y462" i="1"/>
  <c r="BP461" i="1"/>
  <c r="BN461" i="1"/>
  <c r="Z461" i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Y492" i="1" l="1"/>
  <c r="Z447" i="1"/>
  <c r="Z432" i="1"/>
  <c r="Z215" i="1"/>
  <c r="Z103" i="1"/>
  <c r="Z494" i="1" s="1"/>
  <c r="Z394" i="1"/>
  <c r="Z338" i="1"/>
  <c r="Z234" i="1"/>
  <c r="Y489" i="1"/>
  <c r="X492" i="1"/>
  <c r="Z305" i="1"/>
  <c r="Z274" i="1"/>
  <c r="Z148" i="1"/>
</calcChain>
</file>

<file path=xl/sharedStrings.xml><?xml version="1.0" encoding="utf-8"?>
<sst xmlns="http://schemas.openxmlformats.org/spreadsheetml/2006/main" count="2227" uniqueCount="763">
  <si>
    <t xml:space="preserve">  БЛАНК ЗАКАЗА </t>
  </si>
  <si>
    <t>КИ</t>
  </si>
  <si>
    <t>на отгрузку продукции с ООО Трейд-Сервис с</t>
  </si>
  <si>
    <t>24.11.2025</t>
  </si>
  <si>
    <t>бланк создан</t>
  </si>
  <si>
    <t>19.11.2025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</si>
  <si>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</si>
  <si>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</si>
  <si>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</si>
  <si>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</si>
  <si>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</si>
  <si>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</si>
  <si>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</si>
  <si>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</si>
  <si>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Крым Респ, Симферополь г, Данилова ул, 43В, лит В, офис 4,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</si>
  <si>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</si>
  <si>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</si>
  <si>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</si>
  <si>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</si>
  <si>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295021Российская Федерация, Крым Респ, Симферополь г, Данилова ул, 43В, лит В, офис 4,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</si>
  <si>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</si>
  <si>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</si>
  <si>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</si>
  <si>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</si>
  <si>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</si>
  <si>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</si>
  <si>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</si>
  <si>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</si>
  <si>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</si>
  <si>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</si>
  <si>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</si>
  <si>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</si>
  <si>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</si>
  <si>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</si>
  <si>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</si>
  <si>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</si>
  <si>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</si>
  <si>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</si>
  <si>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</si>
  <si>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</si>
  <si>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</si>
  <si>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</si>
  <si>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</si>
  <si>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</si>
  <si>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</si>
  <si>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</si>
  <si>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</si>
  <si>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</si>
  <si>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</si>
  <si>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</si>
  <si>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</si>
  <si>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</si>
  <si>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</si>
  <si>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</si>
  <si>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</si>
  <si>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</si>
  <si>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</si>
  <si>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</si>
  <si>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</si>
  <si>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</si>
  <si>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</si>
  <si>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</si>
  <si>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</si>
  <si>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</si>
  <si>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</si>
  <si>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</si>
  <si>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</si>
  <si>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</si>
  <si>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</si>
  <si>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</si>
  <si>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</si>
  <si>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</si>
  <si>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</si>
  <si>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</si>
  <si>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</si>
  <si>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</si>
  <si>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</si>
  <si>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Короб, мин. 14</t>
  </si>
  <si>
    <t>СК3</t>
  </si>
  <si>
    <t>ЕАЭС N RU Д-RU.РА06.В.91067/23, ЕАЭС N RU Д-RU.РА08.В.78145/23</t>
  </si>
  <si>
    <t>Короб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</si>
  <si>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</si>
  <si>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</si>
  <si>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</si>
  <si>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</si>
  <si>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</si>
  <si>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</si>
  <si>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</si>
  <si>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</si>
  <si>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</si>
  <si>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</si>
  <si>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</si>
  <si>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</si>
  <si>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</si>
  <si>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</si>
  <si>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</si>
  <si>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</si>
  <si>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</si>
  <si>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</si>
  <si>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</si>
  <si>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</si>
  <si>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</si>
  <si>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</si>
  <si>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</si>
  <si>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</si>
  <si>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</si>
  <si>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</si>
  <si>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</si>
  <si>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</si>
  <si>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</si>
  <si>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</si>
  <si>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</si>
  <si>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</si>
  <si>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</si>
  <si>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</si>
  <si>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</si>
  <si>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</si>
  <si>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</si>
  <si>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</si>
  <si>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</si>
  <si>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</si>
  <si>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</si>
  <si>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</si>
  <si>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</si>
  <si>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</si>
  <si>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</si>
  <si>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</si>
  <si>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</si>
  <si>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</si>
  <si>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</si>
  <si>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</si>
  <si>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</si>
  <si>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</si>
  <si>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</si>
  <si>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</si>
  <si>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</si>
  <si>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</si>
  <si>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</si>
  <si>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</si>
  <si>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</si>
  <si>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</si>
  <si>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</si>
  <si>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</si>
  <si>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</si>
  <si>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</si>
  <si>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</si>
  <si>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</si>
  <si>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</si>
  <si>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</si>
  <si>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</si>
  <si>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</si>
  <si>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</si>
  <si>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</si>
  <si>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</si>
  <si>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</si>
  <si>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</si>
  <si>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</si>
  <si>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</si>
  <si>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</si>
  <si>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</si>
  <si>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</si>
  <si>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</si>
  <si>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</si>
  <si>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</si>
  <si>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</si>
  <si>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</si>
  <si>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</si>
  <si>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</si>
  <si>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</si>
  <si>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</si>
  <si>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</si>
  <si>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</si>
  <si>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</si>
  <si>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</si>
  <si>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</si>
  <si>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</si>
  <si>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</si>
  <si>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</si>
  <si>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</si>
  <si>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</si>
  <si>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</si>
  <si>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</si>
  <si>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</si>
  <si>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</si>
  <si>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</si>
  <si>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</si>
  <si>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</si>
  <si>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</si>
  <si>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</si>
  <si>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</si>
  <si>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</si>
  <si>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</si>
  <si>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</si>
  <si>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</si>
  <si>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</si>
  <si>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</si>
  <si>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</si>
  <si>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</si>
  <si>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</si>
  <si>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</si>
  <si>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</si>
  <si>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</si>
  <si>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</si>
  <si>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</si>
  <si>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</si>
  <si>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</si>
  <si>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</si>
  <si>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</si>
  <si>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</si>
  <si>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</si>
  <si>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</si>
  <si>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</si>
  <si>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</si>
  <si>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</si>
  <si>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</si>
  <si>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</si>
  <si>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</si>
  <si>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</si>
  <si>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</si>
  <si>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</si>
  <si>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</si>
  <si>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</si>
  <si>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</si>
  <si>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</si>
  <si>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</si>
  <si>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</si>
  <si>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</si>
  <si>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</si>
  <si>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</si>
  <si>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</si>
  <si>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</si>
  <si>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</si>
  <si>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</si>
  <si>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</si>
  <si>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</si>
  <si>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</si>
  <si>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</si>
  <si>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</si>
  <si>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</si>
  <si>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</si>
  <si>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</si>
  <si>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</si>
  <si>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</si>
  <si>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</si>
  <si>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</si>
  <si>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</si>
  <si>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</si>
  <si>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</si>
  <si>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</si>
  <si>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</si>
  <si>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</si>
  <si>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</si>
  <si>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</si>
  <si>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</si>
  <si>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</si>
  <si>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</si>
  <si>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</si>
  <si>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</si>
  <si>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</si>
  <si>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</si>
  <si>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</si>
  <si>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</si>
  <si>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</si>
  <si>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</si>
  <si>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</si>
  <si>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</si>
  <si>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</si>
  <si>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</si>
  <si>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</si>
  <si>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</si>
  <si>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</si>
  <si>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</si>
  <si>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</si>
  <si>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Короб, мин. 18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</si>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</sst>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587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0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3" t="s">
        <v>0</v>
      </c>
      <c r="E1" s="573"/>
      <c r="F1" s="573"/>
      <c r="G1" s="12" t="s">
        <v>1</v>
      </c>
      <c r="H1" s="613" t="s">
        <v>2</v>
      </c>
      <c r="I1" s="573"/>
      <c r="J1" s="573"/>
      <c r="K1" s="573"/>
      <c r="L1" s="573"/>
      <c r="M1" s="573"/>
      <c r="N1" s="573"/>
      <c r="O1" s="573"/>
      <c r="P1" s="573"/>
      <c r="Q1" s="573"/>
      <c r="R1" s="572" t="s">
        <v>3</v>
      </c>
      <c r="S1" s="573"/>
      <c r="T1" s="5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52" t="s">
        <v>8</v>
      </c>
      <c r="B5" s="628"/>
      <c r="C5" s="629"/>
      <c r="D5" s="616"/>
      <c r="E5" s="617"/>
      <c r="F5" s="825" t="s">
        <v>9</v>
      </c>
      <c r="G5" s="629"/>
      <c r="H5" s="616"/>
      <c r="I5" s="763"/>
      <c r="J5" s="763"/>
      <c r="K5" s="763"/>
      <c r="L5" s="763"/>
      <c r="M5" s="617"/>
      <c r="N5" s="58"/>
      <c r="P5" s="24" t="s">
        <v>10</v>
      </c>
      <c r="Q5" s="839">
        <v>45984</v>
      </c>
      <c r="R5" s="651"/>
      <c r="T5" s="699" t="s">
        <v>11</v>
      </c>
      <c r="U5" s="700"/>
      <c r="V5" s="702" t="s">
        <v>12</v>
      </c>
      <c r="W5" s="651"/>
      <c r="AB5" s="51"/>
      <c r="AC5" s="51"/>
      <c r="AD5" s="51"/>
      <c r="AE5" s="51"/>
    </row>
    <row r="6" spans="1:32" s="535" customFormat="1" ht="24" customHeight="1" x14ac:dyDescent="0.2">
      <c r="A6" s="652" t="s">
        <v>13</v>
      </c>
      <c r="B6" s="628"/>
      <c r="C6" s="629"/>
      <c r="D6" s="766" t="s">
        <v>14</v>
      </c>
      <c r="E6" s="767"/>
      <c r="F6" s="767"/>
      <c r="G6" s="767"/>
      <c r="H6" s="767"/>
      <c r="I6" s="767"/>
      <c r="J6" s="767"/>
      <c r="K6" s="767"/>
      <c r="L6" s="767"/>
      <c r="M6" s="651"/>
      <c r="N6" s="59"/>
      <c r="P6" s="24" t="s">
        <v>15</v>
      </c>
      <c r="Q6" s="845" t="str">
        <f>IF(Q5=0," ",CHOOSE(WEEKDAY(Q5,2),"Понедельник","Вторник","Среда","Четверг","Пятница","Суббота","Воскресенье"))</f>
        <v>Воскресенье</v>
      </c>
      <c r="R6" s="549"/>
      <c r="T6" s="706" t="s">
        <v>16</v>
      </c>
      <c r="U6" s="700"/>
      <c r="V6" s="751" t="s">
        <v>17</v>
      </c>
      <c r="W6" s="586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5"/>
      <c r="U7" s="700"/>
      <c r="V7" s="752"/>
      <c r="W7" s="753"/>
      <c r="AB7" s="51"/>
      <c r="AC7" s="51"/>
      <c r="AD7" s="51"/>
      <c r="AE7" s="51"/>
    </row>
    <row r="8" spans="1:32" s="535" customFormat="1" ht="25.5" customHeight="1" x14ac:dyDescent="0.2">
      <c r="A8" s="861" t="s">
        <v>18</v>
      </c>
      <c r="B8" s="563"/>
      <c r="C8" s="564"/>
      <c r="D8" s="607" t="s">
        <v>19</v>
      </c>
      <c r="E8" s="608"/>
      <c r="F8" s="608"/>
      <c r="G8" s="608"/>
      <c r="H8" s="608"/>
      <c r="I8" s="608"/>
      <c r="J8" s="608"/>
      <c r="K8" s="608"/>
      <c r="L8" s="608"/>
      <c r="M8" s="609"/>
      <c r="N8" s="61"/>
      <c r="P8" s="24" t="s">
        <v>20</v>
      </c>
      <c r="Q8" s="660">
        <v>0.375</v>
      </c>
      <c r="R8" s="599"/>
      <c r="T8" s="555"/>
      <c r="U8" s="700"/>
      <c r="V8" s="752"/>
      <c r="W8" s="753"/>
      <c r="AB8" s="51"/>
      <c r="AC8" s="51"/>
      <c r="AD8" s="51"/>
      <c r="AE8" s="51"/>
    </row>
    <row r="9" spans="1:32" s="535" customFormat="1" ht="39.950000000000003" customHeight="1" x14ac:dyDescent="0.2">
      <c r="A9" s="6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72"/>
      <c r="E9" s="561"/>
      <c r="F9" s="6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3"/>
      <c r="P9" s="26" t="s">
        <v>21</v>
      </c>
      <c r="Q9" s="648"/>
      <c r="R9" s="649"/>
      <c r="T9" s="555"/>
      <c r="U9" s="700"/>
      <c r="V9" s="754"/>
      <c r="W9" s="755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72"/>
      <c r="E10" s="561"/>
      <c r="F10" s="6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44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07"/>
      <c r="R10" s="708"/>
      <c r="U10" s="24" t="s">
        <v>23</v>
      </c>
      <c r="V10" s="585" t="s">
        <v>24</v>
      </c>
      <c r="W10" s="586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0"/>
      <c r="R11" s="651"/>
      <c r="U11" s="24" t="s">
        <v>27</v>
      </c>
      <c r="V11" s="790" t="s">
        <v>28</v>
      </c>
      <c r="W11" s="649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3" t="s">
        <v>29</v>
      </c>
      <c r="B12" s="628"/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9"/>
      <c r="N12" s="62"/>
      <c r="P12" s="24" t="s">
        <v>30</v>
      </c>
      <c r="Q12" s="660"/>
      <c r="R12" s="599"/>
      <c r="S12" s="23"/>
      <c r="U12" s="24"/>
      <c r="V12" s="573"/>
      <c r="W12" s="555"/>
      <c r="AB12" s="51"/>
      <c r="AC12" s="51"/>
      <c r="AD12" s="51"/>
      <c r="AE12" s="51"/>
    </row>
    <row r="13" spans="1:32" s="535" customFormat="1" ht="23.25" customHeight="1" x14ac:dyDescent="0.2">
      <c r="A13" s="693" t="s">
        <v>31</v>
      </c>
      <c r="B13" s="628"/>
      <c r="C13" s="628"/>
      <c r="D13" s="628"/>
      <c r="E13" s="628"/>
      <c r="F13" s="628"/>
      <c r="G13" s="628"/>
      <c r="H13" s="628"/>
      <c r="I13" s="628"/>
      <c r="J13" s="628"/>
      <c r="K13" s="628"/>
      <c r="L13" s="628"/>
      <c r="M13" s="629"/>
      <c r="N13" s="62"/>
      <c r="O13" s="26"/>
      <c r="P13" s="26" t="s">
        <v>32</v>
      </c>
      <c r="Q13" s="790"/>
      <c r="R13" s="6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3" t="s">
        <v>33</v>
      </c>
      <c r="B14" s="628"/>
      <c r="C14" s="628"/>
      <c r="D14" s="628"/>
      <c r="E14" s="628"/>
      <c r="F14" s="628"/>
      <c r="G14" s="628"/>
      <c r="H14" s="628"/>
      <c r="I14" s="628"/>
      <c r="J14" s="628"/>
      <c r="K14" s="628"/>
      <c r="L14" s="628"/>
      <c r="M14" s="62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1" t="s">
        <v>34</v>
      </c>
      <c r="B15" s="628"/>
      <c r="C15" s="628"/>
      <c r="D15" s="628"/>
      <c r="E15" s="628"/>
      <c r="F15" s="628"/>
      <c r="G15" s="628"/>
      <c r="H15" s="628"/>
      <c r="I15" s="628"/>
      <c r="J15" s="628"/>
      <c r="K15" s="628"/>
      <c r="L15" s="628"/>
      <c r="M15" s="629"/>
      <c r="N15" s="63"/>
      <c r="P15" s="683" t="s">
        <v>35</v>
      </c>
      <c r="Q15" s="573"/>
      <c r="R15" s="573"/>
      <c r="S15" s="573"/>
      <c r="T15" s="5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4"/>
      <c r="Q16" s="684"/>
      <c r="R16" s="684"/>
      <c r="S16" s="684"/>
      <c r="T16" s="68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69" t="s">
        <v>38</v>
      </c>
      <c r="D17" s="581" t="s">
        <v>39</v>
      </c>
      <c r="E17" s="638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7"/>
      <c r="R17" s="637"/>
      <c r="S17" s="637"/>
      <c r="T17" s="638"/>
      <c r="U17" s="856" t="s">
        <v>51</v>
      </c>
      <c r="V17" s="629"/>
      <c r="W17" s="581" t="s">
        <v>52</v>
      </c>
      <c r="X17" s="581" t="s">
        <v>53</v>
      </c>
      <c r="Y17" s="859" t="s">
        <v>54</v>
      </c>
      <c r="Z17" s="761" t="s">
        <v>55</v>
      </c>
      <c r="AA17" s="742" t="s">
        <v>56</v>
      </c>
      <c r="AB17" s="742" t="s">
        <v>57</v>
      </c>
      <c r="AC17" s="742" t="s">
        <v>58</v>
      </c>
      <c r="AD17" s="742" t="s">
        <v>59</v>
      </c>
      <c r="AE17" s="820"/>
      <c r="AF17" s="821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9"/>
      <c r="E18" s="641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9"/>
      <c r="Q18" s="640"/>
      <c r="R18" s="640"/>
      <c r="S18" s="640"/>
      <c r="T18" s="641"/>
      <c r="U18" s="67" t="s">
        <v>61</v>
      </c>
      <c r="V18" s="67" t="s">
        <v>62</v>
      </c>
      <c r="W18" s="582"/>
      <c r="X18" s="582"/>
      <c r="Y18" s="860"/>
      <c r="Z18" s="762"/>
      <c r="AA18" s="743"/>
      <c r="AB18" s="743"/>
      <c r="AC18" s="743"/>
      <c r="AD18" s="822"/>
      <c r="AE18" s="823"/>
      <c r="AF18" s="824"/>
      <c r="AG18" s="66"/>
      <c r="BD18" s="65"/>
    </row>
    <row r="19" spans="1:68" ht="27.75" customHeight="1" x14ac:dyDescent="0.2">
      <c r="A19" s="632" t="s">
        <v>63</v>
      </c>
      <c r="B19" s="633"/>
      <c r="C19" s="633"/>
      <c r="D19" s="633"/>
      <c r="E19" s="633"/>
      <c r="F19" s="633"/>
      <c r="G19" s="633"/>
      <c r="H19" s="633"/>
      <c r="I19" s="633"/>
      <c r="J19" s="633"/>
      <c r="K19" s="633"/>
      <c r="L19" s="633"/>
      <c r="M19" s="633"/>
      <c r="N19" s="633"/>
      <c r="O19" s="633"/>
      <c r="P19" s="633"/>
      <c r="Q19" s="633"/>
      <c r="R19" s="633"/>
      <c r="S19" s="633"/>
      <c r="T19" s="633"/>
      <c r="U19" s="633"/>
      <c r="V19" s="633"/>
      <c r="W19" s="633"/>
      <c r="X19" s="633"/>
      <c r="Y19" s="633"/>
      <c r="Z19" s="633"/>
      <c r="AA19" s="48"/>
      <c r="AB19" s="48"/>
      <c r="AC19" s="48"/>
    </row>
    <row r="20" spans="1:68" ht="16.5" customHeight="1" x14ac:dyDescent="0.25">
      <c r="A20" s="559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customHeight="1" x14ac:dyDescent="0.25">
      <c r="A21" s="558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8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 t="s">
        <v>77</v>
      </c>
      <c r="M26" s="33" t="s">
        <v>78</v>
      </c>
      <c r="N26" s="33"/>
      <c r="O26" s="32">
        <v>40</v>
      </c>
      <c r="P26" s="7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79</v>
      </c>
      <c r="AG26" s="64"/>
      <c r="AJ26" s="68" t="s">
        <v>80</v>
      </c>
      <c r="AK26" s="68">
        <v>25.2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78</v>
      </c>
      <c r="N27" s="33"/>
      <c r="O27" s="32">
        <v>40</v>
      </c>
      <c r="P27" s="7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83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84</v>
      </c>
      <c r="B28" s="54" t="s">
        <v>85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86</v>
      </c>
      <c r="N28" s="33"/>
      <c r="O28" s="32">
        <v>40</v>
      </c>
      <c r="P28" s="5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87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88</v>
      </c>
      <c r="B29" s="54" t="s">
        <v>89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86</v>
      </c>
      <c r="N29" s="33"/>
      <c r="O29" s="32">
        <v>40</v>
      </c>
      <c r="P29" s="60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90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91</v>
      </c>
      <c r="B30" s="54" t="s">
        <v>92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86</v>
      </c>
      <c r="N30" s="33"/>
      <c r="O30" s="32">
        <v>40</v>
      </c>
      <c r="P30" s="57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8" t="s">
        <v>93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79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2" t="s">
        <v>99</v>
      </c>
      <c r="B37" s="633"/>
      <c r="C37" s="633"/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633"/>
      <c r="P37" s="633"/>
      <c r="Q37" s="633"/>
      <c r="R37" s="633"/>
      <c r="S37" s="633"/>
      <c r="T37" s="633"/>
      <c r="U37" s="633"/>
      <c r="V37" s="633"/>
      <c r="W37" s="633"/>
      <c r="X37" s="633"/>
      <c r="Y37" s="633"/>
      <c r="Z37" s="633"/>
      <c r="AA37" s="48"/>
      <c r="AB37" s="48"/>
      <c r="AC37" s="48"/>
    </row>
    <row r="38" spans="1:68" ht="16.5" customHeight="1" x14ac:dyDescent="0.25">
      <c r="A38" s="559" t="s">
        <v>100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customHeight="1" x14ac:dyDescent="0.25">
      <c r="A39" s="558" t="s">
        <v>101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5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20</v>
      </c>
      <c r="Y40" s="542">
        <f>IFERROR(IF(X40="",0,CEILING((X40/$H40),1)*$H40),"")</f>
        <v>21.6</v>
      </c>
      <c r="Z40" s="36">
        <f>IFERROR(IF(Y40=0,"",ROUNDUP(Y40/H40,0)*0.01898),"")</f>
        <v>3.7960000000000001E-2</v>
      </c>
      <c r="AA40" s="56"/>
      <c r="AB40" s="57"/>
      <c r="AC40" s="83" t="s">
        <v>107</v>
      </c>
      <c r="AG40" s="64"/>
      <c r="AJ40" s="68" t="s">
        <v>80</v>
      </c>
      <c r="AK40" s="68">
        <v>86.4</v>
      </c>
      <c r="BB40" s="84" t="s">
        <v>1</v>
      </c>
      <c r="BM40" s="64">
        <f>IFERROR(X40*I40/H40,"0")</f>
        <v>20.75925925925926</v>
      </c>
      <c r="BN40" s="64">
        <f>IFERROR(Y40*I40/H40,"0")</f>
        <v>22.42</v>
      </c>
      <c r="BO40" s="64">
        <f>IFERROR(1/J40*(X40/H40),"0")</f>
        <v>2.8935185185185182E-2</v>
      </c>
      <c r="BP40" s="64">
        <f>IFERROR(1/J40*(Y40/H40),"0")</f>
        <v>3.125E-2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110</v>
      </c>
      <c r="L41" s="32" t="s">
        <v>111</v>
      </c>
      <c r="M41" s="33" t="s">
        <v>78</v>
      </c>
      <c r="N41" s="33"/>
      <c r="O41" s="32">
        <v>50</v>
      </c>
      <c r="P41" s="79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80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110</v>
      </c>
      <c r="L42" s="32"/>
      <c r="M42" s="33" t="s">
        <v>78</v>
      </c>
      <c r="N42" s="33"/>
      <c r="O42" s="32">
        <v>50</v>
      </c>
      <c r="P42" s="61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1.8518518518518516</v>
      </c>
      <c r="Y43" s="543">
        <f>IFERROR(Y40/H40,"0")+IFERROR(Y41/H41,"0")+IFERROR(Y42/H42,"0")</f>
        <v>2</v>
      </c>
      <c r="Z43" s="543">
        <f>IFERROR(IF(Z40="",0,Z40),"0")+IFERROR(IF(Z41="",0,Z41),"0")+IFERROR(IF(Z42="",0,Z42),"0")</f>
        <v>3.7960000000000001E-2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20</v>
      </c>
      <c r="Y44" s="543">
        <f>IFERROR(SUM(Y40:Y42),"0")</f>
        <v>21.6</v>
      </c>
      <c r="Z44" s="37"/>
      <c r="AA44" s="544"/>
      <c r="AB44" s="544"/>
      <c r="AC44" s="544"/>
    </row>
    <row r="45" spans="1:68" ht="14.25" customHeight="1" x14ac:dyDescent="0.25">
      <c r="A45" s="558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78</v>
      </c>
      <c r="N46" s="33"/>
      <c r="O46" s="32">
        <v>40</v>
      </c>
      <c r="P46" s="78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9" t="s">
        <v>117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customHeight="1" x14ac:dyDescent="0.25">
      <c r="A50" s="558" t="s">
        <v>101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104</v>
      </c>
      <c r="L51" s="32"/>
      <c r="M51" s="33" t="s">
        <v>78</v>
      </c>
      <c r="N51" s="33"/>
      <c r="O51" s="32">
        <v>50</v>
      </c>
      <c r="P51" s="71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60</v>
      </c>
      <c r="Y52" s="542">
        <f t="shared" si="0"/>
        <v>64.800000000000011</v>
      </c>
      <c r="Z52" s="36">
        <f>IFERROR(IF(Y52=0,"",ROUNDUP(Y52/H52,0)*0.01898),"")</f>
        <v>0.11388000000000001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62.277777777777779</v>
      </c>
      <c r="BN52" s="64">
        <f t="shared" si="2"/>
        <v>67.260000000000005</v>
      </c>
      <c r="BO52" s="64">
        <f t="shared" si="3"/>
        <v>8.6805555555555552E-2</v>
      </c>
      <c r="BP52" s="64">
        <f t="shared" si="4"/>
        <v>9.3750000000000014E-2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7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127</v>
      </c>
      <c r="B54" s="54" t="s">
        <v>128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1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86</v>
      </c>
      <c r="N55" s="33"/>
      <c r="O55" s="32">
        <v>50</v>
      </c>
      <c r="P55" s="65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110</v>
      </c>
      <c r="L56" s="32" t="s">
        <v>111</v>
      </c>
      <c r="M56" s="33" t="s">
        <v>106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27</v>
      </c>
      <c r="Y56" s="542">
        <f t="shared" si="0"/>
        <v>27</v>
      </c>
      <c r="Z56" s="36">
        <f>IFERROR(IF(Y56=0,"",ROUNDUP(Y56/H56,0)*0.00902),"")</f>
        <v>5.4120000000000001E-2</v>
      </c>
      <c r="AA56" s="56"/>
      <c r="AB56" s="57"/>
      <c r="AC56" s="101" t="s">
        <v>135</v>
      </c>
      <c r="AG56" s="64"/>
      <c r="AJ56" s="68" t="s">
        <v>80</v>
      </c>
      <c r="AK56" s="68">
        <v>54</v>
      </c>
      <c r="BB56" s="102" t="s">
        <v>1</v>
      </c>
      <c r="BM56" s="64">
        <f t="shared" si="1"/>
        <v>28.14</v>
      </c>
      <c r="BN56" s="64">
        <f t="shared" si="2"/>
        <v>28.14</v>
      </c>
      <c r="BO56" s="64">
        <f t="shared" si="3"/>
        <v>4.5454545454545456E-2</v>
      </c>
      <c r="BP56" s="64">
        <f t="shared" si="4"/>
        <v>4.5454545454545456E-2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11.555555555555555</v>
      </c>
      <c r="Y57" s="543">
        <f>IFERROR(Y51/H51,"0")+IFERROR(Y52/H52,"0")+IFERROR(Y53/H53,"0")+IFERROR(Y54/H54,"0")+IFERROR(Y55/H55,"0")+IFERROR(Y56/H56,"0")</f>
        <v>12</v>
      </c>
      <c r="Z57" s="543">
        <f>IFERROR(IF(Z51="",0,Z51),"0")+IFERROR(IF(Z52="",0,Z52),"0")+IFERROR(IF(Z53="",0,Z53),"0")+IFERROR(IF(Z54="",0,Z54),"0")+IFERROR(IF(Z55="",0,Z55),"0")+IFERROR(IF(Z56="",0,Z56),"0")</f>
        <v>0.16800000000000001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87</v>
      </c>
      <c r="Y58" s="543">
        <f>IFERROR(SUM(Y51:Y56),"0")</f>
        <v>91.800000000000011</v>
      </c>
      <c r="Z58" s="37"/>
      <c r="AA58" s="544"/>
      <c r="AB58" s="544"/>
      <c r="AC58" s="544"/>
    </row>
    <row r="59" spans="1:68" ht="14.25" customHeight="1" x14ac:dyDescent="0.25">
      <c r="A59" s="558" t="s">
        <v>136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104</v>
      </c>
      <c r="L60" s="32"/>
      <c r="M60" s="33" t="s">
        <v>106</v>
      </c>
      <c r="N60" s="33"/>
      <c r="O60" s="32">
        <v>50</v>
      </c>
      <c r="P60" s="8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30</v>
      </c>
      <c r="Y60" s="542">
        <f>IFERROR(IF(X60="",0,CEILING((X60/$H60),1)*$H60),"")</f>
        <v>32.400000000000006</v>
      </c>
      <c r="Z60" s="36">
        <f>IFERROR(IF(Y60=0,"",ROUNDUP(Y60/H60,0)*0.01898),"")</f>
        <v>5.6940000000000004E-2</v>
      </c>
      <c r="AA60" s="56"/>
      <c r="AB60" s="57"/>
      <c r="AC60" s="103" t="s">
        <v>139</v>
      </c>
      <c r="AG60" s="64"/>
      <c r="AJ60" s="68"/>
      <c r="AK60" s="68">
        <v>0</v>
      </c>
      <c r="BB60" s="104" t="s">
        <v>1</v>
      </c>
      <c r="BM60" s="64">
        <f>IFERROR(X60*I60/H60,"0")</f>
        <v>31.138888888888889</v>
      </c>
      <c r="BN60" s="64">
        <f>IFERROR(Y60*I60/H60,"0")</f>
        <v>33.630000000000003</v>
      </c>
      <c r="BO60" s="64">
        <f>IFERROR(1/J60*(X60/H60),"0")</f>
        <v>4.3402777777777776E-2</v>
      </c>
      <c r="BP60" s="64">
        <f>IFERROR(1/J60*(Y60/H60),"0")</f>
        <v>4.6875000000000007E-2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78</v>
      </c>
      <c r="N61" s="33"/>
      <c r="O61" s="32">
        <v>50</v>
      </c>
      <c r="P61" s="78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 t="s">
        <v>77</v>
      </c>
      <c r="M62" s="33" t="s">
        <v>106</v>
      </c>
      <c r="N62" s="33"/>
      <c r="O62" s="32">
        <v>50</v>
      </c>
      <c r="P62" s="81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 t="s">
        <v>80</v>
      </c>
      <c r="AK62" s="68">
        <v>37.799999999999997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2.7777777777777777</v>
      </c>
      <c r="Y63" s="543">
        <f>IFERROR(Y60/H60,"0")+IFERROR(Y61/H61,"0")+IFERROR(Y62/H62,"0")</f>
        <v>3.0000000000000004</v>
      </c>
      <c r="Z63" s="543">
        <f>IFERROR(IF(Z60="",0,Z60),"0")+IFERROR(IF(Z61="",0,Z61),"0")+IFERROR(IF(Z62="",0,Z62),"0")</f>
        <v>5.6940000000000004E-2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30</v>
      </c>
      <c r="Y64" s="543">
        <f>IFERROR(SUM(Y60:Y62),"0")</f>
        <v>32.400000000000006</v>
      </c>
      <c r="Z64" s="37"/>
      <c r="AA64" s="544"/>
      <c r="AB64" s="544"/>
      <c r="AC64" s="544"/>
    </row>
    <row r="65" spans="1:68" ht="14.25" customHeight="1" x14ac:dyDescent="0.25">
      <c r="A65" s="558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7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8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customHeight="1" x14ac:dyDescent="0.25">
      <c r="A72" s="54" t="s">
        <v>153</v>
      </c>
      <c r="B72" s="54" t="s">
        <v>154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104</v>
      </c>
      <c r="L72" s="32"/>
      <c r="M72" s="33" t="s">
        <v>78</v>
      </c>
      <c r="N72" s="33"/>
      <c r="O72" s="32">
        <v>45</v>
      </c>
      <c r="P72" s="83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156</v>
      </c>
      <c r="B73" s="54" t="s">
        <v>157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78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159</v>
      </c>
      <c r="B74" s="54" t="s">
        <v>160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78</v>
      </c>
      <c r="N74" s="33"/>
      <c r="O74" s="32">
        <v>45</v>
      </c>
      <c r="P74" s="69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78</v>
      </c>
      <c r="N75" s="33"/>
      <c r="O75" s="32">
        <v>40</v>
      </c>
      <c r="P75" s="82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8" t="s">
        <v>164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165</v>
      </c>
      <c r="B79" s="54" t="s">
        <v>166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104</v>
      </c>
      <c r="L79" s="32"/>
      <c r="M79" s="33" t="s">
        <v>86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168</v>
      </c>
      <c r="B80" s="54" t="s">
        <v>169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110</v>
      </c>
      <c r="L80" s="32"/>
      <c r="M80" s="33" t="s">
        <v>78</v>
      </c>
      <c r="N80" s="33"/>
      <c r="O80" s="32">
        <v>30</v>
      </c>
      <c r="P80" s="76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customHeight="1" x14ac:dyDescent="0.25">
      <c r="A83" s="559" t="s">
        <v>171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customHeight="1" x14ac:dyDescent="0.25">
      <c r="A84" s="558" t="s">
        <v>101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5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0</v>
      </c>
      <c r="Y85" s="54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174</v>
      </c>
      <c r="AG85" s="64"/>
      <c r="AJ85" s="68" t="s">
        <v>80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110</v>
      </c>
      <c r="L86" s="32"/>
      <c r="M86" s="33" t="s">
        <v>78</v>
      </c>
      <c r="N86" s="33"/>
      <c r="O86" s="32">
        <v>50</v>
      </c>
      <c r="P86" s="5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110</v>
      </c>
      <c r="L87" s="32" t="s">
        <v>111</v>
      </c>
      <c r="M87" s="33" t="s">
        <v>86</v>
      </c>
      <c r="N87" s="33"/>
      <c r="O87" s="32">
        <v>50</v>
      </c>
      <c r="P87" s="71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 t="s">
        <v>80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0</v>
      </c>
      <c r="Y88" s="543">
        <f>IFERROR(Y85/H85,"0")+IFERROR(Y86/H86,"0")+IFERROR(Y87/H87,"0")</f>
        <v>0</v>
      </c>
      <c r="Z88" s="543">
        <f>IFERROR(IF(Z85="",0,Z85),"0")+IFERROR(IF(Z86="",0,Z86),"0")+IFERROR(IF(Z87="",0,Z87),"0")</f>
        <v>0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0</v>
      </c>
      <c r="Y89" s="543">
        <f>IFERROR(SUM(Y85:Y87),"0")</f>
        <v>0</v>
      </c>
      <c r="Z89" s="37"/>
      <c r="AA89" s="544"/>
      <c r="AB89" s="544"/>
      <c r="AC89" s="544"/>
    </row>
    <row r="90" spans="1:68" ht="14.25" customHeight="1" x14ac:dyDescent="0.25">
      <c r="A90" s="558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104</v>
      </c>
      <c r="L91" s="32"/>
      <c r="M91" s="33" t="s">
        <v>86</v>
      </c>
      <c r="N91" s="33"/>
      <c r="O91" s="32">
        <v>45</v>
      </c>
      <c r="P91" s="74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15</v>
      </c>
      <c r="Y91" s="542">
        <f>IFERROR(IF(X91="",0,CEILING((X91/$H91),1)*$H91),"")</f>
        <v>16.2</v>
      </c>
      <c r="Z91" s="36">
        <f>IFERROR(IF(Y91=0,"",ROUNDUP(Y91/H91,0)*0.01898),"")</f>
        <v>3.7960000000000001E-2</v>
      </c>
      <c r="AA91" s="56"/>
      <c r="AB91" s="57"/>
      <c r="AC91" s="133" t="s">
        <v>181</v>
      </c>
      <c r="AG91" s="64"/>
      <c r="AJ91" s="68"/>
      <c r="AK91" s="68">
        <v>0</v>
      </c>
      <c r="BB91" s="134" t="s">
        <v>1</v>
      </c>
      <c r="BM91" s="64">
        <f>IFERROR(X91*I91/H91,"0")</f>
        <v>15.914814814814815</v>
      </c>
      <c r="BN91" s="64">
        <f>IFERROR(Y91*I91/H91,"0")</f>
        <v>17.187999999999999</v>
      </c>
      <c r="BO91" s="64">
        <f>IFERROR(1/J91*(X91/H91),"0")</f>
        <v>2.8935185185185185E-2</v>
      </c>
      <c r="BP91" s="64">
        <f>IFERROR(1/J91*(Y91/H91),"0")</f>
        <v>3.125E-2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78</v>
      </c>
      <c r="N92" s="33"/>
      <c r="O92" s="32">
        <v>45</v>
      </c>
      <c r="P92" s="6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86</v>
      </c>
      <c r="N93" s="33"/>
      <c r="O93" s="32">
        <v>45</v>
      </c>
      <c r="P93" s="77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/>
      <c r="M94" s="33" t="s">
        <v>78</v>
      </c>
      <c r="N94" s="33"/>
      <c r="O94" s="32">
        <v>45</v>
      </c>
      <c r="P94" s="60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1.8518518518518519</v>
      </c>
      <c r="Y95" s="543">
        <f>IFERROR(Y91/H91,"0")+IFERROR(Y92/H92,"0")+IFERROR(Y93/H93,"0")+IFERROR(Y94/H94,"0")</f>
        <v>2</v>
      </c>
      <c r="Z95" s="543">
        <f>IFERROR(IF(Z91="",0,Z91),"0")+IFERROR(IF(Z92="",0,Z92),"0")+IFERROR(IF(Z93="",0,Z93),"0")+IFERROR(IF(Z94="",0,Z94),"0")</f>
        <v>3.7960000000000001E-2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15</v>
      </c>
      <c r="Y96" s="543">
        <f>IFERROR(SUM(Y91:Y94),"0")</f>
        <v>16.2</v>
      </c>
      <c r="Z96" s="37"/>
      <c r="AA96" s="544"/>
      <c r="AB96" s="544"/>
      <c r="AC96" s="544"/>
    </row>
    <row r="97" spans="1:68" ht="16.5" customHeight="1" x14ac:dyDescent="0.25">
      <c r="A97" s="559" t="s">
        <v>190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customHeight="1" x14ac:dyDescent="0.25">
      <c r="A98" s="558" t="s">
        <v>101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80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110</v>
      </c>
      <c r="L100" s="32"/>
      <c r="M100" s="33" t="s">
        <v>78</v>
      </c>
      <c r="N100" s="33"/>
      <c r="O100" s="32">
        <v>50</v>
      </c>
      <c r="P100" s="60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110</v>
      </c>
      <c r="L101" s="32" t="s">
        <v>111</v>
      </c>
      <c r="M101" s="33" t="s">
        <v>78</v>
      </c>
      <c r="N101" s="33"/>
      <c r="O101" s="32">
        <v>50</v>
      </c>
      <c r="P101" s="80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80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110</v>
      </c>
      <c r="L102" s="32"/>
      <c r="M102" s="33" t="s">
        <v>78</v>
      </c>
      <c r="N102" s="33"/>
      <c r="O102" s="32">
        <v>50</v>
      </c>
      <c r="P102" s="80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0</v>
      </c>
      <c r="Y103" s="543">
        <f>IFERROR(Y99/H99,"0")+IFERROR(Y100/H100,"0")+IFERROR(Y101/H101,"0")+IFERROR(Y102/H102,"0")</f>
        <v>0</v>
      </c>
      <c r="Z103" s="543">
        <f>IFERROR(IF(Z99="",0,Z99),"0")+IFERROR(IF(Z100="",0,Z100),"0")+IFERROR(IF(Z101="",0,Z101),"0")+IFERROR(IF(Z102="",0,Z102),"0")</f>
        <v>0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0</v>
      </c>
      <c r="Y104" s="543">
        <f>IFERROR(SUM(Y99:Y102),"0")</f>
        <v>0</v>
      </c>
      <c r="Z104" s="37"/>
      <c r="AA104" s="544"/>
      <c r="AB104" s="544"/>
      <c r="AC104" s="544"/>
    </row>
    <row r="105" spans="1:68" ht="14.25" customHeight="1" x14ac:dyDescent="0.25">
      <c r="A105" s="558" t="s">
        <v>136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80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4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customHeight="1" x14ac:dyDescent="0.25">
      <c r="A111" s="558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104</v>
      </c>
      <c r="L112" s="32"/>
      <c r="M112" s="33" t="s">
        <v>86</v>
      </c>
      <c r="N112" s="33"/>
      <c r="O112" s="32">
        <v>45</v>
      </c>
      <c r="P112" s="78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60</v>
      </c>
      <c r="Y112" s="542">
        <f>IFERROR(IF(X112="",0,CEILING((X112/$H112),1)*$H112),"")</f>
        <v>64.8</v>
      </c>
      <c r="Z112" s="36">
        <f>IFERROR(IF(Y112=0,"",ROUNDUP(Y112/H112,0)*0.01898),"")</f>
        <v>0.15184</v>
      </c>
      <c r="AA112" s="56"/>
      <c r="AB112" s="57"/>
      <c r="AC112" s="155" t="s">
        <v>209</v>
      </c>
      <c r="AG112" s="64"/>
      <c r="AJ112" s="68"/>
      <c r="AK112" s="68">
        <v>0</v>
      </c>
      <c r="BB112" s="156" t="s">
        <v>1</v>
      </c>
      <c r="BM112" s="64">
        <f>IFERROR(X112*I112/H112,"0")</f>
        <v>63.614814814814814</v>
      </c>
      <c r="BN112" s="64">
        <f>IFERROR(Y112*I112/H112,"0")</f>
        <v>68.703999999999994</v>
      </c>
      <c r="BO112" s="64">
        <f>IFERROR(1/J112*(X112/H112),"0")</f>
        <v>0.11574074074074074</v>
      </c>
      <c r="BP112" s="64">
        <f>IFERROR(1/J112*(Y112/H112),"0")</f>
        <v>0.125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86</v>
      </c>
      <c r="N113" s="33"/>
      <c r="O113" s="32">
        <v>45</v>
      </c>
      <c r="P113" s="63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/>
      <c r="M114" s="33" t="s">
        <v>86</v>
      </c>
      <c r="N114" s="33"/>
      <c r="O114" s="32">
        <v>45</v>
      </c>
      <c r="P114" s="79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13.5</v>
      </c>
      <c r="Y114" s="542">
        <f>IFERROR(IF(X114="",0,CEILING((X114/$H114),1)*$H114),"")</f>
        <v>13.5</v>
      </c>
      <c r="Z114" s="36">
        <f>IFERROR(IF(Y114=0,"",ROUNDUP(Y114/H114,0)*0.00651),"")</f>
        <v>3.2550000000000003E-2</v>
      </c>
      <c r="AA114" s="56"/>
      <c r="AB114" s="57"/>
      <c r="AC114" s="159" t="s">
        <v>209</v>
      </c>
      <c r="AG114" s="64"/>
      <c r="AJ114" s="68"/>
      <c r="AK114" s="68">
        <v>0</v>
      </c>
      <c r="BB114" s="160" t="s">
        <v>1</v>
      </c>
      <c r="BM114" s="64">
        <f>IFERROR(X114*I114/H114,"0")</f>
        <v>14.759999999999998</v>
      </c>
      <c r="BN114" s="64">
        <f>IFERROR(Y114*I114/H114,"0")</f>
        <v>14.759999999999998</v>
      </c>
      <c r="BO114" s="64">
        <f>IFERROR(1/J114*(X114/H114),"0")</f>
        <v>2.7472527472527476E-2</v>
      </c>
      <c r="BP114" s="64">
        <f>IFERROR(1/J114*(Y114/H114),"0")</f>
        <v>2.7472527472527476E-2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77</v>
      </c>
      <c r="M115" s="33" t="s">
        <v>78</v>
      </c>
      <c r="N115" s="33"/>
      <c r="O115" s="32">
        <v>45</v>
      </c>
      <c r="P115" s="72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80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12.407407407407408</v>
      </c>
      <c r="Y116" s="543">
        <f>IFERROR(Y112/H112,"0")+IFERROR(Y113/H113,"0")+IFERROR(Y114/H114,"0")+IFERROR(Y115/H115,"0")</f>
        <v>13</v>
      </c>
      <c r="Z116" s="543">
        <f>IFERROR(IF(Z112="",0,Z112),"0")+IFERROR(IF(Z113="",0,Z113),"0")+IFERROR(IF(Z114="",0,Z114),"0")+IFERROR(IF(Z115="",0,Z115),"0")</f>
        <v>0.18439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73.5</v>
      </c>
      <c r="Y117" s="543">
        <f>IFERROR(SUM(Y112:Y115),"0")</f>
        <v>78.3</v>
      </c>
      <c r="Z117" s="37"/>
      <c r="AA117" s="544"/>
      <c r="AB117" s="544"/>
      <c r="AC117" s="544"/>
    </row>
    <row r="118" spans="1:68" ht="14.25" customHeight="1" x14ac:dyDescent="0.25">
      <c r="A118" s="558" t="s">
        <v>164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77</v>
      </c>
      <c r="M119" s="33" t="s">
        <v>78</v>
      </c>
      <c r="N119" s="33"/>
      <c r="O119" s="32">
        <v>40</v>
      </c>
      <c r="P119" s="66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80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59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customHeight="1" x14ac:dyDescent="0.25">
      <c r="A123" s="558" t="s">
        <v>101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/>
      <c r="M124" s="33" t="s">
        <v>96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96</v>
      </c>
      <c r="N125" s="33"/>
      <c r="O125" s="32">
        <v>90</v>
      </c>
      <c r="P125" s="78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customHeight="1" x14ac:dyDescent="0.25">
      <c r="A128" s="558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96</v>
      </c>
      <c r="N129" s="33"/>
      <c r="O129" s="32">
        <v>90</v>
      </c>
      <c r="P129" s="64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/>
      <c r="M130" s="33" t="s">
        <v>96</v>
      </c>
      <c r="N130" s="33"/>
      <c r="O130" s="32">
        <v>90</v>
      </c>
      <c r="P130" s="7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customHeight="1" x14ac:dyDescent="0.25">
      <c r="A133" s="558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4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96</v>
      </c>
      <c r="N135" s="33"/>
      <c r="O135" s="32">
        <v>60</v>
      </c>
      <c r="P135" s="81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59" t="s">
        <v>99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customHeight="1" x14ac:dyDescent="0.25">
      <c r="A139" s="558" t="s">
        <v>101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110</v>
      </c>
      <c r="L141" s="32"/>
      <c r="M141" s="33" t="s">
        <v>106</v>
      </c>
      <c r="N141" s="33"/>
      <c r="O141" s="32">
        <v>50</v>
      </c>
      <c r="P141" s="72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54"/>
      <c r="B142" s="555"/>
      <c r="C142" s="555"/>
      <c r="D142" s="555"/>
      <c r="E142" s="555"/>
      <c r="F142" s="555"/>
      <c r="G142" s="555"/>
      <c r="H142" s="555"/>
      <c r="I142" s="555"/>
      <c r="J142" s="555"/>
      <c r="K142" s="555"/>
      <c r="L142" s="555"/>
      <c r="M142" s="555"/>
      <c r="N142" s="555"/>
      <c r="O142" s="556"/>
      <c r="P142" s="562" t="s">
        <v>71</v>
      </c>
      <c r="Q142" s="563"/>
      <c r="R142" s="563"/>
      <c r="S142" s="563"/>
      <c r="T142" s="563"/>
      <c r="U142" s="563"/>
      <c r="V142" s="564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x14ac:dyDescent="0.2">
      <c r="A143" s="555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2" t="s">
        <v>71</v>
      </c>
      <c r="Q143" s="563"/>
      <c r="R143" s="563"/>
      <c r="S143" s="563"/>
      <c r="T143" s="563"/>
      <c r="U143" s="563"/>
      <c r="V143" s="564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customHeight="1" x14ac:dyDescent="0.25">
      <c r="A144" s="558" t="s">
        <v>64</v>
      </c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5"/>
      <c r="P144" s="555"/>
      <c r="Q144" s="555"/>
      <c r="R144" s="555"/>
      <c r="S144" s="555"/>
      <c r="T144" s="555"/>
      <c r="U144" s="555"/>
      <c r="V144" s="555"/>
      <c r="W144" s="555"/>
      <c r="X144" s="555"/>
      <c r="Y144" s="555"/>
      <c r="Z144" s="555"/>
      <c r="AA144" s="537"/>
      <c r="AB144" s="537"/>
      <c r="AC144" s="537"/>
    </row>
    <row r="145" spans="1:68" ht="16.5" customHeight="1" x14ac:dyDescent="0.25">
      <c r="A145" s="54" t="s">
        <v>238</v>
      </c>
      <c r="B145" s="54" t="s">
        <v>239</v>
      </c>
      <c r="C145" s="31">
        <v>4301030895</v>
      </c>
      <c r="D145" s="548">
        <v>4607091387667</v>
      </c>
      <c r="E145" s="549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104</v>
      </c>
      <c r="L145" s="32"/>
      <c r="M145" s="33" t="s">
        <v>106</v>
      </c>
      <c r="N145" s="33"/>
      <c r="O145" s="32">
        <v>40</v>
      </c>
      <c r="P145" s="59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6"/>
      <c r="R145" s="546"/>
      <c r="S145" s="546"/>
      <c r="T145" s="547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241</v>
      </c>
      <c r="B146" s="54" t="s">
        <v>242</v>
      </c>
      <c r="C146" s="31">
        <v>4301030961</v>
      </c>
      <c r="D146" s="548">
        <v>4607091387636</v>
      </c>
      <c r="E146" s="549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3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244</v>
      </c>
      <c r="B147" s="54" t="s">
        <v>245</v>
      </c>
      <c r="C147" s="31">
        <v>4301030963</v>
      </c>
      <c r="D147" s="548">
        <v>4607091382426</v>
      </c>
      <c r="E147" s="549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104</v>
      </c>
      <c r="L147" s="32"/>
      <c r="M147" s="33" t="s">
        <v>68</v>
      </c>
      <c r="N147" s="33"/>
      <c r="O147" s="32">
        <v>40</v>
      </c>
      <c r="P147" s="5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54"/>
      <c r="B148" s="555"/>
      <c r="C148" s="555"/>
      <c r="D148" s="555"/>
      <c r="E148" s="555"/>
      <c r="F148" s="555"/>
      <c r="G148" s="555"/>
      <c r="H148" s="555"/>
      <c r="I148" s="555"/>
      <c r="J148" s="555"/>
      <c r="K148" s="555"/>
      <c r="L148" s="555"/>
      <c r="M148" s="555"/>
      <c r="N148" s="555"/>
      <c r="O148" s="556"/>
      <c r="P148" s="562" t="s">
        <v>71</v>
      </c>
      <c r="Q148" s="563"/>
      <c r="R148" s="563"/>
      <c r="S148" s="563"/>
      <c r="T148" s="563"/>
      <c r="U148" s="563"/>
      <c r="V148" s="564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x14ac:dyDescent="0.2">
      <c r="A149" s="555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2" t="s">
        <v>71</v>
      </c>
      <c r="Q149" s="563"/>
      <c r="R149" s="563"/>
      <c r="S149" s="563"/>
      <c r="T149" s="563"/>
      <c r="U149" s="563"/>
      <c r="V149" s="564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customHeight="1" x14ac:dyDescent="0.25">
      <c r="A150" s="558" t="s">
        <v>73</v>
      </c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5"/>
      <c r="P150" s="555"/>
      <c r="Q150" s="555"/>
      <c r="R150" s="555"/>
      <c r="S150" s="555"/>
      <c r="T150" s="555"/>
      <c r="U150" s="555"/>
      <c r="V150" s="555"/>
      <c r="W150" s="555"/>
      <c r="X150" s="555"/>
      <c r="Y150" s="555"/>
      <c r="Z150" s="555"/>
      <c r="AA150" s="537"/>
      <c r="AB150" s="537"/>
      <c r="AC150" s="537"/>
    </row>
    <row r="151" spans="1:68" ht="27" customHeight="1" x14ac:dyDescent="0.25">
      <c r="A151" s="54" t="s">
        <v>247</v>
      </c>
      <c r="B151" s="54" t="s">
        <v>248</v>
      </c>
      <c r="C151" s="31">
        <v>4301052064</v>
      </c>
      <c r="D151" s="548">
        <v>4680115887459</v>
      </c>
      <c r="E151" s="549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78</v>
      </c>
      <c r="N151" s="33"/>
      <c r="O151" s="32">
        <v>45</v>
      </c>
      <c r="P151" s="863" t="s">
        <v>249</v>
      </c>
      <c r="Q151" s="546"/>
      <c r="R151" s="546"/>
      <c r="S151" s="546"/>
      <c r="T151" s="547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250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54"/>
      <c r="B152" s="555"/>
      <c r="C152" s="555"/>
      <c r="D152" s="555"/>
      <c r="E152" s="555"/>
      <c r="F152" s="555"/>
      <c r="G152" s="555"/>
      <c r="H152" s="555"/>
      <c r="I152" s="555"/>
      <c r="J152" s="555"/>
      <c r="K152" s="555"/>
      <c r="L152" s="555"/>
      <c r="M152" s="555"/>
      <c r="N152" s="555"/>
      <c r="O152" s="556"/>
      <c r="P152" s="562" t="s">
        <v>71</v>
      </c>
      <c r="Q152" s="563"/>
      <c r="R152" s="563"/>
      <c r="S152" s="563"/>
      <c r="T152" s="563"/>
      <c r="U152" s="563"/>
      <c r="V152" s="564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x14ac:dyDescent="0.2">
      <c r="A153" s="555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2" t="s">
        <v>71</v>
      </c>
      <c r="Q153" s="563"/>
      <c r="R153" s="563"/>
      <c r="S153" s="563"/>
      <c r="T153" s="563"/>
      <c r="U153" s="563"/>
      <c r="V153" s="564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customHeight="1" x14ac:dyDescent="0.2">
      <c r="A154" s="632" t="s">
        <v>251</v>
      </c>
      <c r="B154" s="633"/>
      <c r="C154" s="633"/>
      <c r="D154" s="633"/>
      <c r="E154" s="633"/>
      <c r="F154" s="633"/>
      <c r="G154" s="633"/>
      <c r="H154" s="633"/>
      <c r="I154" s="633"/>
      <c r="J154" s="633"/>
      <c r="K154" s="633"/>
      <c r="L154" s="633"/>
      <c r="M154" s="633"/>
      <c r="N154" s="633"/>
      <c r="O154" s="633"/>
      <c r="P154" s="633"/>
      <c r="Q154" s="633"/>
      <c r="R154" s="633"/>
      <c r="S154" s="633"/>
      <c r="T154" s="633"/>
      <c r="U154" s="633"/>
      <c r="V154" s="633"/>
      <c r="W154" s="633"/>
      <c r="X154" s="633"/>
      <c r="Y154" s="633"/>
      <c r="Z154" s="633"/>
      <c r="AA154" s="48"/>
      <c r="AB154" s="48"/>
      <c r="AC154" s="48"/>
    </row>
    <row r="155" spans="1:68" ht="16.5" customHeight="1" x14ac:dyDescent="0.25">
      <c r="A155" s="559" t="s">
        <v>252</v>
      </c>
      <c r="B155" s="555"/>
      <c r="C155" s="555"/>
      <c r="D155" s="555"/>
      <c r="E155" s="555"/>
      <c r="F155" s="555"/>
      <c r="G155" s="555"/>
      <c r="H155" s="555"/>
      <c r="I155" s="555"/>
      <c r="J155" s="555"/>
      <c r="K155" s="555"/>
      <c r="L155" s="555"/>
      <c r="M155" s="555"/>
      <c r="N155" s="555"/>
      <c r="O155" s="555"/>
      <c r="P155" s="555"/>
      <c r="Q155" s="555"/>
      <c r="R155" s="555"/>
      <c r="S155" s="555"/>
      <c r="T155" s="555"/>
      <c r="U155" s="555"/>
      <c r="V155" s="555"/>
      <c r="W155" s="555"/>
      <c r="X155" s="555"/>
      <c r="Y155" s="555"/>
      <c r="Z155" s="555"/>
      <c r="AA155" s="536"/>
      <c r="AB155" s="536"/>
      <c r="AC155" s="536"/>
    </row>
    <row r="156" spans="1:68" ht="14.25" customHeight="1" x14ac:dyDescent="0.25">
      <c r="A156" s="558" t="s">
        <v>136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7"/>
      <c r="AB156" s="537"/>
      <c r="AC156" s="537"/>
    </row>
    <row r="157" spans="1:68" ht="27" customHeight="1" x14ac:dyDescent="0.25">
      <c r="A157" s="54" t="s">
        <v>253</v>
      </c>
      <c r="B157" s="54" t="s">
        <v>254</v>
      </c>
      <c r="C157" s="31">
        <v>4301020323</v>
      </c>
      <c r="D157" s="548">
        <v>4680115886223</v>
      </c>
      <c r="E157" s="549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7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6"/>
      <c r="R157" s="546"/>
      <c r="S157" s="546"/>
      <c r="T157" s="547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255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54"/>
      <c r="B158" s="555"/>
      <c r="C158" s="555"/>
      <c r="D158" s="555"/>
      <c r="E158" s="555"/>
      <c r="F158" s="555"/>
      <c r="G158" s="555"/>
      <c r="H158" s="555"/>
      <c r="I158" s="555"/>
      <c r="J158" s="555"/>
      <c r="K158" s="555"/>
      <c r="L158" s="555"/>
      <c r="M158" s="555"/>
      <c r="N158" s="555"/>
      <c r="O158" s="556"/>
      <c r="P158" s="562" t="s">
        <v>71</v>
      </c>
      <c r="Q158" s="563"/>
      <c r="R158" s="563"/>
      <c r="S158" s="563"/>
      <c r="T158" s="563"/>
      <c r="U158" s="563"/>
      <c r="V158" s="564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x14ac:dyDescent="0.2">
      <c r="A159" s="555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2" t="s">
        <v>71</v>
      </c>
      <c r="Q159" s="563"/>
      <c r="R159" s="563"/>
      <c r="S159" s="563"/>
      <c r="T159" s="563"/>
      <c r="U159" s="563"/>
      <c r="V159" s="564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customHeight="1" x14ac:dyDescent="0.25">
      <c r="A160" s="558" t="s">
        <v>64</v>
      </c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5"/>
      <c r="P160" s="555"/>
      <c r="Q160" s="555"/>
      <c r="R160" s="555"/>
      <c r="S160" s="555"/>
      <c r="T160" s="555"/>
      <c r="U160" s="555"/>
      <c r="V160" s="555"/>
      <c r="W160" s="555"/>
      <c r="X160" s="555"/>
      <c r="Y160" s="555"/>
      <c r="Z160" s="555"/>
      <c r="AA160" s="537"/>
      <c r="AB160" s="537"/>
      <c r="AC160" s="537"/>
    </row>
    <row r="161" spans="1:68" ht="27" customHeight="1" x14ac:dyDescent="0.25">
      <c r="A161" s="54" t="s">
        <v>256</v>
      </c>
      <c r="B161" s="54" t="s">
        <v>257</v>
      </c>
      <c r="C161" s="31">
        <v>4301031191</v>
      </c>
      <c r="D161" s="548">
        <v>4680115880993</v>
      </c>
      <c r="E161" s="549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110</v>
      </c>
      <c r="L161" s="32" t="s">
        <v>111</v>
      </c>
      <c r="M161" s="33" t="s">
        <v>68</v>
      </c>
      <c r="N161" s="33"/>
      <c r="O161" s="32">
        <v>40</v>
      </c>
      <c r="P161" s="7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6"/>
      <c r="R161" s="546"/>
      <c r="S161" s="546"/>
      <c r="T161" s="547"/>
      <c r="U161" s="34"/>
      <c r="V161" s="34"/>
      <c r="W161" s="35" t="s">
        <v>69</v>
      </c>
      <c r="X161" s="541">
        <v>0</v>
      </c>
      <c r="Y161" s="542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258</v>
      </c>
      <c r="AG161" s="64"/>
      <c r="AJ161" s="68" t="s">
        <v>80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customHeight="1" x14ac:dyDescent="0.25">
      <c r="A162" s="54" t="s">
        <v>259</v>
      </c>
      <c r="B162" s="54" t="s">
        <v>260</v>
      </c>
      <c r="C162" s="31">
        <v>4301031204</v>
      </c>
      <c r="D162" s="548">
        <v>4680115881761</v>
      </c>
      <c r="E162" s="549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110</v>
      </c>
      <c r="L162" s="32"/>
      <c r="M162" s="33" t="s">
        <v>68</v>
      </c>
      <c r="N162" s="33"/>
      <c r="O162" s="32">
        <v>40</v>
      </c>
      <c r="P162" s="76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20</v>
      </c>
      <c r="Y162" s="542">
        <f t="shared" si="5"/>
        <v>21</v>
      </c>
      <c r="Z162" s="36">
        <f>IFERROR(IF(Y162=0,"",ROUNDUP(Y162/H162,0)*0.00902),"")</f>
        <v>4.5100000000000001E-2</v>
      </c>
      <c r="AA162" s="56"/>
      <c r="AB162" s="57"/>
      <c r="AC162" s="193" t="s">
        <v>261</v>
      </c>
      <c r="AG162" s="64"/>
      <c r="AJ162" s="68"/>
      <c r="AK162" s="68">
        <v>0</v>
      </c>
      <c r="BB162" s="194" t="s">
        <v>1</v>
      </c>
      <c r="BM162" s="64">
        <f t="shared" si="6"/>
        <v>21.19047619047619</v>
      </c>
      <c r="BN162" s="64">
        <f t="shared" si="7"/>
        <v>22.25</v>
      </c>
      <c r="BO162" s="64">
        <f t="shared" si="8"/>
        <v>3.6075036075036072E-2</v>
      </c>
      <c r="BP162" s="64">
        <f t="shared" si="9"/>
        <v>3.787878787878788E-2</v>
      </c>
    </row>
    <row r="163" spans="1:68" ht="27" customHeight="1" x14ac:dyDescent="0.25">
      <c r="A163" s="54" t="s">
        <v>262</v>
      </c>
      <c r="B163" s="54" t="s">
        <v>263</v>
      </c>
      <c r="C163" s="31">
        <v>4301031201</v>
      </c>
      <c r="D163" s="548">
        <v>4680115881563</v>
      </c>
      <c r="E163" s="549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69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20</v>
      </c>
      <c r="Y163" s="542">
        <f t="shared" si="5"/>
        <v>21</v>
      </c>
      <c r="Z163" s="36">
        <f>IFERROR(IF(Y163=0,"",ROUNDUP(Y163/H163,0)*0.00902),"")</f>
        <v>4.5100000000000001E-2</v>
      </c>
      <c r="AA163" s="56"/>
      <c r="AB163" s="57"/>
      <c r="AC163" s="195" t="s">
        <v>264</v>
      </c>
      <c r="AG163" s="64"/>
      <c r="AJ163" s="68" t="s">
        <v>80</v>
      </c>
      <c r="AK163" s="68">
        <v>50.4</v>
      </c>
      <c r="BB163" s="196" t="s">
        <v>1</v>
      </c>
      <c r="BM163" s="64">
        <f t="shared" si="6"/>
        <v>20.904761904761902</v>
      </c>
      <c r="BN163" s="64">
        <f t="shared" si="7"/>
        <v>21.95</v>
      </c>
      <c r="BO163" s="64">
        <f t="shared" si="8"/>
        <v>3.6075036075036072E-2</v>
      </c>
      <c r="BP163" s="64">
        <f t="shared" si="9"/>
        <v>3.787878787878788E-2</v>
      </c>
    </row>
    <row r="164" spans="1:68" ht="27" customHeight="1" x14ac:dyDescent="0.25">
      <c r="A164" s="54" t="s">
        <v>265</v>
      </c>
      <c r="B164" s="54" t="s">
        <v>266</v>
      </c>
      <c r="C164" s="31">
        <v>4301031199</v>
      </c>
      <c r="D164" s="548">
        <v>4680115880986</v>
      </c>
      <c r="E164" s="549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/>
      <c r="M164" s="33" t="s">
        <v>68</v>
      </c>
      <c r="N164" s="33"/>
      <c r="O164" s="32">
        <v>40</v>
      </c>
      <c r="P164" s="77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258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267</v>
      </c>
      <c r="B165" s="54" t="s">
        <v>268</v>
      </c>
      <c r="C165" s="31">
        <v>4301031443</v>
      </c>
      <c r="D165" s="548">
        <v>4680115887213</v>
      </c>
      <c r="E165" s="549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7" t="s">
        <v>269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4301031205</v>
      </c>
      <c r="D166" s="548">
        <v>4680115881785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273</v>
      </c>
      <c r="M166" s="33" t="s">
        <v>68</v>
      </c>
      <c r="N166" s="33"/>
      <c r="O166" s="32">
        <v>40</v>
      </c>
      <c r="P166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261</v>
      </c>
      <c r="AG166" s="64"/>
      <c r="AJ166" s="68" t="s">
        <v>80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4301031399</v>
      </c>
      <c r="D167" s="548">
        <v>4680115886537</v>
      </c>
      <c r="E167" s="549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4301031202</v>
      </c>
      <c r="D168" s="548">
        <v>4680115881679</v>
      </c>
      <c r="E168" s="549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273</v>
      </c>
      <c r="M168" s="33" t="s">
        <v>68</v>
      </c>
      <c r="N168" s="33"/>
      <c r="O168" s="32">
        <v>40</v>
      </c>
      <c r="P168" s="6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264</v>
      </c>
      <c r="AG168" s="64"/>
      <c r="AJ168" s="68" t="s">
        <v>80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279</v>
      </c>
      <c r="B169" s="54" t="s">
        <v>280</v>
      </c>
      <c r="C169" s="31">
        <v>4301031158</v>
      </c>
      <c r="D169" s="548">
        <v>4680115880191</v>
      </c>
      <c r="E169" s="549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264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4301031245</v>
      </c>
      <c r="D170" s="548">
        <v>4680115883963</v>
      </c>
      <c r="E170" s="549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4"/>
      <c r="B171" s="555"/>
      <c r="C171" s="555"/>
      <c r="D171" s="555"/>
      <c r="E171" s="555"/>
      <c r="F171" s="555"/>
      <c r="G171" s="555"/>
      <c r="H171" s="555"/>
      <c r="I171" s="555"/>
      <c r="J171" s="555"/>
      <c r="K171" s="555"/>
      <c r="L171" s="555"/>
      <c r="M171" s="555"/>
      <c r="N171" s="555"/>
      <c r="O171" s="556"/>
      <c r="P171" s="562" t="s">
        <v>71</v>
      </c>
      <c r="Q171" s="563"/>
      <c r="R171" s="563"/>
      <c r="S171" s="563"/>
      <c r="T171" s="563"/>
      <c r="U171" s="563"/>
      <c r="V171" s="564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9.5238095238095237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10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9.0200000000000002E-2</v>
      </c>
      <c r="AA171" s="544"/>
      <c r="AB171" s="544"/>
      <c r="AC171" s="544"/>
    </row>
    <row r="172" spans="1:68" x14ac:dyDescent="0.2">
      <c r="A172" s="555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2" t="s">
        <v>71</v>
      </c>
      <c r="Q172" s="563"/>
      <c r="R172" s="563"/>
      <c r="S172" s="563"/>
      <c r="T172" s="563"/>
      <c r="U172" s="563"/>
      <c r="V172" s="564"/>
      <c r="W172" s="37" t="s">
        <v>69</v>
      </c>
      <c r="X172" s="543">
        <f>IFERROR(SUM(X161:X170),"0")</f>
        <v>40</v>
      </c>
      <c r="Y172" s="543">
        <f>IFERROR(SUM(Y161:Y170),"0")</f>
        <v>42</v>
      </c>
      <c r="Z172" s="37"/>
      <c r="AA172" s="544"/>
      <c r="AB172" s="544"/>
      <c r="AC172" s="544"/>
    </row>
    <row r="173" spans="1:68" ht="14.25" customHeight="1" x14ac:dyDescent="0.25">
      <c r="A173" s="558" t="s">
        <v>93</v>
      </c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5"/>
      <c r="P173" s="555"/>
      <c r="Q173" s="555"/>
      <c r="R173" s="555"/>
      <c r="S173" s="555"/>
      <c r="T173" s="555"/>
      <c r="U173" s="555"/>
      <c r="V173" s="555"/>
      <c r="W173" s="555"/>
      <c r="X173" s="555"/>
      <c r="Y173" s="555"/>
      <c r="Z173" s="555"/>
      <c r="AA173" s="537"/>
      <c r="AB173" s="537"/>
      <c r="AC173" s="537"/>
    </row>
    <row r="174" spans="1:68" ht="27" customHeight="1" x14ac:dyDescent="0.25">
      <c r="A174" s="54" t="s">
        <v>284</v>
      </c>
      <c r="B174" s="54" t="s">
        <v>285</v>
      </c>
      <c r="C174" s="31">
        <v>4301032053</v>
      </c>
      <c r="D174" s="548">
        <v>4680115886780</v>
      </c>
      <c r="E174" s="549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6"/>
      <c r="R174" s="546"/>
      <c r="S174" s="546"/>
      <c r="T174" s="547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289</v>
      </c>
      <c r="B175" s="54" t="s">
        <v>290</v>
      </c>
      <c r="C175" s="31">
        <v>4301032051</v>
      </c>
      <c r="D175" s="548">
        <v>4680115886742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6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292</v>
      </c>
      <c r="B176" s="54" t="s">
        <v>293</v>
      </c>
      <c r="C176" s="31">
        <v>4301032052</v>
      </c>
      <c r="D176" s="548">
        <v>4680115886766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79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54"/>
      <c r="B177" s="555"/>
      <c r="C177" s="555"/>
      <c r="D177" s="555"/>
      <c r="E177" s="555"/>
      <c r="F177" s="555"/>
      <c r="G177" s="555"/>
      <c r="H177" s="555"/>
      <c r="I177" s="555"/>
      <c r="J177" s="555"/>
      <c r="K177" s="555"/>
      <c r="L177" s="555"/>
      <c r="M177" s="555"/>
      <c r="N177" s="555"/>
      <c r="O177" s="556"/>
      <c r="P177" s="562" t="s">
        <v>71</v>
      </c>
      <c r="Q177" s="563"/>
      <c r="R177" s="563"/>
      <c r="S177" s="563"/>
      <c r="T177" s="563"/>
      <c r="U177" s="563"/>
      <c r="V177" s="564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x14ac:dyDescent="0.2">
      <c r="A178" s="555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2" t="s">
        <v>71</v>
      </c>
      <c r="Q178" s="563"/>
      <c r="R178" s="563"/>
      <c r="S178" s="563"/>
      <c r="T178" s="563"/>
      <c r="U178" s="563"/>
      <c r="V178" s="564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customHeight="1" x14ac:dyDescent="0.25">
      <c r="A179" s="558" t="s">
        <v>294</v>
      </c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5"/>
      <c r="P179" s="555"/>
      <c r="Q179" s="555"/>
      <c r="R179" s="555"/>
      <c r="S179" s="555"/>
      <c r="T179" s="555"/>
      <c r="U179" s="555"/>
      <c r="V179" s="555"/>
      <c r="W179" s="555"/>
      <c r="X179" s="555"/>
      <c r="Y179" s="555"/>
      <c r="Z179" s="555"/>
      <c r="AA179" s="537"/>
      <c r="AB179" s="537"/>
      <c r="AC179" s="537"/>
    </row>
    <row r="180" spans="1:68" ht="27" customHeight="1" x14ac:dyDescent="0.25">
      <c r="A180" s="54" t="s">
        <v>295</v>
      </c>
      <c r="B180" s="54" t="s">
        <v>296</v>
      </c>
      <c r="C180" s="31">
        <v>4301170013</v>
      </c>
      <c r="D180" s="548">
        <v>4680115886797</v>
      </c>
      <c r="E180" s="549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5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6"/>
      <c r="R180" s="546"/>
      <c r="S180" s="546"/>
      <c r="T180" s="547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54"/>
      <c r="B181" s="555"/>
      <c r="C181" s="555"/>
      <c r="D181" s="555"/>
      <c r="E181" s="555"/>
      <c r="F181" s="555"/>
      <c r="G181" s="555"/>
      <c r="H181" s="555"/>
      <c r="I181" s="555"/>
      <c r="J181" s="555"/>
      <c r="K181" s="555"/>
      <c r="L181" s="555"/>
      <c r="M181" s="555"/>
      <c r="N181" s="555"/>
      <c r="O181" s="556"/>
      <c r="P181" s="562" t="s">
        <v>71</v>
      </c>
      <c r="Q181" s="563"/>
      <c r="R181" s="563"/>
      <c r="S181" s="563"/>
      <c r="T181" s="563"/>
      <c r="U181" s="563"/>
      <c r="V181" s="564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x14ac:dyDescent="0.2">
      <c r="A182" s="555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2" t="s">
        <v>71</v>
      </c>
      <c r="Q182" s="563"/>
      <c r="R182" s="563"/>
      <c r="S182" s="563"/>
      <c r="T182" s="563"/>
      <c r="U182" s="563"/>
      <c r="V182" s="564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customHeight="1" x14ac:dyDescent="0.25">
      <c r="A183" s="559" t="s">
        <v>297</v>
      </c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5"/>
      <c r="P183" s="555"/>
      <c r="Q183" s="555"/>
      <c r="R183" s="555"/>
      <c r="S183" s="555"/>
      <c r="T183" s="555"/>
      <c r="U183" s="555"/>
      <c r="V183" s="555"/>
      <c r="W183" s="555"/>
      <c r="X183" s="555"/>
      <c r="Y183" s="555"/>
      <c r="Z183" s="555"/>
      <c r="AA183" s="536"/>
      <c r="AB183" s="536"/>
      <c r="AC183" s="536"/>
    </row>
    <row r="184" spans="1:68" ht="14.25" customHeight="1" x14ac:dyDescent="0.25">
      <c r="A184" s="558" t="s">
        <v>101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7"/>
      <c r="AB184" s="537"/>
      <c r="AC184" s="537"/>
    </row>
    <row r="185" spans="1:68" ht="16.5" customHeight="1" x14ac:dyDescent="0.25">
      <c r="A185" s="54" t="s">
        <v>298</v>
      </c>
      <c r="B185" s="54" t="s">
        <v>299</v>
      </c>
      <c r="C185" s="31">
        <v>4301011450</v>
      </c>
      <c r="D185" s="548">
        <v>4680115881402</v>
      </c>
      <c r="E185" s="549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69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6"/>
      <c r="R185" s="546"/>
      <c r="S185" s="546"/>
      <c r="T185" s="547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301</v>
      </c>
      <c r="B186" s="54" t="s">
        <v>302</v>
      </c>
      <c r="C186" s="31">
        <v>4301011768</v>
      </c>
      <c r="D186" s="548">
        <v>4680115881396</v>
      </c>
      <c r="E186" s="549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/>
      <c r="M186" s="33" t="s">
        <v>106</v>
      </c>
      <c r="N186" s="33"/>
      <c r="O186" s="32">
        <v>55</v>
      </c>
      <c r="P186" s="82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54"/>
      <c r="B187" s="555"/>
      <c r="C187" s="555"/>
      <c r="D187" s="555"/>
      <c r="E187" s="555"/>
      <c r="F187" s="555"/>
      <c r="G187" s="555"/>
      <c r="H187" s="555"/>
      <c r="I187" s="555"/>
      <c r="J187" s="555"/>
      <c r="K187" s="555"/>
      <c r="L187" s="555"/>
      <c r="M187" s="555"/>
      <c r="N187" s="555"/>
      <c r="O187" s="556"/>
      <c r="P187" s="562" t="s">
        <v>71</v>
      </c>
      <c r="Q187" s="563"/>
      <c r="R187" s="563"/>
      <c r="S187" s="563"/>
      <c r="T187" s="563"/>
      <c r="U187" s="563"/>
      <c r="V187" s="564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x14ac:dyDescent="0.2">
      <c r="A188" s="555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2" t="s">
        <v>71</v>
      </c>
      <c r="Q188" s="563"/>
      <c r="R188" s="563"/>
      <c r="S188" s="563"/>
      <c r="T188" s="563"/>
      <c r="U188" s="563"/>
      <c r="V188" s="564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customHeight="1" x14ac:dyDescent="0.25">
      <c r="A189" s="558" t="s">
        <v>136</v>
      </c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5"/>
      <c r="P189" s="555"/>
      <c r="Q189" s="555"/>
      <c r="R189" s="555"/>
      <c r="S189" s="555"/>
      <c r="T189" s="555"/>
      <c r="U189" s="555"/>
      <c r="V189" s="555"/>
      <c r="W189" s="555"/>
      <c r="X189" s="555"/>
      <c r="Y189" s="555"/>
      <c r="Z189" s="555"/>
      <c r="AA189" s="537"/>
      <c r="AB189" s="537"/>
      <c r="AC189" s="537"/>
    </row>
    <row r="190" spans="1:68" ht="16.5" customHeight="1" x14ac:dyDescent="0.25">
      <c r="A190" s="54" t="s">
        <v>303</v>
      </c>
      <c r="B190" s="54" t="s">
        <v>304</v>
      </c>
      <c r="C190" s="31">
        <v>4301020261</v>
      </c>
      <c r="D190" s="548">
        <v>4680115882935</v>
      </c>
      <c r="E190" s="549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77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6"/>
      <c r="R190" s="546"/>
      <c r="S190" s="546"/>
      <c r="T190" s="547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306</v>
      </c>
      <c r="B191" s="54" t="s">
        <v>307</v>
      </c>
      <c r="C191" s="31">
        <v>4301020220</v>
      </c>
      <c r="D191" s="548">
        <v>4680115880764</v>
      </c>
      <c r="E191" s="549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81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54"/>
      <c r="B192" s="555"/>
      <c r="C192" s="555"/>
      <c r="D192" s="555"/>
      <c r="E192" s="555"/>
      <c r="F192" s="555"/>
      <c r="G192" s="555"/>
      <c r="H192" s="555"/>
      <c r="I192" s="555"/>
      <c r="J192" s="555"/>
      <c r="K192" s="555"/>
      <c r="L192" s="555"/>
      <c r="M192" s="555"/>
      <c r="N192" s="555"/>
      <c r="O192" s="556"/>
      <c r="P192" s="562" t="s">
        <v>71</v>
      </c>
      <c r="Q192" s="563"/>
      <c r="R192" s="563"/>
      <c r="S192" s="563"/>
      <c r="T192" s="563"/>
      <c r="U192" s="563"/>
      <c r="V192" s="564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x14ac:dyDescent="0.2">
      <c r="A193" s="555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2" t="s">
        <v>71</v>
      </c>
      <c r="Q193" s="563"/>
      <c r="R193" s="563"/>
      <c r="S193" s="563"/>
      <c r="T193" s="563"/>
      <c r="U193" s="563"/>
      <c r="V193" s="564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customHeight="1" x14ac:dyDescent="0.25">
      <c r="A194" s="558" t="s">
        <v>64</v>
      </c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5"/>
      <c r="P194" s="555"/>
      <c r="Q194" s="555"/>
      <c r="R194" s="555"/>
      <c r="S194" s="555"/>
      <c r="T194" s="555"/>
      <c r="U194" s="555"/>
      <c r="V194" s="555"/>
      <c r="W194" s="555"/>
      <c r="X194" s="555"/>
      <c r="Y194" s="555"/>
      <c r="Z194" s="555"/>
      <c r="AA194" s="537"/>
      <c r="AB194" s="537"/>
      <c r="AC194" s="537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48">
        <v>4680115882683</v>
      </c>
      <c r="E195" s="549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110</v>
      </c>
      <c r="L195" s="32" t="s">
        <v>111</v>
      </c>
      <c r="M195" s="33" t="s">
        <v>68</v>
      </c>
      <c r="N195" s="33"/>
      <c r="O195" s="32">
        <v>40</v>
      </c>
      <c r="P195" s="6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6"/>
      <c r="R195" s="546"/>
      <c r="S195" s="546"/>
      <c r="T195" s="547"/>
      <c r="U195" s="34"/>
      <c r="V195" s="34"/>
      <c r="W195" s="35" t="s">
        <v>69</v>
      </c>
      <c r="X195" s="541">
        <v>60</v>
      </c>
      <c r="Y195" s="542">
        <f t="shared" ref="Y195:Y202" si="10">IFERROR(IF(X195="",0,CEILING((X195/$H195),1)*$H195),"")</f>
        <v>64.800000000000011</v>
      </c>
      <c r="Z195" s="36">
        <f>IFERROR(IF(Y195=0,"",ROUNDUP(Y195/H195,0)*0.00902),"")</f>
        <v>0.10824</v>
      </c>
      <c r="AA195" s="56"/>
      <c r="AB195" s="57"/>
      <c r="AC195" s="227" t="s">
        <v>310</v>
      </c>
      <c r="AG195" s="64"/>
      <c r="AJ195" s="68" t="s">
        <v>80</v>
      </c>
      <c r="AK195" s="68">
        <v>64.8</v>
      </c>
      <c r="BB195" s="228" t="s">
        <v>1</v>
      </c>
      <c r="BM195" s="64">
        <f t="shared" ref="BM195:BM202" si="11">IFERROR(X195*I195/H195,"0")</f>
        <v>62.1111111111111</v>
      </c>
      <c r="BN195" s="64">
        <f t="shared" ref="BN195:BN202" si="12">IFERROR(Y195*I195/H195,"0")</f>
        <v>67.08</v>
      </c>
      <c r="BO195" s="64">
        <f t="shared" ref="BO195:BO202" si="13">IFERROR(1/J195*(X195/H195),"0")</f>
        <v>8.4175084175084181E-2</v>
      </c>
      <c r="BP195" s="64">
        <f t="shared" ref="BP195:BP202" si="14">IFERROR(1/J195*(Y195/H195),"0")</f>
        <v>9.0909090909090925E-2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48">
        <v>4680115882690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30</v>
      </c>
      <c r="Y196" s="542">
        <f t="shared" si="10"/>
        <v>32.400000000000006</v>
      </c>
      <c r="Z196" s="36">
        <f>IFERROR(IF(Y196=0,"",ROUNDUP(Y196/H196,0)*0.00902),"")</f>
        <v>5.4120000000000001E-2</v>
      </c>
      <c r="AA196" s="56"/>
      <c r="AB196" s="57"/>
      <c r="AC196" s="229" t="s">
        <v>313</v>
      </c>
      <c r="AG196" s="64"/>
      <c r="AJ196" s="68" t="s">
        <v>80</v>
      </c>
      <c r="AK196" s="68">
        <v>64.8</v>
      </c>
      <c r="BB196" s="230" t="s">
        <v>1</v>
      </c>
      <c r="BM196" s="64">
        <f t="shared" si="11"/>
        <v>31.05555555555555</v>
      </c>
      <c r="BN196" s="64">
        <f t="shared" si="12"/>
        <v>33.54</v>
      </c>
      <c r="BO196" s="64">
        <f t="shared" si="13"/>
        <v>4.208754208754209E-2</v>
      </c>
      <c r="BP196" s="64">
        <f t="shared" si="14"/>
        <v>4.5454545454545463E-2</v>
      </c>
    </row>
    <row r="197" spans="1:68" ht="27" customHeight="1" x14ac:dyDescent="0.25">
      <c r="A197" s="54" t="s">
        <v>314</v>
      </c>
      <c r="B197" s="54" t="s">
        <v>315</v>
      </c>
      <c r="C197" s="31">
        <v>4301031220</v>
      </c>
      <c r="D197" s="548">
        <v>4680115882669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7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50</v>
      </c>
      <c r="Y197" s="542">
        <f t="shared" si="10"/>
        <v>54</v>
      </c>
      <c r="Z197" s="36">
        <f>IFERROR(IF(Y197=0,"",ROUNDUP(Y197/H197,0)*0.00902),"")</f>
        <v>9.0200000000000002E-2</v>
      </c>
      <c r="AA197" s="56"/>
      <c r="AB197" s="57"/>
      <c r="AC197" s="231" t="s">
        <v>316</v>
      </c>
      <c r="AG197" s="64"/>
      <c r="AJ197" s="68" t="s">
        <v>80</v>
      </c>
      <c r="AK197" s="68">
        <v>64.8</v>
      </c>
      <c r="BB197" s="232" t="s">
        <v>1</v>
      </c>
      <c r="BM197" s="64">
        <f t="shared" si="11"/>
        <v>51.759259259259252</v>
      </c>
      <c r="BN197" s="64">
        <f t="shared" si="12"/>
        <v>55.9</v>
      </c>
      <c r="BO197" s="64">
        <f t="shared" si="13"/>
        <v>7.0145903479236812E-2</v>
      </c>
      <c r="BP197" s="64">
        <f t="shared" si="14"/>
        <v>7.575757575757576E-2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48">
        <v>4680115882676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1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50</v>
      </c>
      <c r="Y198" s="542">
        <f t="shared" si="10"/>
        <v>54</v>
      </c>
      <c r="Z198" s="36">
        <f>IFERROR(IF(Y198=0,"",ROUNDUP(Y198/H198,0)*0.00902),"")</f>
        <v>9.0200000000000002E-2</v>
      </c>
      <c r="AA198" s="56"/>
      <c r="AB198" s="57"/>
      <c r="AC198" s="233" t="s">
        <v>319</v>
      </c>
      <c r="AG198" s="64"/>
      <c r="AJ198" s="68" t="s">
        <v>80</v>
      </c>
      <c r="AK198" s="68">
        <v>64.8</v>
      </c>
      <c r="BB198" s="234" t="s">
        <v>1</v>
      </c>
      <c r="BM198" s="64">
        <f t="shared" si="11"/>
        <v>51.759259259259252</v>
      </c>
      <c r="BN198" s="64">
        <f t="shared" si="12"/>
        <v>55.9</v>
      </c>
      <c r="BO198" s="64">
        <f t="shared" si="13"/>
        <v>7.0145903479236812E-2</v>
      </c>
      <c r="BP198" s="64">
        <f t="shared" si="14"/>
        <v>7.575757575757576E-2</v>
      </c>
    </row>
    <row r="199" spans="1:68" ht="27" customHeight="1" x14ac:dyDescent="0.25">
      <c r="A199" s="54" t="s">
        <v>320</v>
      </c>
      <c r="B199" s="54" t="s">
        <v>321</v>
      </c>
      <c r="C199" s="31">
        <v>4301031223</v>
      </c>
      <c r="D199" s="548">
        <v>4680115884014</v>
      </c>
      <c r="E199" s="549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/>
      <c r="M199" s="33" t="s">
        <v>68</v>
      </c>
      <c r="N199" s="33"/>
      <c r="O199" s="32">
        <v>40</v>
      </c>
      <c r="P199" s="8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/>
      <c r="AK199" s="68">
        <v>0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322</v>
      </c>
      <c r="B200" s="54" t="s">
        <v>323</v>
      </c>
      <c r="C200" s="31">
        <v>4301031222</v>
      </c>
      <c r="D200" s="548">
        <v>4680115884007</v>
      </c>
      <c r="E200" s="549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273</v>
      </c>
      <c r="M200" s="33" t="s">
        <v>68</v>
      </c>
      <c r="N200" s="33"/>
      <c r="O200" s="32">
        <v>40</v>
      </c>
      <c r="P200" s="8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313</v>
      </c>
      <c r="AG200" s="64"/>
      <c r="AJ200" s="68" t="s">
        <v>80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324</v>
      </c>
      <c r="B201" s="54" t="s">
        <v>325</v>
      </c>
      <c r="C201" s="31">
        <v>4301031229</v>
      </c>
      <c r="D201" s="548">
        <v>4680115884038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273</v>
      </c>
      <c r="M201" s="33" t="s">
        <v>68</v>
      </c>
      <c r="N201" s="33"/>
      <c r="O201" s="32">
        <v>40</v>
      </c>
      <c r="P201" s="79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 t="s">
        <v>80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4301031225</v>
      </c>
      <c r="D202" s="548">
        <v>4680115884021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273</v>
      </c>
      <c r="M202" s="33" t="s">
        <v>68</v>
      </c>
      <c r="N202" s="33"/>
      <c r="O202" s="32">
        <v>40</v>
      </c>
      <c r="P202" s="86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 t="s">
        <v>80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4"/>
      <c r="B203" s="555"/>
      <c r="C203" s="555"/>
      <c r="D203" s="555"/>
      <c r="E203" s="555"/>
      <c r="F203" s="555"/>
      <c r="G203" s="555"/>
      <c r="H203" s="555"/>
      <c r="I203" s="555"/>
      <c r="J203" s="555"/>
      <c r="K203" s="555"/>
      <c r="L203" s="555"/>
      <c r="M203" s="555"/>
      <c r="N203" s="555"/>
      <c r="O203" s="556"/>
      <c r="P203" s="562" t="s">
        <v>71</v>
      </c>
      <c r="Q203" s="563"/>
      <c r="R203" s="563"/>
      <c r="S203" s="563"/>
      <c r="T203" s="563"/>
      <c r="U203" s="563"/>
      <c r="V203" s="564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35.185185185185183</v>
      </c>
      <c r="Y203" s="543">
        <f>IFERROR(Y195/H195,"0")+IFERROR(Y196/H196,"0")+IFERROR(Y197/H197,"0")+IFERROR(Y198/H198,"0")+IFERROR(Y199/H199,"0")+IFERROR(Y200/H200,"0")+IFERROR(Y201/H201,"0")+IFERROR(Y202/H202,"0")</f>
        <v>38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0.34276000000000001</v>
      </c>
      <c r="AA203" s="544"/>
      <c r="AB203" s="544"/>
      <c r="AC203" s="544"/>
    </row>
    <row r="204" spans="1:68" x14ac:dyDescent="0.2">
      <c r="A204" s="555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2" t="s">
        <v>71</v>
      </c>
      <c r="Q204" s="563"/>
      <c r="R204" s="563"/>
      <c r="S204" s="563"/>
      <c r="T204" s="563"/>
      <c r="U204" s="563"/>
      <c r="V204" s="564"/>
      <c r="W204" s="37" t="s">
        <v>69</v>
      </c>
      <c r="X204" s="543">
        <f>IFERROR(SUM(X195:X202),"0")</f>
        <v>190</v>
      </c>
      <c r="Y204" s="543">
        <f>IFERROR(SUM(Y195:Y202),"0")</f>
        <v>205.20000000000002</v>
      </c>
      <c r="Z204" s="37"/>
      <c r="AA204" s="544"/>
      <c r="AB204" s="544"/>
      <c r="AC204" s="544"/>
    </row>
    <row r="205" spans="1:68" ht="14.25" customHeight="1" x14ac:dyDescent="0.25">
      <c r="A205" s="558" t="s">
        <v>73</v>
      </c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5"/>
      <c r="P205" s="555"/>
      <c r="Q205" s="555"/>
      <c r="R205" s="555"/>
      <c r="S205" s="555"/>
      <c r="T205" s="555"/>
      <c r="U205" s="555"/>
      <c r="V205" s="555"/>
      <c r="W205" s="555"/>
      <c r="X205" s="555"/>
      <c r="Y205" s="555"/>
      <c r="Z205" s="555"/>
      <c r="AA205" s="537"/>
      <c r="AB205" s="537"/>
      <c r="AC205" s="537"/>
    </row>
    <row r="206" spans="1:68" ht="27" customHeight="1" x14ac:dyDescent="0.25">
      <c r="A206" s="54" t="s">
        <v>328</v>
      </c>
      <c r="B206" s="54" t="s">
        <v>329</v>
      </c>
      <c r="C206" s="31">
        <v>4301051408</v>
      </c>
      <c r="D206" s="548">
        <v>4680115881594</v>
      </c>
      <c r="E206" s="549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104</v>
      </c>
      <c r="L206" s="32"/>
      <c r="M206" s="33" t="s">
        <v>78</v>
      </c>
      <c r="N206" s="33"/>
      <c r="O206" s="32">
        <v>40</v>
      </c>
      <c r="P206" s="72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6"/>
      <c r="R206" s="546"/>
      <c r="S206" s="546"/>
      <c r="T206" s="547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331</v>
      </c>
      <c r="B207" s="54" t="s">
        <v>332</v>
      </c>
      <c r="C207" s="31">
        <v>4301051411</v>
      </c>
      <c r="D207" s="548">
        <v>4680115881617</v>
      </c>
      <c r="E207" s="549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104</v>
      </c>
      <c r="L207" s="32"/>
      <c r="M207" s="33" t="s">
        <v>78</v>
      </c>
      <c r="N207" s="33"/>
      <c r="O207" s="32">
        <v>40</v>
      </c>
      <c r="P207" s="73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4301051656</v>
      </c>
      <c r="D208" s="548">
        <v>4680115880573</v>
      </c>
      <c r="E208" s="549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104</v>
      </c>
      <c r="L208" s="32" t="s">
        <v>105</v>
      </c>
      <c r="M208" s="33" t="s">
        <v>78</v>
      </c>
      <c r="N208" s="33"/>
      <c r="O208" s="32">
        <v>45</v>
      </c>
      <c r="P208" s="68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336</v>
      </c>
      <c r="AG208" s="64"/>
      <c r="AJ208" s="68" t="s">
        <v>80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48">
        <v>4680115882195</v>
      </c>
      <c r="E209" s="549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77</v>
      </c>
      <c r="M209" s="33" t="s">
        <v>78</v>
      </c>
      <c r="N209" s="33"/>
      <c r="O209" s="32">
        <v>40</v>
      </c>
      <c r="P209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4.8000000000000007</v>
      </c>
      <c r="Y209" s="542">
        <f t="shared" si="15"/>
        <v>4.8</v>
      </c>
      <c r="Z209" s="36">
        <f t="shared" ref="Z209:Z214" si="20">IFERROR(IF(Y209=0,"",ROUNDUP(Y209/H209,0)*0.00651),"")</f>
        <v>1.302E-2</v>
      </c>
      <c r="AA209" s="56"/>
      <c r="AB209" s="57"/>
      <c r="AC209" s="249" t="s">
        <v>330</v>
      </c>
      <c r="AG209" s="64"/>
      <c r="AJ209" s="68" t="s">
        <v>80</v>
      </c>
      <c r="AK209" s="68">
        <v>33.6</v>
      </c>
      <c r="BB209" s="250" t="s">
        <v>1</v>
      </c>
      <c r="BM209" s="64">
        <f t="shared" si="16"/>
        <v>5.3400000000000007</v>
      </c>
      <c r="BN209" s="64">
        <f t="shared" si="17"/>
        <v>5.34</v>
      </c>
      <c r="BO209" s="64">
        <f t="shared" si="18"/>
        <v>1.0989010989010992E-2</v>
      </c>
      <c r="BP209" s="64">
        <f t="shared" si="19"/>
        <v>1.098901098901099E-2</v>
      </c>
    </row>
    <row r="210" spans="1:68" ht="27" customHeight="1" x14ac:dyDescent="0.25">
      <c r="A210" s="54" t="s">
        <v>339</v>
      </c>
      <c r="B210" s="54" t="s">
        <v>340</v>
      </c>
      <c r="C210" s="31">
        <v>4301051752</v>
      </c>
      <c r="D210" s="548">
        <v>4680115882607</v>
      </c>
      <c r="E210" s="549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/>
      <c r="M210" s="33" t="s">
        <v>86</v>
      </c>
      <c r="N210" s="33"/>
      <c r="O210" s="32">
        <v>45</v>
      </c>
      <c r="P210" s="68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336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341</v>
      </c>
      <c r="B211" s="54" t="s">
        <v>342</v>
      </c>
      <c r="C211" s="31">
        <v>4301051666</v>
      </c>
      <c r="D211" s="548">
        <v>4680115880092</v>
      </c>
      <c r="E211" s="549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77</v>
      </c>
      <c r="M211" s="33" t="s">
        <v>78</v>
      </c>
      <c r="N211" s="33"/>
      <c r="O211" s="32">
        <v>45</v>
      </c>
      <c r="P211" s="71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336</v>
      </c>
      <c r="AG211" s="64"/>
      <c r="AJ211" s="68" t="s">
        <v>80</v>
      </c>
      <c r="AK211" s="68">
        <v>33.6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343</v>
      </c>
      <c r="B212" s="54" t="s">
        <v>344</v>
      </c>
      <c r="C212" s="31">
        <v>4301051668</v>
      </c>
      <c r="D212" s="548">
        <v>4680115880221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/>
      <c r="M212" s="33" t="s">
        <v>78</v>
      </c>
      <c r="N212" s="33"/>
      <c r="O212" s="32">
        <v>45</v>
      </c>
      <c r="P212" s="74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336</v>
      </c>
      <c r="AG212" s="64"/>
      <c r="AJ212" s="68"/>
      <c r="AK212" s="68">
        <v>0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345</v>
      </c>
      <c r="B213" s="54" t="s">
        <v>346</v>
      </c>
      <c r="C213" s="31">
        <v>4301051945</v>
      </c>
      <c r="D213" s="548">
        <v>4680115880504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77</v>
      </c>
      <c r="M213" s="33" t="s">
        <v>86</v>
      </c>
      <c r="N213" s="33"/>
      <c r="O213" s="32">
        <v>40</v>
      </c>
      <c r="P213" s="5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347</v>
      </c>
      <c r="AG213" s="64"/>
      <c r="AJ213" s="68" t="s">
        <v>80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348</v>
      </c>
      <c r="B214" s="54" t="s">
        <v>349</v>
      </c>
      <c r="C214" s="31">
        <v>4301051410</v>
      </c>
      <c r="D214" s="548">
        <v>4680115882164</v>
      </c>
      <c r="E214" s="549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77</v>
      </c>
      <c r="M214" s="33" t="s">
        <v>78</v>
      </c>
      <c r="N214" s="33"/>
      <c r="O214" s="32">
        <v>40</v>
      </c>
      <c r="P214" s="79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333</v>
      </c>
      <c r="AG214" s="64"/>
      <c r="AJ214" s="68" t="s">
        <v>80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54"/>
      <c r="B215" s="555"/>
      <c r="C215" s="555"/>
      <c r="D215" s="555"/>
      <c r="E215" s="555"/>
      <c r="F215" s="555"/>
      <c r="G215" s="555"/>
      <c r="H215" s="555"/>
      <c r="I215" s="555"/>
      <c r="J215" s="555"/>
      <c r="K215" s="555"/>
      <c r="L215" s="555"/>
      <c r="M215" s="555"/>
      <c r="N215" s="555"/>
      <c r="O215" s="556"/>
      <c r="P215" s="562" t="s">
        <v>71</v>
      </c>
      <c r="Q215" s="563"/>
      <c r="R215" s="563"/>
      <c r="S215" s="563"/>
      <c r="T215" s="563"/>
      <c r="U215" s="563"/>
      <c r="V215" s="564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2.0000000000000004</v>
      </c>
      <c r="Y215" s="543">
        <f>IFERROR(Y206/H206,"0")+IFERROR(Y207/H207,"0")+IFERROR(Y208/H208,"0")+IFERROR(Y209/H209,"0")+IFERROR(Y210/H210,"0")+IFERROR(Y211/H211,"0")+IFERROR(Y212/H212,"0")+IFERROR(Y213/H213,"0")+IFERROR(Y214/H214,"0")</f>
        <v>2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1.302E-2</v>
      </c>
      <c r="AA215" s="544"/>
      <c r="AB215" s="544"/>
      <c r="AC215" s="544"/>
    </row>
    <row r="216" spans="1:68" x14ac:dyDescent="0.2">
      <c r="A216" s="555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2" t="s">
        <v>71</v>
      </c>
      <c r="Q216" s="563"/>
      <c r="R216" s="563"/>
      <c r="S216" s="563"/>
      <c r="T216" s="563"/>
      <c r="U216" s="563"/>
      <c r="V216" s="564"/>
      <c r="W216" s="37" t="s">
        <v>69</v>
      </c>
      <c r="X216" s="543">
        <f>IFERROR(SUM(X206:X214),"0")</f>
        <v>4.8000000000000007</v>
      </c>
      <c r="Y216" s="543">
        <f>IFERROR(SUM(Y206:Y214),"0")</f>
        <v>4.8</v>
      </c>
      <c r="Z216" s="37"/>
      <c r="AA216" s="544"/>
      <c r="AB216" s="544"/>
      <c r="AC216" s="544"/>
    </row>
    <row r="217" spans="1:68" ht="14.25" customHeight="1" x14ac:dyDescent="0.25">
      <c r="A217" s="558" t="s">
        <v>164</v>
      </c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5"/>
      <c r="P217" s="555"/>
      <c r="Q217" s="555"/>
      <c r="R217" s="555"/>
      <c r="S217" s="555"/>
      <c r="T217" s="555"/>
      <c r="U217" s="555"/>
      <c r="V217" s="555"/>
      <c r="W217" s="555"/>
      <c r="X217" s="555"/>
      <c r="Y217" s="555"/>
      <c r="Z217" s="555"/>
      <c r="AA217" s="537"/>
      <c r="AB217" s="537"/>
      <c r="AC217" s="537"/>
    </row>
    <row r="218" spans="1:68" ht="27" customHeight="1" x14ac:dyDescent="0.25">
      <c r="A218" s="54" t="s">
        <v>350</v>
      </c>
      <c r="B218" s="54" t="s">
        <v>351</v>
      </c>
      <c r="C218" s="31">
        <v>4301060463</v>
      </c>
      <c r="D218" s="548">
        <v>4680115880818</v>
      </c>
      <c r="E218" s="549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77</v>
      </c>
      <c r="M218" s="33" t="s">
        <v>86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6"/>
      <c r="R218" s="546"/>
      <c r="S218" s="546"/>
      <c r="T218" s="547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352</v>
      </c>
      <c r="AG218" s="64"/>
      <c r="AJ218" s="68" t="s">
        <v>80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353</v>
      </c>
      <c r="B219" s="54" t="s">
        <v>354</v>
      </c>
      <c r="C219" s="31">
        <v>4301060389</v>
      </c>
      <c r="D219" s="548">
        <v>4680115880801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 t="s">
        <v>77</v>
      </c>
      <c r="M219" s="33" t="s">
        <v>78</v>
      </c>
      <c r="N219" s="33"/>
      <c r="O219" s="32">
        <v>40</v>
      </c>
      <c r="P219" s="68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355</v>
      </c>
      <c r="AG219" s="64"/>
      <c r="AJ219" s="68" t="s">
        <v>80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54"/>
      <c r="B220" s="555"/>
      <c r="C220" s="555"/>
      <c r="D220" s="555"/>
      <c r="E220" s="555"/>
      <c r="F220" s="555"/>
      <c r="G220" s="555"/>
      <c r="H220" s="555"/>
      <c r="I220" s="555"/>
      <c r="J220" s="555"/>
      <c r="K220" s="555"/>
      <c r="L220" s="555"/>
      <c r="M220" s="555"/>
      <c r="N220" s="555"/>
      <c r="O220" s="556"/>
      <c r="P220" s="562" t="s">
        <v>71</v>
      </c>
      <c r="Q220" s="563"/>
      <c r="R220" s="563"/>
      <c r="S220" s="563"/>
      <c r="T220" s="563"/>
      <c r="U220" s="563"/>
      <c r="V220" s="564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x14ac:dyDescent="0.2">
      <c r="A221" s="555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2" t="s">
        <v>71</v>
      </c>
      <c r="Q221" s="563"/>
      <c r="R221" s="563"/>
      <c r="S221" s="563"/>
      <c r="T221" s="563"/>
      <c r="U221" s="563"/>
      <c r="V221" s="564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customHeight="1" x14ac:dyDescent="0.25">
      <c r="A222" s="559" t="s">
        <v>356</v>
      </c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5"/>
      <c r="P222" s="555"/>
      <c r="Q222" s="555"/>
      <c r="R222" s="555"/>
      <c r="S222" s="555"/>
      <c r="T222" s="555"/>
      <c r="U222" s="555"/>
      <c r="V222" s="555"/>
      <c r="W222" s="555"/>
      <c r="X222" s="555"/>
      <c r="Y222" s="555"/>
      <c r="Z222" s="555"/>
      <c r="AA222" s="536"/>
      <c r="AB222" s="536"/>
      <c r="AC222" s="536"/>
    </row>
    <row r="223" spans="1:68" ht="14.25" customHeight="1" x14ac:dyDescent="0.25">
      <c r="A223" s="558" t="s">
        <v>101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7"/>
      <c r="AB223" s="537"/>
      <c r="AC223" s="537"/>
    </row>
    <row r="224" spans="1:68" ht="27" customHeight="1" x14ac:dyDescent="0.25">
      <c r="A224" s="54" t="s">
        <v>357</v>
      </c>
      <c r="B224" s="54" t="s">
        <v>358</v>
      </c>
      <c r="C224" s="31">
        <v>4301011826</v>
      </c>
      <c r="D224" s="548">
        <v>4680115884137</v>
      </c>
      <c r="E224" s="549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1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6"/>
      <c r="R224" s="546"/>
      <c r="S224" s="546"/>
      <c r="T224" s="547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359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360</v>
      </c>
      <c r="B225" s="54" t="s">
        <v>361</v>
      </c>
      <c r="C225" s="31">
        <v>4301011724</v>
      </c>
      <c r="D225" s="548">
        <v>4680115884236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6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363</v>
      </c>
      <c r="B226" s="54" t="s">
        <v>364</v>
      </c>
      <c r="C226" s="31">
        <v>4301011721</v>
      </c>
      <c r="D226" s="548">
        <v>4680115884175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365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366</v>
      </c>
      <c r="B227" s="54" t="s">
        <v>367</v>
      </c>
      <c r="C227" s="31">
        <v>4301011824</v>
      </c>
      <c r="D227" s="548">
        <v>4680115884144</v>
      </c>
      <c r="E227" s="549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110</v>
      </c>
      <c r="L227" s="32"/>
      <c r="M227" s="33" t="s">
        <v>106</v>
      </c>
      <c r="N227" s="33"/>
      <c r="O227" s="32">
        <v>55</v>
      </c>
      <c r="P227" s="77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359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366</v>
      </c>
      <c r="B228" s="54" t="s">
        <v>368</v>
      </c>
      <c r="C228" s="31">
        <v>4301012196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84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359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369</v>
      </c>
      <c r="B229" s="54" t="s">
        <v>370</v>
      </c>
      <c r="C229" s="31">
        <v>4301012149</v>
      </c>
      <c r="D229" s="548">
        <v>4680115886551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2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372</v>
      </c>
      <c r="B230" s="54" t="s">
        <v>373</v>
      </c>
      <c r="C230" s="31">
        <v>4301011726</v>
      </c>
      <c r="D230" s="548">
        <v>4680115884182</v>
      </c>
      <c r="E230" s="549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2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362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374</v>
      </c>
      <c r="B231" s="54" t="s">
        <v>375</v>
      </c>
      <c r="C231" s="31">
        <v>4301012228</v>
      </c>
      <c r="D231" s="548">
        <v>4680115887282</v>
      </c>
      <c r="E231" s="549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362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376</v>
      </c>
      <c r="B232" s="54" t="s">
        <v>377</v>
      </c>
      <c r="C232" s="31">
        <v>4301011722</v>
      </c>
      <c r="D232" s="548">
        <v>4680115884205</v>
      </c>
      <c r="E232" s="549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110</v>
      </c>
      <c r="L232" s="32" t="s">
        <v>111</v>
      </c>
      <c r="M232" s="33" t="s">
        <v>106</v>
      </c>
      <c r="N232" s="33"/>
      <c r="O232" s="32">
        <v>55</v>
      </c>
      <c r="P232" s="73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365</v>
      </c>
      <c r="AG232" s="64"/>
      <c r="AJ232" s="68" t="s">
        <v>80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376</v>
      </c>
      <c r="B233" s="54" t="s">
        <v>378</v>
      </c>
      <c r="C233" s="31">
        <v>4301012195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72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4"/>
      <c r="B234" s="555"/>
      <c r="C234" s="555"/>
      <c r="D234" s="555"/>
      <c r="E234" s="555"/>
      <c r="F234" s="555"/>
      <c r="G234" s="555"/>
      <c r="H234" s="555"/>
      <c r="I234" s="555"/>
      <c r="J234" s="555"/>
      <c r="K234" s="555"/>
      <c r="L234" s="555"/>
      <c r="M234" s="555"/>
      <c r="N234" s="555"/>
      <c r="O234" s="556"/>
      <c r="P234" s="562" t="s">
        <v>71</v>
      </c>
      <c r="Q234" s="563"/>
      <c r="R234" s="563"/>
      <c r="S234" s="563"/>
      <c r="T234" s="563"/>
      <c r="U234" s="563"/>
      <c r="V234" s="564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x14ac:dyDescent="0.2">
      <c r="A235" s="555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2" t="s">
        <v>71</v>
      </c>
      <c r="Q235" s="563"/>
      <c r="R235" s="563"/>
      <c r="S235" s="563"/>
      <c r="T235" s="563"/>
      <c r="U235" s="563"/>
      <c r="V235" s="564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customHeight="1" x14ac:dyDescent="0.25">
      <c r="A236" s="558" t="s">
        <v>136</v>
      </c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5"/>
      <c r="P236" s="555"/>
      <c r="Q236" s="555"/>
      <c r="R236" s="555"/>
      <c r="S236" s="555"/>
      <c r="T236" s="555"/>
      <c r="U236" s="555"/>
      <c r="V236" s="555"/>
      <c r="W236" s="555"/>
      <c r="X236" s="555"/>
      <c r="Y236" s="555"/>
      <c r="Z236" s="555"/>
      <c r="AA236" s="537"/>
      <c r="AB236" s="537"/>
      <c r="AC236" s="537"/>
    </row>
    <row r="237" spans="1:68" ht="27" customHeight="1" x14ac:dyDescent="0.25">
      <c r="A237" s="54" t="s">
        <v>379</v>
      </c>
      <c r="B237" s="54" t="s">
        <v>380</v>
      </c>
      <c r="C237" s="31">
        <v>4301020377</v>
      </c>
      <c r="D237" s="548">
        <v>4680115885981</v>
      </c>
      <c r="E237" s="549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78</v>
      </c>
      <c r="N237" s="33"/>
      <c r="O237" s="32">
        <v>50</v>
      </c>
      <c r="P237" s="61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6"/>
      <c r="R237" s="546"/>
      <c r="S237" s="546"/>
      <c r="T237" s="547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381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54"/>
      <c r="B238" s="555"/>
      <c r="C238" s="555"/>
      <c r="D238" s="555"/>
      <c r="E238" s="555"/>
      <c r="F238" s="555"/>
      <c r="G238" s="555"/>
      <c r="H238" s="555"/>
      <c r="I238" s="555"/>
      <c r="J238" s="555"/>
      <c r="K238" s="555"/>
      <c r="L238" s="555"/>
      <c r="M238" s="555"/>
      <c r="N238" s="555"/>
      <c r="O238" s="556"/>
      <c r="P238" s="562" t="s">
        <v>71</v>
      </c>
      <c r="Q238" s="563"/>
      <c r="R238" s="563"/>
      <c r="S238" s="563"/>
      <c r="T238" s="563"/>
      <c r="U238" s="563"/>
      <c r="V238" s="564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x14ac:dyDescent="0.2">
      <c r="A239" s="555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2" t="s">
        <v>71</v>
      </c>
      <c r="Q239" s="563"/>
      <c r="R239" s="563"/>
      <c r="S239" s="563"/>
      <c r="T239" s="563"/>
      <c r="U239" s="563"/>
      <c r="V239" s="564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customHeight="1" x14ac:dyDescent="0.25">
      <c r="A240" s="558" t="s">
        <v>382</v>
      </c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5"/>
      <c r="P240" s="555"/>
      <c r="Q240" s="555"/>
      <c r="R240" s="555"/>
      <c r="S240" s="555"/>
      <c r="T240" s="555"/>
      <c r="U240" s="555"/>
      <c r="V240" s="555"/>
      <c r="W240" s="555"/>
      <c r="X240" s="555"/>
      <c r="Y240" s="555"/>
      <c r="Z240" s="555"/>
      <c r="AA240" s="537"/>
      <c r="AB240" s="537"/>
      <c r="AC240" s="537"/>
    </row>
    <row r="241" spans="1:68" ht="27" customHeight="1" x14ac:dyDescent="0.25">
      <c r="A241" s="54" t="s">
        <v>383</v>
      </c>
      <c r="B241" s="54" t="s">
        <v>384</v>
      </c>
      <c r="C241" s="31">
        <v>4301040362</v>
      </c>
      <c r="D241" s="548">
        <v>4680115886803</v>
      </c>
      <c r="E241" s="549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7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6"/>
      <c r="R241" s="546"/>
      <c r="S241" s="546"/>
      <c r="T241" s="547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385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54"/>
      <c r="B242" s="555"/>
      <c r="C242" s="555"/>
      <c r="D242" s="555"/>
      <c r="E242" s="555"/>
      <c r="F242" s="555"/>
      <c r="G242" s="555"/>
      <c r="H242" s="555"/>
      <c r="I242" s="555"/>
      <c r="J242" s="555"/>
      <c r="K242" s="555"/>
      <c r="L242" s="555"/>
      <c r="M242" s="555"/>
      <c r="N242" s="555"/>
      <c r="O242" s="556"/>
      <c r="P242" s="562" t="s">
        <v>71</v>
      </c>
      <c r="Q242" s="563"/>
      <c r="R242" s="563"/>
      <c r="S242" s="563"/>
      <c r="T242" s="563"/>
      <c r="U242" s="563"/>
      <c r="V242" s="564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x14ac:dyDescent="0.2">
      <c r="A243" s="555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2" t="s">
        <v>71</v>
      </c>
      <c r="Q243" s="563"/>
      <c r="R243" s="563"/>
      <c r="S243" s="563"/>
      <c r="T243" s="563"/>
      <c r="U243" s="563"/>
      <c r="V243" s="564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customHeight="1" x14ac:dyDescent="0.25">
      <c r="A244" s="558" t="s">
        <v>386</v>
      </c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5"/>
      <c r="P244" s="555"/>
      <c r="Q244" s="555"/>
      <c r="R244" s="555"/>
      <c r="S244" s="555"/>
      <c r="T244" s="555"/>
      <c r="U244" s="555"/>
      <c r="V244" s="555"/>
      <c r="W244" s="555"/>
      <c r="X244" s="555"/>
      <c r="Y244" s="555"/>
      <c r="Z244" s="555"/>
      <c r="AA244" s="537"/>
      <c r="AB244" s="537"/>
      <c r="AC244" s="537"/>
    </row>
    <row r="245" spans="1:68" ht="27" customHeight="1" x14ac:dyDescent="0.25">
      <c r="A245" s="54" t="s">
        <v>387</v>
      </c>
      <c r="B245" s="54" t="s">
        <v>388</v>
      </c>
      <c r="C245" s="31">
        <v>4301041004</v>
      </c>
      <c r="D245" s="548">
        <v>4680115886704</v>
      </c>
      <c r="E245" s="549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1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6"/>
      <c r="R245" s="546"/>
      <c r="S245" s="546"/>
      <c r="T245" s="547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389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390</v>
      </c>
      <c r="B246" s="54" t="s">
        <v>391</v>
      </c>
      <c r="C246" s="31">
        <v>4301041008</v>
      </c>
      <c r="D246" s="548">
        <v>4680115886681</v>
      </c>
      <c r="E246" s="549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6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389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392</v>
      </c>
      <c r="B247" s="54" t="s">
        <v>393</v>
      </c>
      <c r="C247" s="31">
        <v>4301041007</v>
      </c>
      <c r="D247" s="548">
        <v>4680115886735</v>
      </c>
      <c r="E247" s="549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79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389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394</v>
      </c>
      <c r="B248" s="54" t="s">
        <v>395</v>
      </c>
      <c r="C248" s="31">
        <v>4301041006</v>
      </c>
      <c r="D248" s="548">
        <v>4680115886728</v>
      </c>
      <c r="E248" s="549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2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389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396</v>
      </c>
      <c r="B249" s="54" t="s">
        <v>397</v>
      </c>
      <c r="C249" s="31">
        <v>4301041005</v>
      </c>
      <c r="D249" s="548">
        <v>4680115886711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389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54"/>
      <c r="B250" s="555"/>
      <c r="C250" s="555"/>
      <c r="D250" s="555"/>
      <c r="E250" s="555"/>
      <c r="F250" s="555"/>
      <c r="G250" s="555"/>
      <c r="H250" s="555"/>
      <c r="I250" s="555"/>
      <c r="J250" s="555"/>
      <c r="K250" s="555"/>
      <c r="L250" s="555"/>
      <c r="M250" s="555"/>
      <c r="N250" s="555"/>
      <c r="O250" s="556"/>
      <c r="P250" s="562" t="s">
        <v>71</v>
      </c>
      <c r="Q250" s="563"/>
      <c r="R250" s="563"/>
      <c r="S250" s="563"/>
      <c r="T250" s="563"/>
      <c r="U250" s="563"/>
      <c r="V250" s="564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x14ac:dyDescent="0.2">
      <c r="A251" s="555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2" t="s">
        <v>71</v>
      </c>
      <c r="Q251" s="563"/>
      <c r="R251" s="563"/>
      <c r="S251" s="563"/>
      <c r="T251" s="563"/>
      <c r="U251" s="563"/>
      <c r="V251" s="564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customHeight="1" x14ac:dyDescent="0.25">
      <c r="A252" s="559" t="s">
        <v>398</v>
      </c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5"/>
      <c r="P252" s="555"/>
      <c r="Q252" s="555"/>
      <c r="R252" s="555"/>
      <c r="S252" s="555"/>
      <c r="T252" s="555"/>
      <c r="U252" s="555"/>
      <c r="V252" s="555"/>
      <c r="W252" s="555"/>
      <c r="X252" s="555"/>
      <c r="Y252" s="555"/>
      <c r="Z252" s="555"/>
      <c r="AA252" s="536"/>
      <c r="AB252" s="536"/>
      <c r="AC252" s="536"/>
    </row>
    <row r="253" spans="1:68" ht="14.25" customHeight="1" x14ac:dyDescent="0.25">
      <c r="A253" s="558" t="s">
        <v>101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7"/>
      <c r="AB253" s="537"/>
      <c r="AC253" s="537"/>
    </row>
    <row r="254" spans="1:68" ht="27" customHeight="1" x14ac:dyDescent="0.25">
      <c r="A254" s="54" t="s">
        <v>399</v>
      </c>
      <c r="B254" s="54" t="s">
        <v>400</v>
      </c>
      <c r="C254" s="31">
        <v>4301011855</v>
      </c>
      <c r="D254" s="548">
        <v>4680115885837</v>
      </c>
      <c r="E254" s="549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104</v>
      </c>
      <c r="L254" s="32"/>
      <c r="M254" s="33" t="s">
        <v>106</v>
      </c>
      <c r="N254" s="33"/>
      <c r="O254" s="32">
        <v>55</v>
      </c>
      <c r="P254" s="74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6"/>
      <c r="R254" s="546"/>
      <c r="S254" s="546"/>
      <c r="T254" s="547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401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402</v>
      </c>
      <c r="B255" s="54" t="s">
        <v>403</v>
      </c>
      <c r="C255" s="31">
        <v>4301011853</v>
      </c>
      <c r="D255" s="548">
        <v>4680115885851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63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405</v>
      </c>
      <c r="B256" s="54" t="s">
        <v>406</v>
      </c>
      <c r="C256" s="31">
        <v>4301011850</v>
      </c>
      <c r="D256" s="548">
        <v>4680115885806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104</v>
      </c>
      <c r="L256" s="32"/>
      <c r="M256" s="33" t="s">
        <v>106</v>
      </c>
      <c r="N256" s="33"/>
      <c r="O256" s="32">
        <v>55</v>
      </c>
      <c r="P256" s="75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20</v>
      </c>
      <c r="Y256" s="542">
        <f>IFERROR(IF(X256="",0,CEILING((X256/$H256),1)*$H256),"")</f>
        <v>21.6</v>
      </c>
      <c r="Z256" s="36">
        <f>IFERROR(IF(Y256=0,"",ROUNDUP(Y256/H256,0)*0.01898),"")</f>
        <v>3.7960000000000001E-2</v>
      </c>
      <c r="AA256" s="56"/>
      <c r="AB256" s="57"/>
      <c r="AC256" s="303" t="s">
        <v>407</v>
      </c>
      <c r="AG256" s="64"/>
      <c r="AJ256" s="68"/>
      <c r="AK256" s="68">
        <v>0</v>
      </c>
      <c r="BB256" s="304" t="s">
        <v>1</v>
      </c>
      <c r="BM256" s="64">
        <f>IFERROR(X256*I256/H256,"0")</f>
        <v>20.75925925925926</v>
      </c>
      <c r="BN256" s="64">
        <f>IFERROR(Y256*I256/H256,"0")</f>
        <v>22.42</v>
      </c>
      <c r="BO256" s="64">
        <f>IFERROR(1/J256*(X256/H256),"0")</f>
        <v>2.8935185185185182E-2</v>
      </c>
      <c r="BP256" s="64">
        <f>IFERROR(1/J256*(Y256/H256),"0")</f>
        <v>3.125E-2</v>
      </c>
    </row>
    <row r="257" spans="1:68" ht="27" customHeight="1" x14ac:dyDescent="0.25">
      <c r="A257" s="54" t="s">
        <v>408</v>
      </c>
      <c r="B257" s="54" t="s">
        <v>409</v>
      </c>
      <c r="C257" s="31">
        <v>4301011852</v>
      </c>
      <c r="D257" s="548">
        <v>4680115885844</v>
      </c>
      <c r="E257" s="549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410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411</v>
      </c>
      <c r="B258" s="54" t="s">
        <v>412</v>
      </c>
      <c r="C258" s="31">
        <v>4301011851</v>
      </c>
      <c r="D258" s="548">
        <v>4680115885820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110</v>
      </c>
      <c r="L258" s="32"/>
      <c r="M258" s="33" t="s">
        <v>106</v>
      </c>
      <c r="N258" s="33"/>
      <c r="O258" s="32">
        <v>55</v>
      </c>
      <c r="P258" s="6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54"/>
      <c r="B259" s="555"/>
      <c r="C259" s="555"/>
      <c r="D259" s="555"/>
      <c r="E259" s="555"/>
      <c r="F259" s="555"/>
      <c r="G259" s="555"/>
      <c r="H259" s="555"/>
      <c r="I259" s="555"/>
      <c r="J259" s="555"/>
      <c r="K259" s="555"/>
      <c r="L259" s="555"/>
      <c r="M259" s="555"/>
      <c r="N259" s="555"/>
      <c r="O259" s="556"/>
      <c r="P259" s="562" t="s">
        <v>71</v>
      </c>
      <c r="Q259" s="563"/>
      <c r="R259" s="563"/>
      <c r="S259" s="563"/>
      <c r="T259" s="563"/>
      <c r="U259" s="563"/>
      <c r="V259" s="564"/>
      <c r="W259" s="37" t="s">
        <v>72</v>
      </c>
      <c r="X259" s="543">
        <f>IFERROR(X254/H254,"0")+IFERROR(X255/H255,"0")+IFERROR(X256/H256,"0")+IFERROR(X257/H257,"0")+IFERROR(X258/H258,"0")</f>
        <v>1.8518518518518516</v>
      </c>
      <c r="Y259" s="543">
        <f>IFERROR(Y254/H254,"0")+IFERROR(Y255/H255,"0")+IFERROR(Y256/H256,"0")+IFERROR(Y257/H257,"0")+IFERROR(Y258/H258,"0")</f>
        <v>2</v>
      </c>
      <c r="Z259" s="543">
        <f>IFERROR(IF(Z254="",0,Z254),"0")+IFERROR(IF(Z255="",0,Z255),"0")+IFERROR(IF(Z256="",0,Z256),"0")+IFERROR(IF(Z257="",0,Z257),"0")+IFERROR(IF(Z258="",0,Z258),"0")</f>
        <v>3.7960000000000001E-2</v>
      </c>
      <c r="AA259" s="544"/>
      <c r="AB259" s="544"/>
      <c r="AC259" s="544"/>
    </row>
    <row r="260" spans="1:68" x14ac:dyDescent="0.2">
      <c r="A260" s="555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2" t="s">
        <v>71</v>
      </c>
      <c r="Q260" s="563"/>
      <c r="R260" s="563"/>
      <c r="S260" s="563"/>
      <c r="T260" s="563"/>
      <c r="U260" s="563"/>
      <c r="V260" s="564"/>
      <c r="W260" s="37" t="s">
        <v>69</v>
      </c>
      <c r="X260" s="543">
        <f>IFERROR(SUM(X254:X258),"0")</f>
        <v>20</v>
      </c>
      <c r="Y260" s="543">
        <f>IFERROR(SUM(Y254:Y258),"0")</f>
        <v>21.6</v>
      </c>
      <c r="Z260" s="37"/>
      <c r="AA260" s="544"/>
      <c r="AB260" s="544"/>
      <c r="AC260" s="544"/>
    </row>
    <row r="261" spans="1:68" ht="16.5" customHeight="1" x14ac:dyDescent="0.25">
      <c r="A261" s="559" t="s">
        <v>414</v>
      </c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5"/>
      <c r="P261" s="555"/>
      <c r="Q261" s="555"/>
      <c r="R261" s="555"/>
      <c r="S261" s="555"/>
      <c r="T261" s="555"/>
      <c r="U261" s="555"/>
      <c r="V261" s="555"/>
      <c r="W261" s="555"/>
      <c r="X261" s="555"/>
      <c r="Y261" s="555"/>
      <c r="Z261" s="555"/>
      <c r="AA261" s="536"/>
      <c r="AB261" s="536"/>
      <c r="AC261" s="536"/>
    </row>
    <row r="262" spans="1:68" ht="14.25" customHeight="1" x14ac:dyDescent="0.25">
      <c r="A262" s="558" t="s">
        <v>101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7"/>
      <c r="AB262" s="537"/>
      <c r="AC262" s="537"/>
    </row>
    <row r="263" spans="1:68" ht="27" customHeight="1" x14ac:dyDescent="0.25">
      <c r="A263" s="54" t="s">
        <v>415</v>
      </c>
      <c r="B263" s="54" t="s">
        <v>416</v>
      </c>
      <c r="C263" s="31">
        <v>4301011223</v>
      </c>
      <c r="D263" s="548">
        <v>4607091383423</v>
      </c>
      <c r="E263" s="549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104</v>
      </c>
      <c r="L263" s="32"/>
      <c r="M263" s="33" t="s">
        <v>78</v>
      </c>
      <c r="N263" s="33"/>
      <c r="O263" s="32">
        <v>35</v>
      </c>
      <c r="P263" s="84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6"/>
      <c r="R263" s="546"/>
      <c r="S263" s="546"/>
      <c r="T263" s="547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417</v>
      </c>
      <c r="B264" s="54" t="s">
        <v>418</v>
      </c>
      <c r="C264" s="31">
        <v>4301012199</v>
      </c>
      <c r="D264" s="548">
        <v>4680115886957</v>
      </c>
      <c r="E264" s="549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104</v>
      </c>
      <c r="L264" s="32"/>
      <c r="M264" s="33" t="s">
        <v>78</v>
      </c>
      <c r="N264" s="33"/>
      <c r="O264" s="32">
        <v>30</v>
      </c>
      <c r="P264" s="67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419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420</v>
      </c>
      <c r="B265" s="54" t="s">
        <v>421</v>
      </c>
      <c r="C265" s="31">
        <v>4301012098</v>
      </c>
      <c r="D265" s="548">
        <v>4680115885660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104</v>
      </c>
      <c r="L265" s="32"/>
      <c r="M265" s="33" t="s">
        <v>78</v>
      </c>
      <c r="N265" s="33"/>
      <c r="O265" s="32">
        <v>35</v>
      </c>
      <c r="P265" s="60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365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422</v>
      </c>
      <c r="B266" s="54" t="s">
        <v>423</v>
      </c>
      <c r="C266" s="31">
        <v>4301012176</v>
      </c>
      <c r="D266" s="548">
        <v>4680115886773</v>
      </c>
      <c r="E266" s="549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6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424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54"/>
      <c r="B267" s="555"/>
      <c r="C267" s="555"/>
      <c r="D267" s="555"/>
      <c r="E267" s="555"/>
      <c r="F267" s="555"/>
      <c r="G267" s="555"/>
      <c r="H267" s="555"/>
      <c r="I267" s="555"/>
      <c r="J267" s="555"/>
      <c r="K267" s="555"/>
      <c r="L267" s="555"/>
      <c r="M267" s="555"/>
      <c r="N267" s="555"/>
      <c r="O267" s="556"/>
      <c r="P267" s="562" t="s">
        <v>71</v>
      </c>
      <c r="Q267" s="563"/>
      <c r="R267" s="563"/>
      <c r="S267" s="563"/>
      <c r="T267" s="563"/>
      <c r="U267" s="563"/>
      <c r="V267" s="564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x14ac:dyDescent="0.2">
      <c r="A268" s="555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2" t="s">
        <v>71</v>
      </c>
      <c r="Q268" s="563"/>
      <c r="R268" s="563"/>
      <c r="S268" s="563"/>
      <c r="T268" s="563"/>
      <c r="U268" s="563"/>
      <c r="V268" s="564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customHeight="1" x14ac:dyDescent="0.25">
      <c r="A269" s="559" t="s">
        <v>425</v>
      </c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5"/>
      <c r="P269" s="555"/>
      <c r="Q269" s="555"/>
      <c r="R269" s="555"/>
      <c r="S269" s="555"/>
      <c r="T269" s="555"/>
      <c r="U269" s="555"/>
      <c r="V269" s="555"/>
      <c r="W269" s="555"/>
      <c r="X269" s="555"/>
      <c r="Y269" s="555"/>
      <c r="Z269" s="555"/>
      <c r="AA269" s="536"/>
      <c r="AB269" s="536"/>
      <c r="AC269" s="536"/>
    </row>
    <row r="270" spans="1:68" ht="14.25" customHeight="1" x14ac:dyDescent="0.25">
      <c r="A270" s="558" t="s">
        <v>73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7"/>
      <c r="AB270" s="537"/>
      <c r="AC270" s="537"/>
    </row>
    <row r="271" spans="1:68" ht="27" customHeight="1" x14ac:dyDescent="0.25">
      <c r="A271" s="54" t="s">
        <v>426</v>
      </c>
      <c r="B271" s="54" t="s">
        <v>427</v>
      </c>
      <c r="C271" s="31">
        <v>4301051893</v>
      </c>
      <c r="D271" s="548">
        <v>4680115886186</v>
      </c>
      <c r="E271" s="549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78</v>
      </c>
      <c r="N271" s="33"/>
      <c r="O271" s="32">
        <v>45</v>
      </c>
      <c r="P271" s="60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6"/>
      <c r="R271" s="546"/>
      <c r="S271" s="546"/>
      <c r="T271" s="547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428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429</v>
      </c>
      <c r="B272" s="54" t="s">
        <v>430</v>
      </c>
      <c r="C272" s="31">
        <v>4301051795</v>
      </c>
      <c r="D272" s="548">
        <v>4680115881228</v>
      </c>
      <c r="E272" s="549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 t="s">
        <v>77</v>
      </c>
      <c r="M272" s="33" t="s">
        <v>86</v>
      </c>
      <c r="N272" s="33"/>
      <c r="O272" s="32">
        <v>40</v>
      </c>
      <c r="P272" s="68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431</v>
      </c>
      <c r="AG272" s="64"/>
      <c r="AJ272" s="68" t="s">
        <v>80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432</v>
      </c>
      <c r="B273" s="54" t="s">
        <v>433</v>
      </c>
      <c r="C273" s="31">
        <v>4301051388</v>
      </c>
      <c r="D273" s="548">
        <v>4680115881211</v>
      </c>
      <c r="E273" s="549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/>
      <c r="M273" s="33" t="s">
        <v>78</v>
      </c>
      <c r="N273" s="33"/>
      <c r="O273" s="32">
        <v>45</v>
      </c>
      <c r="P273" s="62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428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54"/>
      <c r="B274" s="555"/>
      <c r="C274" s="555"/>
      <c r="D274" s="555"/>
      <c r="E274" s="555"/>
      <c r="F274" s="555"/>
      <c r="G274" s="555"/>
      <c r="H274" s="555"/>
      <c r="I274" s="555"/>
      <c r="J274" s="555"/>
      <c r="K274" s="555"/>
      <c r="L274" s="555"/>
      <c r="M274" s="555"/>
      <c r="N274" s="555"/>
      <c r="O274" s="556"/>
      <c r="P274" s="562" t="s">
        <v>71</v>
      </c>
      <c r="Q274" s="563"/>
      <c r="R274" s="563"/>
      <c r="S274" s="563"/>
      <c r="T274" s="563"/>
      <c r="U274" s="563"/>
      <c r="V274" s="564"/>
      <c r="W274" s="37" t="s">
        <v>72</v>
      </c>
      <c r="X274" s="543">
        <f>IFERROR(X271/H271,"0")+IFERROR(X272/H272,"0")+IFERROR(X273/H273,"0")</f>
        <v>0</v>
      </c>
      <c r="Y274" s="543">
        <f>IFERROR(Y271/H271,"0")+IFERROR(Y272/H272,"0")+IFERROR(Y273/H273,"0")</f>
        <v>0</v>
      </c>
      <c r="Z274" s="543">
        <f>IFERROR(IF(Z271="",0,Z271),"0")+IFERROR(IF(Z272="",0,Z272),"0")+IFERROR(IF(Z273="",0,Z273),"0")</f>
        <v>0</v>
      </c>
      <c r="AA274" s="544"/>
      <c r="AB274" s="544"/>
      <c r="AC274" s="544"/>
    </row>
    <row r="275" spans="1:68" x14ac:dyDescent="0.2">
      <c r="A275" s="555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2" t="s">
        <v>71</v>
      </c>
      <c r="Q275" s="563"/>
      <c r="R275" s="563"/>
      <c r="S275" s="563"/>
      <c r="T275" s="563"/>
      <c r="U275" s="563"/>
      <c r="V275" s="564"/>
      <c r="W275" s="37" t="s">
        <v>69</v>
      </c>
      <c r="X275" s="543">
        <f>IFERROR(SUM(X271:X273),"0")</f>
        <v>0</v>
      </c>
      <c r="Y275" s="543">
        <f>IFERROR(SUM(Y271:Y273),"0")</f>
        <v>0</v>
      </c>
      <c r="Z275" s="37"/>
      <c r="AA275" s="544"/>
      <c r="AB275" s="544"/>
      <c r="AC275" s="544"/>
    </row>
    <row r="276" spans="1:68" ht="16.5" customHeight="1" x14ac:dyDescent="0.25">
      <c r="A276" s="559" t="s">
        <v>434</v>
      </c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5"/>
      <c r="P276" s="555"/>
      <c r="Q276" s="555"/>
      <c r="R276" s="555"/>
      <c r="S276" s="555"/>
      <c r="T276" s="555"/>
      <c r="U276" s="555"/>
      <c r="V276" s="555"/>
      <c r="W276" s="555"/>
      <c r="X276" s="555"/>
      <c r="Y276" s="555"/>
      <c r="Z276" s="555"/>
      <c r="AA276" s="536"/>
      <c r="AB276" s="536"/>
      <c r="AC276" s="536"/>
    </row>
    <row r="277" spans="1:68" ht="14.25" customHeight="1" x14ac:dyDescent="0.25">
      <c r="A277" s="558" t="s">
        <v>64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7"/>
      <c r="AB277" s="537"/>
      <c r="AC277" s="537"/>
    </row>
    <row r="278" spans="1:68" ht="27" customHeight="1" x14ac:dyDescent="0.25">
      <c r="A278" s="54" t="s">
        <v>435</v>
      </c>
      <c r="B278" s="54" t="s">
        <v>436</v>
      </c>
      <c r="C278" s="31">
        <v>4301031307</v>
      </c>
      <c r="D278" s="548">
        <v>4680115880344</v>
      </c>
      <c r="E278" s="549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6"/>
      <c r="R278" s="546"/>
      <c r="S278" s="546"/>
      <c r="T278" s="547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437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438</v>
      </c>
      <c r="B279" s="54" t="s">
        <v>439</v>
      </c>
      <c r="C279" s="31">
        <v>4301031429</v>
      </c>
      <c r="D279" s="548">
        <v>4680115886919</v>
      </c>
      <c r="E279" s="549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54"/>
      <c r="B280" s="555"/>
      <c r="C280" s="555"/>
      <c r="D280" s="555"/>
      <c r="E280" s="555"/>
      <c r="F280" s="555"/>
      <c r="G280" s="555"/>
      <c r="H280" s="555"/>
      <c r="I280" s="555"/>
      <c r="J280" s="555"/>
      <c r="K280" s="555"/>
      <c r="L280" s="555"/>
      <c r="M280" s="555"/>
      <c r="N280" s="555"/>
      <c r="O280" s="556"/>
      <c r="P280" s="562" t="s">
        <v>71</v>
      </c>
      <c r="Q280" s="563"/>
      <c r="R280" s="563"/>
      <c r="S280" s="563"/>
      <c r="T280" s="563"/>
      <c r="U280" s="563"/>
      <c r="V280" s="564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x14ac:dyDescent="0.2">
      <c r="A281" s="555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2" t="s">
        <v>71</v>
      </c>
      <c r="Q281" s="563"/>
      <c r="R281" s="563"/>
      <c r="S281" s="563"/>
      <c r="T281" s="563"/>
      <c r="U281" s="563"/>
      <c r="V281" s="564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customHeight="1" x14ac:dyDescent="0.25">
      <c r="A282" s="558" t="s">
        <v>73</v>
      </c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5"/>
      <c r="P282" s="555"/>
      <c r="Q282" s="555"/>
      <c r="R282" s="555"/>
      <c r="S282" s="555"/>
      <c r="T282" s="555"/>
      <c r="U282" s="555"/>
      <c r="V282" s="555"/>
      <c r="W282" s="555"/>
      <c r="X282" s="555"/>
      <c r="Y282" s="555"/>
      <c r="Z282" s="555"/>
      <c r="AA282" s="537"/>
      <c r="AB282" s="537"/>
      <c r="AC282" s="537"/>
    </row>
    <row r="283" spans="1:68" ht="37.5" customHeight="1" x14ac:dyDescent="0.25">
      <c r="A283" s="54" t="s">
        <v>441</v>
      </c>
      <c r="B283" s="54" t="s">
        <v>442</v>
      </c>
      <c r="C283" s="31">
        <v>4301051782</v>
      </c>
      <c r="D283" s="548">
        <v>4680115884618</v>
      </c>
      <c r="E283" s="549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110</v>
      </c>
      <c r="L283" s="32"/>
      <c r="M283" s="33" t="s">
        <v>78</v>
      </c>
      <c r="N283" s="33"/>
      <c r="O283" s="32">
        <v>45</v>
      </c>
      <c r="P283" s="69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6"/>
      <c r="R283" s="546"/>
      <c r="S283" s="546"/>
      <c r="T283" s="547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443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444</v>
      </c>
      <c r="B284" s="54" t="s">
        <v>445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110</v>
      </c>
      <c r="L284" s="32"/>
      <c r="M284" s="33" t="s">
        <v>78</v>
      </c>
      <c r="N284" s="33"/>
      <c r="O284" s="32">
        <v>45</v>
      </c>
      <c r="P284" s="635" t="s">
        <v>446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447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54"/>
      <c r="B285" s="555"/>
      <c r="C285" s="555"/>
      <c r="D285" s="555"/>
      <c r="E285" s="555"/>
      <c r="F285" s="555"/>
      <c r="G285" s="555"/>
      <c r="H285" s="555"/>
      <c r="I285" s="555"/>
      <c r="J285" s="555"/>
      <c r="K285" s="555"/>
      <c r="L285" s="555"/>
      <c r="M285" s="555"/>
      <c r="N285" s="555"/>
      <c r="O285" s="556"/>
      <c r="P285" s="562" t="s">
        <v>71</v>
      </c>
      <c r="Q285" s="563"/>
      <c r="R285" s="563"/>
      <c r="S285" s="563"/>
      <c r="T285" s="563"/>
      <c r="U285" s="563"/>
      <c r="V285" s="564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x14ac:dyDescent="0.2">
      <c r="A286" s="555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2" t="s">
        <v>71</v>
      </c>
      <c r="Q286" s="563"/>
      <c r="R286" s="563"/>
      <c r="S286" s="563"/>
      <c r="T286" s="563"/>
      <c r="U286" s="563"/>
      <c r="V286" s="564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customHeight="1" x14ac:dyDescent="0.25">
      <c r="A287" s="559" t="s">
        <v>448</v>
      </c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5"/>
      <c r="P287" s="555"/>
      <c r="Q287" s="555"/>
      <c r="R287" s="555"/>
      <c r="S287" s="555"/>
      <c r="T287" s="555"/>
      <c r="U287" s="555"/>
      <c r="V287" s="555"/>
      <c r="W287" s="555"/>
      <c r="X287" s="555"/>
      <c r="Y287" s="555"/>
      <c r="Z287" s="555"/>
      <c r="AA287" s="536"/>
      <c r="AB287" s="536"/>
      <c r="AC287" s="536"/>
    </row>
    <row r="288" spans="1:68" ht="14.25" customHeight="1" x14ac:dyDescent="0.25">
      <c r="A288" s="558" t="s">
        <v>101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7"/>
      <c r="AB288" s="537"/>
      <c r="AC288" s="537"/>
    </row>
    <row r="289" spans="1:68" ht="27" customHeight="1" x14ac:dyDescent="0.25">
      <c r="A289" s="54" t="s">
        <v>449</v>
      </c>
      <c r="B289" s="54" t="s">
        <v>450</v>
      </c>
      <c r="C289" s="31">
        <v>4301012126</v>
      </c>
      <c r="D289" s="548">
        <v>4607091386004</v>
      </c>
      <c r="E289" s="549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104</v>
      </c>
      <c r="L289" s="32"/>
      <c r="M289" s="33" t="s">
        <v>106</v>
      </c>
      <c r="N289" s="33"/>
      <c r="O289" s="32">
        <v>55</v>
      </c>
      <c r="P289" s="67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46"/>
      <c r="R289" s="546"/>
      <c r="S289" s="546"/>
      <c r="T289" s="547"/>
      <c r="U289" s="34"/>
      <c r="V289" s="34"/>
      <c r="W289" s="35" t="s">
        <v>69</v>
      </c>
      <c r="X289" s="541">
        <v>0</v>
      </c>
      <c r="Y289" s="542">
        <f t="shared" ref="Y289:Y294" si="26"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 t="shared" ref="BM289:BM294" si="27">IFERROR(X289*I289/H289,"0")</f>
        <v>0</v>
      </c>
      <c r="BN289" s="64">
        <f t="shared" ref="BN289:BN294" si="28">IFERROR(Y289*I289/H289,"0")</f>
        <v>0</v>
      </c>
      <c r="BO289" s="64">
        <f t="shared" ref="BO289:BO294" si="29">IFERROR(1/J289*(X289/H289),"0")</f>
        <v>0</v>
      </c>
      <c r="BP289" s="64">
        <f t="shared" ref="BP289:BP294" si="30">IFERROR(1/J289*(Y289/H289),"0")</f>
        <v>0</v>
      </c>
    </row>
    <row r="290" spans="1:68" ht="27" customHeight="1" x14ac:dyDescent="0.25">
      <c r="A290" s="54" t="s">
        <v>452</v>
      </c>
      <c r="B290" s="54" t="s">
        <v>453</v>
      </c>
      <c r="C290" s="31">
        <v>4301012024</v>
      </c>
      <c r="D290" s="548">
        <v>4680115885615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104</v>
      </c>
      <c r="L290" s="32"/>
      <c r="M290" s="33" t="s">
        <v>78</v>
      </c>
      <c r="N290" s="33"/>
      <c r="O290" s="32">
        <v>55</v>
      </c>
      <c r="P290" s="57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 t="shared" si="26"/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/>
      <c r="AK290" s="68">
        <v>0</v>
      </c>
      <c r="BB290" s="334" t="s">
        <v>1</v>
      </c>
      <c r="BM290" s="64">
        <f t="shared" si="27"/>
        <v>0</v>
      </c>
      <c r="BN290" s="64">
        <f t="shared" si="28"/>
        <v>0</v>
      </c>
      <c r="BO290" s="64">
        <f t="shared" si="29"/>
        <v>0</v>
      </c>
      <c r="BP290" s="64">
        <f t="shared" si="30"/>
        <v>0</v>
      </c>
    </row>
    <row r="291" spans="1:68" ht="37.5" customHeight="1" x14ac:dyDescent="0.25">
      <c r="A291" s="54" t="s">
        <v>455</v>
      </c>
      <c r="B291" s="54" t="s">
        <v>456</v>
      </c>
      <c r="C291" s="31">
        <v>4301011858</v>
      </c>
      <c r="D291" s="548">
        <v>4680115885646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104</v>
      </c>
      <c r="L291" s="32"/>
      <c r="M291" s="33" t="s">
        <v>106</v>
      </c>
      <c r="N291" s="33"/>
      <c r="O291" s="32">
        <v>55</v>
      </c>
      <c r="P291" s="84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457</v>
      </c>
      <c r="AG291" s="64"/>
      <c r="AJ291" s="68"/>
      <c r="AK291" s="68">
        <v>0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27" customHeight="1" x14ac:dyDescent="0.25">
      <c r="A292" s="54" t="s">
        <v>458</v>
      </c>
      <c r="B292" s="54" t="s">
        <v>459</v>
      </c>
      <c r="C292" s="31">
        <v>4301012016</v>
      </c>
      <c r="D292" s="548">
        <v>4680115885554</v>
      </c>
      <c r="E292" s="549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104</v>
      </c>
      <c r="L292" s="32"/>
      <c r="M292" s="33" t="s">
        <v>78</v>
      </c>
      <c r="N292" s="33"/>
      <c r="O292" s="32">
        <v>55</v>
      </c>
      <c r="P292" s="8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460</v>
      </c>
      <c r="AG292" s="64"/>
      <c r="AJ292" s="68"/>
      <c r="AK292" s="68">
        <v>0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customHeight="1" x14ac:dyDescent="0.25">
      <c r="A293" s="54" t="s">
        <v>461</v>
      </c>
      <c r="B293" s="54" t="s">
        <v>462</v>
      </c>
      <c r="C293" s="31">
        <v>4301011857</v>
      </c>
      <c r="D293" s="548">
        <v>4680115885622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110</v>
      </c>
      <c r="L293" s="32"/>
      <c r="M293" s="33" t="s">
        <v>106</v>
      </c>
      <c r="N293" s="33"/>
      <c r="O293" s="32">
        <v>55</v>
      </c>
      <c r="P293" s="84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454</v>
      </c>
      <c r="AG293" s="64"/>
      <c r="AJ293" s="68"/>
      <c r="AK293" s="68">
        <v>0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customHeight="1" x14ac:dyDescent="0.25">
      <c r="A294" s="54" t="s">
        <v>463</v>
      </c>
      <c r="B294" s="54" t="s">
        <v>464</v>
      </c>
      <c r="C294" s="31">
        <v>4301011859</v>
      </c>
      <c r="D294" s="548">
        <v>4680115885608</v>
      </c>
      <c r="E294" s="549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110</v>
      </c>
      <c r="L294" s="32"/>
      <c r="M294" s="33" t="s">
        <v>106</v>
      </c>
      <c r="N294" s="33"/>
      <c r="O294" s="32">
        <v>55</v>
      </c>
      <c r="P294" s="85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6"/>
      <c r="R294" s="546"/>
      <c r="S294" s="546"/>
      <c r="T294" s="547"/>
      <c r="U294" s="34"/>
      <c r="V294" s="34"/>
      <c r="W294" s="35" t="s">
        <v>69</v>
      </c>
      <c r="X294" s="541">
        <v>0</v>
      </c>
      <c r="Y294" s="542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465</v>
      </c>
      <c r="AG294" s="64"/>
      <c r="AJ294" s="68"/>
      <c r="AK294" s="68">
        <v>0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62" t="s">
        <v>71</v>
      </c>
      <c r="Q295" s="563"/>
      <c r="R295" s="563"/>
      <c r="S295" s="563"/>
      <c r="T295" s="563"/>
      <c r="U295" s="563"/>
      <c r="V295" s="564"/>
      <c r="W295" s="37" t="s">
        <v>72</v>
      </c>
      <c r="X295" s="543">
        <f>IFERROR(X289/H289,"0")+IFERROR(X290/H290,"0")+IFERROR(X291/H291,"0")+IFERROR(X292/H292,"0")+IFERROR(X293/H293,"0")+IFERROR(X294/H294,"0")</f>
        <v>0</v>
      </c>
      <c r="Y295" s="543">
        <f>IFERROR(Y289/H289,"0")+IFERROR(Y290/H290,"0")+IFERROR(Y291/H291,"0")+IFERROR(Y292/H292,"0")+IFERROR(Y293/H293,"0")+IFERROR(Y294/H294,"0")</f>
        <v>0</v>
      </c>
      <c r="Z295" s="543">
        <f>IFERROR(IF(Z289="",0,Z289),"0")+IFERROR(IF(Z290="",0,Z290),"0")+IFERROR(IF(Z291="",0,Z291),"0")+IFERROR(IF(Z292="",0,Z292),"0")+IFERROR(IF(Z293="",0,Z293),"0")+IFERROR(IF(Z294="",0,Z294),"0")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62" t="s">
        <v>71</v>
      </c>
      <c r="Q296" s="563"/>
      <c r="R296" s="563"/>
      <c r="S296" s="563"/>
      <c r="T296" s="563"/>
      <c r="U296" s="563"/>
      <c r="V296" s="564"/>
      <c r="W296" s="37" t="s">
        <v>69</v>
      </c>
      <c r="X296" s="543">
        <f>IFERROR(SUM(X289:X294),"0")</f>
        <v>0</v>
      </c>
      <c r="Y296" s="543">
        <f>IFERROR(SUM(Y289:Y294),"0")</f>
        <v>0</v>
      </c>
      <c r="Z296" s="37"/>
      <c r="AA296" s="544"/>
      <c r="AB296" s="544"/>
      <c r="AC296" s="544"/>
    </row>
    <row r="297" spans="1:68" ht="14.25" customHeight="1" x14ac:dyDescent="0.25">
      <c r="A297" s="558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7"/>
      <c r="AB297" s="537"/>
      <c r="AC297" s="537"/>
    </row>
    <row r="298" spans="1:68" ht="27" customHeight="1" x14ac:dyDescent="0.25">
      <c r="A298" s="54" t="s">
        <v>466</v>
      </c>
      <c r="B298" s="54" t="s">
        <v>467</v>
      </c>
      <c r="C298" s="31">
        <v>4301030878</v>
      </c>
      <c r="D298" s="548">
        <v>4607091387193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110</v>
      </c>
      <c r="L298" s="32"/>
      <c r="M298" s="33" t="s">
        <v>68</v>
      </c>
      <c r="N298" s="33"/>
      <c r="O298" s="32">
        <v>35</v>
      </c>
      <c r="P298" s="81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20</v>
      </c>
      <c r="Y298" s="542">
        <f t="shared" ref="Y298:Y304" si="31">IFERROR(IF(X298="",0,CEILING((X298/$H298),1)*$H298),"")</f>
        <v>21</v>
      </c>
      <c r="Z298" s="36">
        <f>IFERROR(IF(Y298=0,"",ROUNDUP(Y298/H298,0)*0.00902),"")</f>
        <v>4.5100000000000001E-2</v>
      </c>
      <c r="AA298" s="56"/>
      <c r="AB298" s="57"/>
      <c r="AC298" s="343" t="s">
        <v>468</v>
      </c>
      <c r="AG298" s="64"/>
      <c r="AJ298" s="68"/>
      <c r="AK298" s="68">
        <v>0</v>
      </c>
      <c r="BB298" s="344" t="s">
        <v>1</v>
      </c>
      <c r="BM298" s="64">
        <f t="shared" ref="BM298:BM304" si="32">IFERROR(X298*I298/H298,"0")</f>
        <v>21.19047619047619</v>
      </c>
      <c r="BN298" s="64">
        <f t="shared" ref="BN298:BN304" si="33">IFERROR(Y298*I298/H298,"0")</f>
        <v>22.25</v>
      </c>
      <c r="BO298" s="64">
        <f t="shared" ref="BO298:BO304" si="34">IFERROR(1/J298*(X298/H298),"0")</f>
        <v>3.6075036075036072E-2</v>
      </c>
      <c r="BP298" s="64">
        <f t="shared" ref="BP298:BP304" si="35">IFERROR(1/J298*(Y298/H298),"0")</f>
        <v>3.787878787878788E-2</v>
      </c>
    </row>
    <row r="299" spans="1:68" ht="27" customHeight="1" x14ac:dyDescent="0.25">
      <c r="A299" s="54" t="s">
        <v>469</v>
      </c>
      <c r="B299" s="54" t="s">
        <v>470</v>
      </c>
      <c r="C299" s="31">
        <v>4301031153</v>
      </c>
      <c r="D299" s="548">
        <v>4607091387230</v>
      </c>
      <c r="E299" s="549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110</v>
      </c>
      <c r="L299" s="32"/>
      <c r="M299" s="33" t="s">
        <v>68</v>
      </c>
      <c r="N299" s="33"/>
      <c r="O299" s="32">
        <v>40</v>
      </c>
      <c r="P299" s="73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31"/>
        <v>0</v>
      </c>
      <c r="Z299" s="36" t="str">
        <f>IFERROR(IF(Y299=0,"",ROUNDUP(Y299/H299,0)*0.00902),"")</f>
        <v/>
      </c>
      <c r="AA299" s="56"/>
      <c r="AB299" s="57"/>
      <c r="AC299" s="345" t="s">
        <v>471</v>
      </c>
      <c r="AG299" s="64"/>
      <c r="AJ299" s="68"/>
      <c r="AK299" s="68">
        <v>0</v>
      </c>
      <c r="BB299" s="346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customHeight="1" x14ac:dyDescent="0.25">
      <c r="A300" s="54" t="s">
        <v>472</v>
      </c>
      <c r="B300" s="54" t="s">
        <v>473</v>
      </c>
      <c r="C300" s="31">
        <v>4301031154</v>
      </c>
      <c r="D300" s="548">
        <v>4607091387292</v>
      </c>
      <c r="E300" s="549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45</v>
      </c>
      <c r="P300" s="66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474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475</v>
      </c>
      <c r="B301" s="54" t="s">
        <v>476</v>
      </c>
      <c r="C301" s="31">
        <v>4301031152</v>
      </c>
      <c r="D301" s="548">
        <v>4607091387285</v>
      </c>
      <c r="E301" s="549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79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471</v>
      </c>
      <c r="AG301" s="64"/>
      <c r="AJ301" s="68"/>
      <c r="AK301" s="68">
        <v>0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477</v>
      </c>
      <c r="B302" s="54" t="s">
        <v>478</v>
      </c>
      <c r="C302" s="31">
        <v>4301031305</v>
      </c>
      <c r="D302" s="548">
        <v>4607091389845</v>
      </c>
      <c r="E302" s="549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 t="s">
        <v>273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479</v>
      </c>
      <c r="AG302" s="64"/>
      <c r="AJ302" s="68" t="s">
        <v>80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480</v>
      </c>
      <c r="B303" s="54" t="s">
        <v>481</v>
      </c>
      <c r="C303" s="31">
        <v>4301031306</v>
      </c>
      <c r="D303" s="548">
        <v>4680115882881</v>
      </c>
      <c r="E303" s="549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681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customHeight="1" x14ac:dyDescent="0.25">
      <c r="A304" s="54" t="s">
        <v>482</v>
      </c>
      <c r="B304" s="54" t="s">
        <v>483</v>
      </c>
      <c r="C304" s="31">
        <v>4301031066</v>
      </c>
      <c r="D304" s="548">
        <v>4607091383836</v>
      </c>
      <c r="E304" s="549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 t="s">
        <v>77</v>
      </c>
      <c r="M304" s="33" t="s">
        <v>68</v>
      </c>
      <c r="N304" s="33"/>
      <c r="O304" s="32">
        <v>40</v>
      </c>
      <c r="P304" s="72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6"/>
      <c r="R304" s="546"/>
      <c r="S304" s="546"/>
      <c r="T304" s="547"/>
      <c r="U304" s="34"/>
      <c r="V304" s="34"/>
      <c r="W304" s="35" t="s">
        <v>69</v>
      </c>
      <c r="X304" s="541">
        <v>0</v>
      </c>
      <c r="Y304" s="542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484</v>
      </c>
      <c r="AG304" s="64"/>
      <c r="AJ304" s="68" t="s">
        <v>80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62" t="s">
        <v>71</v>
      </c>
      <c r="Q305" s="563"/>
      <c r="R305" s="563"/>
      <c r="S305" s="563"/>
      <c r="T305" s="563"/>
      <c r="U305" s="563"/>
      <c r="V305" s="564"/>
      <c r="W305" s="37" t="s">
        <v>72</v>
      </c>
      <c r="X305" s="543">
        <f>IFERROR(X298/H298,"0")+IFERROR(X299/H299,"0")+IFERROR(X300/H300,"0")+IFERROR(X301/H301,"0")+IFERROR(X302/H302,"0")+IFERROR(X303/H303,"0")+IFERROR(X304/H304,"0")</f>
        <v>4.7619047619047619</v>
      </c>
      <c r="Y305" s="543">
        <f>IFERROR(Y298/H298,"0")+IFERROR(Y299/H299,"0")+IFERROR(Y300/H300,"0")+IFERROR(Y301/H301,"0")+IFERROR(Y302/H302,"0")+IFERROR(Y303/H303,"0")+IFERROR(Y304/H304,"0")</f>
        <v>5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4.5100000000000001E-2</v>
      </c>
      <c r="AA305" s="544"/>
      <c r="AB305" s="544"/>
      <c r="AC305" s="544"/>
    </row>
    <row r="306" spans="1:68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62" t="s">
        <v>71</v>
      </c>
      <c r="Q306" s="563"/>
      <c r="R306" s="563"/>
      <c r="S306" s="563"/>
      <c r="T306" s="563"/>
      <c r="U306" s="563"/>
      <c r="V306" s="564"/>
      <c r="W306" s="37" t="s">
        <v>69</v>
      </c>
      <c r="X306" s="543">
        <f>IFERROR(SUM(X298:X304),"0")</f>
        <v>20</v>
      </c>
      <c r="Y306" s="543">
        <f>IFERROR(SUM(Y298:Y304),"0")</f>
        <v>21</v>
      </c>
      <c r="Z306" s="37"/>
      <c r="AA306" s="544"/>
      <c r="AB306" s="544"/>
      <c r="AC306" s="544"/>
    </row>
    <row r="307" spans="1:68" ht="14.25" customHeight="1" x14ac:dyDescent="0.25">
      <c r="A307" s="558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7"/>
      <c r="AB307" s="537"/>
      <c r="AC307" s="537"/>
    </row>
    <row r="308" spans="1:68" ht="27" customHeight="1" x14ac:dyDescent="0.25">
      <c r="A308" s="54" t="s">
        <v>485</v>
      </c>
      <c r="B308" s="54" t="s">
        <v>486</v>
      </c>
      <c r="C308" s="31">
        <v>4301051100</v>
      </c>
      <c r="D308" s="548">
        <v>4607091387766</v>
      </c>
      <c r="E308" s="549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104</v>
      </c>
      <c r="L308" s="32"/>
      <c r="M308" s="33" t="s">
        <v>78</v>
      </c>
      <c r="N308" s="33"/>
      <c r="O308" s="32">
        <v>40</v>
      </c>
      <c r="P308" s="68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488</v>
      </c>
      <c r="B309" s="54" t="s">
        <v>489</v>
      </c>
      <c r="C309" s="31">
        <v>4301051818</v>
      </c>
      <c r="D309" s="548">
        <v>4607091387957</v>
      </c>
      <c r="E309" s="549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104</v>
      </c>
      <c r="L309" s="32"/>
      <c r="M309" s="33" t="s">
        <v>78</v>
      </c>
      <c r="N309" s="33"/>
      <c r="O309" s="32">
        <v>40</v>
      </c>
      <c r="P309" s="71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491</v>
      </c>
      <c r="B310" s="54" t="s">
        <v>492</v>
      </c>
      <c r="C310" s="31">
        <v>4301051819</v>
      </c>
      <c r="D310" s="548">
        <v>4607091387964</v>
      </c>
      <c r="E310" s="549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104</v>
      </c>
      <c r="L310" s="32"/>
      <c r="M310" s="33" t="s">
        <v>78</v>
      </c>
      <c r="N310" s="33"/>
      <c r="O310" s="32">
        <v>40</v>
      </c>
      <c r="P310" s="69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493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494</v>
      </c>
      <c r="B311" s="54" t="s">
        <v>495</v>
      </c>
      <c r="C311" s="31">
        <v>4301051734</v>
      </c>
      <c r="D311" s="548">
        <v>4680115884588</v>
      </c>
      <c r="E311" s="549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/>
      <c r="M311" s="33" t="s">
        <v>78</v>
      </c>
      <c r="N311" s="33"/>
      <c r="O311" s="32">
        <v>40</v>
      </c>
      <c r="P311" s="70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496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4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62" t="s">
        <v>71</v>
      </c>
      <c r="Q312" s="563"/>
      <c r="R312" s="563"/>
      <c r="S312" s="563"/>
      <c r="T312" s="563"/>
      <c r="U312" s="563"/>
      <c r="V312" s="564"/>
      <c r="W312" s="37" t="s">
        <v>72</v>
      </c>
      <c r="X312" s="543">
        <f>IFERROR(X308/H308,"0")+IFERROR(X309/H309,"0")+IFERROR(X310/H310,"0")+IFERROR(X311/H311,"0")</f>
        <v>0</v>
      </c>
      <c r="Y312" s="543">
        <f>IFERROR(Y308/H308,"0")+IFERROR(Y309/H309,"0")+IFERROR(Y310/H310,"0")+IFERROR(Y311/H311,"0")</f>
        <v>0</v>
      </c>
      <c r="Z312" s="543">
        <f>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x14ac:dyDescent="0.2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62" t="s">
        <v>71</v>
      </c>
      <c r="Q313" s="563"/>
      <c r="R313" s="563"/>
      <c r="S313" s="563"/>
      <c r="T313" s="563"/>
      <c r="U313" s="563"/>
      <c r="V313" s="564"/>
      <c r="W313" s="37" t="s">
        <v>69</v>
      </c>
      <c r="X313" s="543">
        <f>IFERROR(SUM(X308:X311),"0")</f>
        <v>0</v>
      </c>
      <c r="Y313" s="543">
        <f>IFERROR(SUM(Y308:Y311),"0")</f>
        <v>0</v>
      </c>
      <c r="Z313" s="37"/>
      <c r="AA313" s="544"/>
      <c r="AB313" s="544"/>
      <c r="AC313" s="544"/>
    </row>
    <row r="314" spans="1:68" ht="14.25" customHeight="1" x14ac:dyDescent="0.25">
      <c r="A314" s="558" t="s">
        <v>164</v>
      </c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  <c r="W314" s="555"/>
      <c r="X314" s="555"/>
      <c r="Y314" s="555"/>
      <c r="Z314" s="555"/>
      <c r="AA314" s="537"/>
      <c r="AB314" s="537"/>
      <c r="AC314" s="537"/>
    </row>
    <row r="315" spans="1:68" ht="27" customHeight="1" x14ac:dyDescent="0.25">
      <c r="A315" s="54" t="s">
        <v>497</v>
      </c>
      <c r="B315" s="54" t="s">
        <v>498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104</v>
      </c>
      <c r="L315" s="32" t="s">
        <v>105</v>
      </c>
      <c r="M315" s="33" t="s">
        <v>78</v>
      </c>
      <c r="N315" s="33"/>
      <c r="O315" s="32">
        <v>30</v>
      </c>
      <c r="P315" s="5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499</v>
      </c>
      <c r="AG315" s="64"/>
      <c r="AJ315" s="68" t="s">
        <v>80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500</v>
      </c>
      <c r="B316" s="54" t="s">
        <v>501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104</v>
      </c>
      <c r="L316" s="32" t="s">
        <v>105</v>
      </c>
      <c r="M316" s="33" t="s">
        <v>78</v>
      </c>
      <c r="N316" s="33"/>
      <c r="O316" s="32">
        <v>30</v>
      </c>
      <c r="P316" s="5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30</v>
      </c>
      <c r="Y316" s="542">
        <f>IFERROR(IF(X316="",0,CEILING((X316/$H316),1)*$H316),"")</f>
        <v>31.2</v>
      </c>
      <c r="Z316" s="36">
        <f>IFERROR(IF(Y316=0,"",ROUNDUP(Y316/H316,0)*0.01898),"")</f>
        <v>7.5920000000000001E-2</v>
      </c>
      <c r="AA316" s="56"/>
      <c r="AB316" s="57"/>
      <c r="AC316" s="367" t="s">
        <v>502</v>
      </c>
      <c r="AG316" s="64"/>
      <c r="AJ316" s="68" t="s">
        <v>80</v>
      </c>
      <c r="AK316" s="68">
        <v>62.4</v>
      </c>
      <c r="BB316" s="368" t="s">
        <v>1</v>
      </c>
      <c r="BM316" s="64">
        <f>IFERROR(X316*I316/H316,"0")</f>
        <v>31.900000000000002</v>
      </c>
      <c r="BN316" s="64">
        <f>IFERROR(Y316*I316/H316,"0")</f>
        <v>33.176000000000002</v>
      </c>
      <c r="BO316" s="64">
        <f>IFERROR(1/J316*(X316/H316),"0")</f>
        <v>6.0096153846153848E-2</v>
      </c>
      <c r="BP316" s="64">
        <f>IFERROR(1/J316*(Y316/H316),"0")</f>
        <v>6.25E-2</v>
      </c>
    </row>
    <row r="317" spans="1:68" ht="16.5" customHeight="1" x14ac:dyDescent="0.25">
      <c r="A317" s="54" t="s">
        <v>503</v>
      </c>
      <c r="B317" s="54" t="s">
        <v>504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104</v>
      </c>
      <c r="L317" s="32"/>
      <c r="M317" s="33" t="s">
        <v>86</v>
      </c>
      <c r="N317" s="33"/>
      <c r="O317" s="32">
        <v>30</v>
      </c>
      <c r="P317" s="83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505</v>
      </c>
      <c r="AG317" s="64"/>
      <c r="AJ317" s="68"/>
      <c r="AK317" s="68">
        <v>0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54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62" t="s">
        <v>71</v>
      </c>
      <c r="Q318" s="563"/>
      <c r="R318" s="563"/>
      <c r="S318" s="563"/>
      <c r="T318" s="563"/>
      <c r="U318" s="563"/>
      <c r="V318" s="564"/>
      <c r="W318" s="37" t="s">
        <v>72</v>
      </c>
      <c r="X318" s="543">
        <f>IFERROR(X315/H315,"0")+IFERROR(X316/H316,"0")+IFERROR(X317/H317,"0")</f>
        <v>3.8461538461538463</v>
      </c>
      <c r="Y318" s="543">
        <f>IFERROR(Y315/H315,"0")+IFERROR(Y316/H316,"0")+IFERROR(Y317/H317,"0")</f>
        <v>4</v>
      </c>
      <c r="Z318" s="543">
        <f>IFERROR(IF(Z315="",0,Z315),"0")+IFERROR(IF(Z316="",0,Z316),"0")+IFERROR(IF(Z317="",0,Z317),"0")</f>
        <v>7.5920000000000001E-2</v>
      </c>
      <c r="AA318" s="544"/>
      <c r="AB318" s="544"/>
      <c r="AC318" s="544"/>
    </row>
    <row r="319" spans="1:68" x14ac:dyDescent="0.2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62" t="s">
        <v>71</v>
      </c>
      <c r="Q319" s="563"/>
      <c r="R319" s="563"/>
      <c r="S319" s="563"/>
      <c r="T319" s="563"/>
      <c r="U319" s="563"/>
      <c r="V319" s="564"/>
      <c r="W319" s="37" t="s">
        <v>69</v>
      </c>
      <c r="X319" s="543">
        <f>IFERROR(SUM(X315:X317),"0")</f>
        <v>30</v>
      </c>
      <c r="Y319" s="543">
        <f>IFERROR(SUM(Y315:Y317),"0")</f>
        <v>31.2</v>
      </c>
      <c r="Z319" s="37"/>
      <c r="AA319" s="544"/>
      <c r="AB319" s="544"/>
      <c r="AC319" s="544"/>
    </row>
    <row r="320" spans="1:68" ht="14.25" customHeight="1" x14ac:dyDescent="0.25">
      <c r="A320" s="558" t="s">
        <v>93</v>
      </c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  <c r="W320" s="555"/>
      <c r="X320" s="555"/>
      <c r="Y320" s="555"/>
      <c r="Z320" s="555"/>
      <c r="AA320" s="537"/>
      <c r="AB320" s="537"/>
      <c r="AC320" s="537"/>
    </row>
    <row r="321" spans="1:68" ht="27" customHeight="1" x14ac:dyDescent="0.25">
      <c r="A321" s="54" t="s">
        <v>506</v>
      </c>
      <c r="B321" s="54" t="s">
        <v>507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78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508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509</v>
      </c>
      <c r="B322" s="54" t="s">
        <v>510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1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511</v>
      </c>
      <c r="B323" s="54" t="s">
        <v>512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 t="s">
        <v>77</v>
      </c>
      <c r="M323" s="33" t="s">
        <v>96</v>
      </c>
      <c r="N323" s="33"/>
      <c r="O323" s="32">
        <v>180</v>
      </c>
      <c r="P323" s="78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513</v>
      </c>
      <c r="AG323" s="64"/>
      <c r="AJ323" s="68" t="s">
        <v>80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514</v>
      </c>
      <c r="B324" s="54" t="s">
        <v>515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/>
      <c r="M324" s="33" t="s">
        <v>96</v>
      </c>
      <c r="N324" s="33"/>
      <c r="O324" s="32">
        <v>180</v>
      </c>
      <c r="P324" s="71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508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54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62" t="s">
        <v>71</v>
      </c>
      <c r="Q325" s="563"/>
      <c r="R325" s="563"/>
      <c r="S325" s="563"/>
      <c r="T325" s="563"/>
      <c r="U325" s="563"/>
      <c r="V325" s="564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x14ac:dyDescent="0.2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62" t="s">
        <v>71</v>
      </c>
      <c r="Q326" s="563"/>
      <c r="R326" s="563"/>
      <c r="S326" s="563"/>
      <c r="T326" s="563"/>
      <c r="U326" s="563"/>
      <c r="V326" s="564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customHeight="1" x14ac:dyDescent="0.25">
      <c r="A327" s="558" t="s">
        <v>516</v>
      </c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  <c r="W327" s="555"/>
      <c r="X327" s="555"/>
      <c r="Y327" s="555"/>
      <c r="Z327" s="555"/>
      <c r="AA327" s="537"/>
      <c r="AB327" s="537"/>
      <c r="AC327" s="537"/>
    </row>
    <row r="328" spans="1:68" ht="16.5" customHeight="1" x14ac:dyDescent="0.25">
      <c r="A328" s="54" t="s">
        <v>517</v>
      </c>
      <c r="B328" s="54" t="s">
        <v>518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519</v>
      </c>
      <c r="N328" s="33"/>
      <c r="O328" s="32">
        <v>730</v>
      </c>
      <c r="P328" s="56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520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521</v>
      </c>
      <c r="B329" s="54" t="s">
        <v>522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519</v>
      </c>
      <c r="N329" s="33"/>
      <c r="O329" s="32">
        <v>730</v>
      </c>
      <c r="P329" s="6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520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523</v>
      </c>
      <c r="B330" s="54" t="s">
        <v>524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519</v>
      </c>
      <c r="N330" s="33"/>
      <c r="O330" s="32">
        <v>730</v>
      </c>
      <c r="P330" s="7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520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54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62" t="s">
        <v>71</v>
      </c>
      <c r="Q331" s="563"/>
      <c r="R331" s="563"/>
      <c r="S331" s="563"/>
      <c r="T331" s="563"/>
      <c r="U331" s="563"/>
      <c r="V331" s="564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x14ac:dyDescent="0.2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62" t="s">
        <v>71</v>
      </c>
      <c r="Q332" s="563"/>
      <c r="R332" s="563"/>
      <c r="S332" s="563"/>
      <c r="T332" s="563"/>
      <c r="U332" s="563"/>
      <c r="V332" s="564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customHeight="1" x14ac:dyDescent="0.25">
      <c r="A333" s="559" t="s">
        <v>525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6"/>
      <c r="AB333" s="536"/>
      <c r="AC333" s="536"/>
    </row>
    <row r="334" spans="1:68" ht="14.25" customHeight="1" x14ac:dyDescent="0.25">
      <c r="A334" s="558" t="s">
        <v>73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7"/>
      <c r="AB334" s="537"/>
      <c r="AC334" s="537"/>
    </row>
    <row r="335" spans="1:68" ht="27" customHeight="1" x14ac:dyDescent="0.25">
      <c r="A335" s="54" t="s">
        <v>526</v>
      </c>
      <c r="B335" s="54" t="s">
        <v>527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104</v>
      </c>
      <c r="L335" s="32"/>
      <c r="M335" s="33" t="s">
        <v>86</v>
      </c>
      <c r="N335" s="33"/>
      <c r="O335" s="32">
        <v>45</v>
      </c>
      <c r="P335" s="77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528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529</v>
      </c>
      <c r="B336" s="54" t="s">
        <v>530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77</v>
      </c>
      <c r="M336" s="33" t="s">
        <v>78</v>
      </c>
      <c r="N336" s="33"/>
      <c r="O336" s="32">
        <v>45</v>
      </c>
      <c r="P336" s="80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8.3999999999999986</v>
      </c>
      <c r="Y336" s="542">
        <f>IFERROR(IF(X336="",0,CEILING((X336/$H336),1)*$H336),"")</f>
        <v>8.4</v>
      </c>
      <c r="Z336" s="36">
        <f>IFERROR(IF(Y336=0,"",ROUNDUP(Y336/H336,0)*0.00651),"")</f>
        <v>2.6040000000000001E-2</v>
      </c>
      <c r="AA336" s="56"/>
      <c r="AB336" s="57"/>
      <c r="AC336" s="387" t="s">
        <v>531</v>
      </c>
      <c r="AG336" s="64"/>
      <c r="AJ336" s="68" t="s">
        <v>80</v>
      </c>
      <c r="AK336" s="68">
        <v>29.4</v>
      </c>
      <c r="BB336" s="388" t="s">
        <v>1</v>
      </c>
      <c r="BM336" s="64">
        <f>IFERROR(X336*I336/H336,"0")</f>
        <v>9.4079999999999977</v>
      </c>
      <c r="BN336" s="64">
        <f>IFERROR(Y336*I336/H336,"0")</f>
        <v>9.4079999999999995</v>
      </c>
      <c r="BO336" s="64">
        <f>IFERROR(1/J336*(X336/H336),"0")</f>
        <v>2.1978021978021976E-2</v>
      </c>
      <c r="BP336" s="64">
        <f>IFERROR(1/J336*(Y336/H336),"0")</f>
        <v>2.197802197802198E-2</v>
      </c>
    </row>
    <row r="337" spans="1:68" ht="27" customHeight="1" x14ac:dyDescent="0.25">
      <c r="A337" s="54" t="s">
        <v>532</v>
      </c>
      <c r="B337" s="54" t="s">
        <v>533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77</v>
      </c>
      <c r="M337" s="33" t="s">
        <v>86</v>
      </c>
      <c r="N337" s="33"/>
      <c r="O337" s="32">
        <v>40</v>
      </c>
      <c r="P337" s="62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6.3</v>
      </c>
      <c r="Y337" s="542">
        <f>IFERROR(IF(X337="",0,CEILING((X337/$H337),1)*$H337),"")</f>
        <v>6.3000000000000007</v>
      </c>
      <c r="Z337" s="36">
        <f>IFERROR(IF(Y337=0,"",ROUNDUP(Y337/H337,0)*0.00651),"")</f>
        <v>1.9529999999999999E-2</v>
      </c>
      <c r="AA337" s="56"/>
      <c r="AB337" s="57"/>
      <c r="AC337" s="389" t="s">
        <v>534</v>
      </c>
      <c r="AG337" s="64"/>
      <c r="AJ337" s="68" t="s">
        <v>80</v>
      </c>
      <c r="AK337" s="68">
        <v>29.4</v>
      </c>
      <c r="BB337" s="390" t="s">
        <v>1</v>
      </c>
      <c r="BM337" s="64">
        <f>IFERROR(X337*I337/H337,"0")</f>
        <v>7.02</v>
      </c>
      <c r="BN337" s="64">
        <f>IFERROR(Y337*I337/H337,"0")</f>
        <v>7.0200000000000005</v>
      </c>
      <c r="BO337" s="64">
        <f>IFERROR(1/J337*(X337/H337),"0")</f>
        <v>1.6483516483516484E-2</v>
      </c>
      <c r="BP337" s="64">
        <f>IFERROR(1/J337*(Y337/H337),"0")</f>
        <v>1.6483516483516484E-2</v>
      </c>
    </row>
    <row r="338" spans="1:68" x14ac:dyDescent="0.2">
      <c r="A338" s="554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62" t="s">
        <v>71</v>
      </c>
      <c r="Q338" s="563"/>
      <c r="R338" s="563"/>
      <c r="S338" s="563"/>
      <c r="T338" s="563"/>
      <c r="U338" s="563"/>
      <c r="V338" s="564"/>
      <c r="W338" s="37" t="s">
        <v>72</v>
      </c>
      <c r="X338" s="543">
        <f>IFERROR(X335/H335,"0")+IFERROR(X336/H336,"0")+IFERROR(X337/H337,"0")</f>
        <v>6.9999999999999991</v>
      </c>
      <c r="Y338" s="543">
        <f>IFERROR(Y335/H335,"0")+IFERROR(Y336/H336,"0")+IFERROR(Y337/H337,"0")</f>
        <v>7</v>
      </c>
      <c r="Z338" s="543">
        <f>IFERROR(IF(Z335="",0,Z335),"0")+IFERROR(IF(Z336="",0,Z336),"0")+IFERROR(IF(Z337="",0,Z337),"0")</f>
        <v>4.5569999999999999E-2</v>
      </c>
      <c r="AA338" s="544"/>
      <c r="AB338" s="544"/>
      <c r="AC338" s="544"/>
    </row>
    <row r="339" spans="1:68" x14ac:dyDescent="0.2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62" t="s">
        <v>71</v>
      </c>
      <c r="Q339" s="563"/>
      <c r="R339" s="563"/>
      <c r="S339" s="563"/>
      <c r="T339" s="563"/>
      <c r="U339" s="563"/>
      <c r="V339" s="564"/>
      <c r="W339" s="37" t="s">
        <v>69</v>
      </c>
      <c r="X339" s="543">
        <f>IFERROR(SUM(X335:X337),"0")</f>
        <v>14.7</v>
      </c>
      <c r="Y339" s="543">
        <f>IFERROR(SUM(Y335:Y337),"0")</f>
        <v>14.700000000000001</v>
      </c>
      <c r="Z339" s="37"/>
      <c r="AA339" s="544"/>
      <c r="AB339" s="544"/>
      <c r="AC339" s="544"/>
    </row>
    <row r="340" spans="1:68" ht="27.75" customHeight="1" x14ac:dyDescent="0.2">
      <c r="A340" s="632" t="s">
        <v>535</v>
      </c>
      <c r="B340" s="633"/>
      <c r="C340" s="633"/>
      <c r="D340" s="633"/>
      <c r="E340" s="633"/>
      <c r="F340" s="633"/>
      <c r="G340" s="633"/>
      <c r="H340" s="633"/>
      <c r="I340" s="633"/>
      <c r="J340" s="633"/>
      <c r="K340" s="633"/>
      <c r="L340" s="633"/>
      <c r="M340" s="633"/>
      <c r="N340" s="633"/>
      <c r="O340" s="633"/>
      <c r="P340" s="633"/>
      <c r="Q340" s="633"/>
      <c r="R340" s="633"/>
      <c r="S340" s="633"/>
      <c r="T340" s="633"/>
      <c r="U340" s="633"/>
      <c r="V340" s="633"/>
      <c r="W340" s="633"/>
      <c r="X340" s="633"/>
      <c r="Y340" s="633"/>
      <c r="Z340" s="633"/>
      <c r="AA340" s="48"/>
      <c r="AB340" s="48"/>
      <c r="AC340" s="48"/>
    </row>
    <row r="341" spans="1:68" ht="16.5" customHeight="1" x14ac:dyDescent="0.25">
      <c r="A341" s="559" t="s">
        <v>536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6"/>
      <c r="AB341" s="536"/>
      <c r="AC341" s="536"/>
    </row>
    <row r="342" spans="1:68" ht="14.25" customHeight="1" x14ac:dyDescent="0.25">
      <c r="A342" s="558" t="s">
        <v>101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7"/>
      <c r="AB342" s="537"/>
      <c r="AC342" s="537"/>
    </row>
    <row r="343" spans="1:68" ht="37.5" customHeight="1" x14ac:dyDescent="0.25">
      <c r="A343" s="54" t="s">
        <v>537</v>
      </c>
      <c r="B343" s="54" t="s">
        <v>538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104</v>
      </c>
      <c r="L343" s="32" t="s">
        <v>105</v>
      </c>
      <c r="M343" s="33" t="s">
        <v>68</v>
      </c>
      <c r="N343" s="33"/>
      <c r="O343" s="32">
        <v>60</v>
      </c>
      <c r="P343" s="74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0</v>
      </c>
      <c r="Y343" s="542">
        <f t="shared" ref="Y343:Y349" si="36">IFERROR(IF(X343="",0,CEILING((X343/$H343),1)*$H343),"")</f>
        <v>0</v>
      </c>
      <c r="Z343" s="36" t="str">
        <f>IFERROR(IF(Y343=0,"",ROUNDUP(Y343/H343,0)*0.02175),"")</f>
        <v/>
      </c>
      <c r="AA343" s="56"/>
      <c r="AB343" s="57"/>
      <c r="AC343" s="391" t="s">
        <v>539</v>
      </c>
      <c r="AG343" s="64"/>
      <c r="AJ343" s="68" t="s">
        <v>80</v>
      </c>
      <c r="AK343" s="68">
        <v>120</v>
      </c>
      <c r="BB343" s="392" t="s">
        <v>1</v>
      </c>
      <c r="BM343" s="64">
        <f t="shared" ref="BM343:BM349" si="37">IFERROR(X343*I343/H343,"0")</f>
        <v>0</v>
      </c>
      <c r="BN343" s="64">
        <f t="shared" ref="BN343:BN349" si="38">IFERROR(Y343*I343/H343,"0")</f>
        <v>0</v>
      </c>
      <c r="BO343" s="64">
        <f t="shared" ref="BO343:BO349" si="39">IFERROR(1/J343*(X343/H343),"0")</f>
        <v>0</v>
      </c>
      <c r="BP343" s="64">
        <f t="shared" ref="BP343:BP349" si="40">IFERROR(1/J343*(Y343/H343),"0")</f>
        <v>0</v>
      </c>
    </row>
    <row r="344" spans="1:68" ht="27" customHeight="1" x14ac:dyDescent="0.25">
      <c r="A344" s="54" t="s">
        <v>540</v>
      </c>
      <c r="B344" s="54" t="s">
        <v>541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104</v>
      </c>
      <c r="L344" s="32" t="s">
        <v>105</v>
      </c>
      <c r="M344" s="33" t="s">
        <v>68</v>
      </c>
      <c r="N344" s="33"/>
      <c r="O344" s="32">
        <v>60</v>
      </c>
      <c r="P344" s="8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90</v>
      </c>
      <c r="Y344" s="542">
        <f t="shared" si="36"/>
        <v>90</v>
      </c>
      <c r="Z344" s="36">
        <f>IFERROR(IF(Y344=0,"",ROUNDUP(Y344/H344,0)*0.02175),"")</f>
        <v>0.1305</v>
      </c>
      <c r="AA344" s="56"/>
      <c r="AB344" s="57"/>
      <c r="AC344" s="393" t="s">
        <v>542</v>
      </c>
      <c r="AG344" s="64"/>
      <c r="AJ344" s="68" t="s">
        <v>80</v>
      </c>
      <c r="AK344" s="68">
        <v>120</v>
      </c>
      <c r="BB344" s="394" t="s">
        <v>1</v>
      </c>
      <c r="BM344" s="64">
        <f t="shared" si="37"/>
        <v>92.82</v>
      </c>
      <c r="BN344" s="64">
        <f t="shared" si="38"/>
        <v>92.82</v>
      </c>
      <c r="BO344" s="64">
        <f t="shared" si="39"/>
        <v>0.125</v>
      </c>
      <c r="BP344" s="64">
        <f t="shared" si="40"/>
        <v>0.125</v>
      </c>
    </row>
    <row r="345" spans="1:68" ht="37.5" customHeight="1" x14ac:dyDescent="0.25">
      <c r="A345" s="54" t="s">
        <v>543</v>
      </c>
      <c r="B345" s="54" t="s">
        <v>544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104</v>
      </c>
      <c r="L345" s="32" t="s">
        <v>105</v>
      </c>
      <c r="M345" s="33" t="s">
        <v>68</v>
      </c>
      <c r="N345" s="33"/>
      <c r="O345" s="32">
        <v>60</v>
      </c>
      <c r="P345" s="75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90</v>
      </c>
      <c r="Y345" s="542">
        <f t="shared" si="36"/>
        <v>90</v>
      </c>
      <c r="Z345" s="36">
        <f>IFERROR(IF(Y345=0,"",ROUNDUP(Y345/H345,0)*0.02175),"")</f>
        <v>0.1305</v>
      </c>
      <c r="AA345" s="56"/>
      <c r="AB345" s="57"/>
      <c r="AC345" s="395" t="s">
        <v>545</v>
      </c>
      <c r="AG345" s="64"/>
      <c r="AJ345" s="68" t="s">
        <v>80</v>
      </c>
      <c r="AK345" s="68">
        <v>120</v>
      </c>
      <c r="BB345" s="396" t="s">
        <v>1</v>
      </c>
      <c r="BM345" s="64">
        <f t="shared" si="37"/>
        <v>92.82</v>
      </c>
      <c r="BN345" s="64">
        <f t="shared" si="38"/>
        <v>92.82</v>
      </c>
      <c r="BO345" s="64">
        <f t="shared" si="39"/>
        <v>0.125</v>
      </c>
      <c r="BP345" s="64">
        <f t="shared" si="40"/>
        <v>0.125</v>
      </c>
    </row>
    <row r="346" spans="1:68" ht="27" customHeight="1" x14ac:dyDescent="0.25">
      <c r="A346" s="54" t="s">
        <v>546</v>
      </c>
      <c r="B346" s="54" t="s">
        <v>547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104</v>
      </c>
      <c r="L346" s="32"/>
      <c r="M346" s="33" t="s">
        <v>86</v>
      </c>
      <c r="N346" s="33"/>
      <c r="O346" s="32">
        <v>60</v>
      </c>
      <c r="P346" s="78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0</v>
      </c>
      <c r="Y346" s="542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548</v>
      </c>
      <c r="AG346" s="64"/>
      <c r="AJ346" s="68"/>
      <c r="AK346" s="68">
        <v>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27" customHeight="1" x14ac:dyDescent="0.25">
      <c r="A347" s="54" t="s">
        <v>549</v>
      </c>
      <c r="B347" s="54" t="s">
        <v>550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8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551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customHeight="1" x14ac:dyDescent="0.25">
      <c r="A348" s="54" t="s">
        <v>552</v>
      </c>
      <c r="B348" s="54" t="s">
        <v>553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78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542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customHeight="1" x14ac:dyDescent="0.25">
      <c r="A349" s="54" t="s">
        <v>554</v>
      </c>
      <c r="B349" s="54" t="s">
        <v>555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110</v>
      </c>
      <c r="L349" s="32"/>
      <c r="M349" s="33" t="s">
        <v>68</v>
      </c>
      <c r="N349" s="33"/>
      <c r="O349" s="32">
        <v>60</v>
      </c>
      <c r="P349" s="81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0</v>
      </c>
      <c r="Y349" s="542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545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54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62" t="s">
        <v>71</v>
      </c>
      <c r="Q350" s="563"/>
      <c r="R350" s="563"/>
      <c r="S350" s="563"/>
      <c r="T350" s="563"/>
      <c r="U350" s="563"/>
      <c r="V350" s="564"/>
      <c r="W350" s="37" t="s">
        <v>72</v>
      </c>
      <c r="X350" s="543">
        <f>IFERROR(X343/H343,"0")+IFERROR(X344/H344,"0")+IFERROR(X345/H345,"0")+IFERROR(X346/H346,"0")+IFERROR(X347/H347,"0")+IFERROR(X348/H348,"0")+IFERROR(X349/H349,"0")</f>
        <v>12</v>
      </c>
      <c r="Y350" s="543">
        <f>IFERROR(Y343/H343,"0")+IFERROR(Y344/H344,"0")+IFERROR(Y345/H345,"0")+IFERROR(Y346/H346,"0")+IFERROR(Y347/H347,"0")+IFERROR(Y348/H348,"0")+IFERROR(Y349/H349,"0")</f>
        <v>12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0.26100000000000001</v>
      </c>
      <c r="AA350" s="544"/>
      <c r="AB350" s="544"/>
      <c r="AC350" s="544"/>
    </row>
    <row r="351" spans="1:68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62" t="s">
        <v>71</v>
      </c>
      <c r="Q351" s="563"/>
      <c r="R351" s="563"/>
      <c r="S351" s="563"/>
      <c r="T351" s="563"/>
      <c r="U351" s="563"/>
      <c r="V351" s="564"/>
      <c r="W351" s="37" t="s">
        <v>69</v>
      </c>
      <c r="X351" s="543">
        <f>IFERROR(SUM(X343:X349),"0")</f>
        <v>180</v>
      </c>
      <c r="Y351" s="543">
        <f>IFERROR(SUM(Y343:Y349),"0")</f>
        <v>180</v>
      </c>
      <c r="Z351" s="37"/>
      <c r="AA351" s="544"/>
      <c r="AB351" s="544"/>
      <c r="AC351" s="544"/>
    </row>
    <row r="352" spans="1:68" ht="14.25" customHeight="1" x14ac:dyDescent="0.25">
      <c r="A352" s="558" t="s">
        <v>136</v>
      </c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  <c r="W352" s="555"/>
      <c r="X352" s="555"/>
      <c r="Y352" s="555"/>
      <c r="Z352" s="555"/>
      <c r="AA352" s="537"/>
      <c r="AB352" s="537"/>
      <c r="AC352" s="537"/>
    </row>
    <row r="353" spans="1:68" ht="27" customHeight="1" x14ac:dyDescent="0.25">
      <c r="A353" s="54" t="s">
        <v>556</v>
      </c>
      <c r="B353" s="54" t="s">
        <v>557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104</v>
      </c>
      <c r="L353" s="32" t="s">
        <v>105</v>
      </c>
      <c r="M353" s="33" t="s">
        <v>106</v>
      </c>
      <c r="N353" s="33"/>
      <c r="O353" s="32">
        <v>50</v>
      </c>
      <c r="P353" s="68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0</v>
      </c>
      <c r="Y353" s="542">
        <f>IFERROR(IF(X353="",0,CEILING((X353/$H353),1)*$H353),"")</f>
        <v>0</v>
      </c>
      <c r="Z353" s="36" t="str">
        <f>IFERROR(IF(Y353=0,"",ROUNDUP(Y353/H353,0)*0.02175),"")</f>
        <v/>
      </c>
      <c r="AA353" s="56"/>
      <c r="AB353" s="57"/>
      <c r="AC353" s="405" t="s">
        <v>558</v>
      </c>
      <c r="AG353" s="64"/>
      <c r="AJ353" s="68" t="s">
        <v>80</v>
      </c>
      <c r="AK353" s="68">
        <v>120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16.5" customHeight="1" x14ac:dyDescent="0.25">
      <c r="A354" s="54" t="s">
        <v>559</v>
      </c>
      <c r="B354" s="54" t="s">
        <v>560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80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558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4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62" t="s">
        <v>71</v>
      </c>
      <c r="Q355" s="563"/>
      <c r="R355" s="563"/>
      <c r="S355" s="563"/>
      <c r="T355" s="563"/>
      <c r="U355" s="563"/>
      <c r="V355" s="564"/>
      <c r="W355" s="37" t="s">
        <v>72</v>
      </c>
      <c r="X355" s="543">
        <f>IFERROR(X353/H353,"0")+IFERROR(X354/H354,"0")</f>
        <v>0</v>
      </c>
      <c r="Y355" s="543">
        <f>IFERROR(Y353/H353,"0")+IFERROR(Y354/H354,"0")</f>
        <v>0</v>
      </c>
      <c r="Z355" s="543">
        <f>IFERROR(IF(Z353="",0,Z353),"0")+IFERROR(IF(Z354="",0,Z354),"0")</f>
        <v>0</v>
      </c>
      <c r="AA355" s="544"/>
      <c r="AB355" s="544"/>
      <c r="AC355" s="544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62" t="s">
        <v>71</v>
      </c>
      <c r="Q356" s="563"/>
      <c r="R356" s="563"/>
      <c r="S356" s="563"/>
      <c r="T356" s="563"/>
      <c r="U356" s="563"/>
      <c r="V356" s="564"/>
      <c r="W356" s="37" t="s">
        <v>69</v>
      </c>
      <c r="X356" s="543">
        <f>IFERROR(SUM(X353:X354),"0")</f>
        <v>0</v>
      </c>
      <c r="Y356" s="543">
        <f>IFERROR(SUM(Y353:Y354),"0")</f>
        <v>0</v>
      </c>
      <c r="Z356" s="37"/>
      <c r="AA356" s="544"/>
      <c r="AB356" s="544"/>
      <c r="AC356" s="544"/>
    </row>
    <row r="357" spans="1:68" ht="14.25" customHeight="1" x14ac:dyDescent="0.25">
      <c r="A357" s="558" t="s">
        <v>73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37"/>
      <c r="AB357" s="537"/>
      <c r="AC357" s="537"/>
    </row>
    <row r="358" spans="1:68" ht="27" customHeight="1" x14ac:dyDescent="0.25">
      <c r="A358" s="54" t="s">
        <v>561</v>
      </c>
      <c r="B358" s="54" t="s">
        <v>562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104</v>
      </c>
      <c r="L358" s="32"/>
      <c r="M358" s="33" t="s">
        <v>78</v>
      </c>
      <c r="N358" s="33"/>
      <c r="O358" s="32">
        <v>40</v>
      </c>
      <c r="P358" s="67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564</v>
      </c>
      <c r="B359" s="54" t="s">
        <v>565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104</v>
      </c>
      <c r="L359" s="32"/>
      <c r="M359" s="33" t="s">
        <v>78</v>
      </c>
      <c r="N359" s="33"/>
      <c r="O359" s="32">
        <v>40</v>
      </c>
      <c r="P359" s="78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/>
      <c r="AK359" s="68">
        <v>0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54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62" t="s">
        <v>71</v>
      </c>
      <c r="Q360" s="563"/>
      <c r="R360" s="563"/>
      <c r="S360" s="563"/>
      <c r="T360" s="563"/>
      <c r="U360" s="563"/>
      <c r="V360" s="564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62" t="s">
        <v>71</v>
      </c>
      <c r="Q361" s="563"/>
      <c r="R361" s="563"/>
      <c r="S361" s="563"/>
      <c r="T361" s="563"/>
      <c r="U361" s="563"/>
      <c r="V361" s="564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customHeight="1" x14ac:dyDescent="0.25">
      <c r="A362" s="558" t="s">
        <v>164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37"/>
      <c r="AB362" s="537"/>
      <c r="AC362" s="537"/>
    </row>
    <row r="363" spans="1:68" ht="16.5" customHeight="1" x14ac:dyDescent="0.25">
      <c r="A363" s="54" t="s">
        <v>567</v>
      </c>
      <c r="B363" s="54" t="s">
        <v>568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104</v>
      </c>
      <c r="L363" s="32"/>
      <c r="M363" s="33" t="s">
        <v>78</v>
      </c>
      <c r="N363" s="33"/>
      <c r="O363" s="32">
        <v>40</v>
      </c>
      <c r="P363" s="8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54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62" t="s">
        <v>71</v>
      </c>
      <c r="Q364" s="563"/>
      <c r="R364" s="563"/>
      <c r="S364" s="563"/>
      <c r="T364" s="563"/>
      <c r="U364" s="563"/>
      <c r="V364" s="564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x14ac:dyDescent="0.2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62" t="s">
        <v>71</v>
      </c>
      <c r="Q365" s="563"/>
      <c r="R365" s="563"/>
      <c r="S365" s="563"/>
      <c r="T365" s="563"/>
      <c r="U365" s="563"/>
      <c r="V365" s="564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customHeight="1" x14ac:dyDescent="0.25">
      <c r="A366" s="559" t="s">
        <v>570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6"/>
      <c r="AB366" s="536"/>
      <c r="AC366" s="536"/>
    </row>
    <row r="367" spans="1:68" ht="14.25" customHeight="1" x14ac:dyDescent="0.25">
      <c r="A367" s="558" t="s">
        <v>101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7"/>
      <c r="AB367" s="537"/>
      <c r="AC367" s="537"/>
    </row>
    <row r="368" spans="1:68" ht="37.5" customHeight="1" x14ac:dyDescent="0.25">
      <c r="A368" s="54" t="s">
        <v>571</v>
      </c>
      <c r="B368" s="54" t="s">
        <v>572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104</v>
      </c>
      <c r="L368" s="32"/>
      <c r="M368" s="33" t="s">
        <v>68</v>
      </c>
      <c r="N368" s="33"/>
      <c r="O368" s="32">
        <v>60</v>
      </c>
      <c r="P368" s="85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574</v>
      </c>
      <c r="B369" s="54" t="s">
        <v>575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110</v>
      </c>
      <c r="L369" s="32"/>
      <c r="M369" s="33" t="s">
        <v>68</v>
      </c>
      <c r="N369" s="33"/>
      <c r="O369" s="32">
        <v>60</v>
      </c>
      <c r="P369" s="8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4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62" t="s">
        <v>71</v>
      </c>
      <c r="Q370" s="563"/>
      <c r="R370" s="563"/>
      <c r="S370" s="563"/>
      <c r="T370" s="563"/>
      <c r="U370" s="563"/>
      <c r="V370" s="564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x14ac:dyDescent="0.2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62" t="s">
        <v>71</v>
      </c>
      <c r="Q371" s="563"/>
      <c r="R371" s="563"/>
      <c r="S371" s="563"/>
      <c r="T371" s="563"/>
      <c r="U371" s="563"/>
      <c r="V371" s="564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customHeight="1" x14ac:dyDescent="0.25">
      <c r="A372" s="558" t="s">
        <v>64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37"/>
      <c r="AB372" s="537"/>
      <c r="AC372" s="537"/>
    </row>
    <row r="373" spans="1:68" ht="27" customHeight="1" x14ac:dyDescent="0.25">
      <c r="A373" s="54" t="s">
        <v>576</v>
      </c>
      <c r="B373" s="54" t="s">
        <v>577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110</v>
      </c>
      <c r="L373" s="32"/>
      <c r="M373" s="33" t="s">
        <v>68</v>
      </c>
      <c r="N373" s="33"/>
      <c r="O373" s="32">
        <v>35</v>
      </c>
      <c r="P373" s="86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576</v>
      </c>
      <c r="B374" s="54" t="s">
        <v>579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0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4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62" t="s">
        <v>71</v>
      </c>
      <c r="Q375" s="563"/>
      <c r="R375" s="563"/>
      <c r="S375" s="563"/>
      <c r="T375" s="563"/>
      <c r="U375" s="563"/>
      <c r="V375" s="564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62" t="s">
        <v>71</v>
      </c>
      <c r="Q376" s="563"/>
      <c r="R376" s="563"/>
      <c r="S376" s="563"/>
      <c r="T376" s="563"/>
      <c r="U376" s="563"/>
      <c r="V376" s="564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customHeight="1" x14ac:dyDescent="0.25">
      <c r="A377" s="558" t="s">
        <v>73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37"/>
      <c r="AB377" s="537"/>
      <c r="AC377" s="537"/>
    </row>
    <row r="378" spans="1:68" ht="27" customHeight="1" x14ac:dyDescent="0.25">
      <c r="A378" s="54" t="s">
        <v>581</v>
      </c>
      <c r="B378" s="54" t="s">
        <v>582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104</v>
      </c>
      <c r="L378" s="32"/>
      <c r="M378" s="33" t="s">
        <v>78</v>
      </c>
      <c r="N378" s="33"/>
      <c r="O378" s="32">
        <v>40</v>
      </c>
      <c r="P378" s="65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583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584</v>
      </c>
      <c r="B379" s="54" t="s">
        <v>585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78</v>
      </c>
      <c r="N379" s="33"/>
      <c r="O379" s="32">
        <v>40</v>
      </c>
      <c r="P379" s="58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583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IFERROR(X378/H378,"0")+IFERROR(X379/H379,"0")</f>
        <v>0</v>
      </c>
      <c r="Y380" s="543">
        <f>IFERROR(Y378/H378,"0")+IFERROR(Y379/H379,"0")</f>
        <v>0</v>
      </c>
      <c r="Z380" s="543">
        <f>IFERROR(IF(Z378="",0,Z378),"0")+IFERROR(IF(Z379="",0,Z379),"0")</f>
        <v>0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IFERROR(SUM(X378:X379),"0")</f>
        <v>0</v>
      </c>
      <c r="Y381" s="543">
        <f>IFERROR(SUM(Y378:Y379),"0")</f>
        <v>0</v>
      </c>
      <c r="Z381" s="37"/>
      <c r="AA381" s="544"/>
      <c r="AB381" s="544"/>
      <c r="AC381" s="544"/>
    </row>
    <row r="382" spans="1:68" ht="27.75" customHeight="1" x14ac:dyDescent="0.2">
      <c r="A382" s="632" t="s">
        <v>586</v>
      </c>
      <c r="B382" s="633"/>
      <c r="C382" s="633"/>
      <c r="D382" s="633"/>
      <c r="E382" s="633"/>
      <c r="F382" s="633"/>
      <c r="G382" s="633"/>
      <c r="H382" s="633"/>
      <c r="I382" s="633"/>
      <c r="J382" s="633"/>
      <c r="K382" s="633"/>
      <c r="L382" s="633"/>
      <c r="M382" s="633"/>
      <c r="N382" s="633"/>
      <c r="O382" s="633"/>
      <c r="P382" s="633"/>
      <c r="Q382" s="633"/>
      <c r="R382" s="633"/>
      <c r="S382" s="633"/>
      <c r="T382" s="633"/>
      <c r="U382" s="633"/>
      <c r="V382" s="633"/>
      <c r="W382" s="633"/>
      <c r="X382" s="633"/>
      <c r="Y382" s="633"/>
      <c r="Z382" s="633"/>
      <c r="AA382" s="48"/>
      <c r="AB382" s="48"/>
      <c r="AC382" s="48"/>
    </row>
    <row r="383" spans="1:68" ht="16.5" customHeight="1" x14ac:dyDescent="0.25">
      <c r="A383" s="559" t="s">
        <v>587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customHeight="1" x14ac:dyDescent="0.25">
      <c r="A384" s="558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588</v>
      </c>
      <c r="B385" s="54" t="s">
        <v>589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110</v>
      </c>
      <c r="L385" s="32"/>
      <c r="M385" s="33" t="s">
        <v>68</v>
      </c>
      <c r="N385" s="33"/>
      <c r="O385" s="32">
        <v>50</v>
      </c>
      <c r="P385" s="85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25</v>
      </c>
      <c r="Y385" s="542">
        <f t="shared" ref="Y385:Y393" si="41">IFERROR(IF(X385="",0,CEILING((X385/$H385),1)*$H385),"")</f>
        <v>27</v>
      </c>
      <c r="Z385" s="36">
        <f>IFERROR(IF(Y385=0,"",ROUNDUP(Y385/H385,0)*0.00902),"")</f>
        <v>4.5100000000000001E-2</v>
      </c>
      <c r="AA385" s="56"/>
      <c r="AB385" s="57"/>
      <c r="AC385" s="427" t="s">
        <v>590</v>
      </c>
      <c r="AG385" s="64"/>
      <c r="AJ385" s="68"/>
      <c r="AK385" s="68">
        <v>0</v>
      </c>
      <c r="BB385" s="428" t="s">
        <v>1</v>
      </c>
      <c r="BM385" s="64">
        <f t="shared" ref="BM385:BM393" si="42">IFERROR(X385*I385/H385,"0")</f>
        <v>25.879629629629626</v>
      </c>
      <c r="BN385" s="64">
        <f t="shared" ref="BN385:BN393" si="43">IFERROR(Y385*I385/H385,"0")</f>
        <v>27.95</v>
      </c>
      <c r="BO385" s="64">
        <f t="shared" ref="BO385:BO393" si="44">IFERROR(1/J385*(X385/H385),"0")</f>
        <v>3.5072951739618406E-2</v>
      </c>
      <c r="BP385" s="64">
        <f t="shared" ref="BP385:BP393" si="45">IFERROR(1/J385*(Y385/H385),"0")</f>
        <v>3.787878787878788E-2</v>
      </c>
    </row>
    <row r="386" spans="1:68" ht="27" customHeight="1" x14ac:dyDescent="0.25">
      <c r="A386" s="54" t="s">
        <v>591</v>
      </c>
      <c r="B386" s="54" t="s">
        <v>592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110</v>
      </c>
      <c r="L386" s="32"/>
      <c r="M386" s="33" t="s">
        <v>68</v>
      </c>
      <c r="N386" s="33"/>
      <c r="O386" s="32">
        <v>50</v>
      </c>
      <c r="P386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41"/>
        <v>0</v>
      </c>
      <c r="Z386" s="36" t="str">
        <f>IFERROR(IF(Y386=0,"",ROUNDUP(Y386/H386,0)*0.00902),"")</f>
        <v/>
      </c>
      <c r="AA386" s="56"/>
      <c r="AB386" s="57"/>
      <c r="AC386" s="429" t="s">
        <v>593</v>
      </c>
      <c r="AG386" s="64"/>
      <c r="AJ386" s="68"/>
      <c r="AK386" s="68">
        <v>0</v>
      </c>
      <c r="BB386" s="430" t="s">
        <v>1</v>
      </c>
      <c r="BM386" s="64">
        <f t="shared" si="42"/>
        <v>0</v>
      </c>
      <c r="BN386" s="64">
        <f t="shared" si="43"/>
        <v>0</v>
      </c>
      <c r="BO386" s="64">
        <f t="shared" si="44"/>
        <v>0</v>
      </c>
      <c r="BP386" s="64">
        <f t="shared" si="45"/>
        <v>0</v>
      </c>
    </row>
    <row r="387" spans="1:68" ht="27" customHeight="1" x14ac:dyDescent="0.25">
      <c r="A387" s="54" t="s">
        <v>594</v>
      </c>
      <c r="B387" s="54" t="s">
        <v>595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15</v>
      </c>
      <c r="Y387" s="542">
        <f t="shared" si="41"/>
        <v>16.200000000000003</v>
      </c>
      <c r="Z387" s="36">
        <f>IFERROR(IF(Y387=0,"",ROUNDUP(Y387/H387,0)*0.00902),"")</f>
        <v>2.7060000000000001E-2</v>
      </c>
      <c r="AA387" s="56"/>
      <c r="AB387" s="57"/>
      <c r="AC387" s="431" t="s">
        <v>596</v>
      </c>
      <c r="AG387" s="64"/>
      <c r="AJ387" s="68"/>
      <c r="AK387" s="68">
        <v>0</v>
      </c>
      <c r="BB387" s="432" t="s">
        <v>1</v>
      </c>
      <c r="BM387" s="64">
        <f t="shared" si="42"/>
        <v>15.527777777777775</v>
      </c>
      <c r="BN387" s="64">
        <f t="shared" si="43"/>
        <v>16.77</v>
      </c>
      <c r="BO387" s="64">
        <f t="shared" si="44"/>
        <v>2.1043771043771045E-2</v>
      </c>
      <c r="BP387" s="64">
        <f t="shared" si="45"/>
        <v>2.2727272727272731E-2</v>
      </c>
    </row>
    <row r="388" spans="1:68" ht="27" customHeight="1" x14ac:dyDescent="0.25">
      <c r="A388" s="54" t="s">
        <v>597</v>
      </c>
      <c r="B388" s="54" t="s">
        <v>598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41"/>
        <v>0</v>
      </c>
      <c r="Z388" s="36" t="str">
        <f t="shared" ref="Z388:Z393" si="46">IFERROR(IF(Y388=0,"",ROUNDUP(Y388/H388,0)*0.00502),"")</f>
        <v/>
      </c>
      <c r="AA388" s="56"/>
      <c r="AB388" s="57"/>
      <c r="AC388" s="433" t="s">
        <v>590</v>
      </c>
      <c r="AG388" s="64"/>
      <c r="AJ388" s="68"/>
      <c r="AK388" s="68">
        <v>0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599</v>
      </c>
      <c r="B389" s="54" t="s">
        <v>600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 t="s">
        <v>273</v>
      </c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41"/>
        <v>0</v>
      </c>
      <c r="Z389" s="36" t="str">
        <f t="shared" si="46"/>
        <v/>
      </c>
      <c r="AA389" s="56"/>
      <c r="AB389" s="57"/>
      <c r="AC389" s="435" t="s">
        <v>590</v>
      </c>
      <c r="AG389" s="64"/>
      <c r="AJ389" s="68" t="s">
        <v>80</v>
      </c>
      <c r="AK389" s="68">
        <v>37.799999999999997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37.5" customHeight="1" x14ac:dyDescent="0.25">
      <c r="A390" s="54" t="s">
        <v>601</v>
      </c>
      <c r="B390" s="54" t="s">
        <v>602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41"/>
        <v>0</v>
      </c>
      <c r="Z390" s="36" t="str">
        <f t="shared" si="46"/>
        <v/>
      </c>
      <c r="AA390" s="56"/>
      <c r="AB390" s="57"/>
      <c r="AC390" s="437" t="s">
        <v>603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27" customHeight="1" x14ac:dyDescent="0.25">
      <c r="A391" s="54" t="s">
        <v>604</v>
      </c>
      <c r="B391" s="54" t="s">
        <v>605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41"/>
        <v>0</v>
      </c>
      <c r="Z391" s="36" t="str">
        <f t="shared" si="46"/>
        <v/>
      </c>
      <c r="AA391" s="56"/>
      <c r="AB391" s="57"/>
      <c r="AC391" s="439" t="s">
        <v>606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607</v>
      </c>
      <c r="B392" s="54" t="s">
        <v>608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41"/>
        <v>0</v>
      </c>
      <c r="Z392" s="36" t="str">
        <f t="shared" si="46"/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37.5" customHeight="1" x14ac:dyDescent="0.25">
      <c r="A393" s="54" t="s">
        <v>610</v>
      </c>
      <c r="B393" s="54" t="s">
        <v>611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41"/>
        <v>0</v>
      </c>
      <c r="Z393" s="36" t="str">
        <f t="shared" si="46"/>
        <v/>
      </c>
      <c r="AA393" s="56"/>
      <c r="AB393" s="57"/>
      <c r="AC393" s="443" t="s">
        <v>606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7.4074074074074074</v>
      </c>
      <c r="Y394" s="543">
        <f>IFERROR(Y385/H385,"0")+IFERROR(Y386/H386,"0")+IFERROR(Y387/H387,"0")+IFERROR(Y388/H388,"0")+IFERROR(Y389/H389,"0")+IFERROR(Y390/H390,"0")+IFERROR(Y391/H391,"0")+IFERROR(Y392/H392,"0")+IFERROR(Y393/H393,"0")</f>
        <v>8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7.2160000000000002E-2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40</v>
      </c>
      <c r="Y395" s="543">
        <f>IFERROR(SUM(Y385:Y393),"0")</f>
        <v>43.2</v>
      </c>
      <c r="Z395" s="37"/>
      <c r="AA395" s="544"/>
      <c r="AB395" s="544"/>
      <c r="AC395" s="544"/>
    </row>
    <row r="396" spans="1:68" ht="14.25" customHeight="1" x14ac:dyDescent="0.25">
      <c r="A396" s="558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customHeight="1" x14ac:dyDescent="0.25">
      <c r="A397" s="54" t="s">
        <v>612</v>
      </c>
      <c r="B397" s="54" t="s">
        <v>613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110</v>
      </c>
      <c r="L397" s="32"/>
      <c r="M397" s="33" t="s">
        <v>78</v>
      </c>
      <c r="N397" s="33"/>
      <c r="O397" s="32">
        <v>45</v>
      </c>
      <c r="P397" s="69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614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615</v>
      </c>
      <c r="B398" s="54" t="s">
        <v>616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78</v>
      </c>
      <c r="N398" s="33"/>
      <c r="O398" s="32">
        <v>45</v>
      </c>
      <c r="P398" s="77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617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9" t="s">
        <v>618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customHeight="1" x14ac:dyDescent="0.25">
      <c r="A402" s="558" t="s">
        <v>136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customHeight="1" x14ac:dyDescent="0.25">
      <c r="A403" s="54" t="s">
        <v>619</v>
      </c>
      <c r="B403" s="54" t="s">
        <v>620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5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621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8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622</v>
      </c>
      <c r="B407" s="54" t="s">
        <v>623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110</v>
      </c>
      <c r="L407" s="32"/>
      <c r="M407" s="33" t="s">
        <v>106</v>
      </c>
      <c r="N407" s="33"/>
      <c r="O407" s="32">
        <v>50</v>
      </c>
      <c r="P407" s="61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624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625</v>
      </c>
      <c r="B408" s="54" t="s">
        <v>626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627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628</v>
      </c>
      <c r="B409" s="54" t="s">
        <v>629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631</v>
      </c>
      <c r="B410" s="54" t="s">
        <v>632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630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customHeight="1" x14ac:dyDescent="0.25">
      <c r="A413" s="559" t="s">
        <v>633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customHeight="1" x14ac:dyDescent="0.25">
      <c r="A414" s="558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customHeight="1" x14ac:dyDescent="0.25">
      <c r="A415" s="54" t="s">
        <v>634</v>
      </c>
      <c r="B415" s="54" t="s">
        <v>635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636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2" t="s">
        <v>637</v>
      </c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3"/>
      <c r="P418" s="633"/>
      <c r="Q418" s="633"/>
      <c r="R418" s="633"/>
      <c r="S418" s="633"/>
      <c r="T418" s="633"/>
      <c r="U418" s="633"/>
      <c r="V418" s="633"/>
      <c r="W418" s="633"/>
      <c r="X418" s="633"/>
      <c r="Y418" s="633"/>
      <c r="Z418" s="633"/>
      <c r="AA418" s="48"/>
      <c r="AB418" s="48"/>
      <c r="AC418" s="48"/>
    </row>
    <row r="419" spans="1:68" ht="16.5" customHeight="1" x14ac:dyDescent="0.25">
      <c r="A419" s="559" t="s">
        <v>637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customHeight="1" x14ac:dyDescent="0.25">
      <c r="A420" s="558" t="s">
        <v>101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638</v>
      </c>
      <c r="B421" s="54" t="s">
        <v>639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104</v>
      </c>
      <c r="L421" s="32" t="s">
        <v>105</v>
      </c>
      <c r="M421" s="33" t="s">
        <v>106</v>
      </c>
      <c r="N421" s="33"/>
      <c r="O421" s="32">
        <v>60</v>
      </c>
      <c r="P421" s="8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0</v>
      </c>
      <c r="Y421" s="542">
        <f t="shared" ref="Y421:Y431" si="47">IFERROR(IF(X421="",0,CEILING((X421/$H421),1)*$H421),"")</f>
        <v>0</v>
      </c>
      <c r="Z421" s="36" t="str">
        <f t="shared" ref="Z421:Z426" si="48">IFERROR(IF(Y421=0,"",ROUNDUP(Y421/H421,0)*0.01196),"")</f>
        <v/>
      </c>
      <c r="AA421" s="56"/>
      <c r="AB421" s="57"/>
      <c r="AC421" s="461" t="s">
        <v>107</v>
      </c>
      <c r="AG421" s="64"/>
      <c r="AJ421" s="68" t="s">
        <v>80</v>
      </c>
      <c r="AK421" s="68">
        <v>42.24</v>
      </c>
      <c r="BB421" s="462" t="s">
        <v>1</v>
      </c>
      <c r="BM421" s="64">
        <f t="shared" ref="BM421:BM431" si="49">IFERROR(X421*I421/H421,"0")</f>
        <v>0</v>
      </c>
      <c r="BN421" s="64">
        <f t="shared" ref="BN421:BN431" si="50">IFERROR(Y421*I421/H421,"0")</f>
        <v>0</v>
      </c>
      <c r="BO421" s="64">
        <f t="shared" ref="BO421:BO431" si="51">IFERROR(1/J421*(X421/H421),"0")</f>
        <v>0</v>
      </c>
      <c r="BP421" s="64">
        <f t="shared" ref="BP421:BP431" si="52">IFERROR(1/J421*(Y421/H421),"0")</f>
        <v>0</v>
      </c>
    </row>
    <row r="422" spans="1:68" ht="27" customHeight="1" x14ac:dyDescent="0.25">
      <c r="A422" s="54" t="s">
        <v>640</v>
      </c>
      <c r="B422" s="54" t="s">
        <v>641</v>
      </c>
      <c r="C422" s="31">
        <v>4301012145</v>
      </c>
      <c r="D422" s="548">
        <v>4607091383522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104</v>
      </c>
      <c r="L422" s="32"/>
      <c r="M422" s="33" t="s">
        <v>106</v>
      </c>
      <c r="N422" s="33"/>
      <c r="O422" s="32">
        <v>60</v>
      </c>
      <c r="P422" s="67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7"/>
        <v>0</v>
      </c>
      <c r="Z422" s="36" t="str">
        <f t="shared" si="48"/>
        <v/>
      </c>
      <c r="AA422" s="56"/>
      <c r="AB422" s="57"/>
      <c r="AC422" s="463" t="s">
        <v>642</v>
      </c>
      <c r="AG422" s="64"/>
      <c r="AJ422" s="68"/>
      <c r="AK422" s="68">
        <v>0</v>
      </c>
      <c r="BB422" s="464" t="s">
        <v>1</v>
      </c>
      <c r="BM422" s="64">
        <f t="shared" si="49"/>
        <v>0</v>
      </c>
      <c r="BN422" s="64">
        <f t="shared" si="50"/>
        <v>0</v>
      </c>
      <c r="BO422" s="64">
        <f t="shared" si="51"/>
        <v>0</v>
      </c>
      <c r="BP422" s="64">
        <f t="shared" si="52"/>
        <v>0</v>
      </c>
    </row>
    <row r="423" spans="1:68" ht="27" customHeight="1" x14ac:dyDescent="0.25">
      <c r="A423" s="54" t="s">
        <v>643</v>
      </c>
      <c r="B423" s="54" t="s">
        <v>644</v>
      </c>
      <c r="C423" s="31">
        <v>4301011961</v>
      </c>
      <c r="D423" s="548">
        <v>4680115885271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104</v>
      </c>
      <c r="L423" s="32"/>
      <c r="M423" s="33" t="s">
        <v>106</v>
      </c>
      <c r="N423" s="33"/>
      <c r="O423" s="32">
        <v>60</v>
      </c>
      <c r="P423" s="64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20</v>
      </c>
      <c r="Y423" s="542">
        <f t="shared" si="47"/>
        <v>21.12</v>
      </c>
      <c r="Z423" s="36">
        <f t="shared" si="48"/>
        <v>4.7840000000000001E-2</v>
      </c>
      <c r="AA423" s="56"/>
      <c r="AB423" s="57"/>
      <c r="AC423" s="465" t="s">
        <v>645</v>
      </c>
      <c r="AG423" s="64"/>
      <c r="AJ423" s="68"/>
      <c r="AK423" s="68">
        <v>0</v>
      </c>
      <c r="BB423" s="466" t="s">
        <v>1</v>
      </c>
      <c r="BM423" s="64">
        <f t="shared" si="49"/>
        <v>21.325757575757574</v>
      </c>
      <c r="BN423" s="64">
        <f t="shared" si="50"/>
        <v>22.52</v>
      </c>
      <c r="BO423" s="64">
        <f t="shared" si="51"/>
        <v>3.6421911421911424E-2</v>
      </c>
      <c r="BP423" s="64">
        <f t="shared" si="52"/>
        <v>3.8461538461538464E-2</v>
      </c>
    </row>
    <row r="424" spans="1:68" ht="27" customHeight="1" x14ac:dyDescent="0.25">
      <c r="A424" s="54" t="s">
        <v>646</v>
      </c>
      <c r="B424" s="54" t="s">
        <v>647</v>
      </c>
      <c r="C424" s="31">
        <v>4301011376</v>
      </c>
      <c r="D424" s="548">
        <v>4680115885226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104</v>
      </c>
      <c r="L424" s="32" t="s">
        <v>105</v>
      </c>
      <c r="M424" s="33" t="s">
        <v>78</v>
      </c>
      <c r="N424" s="33"/>
      <c r="O424" s="32">
        <v>60</v>
      </c>
      <c r="P424" s="69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60</v>
      </c>
      <c r="Y424" s="542">
        <f t="shared" si="47"/>
        <v>63.36</v>
      </c>
      <c r="Z424" s="36">
        <f t="shared" si="48"/>
        <v>0.14352000000000001</v>
      </c>
      <c r="AA424" s="56"/>
      <c r="AB424" s="57"/>
      <c r="AC424" s="467" t="s">
        <v>648</v>
      </c>
      <c r="AG424" s="64"/>
      <c r="AJ424" s="68" t="s">
        <v>80</v>
      </c>
      <c r="AK424" s="68">
        <v>42.24</v>
      </c>
      <c r="BB424" s="468" t="s">
        <v>1</v>
      </c>
      <c r="BM424" s="64">
        <f t="shared" si="49"/>
        <v>63.977272727272727</v>
      </c>
      <c r="BN424" s="64">
        <f t="shared" si="50"/>
        <v>67.559999999999988</v>
      </c>
      <c r="BO424" s="64">
        <f t="shared" si="51"/>
        <v>0.10926573426573427</v>
      </c>
      <c r="BP424" s="64">
        <f t="shared" si="52"/>
        <v>0.11538461538461539</v>
      </c>
    </row>
    <row r="425" spans="1:68" ht="16.5" customHeight="1" x14ac:dyDescent="0.25">
      <c r="A425" s="54" t="s">
        <v>649</v>
      </c>
      <c r="B425" s="54" t="s">
        <v>650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7"/>
        <v>0</v>
      </c>
      <c r="Z425" s="36" t="str">
        <f t="shared" si="48"/>
        <v/>
      </c>
      <c r="AA425" s="56"/>
      <c r="AB425" s="57"/>
      <c r="AC425" s="469" t="s">
        <v>651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customHeight="1" x14ac:dyDescent="0.25">
      <c r="A426" s="54" t="s">
        <v>652</v>
      </c>
      <c r="B426" s="54" t="s">
        <v>653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104</v>
      </c>
      <c r="L426" s="32" t="s">
        <v>105</v>
      </c>
      <c r="M426" s="33" t="s">
        <v>106</v>
      </c>
      <c r="N426" s="33"/>
      <c r="O426" s="32">
        <v>60</v>
      </c>
      <c r="P426" s="63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130</v>
      </c>
      <c r="Y426" s="542">
        <f t="shared" si="47"/>
        <v>132</v>
      </c>
      <c r="Z426" s="36">
        <f t="shared" si="48"/>
        <v>0.29899999999999999</v>
      </c>
      <c r="AA426" s="56"/>
      <c r="AB426" s="57"/>
      <c r="AC426" s="471" t="s">
        <v>654</v>
      </c>
      <c r="AG426" s="64"/>
      <c r="AJ426" s="68" t="s">
        <v>80</v>
      </c>
      <c r="AK426" s="68">
        <v>42.24</v>
      </c>
      <c r="BB426" s="472" t="s">
        <v>1</v>
      </c>
      <c r="BM426" s="64">
        <f t="shared" si="49"/>
        <v>138.61742424242422</v>
      </c>
      <c r="BN426" s="64">
        <f t="shared" si="50"/>
        <v>140.75</v>
      </c>
      <c r="BO426" s="64">
        <f t="shared" si="51"/>
        <v>0.23674242424242425</v>
      </c>
      <c r="BP426" s="64">
        <f t="shared" si="52"/>
        <v>0.24038461538461539</v>
      </c>
    </row>
    <row r="427" spans="1:68" ht="27" customHeight="1" x14ac:dyDescent="0.25">
      <c r="A427" s="54" t="s">
        <v>655</v>
      </c>
      <c r="B427" s="54" t="s">
        <v>656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78</v>
      </c>
      <c r="N427" s="33"/>
      <c r="O427" s="32">
        <v>60</v>
      </c>
      <c r="P427" s="69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7"/>
        <v>0</v>
      </c>
      <c r="Z427" s="36" t="str">
        <f>IFERROR(IF(Y427=0,"",ROUNDUP(Y427/H427,0)*0.00651),"")</f>
        <v/>
      </c>
      <c r="AA427" s="56"/>
      <c r="AB427" s="57"/>
      <c r="AC427" s="473" t="s">
        <v>107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657</v>
      </c>
      <c r="B428" s="54" t="s">
        <v>658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110</v>
      </c>
      <c r="L428" s="32"/>
      <c r="M428" s="33" t="s">
        <v>106</v>
      </c>
      <c r="N428" s="33"/>
      <c r="O428" s="32">
        <v>60</v>
      </c>
      <c r="P428" s="63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7"/>
        <v>0</v>
      </c>
      <c r="Z428" s="36" t="str">
        <f>IFERROR(IF(Y428=0,"",ROUNDUP(Y428/H428,0)*0.00902),"")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659</v>
      </c>
      <c r="B429" s="54" t="s">
        <v>660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110</v>
      </c>
      <c r="L429" s="32"/>
      <c r="M429" s="33" t="s">
        <v>106</v>
      </c>
      <c r="N429" s="33"/>
      <c r="O429" s="32">
        <v>60</v>
      </c>
      <c r="P429" s="64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7"/>
        <v>0</v>
      </c>
      <c r="Z429" s="36" t="str">
        <f>IFERROR(IF(Y429=0,"",ROUNDUP(Y429/H429,0)*0.00937),"")</f>
        <v/>
      </c>
      <c r="AA429" s="56"/>
      <c r="AB429" s="57"/>
      <c r="AC429" s="477" t="s">
        <v>645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662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106</v>
      </c>
      <c r="N430" s="33"/>
      <c r="O430" s="32">
        <v>60</v>
      </c>
      <c r="P430" s="80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7"/>
        <v>0</v>
      </c>
      <c r="Z430" s="36" t="str">
        <f>IFERROR(IF(Y430=0,"",ROUNDUP(Y430/H430,0)*0.00651),"")</f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664</v>
      </c>
      <c r="B431" s="54" t="s">
        <v>665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110</v>
      </c>
      <c r="L431" s="32"/>
      <c r="M431" s="33" t="s">
        <v>106</v>
      </c>
      <c r="N431" s="33"/>
      <c r="O431" s="32">
        <v>60</v>
      </c>
      <c r="P431" s="66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7"/>
        <v>0</v>
      </c>
      <c r="Z431" s="36" t="str">
        <f>IFERROR(IF(Y431=0,"",ROUNDUP(Y431/H431,0)*0.00902),"")</f>
        <v/>
      </c>
      <c r="AA431" s="56"/>
      <c r="AB431" s="57"/>
      <c r="AC431" s="481" t="s">
        <v>654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39.772727272727273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41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0.49036000000000002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210</v>
      </c>
      <c r="Y433" s="543">
        <f>IFERROR(SUM(Y421:Y431),"0")</f>
        <v>216.48000000000002</v>
      </c>
      <c r="Z433" s="37"/>
      <c r="AA433" s="544"/>
      <c r="AB433" s="544"/>
      <c r="AC433" s="544"/>
    </row>
    <row r="434" spans="1:68" ht="14.25" customHeight="1" x14ac:dyDescent="0.25">
      <c r="A434" s="558" t="s">
        <v>136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666</v>
      </c>
      <c r="B435" s="54" t="s">
        <v>667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104</v>
      </c>
      <c r="L435" s="32"/>
      <c r="M435" s="33" t="s">
        <v>78</v>
      </c>
      <c r="N435" s="33"/>
      <c r="O435" s="32">
        <v>70</v>
      </c>
      <c r="P435" s="84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60</v>
      </c>
      <c r="Y435" s="542">
        <f>IFERROR(IF(X435="",0,CEILING((X435/$H435),1)*$H435),"")</f>
        <v>63.36</v>
      </c>
      <c r="Z435" s="36">
        <f>IFERROR(IF(Y435=0,"",ROUNDUP(Y435/H435,0)*0.01196),"")</f>
        <v>0.14352000000000001</v>
      </c>
      <c r="AA435" s="56"/>
      <c r="AB435" s="57"/>
      <c r="AC435" s="483" t="s">
        <v>668</v>
      </c>
      <c r="AG435" s="64"/>
      <c r="AJ435" s="68"/>
      <c r="AK435" s="68">
        <v>0</v>
      </c>
      <c r="BB435" s="484" t="s">
        <v>1</v>
      </c>
      <c r="BM435" s="64">
        <f>IFERROR(X435*I435/H435,"0")</f>
        <v>63.977272727272727</v>
      </c>
      <c r="BN435" s="64">
        <f>IFERROR(Y435*I435/H435,"0")</f>
        <v>67.559999999999988</v>
      </c>
      <c r="BO435" s="64">
        <f>IFERROR(1/J435*(X435/H435),"0")</f>
        <v>0.10926573426573427</v>
      </c>
      <c r="BP435" s="64">
        <f>IFERROR(1/J435*(Y435/H435),"0")</f>
        <v>0.11538461538461539</v>
      </c>
    </row>
    <row r="436" spans="1:68" ht="16.5" customHeight="1" x14ac:dyDescent="0.25">
      <c r="A436" s="54" t="s">
        <v>669</v>
      </c>
      <c r="B436" s="54" t="s">
        <v>670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78</v>
      </c>
      <c r="N436" s="33"/>
      <c r="O436" s="32">
        <v>70</v>
      </c>
      <c r="P436" s="84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668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671</v>
      </c>
      <c r="B437" s="54" t="s">
        <v>672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668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11.363636363636363</v>
      </c>
      <c r="Y438" s="543">
        <f>IFERROR(Y435/H435,"0")+IFERROR(Y436/H436,"0")+IFERROR(Y437/H437,"0")</f>
        <v>12</v>
      </c>
      <c r="Z438" s="543">
        <f>IFERROR(IF(Z435="",0,Z435),"0")+IFERROR(IF(Z436="",0,Z436),"0")+IFERROR(IF(Z437="",0,Z437),"0")</f>
        <v>0.14352000000000001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60</v>
      </c>
      <c r="Y439" s="543">
        <f>IFERROR(SUM(Y435:Y437),"0")</f>
        <v>63.36</v>
      </c>
      <c r="Z439" s="37"/>
      <c r="AA439" s="544"/>
      <c r="AB439" s="544"/>
      <c r="AC439" s="544"/>
    </row>
    <row r="440" spans="1:68" ht="14.25" customHeight="1" x14ac:dyDescent="0.25">
      <c r="A440" s="558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673</v>
      </c>
      <c r="B441" s="54" t="s">
        <v>674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104</v>
      </c>
      <c r="L441" s="32"/>
      <c r="M441" s="33" t="s">
        <v>106</v>
      </c>
      <c r="N441" s="33"/>
      <c r="O441" s="32">
        <v>70</v>
      </c>
      <c r="P441" s="72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0</v>
      </c>
      <c r="Y441" s="542">
        <f t="shared" ref="Y441:Y446" si="53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675</v>
      </c>
      <c r="AG441" s="64"/>
      <c r="AJ441" s="68"/>
      <c r="AK441" s="68">
        <v>0</v>
      </c>
      <c r="BB441" s="490" t="s">
        <v>1</v>
      </c>
      <c r="BM441" s="64">
        <f t="shared" ref="BM441:BM446" si="54">IFERROR(X441*I441/H441,"0")</f>
        <v>0</v>
      </c>
      <c r="BN441" s="64">
        <f t="shared" ref="BN441:BN446" si="55">IFERROR(Y441*I441/H441,"0")</f>
        <v>0</v>
      </c>
      <c r="BO441" s="64">
        <f t="shared" ref="BO441:BO446" si="56">IFERROR(1/J441*(X441/H441),"0")</f>
        <v>0</v>
      </c>
      <c r="BP441" s="64">
        <f t="shared" ref="BP441:BP446" si="57">IFERROR(1/J441*(Y441/H441),"0")</f>
        <v>0</v>
      </c>
    </row>
    <row r="442" spans="1:68" ht="27" customHeight="1" x14ac:dyDescent="0.25">
      <c r="A442" s="54" t="s">
        <v>676</v>
      </c>
      <c r="B442" s="54" t="s">
        <v>677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104</v>
      </c>
      <c r="L442" s="32" t="s">
        <v>105</v>
      </c>
      <c r="M442" s="33" t="s">
        <v>68</v>
      </c>
      <c r="N442" s="33"/>
      <c r="O442" s="32">
        <v>70</v>
      </c>
      <c r="P442" s="6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10</v>
      </c>
      <c r="Y442" s="542">
        <f t="shared" si="53"/>
        <v>10.56</v>
      </c>
      <c r="Z442" s="36">
        <f>IFERROR(IF(Y442=0,"",ROUNDUP(Y442/H442,0)*0.01196),"")</f>
        <v>2.392E-2</v>
      </c>
      <c r="AA442" s="56"/>
      <c r="AB442" s="57"/>
      <c r="AC442" s="491" t="s">
        <v>678</v>
      </c>
      <c r="AG442" s="64"/>
      <c r="AJ442" s="68" t="s">
        <v>80</v>
      </c>
      <c r="AK442" s="68">
        <v>42.24</v>
      </c>
      <c r="BB442" s="492" t="s">
        <v>1</v>
      </c>
      <c r="BM442" s="64">
        <f t="shared" si="54"/>
        <v>10.662878787878787</v>
      </c>
      <c r="BN442" s="64">
        <f t="shared" si="55"/>
        <v>11.26</v>
      </c>
      <c r="BO442" s="64">
        <f t="shared" si="56"/>
        <v>1.8210955710955712E-2</v>
      </c>
      <c r="BP442" s="64">
        <f t="shared" si="57"/>
        <v>1.9230769230769232E-2</v>
      </c>
    </row>
    <row r="443" spans="1:68" ht="27" customHeight="1" x14ac:dyDescent="0.25">
      <c r="A443" s="54" t="s">
        <v>679</v>
      </c>
      <c r="B443" s="54" t="s">
        <v>680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0</v>
      </c>
      <c r="Y443" s="542">
        <f t="shared" si="53"/>
        <v>0</v>
      </c>
      <c r="Z443" s="36" t="str">
        <f>IFERROR(IF(Y443=0,"",ROUNDUP(Y443/H443,0)*0.01196),"")</f>
        <v/>
      </c>
      <c r="AA443" s="56"/>
      <c r="AB443" s="57"/>
      <c r="AC443" s="493" t="s">
        <v>681</v>
      </c>
      <c r="AG443" s="64"/>
      <c r="AJ443" s="68" t="s">
        <v>80</v>
      </c>
      <c r="AK443" s="68">
        <v>42.24</v>
      </c>
      <c r="BB443" s="494" t="s">
        <v>1</v>
      </c>
      <c r="BM443" s="64">
        <f t="shared" si="54"/>
        <v>0</v>
      </c>
      <c r="BN443" s="64">
        <f t="shared" si="55"/>
        <v>0</v>
      </c>
      <c r="BO443" s="64">
        <f t="shared" si="56"/>
        <v>0</v>
      </c>
      <c r="BP443" s="64">
        <f t="shared" si="57"/>
        <v>0</v>
      </c>
    </row>
    <row r="444" spans="1:68" ht="27" customHeight="1" x14ac:dyDescent="0.25">
      <c r="A444" s="54" t="s">
        <v>682</v>
      </c>
      <c r="B444" s="54" t="s">
        <v>683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110</v>
      </c>
      <c r="L444" s="32"/>
      <c r="M444" s="33" t="s">
        <v>106</v>
      </c>
      <c r="N444" s="33"/>
      <c r="O444" s="32">
        <v>70</v>
      </c>
      <c r="P444" s="8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53"/>
        <v>0</v>
      </c>
      <c r="Z444" s="36" t="str">
        <f>IFERROR(IF(Y444=0,"",ROUNDUP(Y444/H444,0)*0.00902),"")</f>
        <v/>
      </c>
      <c r="AA444" s="56"/>
      <c r="AB444" s="57"/>
      <c r="AC444" s="495" t="s">
        <v>675</v>
      </c>
      <c r="AG444" s="64"/>
      <c r="AJ444" s="68"/>
      <c r="AK444" s="68">
        <v>0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customHeight="1" x14ac:dyDescent="0.25">
      <c r="A445" s="54" t="s">
        <v>684</v>
      </c>
      <c r="B445" s="54" t="s">
        <v>685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110</v>
      </c>
      <c r="L445" s="32"/>
      <c r="M445" s="33" t="s">
        <v>68</v>
      </c>
      <c r="N445" s="33"/>
      <c r="O445" s="32">
        <v>70</v>
      </c>
      <c r="P445" s="5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678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customHeight="1" x14ac:dyDescent="0.25">
      <c r="A446" s="54" t="s">
        <v>686</v>
      </c>
      <c r="B446" s="54" t="s">
        <v>687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2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681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1.8939393939393938</v>
      </c>
      <c r="Y447" s="543">
        <f>IFERROR(Y441/H441,"0")+IFERROR(Y442/H442,"0")+IFERROR(Y443/H443,"0")+IFERROR(Y444/H444,"0")+IFERROR(Y445/H445,"0")+IFERROR(Y446/H446,"0")</f>
        <v>2</v>
      </c>
      <c r="Z447" s="543">
        <f>IFERROR(IF(Z441="",0,Z441),"0")+IFERROR(IF(Z442="",0,Z442),"0")+IFERROR(IF(Z443="",0,Z443),"0")+IFERROR(IF(Z444="",0,Z444),"0")+IFERROR(IF(Z445="",0,Z445),"0")+IFERROR(IF(Z446="",0,Z446),"0")</f>
        <v>2.392E-2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10</v>
      </c>
      <c r="Y448" s="543">
        <f>IFERROR(SUM(Y441:Y446),"0")</f>
        <v>10.56</v>
      </c>
      <c r="Z448" s="37"/>
      <c r="AA448" s="544"/>
      <c r="AB448" s="544"/>
      <c r="AC448" s="544"/>
    </row>
    <row r="449" spans="1:68" ht="14.25" customHeight="1" x14ac:dyDescent="0.25">
      <c r="A449" s="558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customHeight="1" x14ac:dyDescent="0.25">
      <c r="A450" s="54" t="s">
        <v>688</v>
      </c>
      <c r="B450" s="54" t="s">
        <v>689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104</v>
      </c>
      <c r="L450" s="32"/>
      <c r="M450" s="33" t="s">
        <v>78</v>
      </c>
      <c r="N450" s="33"/>
      <c r="O450" s="32">
        <v>45</v>
      </c>
      <c r="P450" s="685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690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691</v>
      </c>
      <c r="B451" s="54" t="s">
        <v>692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104</v>
      </c>
      <c r="L451" s="32"/>
      <c r="M451" s="33" t="s">
        <v>78</v>
      </c>
      <c r="N451" s="33"/>
      <c r="O451" s="32">
        <v>45</v>
      </c>
      <c r="P451" s="71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694</v>
      </c>
      <c r="B452" s="54" t="s">
        <v>695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78</v>
      </c>
      <c r="N452" s="33"/>
      <c r="O452" s="32">
        <v>45</v>
      </c>
      <c r="P452" s="58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696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2" t="s">
        <v>697</v>
      </c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3"/>
      <c r="P455" s="633"/>
      <c r="Q455" s="633"/>
      <c r="R455" s="633"/>
      <c r="S455" s="633"/>
      <c r="T455" s="633"/>
      <c r="U455" s="633"/>
      <c r="V455" s="633"/>
      <c r="W455" s="633"/>
      <c r="X455" s="633"/>
      <c r="Y455" s="633"/>
      <c r="Z455" s="633"/>
      <c r="AA455" s="48"/>
      <c r="AB455" s="48"/>
      <c r="AC455" s="48"/>
    </row>
    <row r="456" spans="1:68" ht="16.5" customHeight="1" x14ac:dyDescent="0.25">
      <c r="A456" s="559" t="s">
        <v>697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customHeight="1" x14ac:dyDescent="0.25">
      <c r="A457" s="558" t="s">
        <v>101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customHeight="1" x14ac:dyDescent="0.25">
      <c r="A458" s="54" t="s">
        <v>698</v>
      </c>
      <c r="B458" s="54" t="s">
        <v>699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104</v>
      </c>
      <c r="L458" s="32"/>
      <c r="M458" s="33" t="s">
        <v>78</v>
      </c>
      <c r="N458" s="33"/>
      <c r="O458" s="32">
        <v>55</v>
      </c>
      <c r="P458" s="60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700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701</v>
      </c>
      <c r="B459" s="54" t="s">
        <v>702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104</v>
      </c>
      <c r="L459" s="32"/>
      <c r="M459" s="33" t="s">
        <v>106</v>
      </c>
      <c r="N459" s="33"/>
      <c r="O459" s="32">
        <v>50</v>
      </c>
      <c r="P459" s="73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704</v>
      </c>
      <c r="B460" s="54" t="s">
        <v>705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77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706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707</v>
      </c>
      <c r="B461" s="54" t="s">
        <v>708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110</v>
      </c>
      <c r="L461" s="32"/>
      <c r="M461" s="33" t="s">
        <v>78</v>
      </c>
      <c r="N461" s="33"/>
      <c r="O461" s="32">
        <v>55</v>
      </c>
      <c r="P461" s="76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700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8" t="s">
        <v>136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customHeight="1" x14ac:dyDescent="0.25">
      <c r="A465" s="54" t="s">
        <v>709</v>
      </c>
      <c r="B465" s="54" t="s">
        <v>710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80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712</v>
      </c>
      <c r="B466" s="54" t="s">
        <v>713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2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715</v>
      </c>
      <c r="B467" s="54" t="s">
        <v>716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110</v>
      </c>
      <c r="L467" s="32"/>
      <c r="M467" s="33" t="s">
        <v>106</v>
      </c>
      <c r="N467" s="33"/>
      <c r="O467" s="32">
        <v>50</v>
      </c>
      <c r="P467" s="662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717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8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customHeight="1" x14ac:dyDescent="0.25">
      <c r="A471" s="54" t="s">
        <v>718</v>
      </c>
      <c r="B471" s="54" t="s">
        <v>719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110</v>
      </c>
      <c r="L471" s="32"/>
      <c r="M471" s="33" t="s">
        <v>68</v>
      </c>
      <c r="N471" s="33"/>
      <c r="O471" s="32">
        <v>40</v>
      </c>
      <c r="P471" s="61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720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721</v>
      </c>
      <c r="B472" s="54" t="s">
        <v>722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110</v>
      </c>
      <c r="L472" s="32"/>
      <c r="M472" s="33" t="s">
        <v>68</v>
      </c>
      <c r="N472" s="33"/>
      <c r="O472" s="32">
        <v>40</v>
      </c>
      <c r="P472" s="74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723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8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724</v>
      </c>
      <c r="B476" s="54" t="s">
        <v>725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104</v>
      </c>
      <c r="L476" s="32"/>
      <c r="M476" s="33" t="s">
        <v>86</v>
      </c>
      <c r="N476" s="33"/>
      <c r="O476" s="32">
        <v>45</v>
      </c>
      <c r="P476" s="61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60</v>
      </c>
      <c r="Y476" s="542">
        <f>IFERROR(IF(X476="",0,CEILING((X476/$H476),1)*$H476),"")</f>
        <v>63</v>
      </c>
      <c r="Z476" s="36">
        <f>IFERROR(IF(Y476=0,"",ROUNDUP(Y476/H476,0)*0.01898),"")</f>
        <v>0.13286000000000001</v>
      </c>
      <c r="AA476" s="56"/>
      <c r="AB476" s="57"/>
      <c r="AC476" s="525" t="s">
        <v>726</v>
      </c>
      <c r="AG476" s="64"/>
      <c r="AJ476" s="68"/>
      <c r="AK476" s="68">
        <v>0</v>
      </c>
      <c r="BB476" s="526" t="s">
        <v>1</v>
      </c>
      <c r="BM476" s="64">
        <f>IFERROR(X476*I476/H476,"0")</f>
        <v>63.293333333333329</v>
      </c>
      <c r="BN476" s="64">
        <f>IFERROR(Y476*I476/H476,"0")</f>
        <v>66.457999999999998</v>
      </c>
      <c r="BO476" s="64">
        <f>IFERROR(1/J476*(X476/H476),"0")</f>
        <v>0.10416666666666667</v>
      </c>
      <c r="BP476" s="64">
        <f>IFERROR(1/J476*(Y476/H476),"0")</f>
        <v>0.109375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6.666666666666667</v>
      </c>
      <c r="Y477" s="543">
        <f>IFERROR(Y476/H476,"0")</f>
        <v>7</v>
      </c>
      <c r="Z477" s="543">
        <f>IFERROR(IF(Z476="",0,Z476),"0")</f>
        <v>0.13286000000000001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60</v>
      </c>
      <c r="Y478" s="543">
        <f>IFERROR(SUM(Y476:Y476),"0")</f>
        <v>63</v>
      </c>
      <c r="Z478" s="37"/>
      <c r="AA478" s="544"/>
      <c r="AB478" s="544"/>
      <c r="AC478" s="544"/>
    </row>
    <row r="479" spans="1:68" ht="14.25" customHeight="1" x14ac:dyDescent="0.25">
      <c r="A479" s="558" t="s">
        <v>164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customHeight="1" x14ac:dyDescent="0.25">
      <c r="A480" s="54" t="s">
        <v>727</v>
      </c>
      <c r="B480" s="54" t="s">
        <v>728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104</v>
      </c>
      <c r="L480" s="32"/>
      <c r="M480" s="33" t="s">
        <v>78</v>
      </c>
      <c r="N480" s="33"/>
      <c r="O480" s="32">
        <v>40</v>
      </c>
      <c r="P480" s="65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729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730</v>
      </c>
      <c r="B481" s="54" t="s">
        <v>731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104</v>
      </c>
      <c r="L481" s="32"/>
      <c r="M481" s="33" t="s">
        <v>78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732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9" t="s">
        <v>733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customHeight="1" x14ac:dyDescent="0.25">
      <c r="A485" s="558" t="s">
        <v>136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customHeight="1" x14ac:dyDescent="0.25">
      <c r="A486" s="54" t="s">
        <v>734</v>
      </c>
      <c r="B486" s="54" t="s">
        <v>735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82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736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2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0"/>
      <c r="P489" s="627" t="s">
        <v>737</v>
      </c>
      <c r="Q489" s="628"/>
      <c r="R489" s="628"/>
      <c r="S489" s="628"/>
      <c r="T489" s="628"/>
      <c r="U489" s="628"/>
      <c r="V489" s="629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296+X306+X313+X319+X326+X332+X339+X351+X356+X361+X365+X371+X376+X381+X395+X400+X405+X412+X417+X433+X439+X448+X454+X463+X469+X474+X478+X483+X488,"0")</f>
        <v>1105</v>
      </c>
      <c r="Y489" s="543">
        <f>IFERROR(Y24+Y32+Y36+Y44+Y48+Y58+Y64+Y70+Y77+Y82+Y89+Y96+Y104+Y110+Y117+Y121+Y127+Y132+Y137+Y143+Y149+Y153+Y159+Y172+Y178+Y182+Y188+Y193+Y204+Y216+Y221+Y235+Y239+Y243+Y251+Y260+Y268+Y275+Y281+Y286+Y296+Y306+Y313+Y319+Y326+Y332+Y339+Y351+Y356+Y361+Y365+Y371+Y376+Y381+Y395+Y400+Y405+Y412+Y417+Y433+Y439+Y448+Y454+Y463+Y469+Y474+Y478+Y483+Y488,"0")</f>
        <v>1157.4000000000001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0"/>
      <c r="P490" s="627" t="s">
        <v>738</v>
      </c>
      <c r="Q490" s="628"/>
      <c r="R490" s="628"/>
      <c r="S490" s="628"/>
      <c r="T490" s="628"/>
      <c r="U490" s="628"/>
      <c r="V490" s="629"/>
      <c r="W490" s="37" t="s">
        <v>69</v>
      </c>
      <c r="X490" s="543">
        <f>IFERROR(SUM(BM22:BM486),"0")</f>
        <v>1159.9050610870611</v>
      </c>
      <c r="Y490" s="543">
        <f>IFERROR(SUM(BN22:BN486),"0")</f>
        <v>1214.8039999999999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0"/>
      <c r="P491" s="627" t="s">
        <v>739</v>
      </c>
      <c r="Q491" s="628"/>
      <c r="R491" s="628"/>
      <c r="S491" s="628"/>
      <c r="T491" s="628"/>
      <c r="U491" s="628"/>
      <c r="V491" s="629"/>
      <c r="W491" s="37" t="s">
        <v>740</v>
      </c>
      <c r="X491" s="38">
        <f>ROUNDUP(SUM(BO22:BO486),0)</f>
        <v>2</v>
      </c>
      <c r="Y491" s="38">
        <f>ROUNDUP(SUM(BP22:BP486),0)</f>
        <v>2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0"/>
      <c r="P492" s="627" t="s">
        <v>741</v>
      </c>
      <c r="Q492" s="628"/>
      <c r="R492" s="628"/>
      <c r="S492" s="628"/>
      <c r="T492" s="628"/>
      <c r="U492" s="628"/>
      <c r="V492" s="629"/>
      <c r="W492" s="37" t="s">
        <v>69</v>
      </c>
      <c r="X492" s="543">
        <f>GrossWeightTotal+PalletQtyTotal*25</f>
        <v>1209.9050610870611</v>
      </c>
      <c r="Y492" s="543">
        <f>GrossWeightTotalR+PalletQtyTotalR*25</f>
        <v>1264.8039999999999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0"/>
      <c r="P493" s="627" t="s">
        <v>742</v>
      </c>
      <c r="Q493" s="628"/>
      <c r="R493" s="628"/>
      <c r="S493" s="628"/>
      <c r="T493" s="628"/>
      <c r="U493" s="628"/>
      <c r="V493" s="629"/>
      <c r="W493" s="37" t="s">
        <v>740</v>
      </c>
      <c r="X493" s="543">
        <f>IFERROR(X23+X31+X35+X43+X47+X57+X63+X69+X76+X81+X88+X95+X103+X109+X116+X120+X126+X131+X136+X142+X148+X152+X158+X171+X177+X181+X187+X192+X203+X215+X220+X234+X238+X242+X250+X259+X267+X274+X280+X285+X295+X305+X312+X318+X325+X331+X338+X350+X355+X360+X364+X370+X375+X380+X394+X399+X404+X411+X416+X432+X438+X447+X453+X462+X468+X473+X477+X482+X487,"0")</f>
        <v>173.71772671772672</v>
      </c>
      <c r="Y493" s="543">
        <f>IFERROR(Y23+Y31+Y35+Y43+Y47+Y57+Y63+Y69+Y76+Y81+Y88+Y95+Y103+Y109+Y116+Y120+Y126+Y131+Y136+Y142+Y148+Y152+Y158+Y171+Y177+Y181+Y187+Y192+Y203+Y215+Y220+Y234+Y238+Y242+Y250+Y259+Y267+Y274+Y280+Y285+Y295+Y305+Y312+Y318+Y325+Y331+Y338+Y350+Y355+Y360+Y364+Y370+Y375+Y380+Y394+Y399+Y404+Y411+Y416+Y432+Y438+Y447+Y453+Y462+Y468+Y473+Y477+Y482+Y487,"0")</f>
        <v>182</v>
      </c>
      <c r="Z493" s="37"/>
      <c r="AA493" s="544"/>
      <c r="AB493" s="544"/>
      <c r="AC493" s="544"/>
    </row>
    <row r="494" spans="1:68" ht="14.25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0"/>
      <c r="P494" s="627" t="s">
        <v>743</v>
      </c>
      <c r="Q494" s="628"/>
      <c r="R494" s="628"/>
      <c r="S494" s="628"/>
      <c r="T494" s="628"/>
      <c r="U494" s="628"/>
      <c r="V494" s="629"/>
      <c r="W494" s="39" t="s">
        <v>744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295+Z305+Z312+Z318+Z325+Z331+Z338+Z350+Z355+Z360+Z364+Z370+Z375+Z380+Z394+Z399+Z404+Z411+Z416+Z432+Z438+Z447+Z453+Z462+Z468+Z473+Z477+Z482+Z487,"0")</f>
        <v>2.2596000000000003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745</v>
      </c>
      <c r="B496" s="538" t="s">
        <v>63</v>
      </c>
      <c r="C496" s="592" t="s">
        <v>99</v>
      </c>
      <c r="D496" s="653"/>
      <c r="E496" s="653"/>
      <c r="F496" s="653"/>
      <c r="G496" s="653"/>
      <c r="H496" s="621"/>
      <c r="I496" s="592" t="s">
        <v>251</v>
      </c>
      <c r="J496" s="653"/>
      <c r="K496" s="653"/>
      <c r="L496" s="653"/>
      <c r="M496" s="653"/>
      <c r="N496" s="653"/>
      <c r="O496" s="653"/>
      <c r="P496" s="653"/>
      <c r="Q496" s="653"/>
      <c r="R496" s="621"/>
      <c r="S496" s="592" t="s">
        <v>535</v>
      </c>
      <c r="T496" s="621"/>
      <c r="U496" s="592" t="s">
        <v>586</v>
      </c>
      <c r="V496" s="653"/>
      <c r="W496" s="621"/>
      <c r="X496" s="538" t="s">
        <v>637</v>
      </c>
      <c r="Y496" s="592" t="s">
        <v>697</v>
      </c>
      <c r="Z496" s="621"/>
      <c r="AB496" s="52"/>
      <c r="AC496" s="52"/>
      <c r="AF496" s="539"/>
    </row>
    <row r="497" spans="1:32" ht="14.25" customHeight="1" thickTop="1" x14ac:dyDescent="0.2">
      <c r="A497" s="835" t="s">
        <v>746</v>
      </c>
      <c r="B497" s="592" t="s">
        <v>63</v>
      </c>
      <c r="C497" s="592" t="s">
        <v>100</v>
      </c>
      <c r="D497" s="592" t="s">
        <v>117</v>
      </c>
      <c r="E497" s="592" t="s">
        <v>171</v>
      </c>
      <c r="F497" s="592" t="s">
        <v>190</v>
      </c>
      <c r="G497" s="592" t="s">
        <v>220</v>
      </c>
      <c r="H497" s="592" t="s">
        <v>99</v>
      </c>
      <c r="I497" s="592" t="s">
        <v>252</v>
      </c>
      <c r="J497" s="592" t="s">
        <v>297</v>
      </c>
      <c r="K497" s="592" t="s">
        <v>356</v>
      </c>
      <c r="L497" s="592" t="s">
        <v>398</v>
      </c>
      <c r="M497" s="592" t="s">
        <v>414</v>
      </c>
      <c r="N497" s="539"/>
      <c r="O497" s="592" t="s">
        <v>425</v>
      </c>
      <c r="P497" s="592" t="s">
        <v>434</v>
      </c>
      <c r="Q497" s="592" t="s">
        <v>448</v>
      </c>
      <c r="R497" s="592" t="s">
        <v>525</v>
      </c>
      <c r="S497" s="592" t="s">
        <v>536</v>
      </c>
      <c r="T497" s="592" t="s">
        <v>570</v>
      </c>
      <c r="U497" s="592" t="s">
        <v>587</v>
      </c>
      <c r="V497" s="592" t="s">
        <v>618</v>
      </c>
      <c r="W497" s="592" t="s">
        <v>633</v>
      </c>
      <c r="X497" s="592" t="s">
        <v>637</v>
      </c>
      <c r="Y497" s="592" t="s">
        <v>697</v>
      </c>
      <c r="Z497" s="592" t="s">
        <v>733</v>
      </c>
      <c r="AB497" s="52"/>
      <c r="AC497" s="52"/>
      <c r="AF497" s="539"/>
    </row>
    <row r="498" spans="1:32" ht="13.5" customHeight="1" thickBot="1" x14ac:dyDescent="0.25">
      <c r="A498" s="836"/>
      <c r="B498" s="593"/>
      <c r="C498" s="593"/>
      <c r="D498" s="593"/>
      <c r="E498" s="593"/>
      <c r="F498" s="593"/>
      <c r="G498" s="593"/>
      <c r="H498" s="593"/>
      <c r="I498" s="593"/>
      <c r="J498" s="593"/>
      <c r="K498" s="593"/>
      <c r="L498" s="593"/>
      <c r="M498" s="593"/>
      <c r="N498" s="539"/>
      <c r="O498" s="593"/>
      <c r="P498" s="593"/>
      <c r="Q498" s="593"/>
      <c r="R498" s="593"/>
      <c r="S498" s="593"/>
      <c r="T498" s="593"/>
      <c r="U498" s="593"/>
      <c r="V498" s="593"/>
      <c r="W498" s="593"/>
      <c r="X498" s="593"/>
      <c r="Y498" s="593"/>
      <c r="Z498" s="593"/>
      <c r="AB498" s="52"/>
      <c r="AC498" s="52"/>
      <c r="AF498" s="539"/>
    </row>
    <row r="499" spans="1:32" ht="18" customHeight="1" thickTop="1" thickBot="1" x14ac:dyDescent="0.25">
      <c r="A499" s="40" t="s">
        <v>747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21.6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124.20000000000002</v>
      </c>
      <c r="E499" s="46">
        <f>IFERROR(Y85*1,"0")+IFERROR(Y86*1,"0")+IFERROR(Y87*1,"0")+IFERROR(Y91*1,"0")+IFERROR(Y92*1,"0")+IFERROR(Y93*1,"0")+IFERROR(Y94*1,"0")</f>
        <v>16.2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78.3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42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210.00000000000003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21.6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0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52.2</v>
      </c>
      <c r="R499" s="46">
        <f>IFERROR(Y335*1,"0")+IFERROR(Y336*1,"0")+IFERROR(Y337*1,"0")</f>
        <v>14.700000000000001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180</v>
      </c>
      <c r="T499" s="46">
        <f>IFERROR(Y368*1,"0")+IFERROR(Y369*1,"0")+IFERROR(Y373*1,"0")+IFERROR(Y374*1,"0")+IFERROR(Y378*1,"0")+IFERROR(Y379*1,"0")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43.2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290.40000000000003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63</v>
      </c>
      <c r="Z499" s="46">
        <f>IFERROR(Y486*1,"0")</f>
        <v>0</v>
      </c>
      <c r="AB499" s="52"/>
      <c r="AC499" s="52"/>
      <c r="AF499" s="539"/>
    </row>
  </sheetData>
  <sheetProtection algorithmName="SHA-512" hashValue="DzXPN+uhEiVXfmV8Af/JQBSNBnBHrdFEUe6JD1/iZl5vpy3wtg6SYDB6eXDfdKaMQ2f2vGHqBTZu9MNQ32O6vA==" saltValue="aljrk3B1BGI+oCBWfXSAR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X17:X18"/>
    <mergeCell ref="D408:E408"/>
    <mergeCell ref="P216:V216"/>
    <mergeCell ref="A8:C8"/>
    <mergeCell ref="P124:T124"/>
    <mergeCell ref="D293:E293"/>
    <mergeCell ref="A477:O478"/>
    <mergeCell ref="P151:T151"/>
    <mergeCell ref="P76:V76"/>
    <mergeCell ref="A128:Z128"/>
    <mergeCell ref="A10:C10"/>
    <mergeCell ref="P361:V361"/>
    <mergeCell ref="A413:Z413"/>
    <mergeCell ref="A217:Z217"/>
    <mergeCell ref="P218:T218"/>
    <mergeCell ref="P69:V69"/>
    <mergeCell ref="A21:Z21"/>
    <mergeCell ref="P438:V438"/>
    <mergeCell ref="A355:O356"/>
    <mergeCell ref="A194:Z194"/>
    <mergeCell ref="P296:V296"/>
    <mergeCell ref="P356:V356"/>
    <mergeCell ref="A468:O469"/>
    <mergeCell ref="P363:T363"/>
    <mergeCell ref="D344:E344"/>
    <mergeCell ref="D42:E42"/>
    <mergeCell ref="D471:E471"/>
    <mergeCell ref="V12:W12"/>
    <mergeCell ref="D191:E191"/>
    <mergeCell ref="D458:E458"/>
    <mergeCell ref="P368:T368"/>
    <mergeCell ref="A362:Z362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D291:E291"/>
    <mergeCell ref="D266:E266"/>
    <mergeCell ref="P174:T174"/>
    <mergeCell ref="U17:V17"/>
    <mergeCell ref="P410:T410"/>
    <mergeCell ref="P385:T385"/>
    <mergeCell ref="Y17:Y18"/>
    <mergeCell ref="A484:Z484"/>
    <mergeCell ref="A479:Z479"/>
    <mergeCell ref="D17:E18"/>
    <mergeCell ref="A487:O488"/>
    <mergeCell ref="P81:V81"/>
    <mergeCell ref="A33:Z33"/>
    <mergeCell ref="T497:T498"/>
    <mergeCell ref="D196:E196"/>
    <mergeCell ref="V497:V498"/>
    <mergeCell ref="A440:Z440"/>
    <mergeCell ref="A269:Z269"/>
    <mergeCell ref="A126:O127"/>
    <mergeCell ref="P294:T294"/>
    <mergeCell ref="P381:V381"/>
    <mergeCell ref="A262:Z262"/>
    <mergeCell ref="A333:Z333"/>
    <mergeCell ref="D54:E54"/>
    <mergeCell ref="D271:E271"/>
    <mergeCell ref="Q497:Q498"/>
    <mergeCell ref="G497:G498"/>
    <mergeCell ref="I497:I498"/>
    <mergeCell ref="P373:T373"/>
    <mergeCell ref="P202:T202"/>
    <mergeCell ref="P444:T444"/>
    <mergeCell ref="D421:E421"/>
    <mergeCell ref="A497:A498"/>
    <mergeCell ref="D170:E170"/>
    <mergeCell ref="P132:V132"/>
    <mergeCell ref="P72:T72"/>
    <mergeCell ref="A31:O32"/>
    <mergeCell ref="N17:N18"/>
    <mergeCell ref="P199:T199"/>
    <mergeCell ref="F17:F18"/>
    <mergeCell ref="Q5:R5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36:E336"/>
    <mergeCell ref="P293:T293"/>
    <mergeCell ref="D407:E407"/>
    <mergeCell ref="A447:O448"/>
    <mergeCell ref="Q6:R6"/>
    <mergeCell ref="P200:T200"/>
    <mergeCell ref="P134:T134"/>
    <mergeCell ref="AD17:AF18"/>
    <mergeCell ref="P142:V142"/>
    <mergeCell ref="D101:E101"/>
    <mergeCell ref="P117:V117"/>
    <mergeCell ref="F5:G5"/>
    <mergeCell ref="P365:V36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P146:T146"/>
    <mergeCell ref="A192:O193"/>
    <mergeCell ref="D279:E279"/>
    <mergeCell ref="A136:O137"/>
    <mergeCell ref="I496:R496"/>
    <mergeCell ref="W497:W498"/>
    <mergeCell ref="A23:O24"/>
    <mergeCell ref="D10:E10"/>
    <mergeCell ref="P135:T135"/>
    <mergeCell ref="P191:T191"/>
    <mergeCell ref="D34:E34"/>
    <mergeCell ref="A181:O182"/>
    <mergeCell ref="F10:G10"/>
    <mergeCell ref="P349:T349"/>
    <mergeCell ref="D99:E99"/>
    <mergeCell ref="D397:E397"/>
    <mergeCell ref="P376:V376"/>
    <mergeCell ref="D310:E310"/>
    <mergeCell ref="D430:E430"/>
    <mergeCell ref="P469:V469"/>
    <mergeCell ref="P486:T486"/>
    <mergeCell ref="D450:E450"/>
    <mergeCell ref="D29:E29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P369:T369"/>
    <mergeCell ref="D241:E241"/>
    <mergeCell ref="P347:T347"/>
    <mergeCell ref="P198:T198"/>
    <mergeCell ref="A57:O58"/>
    <mergeCell ref="P54:T54"/>
    <mergeCell ref="D228:E228"/>
    <mergeCell ref="P312:V312"/>
    <mergeCell ref="P371:V371"/>
    <mergeCell ref="P421:T421"/>
    <mergeCell ref="A411:O412"/>
    <mergeCell ref="P408:T408"/>
    <mergeCell ref="D218:E21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P465:T465"/>
    <mergeCell ref="D386:E386"/>
    <mergeCell ref="P250:V250"/>
    <mergeCell ref="A364:O365"/>
    <mergeCell ref="B497:B498"/>
    <mergeCell ref="P492:V492"/>
    <mergeCell ref="A103:O104"/>
    <mergeCell ref="S496:T496"/>
    <mergeCell ref="P415:T415"/>
    <mergeCell ref="P286:V286"/>
    <mergeCell ref="P336:T336"/>
    <mergeCell ref="P131:V131"/>
    <mergeCell ref="P187:V187"/>
    <mergeCell ref="A453:O454"/>
    <mergeCell ref="P494:V494"/>
    <mergeCell ref="P430:T430"/>
    <mergeCell ref="P350:V350"/>
    <mergeCell ref="A297:Z297"/>
    <mergeCell ref="P196:T196"/>
    <mergeCell ref="P281:V281"/>
    <mergeCell ref="P354:T354"/>
    <mergeCell ref="D226:E226"/>
    <mergeCell ref="D164:E164"/>
    <mergeCell ref="U497:U498"/>
    <mergeCell ref="L497:L498"/>
    <mergeCell ref="D389:E389"/>
    <mergeCell ref="A318:O319"/>
    <mergeCell ref="P47:V47"/>
    <mergeCell ref="P176:T176"/>
    <mergeCell ref="P247:T247"/>
    <mergeCell ref="P114:T114"/>
    <mergeCell ref="P241:T241"/>
    <mergeCell ref="P41:T41"/>
    <mergeCell ref="A455:Z455"/>
    <mergeCell ref="A222:Z222"/>
    <mergeCell ref="D385:E385"/>
    <mergeCell ref="P301:T301"/>
    <mergeCell ref="D257:E257"/>
    <mergeCell ref="P214:T214"/>
    <mergeCell ref="D86:E86"/>
    <mergeCell ref="D213:E213"/>
    <mergeCell ref="A457:Z457"/>
    <mergeCell ref="P192:V192"/>
    <mergeCell ref="D151:E151"/>
    <mergeCell ref="D321:E321"/>
    <mergeCell ref="P278:T278"/>
    <mergeCell ref="P107:T107"/>
    <mergeCell ref="P101:T101"/>
    <mergeCell ref="A9:C9"/>
    <mergeCell ref="D373:E373"/>
    <mergeCell ref="D202:E202"/>
    <mergeCell ref="A242:O243"/>
    <mergeCell ref="A179:Z179"/>
    <mergeCell ref="C496:H496"/>
    <mergeCell ref="P112:T112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AB17:AB18"/>
    <mergeCell ref="A90:Z90"/>
    <mergeCell ref="D446:E446"/>
    <mergeCell ref="A277:Z277"/>
    <mergeCell ref="P44:V44"/>
    <mergeCell ref="H5:M5"/>
    <mergeCell ref="P31:V31"/>
    <mergeCell ref="P473:V473"/>
    <mergeCell ref="P158:V158"/>
    <mergeCell ref="A154:Z154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P460:T460"/>
    <mergeCell ref="S497:S498"/>
    <mergeCell ref="D428:E428"/>
    <mergeCell ref="P40:T40"/>
    <mergeCell ref="K497:K498"/>
    <mergeCell ref="M497:M498"/>
    <mergeCell ref="D415:E415"/>
    <mergeCell ref="P394:V394"/>
    <mergeCell ref="P257:T257"/>
    <mergeCell ref="P80:T80"/>
    <mergeCell ref="D441:E441"/>
    <mergeCell ref="P398:T398"/>
    <mergeCell ref="P227:T227"/>
    <mergeCell ref="D368:E368"/>
    <mergeCell ref="P106:T106"/>
    <mergeCell ref="D481:E481"/>
    <mergeCell ref="P226:T226"/>
    <mergeCell ref="P335:T335"/>
    <mergeCell ref="D256:E256"/>
    <mergeCell ref="D207:E207"/>
    <mergeCell ref="P164:T164"/>
    <mergeCell ref="P120:V120"/>
    <mergeCell ref="P93:T93"/>
    <mergeCell ref="D85:E85"/>
    <mergeCell ref="D299:E299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Z17:Z18"/>
    <mergeCell ref="P483:V483"/>
    <mergeCell ref="D298:E298"/>
    <mergeCell ref="P91:T91"/>
    <mergeCell ref="P404:V404"/>
    <mergeCell ref="D273:E273"/>
    <mergeCell ref="P468:V468"/>
    <mergeCell ref="A464:Z464"/>
    <mergeCell ref="A160:Z160"/>
    <mergeCell ref="P212:T212"/>
    <mergeCell ref="P405:V405"/>
    <mergeCell ref="A401:Z401"/>
    <mergeCell ref="A152:O153"/>
    <mergeCell ref="P171:V171"/>
    <mergeCell ref="P242:V242"/>
    <mergeCell ref="P121:V121"/>
    <mergeCell ref="D459:E459"/>
    <mergeCell ref="P148:V148"/>
    <mergeCell ref="P130:T130"/>
    <mergeCell ref="P190:T190"/>
    <mergeCell ref="P482:V482"/>
    <mergeCell ref="D225:E225"/>
    <mergeCell ref="P409:T409"/>
    <mergeCell ref="A399:O400"/>
    <mergeCell ref="D461:E461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P57:V57"/>
    <mergeCell ref="A81:O82"/>
    <mergeCell ref="D80:E80"/>
    <mergeCell ref="P46:T46"/>
    <mergeCell ref="P61:T61"/>
    <mergeCell ref="D200:E200"/>
    <mergeCell ref="P359:T359"/>
    <mergeCell ref="D436:E436"/>
    <mergeCell ref="A305:O306"/>
    <mergeCell ref="P346:T346"/>
    <mergeCell ref="D292:E292"/>
    <mergeCell ref="D227:E227"/>
    <mergeCell ref="P321:T321"/>
    <mergeCell ref="C497:C498"/>
    <mergeCell ref="D176:E176"/>
    <mergeCell ref="D114:E114"/>
    <mergeCell ref="E497:E498"/>
    <mergeCell ref="P220:V220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221:V221"/>
    <mergeCell ref="P326:V326"/>
    <mergeCell ref="P215:V215"/>
    <mergeCell ref="P393:T393"/>
    <mergeCell ref="D374:E374"/>
    <mergeCell ref="P232:T232"/>
    <mergeCell ref="P152:V152"/>
    <mergeCell ref="P330:T330"/>
    <mergeCell ref="D140:E140"/>
    <mergeCell ref="J9:M9"/>
    <mergeCell ref="A418:Z418"/>
    <mergeCell ref="D283:E283"/>
    <mergeCell ref="D112:E112"/>
    <mergeCell ref="D348:E348"/>
    <mergeCell ref="P141:T141"/>
    <mergeCell ref="P454:V454"/>
    <mergeCell ref="D62:E62"/>
    <mergeCell ref="D56:E56"/>
    <mergeCell ref="P206:T206"/>
    <mergeCell ref="P233:T233"/>
    <mergeCell ref="D347:E347"/>
    <mergeCell ref="P304:T304"/>
    <mergeCell ref="A38:Z38"/>
    <mergeCell ref="A340:Z340"/>
    <mergeCell ref="D425:E425"/>
    <mergeCell ref="D359:E359"/>
    <mergeCell ref="H17:H18"/>
    <mergeCell ref="A220:O221"/>
    <mergeCell ref="P161:T161"/>
    <mergeCell ref="P388:T388"/>
    <mergeCell ref="V6:W9"/>
    <mergeCell ref="G17:G18"/>
    <mergeCell ref="P125:T125"/>
    <mergeCell ref="A470:Z470"/>
    <mergeCell ref="A375:O376"/>
    <mergeCell ref="P245:T245"/>
    <mergeCell ref="D201:E201"/>
    <mergeCell ref="P126:V126"/>
    <mergeCell ref="D68:E68"/>
    <mergeCell ref="D424:E424"/>
    <mergeCell ref="P224:T224"/>
    <mergeCell ref="P322:T322"/>
    <mergeCell ref="A285:O286"/>
    <mergeCell ref="P211:T211"/>
    <mergeCell ref="P309:T309"/>
    <mergeCell ref="P324:T324"/>
    <mergeCell ref="A261:Z261"/>
    <mergeCell ref="P338:V338"/>
    <mergeCell ref="P313:V313"/>
    <mergeCell ref="A138:Z138"/>
    <mergeCell ref="D87:E87"/>
    <mergeCell ref="A367:Z367"/>
    <mergeCell ref="P115:T115"/>
    <mergeCell ref="D254:E254"/>
    <mergeCell ref="A183:Z183"/>
    <mergeCell ref="A88:O89"/>
    <mergeCell ref="D346:E346"/>
    <mergeCell ref="T5:U5"/>
    <mergeCell ref="D119:E119"/>
    <mergeCell ref="D190:E190"/>
    <mergeCell ref="P374:T374"/>
    <mergeCell ref="D246:E246"/>
    <mergeCell ref="D46:E46"/>
    <mergeCell ref="V5:W5"/>
    <mergeCell ref="D40:E40"/>
    <mergeCell ref="A295:O296"/>
    <mergeCell ref="D233:E233"/>
    <mergeCell ref="Q8:R8"/>
    <mergeCell ref="P311:T311"/>
    <mergeCell ref="P140:T140"/>
    <mergeCell ref="D248:E248"/>
    <mergeCell ref="D219:E219"/>
    <mergeCell ref="T6:U9"/>
    <mergeCell ref="P319:V319"/>
    <mergeCell ref="Q10:R10"/>
    <mergeCell ref="D185:E185"/>
    <mergeCell ref="D41:E41"/>
    <mergeCell ref="P318:V318"/>
    <mergeCell ref="A37:Z37"/>
    <mergeCell ref="P149:V149"/>
    <mergeCell ref="A139:Z139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Y497:Y498"/>
    <mergeCell ref="P447:V447"/>
    <mergeCell ref="P387:T387"/>
    <mergeCell ref="A406:Z406"/>
    <mergeCell ref="D422:E422"/>
    <mergeCell ref="P360:V360"/>
    <mergeCell ref="D74:E74"/>
    <mergeCell ref="D130:E130"/>
    <mergeCell ref="P87:T87"/>
    <mergeCell ref="P451:T451"/>
    <mergeCell ref="D335:E335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10:T310"/>
    <mergeCell ref="P51:T51"/>
    <mergeCell ref="P26:T26"/>
    <mergeCell ref="P58:V58"/>
    <mergeCell ref="A13:M13"/>
    <mergeCell ref="D61:E61"/>
    <mergeCell ref="A15:M15"/>
    <mergeCell ref="P229:T229"/>
    <mergeCell ref="A133:Z133"/>
    <mergeCell ref="D125:E125"/>
    <mergeCell ref="P201:T201"/>
    <mergeCell ref="A35:O36"/>
    <mergeCell ref="D22:E22"/>
    <mergeCell ref="P34:T34"/>
    <mergeCell ref="P63:V63"/>
    <mergeCell ref="M17:M18"/>
    <mergeCell ref="D460:E460"/>
    <mergeCell ref="P210:T210"/>
    <mergeCell ref="P439:V439"/>
    <mergeCell ref="D398:E398"/>
    <mergeCell ref="A438:O439"/>
    <mergeCell ref="P433:V433"/>
    <mergeCell ref="P308:T308"/>
    <mergeCell ref="A267:O268"/>
    <mergeCell ref="A69:O70"/>
    <mergeCell ref="P185:T185"/>
    <mergeCell ref="D106:E106"/>
    <mergeCell ref="P427:T427"/>
    <mergeCell ref="P283:T283"/>
    <mergeCell ref="D264:E264"/>
    <mergeCell ref="D93:E93"/>
    <mergeCell ref="D391:E391"/>
    <mergeCell ref="P370:V370"/>
    <mergeCell ref="A394:O395"/>
    <mergeCell ref="D328:E328"/>
    <mergeCell ref="D157:E157"/>
    <mergeCell ref="P136:V136"/>
    <mergeCell ref="A253:Z253"/>
    <mergeCell ref="A419:Z419"/>
    <mergeCell ref="P446:T446"/>
    <mergeCell ref="D52:E52"/>
    <mergeCell ref="P110:V110"/>
    <mergeCell ref="D27:E27"/>
    <mergeCell ref="A338:O339"/>
    <mergeCell ref="P208:T208"/>
    <mergeCell ref="P15:T16"/>
    <mergeCell ref="P450:T450"/>
    <mergeCell ref="A325:O326"/>
    <mergeCell ref="P219:T219"/>
    <mergeCell ref="D91:E91"/>
    <mergeCell ref="D162:E162"/>
    <mergeCell ref="P272:T272"/>
    <mergeCell ref="O17:O18"/>
    <mergeCell ref="P102:T102"/>
    <mergeCell ref="P62:T62"/>
    <mergeCell ref="P436:T436"/>
    <mergeCell ref="P292:T292"/>
    <mergeCell ref="A360:O361"/>
    <mergeCell ref="D102:E102"/>
    <mergeCell ref="P23:V23"/>
    <mergeCell ref="A5:C5"/>
    <mergeCell ref="P412:V412"/>
    <mergeCell ref="P64:V64"/>
    <mergeCell ref="A485:Z485"/>
    <mergeCell ref="D337:E337"/>
    <mergeCell ref="D166:E166"/>
    <mergeCell ref="P195:T195"/>
    <mergeCell ref="P364:V364"/>
    <mergeCell ref="P300:T300"/>
    <mergeCell ref="A189:Z189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D26:E26"/>
    <mergeCell ref="P403:T403"/>
    <mergeCell ref="P378:T378"/>
    <mergeCell ref="D324:E324"/>
    <mergeCell ref="A259:O260"/>
    <mergeCell ref="D311:E311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246:T246"/>
    <mergeCell ref="A43:O44"/>
    <mergeCell ref="D390:E390"/>
    <mergeCell ref="A123:Z123"/>
    <mergeCell ref="P491:V491"/>
    <mergeCell ref="P127:V127"/>
    <mergeCell ref="F9:G9"/>
    <mergeCell ref="P53:T53"/>
    <mergeCell ref="D167:E167"/>
    <mergeCell ref="P422:T422"/>
    <mergeCell ref="P289:T289"/>
    <mergeCell ref="D403:E403"/>
    <mergeCell ref="D232:E232"/>
    <mergeCell ref="Z497:Z498"/>
    <mergeCell ref="P497:P498"/>
    <mergeCell ref="A402:Z402"/>
    <mergeCell ref="D229:E229"/>
    <mergeCell ref="R497:R498"/>
    <mergeCell ref="D108:E108"/>
    <mergeCell ref="P429:T429"/>
    <mergeCell ref="P258:T258"/>
    <mergeCell ref="D369:E369"/>
    <mergeCell ref="P423:T423"/>
    <mergeCell ref="P481:T481"/>
    <mergeCell ref="D141:E141"/>
    <mergeCell ref="D135:E135"/>
    <mergeCell ref="P203:V203"/>
    <mergeCell ref="P295:V295"/>
    <mergeCell ref="P178:V178"/>
    <mergeCell ref="A177:O178"/>
    <mergeCell ref="P463:V463"/>
    <mergeCell ref="P267:V267"/>
    <mergeCell ref="D161:E161"/>
    <mergeCell ref="P238:V238"/>
    <mergeCell ref="P264:T264"/>
    <mergeCell ref="A312:O313"/>
    <mergeCell ref="P353:T353"/>
    <mergeCell ref="D169:E169"/>
    <mergeCell ref="D1:F1"/>
    <mergeCell ref="P466:T466"/>
    <mergeCell ref="A71:Z71"/>
    <mergeCell ref="P488:V488"/>
    <mergeCell ref="A307:Z307"/>
    <mergeCell ref="J17:J18"/>
    <mergeCell ref="L17:L18"/>
    <mergeCell ref="A184:Z184"/>
    <mergeCell ref="A244:Z244"/>
    <mergeCell ref="P426:T426"/>
    <mergeCell ref="P255:T255"/>
    <mergeCell ref="A342:Z342"/>
    <mergeCell ref="P48:V48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A482:O483"/>
    <mergeCell ref="A416:O417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P337:T337"/>
    <mergeCell ref="D209:E209"/>
    <mergeCell ref="A282:Z282"/>
    <mergeCell ref="P188:V188"/>
    <mergeCell ref="A187:O188"/>
    <mergeCell ref="D445:E445"/>
    <mergeCell ref="D245:E245"/>
    <mergeCell ref="D301:E301"/>
    <mergeCell ref="P166:T166"/>
    <mergeCell ref="D147:E147"/>
    <mergeCell ref="D224:E224"/>
    <mergeCell ref="P230:T230"/>
    <mergeCell ref="D211:E211"/>
    <mergeCell ref="P168:T168"/>
    <mergeCell ref="P490:V490"/>
    <mergeCell ref="D329:E329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D55:E55"/>
    <mergeCell ref="D30:E30"/>
    <mergeCell ref="A95:O96"/>
    <mergeCell ref="D353:E353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354:E354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P182:V182"/>
    <mergeCell ref="H497:H498"/>
    <mergeCell ref="A473:O474"/>
    <mergeCell ref="D289:E289"/>
    <mergeCell ref="J497:J498"/>
    <mergeCell ref="P159:V159"/>
    <mergeCell ref="P395:V395"/>
    <mergeCell ref="P209:T209"/>
    <mergeCell ref="P147:T147"/>
    <mergeCell ref="P445:T445"/>
    <mergeCell ref="A434:Z434"/>
    <mergeCell ref="P332:V332"/>
    <mergeCell ref="A384:Z384"/>
    <mergeCell ref="A331:O332"/>
    <mergeCell ref="A449:Z449"/>
    <mergeCell ref="P325:V325"/>
    <mergeCell ref="A150:Z150"/>
    <mergeCell ref="D378:E378"/>
    <mergeCell ref="P458:T458"/>
    <mergeCell ref="P487:V487"/>
    <mergeCell ref="P476:T476"/>
    <mergeCell ref="P407:T407"/>
    <mergeCell ref="P471:T471"/>
    <mergeCell ref="X497:X498"/>
    <mergeCell ref="A475:Z475"/>
    <mergeCell ref="V10:W10"/>
    <mergeCell ref="D431:E431"/>
    <mergeCell ref="P99:T99"/>
    <mergeCell ref="P170:T170"/>
    <mergeCell ref="P316:T316"/>
    <mergeCell ref="P145:T145"/>
    <mergeCell ref="D66:E66"/>
    <mergeCell ref="P443:T443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D316:E316"/>
    <mergeCell ref="P273:T273"/>
    <mergeCell ref="B17:B18"/>
    <mergeCell ref="P143:V143"/>
    <mergeCell ref="A171:O172"/>
    <mergeCell ref="D258:E258"/>
    <mergeCell ref="P235:V235"/>
    <mergeCell ref="P477:V477"/>
    <mergeCell ref="D124:E124"/>
    <mergeCell ref="P56:T56"/>
    <mergeCell ref="D195:E195"/>
    <mergeCell ref="P379:T379"/>
    <mergeCell ref="P462:V462"/>
    <mergeCell ref="A105:Z105"/>
    <mergeCell ref="P52:T52"/>
    <mergeCell ref="I17:I18"/>
    <mergeCell ref="D72:E72"/>
    <mergeCell ref="P68:T68"/>
    <mergeCell ref="P204:V204"/>
    <mergeCell ref="P82:V82"/>
    <mergeCell ref="P303:T303"/>
    <mergeCell ref="A357:Z357"/>
    <mergeCell ref="D330:E330"/>
    <mergeCell ref="P181:V181"/>
    <mergeCell ref="A98:Z98"/>
    <mergeCell ref="A396:Z396"/>
    <mergeCell ref="D486:E486"/>
    <mergeCell ref="P86:T86"/>
    <mergeCell ref="P328:T328"/>
    <mergeCell ref="P213:T213"/>
    <mergeCell ref="P157:T157"/>
    <mergeCell ref="D134:E134"/>
    <mergeCell ref="P249:T249"/>
    <mergeCell ref="D363:E363"/>
    <mergeCell ref="R1:T1"/>
    <mergeCell ref="A158:O159"/>
    <mergeCell ref="P28:T28"/>
    <mergeCell ref="P392:T392"/>
    <mergeCell ref="P386:T386"/>
    <mergeCell ref="P165:T165"/>
    <mergeCell ref="P400:V400"/>
    <mergeCell ref="D73:E73"/>
    <mergeCell ref="P77:V77"/>
    <mergeCell ref="P30:T30"/>
    <mergeCell ref="A76:O77"/>
    <mergeCell ref="P375:V375"/>
    <mergeCell ref="P290:T290"/>
    <mergeCell ref="P452:T452"/>
    <mergeCell ref="P448:V448"/>
    <mergeCell ref="A234:O235"/>
    <mergeCell ref="D472:E472"/>
    <mergeCell ref="A352:Z352"/>
    <mergeCell ref="D410:E410"/>
    <mergeCell ref="A276:Z276"/>
    <mergeCell ref="A83:Z83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259:V259"/>
    <mergeCell ref="P88:V88"/>
    <mergeCell ref="A78:Z78"/>
    <mergeCell ref="P153:V153"/>
    <mergeCell ref="A205:Z205"/>
    <mergeCell ref="A350:O351"/>
    <mergeCell ref="P391:T391"/>
    <mergeCell ref="D263:E263"/>
    <mergeCell ref="A65:Z65"/>
    <mergeCell ref="P79:T79"/>
    <mergeCell ref="D60:E60"/>
    <mergeCell ref="P73:T73"/>
    <mergeCell ref="P437:T437"/>
    <mergeCell ref="P315:T315"/>
    <mergeCell ref="P231:T231"/>
    <mergeCell ref="A432:O433"/>
    <mergeCell ref="D423:E423"/>
    <mergeCell ref="P302:T302"/>
    <mergeCell ref="D174:E174"/>
    <mergeCell ref="D426:E426"/>
    <mergeCell ref="A63:O64"/>
    <mergeCell ref="P306:V30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6 X40:X41 X56 X62 X85 X87 X99 X101 X115 X119 X161 X163 X166 X168 X195:X198 X200:X202 X208:X209 X211 X213:X214 X218:X219 X232 X272 X302 X304 X315:X316 X323 X336:X337 X343:X345 X353 X389 X421 X424 X426 X442:X443" xr:uid="{00000000-0002-0000-0000-000011000000}">
      <formula1>IF(AK26&gt;0,OR(X26=0,AND(IF(X26-AK26&gt;=0,TRUE,FALSE),X26&gt;0,IF(X26/H26=ROUND(X26/H26,0),TRUE,FALSE))),FALSE)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748</v>
      </c>
      <c r="H1" s="52"/>
    </row>
    <row r="3" spans="2:8" x14ac:dyDescent="0.2">
      <c r="B3" s="47" t="s">
        <v>749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750</v>
      </c>
      <c r="D6" s="47" t="s">
        <v>751</v>
      </c>
      <c r="E6" s="47"/>
    </row>
    <row r="8" spans="2:8" x14ac:dyDescent="0.2">
      <c r="B8" s="47" t="s">
        <v>19</v>
      </c>
      <c r="C8" s="47" t="s">
        <v>750</v>
      </c>
      <c r="D8" s="47"/>
      <c r="E8" s="47"/>
    </row>
    <row r="10" spans="2:8" x14ac:dyDescent="0.2">
      <c r="B10" s="47" t="s">
        <v>752</v>
      </c>
      <c r="C10" s="47"/>
      <c r="D10" s="47"/>
      <c r="E10" s="47"/>
    </row>
    <row r="11" spans="2:8" x14ac:dyDescent="0.2">
      <c r="B11" s="47" t="s">
        <v>753</v>
      </c>
      <c r="C11" s="47"/>
      <c r="D11" s="47"/>
      <c r="E11" s="47"/>
    </row>
    <row r="12" spans="2:8" x14ac:dyDescent="0.2">
      <c r="B12" s="47" t="s">
        <v>754</v>
      </c>
      <c r="C12" s="47"/>
      <c r="D12" s="47"/>
      <c r="E12" s="47"/>
    </row>
    <row r="13" spans="2:8" x14ac:dyDescent="0.2">
      <c r="B13" s="47" t="s">
        <v>755</v>
      </c>
      <c r="C13" s="47"/>
      <c r="D13" s="47"/>
      <c r="E13" s="47"/>
    </row>
    <row r="14" spans="2:8" x14ac:dyDescent="0.2">
      <c r="B14" s="47" t="s">
        <v>756</v>
      </c>
      <c r="C14" s="47"/>
      <c r="D14" s="47"/>
      <c r="E14" s="47"/>
    </row>
    <row r="15" spans="2:8" x14ac:dyDescent="0.2">
      <c r="B15" s="47" t="s">
        <v>757</v>
      </c>
      <c r="C15" s="47"/>
      <c r="D15" s="47"/>
      <c r="E15" s="47"/>
    </row>
    <row r="16" spans="2:8" x14ac:dyDescent="0.2">
      <c r="B16" s="47" t="s">
        <v>758</v>
      </c>
      <c r="C16" s="47"/>
      <c r="D16" s="47"/>
      <c r="E16" s="47"/>
    </row>
    <row r="17" spans="2:5" x14ac:dyDescent="0.2">
      <c r="B17" s="47" t="s">
        <v>759</v>
      </c>
      <c r="C17" s="47"/>
      <c r="D17" s="47"/>
      <c r="E17" s="47"/>
    </row>
    <row r="18" spans="2:5" x14ac:dyDescent="0.2">
      <c r="B18" s="47" t="s">
        <v>760</v>
      </c>
      <c r="C18" s="47"/>
      <c r="D18" s="47"/>
      <c r="E18" s="47"/>
    </row>
    <row r="19" spans="2:5" x14ac:dyDescent="0.2">
      <c r="B19" s="47" t="s">
        <v>761</v>
      </c>
      <c r="C19" s="47"/>
      <c r="D19" s="47"/>
      <c r="E19" s="47"/>
    </row>
    <row r="20" spans="2:5" x14ac:dyDescent="0.2">
      <c r="B20" s="47" t="s">
        <v>762</v>
      </c>
      <c r="C20" s="47"/>
      <c r="D20" s="47"/>
      <c r="E20" s="47"/>
    </row>
  </sheetData>
  <sheetProtection algorithmName="SHA-512" hashValue="/xQu7XP8mRc4PCH/543gTJaZGHWw1RIKNvlAEekABD6Eyq8tzcXj6n/LLiR8g1Gd3eAeuJhKEc6L0SlXO5qOYg==" saltValue="xj5Uy0bWf9BUuVF5iOekC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2025-11-27T06:43:22Z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