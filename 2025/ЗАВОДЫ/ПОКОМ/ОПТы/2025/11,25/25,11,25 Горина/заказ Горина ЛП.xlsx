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AE967B02-A209-4BC4-AB1C-0A4D017D22D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Y318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X286" i="1"/>
  <c r="Y285" i="1"/>
  <c r="X285" i="1"/>
  <c r="BP284" i="1"/>
  <c r="BO284" i="1"/>
  <c r="BN284" i="1"/>
  <c r="BM284" i="1"/>
  <c r="Z284" i="1"/>
  <c r="Y284" i="1"/>
  <c r="BP283" i="1"/>
  <c r="BO283" i="1"/>
  <c r="BN283" i="1"/>
  <c r="BM283" i="1"/>
  <c r="Z283" i="1"/>
  <c r="Z285" i="1" s="1"/>
  <c r="Y283" i="1"/>
  <c r="Y286" i="1" s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Y251" i="1" s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Y192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BP161" i="1"/>
  <c r="BO161" i="1"/>
  <c r="BN161" i="1"/>
  <c r="BM161" i="1"/>
  <c r="Z161" i="1"/>
  <c r="Y161" i="1"/>
  <c r="Y172" i="1" s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X149" i="1"/>
  <c r="X148" i="1"/>
  <c r="BO147" i="1"/>
  <c r="BM147" i="1"/>
  <c r="Y147" i="1"/>
  <c r="P147" i="1"/>
  <c r="BP146" i="1"/>
  <c r="BO146" i="1"/>
  <c r="BN146" i="1"/>
  <c r="BM146" i="1"/>
  <c r="Z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P140" i="1"/>
  <c r="BO140" i="1"/>
  <c r="BN140" i="1"/>
  <c r="BM140" i="1"/>
  <c r="Z140" i="1"/>
  <c r="Y140" i="1"/>
  <c r="P140" i="1"/>
  <c r="X137" i="1"/>
  <c r="Y136" i="1"/>
  <c r="X136" i="1"/>
  <c r="BP135" i="1"/>
  <c r="BO135" i="1"/>
  <c r="BN135" i="1"/>
  <c r="BM135" i="1"/>
  <c r="Z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Y81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Y69" i="1"/>
  <c r="X69" i="1"/>
  <c r="BP68" i="1"/>
  <c r="BO68" i="1"/>
  <c r="BN68" i="1"/>
  <c r="BM68" i="1"/>
  <c r="Z68" i="1"/>
  <c r="Y68" i="1"/>
  <c r="P68" i="1"/>
  <c r="BO67" i="1"/>
  <c r="BM67" i="1"/>
  <c r="Y67" i="1"/>
  <c r="P67" i="1"/>
  <c r="BP66" i="1"/>
  <c r="BO66" i="1"/>
  <c r="BN66" i="1"/>
  <c r="BM66" i="1"/>
  <c r="Z66" i="1"/>
  <c r="Y66" i="1"/>
  <c r="Y70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4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Z142" i="1" l="1"/>
  <c r="Y31" i="1"/>
  <c r="Y43" i="1"/>
  <c r="Y493" i="1" s="1"/>
  <c r="Y58" i="1"/>
  <c r="BP73" i="1"/>
  <c r="BN73" i="1"/>
  <c r="Z73" i="1"/>
  <c r="Z76" i="1" s="1"/>
  <c r="BP86" i="1"/>
  <c r="BN86" i="1"/>
  <c r="Z86" i="1"/>
  <c r="Z88" i="1" s="1"/>
  <c r="BP94" i="1"/>
  <c r="BN94" i="1"/>
  <c r="Z94" i="1"/>
  <c r="Y96" i="1"/>
  <c r="F499" i="1"/>
  <c r="Y104" i="1"/>
  <c r="BP99" i="1"/>
  <c r="BN99" i="1"/>
  <c r="Z99" i="1"/>
  <c r="Y103" i="1"/>
  <c r="BP107" i="1"/>
  <c r="BN107" i="1"/>
  <c r="Z107" i="1"/>
  <c r="Z109" i="1" s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BP141" i="1"/>
  <c r="BN141" i="1"/>
  <c r="Z141" i="1"/>
  <c r="Y143" i="1"/>
  <c r="Y148" i="1"/>
  <c r="BP145" i="1"/>
  <c r="BN145" i="1"/>
  <c r="Z145" i="1"/>
  <c r="BP164" i="1"/>
  <c r="BN164" i="1"/>
  <c r="Z164" i="1"/>
  <c r="BP167" i="1"/>
  <c r="BN167" i="1"/>
  <c r="Z167" i="1"/>
  <c r="Y171" i="1"/>
  <c r="Z177" i="1"/>
  <c r="BP175" i="1"/>
  <c r="BN175" i="1"/>
  <c r="Z175" i="1"/>
  <c r="BP196" i="1"/>
  <c r="BN196" i="1"/>
  <c r="Z196" i="1"/>
  <c r="Z203" i="1" s="1"/>
  <c r="BP200" i="1"/>
  <c r="BN200" i="1"/>
  <c r="Z200" i="1"/>
  <c r="BP208" i="1"/>
  <c r="BN208" i="1"/>
  <c r="Z208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Z274" i="1" s="1"/>
  <c r="Y275" i="1"/>
  <c r="BP290" i="1"/>
  <c r="BN290" i="1"/>
  <c r="Z290" i="1"/>
  <c r="Z295" i="1" s="1"/>
  <c r="BP294" i="1"/>
  <c r="BN294" i="1"/>
  <c r="Z294" i="1"/>
  <c r="Y296" i="1"/>
  <c r="Y305" i="1"/>
  <c r="BP298" i="1"/>
  <c r="BN298" i="1"/>
  <c r="Z298" i="1"/>
  <c r="Y306" i="1"/>
  <c r="BP302" i="1"/>
  <c r="BN302" i="1"/>
  <c r="Z302" i="1"/>
  <c r="BP310" i="1"/>
  <c r="BN310" i="1"/>
  <c r="Z310" i="1"/>
  <c r="Z370" i="1"/>
  <c r="D499" i="1"/>
  <c r="H9" i="1"/>
  <c r="B499" i="1"/>
  <c r="X490" i="1"/>
  <c r="X492" i="1" s="1"/>
  <c r="X491" i="1"/>
  <c r="X493" i="1"/>
  <c r="Y24" i="1"/>
  <c r="Z27" i="1"/>
  <c r="Z31" i="1" s="1"/>
  <c r="BN27" i="1"/>
  <c r="Z29" i="1"/>
  <c r="BN29" i="1"/>
  <c r="C499" i="1"/>
  <c r="Z41" i="1"/>
  <c r="Z43" i="1" s="1"/>
  <c r="BN41" i="1"/>
  <c r="Y490" i="1" s="1"/>
  <c r="Y44" i="1"/>
  <c r="Z52" i="1"/>
  <c r="Z57" i="1" s="1"/>
  <c r="BN52" i="1"/>
  <c r="Z54" i="1"/>
  <c r="BN54" i="1"/>
  <c r="Z56" i="1"/>
  <c r="BN56" i="1"/>
  <c r="Z60" i="1"/>
  <c r="Z63" i="1" s="1"/>
  <c r="BN60" i="1"/>
  <c r="BP60" i="1"/>
  <c r="Y491" i="1" s="1"/>
  <c r="Z62" i="1"/>
  <c r="BN62" i="1"/>
  <c r="Y63" i="1"/>
  <c r="Z69" i="1"/>
  <c r="BP67" i="1"/>
  <c r="BN67" i="1"/>
  <c r="Z67" i="1"/>
  <c r="Y76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Z95" i="1" s="1"/>
  <c r="BP101" i="1"/>
  <c r="BN101" i="1"/>
  <c r="Z101" i="1"/>
  <c r="Y110" i="1"/>
  <c r="Y109" i="1"/>
  <c r="BP113" i="1"/>
  <c r="BN113" i="1"/>
  <c r="Z113" i="1"/>
  <c r="Z116" i="1" s="1"/>
  <c r="Y126" i="1"/>
  <c r="BP130" i="1"/>
  <c r="BN130" i="1"/>
  <c r="Z130" i="1"/>
  <c r="Z131" i="1" s="1"/>
  <c r="Y132" i="1"/>
  <c r="Y137" i="1"/>
  <c r="BP134" i="1"/>
  <c r="BN134" i="1"/>
  <c r="Z134" i="1"/>
  <c r="Z136" i="1" s="1"/>
  <c r="BP147" i="1"/>
  <c r="BN147" i="1"/>
  <c r="Z147" i="1"/>
  <c r="Y149" i="1"/>
  <c r="BP162" i="1"/>
  <c r="BN162" i="1"/>
  <c r="Z162" i="1"/>
  <c r="BP165" i="1"/>
  <c r="BN165" i="1"/>
  <c r="Z165" i="1"/>
  <c r="Z171" i="1" s="1"/>
  <c r="BP169" i="1"/>
  <c r="BN169" i="1"/>
  <c r="Z169" i="1"/>
  <c r="Y178" i="1"/>
  <c r="Y177" i="1"/>
  <c r="BP186" i="1"/>
  <c r="BN186" i="1"/>
  <c r="Z186" i="1"/>
  <c r="Z187" i="1" s="1"/>
  <c r="Y188" i="1"/>
  <c r="Y193" i="1"/>
  <c r="BP190" i="1"/>
  <c r="BN190" i="1"/>
  <c r="Z190" i="1"/>
  <c r="Z192" i="1" s="1"/>
  <c r="Y203" i="1"/>
  <c r="BP198" i="1"/>
  <c r="BN198" i="1"/>
  <c r="Z198" i="1"/>
  <c r="BP202" i="1"/>
  <c r="BN202" i="1"/>
  <c r="Z202" i="1"/>
  <c r="Y204" i="1"/>
  <c r="Y216" i="1"/>
  <c r="BP206" i="1"/>
  <c r="BN206" i="1"/>
  <c r="Z206" i="1"/>
  <c r="BP211" i="1"/>
  <c r="BN211" i="1"/>
  <c r="Z211" i="1"/>
  <c r="Y215" i="1"/>
  <c r="BP219" i="1"/>
  <c r="BN219" i="1"/>
  <c r="Z219" i="1"/>
  <c r="Z220" i="1" s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2" i="1"/>
  <c r="BN322" i="1"/>
  <c r="Z322" i="1"/>
  <c r="Z325" i="1" s="1"/>
  <c r="Y326" i="1"/>
  <c r="BP330" i="1"/>
  <c r="BN330" i="1"/>
  <c r="Z330" i="1"/>
  <c r="Y332" i="1"/>
  <c r="R499" i="1"/>
  <c r="Y338" i="1"/>
  <c r="BP335" i="1"/>
  <c r="BN335" i="1"/>
  <c r="Z335" i="1"/>
  <c r="Y339" i="1"/>
  <c r="BP345" i="1"/>
  <c r="BN345" i="1"/>
  <c r="Z345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Z41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2" i="1"/>
  <c r="I499" i="1"/>
  <c r="Y159" i="1"/>
  <c r="J499" i="1"/>
  <c r="Y187" i="1"/>
  <c r="BP209" i="1"/>
  <c r="BN209" i="1"/>
  <c r="Z209" i="1"/>
  <c r="BP213" i="1"/>
  <c r="BN213" i="1"/>
  <c r="Z213" i="1"/>
  <c r="Y220" i="1"/>
  <c r="BP226" i="1"/>
  <c r="BN226" i="1"/>
  <c r="Z226" i="1"/>
  <c r="BP230" i="1"/>
  <c r="BN230" i="1"/>
  <c r="Z230" i="1"/>
  <c r="Z250" i="1"/>
  <c r="BP246" i="1"/>
  <c r="BN246" i="1"/>
  <c r="Z246" i="1"/>
  <c r="Y250" i="1"/>
  <c r="BP255" i="1"/>
  <c r="BN255" i="1"/>
  <c r="Z255" i="1"/>
  <c r="Z259" i="1" s="1"/>
  <c r="Y259" i="1"/>
  <c r="BP264" i="1"/>
  <c r="BN264" i="1"/>
  <c r="Z264" i="1"/>
  <c r="Z267" i="1" s="1"/>
  <c r="BP273" i="1"/>
  <c r="BN273" i="1"/>
  <c r="Z273" i="1"/>
  <c r="P499" i="1"/>
  <c r="Y281" i="1"/>
  <c r="BP278" i="1"/>
  <c r="BN278" i="1"/>
  <c r="Z278" i="1"/>
  <c r="Z280" i="1" s="1"/>
  <c r="Q499" i="1"/>
  <c r="BP292" i="1"/>
  <c r="BN292" i="1"/>
  <c r="Z292" i="1"/>
  <c r="BP300" i="1"/>
  <c r="BN300" i="1"/>
  <c r="Z300" i="1"/>
  <c r="BP304" i="1"/>
  <c r="BN304" i="1"/>
  <c r="Z304" i="1"/>
  <c r="Y313" i="1"/>
  <c r="BP308" i="1"/>
  <c r="BN308" i="1"/>
  <c r="Z308" i="1"/>
  <c r="Z312" i="1" s="1"/>
  <c r="Y312" i="1"/>
  <c r="Z318" i="1"/>
  <c r="BP316" i="1"/>
  <c r="BN316" i="1"/>
  <c r="Z316" i="1"/>
  <c r="Y325" i="1"/>
  <c r="BP324" i="1"/>
  <c r="BN324" i="1"/>
  <c r="Z324" i="1"/>
  <c r="Y331" i="1"/>
  <c r="BP328" i="1"/>
  <c r="BN328" i="1"/>
  <c r="Z328" i="1"/>
  <c r="BP337" i="1"/>
  <c r="BN337" i="1"/>
  <c r="Z337" i="1"/>
  <c r="S499" i="1"/>
  <c r="Y350" i="1"/>
  <c r="BP343" i="1"/>
  <c r="BN343" i="1"/>
  <c r="Z343" i="1"/>
  <c r="BP347" i="1"/>
  <c r="BN347" i="1"/>
  <c r="Z347" i="1"/>
  <c r="BP369" i="1"/>
  <c r="BN369" i="1"/>
  <c r="Z369" i="1"/>
  <c r="Y371" i="1"/>
  <c r="Y376" i="1"/>
  <c r="BP373" i="1"/>
  <c r="BN373" i="1"/>
  <c r="Z373" i="1"/>
  <c r="Z375" i="1" s="1"/>
  <c r="Y375" i="1"/>
  <c r="Z380" i="1"/>
  <c r="L499" i="1"/>
  <c r="M499" i="1"/>
  <c r="Y267" i="1"/>
  <c r="Y295" i="1"/>
  <c r="Y361" i="1"/>
  <c r="BP358" i="1"/>
  <c r="BN358" i="1"/>
  <c r="Z358" i="1"/>
  <c r="Z360" i="1" s="1"/>
  <c r="BP379" i="1"/>
  <c r="BN379" i="1"/>
  <c r="Z379" i="1"/>
  <c r="Y381" i="1"/>
  <c r="Y394" i="1"/>
  <c r="BP385" i="1"/>
  <c r="BN385" i="1"/>
  <c r="Z385" i="1"/>
  <c r="Z394" i="1" s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Z462" i="1" s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Y492" i="1" l="1"/>
  <c r="Z338" i="1"/>
  <c r="Z234" i="1"/>
  <c r="Z305" i="1"/>
  <c r="Z148" i="1"/>
  <c r="Z438" i="1"/>
  <c r="Z447" i="1"/>
  <c r="Z432" i="1"/>
  <c r="Z350" i="1"/>
  <c r="Z331" i="1"/>
  <c r="Z215" i="1"/>
  <c r="Y489" i="1"/>
  <c r="Z103" i="1"/>
  <c r="Z494" i="1" s="1"/>
</calcChain>
</file>

<file path=xl/sharedStrings.xml><?xml version="1.0" encoding="utf-8"?>
<sst xmlns="http://schemas.openxmlformats.org/spreadsheetml/2006/main" count="2337" uniqueCount="763">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</sst>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587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6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3" t="s">
        <v>0</v>
      </c>
      <c r="E1" s="573"/>
      <c r="F1" s="573"/>
      <c r="G1" s="12" t="s">
        <v>1</v>
      </c>
      <c r="H1" s="613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2" t="s">
        <v>8</v>
      </c>
      <c r="B5" s="628"/>
      <c r="C5" s="629"/>
      <c r="D5" s="616"/>
      <c r="E5" s="617"/>
      <c r="F5" s="825" t="s">
        <v>9</v>
      </c>
      <c r="G5" s="629"/>
      <c r="H5" s="616"/>
      <c r="I5" s="763"/>
      <c r="J5" s="763"/>
      <c r="K5" s="763"/>
      <c r="L5" s="763"/>
      <c r="M5" s="617"/>
      <c r="N5" s="58"/>
      <c r="P5" s="24" t="s">
        <v>10</v>
      </c>
      <c r="Q5" s="839">
        <v>45988</v>
      </c>
      <c r="R5" s="651"/>
      <c r="T5" s="699" t="s">
        <v>11</v>
      </c>
      <c r="U5" s="700"/>
      <c r="V5" s="702" t="s">
        <v>12</v>
      </c>
      <c r="W5" s="651"/>
      <c r="AB5" s="51"/>
      <c r="AC5" s="51"/>
      <c r="AD5" s="51"/>
      <c r="AE5" s="51"/>
    </row>
    <row r="6" spans="1:32" s="535" customFormat="1" ht="24" customHeight="1" x14ac:dyDescent="0.2">
      <c r="A6" s="652" t="s">
        <v>13</v>
      </c>
      <c r="B6" s="628"/>
      <c r="C6" s="629"/>
      <c r="D6" s="766" t="s">
        <v>14</v>
      </c>
      <c r="E6" s="767"/>
      <c r="F6" s="767"/>
      <c r="G6" s="767"/>
      <c r="H6" s="767"/>
      <c r="I6" s="767"/>
      <c r="J6" s="767"/>
      <c r="K6" s="767"/>
      <c r="L6" s="767"/>
      <c r="M6" s="651"/>
      <c r="N6" s="59"/>
      <c r="P6" s="24" t="s">
        <v>15</v>
      </c>
      <c r="Q6" s="845" t="str">
        <f>IF(Q5=0," ",CHOOSE(WEEKDAY(Q5,2),"Понедельник","Вторник","Среда","Четверг","Пятница","Суббота","Воскресенье"))</f>
        <v>Четверг</v>
      </c>
      <c r="R6" s="549"/>
      <c r="T6" s="706" t="s">
        <v>16</v>
      </c>
      <c r="U6" s="700"/>
      <c r="V6" s="751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5"/>
      <c r="U7" s="700"/>
      <c r="V7" s="752"/>
      <c r="W7" s="753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63"/>
      <c r="C8" s="564"/>
      <c r="D8" s="607" t="s">
        <v>19</v>
      </c>
      <c r="E8" s="608"/>
      <c r="F8" s="608"/>
      <c r="G8" s="608"/>
      <c r="H8" s="608"/>
      <c r="I8" s="608"/>
      <c r="J8" s="608"/>
      <c r="K8" s="608"/>
      <c r="L8" s="608"/>
      <c r="M8" s="609"/>
      <c r="N8" s="61"/>
      <c r="P8" s="24" t="s">
        <v>20</v>
      </c>
      <c r="Q8" s="660">
        <v>0.41666666666666669</v>
      </c>
      <c r="R8" s="599"/>
      <c r="T8" s="555"/>
      <c r="U8" s="700"/>
      <c r="V8" s="752"/>
      <c r="W8" s="753"/>
      <c r="AB8" s="51"/>
      <c r="AC8" s="51"/>
      <c r="AD8" s="51"/>
      <c r="AE8" s="51"/>
    </row>
    <row r="9" spans="1:32" s="535" customFormat="1" ht="39.950000000000003" customHeight="1" x14ac:dyDescent="0.2">
      <c r="A9" s="6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72"/>
      <c r="E9" s="561"/>
      <c r="F9" s="6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48"/>
      <c r="R9" s="649"/>
      <c r="T9" s="555"/>
      <c r="U9" s="700"/>
      <c r="V9" s="754"/>
      <c r="W9" s="75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72"/>
      <c r="E10" s="561"/>
      <c r="F10" s="6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4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07"/>
      <c r="R10" s="708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90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3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30</v>
      </c>
      <c r="Q12" s="660"/>
      <c r="R12" s="599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3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32</v>
      </c>
      <c r="Q13" s="790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3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1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3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4"/>
      <c r="Q16" s="684"/>
      <c r="R16" s="684"/>
      <c r="S16" s="684"/>
      <c r="T16" s="68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9" t="s">
        <v>38</v>
      </c>
      <c r="D17" s="581" t="s">
        <v>39</v>
      </c>
      <c r="E17" s="638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7"/>
      <c r="R17" s="637"/>
      <c r="S17" s="637"/>
      <c r="T17" s="638"/>
      <c r="U17" s="856" t="s">
        <v>51</v>
      </c>
      <c r="V17" s="629"/>
      <c r="W17" s="581" t="s">
        <v>52</v>
      </c>
      <c r="X17" s="581" t="s">
        <v>53</v>
      </c>
      <c r="Y17" s="859" t="s">
        <v>54</v>
      </c>
      <c r="Z17" s="761" t="s">
        <v>55</v>
      </c>
      <c r="AA17" s="742" t="s">
        <v>56</v>
      </c>
      <c r="AB17" s="742" t="s">
        <v>57</v>
      </c>
      <c r="AC17" s="742" t="s">
        <v>58</v>
      </c>
      <c r="AD17" s="742" t="s">
        <v>59</v>
      </c>
      <c r="AE17" s="820"/>
      <c r="AF17" s="821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9"/>
      <c r="E18" s="641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9"/>
      <c r="Q18" s="640"/>
      <c r="R18" s="640"/>
      <c r="S18" s="640"/>
      <c r="T18" s="641"/>
      <c r="U18" s="67" t="s">
        <v>61</v>
      </c>
      <c r="V18" s="67" t="s">
        <v>62</v>
      </c>
      <c r="W18" s="582"/>
      <c r="X18" s="582"/>
      <c r="Y18" s="860"/>
      <c r="Z18" s="762"/>
      <c r="AA18" s="743"/>
      <c r="AB18" s="743"/>
      <c r="AC18" s="743"/>
      <c r="AD18" s="822"/>
      <c r="AE18" s="823"/>
      <c r="AF18" s="824"/>
      <c r="AG18" s="66"/>
      <c r="BD18" s="65"/>
    </row>
    <row r="19" spans="1:68" ht="27.75" customHeight="1" x14ac:dyDescent="0.2">
      <c r="A19" s="632" t="s">
        <v>63</v>
      </c>
      <c r="B19" s="633"/>
      <c r="C19" s="633"/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8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93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2" t="s">
        <v>99</v>
      </c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633"/>
      <c r="U37" s="633"/>
      <c r="V37" s="633"/>
      <c r="W37" s="633"/>
      <c r="X37" s="633"/>
      <c r="Y37" s="633"/>
      <c r="Z37" s="633"/>
      <c r="AA37" s="48"/>
      <c r="AB37" s="48"/>
      <c r="AC37" s="48"/>
    </row>
    <row r="38" spans="1:68" ht="16.5" customHeight="1" x14ac:dyDescent="0.25">
      <c r="A38" s="559" t="s">
        <v>100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8" t="s">
        <v>101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5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20</v>
      </c>
      <c r="Y40" s="542">
        <f>IFERROR(IF(X40="",0,CEILING((X40/$H40),1)*$H40),"")</f>
        <v>21.6</v>
      </c>
      <c r="Z40" s="36">
        <f>IFERROR(IF(Y40=0,"",ROUNDUP(Y40/H40,0)*0.01898),"")</f>
        <v>3.7960000000000001E-2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20.75925925925926</v>
      </c>
      <c r="BN40" s="64">
        <f>IFERROR(Y40*I40/H40,"0")</f>
        <v>22.42</v>
      </c>
      <c r="BO40" s="64">
        <f>IFERROR(1/J40*(X40/H40),"0")</f>
        <v>2.8935185185185182E-2</v>
      </c>
      <c r="BP40" s="64">
        <f>IFERROR(1/J40*(Y40/H40),"0")</f>
        <v>3.125E-2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7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1.8518518518518516</v>
      </c>
      <c r="Y43" s="543">
        <f>IFERROR(Y40/H40,"0")+IFERROR(Y41/H41,"0")+IFERROR(Y42/H42,"0")</f>
        <v>2</v>
      </c>
      <c r="Z43" s="543">
        <f>IFERROR(IF(Z40="",0,Z40),"0")+IFERROR(IF(Z41="",0,Z41),"0")+IFERROR(IF(Z42="",0,Z42),"0")</f>
        <v>3.7960000000000001E-2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20</v>
      </c>
      <c r="Y44" s="543">
        <f>IFERROR(SUM(Y40:Y42),"0")</f>
        <v>21.6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8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117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8" t="s">
        <v>101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1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30</v>
      </c>
      <c r="Y52" s="542">
        <f t="shared" si="0"/>
        <v>32.400000000000006</v>
      </c>
      <c r="Z52" s="36">
        <f>IFERROR(IF(Y52=0,"",ROUNDUP(Y52/H52,0)*0.01898),"")</f>
        <v>5.6940000000000004E-2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31.138888888888889</v>
      </c>
      <c r="BN52" s="64">
        <f t="shared" si="2"/>
        <v>33.630000000000003</v>
      </c>
      <c r="BO52" s="64">
        <f t="shared" si="3"/>
        <v>4.3402777777777776E-2</v>
      </c>
      <c r="BP52" s="64">
        <f t="shared" si="4"/>
        <v>4.6875000000000007E-2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5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2.7777777777777777</v>
      </c>
      <c r="Y57" s="543">
        <f>IFERROR(Y51/H51,"0")+IFERROR(Y52/H52,"0")+IFERROR(Y53/H53,"0")+IFERROR(Y54/H54,"0")+IFERROR(Y55/H55,"0")+IFERROR(Y56/H56,"0")</f>
        <v>3.0000000000000004</v>
      </c>
      <c r="Z57" s="543">
        <f>IFERROR(IF(Z51="",0,Z51),"0")+IFERROR(IF(Z52="",0,Z52),"0")+IFERROR(IF(Z53="",0,Z53),"0")+IFERROR(IF(Z54="",0,Z54),"0")+IFERROR(IF(Z55="",0,Z55),"0")+IFERROR(IF(Z56="",0,Z56),"0")</f>
        <v>5.6940000000000004E-2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30</v>
      </c>
      <c r="Y58" s="543">
        <f>IFERROR(SUM(Y51:Y56),"0")</f>
        <v>32.400000000000006</v>
      </c>
      <c r="Z58" s="37"/>
      <c r="AA58" s="544"/>
      <c r="AB58" s="544"/>
      <c r="AC58" s="544"/>
    </row>
    <row r="59" spans="1:68" ht="14.25" customHeight="1" x14ac:dyDescent="0.25">
      <c r="A59" s="558" t="s">
        <v>136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40</v>
      </c>
      <c r="Y60" s="542">
        <f>IFERROR(IF(X60="",0,CEILING((X60/$H60),1)*$H60),"")</f>
        <v>43.2</v>
      </c>
      <c r="Z60" s="36">
        <f>IFERROR(IF(Y60=0,"",ROUNDUP(Y60/H60,0)*0.01898),"")</f>
        <v>7.5920000000000001E-2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41.518518518518519</v>
      </c>
      <c r="BN60" s="64">
        <f>IFERROR(Y60*I60/H60,"0")</f>
        <v>44.84</v>
      </c>
      <c r="BO60" s="64">
        <f>IFERROR(1/J60*(X60/H60),"0")</f>
        <v>5.7870370370370364E-2</v>
      </c>
      <c r="BP60" s="64">
        <f>IFERROR(1/J60*(Y60/H60),"0")</f>
        <v>6.25E-2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1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3.7037037037037033</v>
      </c>
      <c r="Y63" s="543">
        <f>IFERROR(Y60/H60,"0")+IFERROR(Y61/H61,"0")+IFERROR(Y62/H62,"0")</f>
        <v>4</v>
      </c>
      <c r="Z63" s="543">
        <f>IFERROR(IF(Z60="",0,Z60),"0")+IFERROR(IF(Z61="",0,Z61),"0")+IFERROR(IF(Z62="",0,Z62),"0")</f>
        <v>7.5920000000000001E-2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40</v>
      </c>
      <c r="Y64" s="543">
        <f>IFERROR(SUM(Y60:Y62),"0")</f>
        <v>43.2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3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2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164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9" t="s">
        <v>171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8" t="s">
        <v>101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4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0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0</v>
      </c>
      <c r="Y95" s="543">
        <f>IFERROR(Y91/H91,"0")+IFERROR(Y92/H92,"0")+IFERROR(Y93/H93,"0")+IFERROR(Y94/H94,"0")</f>
        <v>0</v>
      </c>
      <c r="Z95" s="543">
        <f>IFERROR(IF(Z91="",0,Z91),"0")+IFERROR(IF(Z92="",0,Z92),"0")+IFERROR(IF(Z93="",0,Z93),"0")+IFERROR(IF(Z94="",0,Z94),"0")</f>
        <v>0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0</v>
      </c>
      <c r="Y96" s="543">
        <f>IFERROR(SUM(Y91:Y94),"0")</f>
        <v>0</v>
      </c>
      <c r="Z96" s="37"/>
      <c r="AA96" s="544"/>
      <c r="AB96" s="544"/>
      <c r="AC96" s="544"/>
    </row>
    <row r="97" spans="1:68" ht="16.5" customHeight="1" x14ac:dyDescent="0.25">
      <c r="A97" s="559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8" t="s">
        <v>101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0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0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0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customHeight="1" x14ac:dyDescent="0.25">
      <c r="A105" s="558" t="s">
        <v>136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80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4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8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20</v>
      </c>
      <c r="Y112" s="542">
        <f>IFERROR(IF(X112="",0,CEILING((X112/$H112),1)*$H112),"")</f>
        <v>24.299999999999997</v>
      </c>
      <c r="Z112" s="36">
        <f>IFERROR(IF(Y112=0,"",ROUNDUP(Y112/H112,0)*0.01898),"")</f>
        <v>5.6940000000000004E-2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21.204938271604938</v>
      </c>
      <c r="BN112" s="64">
        <f>IFERROR(Y112*I112/H112,"0")</f>
        <v>25.763999999999996</v>
      </c>
      <c r="BO112" s="64">
        <f>IFERROR(1/J112*(X112/H112),"0")</f>
        <v>3.8580246913580252E-2</v>
      </c>
      <c r="BP112" s="64">
        <f>IFERROR(1/J112*(Y112/H112),"0")</f>
        <v>4.6875E-2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3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79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2.4691358024691361</v>
      </c>
      <c r="Y116" s="543">
        <f>IFERROR(Y112/H112,"0")+IFERROR(Y113/H113,"0")+IFERROR(Y114/H114,"0")+IFERROR(Y115/H115,"0")</f>
        <v>3</v>
      </c>
      <c r="Z116" s="543">
        <f>IFERROR(IF(Z112="",0,Z112),"0")+IFERROR(IF(Z113="",0,Z113),"0")+IFERROR(IF(Z114="",0,Z114),"0")+IFERROR(IF(Z115="",0,Z115),"0")</f>
        <v>5.6940000000000004E-2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20</v>
      </c>
      <c r="Y117" s="543">
        <f>IFERROR(SUM(Y112:Y115),"0")</f>
        <v>24.299999999999997</v>
      </c>
      <c r="Z117" s="37"/>
      <c r="AA117" s="544"/>
      <c r="AB117" s="544"/>
      <c r="AC117" s="544"/>
    </row>
    <row r="118" spans="1:68" ht="14.25" customHeight="1" x14ac:dyDescent="0.25">
      <c r="A118" s="558" t="s">
        <v>164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9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8" t="s">
        <v>101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4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1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9" t="s">
        <v>99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8" t="s">
        <v>101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2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54"/>
      <c r="B142" s="555"/>
      <c r="C142" s="555"/>
      <c r="D142" s="555"/>
      <c r="E142" s="555"/>
      <c r="F142" s="555"/>
      <c r="G142" s="555"/>
      <c r="H142" s="555"/>
      <c r="I142" s="555"/>
      <c r="J142" s="555"/>
      <c r="K142" s="555"/>
      <c r="L142" s="555"/>
      <c r="M142" s="555"/>
      <c r="N142" s="555"/>
      <c r="O142" s="556"/>
      <c r="P142" s="562" t="s">
        <v>71</v>
      </c>
      <c r="Q142" s="563"/>
      <c r="R142" s="563"/>
      <c r="S142" s="563"/>
      <c r="T142" s="563"/>
      <c r="U142" s="563"/>
      <c r="V142" s="564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x14ac:dyDescent="0.2">
      <c r="A143" s="555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customHeight="1" x14ac:dyDescent="0.25">
      <c r="A144" s="558" t="s">
        <v>64</v>
      </c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5"/>
      <c r="P144" s="555"/>
      <c r="Q144" s="555"/>
      <c r="R144" s="555"/>
      <c r="S144" s="555"/>
      <c r="T144" s="555"/>
      <c r="U144" s="555"/>
      <c r="V144" s="555"/>
      <c r="W144" s="555"/>
      <c r="X144" s="555"/>
      <c r="Y144" s="555"/>
      <c r="Z144" s="555"/>
      <c r="AA144" s="537"/>
      <c r="AB144" s="537"/>
      <c r="AC144" s="537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8">
        <v>4607091387667</v>
      </c>
      <c r="E145" s="549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104</v>
      </c>
      <c r="L145" s="32" t="s">
        <v>105</v>
      </c>
      <c r="M145" s="33" t="s">
        <v>106</v>
      </c>
      <c r="N145" s="33"/>
      <c r="O145" s="32">
        <v>40</v>
      </c>
      <c r="P145" s="59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6"/>
      <c r="R145" s="546"/>
      <c r="S145" s="546"/>
      <c r="T145" s="547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 t="s">
        <v>90</v>
      </c>
      <c r="AK145" s="68">
        <v>72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48">
        <v>4607091387636</v>
      </c>
      <c r="E146" s="549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10</v>
      </c>
      <c r="Y146" s="542">
        <f>IFERROR(IF(X146="",0,CEILING((X146/$H146),1)*$H146),"")</f>
        <v>12.600000000000001</v>
      </c>
      <c r="Z146" s="36">
        <f>IFERROR(IF(Y146=0,"",ROUNDUP(Y146/H146,0)*0.00651),"")</f>
        <v>1.9529999999999999E-2</v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10.642857142857141</v>
      </c>
      <c r="BN146" s="64">
        <f>IFERROR(Y146*I146/H146,"0")</f>
        <v>13.41</v>
      </c>
      <c r="BO146" s="64">
        <f>IFERROR(1/J146*(X146/H146),"0")</f>
        <v>1.3082155939298797E-2</v>
      </c>
      <c r="BP146" s="64">
        <f>IFERROR(1/J146*(Y146/H146),"0")</f>
        <v>1.6483516483516484E-2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8">
        <v>4607091382426</v>
      </c>
      <c r="E147" s="549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104</v>
      </c>
      <c r="L147" s="32" t="s">
        <v>105</v>
      </c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54"/>
      <c r="B148" s="555"/>
      <c r="C148" s="555"/>
      <c r="D148" s="555"/>
      <c r="E148" s="555"/>
      <c r="F148" s="555"/>
      <c r="G148" s="555"/>
      <c r="H148" s="555"/>
      <c r="I148" s="555"/>
      <c r="J148" s="555"/>
      <c r="K148" s="555"/>
      <c r="L148" s="555"/>
      <c r="M148" s="555"/>
      <c r="N148" s="555"/>
      <c r="O148" s="556"/>
      <c r="P148" s="562" t="s">
        <v>71</v>
      </c>
      <c r="Q148" s="563"/>
      <c r="R148" s="563"/>
      <c r="S148" s="563"/>
      <c r="T148" s="563"/>
      <c r="U148" s="563"/>
      <c r="V148" s="564"/>
      <c r="W148" s="37" t="s">
        <v>72</v>
      </c>
      <c r="X148" s="543">
        <f>IFERROR(X145/H145,"0")+IFERROR(X146/H146,"0")+IFERROR(X147/H147,"0")</f>
        <v>2.3809523809523809</v>
      </c>
      <c r="Y148" s="543">
        <f>IFERROR(Y145/H145,"0")+IFERROR(Y146/H146,"0")+IFERROR(Y147/H147,"0")</f>
        <v>3</v>
      </c>
      <c r="Z148" s="543">
        <f>IFERROR(IF(Z145="",0,Z145),"0")+IFERROR(IF(Z146="",0,Z146),"0")+IFERROR(IF(Z147="",0,Z147),"0")</f>
        <v>1.9529999999999999E-2</v>
      </c>
      <c r="AA148" s="544"/>
      <c r="AB148" s="544"/>
      <c r="AC148" s="544"/>
    </row>
    <row r="149" spans="1:68" x14ac:dyDescent="0.2">
      <c r="A149" s="555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69</v>
      </c>
      <c r="X149" s="543">
        <f>IFERROR(SUM(X145:X147),"0")</f>
        <v>10</v>
      </c>
      <c r="Y149" s="543">
        <f>IFERROR(SUM(Y145:Y147),"0")</f>
        <v>12.600000000000001</v>
      </c>
      <c r="Z149" s="37"/>
      <c r="AA149" s="544"/>
      <c r="AB149" s="544"/>
      <c r="AC149" s="544"/>
    </row>
    <row r="150" spans="1:68" ht="14.25" customHeight="1" x14ac:dyDescent="0.25">
      <c r="A150" s="558" t="s">
        <v>73</v>
      </c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5"/>
      <c r="P150" s="555"/>
      <c r="Q150" s="555"/>
      <c r="R150" s="555"/>
      <c r="S150" s="555"/>
      <c r="T150" s="555"/>
      <c r="U150" s="555"/>
      <c r="V150" s="555"/>
      <c r="W150" s="555"/>
      <c r="X150" s="555"/>
      <c r="Y150" s="555"/>
      <c r="Z150" s="555"/>
      <c r="AA150" s="537"/>
      <c r="AB150" s="537"/>
      <c r="AC150" s="537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48">
        <v>4680115887459</v>
      </c>
      <c r="E151" s="549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">
        <v>249</v>
      </c>
      <c r="Q151" s="546"/>
      <c r="R151" s="546"/>
      <c r="S151" s="546"/>
      <c r="T151" s="547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250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54"/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6"/>
      <c r="P152" s="562" t="s">
        <v>71</v>
      </c>
      <c r="Q152" s="563"/>
      <c r="R152" s="563"/>
      <c r="S152" s="563"/>
      <c r="T152" s="563"/>
      <c r="U152" s="563"/>
      <c r="V152" s="564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x14ac:dyDescent="0.2">
      <c r="A153" s="555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customHeight="1" x14ac:dyDescent="0.2">
      <c r="A154" s="632" t="s">
        <v>251</v>
      </c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3"/>
      <c r="P154" s="633"/>
      <c r="Q154" s="633"/>
      <c r="R154" s="633"/>
      <c r="S154" s="633"/>
      <c r="T154" s="633"/>
      <c r="U154" s="633"/>
      <c r="V154" s="633"/>
      <c r="W154" s="633"/>
      <c r="X154" s="633"/>
      <c r="Y154" s="633"/>
      <c r="Z154" s="633"/>
      <c r="AA154" s="48"/>
      <c r="AB154" s="48"/>
      <c r="AC154" s="48"/>
    </row>
    <row r="155" spans="1:68" ht="16.5" customHeight="1" x14ac:dyDescent="0.25">
      <c r="A155" s="559" t="s">
        <v>252</v>
      </c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5"/>
      <c r="P155" s="555"/>
      <c r="Q155" s="555"/>
      <c r="R155" s="555"/>
      <c r="S155" s="555"/>
      <c r="T155" s="555"/>
      <c r="U155" s="555"/>
      <c r="V155" s="555"/>
      <c r="W155" s="555"/>
      <c r="X155" s="555"/>
      <c r="Y155" s="555"/>
      <c r="Z155" s="555"/>
      <c r="AA155" s="536"/>
      <c r="AB155" s="536"/>
      <c r="AC155" s="536"/>
    </row>
    <row r="156" spans="1:68" ht="14.25" customHeight="1" x14ac:dyDescent="0.25">
      <c r="A156" s="558" t="s">
        <v>136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7"/>
      <c r="AB156" s="537"/>
      <c r="AC156" s="537"/>
    </row>
    <row r="157" spans="1:68" ht="27" customHeight="1" x14ac:dyDescent="0.25">
      <c r="A157" s="54" t="s">
        <v>253</v>
      </c>
      <c r="B157" s="54" t="s">
        <v>254</v>
      </c>
      <c r="C157" s="31">
        <v>4301020323</v>
      </c>
      <c r="D157" s="548">
        <v>4680115886223</v>
      </c>
      <c r="E157" s="549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6"/>
      <c r="R157" s="546"/>
      <c r="S157" s="546"/>
      <c r="T157" s="547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255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54"/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6"/>
      <c r="P158" s="562" t="s">
        <v>71</v>
      </c>
      <c r="Q158" s="563"/>
      <c r="R158" s="563"/>
      <c r="S158" s="563"/>
      <c r="T158" s="563"/>
      <c r="U158" s="563"/>
      <c r="V158" s="564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x14ac:dyDescent="0.2">
      <c r="A159" s="555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customHeight="1" x14ac:dyDescent="0.25">
      <c r="A160" s="558" t="s">
        <v>64</v>
      </c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5"/>
      <c r="P160" s="555"/>
      <c r="Q160" s="555"/>
      <c r="R160" s="555"/>
      <c r="S160" s="555"/>
      <c r="T160" s="555"/>
      <c r="U160" s="555"/>
      <c r="V160" s="555"/>
      <c r="W160" s="555"/>
      <c r="X160" s="555"/>
      <c r="Y160" s="555"/>
      <c r="Z160" s="555"/>
      <c r="AA160" s="537"/>
      <c r="AB160" s="537"/>
      <c r="AC160" s="537"/>
    </row>
    <row r="161" spans="1:68" ht="27" customHeight="1" x14ac:dyDescent="0.25">
      <c r="A161" s="54" t="s">
        <v>256</v>
      </c>
      <c r="B161" s="54" t="s">
        <v>257</v>
      </c>
      <c r="C161" s="31">
        <v>4301031191</v>
      </c>
      <c r="D161" s="548">
        <v>4680115880993</v>
      </c>
      <c r="E161" s="549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6"/>
      <c r="R161" s="546"/>
      <c r="S161" s="546"/>
      <c r="T161" s="547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258</v>
      </c>
      <c r="AG161" s="64"/>
      <c r="AJ161" s="68" t="s">
        <v>90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259</v>
      </c>
      <c r="B162" s="54" t="s">
        <v>260</v>
      </c>
      <c r="C162" s="31">
        <v>4301031204</v>
      </c>
      <c r="D162" s="548">
        <v>4680115881761</v>
      </c>
      <c r="E162" s="549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76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262</v>
      </c>
      <c r="B163" s="54" t="s">
        <v>263</v>
      </c>
      <c r="C163" s="31">
        <v>4301031201</v>
      </c>
      <c r="D163" s="548">
        <v>4680115881563</v>
      </c>
      <c r="E163" s="549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4301031199</v>
      </c>
      <c r="D164" s="548">
        <v>4680115880986</v>
      </c>
      <c r="E164" s="549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267</v>
      </c>
      <c r="M164" s="33" t="s">
        <v>68</v>
      </c>
      <c r="N164" s="33"/>
      <c r="O164" s="32">
        <v>40</v>
      </c>
      <c r="P164" s="77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258</v>
      </c>
      <c r="AG164" s="64"/>
      <c r="AJ164" s="68" t="s">
        <v>90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4301031443</v>
      </c>
      <c r="D165" s="548">
        <v>4680115887213</v>
      </c>
      <c r="E165" s="549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7" t="s">
        <v>270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8">
        <v>4680115881785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267</v>
      </c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261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8">
        <v>4680115886537</v>
      </c>
      <c r="E167" s="549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8">
        <v>4680115881679</v>
      </c>
      <c r="E168" s="549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267</v>
      </c>
      <c r="M168" s="33" t="s">
        <v>68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264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48">
        <v>4680115880191</v>
      </c>
      <c r="E169" s="549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264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48">
        <v>4680115883963</v>
      </c>
      <c r="E170" s="549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4"/>
      <c r="B171" s="555"/>
      <c r="C171" s="555"/>
      <c r="D171" s="555"/>
      <c r="E171" s="555"/>
      <c r="F171" s="555"/>
      <c r="G171" s="555"/>
      <c r="H171" s="555"/>
      <c r="I171" s="555"/>
      <c r="J171" s="555"/>
      <c r="K171" s="555"/>
      <c r="L171" s="555"/>
      <c r="M171" s="555"/>
      <c r="N171" s="555"/>
      <c r="O171" s="556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4"/>
      <c r="AB171" s="544"/>
      <c r="AC171" s="544"/>
    </row>
    <row r="172" spans="1:68" x14ac:dyDescent="0.2">
      <c r="A172" s="555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3">
        <f>IFERROR(SUM(X161:X170),"0")</f>
        <v>0</v>
      </c>
      <c r="Y172" s="543">
        <f>IFERROR(SUM(Y161:Y170),"0")</f>
        <v>0</v>
      </c>
      <c r="Z172" s="37"/>
      <c r="AA172" s="544"/>
      <c r="AB172" s="544"/>
      <c r="AC172" s="544"/>
    </row>
    <row r="173" spans="1:68" ht="14.25" customHeight="1" x14ac:dyDescent="0.25">
      <c r="A173" s="558" t="s">
        <v>93</v>
      </c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5"/>
      <c r="P173" s="555"/>
      <c r="Q173" s="555"/>
      <c r="R173" s="555"/>
      <c r="S173" s="555"/>
      <c r="T173" s="555"/>
      <c r="U173" s="555"/>
      <c r="V173" s="555"/>
      <c r="W173" s="555"/>
      <c r="X173" s="555"/>
      <c r="Y173" s="555"/>
      <c r="Z173" s="555"/>
      <c r="AA173" s="537"/>
      <c r="AB173" s="537"/>
      <c r="AC173" s="537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8">
        <v>4680115886780</v>
      </c>
      <c r="E174" s="549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8">
        <v>4680115886742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8">
        <v>4680115886766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9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4"/>
      <c r="B177" s="555"/>
      <c r="C177" s="555"/>
      <c r="D177" s="555"/>
      <c r="E177" s="555"/>
      <c r="F177" s="555"/>
      <c r="G177" s="555"/>
      <c r="H177" s="555"/>
      <c r="I177" s="555"/>
      <c r="J177" s="555"/>
      <c r="K177" s="555"/>
      <c r="L177" s="555"/>
      <c r="M177" s="555"/>
      <c r="N177" s="555"/>
      <c r="O177" s="556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x14ac:dyDescent="0.2">
      <c r="A178" s="555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customHeight="1" x14ac:dyDescent="0.25">
      <c r="A179" s="558" t="s">
        <v>294</v>
      </c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5"/>
      <c r="P179" s="555"/>
      <c r="Q179" s="555"/>
      <c r="R179" s="555"/>
      <c r="S179" s="555"/>
      <c r="T179" s="555"/>
      <c r="U179" s="555"/>
      <c r="V179" s="555"/>
      <c r="W179" s="555"/>
      <c r="X179" s="555"/>
      <c r="Y179" s="555"/>
      <c r="Z179" s="555"/>
      <c r="AA179" s="537"/>
      <c r="AB179" s="537"/>
      <c r="AC179" s="537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8">
        <v>4680115886797</v>
      </c>
      <c r="E180" s="549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54"/>
      <c r="B181" s="555"/>
      <c r="C181" s="555"/>
      <c r="D181" s="555"/>
      <c r="E181" s="555"/>
      <c r="F181" s="555"/>
      <c r="G181" s="555"/>
      <c r="H181" s="555"/>
      <c r="I181" s="555"/>
      <c r="J181" s="555"/>
      <c r="K181" s="555"/>
      <c r="L181" s="555"/>
      <c r="M181" s="555"/>
      <c r="N181" s="555"/>
      <c r="O181" s="556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x14ac:dyDescent="0.2">
      <c r="A182" s="555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customHeight="1" x14ac:dyDescent="0.25">
      <c r="A183" s="559" t="s">
        <v>297</v>
      </c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5"/>
      <c r="P183" s="555"/>
      <c r="Q183" s="555"/>
      <c r="R183" s="555"/>
      <c r="S183" s="555"/>
      <c r="T183" s="555"/>
      <c r="U183" s="555"/>
      <c r="V183" s="555"/>
      <c r="W183" s="555"/>
      <c r="X183" s="555"/>
      <c r="Y183" s="555"/>
      <c r="Z183" s="555"/>
      <c r="AA183" s="536"/>
      <c r="AB183" s="536"/>
      <c r="AC183" s="536"/>
    </row>
    <row r="184" spans="1:68" ht="14.25" customHeight="1" x14ac:dyDescent="0.25">
      <c r="A184" s="558" t="s">
        <v>101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7"/>
      <c r="AB184" s="537"/>
      <c r="AC184" s="537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8">
        <v>4680115881402</v>
      </c>
      <c r="E185" s="549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8">
        <v>4680115881396</v>
      </c>
      <c r="E186" s="549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4"/>
      <c r="B187" s="555"/>
      <c r="C187" s="555"/>
      <c r="D187" s="555"/>
      <c r="E187" s="555"/>
      <c r="F187" s="555"/>
      <c r="G187" s="555"/>
      <c r="H187" s="555"/>
      <c r="I187" s="555"/>
      <c r="J187" s="555"/>
      <c r="K187" s="555"/>
      <c r="L187" s="555"/>
      <c r="M187" s="555"/>
      <c r="N187" s="555"/>
      <c r="O187" s="556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5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8" t="s">
        <v>136</v>
      </c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5"/>
      <c r="P189" s="555"/>
      <c r="Q189" s="555"/>
      <c r="R189" s="555"/>
      <c r="S189" s="555"/>
      <c r="T189" s="555"/>
      <c r="U189" s="555"/>
      <c r="V189" s="555"/>
      <c r="W189" s="555"/>
      <c r="X189" s="555"/>
      <c r="Y189" s="555"/>
      <c r="Z189" s="555"/>
      <c r="AA189" s="537"/>
      <c r="AB189" s="537"/>
      <c r="AC189" s="537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48">
        <v>4680115882935</v>
      </c>
      <c r="E190" s="549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77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48">
        <v>4680115880764</v>
      </c>
      <c r="E191" s="549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1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4"/>
      <c r="B192" s="555"/>
      <c r="C192" s="555"/>
      <c r="D192" s="555"/>
      <c r="E192" s="555"/>
      <c r="F192" s="555"/>
      <c r="G192" s="555"/>
      <c r="H192" s="555"/>
      <c r="I192" s="555"/>
      <c r="J192" s="555"/>
      <c r="K192" s="555"/>
      <c r="L192" s="555"/>
      <c r="M192" s="555"/>
      <c r="N192" s="555"/>
      <c r="O192" s="556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5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8" t="s">
        <v>64</v>
      </c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5"/>
      <c r="P194" s="555"/>
      <c r="Q194" s="555"/>
      <c r="R194" s="555"/>
      <c r="S194" s="555"/>
      <c r="T194" s="555"/>
      <c r="U194" s="555"/>
      <c r="V194" s="555"/>
      <c r="W194" s="555"/>
      <c r="X194" s="555"/>
      <c r="Y194" s="555"/>
      <c r="Z194" s="555"/>
      <c r="AA194" s="537"/>
      <c r="AB194" s="537"/>
      <c r="AC194" s="537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8">
        <v>4680115882683</v>
      </c>
      <c r="E195" s="549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8">
        <v>4680115882690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8">
        <v>4680115882669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7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8">
        <v>4680115882676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8">
        <v>4680115884014</v>
      </c>
      <c r="E199" s="549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267</v>
      </c>
      <c r="M199" s="33" t="s">
        <v>68</v>
      </c>
      <c r="N199" s="33"/>
      <c r="O199" s="32">
        <v>40</v>
      </c>
      <c r="P199" s="8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8">
        <v>4680115884007</v>
      </c>
      <c r="E200" s="549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267</v>
      </c>
      <c r="M200" s="33" t="s">
        <v>68</v>
      </c>
      <c r="N200" s="33"/>
      <c r="O200" s="32">
        <v>40</v>
      </c>
      <c r="P200" s="8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8">
        <v>4680115884038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8">
        <v>4680115884021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267</v>
      </c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4"/>
      <c r="B203" s="555"/>
      <c r="C203" s="555"/>
      <c r="D203" s="555"/>
      <c r="E203" s="555"/>
      <c r="F203" s="555"/>
      <c r="G203" s="555"/>
      <c r="H203" s="555"/>
      <c r="I203" s="555"/>
      <c r="J203" s="555"/>
      <c r="K203" s="555"/>
      <c r="L203" s="555"/>
      <c r="M203" s="555"/>
      <c r="N203" s="555"/>
      <c r="O203" s="556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0</v>
      </c>
      <c r="Y203" s="543">
        <f>IFERROR(Y195/H195,"0")+IFERROR(Y196/H196,"0")+IFERROR(Y197/H197,"0")+IFERROR(Y198/H198,"0")+IFERROR(Y199/H199,"0")+IFERROR(Y200/H200,"0")+IFERROR(Y201/H201,"0")+IFERROR(Y202/H202,"0")</f>
        <v>0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4"/>
      <c r="AB203" s="544"/>
      <c r="AC203" s="544"/>
    </row>
    <row r="204" spans="1:68" x14ac:dyDescent="0.2">
      <c r="A204" s="555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3">
        <f>IFERROR(SUM(X195:X202),"0")</f>
        <v>0</v>
      </c>
      <c r="Y204" s="543">
        <f>IFERROR(SUM(Y195:Y202),"0")</f>
        <v>0</v>
      </c>
      <c r="Z204" s="37"/>
      <c r="AA204" s="544"/>
      <c r="AB204" s="544"/>
      <c r="AC204" s="544"/>
    </row>
    <row r="205" spans="1:68" ht="14.25" customHeight="1" x14ac:dyDescent="0.25">
      <c r="A205" s="558" t="s">
        <v>73</v>
      </c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5"/>
      <c r="P205" s="555"/>
      <c r="Q205" s="555"/>
      <c r="R205" s="555"/>
      <c r="S205" s="555"/>
      <c r="T205" s="555"/>
      <c r="U205" s="555"/>
      <c r="V205" s="555"/>
      <c r="W205" s="555"/>
      <c r="X205" s="555"/>
      <c r="Y205" s="555"/>
      <c r="Z205" s="555"/>
      <c r="AA205" s="537"/>
      <c r="AB205" s="537"/>
      <c r="AC205" s="537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8">
        <v>4680115881594</v>
      </c>
      <c r="E206" s="549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48">
        <v>4680115881617</v>
      </c>
      <c r="E207" s="549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8">
        <v>4680115880573</v>
      </c>
      <c r="E208" s="549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8">
        <v>4680115882195</v>
      </c>
      <c r="E209" s="549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48">
        <v>4680115882607</v>
      </c>
      <c r="E210" s="549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8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336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4301051666</v>
      </c>
      <c r="D211" s="548">
        <v>4680115880092</v>
      </c>
      <c r="E211" s="549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343</v>
      </c>
      <c r="B212" s="54" t="s">
        <v>344</v>
      </c>
      <c r="C212" s="31">
        <v>4301051668</v>
      </c>
      <c r="D212" s="548">
        <v>4680115880221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4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345</v>
      </c>
      <c r="B213" s="54" t="s">
        <v>346</v>
      </c>
      <c r="C213" s="31">
        <v>4301051945</v>
      </c>
      <c r="D213" s="548">
        <v>4680115880504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347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348</v>
      </c>
      <c r="B214" s="54" t="s">
        <v>349</v>
      </c>
      <c r="C214" s="31">
        <v>4301051410</v>
      </c>
      <c r="D214" s="548">
        <v>4680115882164</v>
      </c>
      <c r="E214" s="549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7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4"/>
      <c r="B215" s="555"/>
      <c r="C215" s="555"/>
      <c r="D215" s="555"/>
      <c r="E215" s="555"/>
      <c r="F215" s="555"/>
      <c r="G215" s="555"/>
      <c r="H215" s="555"/>
      <c r="I215" s="555"/>
      <c r="J215" s="555"/>
      <c r="K215" s="555"/>
      <c r="L215" s="555"/>
      <c r="M215" s="555"/>
      <c r="N215" s="555"/>
      <c r="O215" s="556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0</v>
      </c>
      <c r="Y215" s="543">
        <f>IFERROR(Y206/H206,"0")+IFERROR(Y207/H207,"0")+IFERROR(Y208/H208,"0")+IFERROR(Y209/H209,"0")+IFERROR(Y210/H210,"0")+IFERROR(Y211/H211,"0")+IFERROR(Y212/H212,"0")+IFERROR(Y213/H213,"0")+IFERROR(Y214/H214,"0")</f>
        <v>0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544"/>
      <c r="AB215" s="544"/>
      <c r="AC215" s="544"/>
    </row>
    <row r="216" spans="1:68" x14ac:dyDescent="0.2">
      <c r="A216" s="555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3">
        <f>IFERROR(SUM(X206:X214),"0")</f>
        <v>0</v>
      </c>
      <c r="Y216" s="543">
        <f>IFERROR(SUM(Y206:Y214),"0")</f>
        <v>0</v>
      </c>
      <c r="Z216" s="37"/>
      <c r="AA216" s="544"/>
      <c r="AB216" s="544"/>
      <c r="AC216" s="544"/>
    </row>
    <row r="217" spans="1:68" ht="14.25" customHeight="1" x14ac:dyDescent="0.25">
      <c r="A217" s="558" t="s">
        <v>164</v>
      </c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5"/>
      <c r="P217" s="555"/>
      <c r="Q217" s="555"/>
      <c r="R217" s="555"/>
      <c r="S217" s="555"/>
      <c r="T217" s="555"/>
      <c r="U217" s="555"/>
      <c r="V217" s="555"/>
      <c r="W217" s="555"/>
      <c r="X217" s="555"/>
      <c r="Y217" s="555"/>
      <c r="Z217" s="555"/>
      <c r="AA217" s="537"/>
      <c r="AB217" s="537"/>
      <c r="AC217" s="537"/>
    </row>
    <row r="218" spans="1:68" ht="27" customHeight="1" x14ac:dyDescent="0.25">
      <c r="A218" s="54" t="s">
        <v>350</v>
      </c>
      <c r="B218" s="54" t="s">
        <v>351</v>
      </c>
      <c r="C218" s="31">
        <v>4301060463</v>
      </c>
      <c r="D218" s="548">
        <v>4680115880818</v>
      </c>
      <c r="E218" s="549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352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353</v>
      </c>
      <c r="B219" s="54" t="s">
        <v>354</v>
      </c>
      <c r="C219" s="31">
        <v>4301060389</v>
      </c>
      <c r="D219" s="548">
        <v>4680115880801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54"/>
      <c r="B220" s="555"/>
      <c r="C220" s="555"/>
      <c r="D220" s="555"/>
      <c r="E220" s="555"/>
      <c r="F220" s="555"/>
      <c r="G220" s="555"/>
      <c r="H220" s="555"/>
      <c r="I220" s="555"/>
      <c r="J220" s="555"/>
      <c r="K220" s="555"/>
      <c r="L220" s="555"/>
      <c r="M220" s="555"/>
      <c r="N220" s="555"/>
      <c r="O220" s="556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x14ac:dyDescent="0.2">
      <c r="A221" s="555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customHeight="1" x14ac:dyDescent="0.25">
      <c r="A222" s="559" t="s">
        <v>356</v>
      </c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5"/>
      <c r="P222" s="555"/>
      <c r="Q222" s="555"/>
      <c r="R222" s="555"/>
      <c r="S222" s="555"/>
      <c r="T222" s="555"/>
      <c r="U222" s="555"/>
      <c r="V222" s="555"/>
      <c r="W222" s="555"/>
      <c r="X222" s="555"/>
      <c r="Y222" s="555"/>
      <c r="Z222" s="555"/>
      <c r="AA222" s="536"/>
      <c r="AB222" s="536"/>
      <c r="AC222" s="536"/>
    </row>
    <row r="223" spans="1:68" ht="14.25" customHeight="1" x14ac:dyDescent="0.25">
      <c r="A223" s="558" t="s">
        <v>101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7"/>
      <c r="AB223" s="537"/>
      <c r="AC223" s="537"/>
    </row>
    <row r="224" spans="1:68" ht="27" customHeight="1" x14ac:dyDescent="0.25">
      <c r="A224" s="54" t="s">
        <v>357</v>
      </c>
      <c r="B224" s="54" t="s">
        <v>358</v>
      </c>
      <c r="C224" s="31">
        <v>4301011826</v>
      </c>
      <c r="D224" s="548">
        <v>4680115884137</v>
      </c>
      <c r="E224" s="549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1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359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360</v>
      </c>
      <c r="B225" s="54" t="s">
        <v>361</v>
      </c>
      <c r="C225" s="31">
        <v>4301011724</v>
      </c>
      <c r="D225" s="548">
        <v>4680115884236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10</v>
      </c>
      <c r="Y225" s="542">
        <f t="shared" si="21"/>
        <v>11.6</v>
      </c>
      <c r="Z225" s="36">
        <f>IFERROR(IF(Y225=0,"",ROUNDUP(Y225/H225,0)*0.01898),"")</f>
        <v>1.898E-2</v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10.353448275862069</v>
      </c>
      <c r="BN225" s="64">
        <f t="shared" si="23"/>
        <v>12.01</v>
      </c>
      <c r="BO225" s="64">
        <f t="shared" si="24"/>
        <v>1.3469827586206897E-2</v>
      </c>
      <c r="BP225" s="64">
        <f t="shared" si="25"/>
        <v>1.5625E-2</v>
      </c>
    </row>
    <row r="226" spans="1:68" ht="27" customHeight="1" x14ac:dyDescent="0.25">
      <c r="A226" s="54" t="s">
        <v>363</v>
      </c>
      <c r="B226" s="54" t="s">
        <v>364</v>
      </c>
      <c r="C226" s="31">
        <v>4301011721</v>
      </c>
      <c r="D226" s="548">
        <v>4680115884175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4301011824</v>
      </c>
      <c r="D227" s="548">
        <v>4680115884144</v>
      </c>
      <c r="E227" s="549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359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366</v>
      </c>
      <c r="B228" s="54" t="s">
        <v>368</v>
      </c>
      <c r="C228" s="31">
        <v>4301012196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4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369</v>
      </c>
      <c r="B229" s="54" t="s">
        <v>370</v>
      </c>
      <c r="C229" s="31">
        <v>4301012149</v>
      </c>
      <c r="D229" s="548">
        <v>4680115886551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372</v>
      </c>
      <c r="B230" s="54" t="s">
        <v>373</v>
      </c>
      <c r="C230" s="31">
        <v>4301011726</v>
      </c>
      <c r="D230" s="548">
        <v>4680115884182</v>
      </c>
      <c r="E230" s="549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4301012228</v>
      </c>
      <c r="D231" s="548">
        <v>4680115887282</v>
      </c>
      <c r="E231" s="549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4301011722</v>
      </c>
      <c r="D232" s="548">
        <v>4680115884205</v>
      </c>
      <c r="E232" s="549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365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376</v>
      </c>
      <c r="B233" s="54" t="s">
        <v>378</v>
      </c>
      <c r="C233" s="31">
        <v>4301012195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2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4"/>
      <c r="B234" s="555"/>
      <c r="C234" s="555"/>
      <c r="D234" s="555"/>
      <c r="E234" s="555"/>
      <c r="F234" s="555"/>
      <c r="G234" s="555"/>
      <c r="H234" s="555"/>
      <c r="I234" s="555"/>
      <c r="J234" s="555"/>
      <c r="K234" s="555"/>
      <c r="L234" s="555"/>
      <c r="M234" s="555"/>
      <c r="N234" s="555"/>
      <c r="O234" s="556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0.86206896551724144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1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1.898E-2</v>
      </c>
      <c r="AA234" s="544"/>
      <c r="AB234" s="544"/>
      <c r="AC234" s="544"/>
    </row>
    <row r="235" spans="1:68" x14ac:dyDescent="0.2">
      <c r="A235" s="555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3">
        <f>IFERROR(SUM(X224:X233),"0")</f>
        <v>10</v>
      </c>
      <c r="Y235" s="543">
        <f>IFERROR(SUM(Y224:Y233),"0")</f>
        <v>11.6</v>
      </c>
      <c r="Z235" s="37"/>
      <c r="AA235" s="544"/>
      <c r="AB235" s="544"/>
      <c r="AC235" s="544"/>
    </row>
    <row r="236" spans="1:68" ht="14.25" customHeight="1" x14ac:dyDescent="0.25">
      <c r="A236" s="558" t="s">
        <v>136</v>
      </c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5"/>
      <c r="P236" s="555"/>
      <c r="Q236" s="555"/>
      <c r="R236" s="555"/>
      <c r="S236" s="555"/>
      <c r="T236" s="555"/>
      <c r="U236" s="555"/>
      <c r="V236" s="555"/>
      <c r="W236" s="555"/>
      <c r="X236" s="555"/>
      <c r="Y236" s="555"/>
      <c r="Z236" s="555"/>
      <c r="AA236" s="537"/>
      <c r="AB236" s="537"/>
      <c r="AC236" s="537"/>
    </row>
    <row r="237" spans="1:68" ht="27" customHeight="1" x14ac:dyDescent="0.25">
      <c r="A237" s="54" t="s">
        <v>379</v>
      </c>
      <c r="B237" s="54" t="s">
        <v>380</v>
      </c>
      <c r="C237" s="31">
        <v>4301020377</v>
      </c>
      <c r="D237" s="548">
        <v>4680115885981</v>
      </c>
      <c r="E237" s="549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4"/>
      <c r="B238" s="555"/>
      <c r="C238" s="555"/>
      <c r="D238" s="555"/>
      <c r="E238" s="555"/>
      <c r="F238" s="555"/>
      <c r="G238" s="555"/>
      <c r="H238" s="555"/>
      <c r="I238" s="555"/>
      <c r="J238" s="555"/>
      <c r="K238" s="555"/>
      <c r="L238" s="555"/>
      <c r="M238" s="555"/>
      <c r="N238" s="555"/>
      <c r="O238" s="556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5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8" t="s">
        <v>382</v>
      </c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5"/>
      <c r="P240" s="555"/>
      <c r="Q240" s="555"/>
      <c r="R240" s="555"/>
      <c r="S240" s="555"/>
      <c r="T240" s="555"/>
      <c r="U240" s="555"/>
      <c r="V240" s="555"/>
      <c r="W240" s="555"/>
      <c r="X240" s="555"/>
      <c r="Y240" s="555"/>
      <c r="Z240" s="555"/>
      <c r="AA240" s="537"/>
      <c r="AB240" s="537"/>
      <c r="AC240" s="537"/>
    </row>
    <row r="241" spans="1:68" ht="27" customHeight="1" x14ac:dyDescent="0.25">
      <c r="A241" s="54" t="s">
        <v>383</v>
      </c>
      <c r="B241" s="54" t="s">
        <v>384</v>
      </c>
      <c r="C241" s="31">
        <v>4301040362</v>
      </c>
      <c r="D241" s="548">
        <v>4680115886803</v>
      </c>
      <c r="E241" s="549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54"/>
      <c r="B242" s="555"/>
      <c r="C242" s="555"/>
      <c r="D242" s="555"/>
      <c r="E242" s="555"/>
      <c r="F242" s="555"/>
      <c r="G242" s="555"/>
      <c r="H242" s="555"/>
      <c r="I242" s="555"/>
      <c r="J242" s="555"/>
      <c r="K242" s="555"/>
      <c r="L242" s="555"/>
      <c r="M242" s="555"/>
      <c r="N242" s="555"/>
      <c r="O242" s="556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x14ac:dyDescent="0.2">
      <c r="A243" s="555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customHeight="1" x14ac:dyDescent="0.25">
      <c r="A244" s="558" t="s">
        <v>386</v>
      </c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5"/>
      <c r="P244" s="555"/>
      <c r="Q244" s="555"/>
      <c r="R244" s="555"/>
      <c r="S244" s="555"/>
      <c r="T244" s="555"/>
      <c r="U244" s="555"/>
      <c r="V244" s="555"/>
      <c r="W244" s="555"/>
      <c r="X244" s="555"/>
      <c r="Y244" s="555"/>
      <c r="Z244" s="555"/>
      <c r="AA244" s="537"/>
      <c r="AB244" s="537"/>
      <c r="AC244" s="537"/>
    </row>
    <row r="245" spans="1:68" ht="27" customHeight="1" x14ac:dyDescent="0.25">
      <c r="A245" s="54" t="s">
        <v>387</v>
      </c>
      <c r="B245" s="54" t="s">
        <v>388</v>
      </c>
      <c r="C245" s="31">
        <v>4301041004</v>
      </c>
      <c r="D245" s="548">
        <v>4680115886704</v>
      </c>
      <c r="E245" s="549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390</v>
      </c>
      <c r="B246" s="54" t="s">
        <v>391</v>
      </c>
      <c r="C246" s="31">
        <v>4301041008</v>
      </c>
      <c r="D246" s="548">
        <v>4680115886681</v>
      </c>
      <c r="E246" s="549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392</v>
      </c>
      <c r="B247" s="54" t="s">
        <v>393</v>
      </c>
      <c r="C247" s="31">
        <v>4301041007</v>
      </c>
      <c r="D247" s="548">
        <v>4680115886735</v>
      </c>
      <c r="E247" s="549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394</v>
      </c>
      <c r="B248" s="54" t="s">
        <v>395</v>
      </c>
      <c r="C248" s="31">
        <v>4301041006</v>
      </c>
      <c r="D248" s="548">
        <v>4680115886728</v>
      </c>
      <c r="E248" s="549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396</v>
      </c>
      <c r="B249" s="54" t="s">
        <v>397</v>
      </c>
      <c r="C249" s="31">
        <v>4301041005</v>
      </c>
      <c r="D249" s="548">
        <v>4680115886711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4"/>
      <c r="B250" s="555"/>
      <c r="C250" s="555"/>
      <c r="D250" s="555"/>
      <c r="E250" s="555"/>
      <c r="F250" s="555"/>
      <c r="G250" s="555"/>
      <c r="H250" s="555"/>
      <c r="I250" s="555"/>
      <c r="J250" s="555"/>
      <c r="K250" s="555"/>
      <c r="L250" s="555"/>
      <c r="M250" s="555"/>
      <c r="N250" s="555"/>
      <c r="O250" s="556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x14ac:dyDescent="0.2">
      <c r="A251" s="555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customHeight="1" x14ac:dyDescent="0.25">
      <c r="A252" s="559" t="s">
        <v>398</v>
      </c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5"/>
      <c r="P252" s="555"/>
      <c r="Q252" s="555"/>
      <c r="R252" s="555"/>
      <c r="S252" s="555"/>
      <c r="T252" s="555"/>
      <c r="U252" s="555"/>
      <c r="V252" s="555"/>
      <c r="W252" s="555"/>
      <c r="X252" s="555"/>
      <c r="Y252" s="555"/>
      <c r="Z252" s="555"/>
      <c r="AA252" s="536"/>
      <c r="AB252" s="536"/>
      <c r="AC252" s="536"/>
    </row>
    <row r="253" spans="1:68" ht="14.25" customHeight="1" x14ac:dyDescent="0.25">
      <c r="A253" s="558" t="s">
        <v>101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7"/>
      <c r="AB253" s="537"/>
      <c r="AC253" s="537"/>
    </row>
    <row r="254" spans="1:68" ht="27" customHeight="1" x14ac:dyDescent="0.25">
      <c r="A254" s="54" t="s">
        <v>399</v>
      </c>
      <c r="B254" s="54" t="s">
        <v>400</v>
      </c>
      <c r="C254" s="31">
        <v>4301011855</v>
      </c>
      <c r="D254" s="548">
        <v>4680115885837</v>
      </c>
      <c r="E254" s="549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4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401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402</v>
      </c>
      <c r="B255" s="54" t="s">
        <v>403</v>
      </c>
      <c r="C255" s="31">
        <v>4301011853</v>
      </c>
      <c r="D255" s="548">
        <v>4680115885851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405</v>
      </c>
      <c r="B256" s="54" t="s">
        <v>406</v>
      </c>
      <c r="C256" s="31">
        <v>4301011850</v>
      </c>
      <c r="D256" s="548">
        <v>4680115885806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5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408</v>
      </c>
      <c r="B257" s="54" t="s">
        <v>409</v>
      </c>
      <c r="C257" s="31">
        <v>4301011852</v>
      </c>
      <c r="D257" s="548">
        <v>4680115885844</v>
      </c>
      <c r="E257" s="549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411</v>
      </c>
      <c r="B258" s="54" t="s">
        <v>412</v>
      </c>
      <c r="C258" s="31">
        <v>4301011851</v>
      </c>
      <c r="D258" s="548">
        <v>4680115885820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4"/>
      <c r="B259" s="555"/>
      <c r="C259" s="555"/>
      <c r="D259" s="555"/>
      <c r="E259" s="555"/>
      <c r="F259" s="555"/>
      <c r="G259" s="555"/>
      <c r="H259" s="555"/>
      <c r="I259" s="555"/>
      <c r="J259" s="555"/>
      <c r="K259" s="555"/>
      <c r="L259" s="555"/>
      <c r="M259" s="555"/>
      <c r="N259" s="555"/>
      <c r="O259" s="556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x14ac:dyDescent="0.2">
      <c r="A260" s="555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customHeight="1" x14ac:dyDescent="0.25">
      <c r="A261" s="559" t="s">
        <v>414</v>
      </c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5"/>
      <c r="P261" s="555"/>
      <c r="Q261" s="555"/>
      <c r="R261" s="555"/>
      <c r="S261" s="555"/>
      <c r="T261" s="555"/>
      <c r="U261" s="555"/>
      <c r="V261" s="555"/>
      <c r="W261" s="555"/>
      <c r="X261" s="555"/>
      <c r="Y261" s="555"/>
      <c r="Z261" s="555"/>
      <c r="AA261" s="536"/>
      <c r="AB261" s="536"/>
      <c r="AC261" s="536"/>
    </row>
    <row r="262" spans="1:68" ht="14.25" customHeight="1" x14ac:dyDescent="0.25">
      <c r="A262" s="558" t="s">
        <v>101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7"/>
      <c r="AB262" s="537"/>
      <c r="AC262" s="537"/>
    </row>
    <row r="263" spans="1:68" ht="27" customHeight="1" x14ac:dyDescent="0.25">
      <c r="A263" s="54" t="s">
        <v>415</v>
      </c>
      <c r="B263" s="54" t="s">
        <v>416</v>
      </c>
      <c r="C263" s="31">
        <v>4301011223</v>
      </c>
      <c r="D263" s="548">
        <v>4607091383423</v>
      </c>
      <c r="E263" s="549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4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417</v>
      </c>
      <c r="B264" s="54" t="s">
        <v>418</v>
      </c>
      <c r="C264" s="31">
        <v>4301012199</v>
      </c>
      <c r="D264" s="548">
        <v>4680115886957</v>
      </c>
      <c r="E264" s="549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7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420</v>
      </c>
      <c r="B265" s="54" t="s">
        <v>421</v>
      </c>
      <c r="C265" s="31">
        <v>4301012098</v>
      </c>
      <c r="D265" s="548">
        <v>4680115885660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0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422</v>
      </c>
      <c r="B266" s="54" t="s">
        <v>423</v>
      </c>
      <c r="C266" s="31">
        <v>4301012176</v>
      </c>
      <c r="D266" s="548">
        <v>4680115886773</v>
      </c>
      <c r="E266" s="549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4"/>
      <c r="B267" s="555"/>
      <c r="C267" s="555"/>
      <c r="D267" s="555"/>
      <c r="E267" s="555"/>
      <c r="F267" s="555"/>
      <c r="G267" s="555"/>
      <c r="H267" s="555"/>
      <c r="I267" s="555"/>
      <c r="J267" s="555"/>
      <c r="K267" s="555"/>
      <c r="L267" s="555"/>
      <c r="M267" s="555"/>
      <c r="N267" s="555"/>
      <c r="O267" s="556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5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59" t="s">
        <v>425</v>
      </c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5"/>
      <c r="P269" s="555"/>
      <c r="Q269" s="555"/>
      <c r="R269" s="555"/>
      <c r="S269" s="555"/>
      <c r="T269" s="555"/>
      <c r="U269" s="555"/>
      <c r="V269" s="555"/>
      <c r="W269" s="555"/>
      <c r="X269" s="555"/>
      <c r="Y269" s="555"/>
      <c r="Z269" s="555"/>
      <c r="AA269" s="536"/>
      <c r="AB269" s="536"/>
      <c r="AC269" s="536"/>
    </row>
    <row r="270" spans="1:68" ht="14.25" customHeight="1" x14ac:dyDescent="0.25">
      <c r="A270" s="558" t="s">
        <v>73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7"/>
      <c r="AB270" s="537"/>
      <c r="AC270" s="537"/>
    </row>
    <row r="271" spans="1:68" ht="27" customHeight="1" x14ac:dyDescent="0.25">
      <c r="A271" s="54" t="s">
        <v>426</v>
      </c>
      <c r="B271" s="54" t="s">
        <v>427</v>
      </c>
      <c r="C271" s="31">
        <v>4301051893</v>
      </c>
      <c r="D271" s="548">
        <v>4680115886186</v>
      </c>
      <c r="E271" s="549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429</v>
      </c>
      <c r="B272" s="54" t="s">
        <v>430</v>
      </c>
      <c r="C272" s="31">
        <v>4301051795</v>
      </c>
      <c r="D272" s="548">
        <v>4680115881228</v>
      </c>
      <c r="E272" s="549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8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432</v>
      </c>
      <c r="B273" s="54" t="s">
        <v>433</v>
      </c>
      <c r="C273" s="31">
        <v>4301051388</v>
      </c>
      <c r="D273" s="548">
        <v>4680115881211</v>
      </c>
      <c r="E273" s="549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62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428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54"/>
      <c r="B274" s="555"/>
      <c r="C274" s="555"/>
      <c r="D274" s="555"/>
      <c r="E274" s="555"/>
      <c r="F274" s="555"/>
      <c r="G274" s="555"/>
      <c r="H274" s="555"/>
      <c r="I274" s="555"/>
      <c r="J274" s="555"/>
      <c r="K274" s="555"/>
      <c r="L274" s="555"/>
      <c r="M274" s="555"/>
      <c r="N274" s="555"/>
      <c r="O274" s="556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x14ac:dyDescent="0.2">
      <c r="A275" s="555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customHeight="1" x14ac:dyDescent="0.25">
      <c r="A276" s="559" t="s">
        <v>434</v>
      </c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5"/>
      <c r="P276" s="555"/>
      <c r="Q276" s="555"/>
      <c r="R276" s="555"/>
      <c r="S276" s="555"/>
      <c r="T276" s="555"/>
      <c r="U276" s="555"/>
      <c r="V276" s="555"/>
      <c r="W276" s="555"/>
      <c r="X276" s="555"/>
      <c r="Y276" s="555"/>
      <c r="Z276" s="555"/>
      <c r="AA276" s="536"/>
      <c r="AB276" s="536"/>
      <c r="AC276" s="536"/>
    </row>
    <row r="277" spans="1:68" ht="14.25" customHeight="1" x14ac:dyDescent="0.25">
      <c r="A277" s="558" t="s">
        <v>64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7"/>
      <c r="AB277" s="537"/>
      <c r="AC277" s="537"/>
    </row>
    <row r="278" spans="1:68" ht="27" customHeight="1" x14ac:dyDescent="0.25">
      <c r="A278" s="54" t="s">
        <v>435</v>
      </c>
      <c r="B278" s="54" t="s">
        <v>436</v>
      </c>
      <c r="C278" s="31">
        <v>4301031307</v>
      </c>
      <c r="D278" s="548">
        <v>4680115880344</v>
      </c>
      <c r="E278" s="549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438</v>
      </c>
      <c r="B279" s="54" t="s">
        <v>439</v>
      </c>
      <c r="C279" s="31">
        <v>4301031429</v>
      </c>
      <c r="D279" s="548">
        <v>4680115886919</v>
      </c>
      <c r="E279" s="549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4"/>
      <c r="B280" s="555"/>
      <c r="C280" s="555"/>
      <c r="D280" s="555"/>
      <c r="E280" s="555"/>
      <c r="F280" s="555"/>
      <c r="G280" s="555"/>
      <c r="H280" s="555"/>
      <c r="I280" s="555"/>
      <c r="J280" s="555"/>
      <c r="K280" s="555"/>
      <c r="L280" s="555"/>
      <c r="M280" s="555"/>
      <c r="N280" s="555"/>
      <c r="O280" s="556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5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8" t="s">
        <v>73</v>
      </c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5"/>
      <c r="P282" s="555"/>
      <c r="Q282" s="555"/>
      <c r="R282" s="555"/>
      <c r="S282" s="555"/>
      <c r="T282" s="555"/>
      <c r="U282" s="555"/>
      <c r="V282" s="555"/>
      <c r="W282" s="555"/>
      <c r="X282" s="555"/>
      <c r="Y282" s="555"/>
      <c r="Z282" s="555"/>
      <c r="AA282" s="537"/>
      <c r="AB282" s="537"/>
      <c r="AC282" s="537"/>
    </row>
    <row r="283" spans="1:68" ht="37.5" customHeight="1" x14ac:dyDescent="0.25">
      <c r="A283" s="54" t="s">
        <v>441</v>
      </c>
      <c r="B283" s="54" t="s">
        <v>442</v>
      </c>
      <c r="C283" s="31">
        <v>4301051782</v>
      </c>
      <c r="D283" s="548">
        <v>4680115884618</v>
      </c>
      <c r="E283" s="549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9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443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444</v>
      </c>
      <c r="B284" s="54" t="s">
        <v>445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35" t="s">
        <v>446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4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customHeight="1" x14ac:dyDescent="0.25">
      <c r="A287" s="559" t="s">
        <v>448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6"/>
      <c r="AB287" s="536"/>
      <c r="AC287" s="536"/>
    </row>
    <row r="288" spans="1:68" ht="14.25" customHeight="1" x14ac:dyDescent="0.25">
      <c r="A288" s="558" t="s">
        <v>101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7"/>
      <c r="AB288" s="537"/>
      <c r="AC288" s="537"/>
    </row>
    <row r="289" spans="1:68" ht="27" customHeight="1" x14ac:dyDescent="0.25">
      <c r="A289" s="54" t="s">
        <v>449</v>
      </c>
      <c r="B289" s="54" t="s">
        <v>450</v>
      </c>
      <c r="C289" s="31">
        <v>4301012126</v>
      </c>
      <c r="D289" s="548">
        <v>4607091386004</v>
      </c>
      <c r="E289" s="549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0</v>
      </c>
      <c r="Y289" s="542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customHeight="1" x14ac:dyDescent="0.25">
      <c r="A290" s="54" t="s">
        <v>452</v>
      </c>
      <c r="B290" s="54" t="s">
        <v>453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7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10</v>
      </c>
      <c r="Y290" s="542">
        <f t="shared" si="26"/>
        <v>10.8</v>
      </c>
      <c r="Z290" s="36">
        <f>IFERROR(IF(Y290=0,"",ROUNDUP(Y290/H290,0)*0.01898),"")</f>
        <v>1.898E-2</v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10.37962962962963</v>
      </c>
      <c r="BN290" s="64">
        <f t="shared" si="28"/>
        <v>11.21</v>
      </c>
      <c r="BO290" s="64">
        <f t="shared" si="29"/>
        <v>1.4467592592592591E-2</v>
      </c>
      <c r="BP290" s="64">
        <f t="shared" si="30"/>
        <v>1.5625E-2</v>
      </c>
    </row>
    <row r="291" spans="1:68" ht="37.5" customHeight="1" x14ac:dyDescent="0.25">
      <c r="A291" s="54" t="s">
        <v>455</v>
      </c>
      <c r="B291" s="54" t="s">
        <v>456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4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customHeight="1" x14ac:dyDescent="0.25">
      <c r="A292" s="54" t="s">
        <v>458</v>
      </c>
      <c r="B292" s="54" t="s">
        <v>459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120</v>
      </c>
      <c r="Y292" s="542">
        <f t="shared" si="26"/>
        <v>129.60000000000002</v>
      </c>
      <c r="Z292" s="36">
        <f>IFERROR(IF(Y292=0,"",ROUNDUP(Y292/H292,0)*0.01898),"")</f>
        <v>0.22776000000000002</v>
      </c>
      <c r="AA292" s="56"/>
      <c r="AB292" s="57"/>
      <c r="AC292" s="337" t="s">
        <v>460</v>
      </c>
      <c r="AG292" s="64"/>
      <c r="AJ292" s="68"/>
      <c r="AK292" s="68">
        <v>0</v>
      </c>
      <c r="BB292" s="338" t="s">
        <v>1</v>
      </c>
      <c r="BM292" s="64">
        <f t="shared" si="27"/>
        <v>124.55555555555556</v>
      </c>
      <c r="BN292" s="64">
        <f t="shared" si="28"/>
        <v>134.52000000000001</v>
      </c>
      <c r="BO292" s="64">
        <f t="shared" si="29"/>
        <v>0.1736111111111111</v>
      </c>
      <c r="BP292" s="64">
        <f t="shared" si="30"/>
        <v>0.18750000000000003</v>
      </c>
    </row>
    <row r="293" spans="1:68" ht="27" customHeight="1" x14ac:dyDescent="0.25">
      <c r="A293" s="54" t="s">
        <v>461</v>
      </c>
      <c r="B293" s="54" t="s">
        <v>462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4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454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463</v>
      </c>
      <c r="B294" s="54" t="s">
        <v>464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465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3">
        <f>IFERROR(X289/H289,"0")+IFERROR(X290/H290,"0")+IFERROR(X291/H291,"0")+IFERROR(X292/H292,"0")+IFERROR(X293/H293,"0")+IFERROR(X294/H294,"0")</f>
        <v>12.037037037037036</v>
      </c>
      <c r="Y295" s="543">
        <f>IFERROR(Y289/H289,"0")+IFERROR(Y290/H290,"0")+IFERROR(Y291/H291,"0")+IFERROR(Y292/H292,"0")+IFERROR(Y293/H293,"0")+IFERROR(Y294/H294,"0")</f>
        <v>13.000000000000002</v>
      </c>
      <c r="Z295" s="543">
        <f>IFERROR(IF(Z289="",0,Z289),"0")+IFERROR(IF(Z290="",0,Z290),"0")+IFERROR(IF(Z291="",0,Z291),"0")+IFERROR(IF(Z292="",0,Z292),"0")+IFERROR(IF(Z293="",0,Z293),"0")+IFERROR(IF(Z294="",0,Z294),"0")</f>
        <v>0.24674000000000001</v>
      </c>
      <c r="AA295" s="544"/>
      <c r="AB295" s="544"/>
      <c r="AC295" s="544"/>
    </row>
    <row r="296" spans="1:68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3">
        <f>IFERROR(SUM(X289:X294),"0")</f>
        <v>130</v>
      </c>
      <c r="Y296" s="543">
        <f>IFERROR(SUM(Y289:Y294),"0")</f>
        <v>140.40000000000003</v>
      </c>
      <c r="Z296" s="37"/>
      <c r="AA296" s="544"/>
      <c r="AB296" s="544"/>
      <c r="AC296" s="544"/>
    </row>
    <row r="297" spans="1:68" ht="14.25" customHeight="1" x14ac:dyDescent="0.25">
      <c r="A297" s="558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customHeight="1" x14ac:dyDescent="0.25">
      <c r="A298" s="54" t="s">
        <v>466</v>
      </c>
      <c r="B298" s="54" t="s">
        <v>467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1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31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0</v>
      </c>
      <c r="BN298" s="64">
        <f t="shared" ref="BN298:BN304" si="33">IFERROR(Y298*I298/H298,"0")</f>
        <v>0</v>
      </c>
      <c r="BO298" s="64">
        <f t="shared" ref="BO298:BO304" si="34">IFERROR(1/J298*(X298/H298),"0")</f>
        <v>0</v>
      </c>
      <c r="BP298" s="64">
        <f t="shared" ref="BP298:BP304" si="35">IFERROR(1/J298*(Y298/H298),"0")</f>
        <v>0</v>
      </c>
    </row>
    <row r="299" spans="1:68" ht="27" customHeight="1" x14ac:dyDescent="0.25">
      <c r="A299" s="54" t="s">
        <v>469</v>
      </c>
      <c r="B299" s="54" t="s">
        <v>470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15</v>
      </c>
      <c r="Y299" s="542">
        <f t="shared" si="31"/>
        <v>16.8</v>
      </c>
      <c r="Z299" s="36">
        <f>IFERROR(IF(Y299=0,"",ROUNDUP(Y299/H299,0)*0.00902),"")</f>
        <v>3.6080000000000001E-2</v>
      </c>
      <c r="AA299" s="56"/>
      <c r="AB299" s="57"/>
      <c r="AC299" s="345" t="s">
        <v>471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15.892857142857142</v>
      </c>
      <c r="BN299" s="64">
        <f t="shared" si="33"/>
        <v>17.8</v>
      </c>
      <c r="BO299" s="64">
        <f t="shared" si="34"/>
        <v>2.7056277056277056E-2</v>
      </c>
      <c r="BP299" s="64">
        <f t="shared" si="35"/>
        <v>3.0303030303030304E-2</v>
      </c>
    </row>
    <row r="300" spans="1:68" ht="27" customHeight="1" x14ac:dyDescent="0.25">
      <c r="A300" s="54" t="s">
        <v>472</v>
      </c>
      <c r="B300" s="54" t="s">
        <v>473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474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475</v>
      </c>
      <c r="B301" s="54" t="s">
        <v>476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 t="s">
        <v>267</v>
      </c>
      <c r="M301" s="33" t="s">
        <v>68</v>
      </c>
      <c r="N301" s="33"/>
      <c r="O301" s="32">
        <v>40</v>
      </c>
      <c r="P301" s="79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471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477</v>
      </c>
      <c r="B302" s="54" t="s">
        <v>478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267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479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480</v>
      </c>
      <c r="B303" s="54" t="s">
        <v>481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482</v>
      </c>
      <c r="B304" s="54" t="s">
        <v>483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2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0</v>
      </c>
      <c r="Y304" s="542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484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3">
        <f>IFERROR(X298/H298,"0")+IFERROR(X299/H299,"0")+IFERROR(X300/H300,"0")+IFERROR(X301/H301,"0")+IFERROR(X302/H302,"0")+IFERROR(X303/H303,"0")+IFERROR(X304/H304,"0")</f>
        <v>3.5714285714285712</v>
      </c>
      <c r="Y305" s="543">
        <f>IFERROR(Y298/H298,"0")+IFERROR(Y299/H299,"0")+IFERROR(Y300/H300,"0")+IFERROR(Y301/H301,"0")+IFERROR(Y302/H302,"0")+IFERROR(Y303/H303,"0")+IFERROR(Y304/H304,"0")</f>
        <v>4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3.6080000000000001E-2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3">
        <f>IFERROR(SUM(X298:X304),"0")</f>
        <v>15</v>
      </c>
      <c r="Y306" s="543">
        <f>IFERROR(SUM(Y298:Y304),"0")</f>
        <v>16.8</v>
      </c>
      <c r="Z306" s="37"/>
      <c r="AA306" s="544"/>
      <c r="AB306" s="544"/>
      <c r="AC306" s="544"/>
    </row>
    <row r="307" spans="1:68" ht="14.25" customHeight="1" x14ac:dyDescent="0.25">
      <c r="A307" s="558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customHeight="1" x14ac:dyDescent="0.25">
      <c r="A308" s="54" t="s">
        <v>485</v>
      </c>
      <c r="B308" s="54" t="s">
        <v>486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68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60</v>
      </c>
      <c r="Y308" s="542">
        <f>IFERROR(IF(X308="",0,CEILING((X308/$H308),1)*$H308),"")</f>
        <v>62.4</v>
      </c>
      <c r="Z308" s="36">
        <f>IFERROR(IF(Y308=0,"",ROUNDUP(Y308/H308,0)*0.01898),"")</f>
        <v>0.15184</v>
      </c>
      <c r="AA308" s="56"/>
      <c r="AB308" s="57"/>
      <c r="AC308" s="357" t="s">
        <v>487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63.753846153846162</v>
      </c>
      <c r="BN308" s="64">
        <f>IFERROR(Y308*I308/H308,"0")</f>
        <v>66.304000000000002</v>
      </c>
      <c r="BO308" s="64">
        <f>IFERROR(1/J308*(X308/H308),"0")</f>
        <v>0.1201923076923077</v>
      </c>
      <c r="BP308" s="64">
        <f>IFERROR(1/J308*(Y308/H308),"0")</f>
        <v>0.125</v>
      </c>
    </row>
    <row r="309" spans="1:68" ht="27" customHeight="1" x14ac:dyDescent="0.25">
      <c r="A309" s="54" t="s">
        <v>488</v>
      </c>
      <c r="B309" s="54" t="s">
        <v>489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1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6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494</v>
      </c>
      <c r="B311" s="54" t="s">
        <v>495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0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IFERROR(X308/H308,"0")+IFERROR(X309/H309,"0")+IFERROR(X310/H310,"0")+IFERROR(X311/H311,"0")</f>
        <v>7.6923076923076925</v>
      </c>
      <c r="Y312" s="543">
        <f>IFERROR(Y308/H308,"0")+IFERROR(Y309/H309,"0")+IFERROR(Y310/H310,"0")+IFERROR(Y311/H311,"0")</f>
        <v>8</v>
      </c>
      <c r="Z312" s="543">
        <f>IFERROR(IF(Z308="",0,Z308),"0")+IFERROR(IF(Z309="",0,Z309),"0")+IFERROR(IF(Z310="",0,Z310),"0")+IFERROR(IF(Z311="",0,Z311),"0")</f>
        <v>0.15184</v>
      </c>
      <c r="AA312" s="544"/>
      <c r="AB312" s="544"/>
      <c r="AC312" s="544"/>
    </row>
    <row r="313" spans="1:68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IFERROR(SUM(X308:X311),"0")</f>
        <v>60</v>
      </c>
      <c r="Y313" s="543">
        <f>IFERROR(SUM(Y308:Y311),"0")</f>
        <v>62.4</v>
      </c>
      <c r="Z313" s="37"/>
      <c r="AA313" s="544"/>
      <c r="AB313" s="544"/>
      <c r="AC313" s="544"/>
    </row>
    <row r="314" spans="1:68" ht="14.25" customHeight="1" x14ac:dyDescent="0.25">
      <c r="A314" s="558" t="s">
        <v>164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497</v>
      </c>
      <c r="B315" s="54" t="s">
        <v>498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customHeight="1" x14ac:dyDescent="0.25">
      <c r="A317" s="54" t="s">
        <v>503</v>
      </c>
      <c r="B317" s="54" t="s">
        <v>504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0</v>
      </c>
      <c r="Y318" s="543">
        <f>IFERROR(Y315/H315,"0")+IFERROR(Y316/H316,"0")+IFERROR(Y317/H317,"0")</f>
        <v>0</v>
      </c>
      <c r="Z318" s="543">
        <f>IFERROR(IF(Z315="",0,Z315),"0")+IFERROR(IF(Z316="",0,Z316),"0")+IFERROR(IF(Z317="",0,Z317),"0")</f>
        <v>0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0</v>
      </c>
      <c r="Y319" s="543">
        <f>IFERROR(SUM(Y315:Y317),"0")</f>
        <v>0</v>
      </c>
      <c r="Z319" s="37"/>
      <c r="AA319" s="544"/>
      <c r="AB319" s="544"/>
      <c r="AC319" s="544"/>
    </row>
    <row r="320" spans="1:68" ht="14.25" customHeight="1" x14ac:dyDescent="0.25">
      <c r="A320" s="558" t="s">
        <v>93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customHeight="1" x14ac:dyDescent="0.25">
      <c r="A321" s="54" t="s">
        <v>506</v>
      </c>
      <c r="B321" s="54" t="s">
        <v>507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8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509</v>
      </c>
      <c r="B322" s="54" t="s">
        <v>510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1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511</v>
      </c>
      <c r="B323" s="54" t="s">
        <v>512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8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514</v>
      </c>
      <c r="B324" s="54" t="s">
        <v>515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customHeight="1" x14ac:dyDescent="0.25">
      <c r="A327" s="558" t="s">
        <v>516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customHeight="1" x14ac:dyDescent="0.25">
      <c r="A328" s="54" t="s">
        <v>517</v>
      </c>
      <c r="B328" s="54" t="s">
        <v>518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519</v>
      </c>
      <c r="N328" s="33"/>
      <c r="O328" s="32">
        <v>730</v>
      </c>
      <c r="P328" s="56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521</v>
      </c>
      <c r="B329" s="54" t="s">
        <v>522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519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520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523</v>
      </c>
      <c r="B330" s="54" t="s">
        <v>524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519</v>
      </c>
      <c r="N330" s="33"/>
      <c r="O330" s="32">
        <v>730</v>
      </c>
      <c r="P330" s="7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520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9" t="s">
        <v>525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customHeight="1" x14ac:dyDescent="0.25">
      <c r="A334" s="558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customHeight="1" x14ac:dyDescent="0.25">
      <c r="A335" s="54" t="s">
        <v>526</v>
      </c>
      <c r="B335" s="54" t="s">
        <v>527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7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528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529</v>
      </c>
      <c r="B336" s="54" t="s">
        <v>530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0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531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532</v>
      </c>
      <c r="B337" s="54" t="s">
        <v>533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6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customHeight="1" x14ac:dyDescent="0.2">
      <c r="A340" s="632" t="s">
        <v>535</v>
      </c>
      <c r="B340" s="633"/>
      <c r="C340" s="633"/>
      <c r="D340" s="633"/>
      <c r="E340" s="633"/>
      <c r="F340" s="633"/>
      <c r="G340" s="633"/>
      <c r="H340" s="633"/>
      <c r="I340" s="633"/>
      <c r="J340" s="633"/>
      <c r="K340" s="633"/>
      <c r="L340" s="633"/>
      <c r="M340" s="633"/>
      <c r="N340" s="633"/>
      <c r="O340" s="633"/>
      <c r="P340" s="633"/>
      <c r="Q340" s="633"/>
      <c r="R340" s="633"/>
      <c r="S340" s="633"/>
      <c r="T340" s="633"/>
      <c r="U340" s="633"/>
      <c r="V340" s="633"/>
      <c r="W340" s="633"/>
      <c r="X340" s="633"/>
      <c r="Y340" s="633"/>
      <c r="Z340" s="633"/>
      <c r="AA340" s="48"/>
      <c r="AB340" s="48"/>
      <c r="AC340" s="48"/>
    </row>
    <row r="341" spans="1:68" ht="16.5" customHeight="1" x14ac:dyDescent="0.25">
      <c r="A341" s="559" t="s">
        <v>536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customHeight="1" x14ac:dyDescent="0.25">
      <c r="A342" s="558" t="s">
        <v>101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537</v>
      </c>
      <c r="B343" s="54" t="s">
        <v>538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4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0</v>
      </c>
      <c r="Y343" s="542">
        <f t="shared" ref="Y343:Y349" si="36">IFERROR(IF(X343="",0,CEILING((X343/$H343),1)*$H343),"")</f>
        <v>0</v>
      </c>
      <c r="Z343" s="36" t="str">
        <f>IFERROR(IF(Y343=0,"",ROUNDUP(Y343/H343,0)*0.02175),"")</f>
        <v/>
      </c>
      <c r="AA343" s="56"/>
      <c r="AB343" s="57"/>
      <c r="AC343" s="391" t="s">
        <v>539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0</v>
      </c>
      <c r="BN343" s="64">
        <f t="shared" ref="BN343:BN349" si="38">IFERROR(Y343*I343/H343,"0")</f>
        <v>0</v>
      </c>
      <c r="BO343" s="64">
        <f t="shared" ref="BO343:BO349" si="39">IFERROR(1/J343*(X343/H343),"0")</f>
        <v>0</v>
      </c>
      <c r="BP343" s="64">
        <f t="shared" ref="BP343:BP349" si="40">IFERROR(1/J343*(Y343/H343),"0")</f>
        <v>0</v>
      </c>
    </row>
    <row r="344" spans="1:68" ht="27" customHeight="1" x14ac:dyDescent="0.25">
      <c r="A344" s="54" t="s">
        <v>540</v>
      </c>
      <c r="B344" s="54" t="s">
        <v>541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15</v>
      </c>
      <c r="Y344" s="542">
        <f t="shared" si="36"/>
        <v>15</v>
      </c>
      <c r="Z344" s="36">
        <f>IFERROR(IF(Y344=0,"",ROUNDUP(Y344/H344,0)*0.02175),"")</f>
        <v>2.1749999999999999E-2</v>
      </c>
      <c r="AA344" s="56"/>
      <c r="AB344" s="57"/>
      <c r="AC344" s="393" t="s">
        <v>542</v>
      </c>
      <c r="AG344" s="64"/>
      <c r="AJ344" s="68"/>
      <c r="AK344" s="68">
        <v>0</v>
      </c>
      <c r="BB344" s="394" t="s">
        <v>1</v>
      </c>
      <c r="BM344" s="64">
        <f t="shared" si="37"/>
        <v>15.47</v>
      </c>
      <c r="BN344" s="64">
        <f t="shared" si="38"/>
        <v>15.47</v>
      </c>
      <c r="BO344" s="64">
        <f t="shared" si="39"/>
        <v>2.0833333333333332E-2</v>
      </c>
      <c r="BP344" s="64">
        <f t="shared" si="40"/>
        <v>2.0833333333333332E-2</v>
      </c>
    </row>
    <row r="345" spans="1:68" ht="37.5" customHeight="1" x14ac:dyDescent="0.25">
      <c r="A345" s="54" t="s">
        <v>543</v>
      </c>
      <c r="B345" s="54" t="s">
        <v>544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5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0</v>
      </c>
      <c r="Y345" s="542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545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546</v>
      </c>
      <c r="B346" s="54" t="s">
        <v>547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8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60</v>
      </c>
      <c r="Y346" s="542">
        <f t="shared" si="36"/>
        <v>60</v>
      </c>
      <c r="Z346" s="36">
        <f>IFERROR(IF(Y346=0,"",ROUNDUP(Y346/H346,0)*0.02175),"")</f>
        <v>8.6999999999999994E-2</v>
      </c>
      <c r="AA346" s="56"/>
      <c r="AB346" s="57"/>
      <c r="AC346" s="397" t="s">
        <v>548</v>
      </c>
      <c r="AG346" s="64"/>
      <c r="AJ346" s="68"/>
      <c r="AK346" s="68">
        <v>0</v>
      </c>
      <c r="BB346" s="398" t="s">
        <v>1</v>
      </c>
      <c r="BM346" s="64">
        <f t="shared" si="37"/>
        <v>61.88</v>
      </c>
      <c r="BN346" s="64">
        <f t="shared" si="38"/>
        <v>61.88</v>
      </c>
      <c r="BO346" s="64">
        <f t="shared" si="39"/>
        <v>8.3333333333333329E-2</v>
      </c>
      <c r="BP346" s="64">
        <f t="shared" si="40"/>
        <v>8.3333333333333329E-2</v>
      </c>
    </row>
    <row r="347" spans="1:68" ht="27" customHeight="1" x14ac:dyDescent="0.25">
      <c r="A347" s="54" t="s">
        <v>549</v>
      </c>
      <c r="B347" s="54" t="s">
        <v>550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552</v>
      </c>
      <c r="B348" s="54" t="s">
        <v>553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8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554</v>
      </c>
      <c r="B349" s="54" t="s">
        <v>555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1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545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5</v>
      </c>
      <c r="Y350" s="543">
        <f>IFERROR(Y343/H343,"0")+IFERROR(Y344/H344,"0")+IFERROR(Y345/H345,"0")+IFERROR(Y346/H346,"0")+IFERROR(Y347/H347,"0")+IFERROR(Y348/H348,"0")+IFERROR(Y349/H349,"0")</f>
        <v>5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0.10874999999999999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75</v>
      </c>
      <c r="Y351" s="543">
        <f>IFERROR(SUM(Y343:Y349),"0")</f>
        <v>75</v>
      </c>
      <c r="Z351" s="37"/>
      <c r="AA351" s="544"/>
      <c r="AB351" s="544"/>
      <c r="AC351" s="544"/>
    </row>
    <row r="352" spans="1:68" ht="14.25" customHeight="1" x14ac:dyDescent="0.25">
      <c r="A352" s="558" t="s">
        <v>136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556</v>
      </c>
      <c r="B353" s="54" t="s">
        <v>557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8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120</v>
      </c>
      <c r="Y353" s="542">
        <f>IFERROR(IF(X353="",0,CEILING((X353/$H353),1)*$H353),"")</f>
        <v>120</v>
      </c>
      <c r="Z353" s="36">
        <f>IFERROR(IF(Y353=0,"",ROUNDUP(Y353/H353,0)*0.02175),"")</f>
        <v>0.17399999999999999</v>
      </c>
      <c r="AA353" s="56"/>
      <c r="AB353" s="57"/>
      <c r="AC353" s="405" t="s">
        <v>558</v>
      </c>
      <c r="AG353" s="64"/>
      <c r="AJ353" s="68"/>
      <c r="AK353" s="68">
        <v>0</v>
      </c>
      <c r="BB353" s="406" t="s">
        <v>1</v>
      </c>
      <c r="BM353" s="64">
        <f>IFERROR(X353*I353/H353,"0")</f>
        <v>123.76</v>
      </c>
      <c r="BN353" s="64">
        <f>IFERROR(Y353*I353/H353,"0")</f>
        <v>123.76</v>
      </c>
      <c r="BO353" s="64">
        <f>IFERROR(1/J353*(X353/H353),"0")</f>
        <v>0.16666666666666666</v>
      </c>
      <c r="BP353" s="64">
        <f>IFERROR(1/J353*(Y353/H353),"0")</f>
        <v>0.16666666666666666</v>
      </c>
    </row>
    <row r="354" spans="1:68" ht="16.5" customHeight="1" x14ac:dyDescent="0.25">
      <c r="A354" s="54" t="s">
        <v>559</v>
      </c>
      <c r="B354" s="54" t="s">
        <v>560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558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8</v>
      </c>
      <c r="Y355" s="543">
        <f>IFERROR(Y353/H353,"0")+IFERROR(Y354/H354,"0")</f>
        <v>8</v>
      </c>
      <c r="Z355" s="543">
        <f>IFERROR(IF(Z353="",0,Z353),"0")+IFERROR(IF(Z354="",0,Z354),"0")</f>
        <v>0.17399999999999999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120</v>
      </c>
      <c r="Y356" s="543">
        <f>IFERROR(SUM(Y353:Y354),"0")</f>
        <v>120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customHeight="1" x14ac:dyDescent="0.25">
      <c r="A358" s="54" t="s">
        <v>561</v>
      </c>
      <c r="B358" s="54" t="s">
        <v>562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7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564</v>
      </c>
      <c r="B359" s="54" t="s">
        <v>565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8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58" t="s">
        <v>164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567</v>
      </c>
      <c r="B363" s="54" t="s">
        <v>568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customHeight="1" x14ac:dyDescent="0.25">
      <c r="A366" s="559" t="s">
        <v>570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customHeight="1" x14ac:dyDescent="0.25">
      <c r="A367" s="558" t="s">
        <v>101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customHeight="1" x14ac:dyDescent="0.25">
      <c r="A368" s="54" t="s">
        <v>571</v>
      </c>
      <c r="B368" s="54" t="s">
        <v>572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5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574</v>
      </c>
      <c r="B369" s="54" t="s">
        <v>575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customHeight="1" x14ac:dyDescent="0.25">
      <c r="A373" s="54" t="s">
        <v>576</v>
      </c>
      <c r="B373" s="54" t="s">
        <v>577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576</v>
      </c>
      <c r="B374" s="54" t="s">
        <v>579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0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5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583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customHeight="1" x14ac:dyDescent="0.2">
      <c r="A382" s="632" t="s">
        <v>586</v>
      </c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3"/>
      <c r="P382" s="633"/>
      <c r="Q382" s="633"/>
      <c r="R382" s="633"/>
      <c r="S382" s="633"/>
      <c r="T382" s="633"/>
      <c r="U382" s="633"/>
      <c r="V382" s="633"/>
      <c r="W382" s="633"/>
      <c r="X382" s="633"/>
      <c r="Y382" s="633"/>
      <c r="Z382" s="633"/>
      <c r="AA382" s="48"/>
      <c r="AB382" s="48"/>
      <c r="AC382" s="48"/>
    </row>
    <row r="383" spans="1:68" ht="16.5" customHeight="1" x14ac:dyDescent="0.25">
      <c r="A383" s="559" t="s">
        <v>587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8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588</v>
      </c>
      <c r="B385" s="54" t="s">
        <v>589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8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41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590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0</v>
      </c>
      <c r="BN385" s="64">
        <f t="shared" ref="BN385:BN393" si="43">IFERROR(Y385*I385/H385,"0")</f>
        <v>0</v>
      </c>
      <c r="BO385" s="64">
        <f t="shared" ref="BO385:BO393" si="44">IFERROR(1/J385*(X385/H385),"0")</f>
        <v>0</v>
      </c>
      <c r="BP385" s="64">
        <f t="shared" ref="BP385:BP393" si="45">IFERROR(1/J385*(Y385/H385),"0")</f>
        <v>0</v>
      </c>
    </row>
    <row r="386" spans="1:68" ht="27" customHeight="1" x14ac:dyDescent="0.25">
      <c r="A386" s="54" t="s">
        <v>591</v>
      </c>
      <c r="B386" s="54" t="s">
        <v>592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customHeight="1" x14ac:dyDescent="0.25">
      <c r="A387" s="54" t="s">
        <v>594</v>
      </c>
      <c r="B387" s="54" t="s">
        <v>595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597</v>
      </c>
      <c r="B388" s="54" t="s">
        <v>598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590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599</v>
      </c>
      <c r="B389" s="54" t="s">
        <v>600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41"/>
        <v>0</v>
      </c>
      <c r="Z389" s="36" t="str">
        <f t="shared" si="46"/>
        <v/>
      </c>
      <c r="AA389" s="56"/>
      <c r="AB389" s="57"/>
      <c r="AC389" s="435" t="s">
        <v>590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37.5" customHeight="1" x14ac:dyDescent="0.25">
      <c r="A390" s="54" t="s">
        <v>601</v>
      </c>
      <c r="B390" s="54" t="s">
        <v>602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customHeight="1" x14ac:dyDescent="0.25">
      <c r="A391" s="54" t="s">
        <v>604</v>
      </c>
      <c r="B391" s="54" t="s">
        <v>605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607</v>
      </c>
      <c r="B392" s="54" t="s">
        <v>608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customHeight="1" x14ac:dyDescent="0.25">
      <c r="A393" s="54" t="s">
        <v>610</v>
      </c>
      <c r="B393" s="54" t="s">
        <v>611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612</v>
      </c>
      <c r="B397" s="54" t="s">
        <v>613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6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614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615</v>
      </c>
      <c r="B398" s="54" t="s">
        <v>616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7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617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618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8" t="s">
        <v>136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619</v>
      </c>
      <c r="B403" s="54" t="s">
        <v>620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621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622</v>
      </c>
      <c r="B407" s="54" t="s">
        <v>623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61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624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625</v>
      </c>
      <c r="B408" s="54" t="s">
        <v>626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628</v>
      </c>
      <c r="B409" s="54" t="s">
        <v>629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631</v>
      </c>
      <c r="B410" s="54" t="s">
        <v>632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630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9" t="s">
        <v>633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8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634</v>
      </c>
      <c r="B415" s="54" t="s">
        <v>635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636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2" t="s">
        <v>637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48"/>
      <c r="AB418" s="48"/>
      <c r="AC418" s="48"/>
    </row>
    <row r="419" spans="1:68" ht="16.5" customHeight="1" x14ac:dyDescent="0.25">
      <c r="A419" s="559" t="s">
        <v>637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8" t="s">
        <v>101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638</v>
      </c>
      <c r="B421" s="54" t="s">
        <v>639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8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7">IFERROR(IF(X421="",0,CEILING((X421/$H421),1)*$H421),"")</f>
        <v>0</v>
      </c>
      <c r="Z421" s="36" t="str">
        <f t="shared" ref="Z421:Z426" si="48">IFERROR(IF(Y421=0,"",ROUNDUP(Y421/H421,0)*0.01196),"")</f>
        <v/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0</v>
      </c>
      <c r="BN421" s="64">
        <f t="shared" ref="BN421:BN431" si="50">IFERROR(Y421*I421/H421,"0")</f>
        <v>0</v>
      </c>
      <c r="BO421" s="64">
        <f t="shared" ref="BO421:BO431" si="51">IFERROR(1/J421*(X421/H421),"0")</f>
        <v>0</v>
      </c>
      <c r="BP421" s="64">
        <f t="shared" ref="BP421:BP431" si="52">IFERROR(1/J421*(Y421/H421),"0")</f>
        <v>0</v>
      </c>
    </row>
    <row r="422" spans="1:68" ht="27" customHeight="1" x14ac:dyDescent="0.25">
      <c r="A422" s="54" t="s">
        <v>640</v>
      </c>
      <c r="B422" s="54" t="s">
        <v>641</v>
      </c>
      <c r="C422" s="31">
        <v>4301012145</v>
      </c>
      <c r="D422" s="548">
        <v>4607091383522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/>
      <c r="M422" s="33" t="s">
        <v>106</v>
      </c>
      <c r="N422" s="33"/>
      <c r="O422" s="32">
        <v>60</v>
      </c>
      <c r="P422" s="67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7"/>
        <v>0</v>
      </c>
      <c r="Z422" s="36" t="str">
        <f t="shared" si="48"/>
        <v/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9"/>
        <v>0</v>
      </c>
      <c r="BN422" s="64">
        <f t="shared" si="50"/>
        <v>0</v>
      </c>
      <c r="BO422" s="64">
        <f t="shared" si="51"/>
        <v>0</v>
      </c>
      <c r="BP422" s="64">
        <f t="shared" si="52"/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4301011961</v>
      </c>
      <c r="D423" s="548">
        <v>4680115885271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646</v>
      </c>
      <c r="B424" s="54" t="s">
        <v>647</v>
      </c>
      <c r="C424" s="31">
        <v>4301011376</v>
      </c>
      <c r="D424" s="548">
        <v>4680115885226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7"/>
        <v>0</v>
      </c>
      <c r="Z424" s="36" t="str">
        <f t="shared" si="48"/>
        <v/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16.5" customHeight="1" x14ac:dyDescent="0.25">
      <c r="A425" s="54" t="s">
        <v>649</v>
      </c>
      <c r="B425" s="54" t="s">
        <v>650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652</v>
      </c>
      <c r="B426" s="54" t="s">
        <v>653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6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0</v>
      </c>
      <c r="Y426" s="542">
        <f t="shared" si="47"/>
        <v>0</v>
      </c>
      <c r="Z426" s="36" t="str">
        <f t="shared" si="48"/>
        <v/>
      </c>
      <c r="AA426" s="56"/>
      <c r="AB426" s="57"/>
      <c r="AC426" s="471" t="s">
        <v>654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655</v>
      </c>
      <c r="B427" s="54" t="s">
        <v>656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657</v>
      </c>
      <c r="B428" s="54" t="s">
        <v>658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6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659</v>
      </c>
      <c r="B429" s="54" t="s">
        <v>660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64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645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80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664</v>
      </c>
      <c r="B431" s="54" t="s">
        <v>665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66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654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0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0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0</v>
      </c>
      <c r="Y433" s="543">
        <f>IFERROR(SUM(Y421:Y431),"0")</f>
        <v>0</v>
      </c>
      <c r="Z433" s="37"/>
      <c r="AA433" s="544"/>
      <c r="AB433" s="544"/>
      <c r="AC433" s="544"/>
    </row>
    <row r="434" spans="1:68" ht="14.25" customHeight="1" x14ac:dyDescent="0.25">
      <c r="A434" s="558" t="s">
        <v>136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666</v>
      </c>
      <c r="B435" s="54" t="s">
        <v>667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668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669</v>
      </c>
      <c r="B436" s="54" t="s">
        <v>670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671</v>
      </c>
      <c r="B437" s="54" t="s">
        <v>672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668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673</v>
      </c>
      <c r="B441" s="54" t="s">
        <v>674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0</v>
      </c>
      <c r="Y441" s="542">
        <f t="shared" ref="Y441:Y446" si="53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675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0</v>
      </c>
      <c r="BN441" s="64">
        <f t="shared" ref="BN441:BN446" si="55">IFERROR(Y441*I441/H441,"0")</f>
        <v>0</v>
      </c>
      <c r="BO441" s="64">
        <f t="shared" ref="BO441:BO446" si="56">IFERROR(1/J441*(X441/H441),"0")</f>
        <v>0</v>
      </c>
      <c r="BP441" s="64">
        <f t="shared" ref="BP441:BP446" si="57">IFERROR(1/J441*(Y441/H441),"0")</f>
        <v>0</v>
      </c>
    </row>
    <row r="442" spans="1:68" ht="27" customHeight="1" x14ac:dyDescent="0.25">
      <c r="A442" s="54" t="s">
        <v>676</v>
      </c>
      <c r="B442" s="54" t="s">
        <v>677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0</v>
      </c>
      <c r="Y442" s="542">
        <f t="shared" si="53"/>
        <v>0</v>
      </c>
      <c r="Z442" s="36" t="str">
        <f>IFERROR(IF(Y442=0,"",ROUNDUP(Y442/H442,0)*0.01196),"")</f>
        <v/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0</v>
      </c>
      <c r="BN442" s="64">
        <f t="shared" si="55"/>
        <v>0</v>
      </c>
      <c r="BO442" s="64">
        <f t="shared" si="56"/>
        <v>0</v>
      </c>
      <c r="BP442" s="64">
        <f t="shared" si="57"/>
        <v>0</v>
      </c>
    </row>
    <row r="443" spans="1:68" ht="27" customHeight="1" x14ac:dyDescent="0.25">
      <c r="A443" s="54" t="s">
        <v>679</v>
      </c>
      <c r="B443" s="54" t="s">
        <v>680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30</v>
      </c>
      <c r="Y443" s="542">
        <f t="shared" si="53"/>
        <v>31.68</v>
      </c>
      <c r="Z443" s="36">
        <f>IFERROR(IF(Y443=0,"",ROUNDUP(Y443/H443,0)*0.01196),"")</f>
        <v>7.1760000000000004E-2</v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31.988636363636363</v>
      </c>
      <c r="BN443" s="64">
        <f t="shared" si="55"/>
        <v>33.779999999999994</v>
      </c>
      <c r="BO443" s="64">
        <f t="shared" si="56"/>
        <v>5.4632867132867136E-2</v>
      </c>
      <c r="BP443" s="64">
        <f t="shared" si="57"/>
        <v>5.7692307692307696E-2</v>
      </c>
    </row>
    <row r="444" spans="1:68" ht="27" customHeight="1" x14ac:dyDescent="0.25">
      <c r="A444" s="54" t="s">
        <v>682</v>
      </c>
      <c r="B444" s="54" t="s">
        <v>683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684</v>
      </c>
      <c r="B445" s="54" t="s">
        <v>685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686</v>
      </c>
      <c r="B446" s="54" t="s">
        <v>687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2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5.6818181818181817</v>
      </c>
      <c r="Y447" s="543">
        <f>IFERROR(Y441/H441,"0")+IFERROR(Y442/H442,"0")+IFERROR(Y443/H443,"0")+IFERROR(Y444/H444,"0")+IFERROR(Y445/H445,"0")+IFERROR(Y446/H446,"0")</f>
        <v>6</v>
      </c>
      <c r="Z447" s="543">
        <f>IFERROR(IF(Z441="",0,Z441),"0")+IFERROR(IF(Z442="",0,Z442),"0")+IFERROR(IF(Z443="",0,Z443),"0")+IFERROR(IF(Z444="",0,Z444),"0")+IFERROR(IF(Z445="",0,Z445),"0")+IFERROR(IF(Z446="",0,Z446),"0")</f>
        <v>7.1760000000000004E-2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30</v>
      </c>
      <c r="Y448" s="543">
        <f>IFERROR(SUM(Y441:Y446),"0")</f>
        <v>31.68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688</v>
      </c>
      <c r="B450" s="54" t="s">
        <v>689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68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691</v>
      </c>
      <c r="B451" s="54" t="s">
        <v>692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1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694</v>
      </c>
      <c r="B452" s="54" t="s">
        <v>695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2" t="s">
        <v>697</v>
      </c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3"/>
      <c r="P455" s="633"/>
      <c r="Q455" s="633"/>
      <c r="R455" s="633"/>
      <c r="S455" s="633"/>
      <c r="T455" s="633"/>
      <c r="U455" s="633"/>
      <c r="V455" s="633"/>
      <c r="W455" s="633"/>
      <c r="X455" s="633"/>
      <c r="Y455" s="633"/>
      <c r="Z455" s="633"/>
      <c r="AA455" s="48"/>
      <c r="AB455" s="48"/>
      <c r="AC455" s="48"/>
    </row>
    <row r="456" spans="1:68" ht="16.5" customHeight="1" x14ac:dyDescent="0.25">
      <c r="A456" s="559" t="s">
        <v>697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8" t="s">
        <v>101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698</v>
      </c>
      <c r="B458" s="54" t="s">
        <v>699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60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701</v>
      </c>
      <c r="B459" s="54" t="s">
        <v>702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3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704</v>
      </c>
      <c r="B460" s="54" t="s">
        <v>705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77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707</v>
      </c>
      <c r="B461" s="54" t="s">
        <v>708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76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700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8" t="s">
        <v>136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709</v>
      </c>
      <c r="B465" s="54" t="s">
        <v>710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712</v>
      </c>
      <c r="B466" s="54" t="s">
        <v>713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715</v>
      </c>
      <c r="B467" s="54" t="s">
        <v>716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66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718</v>
      </c>
      <c r="B471" s="54" t="s">
        <v>719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721</v>
      </c>
      <c r="B472" s="54" t="s">
        <v>722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4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724</v>
      </c>
      <c r="B476" s="54" t="s">
        <v>725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61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726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8" t="s">
        <v>164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727</v>
      </c>
      <c r="B480" s="54" t="s">
        <v>728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65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730</v>
      </c>
      <c r="B481" s="54" t="s">
        <v>731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733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8" t="s">
        <v>136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734</v>
      </c>
      <c r="B486" s="54" t="s">
        <v>735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2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736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2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0"/>
      <c r="P489" s="627" t="s">
        <v>737</v>
      </c>
      <c r="Q489" s="628"/>
      <c r="R489" s="628"/>
      <c r="S489" s="628"/>
      <c r="T489" s="628"/>
      <c r="U489" s="628"/>
      <c r="V489" s="629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296+X306+X313+X319+X326+X332+X339+X351+X356+X361+X365+X371+X376+X381+X395+X400+X405+X412+X417+X433+X439+X448+X454+X463+X469+X474+X478+X483+X488,"0")</f>
        <v>560</v>
      </c>
      <c r="Y489" s="543">
        <f>IFERROR(Y24+Y32+Y36+Y44+Y48+Y58+Y64+Y70+Y77+Y82+Y89+Y96+Y104+Y110+Y117+Y121+Y127+Y132+Y137+Y143+Y149+Y153+Y159+Y172+Y178+Y182+Y188+Y193+Y204+Y216+Y221+Y235+Y239+Y243+Y251+Y260+Y268+Y275+Y281+Y286+Y296+Y306+Y313+Y319+Y326+Y332+Y339+Y351+Y356+Y361+Y365+Y371+Y376+Y381+Y395+Y400+Y405+Y412+Y417+Y433+Y439+Y448+Y454+Y463+Y469+Y474+Y478+Y483+Y488,"0")</f>
        <v>591.9799999999999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0"/>
      <c r="P490" s="627" t="s">
        <v>738</v>
      </c>
      <c r="Q490" s="628"/>
      <c r="R490" s="628"/>
      <c r="S490" s="628"/>
      <c r="T490" s="628"/>
      <c r="U490" s="628"/>
      <c r="V490" s="629"/>
      <c r="W490" s="37" t="s">
        <v>69</v>
      </c>
      <c r="X490" s="543">
        <f>IFERROR(SUM(BM22:BM486),"0")</f>
        <v>583.29843520251575</v>
      </c>
      <c r="Y490" s="543">
        <f>IFERROR(SUM(BN22:BN486),"0")</f>
        <v>616.798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0"/>
      <c r="P491" s="627" t="s">
        <v>739</v>
      </c>
      <c r="Q491" s="628"/>
      <c r="R491" s="628"/>
      <c r="S491" s="628"/>
      <c r="T491" s="628"/>
      <c r="U491" s="628"/>
      <c r="V491" s="629"/>
      <c r="W491" s="37" t="s">
        <v>740</v>
      </c>
      <c r="X491" s="38">
        <f>ROUNDUP(SUM(BO22:BO486),0)</f>
        <v>1</v>
      </c>
      <c r="Y491" s="38">
        <f>ROUNDUP(SUM(BP22:BP486),0)</f>
        <v>1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0"/>
      <c r="P492" s="627" t="s">
        <v>741</v>
      </c>
      <c r="Q492" s="628"/>
      <c r="R492" s="628"/>
      <c r="S492" s="628"/>
      <c r="T492" s="628"/>
      <c r="U492" s="628"/>
      <c r="V492" s="629"/>
      <c r="W492" s="37" t="s">
        <v>69</v>
      </c>
      <c r="X492" s="543">
        <f>GrossWeightTotal+PalletQtyTotal*25</f>
        <v>608.29843520251575</v>
      </c>
      <c r="Y492" s="543">
        <f>GrossWeightTotalR+PalletQtyTotalR*25</f>
        <v>641.798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0"/>
      <c r="P493" s="627" t="s">
        <v>742</v>
      </c>
      <c r="Q493" s="628"/>
      <c r="R493" s="628"/>
      <c r="S493" s="628"/>
      <c r="T493" s="628"/>
      <c r="U493" s="628"/>
      <c r="V493" s="629"/>
      <c r="W493" s="37" t="s">
        <v>740</v>
      </c>
      <c r="X493" s="543">
        <f>IFERROR(X23+X31+X35+X43+X47+X57+X63+X69+X76+X81+X88+X95+X103+X109+X116+X120+X126+X131+X136+X142+X148+X152+X158+X171+X177+X181+X187+X192+X203+X215+X220+X234+X238+X242+X250+X259+X267+X274+X280+X285+X295+X305+X312+X318+X325+X331+X338+X350+X355+X360+X364+X370+X375+X380+X394+X399+X404+X411+X416+X432+X438+X447+X453+X462+X468+X473+X477+X482+X487,"0")</f>
        <v>56.028081964863574</v>
      </c>
      <c r="Y493" s="543">
        <f>IFERROR(Y23+Y31+Y35+Y43+Y47+Y57+Y63+Y69+Y76+Y81+Y88+Y95+Y103+Y109+Y116+Y120+Y126+Y131+Y136+Y142+Y148+Y152+Y158+Y171+Y177+Y181+Y187+Y192+Y203+Y215+Y220+Y234+Y238+Y242+Y250+Y259+Y267+Y274+Y280+Y285+Y295+Y305+Y312+Y318+Y325+Y331+Y338+Y350+Y355+Y360+Y364+Y370+Y375+Y380+Y394+Y399+Y404+Y411+Y416+Y432+Y438+Y447+Y453+Y462+Y468+Y473+Y477+Y482+Y487,"0")</f>
        <v>60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0"/>
      <c r="P494" s="627" t="s">
        <v>743</v>
      </c>
      <c r="Q494" s="628"/>
      <c r="R494" s="628"/>
      <c r="S494" s="628"/>
      <c r="T494" s="628"/>
      <c r="U494" s="628"/>
      <c r="V494" s="629"/>
      <c r="W494" s="39" t="s">
        <v>744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380+Z394+Z399+Z404+Z411+Z416+Z432+Z438+Z447+Z453+Z462+Z468+Z473+Z477+Z482+Z487,"0")</f>
        <v>1.0554399999999999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745</v>
      </c>
      <c r="B496" s="538" t="s">
        <v>63</v>
      </c>
      <c r="C496" s="592" t="s">
        <v>99</v>
      </c>
      <c r="D496" s="653"/>
      <c r="E496" s="653"/>
      <c r="F496" s="653"/>
      <c r="G496" s="653"/>
      <c r="H496" s="621"/>
      <c r="I496" s="592" t="s">
        <v>251</v>
      </c>
      <c r="J496" s="653"/>
      <c r="K496" s="653"/>
      <c r="L496" s="653"/>
      <c r="M496" s="653"/>
      <c r="N496" s="653"/>
      <c r="O496" s="653"/>
      <c r="P496" s="653"/>
      <c r="Q496" s="653"/>
      <c r="R496" s="621"/>
      <c r="S496" s="592" t="s">
        <v>535</v>
      </c>
      <c r="T496" s="621"/>
      <c r="U496" s="592" t="s">
        <v>586</v>
      </c>
      <c r="V496" s="653"/>
      <c r="W496" s="621"/>
      <c r="X496" s="538" t="s">
        <v>637</v>
      </c>
      <c r="Y496" s="592" t="s">
        <v>697</v>
      </c>
      <c r="Z496" s="621"/>
      <c r="AB496" s="52"/>
      <c r="AC496" s="52"/>
      <c r="AF496" s="539"/>
    </row>
    <row r="497" spans="1:32" ht="14.25" customHeight="1" thickTop="1" x14ac:dyDescent="0.2">
      <c r="A497" s="835" t="s">
        <v>746</v>
      </c>
      <c r="B497" s="592" t="s">
        <v>63</v>
      </c>
      <c r="C497" s="592" t="s">
        <v>100</v>
      </c>
      <c r="D497" s="592" t="s">
        <v>117</v>
      </c>
      <c r="E497" s="592" t="s">
        <v>171</v>
      </c>
      <c r="F497" s="592" t="s">
        <v>190</v>
      </c>
      <c r="G497" s="592" t="s">
        <v>220</v>
      </c>
      <c r="H497" s="592" t="s">
        <v>99</v>
      </c>
      <c r="I497" s="592" t="s">
        <v>252</v>
      </c>
      <c r="J497" s="592" t="s">
        <v>297</v>
      </c>
      <c r="K497" s="592" t="s">
        <v>356</v>
      </c>
      <c r="L497" s="592" t="s">
        <v>398</v>
      </c>
      <c r="M497" s="592" t="s">
        <v>414</v>
      </c>
      <c r="N497" s="539"/>
      <c r="O497" s="592" t="s">
        <v>425</v>
      </c>
      <c r="P497" s="592" t="s">
        <v>434</v>
      </c>
      <c r="Q497" s="592" t="s">
        <v>448</v>
      </c>
      <c r="R497" s="592" t="s">
        <v>525</v>
      </c>
      <c r="S497" s="592" t="s">
        <v>536</v>
      </c>
      <c r="T497" s="592" t="s">
        <v>570</v>
      </c>
      <c r="U497" s="592" t="s">
        <v>587</v>
      </c>
      <c r="V497" s="592" t="s">
        <v>618</v>
      </c>
      <c r="W497" s="592" t="s">
        <v>633</v>
      </c>
      <c r="X497" s="592" t="s">
        <v>637</v>
      </c>
      <c r="Y497" s="592" t="s">
        <v>697</v>
      </c>
      <c r="Z497" s="592" t="s">
        <v>733</v>
      </c>
      <c r="AB497" s="52"/>
      <c r="AC497" s="52"/>
      <c r="AF497" s="539"/>
    </row>
    <row r="498" spans="1:32" ht="13.5" customHeight="1" thickBot="1" x14ac:dyDescent="0.25">
      <c r="A498" s="836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747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21.6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75.600000000000009</v>
      </c>
      <c r="E499" s="46">
        <f>IFERROR(Y85*1,"0")+IFERROR(Y86*1,"0")+IFERROR(Y87*1,"0")+IFERROR(Y91*1,"0")+IFERROR(Y92*1,"0")+IFERROR(Y93*1,"0")+IFERROR(Y94*1,"0")</f>
        <v>0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24.299999999999997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12.600000000000001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11.6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219.60000000000005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195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31.68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NjhFMacLMi0AVFjGZRa+SZP76Rb5C31Y081Tyz5obz3cCvz/gvKe/ledQpFZd3mH3Bl2MfOkdInM9gcE4LVQ2w==" saltValue="zfU5jkX3/jVTN/5R86Nu5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X17:X18"/>
    <mergeCell ref="D408:E408"/>
    <mergeCell ref="P216:V216"/>
    <mergeCell ref="A8:C8"/>
    <mergeCell ref="P124:T124"/>
    <mergeCell ref="D293:E293"/>
    <mergeCell ref="A477:O478"/>
    <mergeCell ref="P151:T151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P296:V296"/>
    <mergeCell ref="P356:V356"/>
    <mergeCell ref="A468:O469"/>
    <mergeCell ref="P363:T363"/>
    <mergeCell ref="D344:E344"/>
    <mergeCell ref="D42:E42"/>
    <mergeCell ref="D471:E471"/>
    <mergeCell ref="V12:W12"/>
    <mergeCell ref="D191:E191"/>
    <mergeCell ref="D458:E458"/>
    <mergeCell ref="P368:T368"/>
    <mergeCell ref="A362:Z362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D291:E291"/>
    <mergeCell ref="D266:E266"/>
    <mergeCell ref="P174:T174"/>
    <mergeCell ref="U17:V17"/>
    <mergeCell ref="P410:T410"/>
    <mergeCell ref="P385:T385"/>
    <mergeCell ref="Y17:Y18"/>
    <mergeCell ref="A484:Z484"/>
    <mergeCell ref="A479:Z479"/>
    <mergeCell ref="D17:E18"/>
    <mergeCell ref="A487:O488"/>
    <mergeCell ref="P81:V81"/>
    <mergeCell ref="A33:Z33"/>
    <mergeCell ref="T497:T498"/>
    <mergeCell ref="D196:E196"/>
    <mergeCell ref="V497:V498"/>
    <mergeCell ref="A440:Z440"/>
    <mergeCell ref="A269:Z269"/>
    <mergeCell ref="A126:O127"/>
    <mergeCell ref="P294:T294"/>
    <mergeCell ref="P381:V381"/>
    <mergeCell ref="A262:Z262"/>
    <mergeCell ref="A333:Z333"/>
    <mergeCell ref="D54:E54"/>
    <mergeCell ref="D271:E271"/>
    <mergeCell ref="Q497:Q498"/>
    <mergeCell ref="G497:G498"/>
    <mergeCell ref="I497:I498"/>
    <mergeCell ref="P373:T373"/>
    <mergeCell ref="P202:T202"/>
    <mergeCell ref="P444:T444"/>
    <mergeCell ref="D421:E421"/>
    <mergeCell ref="A497:A498"/>
    <mergeCell ref="D170:E170"/>
    <mergeCell ref="P132:V132"/>
    <mergeCell ref="P72:T72"/>
    <mergeCell ref="A31:O32"/>
    <mergeCell ref="N17:N18"/>
    <mergeCell ref="P199:T199"/>
    <mergeCell ref="F17:F18"/>
    <mergeCell ref="Q5:R5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36:E336"/>
    <mergeCell ref="P293:T293"/>
    <mergeCell ref="D407:E407"/>
    <mergeCell ref="A447:O448"/>
    <mergeCell ref="Q6:R6"/>
    <mergeCell ref="P200:T200"/>
    <mergeCell ref="P134:T134"/>
    <mergeCell ref="AD17:AF18"/>
    <mergeCell ref="P142:V142"/>
    <mergeCell ref="D101:E101"/>
    <mergeCell ref="P117:V117"/>
    <mergeCell ref="F5:G5"/>
    <mergeCell ref="P365:V36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P146:T146"/>
    <mergeCell ref="A192:O193"/>
    <mergeCell ref="D279:E279"/>
    <mergeCell ref="A136:O137"/>
    <mergeCell ref="I496:R496"/>
    <mergeCell ref="W497:W498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D397:E397"/>
    <mergeCell ref="P376:V376"/>
    <mergeCell ref="D310:E310"/>
    <mergeCell ref="D430:E430"/>
    <mergeCell ref="P469:V469"/>
    <mergeCell ref="P486:T486"/>
    <mergeCell ref="D450:E450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P312:V312"/>
    <mergeCell ref="P371:V371"/>
    <mergeCell ref="P421:T421"/>
    <mergeCell ref="A411:O412"/>
    <mergeCell ref="P408:T408"/>
    <mergeCell ref="D218:E21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P465:T465"/>
    <mergeCell ref="D386:E386"/>
    <mergeCell ref="P250:V250"/>
    <mergeCell ref="A364:O365"/>
    <mergeCell ref="B497:B498"/>
    <mergeCell ref="P492:V492"/>
    <mergeCell ref="A103:O104"/>
    <mergeCell ref="S496:T496"/>
    <mergeCell ref="P415:T415"/>
    <mergeCell ref="P286:V286"/>
    <mergeCell ref="P336:T336"/>
    <mergeCell ref="P131:V131"/>
    <mergeCell ref="P187:V187"/>
    <mergeCell ref="A453:O454"/>
    <mergeCell ref="P494:V494"/>
    <mergeCell ref="P430:T430"/>
    <mergeCell ref="P350:V350"/>
    <mergeCell ref="A297:Z297"/>
    <mergeCell ref="P196:T196"/>
    <mergeCell ref="P281:V281"/>
    <mergeCell ref="P354:T354"/>
    <mergeCell ref="D226:E226"/>
    <mergeCell ref="D164:E164"/>
    <mergeCell ref="U497:U498"/>
    <mergeCell ref="L497:L498"/>
    <mergeCell ref="D389:E389"/>
    <mergeCell ref="A318:O319"/>
    <mergeCell ref="P47:V47"/>
    <mergeCell ref="P176:T176"/>
    <mergeCell ref="P247:T247"/>
    <mergeCell ref="P114:T114"/>
    <mergeCell ref="P241:T241"/>
    <mergeCell ref="P41:T41"/>
    <mergeCell ref="A455:Z455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C496:H496"/>
    <mergeCell ref="P112:T112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AB17:AB18"/>
    <mergeCell ref="A90:Z90"/>
    <mergeCell ref="D446:E446"/>
    <mergeCell ref="A277:Z277"/>
    <mergeCell ref="P44:V44"/>
    <mergeCell ref="H5:M5"/>
    <mergeCell ref="P31:V31"/>
    <mergeCell ref="P473:V473"/>
    <mergeCell ref="P158:V158"/>
    <mergeCell ref="A154:Z154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P460:T460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D441:E441"/>
    <mergeCell ref="P398:T398"/>
    <mergeCell ref="P227:T227"/>
    <mergeCell ref="D368:E368"/>
    <mergeCell ref="P106:T106"/>
    <mergeCell ref="D481:E481"/>
    <mergeCell ref="P226:T226"/>
    <mergeCell ref="P335:T335"/>
    <mergeCell ref="D256:E256"/>
    <mergeCell ref="D207:E207"/>
    <mergeCell ref="P164:T164"/>
    <mergeCell ref="P120:V120"/>
    <mergeCell ref="P93:T93"/>
    <mergeCell ref="D85:E85"/>
    <mergeCell ref="D299:E299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Z17:Z18"/>
    <mergeCell ref="P483:V483"/>
    <mergeCell ref="D298:E298"/>
    <mergeCell ref="P91:T91"/>
    <mergeCell ref="P404:V404"/>
    <mergeCell ref="D273:E273"/>
    <mergeCell ref="P468:V468"/>
    <mergeCell ref="A464:Z464"/>
    <mergeCell ref="A160:Z160"/>
    <mergeCell ref="P212:T212"/>
    <mergeCell ref="P405:V405"/>
    <mergeCell ref="A401:Z401"/>
    <mergeCell ref="A152:O153"/>
    <mergeCell ref="P171:V171"/>
    <mergeCell ref="P242:V242"/>
    <mergeCell ref="P121:V121"/>
    <mergeCell ref="D459:E459"/>
    <mergeCell ref="P148:V148"/>
    <mergeCell ref="P130:T130"/>
    <mergeCell ref="P190:T190"/>
    <mergeCell ref="P482:V482"/>
    <mergeCell ref="D225:E225"/>
    <mergeCell ref="P409:T409"/>
    <mergeCell ref="A399:O400"/>
    <mergeCell ref="D461:E461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P57:V57"/>
    <mergeCell ref="A81:O82"/>
    <mergeCell ref="D80:E80"/>
    <mergeCell ref="P46:T46"/>
    <mergeCell ref="P61:T61"/>
    <mergeCell ref="D200:E200"/>
    <mergeCell ref="P359:T359"/>
    <mergeCell ref="D436:E436"/>
    <mergeCell ref="A305:O306"/>
    <mergeCell ref="P346:T346"/>
    <mergeCell ref="D292:E292"/>
    <mergeCell ref="D227:E227"/>
    <mergeCell ref="P321:T321"/>
    <mergeCell ref="C497:C498"/>
    <mergeCell ref="D176:E176"/>
    <mergeCell ref="D114:E114"/>
    <mergeCell ref="E497:E498"/>
    <mergeCell ref="P220:V220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221:V221"/>
    <mergeCell ref="P326:V326"/>
    <mergeCell ref="P215:V215"/>
    <mergeCell ref="P393:T393"/>
    <mergeCell ref="D374:E374"/>
    <mergeCell ref="P232:T232"/>
    <mergeCell ref="P152:V152"/>
    <mergeCell ref="P330:T330"/>
    <mergeCell ref="D140:E140"/>
    <mergeCell ref="J9:M9"/>
    <mergeCell ref="A418:Z418"/>
    <mergeCell ref="D283:E283"/>
    <mergeCell ref="D112:E112"/>
    <mergeCell ref="D348:E348"/>
    <mergeCell ref="P141:T141"/>
    <mergeCell ref="P454:V454"/>
    <mergeCell ref="D62:E62"/>
    <mergeCell ref="D56:E56"/>
    <mergeCell ref="P206:T206"/>
    <mergeCell ref="P233:T233"/>
    <mergeCell ref="D347:E347"/>
    <mergeCell ref="P304:T304"/>
    <mergeCell ref="A38:Z38"/>
    <mergeCell ref="A340:Z340"/>
    <mergeCell ref="D425:E425"/>
    <mergeCell ref="D359:E359"/>
    <mergeCell ref="H17:H18"/>
    <mergeCell ref="A220:O221"/>
    <mergeCell ref="P161:T161"/>
    <mergeCell ref="P388:T388"/>
    <mergeCell ref="V6:W9"/>
    <mergeCell ref="G17:G18"/>
    <mergeCell ref="P125:T125"/>
    <mergeCell ref="A470:Z470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A285:O286"/>
    <mergeCell ref="P211:T211"/>
    <mergeCell ref="P309:T309"/>
    <mergeCell ref="P324:T324"/>
    <mergeCell ref="A261:Z261"/>
    <mergeCell ref="P338:V338"/>
    <mergeCell ref="P313:V313"/>
    <mergeCell ref="A138:Z138"/>
    <mergeCell ref="D87:E87"/>
    <mergeCell ref="A367:Z367"/>
    <mergeCell ref="P115:T115"/>
    <mergeCell ref="D254:E254"/>
    <mergeCell ref="A183:Z183"/>
    <mergeCell ref="A88:O89"/>
    <mergeCell ref="D346:E346"/>
    <mergeCell ref="T5:U5"/>
    <mergeCell ref="D119:E119"/>
    <mergeCell ref="D190:E190"/>
    <mergeCell ref="P374:T374"/>
    <mergeCell ref="D246:E246"/>
    <mergeCell ref="D46:E46"/>
    <mergeCell ref="V5:W5"/>
    <mergeCell ref="D40:E40"/>
    <mergeCell ref="A295:O296"/>
    <mergeCell ref="D233:E233"/>
    <mergeCell ref="Q8:R8"/>
    <mergeCell ref="P311:T311"/>
    <mergeCell ref="P140:T140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149:V149"/>
    <mergeCell ref="A139:Z139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Y497:Y498"/>
    <mergeCell ref="P447:V447"/>
    <mergeCell ref="P387:T387"/>
    <mergeCell ref="A406:Z406"/>
    <mergeCell ref="D422:E422"/>
    <mergeCell ref="P360:V360"/>
    <mergeCell ref="D74:E74"/>
    <mergeCell ref="D130:E130"/>
    <mergeCell ref="P87:T87"/>
    <mergeCell ref="P451:T451"/>
    <mergeCell ref="D335:E335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P51:T51"/>
    <mergeCell ref="P26:T26"/>
    <mergeCell ref="P58:V58"/>
    <mergeCell ref="A13:M13"/>
    <mergeCell ref="D61:E61"/>
    <mergeCell ref="A15:M15"/>
    <mergeCell ref="P229:T229"/>
    <mergeCell ref="A133:Z133"/>
    <mergeCell ref="D125:E125"/>
    <mergeCell ref="P201:T201"/>
    <mergeCell ref="A35:O36"/>
    <mergeCell ref="D22:E22"/>
    <mergeCell ref="P34:T34"/>
    <mergeCell ref="P63:V63"/>
    <mergeCell ref="M17:M18"/>
    <mergeCell ref="D460:E460"/>
    <mergeCell ref="P210:T210"/>
    <mergeCell ref="P439:V439"/>
    <mergeCell ref="D398:E398"/>
    <mergeCell ref="A438:O439"/>
    <mergeCell ref="P433:V433"/>
    <mergeCell ref="P308:T308"/>
    <mergeCell ref="A267:O268"/>
    <mergeCell ref="A69:O70"/>
    <mergeCell ref="P185:T185"/>
    <mergeCell ref="D106:E106"/>
    <mergeCell ref="P427:T427"/>
    <mergeCell ref="P283:T283"/>
    <mergeCell ref="D264:E264"/>
    <mergeCell ref="D93:E93"/>
    <mergeCell ref="D391:E391"/>
    <mergeCell ref="P370:V370"/>
    <mergeCell ref="A394:O395"/>
    <mergeCell ref="D328:E328"/>
    <mergeCell ref="D157:E157"/>
    <mergeCell ref="P136:V136"/>
    <mergeCell ref="A253:Z253"/>
    <mergeCell ref="A419:Z419"/>
    <mergeCell ref="P446:T446"/>
    <mergeCell ref="D52:E52"/>
    <mergeCell ref="P110:V110"/>
    <mergeCell ref="D27:E27"/>
    <mergeCell ref="A338:O339"/>
    <mergeCell ref="P208:T208"/>
    <mergeCell ref="P15:T16"/>
    <mergeCell ref="P450:T450"/>
    <mergeCell ref="A325:O326"/>
    <mergeCell ref="P219:T219"/>
    <mergeCell ref="D91:E91"/>
    <mergeCell ref="D162:E162"/>
    <mergeCell ref="P272:T272"/>
    <mergeCell ref="O17:O18"/>
    <mergeCell ref="P102:T102"/>
    <mergeCell ref="P62:T62"/>
    <mergeCell ref="P436:T436"/>
    <mergeCell ref="P292:T292"/>
    <mergeCell ref="A360:O361"/>
    <mergeCell ref="D102:E102"/>
    <mergeCell ref="P23:V23"/>
    <mergeCell ref="A5:C5"/>
    <mergeCell ref="P412:V412"/>
    <mergeCell ref="P64:V64"/>
    <mergeCell ref="A485:Z485"/>
    <mergeCell ref="D337:E337"/>
    <mergeCell ref="D166:E166"/>
    <mergeCell ref="P195:T195"/>
    <mergeCell ref="P364:V364"/>
    <mergeCell ref="P300:T300"/>
    <mergeCell ref="A189:Z189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D26:E26"/>
    <mergeCell ref="P403:T403"/>
    <mergeCell ref="P378:T378"/>
    <mergeCell ref="D324:E324"/>
    <mergeCell ref="A259:O260"/>
    <mergeCell ref="D311:E311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246:T246"/>
    <mergeCell ref="A43:O44"/>
    <mergeCell ref="D390:E390"/>
    <mergeCell ref="A123:Z123"/>
    <mergeCell ref="P491:V491"/>
    <mergeCell ref="P127:V127"/>
    <mergeCell ref="F9:G9"/>
    <mergeCell ref="P53:T53"/>
    <mergeCell ref="D167:E167"/>
    <mergeCell ref="P422:T422"/>
    <mergeCell ref="P289:T289"/>
    <mergeCell ref="D403:E403"/>
    <mergeCell ref="D232:E232"/>
    <mergeCell ref="Z497:Z498"/>
    <mergeCell ref="P497:P498"/>
    <mergeCell ref="A402:Z402"/>
    <mergeCell ref="D229:E229"/>
    <mergeCell ref="R497:R498"/>
    <mergeCell ref="D108:E108"/>
    <mergeCell ref="P429:T429"/>
    <mergeCell ref="P258:T258"/>
    <mergeCell ref="D369:E369"/>
    <mergeCell ref="P423:T423"/>
    <mergeCell ref="P481:T481"/>
    <mergeCell ref="D141:E141"/>
    <mergeCell ref="D135:E135"/>
    <mergeCell ref="P203:V203"/>
    <mergeCell ref="P295:V295"/>
    <mergeCell ref="P178:V178"/>
    <mergeCell ref="A177:O178"/>
    <mergeCell ref="P463:V463"/>
    <mergeCell ref="P267:V267"/>
    <mergeCell ref="D161:E161"/>
    <mergeCell ref="P238:V238"/>
    <mergeCell ref="P264:T264"/>
    <mergeCell ref="A312:O313"/>
    <mergeCell ref="P353:T353"/>
    <mergeCell ref="D169:E169"/>
    <mergeCell ref="D1:F1"/>
    <mergeCell ref="P466:T466"/>
    <mergeCell ref="A71:Z71"/>
    <mergeCell ref="P488:V488"/>
    <mergeCell ref="A307:Z307"/>
    <mergeCell ref="J17:J18"/>
    <mergeCell ref="L17:L18"/>
    <mergeCell ref="A184:Z184"/>
    <mergeCell ref="A244:Z244"/>
    <mergeCell ref="P426:T426"/>
    <mergeCell ref="P255:T255"/>
    <mergeCell ref="A342:Z342"/>
    <mergeCell ref="P48:V48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A482:O483"/>
    <mergeCell ref="A416:O417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P337:T337"/>
    <mergeCell ref="D209:E209"/>
    <mergeCell ref="A282:Z282"/>
    <mergeCell ref="P188:V188"/>
    <mergeCell ref="A187:O188"/>
    <mergeCell ref="D445:E445"/>
    <mergeCell ref="D245:E245"/>
    <mergeCell ref="D301:E301"/>
    <mergeCell ref="P166:T166"/>
    <mergeCell ref="D147:E147"/>
    <mergeCell ref="D224:E224"/>
    <mergeCell ref="P230:T230"/>
    <mergeCell ref="D211:E211"/>
    <mergeCell ref="P168:T168"/>
    <mergeCell ref="P490:V490"/>
    <mergeCell ref="D329:E329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354:E354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P182:V182"/>
    <mergeCell ref="H497:H498"/>
    <mergeCell ref="A473:O474"/>
    <mergeCell ref="D289:E289"/>
    <mergeCell ref="J497:J498"/>
    <mergeCell ref="P159:V159"/>
    <mergeCell ref="P395:V395"/>
    <mergeCell ref="P209:T209"/>
    <mergeCell ref="P147:T147"/>
    <mergeCell ref="P445:T445"/>
    <mergeCell ref="A434:Z434"/>
    <mergeCell ref="P332:V332"/>
    <mergeCell ref="A384:Z384"/>
    <mergeCell ref="A331:O332"/>
    <mergeCell ref="A449:Z449"/>
    <mergeCell ref="P325:V325"/>
    <mergeCell ref="A150:Z150"/>
    <mergeCell ref="D378:E378"/>
    <mergeCell ref="P458:T458"/>
    <mergeCell ref="P487:V487"/>
    <mergeCell ref="P476:T476"/>
    <mergeCell ref="P407:T407"/>
    <mergeCell ref="P471:T471"/>
    <mergeCell ref="X497:X498"/>
    <mergeCell ref="A475:Z475"/>
    <mergeCell ref="V10:W10"/>
    <mergeCell ref="D431:E431"/>
    <mergeCell ref="P99:T99"/>
    <mergeCell ref="P170:T170"/>
    <mergeCell ref="P316:T316"/>
    <mergeCell ref="P145:T145"/>
    <mergeCell ref="D66:E66"/>
    <mergeCell ref="P443:T443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D316:E316"/>
    <mergeCell ref="P273:T273"/>
    <mergeCell ref="B17:B18"/>
    <mergeCell ref="P143:V143"/>
    <mergeCell ref="A171:O172"/>
    <mergeCell ref="D258:E258"/>
    <mergeCell ref="P235:V235"/>
    <mergeCell ref="P477:V477"/>
    <mergeCell ref="D124:E124"/>
    <mergeCell ref="P56:T56"/>
    <mergeCell ref="D195:E195"/>
    <mergeCell ref="P379:T379"/>
    <mergeCell ref="P462:V462"/>
    <mergeCell ref="A105:Z105"/>
    <mergeCell ref="P52:T52"/>
    <mergeCell ref="I17:I18"/>
    <mergeCell ref="D72:E72"/>
    <mergeCell ref="P68:T68"/>
    <mergeCell ref="P204:V204"/>
    <mergeCell ref="P82:V82"/>
    <mergeCell ref="P303:T303"/>
    <mergeCell ref="A357:Z357"/>
    <mergeCell ref="D330:E330"/>
    <mergeCell ref="P181:V181"/>
    <mergeCell ref="A98:Z98"/>
    <mergeCell ref="A396:Z396"/>
    <mergeCell ref="D486:E486"/>
    <mergeCell ref="P86:T86"/>
    <mergeCell ref="P328:T328"/>
    <mergeCell ref="P213:T213"/>
    <mergeCell ref="P157:T157"/>
    <mergeCell ref="D134:E134"/>
    <mergeCell ref="P249:T249"/>
    <mergeCell ref="D363:E363"/>
    <mergeCell ref="R1:T1"/>
    <mergeCell ref="A158:O159"/>
    <mergeCell ref="P28:T28"/>
    <mergeCell ref="P392:T392"/>
    <mergeCell ref="P386:T386"/>
    <mergeCell ref="P165:T165"/>
    <mergeCell ref="P400:V400"/>
    <mergeCell ref="D73:E73"/>
    <mergeCell ref="P77:V77"/>
    <mergeCell ref="P30:T30"/>
    <mergeCell ref="A76:O77"/>
    <mergeCell ref="P375:V375"/>
    <mergeCell ref="P290:T290"/>
    <mergeCell ref="P452:T452"/>
    <mergeCell ref="P448:V448"/>
    <mergeCell ref="A234:O235"/>
    <mergeCell ref="D472:E472"/>
    <mergeCell ref="A352:Z352"/>
    <mergeCell ref="D410:E410"/>
    <mergeCell ref="A276:Z276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259:V259"/>
    <mergeCell ref="P88:V88"/>
    <mergeCell ref="A78:Z78"/>
    <mergeCell ref="P153:V153"/>
    <mergeCell ref="A205:Z205"/>
    <mergeCell ref="A350:O351"/>
    <mergeCell ref="P391:T391"/>
    <mergeCell ref="D263:E263"/>
    <mergeCell ref="A65:Z65"/>
    <mergeCell ref="P79:T79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D426:E426"/>
    <mergeCell ref="A63:O64"/>
    <mergeCell ref="P306:V306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5 X147 X161 X163:X164 X166 X168 X186 X195:X200 X202 X208:X214 X218 X227 X232 X254 X256 X258 X273 X283 X290:X291 X293:X294 X298:X299 X301:X302 X304 X308 X311 X315:X317 X324 X335:X337 X349 X358:X359 X368:X369 X373 X378:X379 X385 X387 X397:X398 X407 X421 X423:X424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NvGA1ffhtuTHDBr1gTaPeBNals08gBHrJnT+1rugpBzaNS7JgQ5aJK5LofGyOWT3UTo00B4doQxzch74YseIEw==" saltValue="IqqHN+MglwBB/YjfUeR2v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2025-11-25T09:25:36Z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