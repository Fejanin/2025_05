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4319472-0E13-41AA-B663-30CC81D81F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57" i="1" l="1"/>
  <c r="Z31" i="1"/>
  <c r="Y31" i="1"/>
  <c r="Y493" i="1" s="1"/>
  <c r="Y43" i="1"/>
  <c r="Y58" i="1"/>
  <c r="Y64" i="1"/>
  <c r="Y69" i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281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Y490" i="1" s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1" i="1" s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Z172" i="1" s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204" i="1"/>
  <c r="Z178" i="1"/>
  <c r="Z394" i="1"/>
  <c r="Y489" i="1"/>
  <c r="Z438" i="1"/>
  <c r="Z447" i="1"/>
  <c r="Z432" i="1"/>
  <c r="Z305" i="1"/>
  <c r="Z295" i="1"/>
  <c r="Z312" i="1"/>
  <c r="Z63" i="1"/>
  <c r="Z494" i="1" s="1"/>
  <c r="X492" i="1"/>
  <c r="Z268" i="1"/>
  <c r="Z260" i="1"/>
  <c r="Z251" i="1"/>
</calcChain>
</file>

<file path=xl/sharedStrings.xml><?xml version="1.0" encoding="utf-8"?>
<sst xmlns="http://schemas.openxmlformats.org/spreadsheetml/2006/main" count="2322" uniqueCount="767">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</sst>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13.5</v>
      </c>
      <c r="Y56" s="542">
        <f t="shared" si="0"/>
        <v>13.5</v>
      </c>
      <c r="Z56" s="36">
        <f>IFERROR(IF(Y56=0,"",ROUNDUP(Y56/H56,0)*0.00902),"")</f>
        <v>2.7060000000000001E-2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14.07</v>
      </c>
      <c r="BN56" s="64">
        <f t="shared" si="2"/>
        <v>14.07</v>
      </c>
      <c r="BO56" s="64">
        <f t="shared" si="3"/>
        <v>2.2727272727272728E-2</v>
      </c>
      <c r="BP56" s="64">
        <f t="shared" si="4"/>
        <v>2.2727272727272728E-2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3</v>
      </c>
      <c r="Y57" s="543">
        <f>IFERROR(Y51/H51,"0")+IFERROR(Y52/H52,"0")+IFERROR(Y53/H53,"0")+IFERROR(Y54/H54,"0")+IFERROR(Y55/H55,"0")+IFERROR(Y56/H56,"0")</f>
        <v>3</v>
      </c>
      <c r="Z57" s="543">
        <f>IFERROR(IF(Z51="",0,Z51),"0")+IFERROR(IF(Z52="",0,Z52),"0")+IFERROR(IF(Z53="",0,Z53),"0")+IFERROR(IF(Z54="",0,Z54),"0")+IFERROR(IF(Z55="",0,Z55),"0")+IFERROR(IF(Z56="",0,Z56),"0")</f>
        <v>2.7060000000000001E-2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13.5</v>
      </c>
      <c r="Y58" s="543">
        <f>IFERROR(SUM(Y51:Y56),"0")</f>
        <v>13.5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45</v>
      </c>
      <c r="Y93" s="542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41.358024691358025</v>
      </c>
      <c r="Y95" s="543">
        <f>IFERROR(Y91/H91,"0")+IFERROR(Y92/H92,"0")+IFERROR(Y93/H93,"0")+IFERROR(Y94/H94,"0")</f>
        <v>42</v>
      </c>
      <c r="Z95" s="543">
        <f>IFERROR(IF(Z91="",0,Z91),"0")+IFERROR(IF(Z92="",0,Z92),"0")+IFERROR(IF(Z93="",0,Z93),"0")+IFERROR(IF(Z94="",0,Z94),"0")</f>
        <v>0.58517000000000008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245</v>
      </c>
      <c r="Y96" s="543">
        <f>IFERROR(SUM(Y91:Y94),"0")</f>
        <v>248.4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150</v>
      </c>
      <c r="Y99" s="542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155.69444444444446</v>
      </c>
      <c r="BN99" s="64">
        <f>IFERROR(Y99*I99/H99,"0")</f>
        <v>156.94</v>
      </c>
      <c r="BO99" s="64">
        <f>IFERROR(1/J99*(X99/H99),"0")</f>
        <v>0.21701388888888887</v>
      </c>
      <c r="BP99" s="64">
        <f>IFERROR(1/J99*(Y99/H99),"0")</f>
        <v>0.21875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13.888888888888888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0.26572000000000001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150</v>
      </c>
      <c r="Y104" s="543">
        <f>IFERROR(SUM(Y99:Y102),"0")</f>
        <v>151.20000000000002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54</v>
      </c>
      <c r="Y114" s="542">
        <f>IFERROR(IF(X114="",0,CEILING((X114/$H114),1)*$H114),"")</f>
        <v>54</v>
      </c>
      <c r="Z114" s="36">
        <f>IFERROR(IF(Y114=0,"",ROUNDUP(Y114/H114,0)*0.00651),"")</f>
        <v>0.13020000000000001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59.039999999999992</v>
      </c>
      <c r="BN114" s="64">
        <f>IFERROR(Y114*I114/H114,"0")</f>
        <v>59.039999999999992</v>
      </c>
      <c r="BO114" s="64">
        <f>IFERROR(1/J114*(X114/H114),"0")</f>
        <v>0.1098901098901099</v>
      </c>
      <c r="BP114" s="64">
        <f>IFERROR(1/J114*(Y114/H114),"0")</f>
        <v>0.1098901098901099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20</v>
      </c>
      <c r="Y116" s="543">
        <f>IFERROR(Y112/H112,"0")+IFERROR(Y113/H113,"0")+IFERROR(Y114/H114,"0")+IFERROR(Y115/H115,"0")</f>
        <v>20</v>
      </c>
      <c r="Z116" s="543">
        <f>IFERROR(IF(Z112="",0,Z112),"0")+IFERROR(IF(Z113="",0,Z113),"0")+IFERROR(IF(Z114="",0,Z114),"0")+IFERROR(IF(Z115="",0,Z115),"0")</f>
        <v>0.13020000000000001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54</v>
      </c>
      <c r="Y117" s="543">
        <f>IFERROR(SUM(Y112:Y115),"0")</f>
        <v>54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170</v>
      </c>
      <c r="Y163" s="542">
        <f t="shared" si="5"/>
        <v>172.20000000000002</v>
      </c>
      <c r="Z163" s="36">
        <f>IFERROR(IF(Y163=0,"",ROUNDUP(Y163/H163,0)*0.00902),"")</f>
        <v>0.36982000000000004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180.11904761904762</v>
      </c>
      <c r="BN163" s="64">
        <f t="shared" si="7"/>
        <v>182.45000000000002</v>
      </c>
      <c r="BO163" s="64">
        <f t="shared" si="8"/>
        <v>0.30663780663780665</v>
      </c>
      <c r="BP163" s="64">
        <f t="shared" si="9"/>
        <v>0.31060606060606061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40.476190476190474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41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0.36982000000000004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170</v>
      </c>
      <c r="Y173" s="543">
        <f>IFERROR(SUM(Y162:Y171),"0")</f>
        <v>172.20000000000002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72</v>
      </c>
      <c r="Y212" s="542">
        <f t="shared" si="15"/>
        <v>72</v>
      </c>
      <c r="Z212" s="36">
        <f t="shared" si="20"/>
        <v>0.1953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79.560000000000016</v>
      </c>
      <c r="BN212" s="64">
        <f t="shared" si="17"/>
        <v>79.560000000000016</v>
      </c>
      <c r="BO212" s="64">
        <f t="shared" si="18"/>
        <v>0.16483516483516486</v>
      </c>
      <c r="BP212" s="64">
        <f t="shared" si="19"/>
        <v>0.16483516483516486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30</v>
      </c>
      <c r="Y216" s="543">
        <f>IFERROR(Y207/H207,"0")+IFERROR(Y208/H208,"0")+IFERROR(Y209/H209,"0")+IFERROR(Y210/H210,"0")+IFERROR(Y211/H211,"0")+IFERROR(Y212/H212,"0")+IFERROR(Y213/H213,"0")+IFERROR(Y214/H214,"0")+IFERROR(Y215/H215,"0")</f>
        <v>30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0.1953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72</v>
      </c>
      <c r="Y217" s="543">
        <f>IFERROR(SUM(Y207:Y215),"0")</f>
        <v>72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130</v>
      </c>
      <c r="Y298" s="542">
        <f t="shared" ref="Y298:Y304" si="26">IFERROR(IF(X298="",0,CEILING((X298/$H298),1)*$H298),"")</f>
        <v>130.20000000000002</v>
      </c>
      <c r="Z298" s="36">
        <f>IFERROR(IF(Y298=0,"",ROUNDUP(Y298/H298,0)*0.00902),"")</f>
        <v>0.27961999999999998</v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137.73809523809524</v>
      </c>
      <c r="BN298" s="64">
        <f t="shared" ref="BN298:BN304" si="28">IFERROR(Y298*I298/H298,"0")</f>
        <v>137.95000000000002</v>
      </c>
      <c r="BO298" s="64">
        <f t="shared" ref="BO298:BO304" si="29">IFERROR(1/J298*(X298/H298),"0")</f>
        <v>0.23448773448773449</v>
      </c>
      <c r="BP298" s="64">
        <f t="shared" ref="BP298:BP304" si="30">IFERROR(1/J298*(Y298/H298),"0")</f>
        <v>0.23484848484848489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30.952380952380953</v>
      </c>
      <c r="Y305" s="543">
        <f>IFERROR(Y298/H298,"0")+IFERROR(Y299/H299,"0")+IFERROR(Y300/H300,"0")+IFERROR(Y301/H301,"0")+IFERROR(Y302/H302,"0")+IFERROR(Y303/H303,"0")+IFERROR(Y304/H304,"0")</f>
        <v>31.000000000000004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0.27961999999999998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130</v>
      </c>
      <c r="Y306" s="543">
        <f>IFERROR(SUM(Y298:Y304),"0")</f>
        <v>130.20000000000002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270</v>
      </c>
      <c r="Y315" s="542">
        <f>IFERROR(IF(X315="",0,CEILING((X315/$H315),1)*$H315),"")</f>
        <v>277.2</v>
      </c>
      <c r="Z315" s="36">
        <f>IFERROR(IF(Y315=0,"",ROUNDUP(Y315/H315,0)*0.01898),"")</f>
        <v>0.62634000000000001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285.87857142857143</v>
      </c>
      <c r="BN315" s="64">
        <f>IFERROR(Y315*I315/H315,"0")</f>
        <v>293.50200000000001</v>
      </c>
      <c r="BO315" s="64">
        <f>IFERROR(1/J315*(X315/H315),"0")</f>
        <v>0.50223214285714279</v>
      </c>
      <c r="BP315" s="64">
        <f>IFERROR(1/J315*(Y315/H315),"0")</f>
        <v>0.515625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32.142857142857139</v>
      </c>
      <c r="Y318" s="543">
        <f>IFERROR(Y315/H315,"0")+IFERROR(Y316/H316,"0")+IFERROR(Y317/H317,"0")</f>
        <v>33</v>
      </c>
      <c r="Z318" s="543">
        <f>IFERROR(IF(Z315="",0,Z315),"0")+IFERROR(IF(Z316="",0,Z316),"0")+IFERROR(IF(Z317="",0,Z317),"0")</f>
        <v>0.62634000000000001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270</v>
      </c>
      <c r="Y319" s="543">
        <f>IFERROR(SUM(Y315:Y317),"0")</f>
        <v>277.2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2000</v>
      </c>
      <c r="Y343" s="542">
        <f t="shared" ref="Y343:Y349" si="31">IFERROR(IF(X343="",0,CEILING((X343/$H343),1)*$H343),"")</f>
        <v>2010</v>
      </c>
      <c r="Z343" s="36">
        <f>IFERROR(IF(Y343=0,"",ROUNDUP(Y343/H343,0)*0.02175),"")</f>
        <v>2.9144999999999999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2062.6666666666665</v>
      </c>
      <c r="BN343" s="64">
        <f t="shared" ref="BN343:BN349" si="33">IFERROR(Y343*I343/H343,"0")</f>
        <v>2072.98</v>
      </c>
      <c r="BO343" s="64">
        <f t="shared" ref="BO343:BO349" si="34">IFERROR(1/J343*(X343/H343),"0")</f>
        <v>2.7777777777777777</v>
      </c>
      <c r="BP343" s="64">
        <f t="shared" ref="BP343:BP349" si="35">IFERROR(1/J343*(Y343/H343),"0")</f>
        <v>2.7916666666666665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1500</v>
      </c>
      <c r="Y346" s="542">
        <f t="shared" si="31"/>
        <v>1500</v>
      </c>
      <c r="Z346" s="36">
        <f>IFERROR(IF(Y346=0,"",ROUNDUP(Y346/H346,0)*0.02175),"")</f>
        <v>2.1749999999999998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1547</v>
      </c>
      <c r="BN346" s="64">
        <f t="shared" si="33"/>
        <v>1547</v>
      </c>
      <c r="BO346" s="64">
        <f t="shared" si="34"/>
        <v>2.083333333333333</v>
      </c>
      <c r="BP346" s="64">
        <f t="shared" si="35"/>
        <v>2.083333333333333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233.33333333333334</v>
      </c>
      <c r="Y350" s="543">
        <f>IFERROR(Y343/H343,"0")+IFERROR(Y344/H344,"0")+IFERROR(Y345/H345,"0")+IFERROR(Y346/H346,"0")+IFERROR(Y347/H347,"0")+IFERROR(Y348/H348,"0")+IFERROR(Y349/H349,"0")</f>
        <v>234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5.0894999999999992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3500</v>
      </c>
      <c r="Y351" s="543">
        <f>IFERROR(SUM(Y343:Y349),"0")</f>
        <v>3510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200</v>
      </c>
      <c r="Y359" s="542">
        <f>IFERROR(IF(X359="",0,CEILING((X359/$H359),1)*$H359),"")</f>
        <v>207</v>
      </c>
      <c r="Z359" s="36">
        <f>IFERROR(IF(Y359=0,"",ROUNDUP(Y359/H359,0)*0.01898),"")</f>
        <v>0.43653999999999998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210.97777777777776</v>
      </c>
      <c r="BN359" s="64">
        <f>IFERROR(Y359*I359/H359,"0")</f>
        <v>218.36199999999999</v>
      </c>
      <c r="BO359" s="64">
        <f>IFERROR(1/J359*(X359/H359),"0")</f>
        <v>0.34722222222222221</v>
      </c>
      <c r="BP359" s="64">
        <f>IFERROR(1/J359*(Y359/H359),"0")</f>
        <v>0.359375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22.222222222222221</v>
      </c>
      <c r="Y360" s="543">
        <f>IFERROR(Y358/H358,"0")+IFERROR(Y359/H359,"0")</f>
        <v>23</v>
      </c>
      <c r="Z360" s="543">
        <f>IFERROR(IF(Z358="",0,Z358),"0")+IFERROR(IF(Z359="",0,Z359),"0")</f>
        <v>0.43653999999999998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200</v>
      </c>
      <c r="Y361" s="543">
        <f>IFERROR(SUM(Y358:Y359),"0")</f>
        <v>207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360</v>
      </c>
      <c r="Y363" s="542">
        <f>IFERROR(IF(X363="",0,CEILING((X363/$H363),1)*$H363),"")</f>
        <v>360</v>
      </c>
      <c r="Z363" s="36">
        <f>IFERROR(IF(Y363=0,"",ROUNDUP(Y363/H363,0)*0.01898),"")</f>
        <v>0.75919999999999999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379.76</v>
      </c>
      <c r="BN363" s="64">
        <f>IFERROR(Y363*I363/H363,"0")</f>
        <v>379.76</v>
      </c>
      <c r="BO363" s="64">
        <f>IFERROR(1/J363*(X363/H363),"0")</f>
        <v>0.625</v>
      </c>
      <c r="BP363" s="64">
        <f>IFERROR(1/J363*(Y363/H363),"0")</f>
        <v>0.625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40</v>
      </c>
      <c r="Y364" s="543">
        <f>IFERROR(Y363/H363,"0")</f>
        <v>40</v>
      </c>
      <c r="Z364" s="543">
        <f>IFERROR(IF(Z363="",0,Z363),"0")</f>
        <v>0.75919999999999999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360</v>
      </c>
      <c r="Y365" s="543">
        <f>IFERROR(SUM(Y363:Y363),"0")</f>
        <v>360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100</v>
      </c>
      <c r="Y385" s="542">
        <f t="shared" ref="Y385:Y393" si="36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103.5185185185185</v>
      </c>
      <c r="BN385" s="64">
        <f t="shared" ref="BN385:BN393" si="38">IFERROR(Y385*I385/H385,"0")</f>
        <v>106.21</v>
      </c>
      <c r="BO385" s="64">
        <f t="shared" ref="BO385:BO393" si="39">IFERROR(1/J385*(X385/H385),"0")</f>
        <v>0.14029180695847362</v>
      </c>
      <c r="BP385" s="64">
        <f t="shared" ref="BP385:BP393" si="40">IFERROR(1/J385*(Y385/H385),"0")</f>
        <v>0.14393939393939395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100</v>
      </c>
      <c r="Y387" s="542">
        <f t="shared" si="36"/>
        <v>102.60000000000001</v>
      </c>
      <c r="Z387" s="36">
        <f>IFERROR(IF(Y387=0,"",ROUNDUP(Y387/H387,0)*0.00902),"")</f>
        <v>0.17138</v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103.5185185185185</v>
      </c>
      <c r="BN387" s="64">
        <f t="shared" si="38"/>
        <v>106.21</v>
      </c>
      <c r="BO387" s="64">
        <f t="shared" si="39"/>
        <v>0.14029180695847362</v>
      </c>
      <c r="BP387" s="64">
        <f t="shared" si="40"/>
        <v>0.14393939393939395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31.5</v>
      </c>
      <c r="Y393" s="542">
        <f t="shared" si="36"/>
        <v>31.5</v>
      </c>
      <c r="Z393" s="36">
        <f t="shared" si="41"/>
        <v>7.5300000000000006E-2</v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33.450000000000003</v>
      </c>
      <c r="BN393" s="64">
        <f t="shared" si="38"/>
        <v>33.450000000000003</v>
      </c>
      <c r="BO393" s="64">
        <f t="shared" si="39"/>
        <v>6.4102564102564111E-2</v>
      </c>
      <c r="BP393" s="64">
        <f t="shared" si="40"/>
        <v>6.4102564102564111E-2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52.037037037037038</v>
      </c>
      <c r="Y394" s="543">
        <f>IFERROR(Y385/H385,"0")+IFERROR(Y386/H386,"0")+IFERROR(Y387/H387,"0")+IFERROR(Y388/H388,"0")+IFERROR(Y389/H389,"0")+IFERROR(Y390/H390,"0")+IFERROR(Y391/H391,"0")+IFERROR(Y392/H392,"0")+IFERROR(Y393/H393,"0")</f>
        <v>53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0.41805999999999999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231.5</v>
      </c>
      <c r="Y395" s="543">
        <f>IFERROR(SUM(Y385:Y393),"0")</f>
        <v>236.70000000000002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350</v>
      </c>
      <c r="Y407" s="542">
        <f>IFERROR(IF(X407="",0,CEILING((X407/$H407),1)*$H407),"")</f>
        <v>351</v>
      </c>
      <c r="Z407" s="36">
        <f>IFERROR(IF(Y407=0,"",ROUNDUP(Y407/H407,0)*0.00902),"")</f>
        <v>0.58630000000000004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362.31481481481478</v>
      </c>
      <c r="BN407" s="64">
        <f>IFERROR(Y407*I407/H407,"0")</f>
        <v>363.34999999999997</v>
      </c>
      <c r="BO407" s="64">
        <f>IFERROR(1/J407*(X407/H407),"0")</f>
        <v>0.49102132435465767</v>
      </c>
      <c r="BP407" s="64">
        <f>IFERROR(1/J407*(Y407/H407),"0")</f>
        <v>0.49242424242424243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64.81481481481481</v>
      </c>
      <c r="Y411" s="543">
        <f>IFERROR(Y407/H407,"0")+IFERROR(Y408/H408,"0")+IFERROR(Y409/H409,"0")+IFERROR(Y410/H410,"0")</f>
        <v>65</v>
      </c>
      <c r="Z411" s="543">
        <f>IFERROR(IF(Z407="",0,Z407),"0")+IFERROR(IF(Z408="",0,Z408),"0")+IFERROR(IF(Z409="",0,Z409),"0")+IFERROR(IF(Z410="",0,Z410),"0")</f>
        <v>0.58630000000000004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350</v>
      </c>
      <c r="Y412" s="543">
        <f>IFERROR(SUM(Y407:Y410),"0")</f>
        <v>351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106.62878787878788</v>
      </c>
      <c r="BN426" s="64">
        <f t="shared" si="45"/>
        <v>106.97</v>
      </c>
      <c r="BO426" s="64">
        <f t="shared" si="46"/>
        <v>0.18210955710955709</v>
      </c>
      <c r="BP426" s="64">
        <f t="shared" si="47"/>
        <v>0.18269230769230771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18.939393939393938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0.22724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100</v>
      </c>
      <c r="Y433" s="543">
        <f>IFERROR(SUM(Y421:Y431),"0")</f>
        <v>100.32000000000001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</v>
      </c>
      <c r="Y442" s="542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200</v>
      </c>
      <c r="Y443" s="542">
        <f t="shared" si="48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213.25757575757575</v>
      </c>
      <c r="BN443" s="64">
        <f t="shared" si="50"/>
        <v>213.94</v>
      </c>
      <c r="BO443" s="64">
        <f t="shared" si="51"/>
        <v>0.36421911421911418</v>
      </c>
      <c r="BP443" s="64">
        <f t="shared" si="52"/>
        <v>0.36538461538461542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56.818181818181813</v>
      </c>
      <c r="Y447" s="543">
        <f>IFERROR(Y441/H441,"0")+IFERROR(Y442/H442,"0")+IFERROR(Y443/H443,"0")+IFERROR(Y444/H444,"0")+IFERROR(Y445/H445,"0")+IFERROR(Y446/H446,"0")</f>
        <v>58</v>
      </c>
      <c r="Z447" s="543">
        <f>IFERROR(IF(Z441="",0,Z441),"0")+IFERROR(IF(Z442="",0,Z442),"0")+IFERROR(IF(Z443="",0,Z443),"0")+IFERROR(IF(Z444="",0,Z444),"0")+IFERROR(IF(Z445="",0,Z445),"0")+IFERROR(IF(Z446="",0,Z446),"0")</f>
        <v>0.69367999999999996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300</v>
      </c>
      <c r="Y448" s="543">
        <f>IFERROR(SUM(Y441:Y446),"0")</f>
        <v>306.24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50</v>
      </c>
      <c r="Y472" s="542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52.976190476190474</v>
      </c>
      <c r="BN472" s="64">
        <f>IFERROR(Y472*I472/H472,"0")</f>
        <v>53.400000000000006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11.904761904761905</v>
      </c>
      <c r="Y473" s="543">
        <f>IFERROR(Y471/H471,"0")+IFERROR(Y472/H472,"0")</f>
        <v>12</v>
      </c>
      <c r="Z473" s="543">
        <f>IFERROR(IF(Z471="",0,Z471),"0")+IFERROR(IF(Z472="",0,Z472),"0")</f>
        <v>0.10824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50</v>
      </c>
      <c r="Y474" s="543">
        <f>IFERROR(SUM(Y471:Y472),"0")</f>
        <v>50.400000000000006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7496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7553.9999999999991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7804.5825332692002</v>
      </c>
      <c r="Y490" s="543">
        <f>IFERROR(SUM(BN22:BN486),"0")</f>
        <v>7865.308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8104.5825332692002</v>
      </c>
      <c r="Y492" s="543">
        <f>GrossWeightTotalR+PalletQtyTotalR*25</f>
        <v>8165.308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825.69280102613448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833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12.899520000000001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13.5</v>
      </c>
      <c r="E499" s="46">
        <f>IFERROR(Y85*1,"0")+IFERROR(Y86*1,"0")+IFERROR(Y87*1,"0")+IFERROR(Y91*1,"0")+IFERROR(Y92*1,"0")+IFERROR(Y93*1,"0")+IFERROR(Y94*1,"0")</f>
        <v>248.4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205.20000000000002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172.20000000000002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72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407.4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5082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236.70000000000002</v>
      </c>
      <c r="V499" s="46">
        <f>IFERROR(Y403*1,"0")+IFERROR(Y407*1,"0")+IFERROR(Y408*1,"0")+IFERROR(Y409*1,"0")+IFERROR(Y410*1,"0")</f>
        <v>351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607.20000000000005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50.400000000000006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