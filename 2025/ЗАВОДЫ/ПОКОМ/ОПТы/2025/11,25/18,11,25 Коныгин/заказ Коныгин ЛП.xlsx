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3CB41BB2-98F0-49D1-ADED-57021A0D6FD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Z332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Z216" i="1" s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Z319" i="1"/>
  <c r="BP317" i="1"/>
  <c r="BN317" i="1"/>
  <c r="Z317" i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Z251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Z339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Z381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Z395" i="1" s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439" i="1" l="1"/>
  <c r="Z448" i="1"/>
  <c r="Z433" i="1"/>
  <c r="Z306" i="1"/>
  <c r="Z235" i="1"/>
  <c r="Z57" i="1"/>
  <c r="Y492" i="1"/>
  <c r="Z149" i="1"/>
  <c r="Z69" i="1"/>
  <c r="Y490" i="1"/>
  <c r="Z313" i="1"/>
  <c r="Z172" i="1"/>
  <c r="Z43" i="1"/>
  <c r="Z31" i="1"/>
  <c r="Z495" i="1" s="1"/>
  <c r="Y494" i="1"/>
  <c r="Y491" i="1"/>
  <c r="Y493" i="1" s="1"/>
  <c r="Z275" i="1"/>
  <c r="Z116" i="1"/>
  <c r="Z95" i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<sst xmlns="http://schemas.openxmlformats.org/spreadsheetml/2006/main" count="2349" uniqueCount="770">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</sst>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20.75925925925926</v>
      </c>
      <c r="BN52" s="64">
        <f t="shared" si="2"/>
        <v>22.42</v>
      </c>
      <c r="BO52" s="64">
        <f t="shared" si="3"/>
        <v>2.8935185185185182E-2</v>
      </c>
      <c r="BP52" s="64">
        <f t="shared" si="4"/>
        <v>3.125E-2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50</v>
      </c>
      <c r="Y85" s="544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4.6296296296296298</v>
      </c>
      <c r="Y88" s="545">
        <f>IFERROR(Y85/H85,"0")+IFERROR(Y86/H86,"0")+IFERROR(Y87/H87,"0")</f>
        <v>5</v>
      </c>
      <c r="Z88" s="545">
        <f>IFERROR(IF(Z85="",0,Z85),"0")+IFERROR(IF(Z86="",0,Z86),"0")+IFERROR(IF(Z87="",0,Z87),"0")</f>
        <v>9.4899999999999998E-2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50</v>
      </c>
      <c r="Y89" s="545">
        <f>IFERROR(SUM(Y85:Y87),"0")</f>
        <v>54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130</v>
      </c>
      <c r="Y293" s="544">
        <f t="shared" si="26"/>
        <v>140.4</v>
      </c>
      <c r="Z293" s="36">
        <f>IFERROR(IF(Y293=0,"",ROUNDUP(Y293/H293,0)*0.01898),"")</f>
        <v>0.24674000000000001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134.93518518518519</v>
      </c>
      <c r="BN293" s="64">
        <f t="shared" si="28"/>
        <v>145.73000000000002</v>
      </c>
      <c r="BO293" s="64">
        <f t="shared" si="29"/>
        <v>0.18807870370370369</v>
      </c>
      <c r="BP293" s="64">
        <f t="shared" si="30"/>
        <v>0.203125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12.037037037037036</v>
      </c>
      <c r="Y296" s="545">
        <f>IFERROR(Y290/H290,"0")+IFERROR(Y291/H291,"0")+IFERROR(Y292/H292,"0")+IFERROR(Y293/H293,"0")+IFERROR(Y294/H294,"0")+IFERROR(Y295/H295,"0")</f>
        <v>13</v>
      </c>
      <c r="Z296" s="545">
        <f>IFERROR(IF(Z290="",0,Z290),"0")+IFERROR(IF(Z291="",0,Z291),"0")+IFERROR(IF(Z292="",0,Z292),"0")+IFERROR(IF(Z293="",0,Z293),"0")+IFERROR(IF(Z294="",0,Z294),"0")+IFERROR(IF(Z295="",0,Z295),"0")</f>
        <v>0.24674000000000001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130</v>
      </c>
      <c r="Y297" s="545">
        <f>IFERROR(SUM(Y290:Y295),"0")</f>
        <v>140.4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140</v>
      </c>
      <c r="Y299" s="544">
        <f t="shared" ref="Y299:Y305" si="31">IFERROR(IF(X299="",0,CEILING((X299/$H299),1)*$H299),"")</f>
        <v>142.80000000000001</v>
      </c>
      <c r="Z299" s="36">
        <f>IFERROR(IF(Y299=0,"",ROUNDUP(Y299/H299,0)*0.00902),"")</f>
        <v>0.30668000000000001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148.33333333333331</v>
      </c>
      <c r="BN299" s="64">
        <f t="shared" ref="BN299:BN305" si="33">IFERROR(Y299*I299/H299,"0")</f>
        <v>151.30000000000001</v>
      </c>
      <c r="BO299" s="64">
        <f t="shared" ref="BO299:BO305" si="34">IFERROR(1/J299*(X299/H299),"0")</f>
        <v>0.25252525252525249</v>
      </c>
      <c r="BP299" s="64">
        <f t="shared" ref="BP299:BP305" si="35">IFERROR(1/J299*(Y299/H299),"0")</f>
        <v>0.25757575757575757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33.333333333333329</v>
      </c>
      <c r="Y306" s="545">
        <f>IFERROR(Y299/H299,"0")+IFERROR(Y300/H300,"0")+IFERROR(Y301/H301,"0")+IFERROR(Y302/H302,"0")+IFERROR(Y303/H303,"0")+IFERROR(Y304/H304,"0")+IFERROR(Y305/H305,"0")</f>
        <v>34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0.30668000000000001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140</v>
      </c>
      <c r="Y307" s="545">
        <f>IFERROR(SUM(Y299:Y305),"0")</f>
        <v>142.80000000000001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1000</v>
      </c>
      <c r="Y309" s="544">
        <f>IFERROR(IF(X309="",0,CEILING((X309/$H309),1)*$H309),"")</f>
        <v>1006.1999999999999</v>
      </c>
      <c r="Z309" s="36">
        <f>IFERROR(IF(Y309=0,"",ROUNDUP(Y309/H309,0)*0.01898),"")</f>
        <v>2.44842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1062.5641025641025</v>
      </c>
      <c r="BN309" s="64">
        <f>IFERROR(Y309*I309/H309,"0")</f>
        <v>1069.152</v>
      </c>
      <c r="BO309" s="64">
        <f>IFERROR(1/J309*(X309/H309),"0")</f>
        <v>2.0032051282051282</v>
      </c>
      <c r="BP309" s="64">
        <f>IFERROR(1/J309*(Y309/H309),"0")</f>
        <v>2.015625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128.2051282051282</v>
      </c>
      <c r="Y313" s="545">
        <f>IFERROR(Y309/H309,"0")+IFERROR(Y310/H310,"0")+IFERROR(Y311/H311,"0")+IFERROR(Y312/H312,"0")</f>
        <v>129</v>
      </c>
      <c r="Z313" s="545">
        <f>IFERROR(IF(Z309="",0,Z309),"0")+IFERROR(IF(Z310="",0,Z310),"0")+IFERROR(IF(Z311="",0,Z311),"0")+IFERROR(IF(Z312="",0,Z312),"0")</f>
        <v>2.44842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1000</v>
      </c>
      <c r="Y314" s="545">
        <f>IFERROR(SUM(Y309:Y312),"0")</f>
        <v>1006.1999999999999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60</v>
      </c>
      <c r="Y336" s="544">
        <f>IFERROR(IF(X336="",0,CEILING((X336/$H336),1)*$H336),"")</f>
        <v>64.8</v>
      </c>
      <c r="Z336" s="36">
        <f>IFERROR(IF(Y336=0,"",ROUNDUP(Y336/H336,0)*0.01898),"")</f>
        <v>0.15184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63.659259259259258</v>
      </c>
      <c r="BN336" s="64">
        <f>IFERROR(Y336*I336/H336,"0")</f>
        <v>68.751999999999995</v>
      </c>
      <c r="BO336" s="64">
        <f>IFERROR(1/J336*(X336/H336),"0")</f>
        <v>0.11574074074074074</v>
      </c>
      <c r="BP336" s="64">
        <f>IFERROR(1/J336*(Y336/H336),"0")</f>
        <v>0.125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7.4074074074074074</v>
      </c>
      <c r="Y339" s="545">
        <f>IFERROR(Y336/H336,"0")+IFERROR(Y337/H337,"0")+IFERROR(Y338/H338,"0")</f>
        <v>8</v>
      </c>
      <c r="Z339" s="545">
        <f>IFERROR(IF(Z336="",0,Z336),"0")+IFERROR(IF(Z337="",0,Z337),"0")+IFERROR(IF(Z338="",0,Z338),"0")</f>
        <v>0.15184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60</v>
      </c>
      <c r="Y340" s="545">
        <f>IFERROR(SUM(Y336:Y338),"0")</f>
        <v>64.8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240</v>
      </c>
      <c r="Y344" s="544">
        <f t="shared" ref="Y344:Y350" si="36">IFERROR(IF(X344="",0,CEILING((X344/$H344),1)*$H344),"")</f>
        <v>240</v>
      </c>
      <c r="Z344" s="36">
        <f>IFERROR(IF(Y344=0,"",ROUNDUP(Y344/H344,0)*0.02175),"")</f>
        <v>0.34799999999999998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247.52</v>
      </c>
      <c r="BN344" s="64">
        <f t="shared" ref="BN344:BN350" si="38">IFERROR(Y344*I344/H344,"0")</f>
        <v>247.52</v>
      </c>
      <c r="BO344" s="64">
        <f t="shared" ref="BO344:BO350" si="39">IFERROR(1/J344*(X344/H344),"0")</f>
        <v>0.33333333333333331</v>
      </c>
      <c r="BP344" s="64">
        <f t="shared" ref="BP344:BP350" si="40">IFERROR(1/J344*(Y344/H344),"0")</f>
        <v>0.33333333333333331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105</v>
      </c>
      <c r="Y345" s="544">
        <f t="shared" si="36"/>
        <v>105</v>
      </c>
      <c r="Z345" s="36">
        <f>IFERROR(IF(Y345=0,"",ROUNDUP(Y345/H345,0)*0.02175),"")</f>
        <v>0.15225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108.29</v>
      </c>
      <c r="BN345" s="64">
        <f t="shared" si="38"/>
        <v>108.29</v>
      </c>
      <c r="BO345" s="64">
        <f t="shared" si="39"/>
        <v>0.14583333333333331</v>
      </c>
      <c r="BP345" s="64">
        <f t="shared" si="40"/>
        <v>0.14583333333333331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300</v>
      </c>
      <c r="Y347" s="544">
        <f t="shared" si="36"/>
        <v>300</v>
      </c>
      <c r="Z347" s="36">
        <f>IFERROR(IF(Y347=0,"",ROUNDUP(Y347/H347,0)*0.02175),"")</f>
        <v>0.43499999999999994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309.39999999999998</v>
      </c>
      <c r="BN347" s="64">
        <f t="shared" si="38"/>
        <v>309.39999999999998</v>
      </c>
      <c r="BO347" s="64">
        <f t="shared" si="39"/>
        <v>0.41666666666666663</v>
      </c>
      <c r="BP347" s="64">
        <f t="shared" si="40"/>
        <v>0.41666666666666663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43</v>
      </c>
      <c r="Y351" s="545">
        <f>IFERROR(Y344/H344,"0")+IFERROR(Y345/H345,"0")+IFERROR(Y346/H346,"0")+IFERROR(Y347/H347,"0")+IFERROR(Y348/H348,"0")+IFERROR(Y349/H349,"0")+IFERROR(Y350/H350,"0")</f>
        <v>43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0.93524999999999991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645</v>
      </c>
      <c r="Y352" s="545">
        <f>IFERROR(SUM(Y344:Y350),"0")</f>
        <v>645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900</v>
      </c>
      <c r="Y354" s="544">
        <f>IFERROR(IF(X354="",0,CEILING((X354/$H354),1)*$H354),"")</f>
        <v>900</v>
      </c>
      <c r="Z354" s="36">
        <f>IFERROR(IF(Y354=0,"",ROUNDUP(Y354/H354,0)*0.02175),"")</f>
        <v>1.3049999999999999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928.2</v>
      </c>
      <c r="BN354" s="64">
        <f>IFERROR(Y354*I354/H354,"0")</f>
        <v>928.2</v>
      </c>
      <c r="BO354" s="64">
        <f>IFERROR(1/J354*(X354/H354),"0")</f>
        <v>1.25</v>
      </c>
      <c r="BP354" s="64">
        <f>IFERROR(1/J354*(Y354/H354),"0")</f>
        <v>1.25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60</v>
      </c>
      <c r="Y356" s="545">
        <f>IFERROR(Y354/H354,"0")+IFERROR(Y355/H355,"0")</f>
        <v>60</v>
      </c>
      <c r="Z356" s="545">
        <f>IFERROR(IF(Z354="",0,Z354),"0")+IFERROR(IF(Z355="",0,Z355),"0")</f>
        <v>1.3049999999999999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900</v>
      </c>
      <c r="Y357" s="545">
        <f>IFERROR(SUM(Y354:Y355),"0")</f>
        <v>900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450</v>
      </c>
      <c r="Y379" s="544">
        <f>IFERROR(IF(X379="",0,CEILING((X379/$H379),1)*$H379),"")</f>
        <v>450</v>
      </c>
      <c r="Z379" s="36">
        <f>IFERROR(IF(Y379=0,"",ROUNDUP(Y379/H379,0)*0.01898),"")</f>
        <v>0.94900000000000007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474.70000000000005</v>
      </c>
      <c r="BN379" s="64">
        <f>IFERROR(Y379*I379/H379,"0")</f>
        <v>474.70000000000005</v>
      </c>
      <c r="BO379" s="64">
        <f>IFERROR(1/J379*(X379/H379),"0")</f>
        <v>0.78125</v>
      </c>
      <c r="BP379" s="64">
        <f>IFERROR(1/J379*(Y379/H379),"0")</f>
        <v>0.78125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50</v>
      </c>
      <c r="Y381" s="545">
        <f>IFERROR(Y379/H379,"0")+IFERROR(Y380/H380,"0")</f>
        <v>50</v>
      </c>
      <c r="Z381" s="545">
        <f>IFERROR(IF(Z379="",0,Z379),"0")+IFERROR(IF(Z380="",0,Z380),"0")</f>
        <v>0.94900000000000007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450</v>
      </c>
      <c r="Y382" s="545">
        <f>IFERROR(SUM(Y379:Y380),"0")</f>
        <v>450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16</v>
      </c>
      <c r="Y387" s="544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16.56296296296296</v>
      </c>
      <c r="BN387" s="64">
        <f t="shared" si="43"/>
        <v>16.77</v>
      </c>
      <c r="BO387" s="64">
        <f t="shared" si="44"/>
        <v>2.2446689113355778E-2</v>
      </c>
      <c r="BP387" s="64">
        <f t="shared" si="45"/>
        <v>2.2727272727272731E-2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2.9629629629629628</v>
      </c>
      <c r="Y395" s="545">
        <f>IFERROR(Y386/H386,"0")+IFERROR(Y387/H387,"0")+IFERROR(Y388/H388,"0")+IFERROR(Y389/H389,"0")+IFERROR(Y390/H390,"0")+IFERROR(Y391/H391,"0")+IFERROR(Y392/H392,"0")+IFERROR(Y393/H393,"0")+IFERROR(Y394/H394,"0")</f>
        <v>3.0000000000000004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2.7060000000000001E-2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16</v>
      </c>
      <c r="Y396" s="545">
        <f>IFERROR(SUM(Y386:Y394),"0")</f>
        <v>16.200000000000003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60</v>
      </c>
      <c r="Y424" s="544">
        <f t="shared" si="47"/>
        <v>63.36</v>
      </c>
      <c r="Z424" s="36">
        <f t="shared" si="48"/>
        <v>0.14352000000000001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63.977272727272727</v>
      </c>
      <c r="BN424" s="64">
        <f t="shared" si="50"/>
        <v>67.559999999999988</v>
      </c>
      <c r="BO424" s="64">
        <f t="shared" si="51"/>
        <v>0.10926573426573427</v>
      </c>
      <c r="BP424" s="64">
        <f t="shared" si="52"/>
        <v>0.11538461538461539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120</v>
      </c>
      <c r="Y427" s="544">
        <f t="shared" si="47"/>
        <v>121.44000000000001</v>
      </c>
      <c r="Z427" s="36">
        <f t="shared" si="48"/>
        <v>0.27507999999999999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127.95454545454545</v>
      </c>
      <c r="BN427" s="64">
        <f t="shared" si="50"/>
        <v>129.49</v>
      </c>
      <c r="BO427" s="64">
        <f t="shared" si="51"/>
        <v>0.21853146853146854</v>
      </c>
      <c r="BP427" s="64">
        <f t="shared" si="52"/>
        <v>0.22115384615384617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34.090909090909093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0.41859999999999997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180</v>
      </c>
      <c r="Y434" s="545">
        <f>IFERROR(SUM(Y422:Y432),"0")</f>
        <v>184.8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127.95454545454545</v>
      </c>
      <c r="BN444" s="64">
        <f t="shared" si="55"/>
        <v>129.49</v>
      </c>
      <c r="BO444" s="64">
        <f t="shared" si="56"/>
        <v>0.21853146853146854</v>
      </c>
      <c r="BP444" s="64">
        <f t="shared" si="57"/>
        <v>0.22115384615384617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22.727272727272727</v>
      </c>
      <c r="Y448" s="545">
        <f>IFERROR(Y442/H442,"0")+IFERROR(Y443/H443,"0")+IFERROR(Y444/H444,"0")+IFERROR(Y445/H445,"0")+IFERROR(Y446/H446,"0")+IFERROR(Y447/H447,"0")</f>
        <v>23</v>
      </c>
      <c r="Z448" s="545">
        <f>IFERROR(IF(Z442="",0,Z442),"0")+IFERROR(IF(Z443="",0,Z443),"0")+IFERROR(IF(Z444="",0,Z444),"0")+IFERROR(IF(Z445="",0,Z445),"0")+IFERROR(IF(Z446="",0,Z446),"0")+IFERROR(IF(Z447="",0,Z447),"0")</f>
        <v>0.27507999999999999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120</v>
      </c>
      <c r="Y449" s="545">
        <f>IFERROR(SUM(Y442:Y447),"0")</f>
        <v>121.44000000000001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300</v>
      </c>
      <c r="Y461" s="544">
        <f>IFERROR(IF(X461="",0,CEILING((X461/$H461),1)*$H461),"")</f>
        <v>300</v>
      </c>
      <c r="Z461" s="36">
        <f>IFERROR(IF(Y461=0,"",ROUNDUP(Y461/H461,0)*0.01898),"")</f>
        <v>0.47450000000000003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310.25</v>
      </c>
      <c r="BN461" s="64">
        <f>IFERROR(Y461*I461/H461,"0")</f>
        <v>310.25</v>
      </c>
      <c r="BO461" s="64">
        <f>IFERROR(1/J461*(X461/H461),"0")</f>
        <v>0.390625</v>
      </c>
      <c r="BP461" s="64">
        <f>IFERROR(1/J461*(Y461/H461),"0")</f>
        <v>0.390625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25</v>
      </c>
      <c r="Y463" s="545">
        <f>IFERROR(Y459/H459,"0")+IFERROR(Y460/H460,"0")+IFERROR(Y461/H461,"0")+IFERROR(Y462/H462,"0")</f>
        <v>25</v>
      </c>
      <c r="Z463" s="545">
        <f>IFERROR(IF(Z459="",0,Z459),"0")+IFERROR(IF(Z460="",0,Z460),"0")+IFERROR(IF(Z461="",0,Z461),"0")+IFERROR(IF(Z462="",0,Z462),"0")</f>
        <v>0.47450000000000003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300</v>
      </c>
      <c r="Y464" s="545">
        <f>IFERROR(SUM(Y459:Y462),"0")</f>
        <v>300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16.87822222222222</v>
      </c>
      <c r="BN477" s="64">
        <f>IFERROR(Y477*I477/H477,"0")</f>
        <v>18.988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4117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4161.24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4308.6697490287488</v>
      </c>
      <c r="Y491" s="545">
        <f>IFERROR(SUM(BN22:BN487),"0")</f>
        <v>4355.2020000000002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4483.6697490287488</v>
      </c>
      <c r="Y493" s="545">
        <f>GrossWeightTotalR+PalletQtyTotalR*25</f>
        <v>4530.2020000000002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440.1967106967108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446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7.9045099999999993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64.800000000000011</v>
      </c>
      <c r="E500" s="46">
        <f>IFERROR(Y85*1,"0")+IFERROR(Y86*1,"0")+IFERROR(Y87*1,"0")+IFERROR(Y91*1,"0")+IFERROR(Y92*1,"0")+IFERROR(Y93*1,"0")+IFERROR(Y94*1,"0")</f>
        <v>54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1289.4000000000001</v>
      </c>
      <c r="R500" s="46">
        <f>IFERROR(Y336*1,"0")+IFERROR(Y337*1,"0")+IFERROR(Y338*1,"0")</f>
        <v>64.8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1545</v>
      </c>
      <c r="T500" s="46">
        <f>IFERROR(Y369*1,"0")+IFERROR(Y370*1,"0")+IFERROR(Y374*1,"0")+IFERROR(Y375*1,"0")+IFERROR(Y379*1,"0")+IFERROR(Y380*1,"0")</f>
        <v>450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16.200000000000003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359.04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318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2025-11-18T08:27:26Z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