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6F0C915-5845-4A0A-8953-9EE6670843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BP482" i="1" s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Y469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Y470" i="1" s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Y455" i="1" s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Y448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33" i="1" s="1"/>
  <c r="P423" i="1"/>
  <c r="BP422" i="1"/>
  <c r="BO422" i="1"/>
  <c r="BN422" i="1"/>
  <c r="BM422" i="1"/>
  <c r="Z422" i="1"/>
  <c r="Y422" i="1"/>
  <c r="X500" i="1" s="1"/>
  <c r="P422" i="1"/>
  <c r="X418" i="1"/>
  <c r="Y417" i="1"/>
  <c r="X417" i="1"/>
  <c r="BP416" i="1"/>
  <c r="BO416" i="1"/>
  <c r="BN416" i="1"/>
  <c r="BM416" i="1"/>
  <c r="Z416" i="1"/>
  <c r="Z417" i="1" s="1"/>
  <c r="Y416" i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3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5" i="1" s="1"/>
  <c r="P386" i="1"/>
  <c r="X382" i="1"/>
  <c r="X381" i="1"/>
  <c r="BP380" i="1"/>
  <c r="BO380" i="1"/>
  <c r="BN380" i="1"/>
  <c r="BM380" i="1"/>
  <c r="Z380" i="1"/>
  <c r="Y380" i="1"/>
  <c r="BP379" i="1"/>
  <c r="BO379" i="1"/>
  <c r="BN379" i="1"/>
  <c r="BM379" i="1"/>
  <c r="Z379" i="1"/>
  <c r="Y379" i="1"/>
  <c r="P379" i="1"/>
  <c r="BO378" i="1"/>
  <c r="BM378" i="1"/>
  <c r="Y378" i="1"/>
  <c r="Y382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T500" i="1" s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1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Y296" i="1" s="1"/>
  <c r="P289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Y286" i="1" s="1"/>
  <c r="P283" i="1"/>
  <c r="X281" i="1"/>
  <c r="X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M500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500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Y235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BP146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00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0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Z103" i="1" l="1"/>
  <c r="Z57" i="1"/>
  <c r="Z136" i="1"/>
  <c r="Z171" i="1"/>
  <c r="Z187" i="1"/>
  <c r="F9" i="1"/>
  <c r="J9" i="1"/>
  <c r="F10" i="1"/>
  <c r="Y31" i="1"/>
  <c r="Y43" i="1"/>
  <c r="Y494" i="1" s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71" i="1"/>
  <c r="Y177" i="1"/>
  <c r="BP196" i="1"/>
  <c r="BN196" i="1"/>
  <c r="Z196" i="1"/>
  <c r="BP200" i="1"/>
  <c r="BN200" i="1"/>
  <c r="Z200" i="1"/>
  <c r="Z203" i="1" s="1"/>
  <c r="H9" i="1"/>
  <c r="B500" i="1"/>
  <c r="X491" i="1"/>
  <c r="X493" i="1" s="1"/>
  <c r="X492" i="1"/>
  <c r="X494" i="1"/>
  <c r="Y24" i="1"/>
  <c r="Z27" i="1"/>
  <c r="Z31" i="1" s="1"/>
  <c r="BN27" i="1"/>
  <c r="Z29" i="1"/>
  <c r="BN29" i="1"/>
  <c r="C500" i="1"/>
  <c r="Z41" i="1"/>
  <c r="Z43" i="1" s="1"/>
  <c r="BN41" i="1"/>
  <c r="Y491" i="1" s="1"/>
  <c r="Y44" i="1"/>
  <c r="D500" i="1"/>
  <c r="Z52" i="1"/>
  <c r="BN52" i="1"/>
  <c r="Z54" i="1"/>
  <c r="BN54" i="1"/>
  <c r="Z56" i="1"/>
  <c r="BN56" i="1"/>
  <c r="Y57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500" i="1"/>
  <c r="Z100" i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500" i="1"/>
  <c r="Z125" i="1"/>
  <c r="Z126" i="1" s="1"/>
  <c r="BN125" i="1"/>
  <c r="Y126" i="1"/>
  <c r="Z129" i="1"/>
  <c r="Z131" i="1" s="1"/>
  <c r="BN129" i="1"/>
  <c r="BP129" i="1"/>
  <c r="Z135" i="1"/>
  <c r="BN135" i="1"/>
  <c r="Z140" i="1"/>
  <c r="Z142" i="1" s="1"/>
  <c r="BN140" i="1"/>
  <c r="BP140" i="1"/>
  <c r="Y143" i="1"/>
  <c r="Z146" i="1"/>
  <c r="Z148" i="1" s="1"/>
  <c r="BN146" i="1"/>
  <c r="I500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500" i="1"/>
  <c r="Y187" i="1"/>
  <c r="Z186" i="1"/>
  <c r="BN186" i="1"/>
  <c r="Y188" i="1"/>
  <c r="Y193" i="1"/>
  <c r="BP190" i="1"/>
  <c r="BN190" i="1"/>
  <c r="Z190" i="1"/>
  <c r="Z192" i="1" s="1"/>
  <c r="Y203" i="1"/>
  <c r="BP198" i="1"/>
  <c r="BN198" i="1"/>
  <c r="Z198" i="1"/>
  <c r="Z234" i="1"/>
  <c r="Y204" i="1"/>
  <c r="Y216" i="1"/>
  <c r="Y220" i="1"/>
  <c r="Y239" i="1"/>
  <c r="Y243" i="1"/>
  <c r="Y251" i="1"/>
  <c r="Y260" i="1"/>
  <c r="Y267" i="1"/>
  <c r="Y274" i="1"/>
  <c r="Y281" i="1"/>
  <c r="Y285" i="1"/>
  <c r="Y306" i="1"/>
  <c r="Y312" i="1"/>
  <c r="Y318" i="1"/>
  <c r="Y326" i="1"/>
  <c r="Y332" i="1"/>
  <c r="R500" i="1"/>
  <c r="Y338" i="1"/>
  <c r="BP345" i="1"/>
  <c r="BN345" i="1"/>
  <c r="Z345" i="1"/>
  <c r="Z395" i="1"/>
  <c r="Z202" i="1"/>
  <c r="BN202" i="1"/>
  <c r="Z206" i="1"/>
  <c r="Z215" i="1" s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500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Z250" i="1" s="1"/>
  <c r="BN245" i="1"/>
  <c r="BP245" i="1"/>
  <c r="Z247" i="1"/>
  <c r="BN247" i="1"/>
  <c r="Z249" i="1"/>
  <c r="BN249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Y268" i="1"/>
  <c r="O500" i="1"/>
  <c r="Z272" i="1"/>
  <c r="Z274" i="1" s="1"/>
  <c r="BN272" i="1"/>
  <c r="Y275" i="1"/>
  <c r="P500" i="1"/>
  <c r="Z279" i="1"/>
  <c r="Z280" i="1" s="1"/>
  <c r="BN279" i="1"/>
  <c r="Y280" i="1"/>
  <c r="Z283" i="1"/>
  <c r="Z285" i="1" s="1"/>
  <c r="BN283" i="1"/>
  <c r="BP283" i="1"/>
  <c r="Q500" i="1"/>
  <c r="Z290" i="1"/>
  <c r="Z295" i="1" s="1"/>
  <c r="BN290" i="1"/>
  <c r="Z292" i="1"/>
  <c r="BN292" i="1"/>
  <c r="Z294" i="1"/>
  <c r="BN294" i="1"/>
  <c r="Y295" i="1"/>
  <c r="Z298" i="1"/>
  <c r="Z305" i="1" s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2" i="1"/>
  <c r="Z325" i="1" s="1"/>
  <c r="BN322" i="1"/>
  <c r="Z324" i="1"/>
  <c r="BN324" i="1"/>
  <c r="Z328" i="1"/>
  <c r="Z331" i="1" s="1"/>
  <c r="BN328" i="1"/>
  <c r="BP328" i="1"/>
  <c r="Z330" i="1"/>
  <c r="BN330" i="1"/>
  <c r="Z335" i="1"/>
  <c r="BN335" i="1"/>
  <c r="BP335" i="1"/>
  <c r="Z337" i="1"/>
  <c r="BN337" i="1"/>
  <c r="Y339" i="1"/>
  <c r="S500" i="1"/>
  <c r="Y350" i="1"/>
  <c r="BP343" i="1"/>
  <c r="BN343" i="1"/>
  <c r="Z343" i="1"/>
  <c r="Y351" i="1"/>
  <c r="BP347" i="1"/>
  <c r="BN347" i="1"/>
  <c r="Z347" i="1"/>
  <c r="Y355" i="1"/>
  <c r="Y361" i="1"/>
  <c r="Y365" i="1"/>
  <c r="Y370" i="1"/>
  <c r="Y376" i="1"/>
  <c r="Y381" i="1"/>
  <c r="Y401" i="1"/>
  <c r="Y406" i="1"/>
  <c r="Y412" i="1"/>
  <c r="BP425" i="1"/>
  <c r="BN425" i="1"/>
  <c r="Z425" i="1"/>
  <c r="BP429" i="1"/>
  <c r="BN429" i="1"/>
  <c r="Z429" i="1"/>
  <c r="BP437" i="1"/>
  <c r="BN437" i="1"/>
  <c r="Z437" i="1"/>
  <c r="Z439" i="1" s="1"/>
  <c r="BP445" i="1"/>
  <c r="BN445" i="1"/>
  <c r="Z445" i="1"/>
  <c r="BP453" i="1"/>
  <c r="BN453" i="1"/>
  <c r="Z453" i="1"/>
  <c r="Y500" i="1"/>
  <c r="Y464" i="1"/>
  <c r="BP459" i="1"/>
  <c r="BN459" i="1"/>
  <c r="Z459" i="1"/>
  <c r="Y463" i="1"/>
  <c r="BP467" i="1"/>
  <c r="BN467" i="1"/>
  <c r="Z467" i="1"/>
  <c r="Z469" i="1" s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1" i="1" s="1"/>
  <c r="BN378" i="1"/>
  <c r="BP378" i="1"/>
  <c r="U500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Z412" i="1" s="1"/>
  <c r="BN408" i="1"/>
  <c r="BP408" i="1"/>
  <c r="Z410" i="1"/>
  <c r="BN410" i="1"/>
  <c r="W500" i="1"/>
  <c r="Y418" i="1"/>
  <c r="BP423" i="1"/>
  <c r="BN423" i="1"/>
  <c r="Z423" i="1"/>
  <c r="Z433" i="1" s="1"/>
  <c r="BP427" i="1"/>
  <c r="BN427" i="1"/>
  <c r="Z427" i="1"/>
  <c r="BP431" i="1"/>
  <c r="BN431" i="1"/>
  <c r="Z431" i="1"/>
  <c r="Y440" i="1"/>
  <c r="Y439" i="1"/>
  <c r="BP443" i="1"/>
  <c r="BN443" i="1"/>
  <c r="Z443" i="1"/>
  <c r="Z448" i="1" s="1"/>
  <c r="BP447" i="1"/>
  <c r="BN447" i="1"/>
  <c r="Z447" i="1"/>
  <c r="Y449" i="1"/>
  <c r="Y454" i="1"/>
  <c r="BP451" i="1"/>
  <c r="BN451" i="1"/>
  <c r="Z451" i="1"/>
  <c r="BP461" i="1"/>
  <c r="BN461" i="1"/>
  <c r="Z461" i="1"/>
  <c r="BP473" i="1"/>
  <c r="BN473" i="1"/>
  <c r="Z473" i="1"/>
  <c r="Z474" i="1" s="1"/>
  <c r="Y475" i="1"/>
  <c r="Y478" i="1"/>
  <c r="BP477" i="1"/>
  <c r="BN477" i="1"/>
  <c r="Z477" i="1"/>
  <c r="Z478" i="1" s="1"/>
  <c r="Y479" i="1"/>
  <c r="Y434" i="1"/>
  <c r="Z481" i="1"/>
  <c r="BN481" i="1"/>
  <c r="BP481" i="1"/>
  <c r="Y484" i="1"/>
  <c r="Y489" i="1"/>
  <c r="Z482" i="1"/>
  <c r="BN482" i="1"/>
  <c r="Z487" i="1"/>
  <c r="Z488" i="1" s="1"/>
  <c r="BN487" i="1"/>
  <c r="BP487" i="1"/>
  <c r="Y488" i="1"/>
  <c r="Y493" i="1" l="1"/>
  <c r="Z483" i="1"/>
  <c r="Z454" i="1"/>
  <c r="Z463" i="1"/>
  <c r="Z350" i="1"/>
  <c r="Z338" i="1"/>
  <c r="Z312" i="1"/>
  <c r="Z267" i="1"/>
  <c r="Z259" i="1"/>
  <c r="Z116" i="1"/>
  <c r="Z95" i="1"/>
  <c r="Z88" i="1"/>
  <c r="Z69" i="1"/>
  <c r="Z495" i="1" s="1"/>
  <c r="Y490" i="1"/>
</calcChain>
</file>

<file path=xl/sharedStrings.xml><?xml version="1.0" encoding="utf-8"?>
<sst xmlns="http://schemas.openxmlformats.org/spreadsheetml/2006/main" count="2343" uniqueCount="765">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</sst>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7"/>
      <c r="F1" s="577"/>
      <c r="G1" s="12" t="s">
        <v>1</v>
      </c>
      <c r="H1" s="62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0" t="s">
        <v>8</v>
      </c>
      <c r="B5" s="638"/>
      <c r="C5" s="639"/>
      <c r="D5" s="626"/>
      <c r="E5" s="627"/>
      <c r="F5" s="833" t="s">
        <v>9</v>
      </c>
      <c r="G5" s="639"/>
      <c r="H5" s="626"/>
      <c r="I5" s="772"/>
      <c r="J5" s="772"/>
      <c r="K5" s="772"/>
      <c r="L5" s="772"/>
      <c r="M5" s="627"/>
      <c r="N5" s="58"/>
      <c r="P5" s="24" t="s">
        <v>10</v>
      </c>
      <c r="Q5" s="844">
        <v>45995</v>
      </c>
      <c r="R5" s="659"/>
      <c r="T5" s="704" t="s">
        <v>11</v>
      </c>
      <c r="U5" s="705"/>
      <c r="V5" s="707" t="s">
        <v>12</v>
      </c>
      <c r="W5" s="659"/>
      <c r="AB5" s="51"/>
      <c r="AC5" s="51"/>
      <c r="AD5" s="51"/>
      <c r="AE5" s="51"/>
    </row>
    <row r="6" spans="1:32" s="537" customFormat="1" ht="24" customHeight="1" x14ac:dyDescent="0.2">
      <c r="A6" s="660" t="s">
        <v>13</v>
      </c>
      <c r="B6" s="638"/>
      <c r="C6" s="639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59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2" t="s">
        <v>16</v>
      </c>
      <c r="U6" s="705"/>
      <c r="V6" s="760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8"/>
      <c r="U7" s="705"/>
      <c r="V7" s="761"/>
      <c r="W7" s="762"/>
      <c r="AB7" s="51"/>
      <c r="AC7" s="51"/>
      <c r="AD7" s="51"/>
      <c r="AE7" s="51"/>
    </row>
    <row r="8" spans="1:32" s="537" customFormat="1" ht="25.5" customHeight="1" x14ac:dyDescent="0.2">
      <c r="A8" s="864" t="s">
        <v>18</v>
      </c>
      <c r="B8" s="563"/>
      <c r="C8" s="564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66">
        <v>0.41666666666666669</v>
      </c>
      <c r="R8" s="608"/>
      <c r="T8" s="558"/>
      <c r="U8" s="705"/>
      <c r="V8" s="761"/>
      <c r="W8" s="762"/>
      <c r="AB8" s="51"/>
      <c r="AC8" s="51"/>
      <c r="AD8" s="51"/>
      <c r="AE8" s="51"/>
    </row>
    <row r="9" spans="1:32" s="537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79"/>
      <c r="E9" s="561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6"/>
      <c r="R9" s="657"/>
      <c r="T9" s="558"/>
      <c r="U9" s="705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79"/>
      <c r="E10" s="561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52" t="str">
        <f>IFERROR(VLOOKUP($D$10,Proxy,2,FALSE),"")</f>
        <v/>
      </c>
      <c r="I10" s="558"/>
      <c r="J10" s="558"/>
      <c r="K10" s="558"/>
      <c r="L10" s="558"/>
      <c r="M10" s="558"/>
      <c r="N10" s="536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80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9" t="s">
        <v>29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9"/>
      <c r="N12" s="62"/>
      <c r="P12" s="24" t="s">
        <v>30</v>
      </c>
      <c r="Q12" s="666"/>
      <c r="R12" s="608"/>
      <c r="S12" s="23"/>
      <c r="U12" s="24"/>
      <c r="V12" s="577"/>
      <c r="W12" s="558"/>
      <c r="AB12" s="51"/>
      <c r="AC12" s="51"/>
      <c r="AD12" s="51"/>
      <c r="AE12" s="51"/>
    </row>
    <row r="13" spans="1:32" s="537" customFormat="1" ht="23.25" customHeight="1" x14ac:dyDescent="0.2">
      <c r="A13" s="699" t="s">
        <v>31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9"/>
      <c r="N13" s="62"/>
      <c r="O13" s="26"/>
      <c r="P13" s="26" t="s">
        <v>32</v>
      </c>
      <c r="Q13" s="80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9" t="s">
        <v>33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9" t="s">
        <v>34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9"/>
      <c r="N15" s="63"/>
      <c r="P15" s="69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76" t="s">
        <v>38</v>
      </c>
      <c r="D17" s="586" t="s">
        <v>39</v>
      </c>
      <c r="E17" s="646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45"/>
      <c r="R17" s="645"/>
      <c r="S17" s="645"/>
      <c r="T17" s="646"/>
      <c r="U17" s="863" t="s">
        <v>51</v>
      </c>
      <c r="V17" s="639"/>
      <c r="W17" s="586" t="s">
        <v>52</v>
      </c>
      <c r="X17" s="586" t="s">
        <v>53</v>
      </c>
      <c r="Y17" s="861" t="s">
        <v>54</v>
      </c>
      <c r="Z17" s="770" t="s">
        <v>55</v>
      </c>
      <c r="AA17" s="750" t="s">
        <v>56</v>
      </c>
      <c r="AB17" s="750" t="s">
        <v>57</v>
      </c>
      <c r="AC17" s="750" t="s">
        <v>58</v>
      </c>
      <c r="AD17" s="750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47"/>
      <c r="E18" s="649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7"/>
      <c r="X18" s="587"/>
      <c r="Y18" s="862"/>
      <c r="Z18" s="771"/>
      <c r="AA18" s="751"/>
      <c r="AB18" s="751"/>
      <c r="AC18" s="751"/>
      <c r="AD18" s="830"/>
      <c r="AE18" s="831"/>
      <c r="AF18" s="832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38"/>
      <c r="AB20" s="538"/>
      <c r="AC20" s="538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8"/>
      <c r="C23" s="558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69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7" t="s">
        <v>73</v>
      </c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8"/>
      <c r="C31" s="558"/>
      <c r="D31" s="558"/>
      <c r="E31" s="558"/>
      <c r="F31" s="558"/>
      <c r="G31" s="558"/>
      <c r="H31" s="558"/>
      <c r="I31" s="558"/>
      <c r="J31" s="558"/>
      <c r="K31" s="558"/>
      <c r="L31" s="558"/>
      <c r="M31" s="558"/>
      <c r="N31" s="558"/>
      <c r="O31" s="569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7" t="s">
        <v>93</v>
      </c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8"/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69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38"/>
      <c r="AB38" s="538"/>
      <c r="AC38" s="538"/>
    </row>
    <row r="39" spans="1:68" ht="14.25" customHeight="1" x14ac:dyDescent="0.25">
      <c r="A39" s="557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200</v>
      </c>
      <c r="Y40" s="544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69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18.518518518518519</v>
      </c>
      <c r="Y43" s="545">
        <f>IFERROR(Y40/H40,"0")+IFERROR(Y41/H41,"0")+IFERROR(Y42/H42,"0")</f>
        <v>19</v>
      </c>
      <c r="Z43" s="545">
        <f>IFERROR(IF(Z40="",0,Z40),"0")+IFERROR(IF(Z41="",0,Z41),"0")+IFERROR(IF(Z42="",0,Z42),"0")</f>
        <v>0.36062</v>
      </c>
      <c r="AA43" s="546"/>
      <c r="AB43" s="546"/>
      <c r="AC43" s="546"/>
    </row>
    <row r="44" spans="1:68" x14ac:dyDescent="0.2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200</v>
      </c>
      <c r="Y44" s="545">
        <f>IFERROR(SUM(Y40:Y42),"0")</f>
        <v>205.20000000000002</v>
      </c>
      <c r="Z44" s="37"/>
      <c r="AA44" s="546"/>
      <c r="AB44" s="546"/>
      <c r="AC44" s="546"/>
    </row>
    <row r="45" spans="1:68" ht="14.25" customHeight="1" x14ac:dyDescent="0.25">
      <c r="A45" s="557" t="s">
        <v>73</v>
      </c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69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38"/>
      <c r="AB49" s="538"/>
      <c r="AC49" s="538"/>
    </row>
    <row r="50" spans="1:68" ht="14.25" customHeight="1" x14ac:dyDescent="0.25">
      <c r="A50" s="557" t="s">
        <v>101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200</v>
      </c>
      <c r="Y52" s="544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69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18.518518518518519</v>
      </c>
      <c r="Y57" s="545">
        <f>IFERROR(Y51/H51,"0")+IFERROR(Y52/H52,"0")+IFERROR(Y53/H53,"0")+IFERROR(Y54/H54,"0")+IFERROR(Y55/H55,"0")+IFERROR(Y56/H56,"0")</f>
        <v>19</v>
      </c>
      <c r="Z57" s="545">
        <f>IFERROR(IF(Z51="",0,Z51),"0")+IFERROR(IF(Z52="",0,Z52),"0")+IFERROR(IF(Z53="",0,Z53),"0")+IFERROR(IF(Z54="",0,Z54),"0")+IFERROR(IF(Z55="",0,Z55),"0")+IFERROR(IF(Z56="",0,Z56),"0")</f>
        <v>0.36062</v>
      </c>
      <c r="AA57" s="546"/>
      <c r="AB57" s="546"/>
      <c r="AC57" s="546"/>
    </row>
    <row r="58" spans="1:68" x14ac:dyDescent="0.2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200</v>
      </c>
      <c r="Y58" s="545">
        <f>IFERROR(SUM(Y51:Y56),"0")</f>
        <v>205.20000000000002</v>
      </c>
      <c r="Z58" s="37"/>
      <c r="AA58" s="546"/>
      <c r="AB58" s="546"/>
      <c r="AC58" s="546"/>
    </row>
    <row r="59" spans="1:68" ht="14.25" customHeight="1" x14ac:dyDescent="0.25">
      <c r="A59" s="557" t="s">
        <v>136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300</v>
      </c>
      <c r="Y60" s="544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69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27.777777777777775</v>
      </c>
      <c r="Y63" s="545">
        <f>IFERROR(Y60/H60,"0")+IFERROR(Y61/H61,"0")+IFERROR(Y62/H62,"0")</f>
        <v>28</v>
      </c>
      <c r="Z63" s="545">
        <f>IFERROR(IF(Z60="",0,Z60),"0")+IFERROR(IF(Z61="",0,Z61),"0")+IFERROR(IF(Z62="",0,Z62),"0")</f>
        <v>0.53144000000000002</v>
      </c>
      <c r="AA63" s="546"/>
      <c r="AB63" s="546"/>
      <c r="AC63" s="546"/>
    </row>
    <row r="64" spans="1:68" x14ac:dyDescent="0.2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300</v>
      </c>
      <c r="Y64" s="545">
        <f>IFERROR(SUM(Y60:Y62),"0")</f>
        <v>302.40000000000003</v>
      </c>
      <c r="Z64" s="37"/>
      <c r="AA64" s="546"/>
      <c r="AB64" s="546"/>
      <c r="AC64" s="546"/>
    </row>
    <row r="65" spans="1:68" ht="14.25" customHeight="1" x14ac:dyDescent="0.25">
      <c r="A65" s="557" t="s">
        <v>64</v>
      </c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69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7" t="s">
        <v>73</v>
      </c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69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57" t="s">
        <v>164</v>
      </c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69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38"/>
      <c r="AB83" s="538"/>
      <c r="AC83" s="538"/>
    </row>
    <row r="84" spans="1:68" ht="14.25" customHeight="1" x14ac:dyDescent="0.25">
      <c r="A84" s="557" t="s">
        <v>101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200</v>
      </c>
      <c r="Y85" s="54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69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5">
        <f>IFERROR(X85/H85,"0")+IFERROR(X86/H86,"0")+IFERROR(X87/H87,"0")</f>
        <v>18.518518518518519</v>
      </c>
      <c r="Y88" s="545">
        <f>IFERROR(Y85/H85,"0")+IFERROR(Y86/H86,"0")+IFERROR(Y87/H87,"0")</f>
        <v>19</v>
      </c>
      <c r="Z88" s="545">
        <f>IFERROR(IF(Z85="",0,Z85),"0")+IFERROR(IF(Z86="",0,Z86),"0")+IFERROR(IF(Z87="",0,Z87),"0")</f>
        <v>0.36062</v>
      </c>
      <c r="AA88" s="546"/>
      <c r="AB88" s="546"/>
      <c r="AC88" s="546"/>
    </row>
    <row r="89" spans="1:68" x14ac:dyDescent="0.2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69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5">
        <f>IFERROR(SUM(X85:X87),"0")</f>
        <v>200</v>
      </c>
      <c r="Y89" s="545">
        <f>IFERROR(SUM(Y85:Y87),"0")</f>
        <v>205.20000000000002</v>
      </c>
      <c r="Z89" s="37"/>
      <c r="AA89" s="546"/>
      <c r="AB89" s="546"/>
      <c r="AC89" s="546"/>
    </row>
    <row r="90" spans="1:68" ht="14.25" customHeight="1" x14ac:dyDescent="0.25">
      <c r="A90" s="557" t="s">
        <v>73</v>
      </c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500</v>
      </c>
      <c r="Y91" s="544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360</v>
      </c>
      <c r="Y93" s="544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69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5">
        <f>IFERROR(X91/H91,"0")+IFERROR(X92/H92,"0")+IFERROR(X93/H93,"0")+IFERROR(X94/H94,"0")</f>
        <v>195.06172839506172</v>
      </c>
      <c r="Y95" s="545">
        <f>IFERROR(Y91/H91,"0")+IFERROR(Y92/H92,"0")+IFERROR(Y93/H93,"0")+IFERROR(Y94/H94,"0")</f>
        <v>196</v>
      </c>
      <c r="Z95" s="545">
        <f>IFERROR(IF(Z91="",0,Z91),"0")+IFERROR(IF(Z92="",0,Z92),"0")+IFERROR(IF(Z93="",0,Z93),"0")+IFERROR(IF(Z94="",0,Z94),"0")</f>
        <v>2.0491000000000001</v>
      </c>
      <c r="AA95" s="546"/>
      <c r="AB95" s="546"/>
      <c r="AC95" s="546"/>
    </row>
    <row r="96" spans="1:68" x14ac:dyDescent="0.2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69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5">
        <f>IFERROR(SUM(X91:X94),"0")</f>
        <v>860</v>
      </c>
      <c r="Y96" s="545">
        <f>IFERROR(SUM(Y91:Y94),"0")</f>
        <v>864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38"/>
      <c r="AB97" s="538"/>
      <c r="AC97" s="538"/>
    </row>
    <row r="98" spans="1:68" ht="14.25" customHeight="1" x14ac:dyDescent="0.25">
      <c r="A98" s="557" t="s">
        <v>101</v>
      </c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500</v>
      </c>
      <c r="Y99" s="544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69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5">
        <f>IFERROR(X99/H99,"0")+IFERROR(X100/H100,"0")+IFERROR(X101/H101,"0")+IFERROR(X102/H102,"0")</f>
        <v>46.296296296296291</v>
      </c>
      <c r="Y103" s="545">
        <f>IFERROR(Y99/H99,"0")+IFERROR(Y100/H100,"0")+IFERROR(Y101/H101,"0")+IFERROR(Y102/H102,"0")</f>
        <v>47</v>
      </c>
      <c r="Z103" s="545">
        <f>IFERROR(IF(Z99="",0,Z99),"0")+IFERROR(IF(Z100="",0,Z100),"0")+IFERROR(IF(Z101="",0,Z101),"0")+IFERROR(IF(Z102="",0,Z102),"0")</f>
        <v>0.89205999999999996</v>
      </c>
      <c r="AA103" s="546"/>
      <c r="AB103" s="546"/>
      <c r="AC103" s="546"/>
    </row>
    <row r="104" spans="1:68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69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5">
        <f>IFERROR(SUM(X99:X102),"0")</f>
        <v>500</v>
      </c>
      <c r="Y104" s="545">
        <f>IFERROR(SUM(Y99:Y102),"0")</f>
        <v>507.6</v>
      </c>
      <c r="Z104" s="37"/>
      <c r="AA104" s="546"/>
      <c r="AB104" s="546"/>
      <c r="AC104" s="546"/>
    </row>
    <row r="105" spans="1:68" ht="14.25" customHeight="1" x14ac:dyDescent="0.25">
      <c r="A105" s="557" t="s">
        <v>136</v>
      </c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69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69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57" t="s">
        <v>73</v>
      </c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300</v>
      </c>
      <c r="Y112" s="544">
        <f>IFERROR(IF(X112="",0,CEILING((X112/$H112),1)*$H112),"")</f>
        <v>307.8</v>
      </c>
      <c r="Z112" s="36">
        <f>IFERROR(IF(Y112=0,"",ROUNDUP(Y112/H112,0)*0.01898),"")</f>
        <v>0.72123999999999999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318.07407407407402</v>
      </c>
      <c r="BN112" s="64">
        <f>IFERROR(Y112*I112/H112,"0")</f>
        <v>326.34399999999999</v>
      </c>
      <c r="BO112" s="64">
        <f>IFERROR(1/J112*(X112/H112),"0")</f>
        <v>0.57870370370370372</v>
      </c>
      <c r="BP112" s="64">
        <f>IFERROR(1/J112*(Y112/H112),"0")</f>
        <v>0.59375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450</v>
      </c>
      <c r="Y114" s="544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69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5">
        <f>IFERROR(X112/H112,"0")+IFERROR(X113/H113,"0")+IFERROR(X114/H114,"0")+IFERROR(X115/H115,"0")</f>
        <v>203.7037037037037</v>
      </c>
      <c r="Y116" s="545">
        <f>IFERROR(Y112/H112,"0")+IFERROR(Y113/H113,"0")+IFERROR(Y114/H114,"0")+IFERROR(Y115/H115,"0")</f>
        <v>205</v>
      </c>
      <c r="Z116" s="545">
        <f>IFERROR(IF(Z112="",0,Z112),"0")+IFERROR(IF(Z113="",0,Z113),"0")+IFERROR(IF(Z114="",0,Z114),"0")+IFERROR(IF(Z115="",0,Z115),"0")</f>
        <v>1.8084099999999999</v>
      </c>
      <c r="AA116" s="546"/>
      <c r="AB116" s="546"/>
      <c r="AC116" s="546"/>
    </row>
    <row r="117" spans="1:68" x14ac:dyDescent="0.2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69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5">
        <f>IFERROR(SUM(X112:X115),"0")</f>
        <v>750</v>
      </c>
      <c r="Y117" s="545">
        <f>IFERROR(SUM(Y112:Y115),"0")</f>
        <v>758.7</v>
      </c>
      <c r="Z117" s="37"/>
      <c r="AA117" s="546"/>
      <c r="AB117" s="546"/>
      <c r="AC117" s="546"/>
    </row>
    <row r="118" spans="1:68" ht="14.25" customHeight="1" x14ac:dyDescent="0.25">
      <c r="A118" s="557" t="s">
        <v>164</v>
      </c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38"/>
      <c r="AB122" s="538"/>
      <c r="AC122" s="538"/>
    </row>
    <row r="123" spans="1:68" ht="14.25" customHeight="1" x14ac:dyDescent="0.25">
      <c r="A123" s="557" t="s">
        <v>101</v>
      </c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69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69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57" t="s">
        <v>64</v>
      </c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69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57" t="s">
        <v>73</v>
      </c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69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38"/>
      <c r="AB138" s="538"/>
      <c r="AC138" s="538"/>
    </row>
    <row r="139" spans="1:68" ht="14.25" customHeight="1" x14ac:dyDescent="0.25">
      <c r="A139" s="557" t="s">
        <v>101</v>
      </c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69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x14ac:dyDescent="0.2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69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customHeight="1" x14ac:dyDescent="0.25">
      <c r="A144" s="557" t="s">
        <v>64</v>
      </c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0">
        <v>4607091387667</v>
      </c>
      <c r="E145" s="551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0">
        <v>4607091387636</v>
      </c>
      <c r="E146" s="551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0">
        <v>4607091382426</v>
      </c>
      <c r="E147" s="551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69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x14ac:dyDescent="0.2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69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customHeight="1" x14ac:dyDescent="0.25">
      <c r="A150" s="557" t="s">
        <v>73</v>
      </c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39"/>
      <c r="AB150" s="539"/>
      <c r="AC150" s="539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0">
        <v>4680115887459</v>
      </c>
      <c r="E151" s="551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customHeight="1" x14ac:dyDescent="0.2">
      <c r="A154" s="566" t="s">
        <v>250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48"/>
      <c r="AB154" s="48"/>
      <c r="AC154" s="48"/>
    </row>
    <row r="155" spans="1:68" ht="16.5" customHeight="1" x14ac:dyDescent="0.25">
      <c r="A155" s="559" t="s">
        <v>251</v>
      </c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38"/>
      <c r="AB155" s="538"/>
      <c r="AC155" s="538"/>
    </row>
    <row r="156" spans="1:68" ht="14.25" customHeight="1" x14ac:dyDescent="0.25">
      <c r="A156" s="557" t="s">
        <v>136</v>
      </c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39"/>
      <c r="AB156" s="539"/>
      <c r="AC156" s="539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0">
        <v>4680115886223</v>
      </c>
      <c r="E157" s="551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69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x14ac:dyDescent="0.2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69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customHeight="1" x14ac:dyDescent="0.25">
      <c r="A160" s="557" t="s">
        <v>64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39"/>
      <c r="AB160" s="539"/>
      <c r="AC160" s="539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0">
        <v>4680115880993</v>
      </c>
      <c r="E161" s="551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0">
        <v>4680115881761</v>
      </c>
      <c r="E162" s="551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0">
        <v>4680115881563</v>
      </c>
      <c r="E163" s="551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0">
        <v>4680115880986</v>
      </c>
      <c r="E164" s="551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0">
        <v>4680115887213</v>
      </c>
      <c r="E165" s="551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1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0">
        <v>4680115881785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0">
        <v>4680115886537</v>
      </c>
      <c r="E167" s="551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0">
        <v>4680115881679</v>
      </c>
      <c r="E168" s="551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0">
        <v>4680115880191</v>
      </c>
      <c r="E169" s="551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0">
        <v>4680115883963</v>
      </c>
      <c r="E170" s="551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69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x14ac:dyDescent="0.2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69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customHeight="1" x14ac:dyDescent="0.25">
      <c r="A173" s="557" t="s">
        <v>93</v>
      </c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39"/>
      <c r="AB173" s="539"/>
      <c r="AC173" s="539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0">
        <v>4680115886780</v>
      </c>
      <c r="E174" s="551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0">
        <v>4680115886742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0">
        <v>4680115886766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customHeight="1" x14ac:dyDescent="0.25">
      <c r="A179" s="557" t="s">
        <v>293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0">
        <v>4680115886797</v>
      </c>
      <c r="E180" s="551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69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x14ac:dyDescent="0.2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69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customHeight="1" x14ac:dyDescent="0.25">
      <c r="A183" s="559" t="s">
        <v>296</v>
      </c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38"/>
      <c r="AB183" s="538"/>
      <c r="AC183" s="538"/>
    </row>
    <row r="184" spans="1:68" ht="14.25" customHeight="1" x14ac:dyDescent="0.25">
      <c r="A184" s="557" t="s">
        <v>101</v>
      </c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39"/>
      <c r="AB184" s="539"/>
      <c r="AC184" s="539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0">
        <v>4680115881402</v>
      </c>
      <c r="E185" s="551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0">
        <v>4680115881396</v>
      </c>
      <c r="E186" s="551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customHeight="1" x14ac:dyDescent="0.25">
      <c r="A189" s="557" t="s">
        <v>136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39"/>
      <c r="AB189" s="539"/>
      <c r="AC189" s="539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0">
        <v>4680115882935</v>
      </c>
      <c r="E190" s="551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0">
        <v>4680115880764</v>
      </c>
      <c r="E191" s="551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69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x14ac:dyDescent="0.2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customHeight="1" x14ac:dyDescent="0.25">
      <c r="A194" s="557" t="s">
        <v>64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0">
        <v>4680115882683</v>
      </c>
      <c r="E195" s="551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0">
        <v>4680115882690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0">
        <v>4680115882669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0">
        <v>4680115882676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0">
        <v>4680115884014</v>
      </c>
      <c r="E199" s="551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0">
        <v>4680115884007</v>
      </c>
      <c r="E200" s="551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0">
        <v>4680115884038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0">
        <v>4680115884021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69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0</v>
      </c>
      <c r="Y203" s="545">
        <f>IFERROR(Y195/H195,"0")+IFERROR(Y196/H196,"0")+IFERROR(Y197/H197,"0")+IFERROR(Y198/H198,"0")+IFERROR(Y199/H199,"0")+IFERROR(Y200/H200,"0")+IFERROR(Y201/H201,"0")+IFERROR(Y202/H202,"0")</f>
        <v>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6"/>
      <c r="AB203" s="546"/>
      <c r="AC203" s="546"/>
    </row>
    <row r="204" spans="1:68" x14ac:dyDescent="0.2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69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5">
        <f>IFERROR(SUM(X195:X202),"0")</f>
        <v>0</v>
      </c>
      <c r="Y204" s="545">
        <f>IFERROR(SUM(Y195:Y202),"0")</f>
        <v>0</v>
      </c>
      <c r="Z204" s="37"/>
      <c r="AA204" s="546"/>
      <c r="AB204" s="546"/>
      <c r="AC204" s="546"/>
    </row>
    <row r="205" spans="1:68" ht="14.25" customHeight="1" x14ac:dyDescent="0.25">
      <c r="A205" s="557" t="s">
        <v>73</v>
      </c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0">
        <v>4680115881594</v>
      </c>
      <c r="E206" s="551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0">
        <v>4680115881617</v>
      </c>
      <c r="E207" s="551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0">
        <v>4680115880573</v>
      </c>
      <c r="E208" s="551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0">
        <v>4680115882195</v>
      </c>
      <c r="E209" s="551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0">
        <v>4680115882607</v>
      </c>
      <c r="E210" s="551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0">
        <v>4680115880092</v>
      </c>
      <c r="E211" s="551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80</v>
      </c>
      <c r="Y211" s="544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0">
        <v>4680115880221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200</v>
      </c>
      <c r="Y212" s="544">
        <f t="shared" si="15"/>
        <v>201.6</v>
      </c>
      <c r="Z212" s="36">
        <f t="shared" si="20"/>
        <v>0.54683999999999999</v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0">
        <v>4680115880504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0">
        <v>4680115882164</v>
      </c>
      <c r="E214" s="551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69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116.66666666666669</v>
      </c>
      <c r="Y215" s="545">
        <f>IFERROR(Y206/H206,"0")+IFERROR(Y207/H207,"0")+IFERROR(Y208/H208,"0")+IFERROR(Y209/H209,"0")+IFERROR(Y210/H210,"0")+IFERROR(Y211/H211,"0")+IFERROR(Y212/H212,"0")+IFERROR(Y213/H213,"0")+IFERROR(Y214/H214,"0")</f>
        <v>118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0.76817999999999997</v>
      </c>
      <c r="AA215" s="546"/>
      <c r="AB215" s="546"/>
      <c r="AC215" s="546"/>
    </row>
    <row r="216" spans="1:68" x14ac:dyDescent="0.2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69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5">
        <f>IFERROR(SUM(X206:X214),"0")</f>
        <v>280</v>
      </c>
      <c r="Y216" s="545">
        <f>IFERROR(SUM(Y206:Y214),"0")</f>
        <v>283.2</v>
      </c>
      <c r="Z216" s="37"/>
      <c r="AA216" s="546"/>
      <c r="AB216" s="546"/>
      <c r="AC216" s="546"/>
    </row>
    <row r="217" spans="1:68" ht="14.25" customHeight="1" x14ac:dyDescent="0.25">
      <c r="A217" s="557" t="s">
        <v>164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0">
        <v>4680115880818</v>
      </c>
      <c r="E218" s="551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0">
        <v>4680115880801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69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x14ac:dyDescent="0.2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customHeight="1" x14ac:dyDescent="0.25">
      <c r="A222" s="559" t="s">
        <v>355</v>
      </c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38"/>
      <c r="AB222" s="538"/>
      <c r="AC222" s="538"/>
    </row>
    <row r="223" spans="1:68" ht="14.25" customHeight="1" x14ac:dyDescent="0.25">
      <c r="A223" s="557" t="s">
        <v>101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39"/>
      <c r="AB223" s="539"/>
      <c r="AC223" s="539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0">
        <v>4680115884137</v>
      </c>
      <c r="E224" s="551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0">
        <v>4680115884236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0">
        <v>4680115884175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0">
        <v>4680115884144</v>
      </c>
      <c r="E227" s="551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0">
        <v>4680115886551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0">
        <v>4680115884182</v>
      </c>
      <c r="E230" s="551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0">
        <v>4680115887282</v>
      </c>
      <c r="E231" s="551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0">
        <v>4680115884205</v>
      </c>
      <c r="E232" s="551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69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x14ac:dyDescent="0.2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69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customHeight="1" x14ac:dyDescent="0.25">
      <c r="A236" s="557" t="s">
        <v>136</v>
      </c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39"/>
      <c r="AB236" s="539"/>
      <c r="AC236" s="539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0">
        <v>4680115885981</v>
      </c>
      <c r="E237" s="551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69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x14ac:dyDescent="0.2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customHeight="1" x14ac:dyDescent="0.25">
      <c r="A240" s="557" t="s">
        <v>381</v>
      </c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39"/>
      <c r="AB240" s="539"/>
      <c r="AC240" s="539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0">
        <v>4680115886803</v>
      </c>
      <c r="E241" s="551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69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x14ac:dyDescent="0.2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customHeight="1" x14ac:dyDescent="0.25">
      <c r="A244" s="557" t="s">
        <v>385</v>
      </c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39"/>
      <c r="AB244" s="539"/>
      <c r="AC244" s="539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0">
        <v>4680115886704</v>
      </c>
      <c r="E245" s="551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0">
        <v>4680115886681</v>
      </c>
      <c r="E246" s="551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0">
        <v>4680115886735</v>
      </c>
      <c r="E247" s="551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0">
        <v>4680115886728</v>
      </c>
      <c r="E248" s="551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0">
        <v>4680115886711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69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x14ac:dyDescent="0.2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69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customHeight="1" x14ac:dyDescent="0.25">
      <c r="A252" s="559" t="s">
        <v>397</v>
      </c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38"/>
      <c r="AB252" s="538"/>
      <c r="AC252" s="538"/>
    </row>
    <row r="253" spans="1:68" ht="14.25" customHeight="1" x14ac:dyDescent="0.25">
      <c r="A253" s="557" t="s">
        <v>101</v>
      </c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0">
        <v>4680115885837</v>
      </c>
      <c r="E254" s="551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0">
        <v>4680115885851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0">
        <v>4680115885806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0">
        <v>4680115885844</v>
      </c>
      <c r="E257" s="551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0">
        <v>4680115885820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69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x14ac:dyDescent="0.2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69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customHeight="1" x14ac:dyDescent="0.25">
      <c r="A261" s="559" t="s">
        <v>413</v>
      </c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38"/>
      <c r="AB261" s="538"/>
      <c r="AC261" s="538"/>
    </row>
    <row r="262" spans="1:68" ht="14.25" customHeight="1" x14ac:dyDescent="0.25">
      <c r="A262" s="557" t="s">
        <v>101</v>
      </c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39"/>
      <c r="AB262" s="539"/>
      <c r="AC262" s="539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0">
        <v>4607091383423</v>
      </c>
      <c r="E263" s="551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0">
        <v>4680115886957</v>
      </c>
      <c r="E264" s="551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0">
        <v>4680115885660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0">
        <v>4680115886773</v>
      </c>
      <c r="E266" s="551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69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x14ac:dyDescent="0.2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69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customHeight="1" x14ac:dyDescent="0.25">
      <c r="A269" s="559" t="s">
        <v>424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38"/>
      <c r="AB269" s="538"/>
      <c r="AC269" s="538"/>
    </row>
    <row r="270" spans="1:68" ht="14.25" customHeight="1" x14ac:dyDescent="0.25">
      <c r="A270" s="557" t="s">
        <v>73</v>
      </c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39"/>
      <c r="AB270" s="539"/>
      <c r="AC270" s="539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0">
        <v>4680115886186</v>
      </c>
      <c r="E271" s="551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0">
        <v>4680115881228</v>
      </c>
      <c r="E272" s="551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0">
        <v>4680115881211</v>
      </c>
      <c r="E273" s="551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69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x14ac:dyDescent="0.2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69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customHeight="1" x14ac:dyDescent="0.25">
      <c r="A276" s="559" t="s">
        <v>433</v>
      </c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38"/>
      <c r="AB276" s="538"/>
      <c r="AC276" s="538"/>
    </row>
    <row r="277" spans="1:68" ht="14.25" customHeight="1" x14ac:dyDescent="0.25">
      <c r="A277" s="557" t="s">
        <v>64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39"/>
      <c r="AB277" s="539"/>
      <c r="AC277" s="539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0">
        <v>4680115880344</v>
      </c>
      <c r="E278" s="551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0">
        <v>4680115886919</v>
      </c>
      <c r="E279" s="551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x14ac:dyDescent="0.2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69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customHeight="1" x14ac:dyDescent="0.25">
      <c r="A282" s="557" t="s">
        <v>73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0">
        <v>4680115884618</v>
      </c>
      <c r="E283" s="551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446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38"/>
      <c r="AB287" s="538"/>
      <c r="AC287" s="538"/>
    </row>
    <row r="288" spans="1:68" ht="14.25" customHeight="1" x14ac:dyDescent="0.25">
      <c r="A288" s="557" t="s">
        <v>101</v>
      </c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50">
        <v>4607091386004</v>
      </c>
      <c r="E289" s="551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50">
        <v>4680115885615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50">
        <v>4680115885646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50">
        <v>4680115885554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50">
        <v>4680115885622</v>
      </c>
      <c r="E293" s="551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50">
        <v>4680115885608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69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69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7" t="s">
        <v>64</v>
      </c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50">
        <v>4607091387193</v>
      </c>
      <c r="E298" s="551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50">
        <v>4607091387230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50">
        <v>4607091387292</v>
      </c>
      <c r="E300" s="551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50">
        <v>4607091387285</v>
      </c>
      <c r="E301" s="55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50">
        <v>4607091389845</v>
      </c>
      <c r="E302" s="55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4301031306</v>
      </c>
      <c r="D303" s="550">
        <v>4680115882881</v>
      </c>
      <c r="E303" s="55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50">
        <v>4607091383836</v>
      </c>
      <c r="E304" s="55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69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x14ac:dyDescent="0.2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69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customHeight="1" x14ac:dyDescent="0.25">
      <c r="A307" s="557" t="s">
        <v>73</v>
      </c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50">
        <v>4607091387766</v>
      </c>
      <c r="E308" s="551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700</v>
      </c>
      <c r="Y308" s="544">
        <f>IFERROR(IF(X308="",0,CEILING((X308/$H308),1)*$H308),"")</f>
        <v>702</v>
      </c>
      <c r="Z308" s="36">
        <f>IFERROR(IF(Y308=0,"",ROUNDUP(Y308/H308,0)*0.01898),"")</f>
        <v>1.7081999999999999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743.79487179487182</v>
      </c>
      <c r="BN308" s="64">
        <f>IFERROR(Y308*I308/H308,"0")</f>
        <v>745.92000000000007</v>
      </c>
      <c r="BO308" s="64">
        <f>IFERROR(1/J308*(X308/H308),"0")</f>
        <v>1.4022435897435899</v>
      </c>
      <c r="BP308" s="64">
        <f>IFERROR(1/J308*(Y308/H308),"0")</f>
        <v>1.40625</v>
      </c>
    </row>
    <row r="309" spans="1:68" ht="27" customHeight="1" x14ac:dyDescent="0.25">
      <c r="A309" s="54" t="s">
        <v>486</v>
      </c>
      <c r="B309" s="54" t="s">
        <v>487</v>
      </c>
      <c r="C309" s="31">
        <v>4301051818</v>
      </c>
      <c r="D309" s="550">
        <v>4607091387957</v>
      </c>
      <c r="E309" s="551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4301051819</v>
      </c>
      <c r="D310" s="550">
        <v>4607091387964</v>
      </c>
      <c r="E310" s="551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50">
        <v>4680115884588</v>
      </c>
      <c r="E311" s="55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6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69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5">
        <f>IFERROR(X308/H308,"0")+IFERROR(X309/H309,"0")+IFERROR(X310/H310,"0")+IFERROR(X311/H311,"0")</f>
        <v>89.743589743589752</v>
      </c>
      <c r="Y312" s="545">
        <f>IFERROR(Y308/H308,"0")+IFERROR(Y309/H309,"0")+IFERROR(Y310/H310,"0")+IFERROR(Y311/H311,"0")</f>
        <v>90</v>
      </c>
      <c r="Z312" s="545">
        <f>IFERROR(IF(Z308="",0,Z308),"0")+IFERROR(IF(Z309="",0,Z309),"0")+IFERROR(IF(Z310="",0,Z310),"0")+IFERROR(IF(Z311="",0,Z311),"0")</f>
        <v>1.7081999999999999</v>
      </c>
      <c r="AA312" s="546"/>
      <c r="AB312" s="546"/>
      <c r="AC312" s="546"/>
    </row>
    <row r="313" spans="1:68" x14ac:dyDescent="0.2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69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5">
        <f>IFERROR(SUM(X308:X311),"0")</f>
        <v>700</v>
      </c>
      <c r="Y313" s="545">
        <f>IFERROR(SUM(Y308:Y311),"0")</f>
        <v>702</v>
      </c>
      <c r="Z313" s="37"/>
      <c r="AA313" s="546"/>
      <c r="AB313" s="546"/>
      <c r="AC313" s="546"/>
    </row>
    <row r="314" spans="1:68" ht="14.25" customHeight="1" x14ac:dyDescent="0.25">
      <c r="A314" s="557" t="s">
        <v>164</v>
      </c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50">
        <v>4607091380880</v>
      </c>
      <c r="E315" s="551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50">
        <v>4607091384482</v>
      </c>
      <c r="E316" s="551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100</v>
      </c>
      <c r="Y316" s="544">
        <f>IFERROR(IF(X316="",0,CEILING((X316/$H316),1)*$H316),"")</f>
        <v>101.39999999999999</v>
      </c>
      <c r="Z316" s="36">
        <f>IFERROR(IF(Y316=0,"",ROUNDUP(Y316/H316,0)*0.01898),"")</f>
        <v>0.24674000000000001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106.33333333333334</v>
      </c>
      <c r="BN316" s="64">
        <f>IFERROR(Y316*I316/H316,"0")</f>
        <v>107.82199999999999</v>
      </c>
      <c r="BO316" s="64">
        <f>IFERROR(1/J316*(X316/H316),"0")</f>
        <v>0.20032051282051283</v>
      </c>
      <c r="BP316" s="64">
        <f>IFERROR(1/J316*(Y316/H316),"0")</f>
        <v>0.203125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50">
        <v>4607091380897</v>
      </c>
      <c r="E317" s="551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69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5">
        <f>IFERROR(X315/H315,"0")+IFERROR(X316/H316,"0")+IFERROR(X317/H317,"0")</f>
        <v>12.820512820512821</v>
      </c>
      <c r="Y318" s="545">
        <f>IFERROR(Y315/H315,"0")+IFERROR(Y316/H316,"0")+IFERROR(Y317/H317,"0")</f>
        <v>13</v>
      </c>
      <c r="Z318" s="545">
        <f>IFERROR(IF(Z315="",0,Z315),"0")+IFERROR(IF(Z316="",0,Z316),"0")+IFERROR(IF(Z317="",0,Z317),"0")</f>
        <v>0.24674000000000001</v>
      </c>
      <c r="AA318" s="546"/>
      <c r="AB318" s="546"/>
      <c r="AC318" s="546"/>
    </row>
    <row r="319" spans="1:68" x14ac:dyDescent="0.2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69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5">
        <f>IFERROR(SUM(X315:X317),"0")</f>
        <v>100</v>
      </c>
      <c r="Y319" s="545">
        <f>IFERROR(SUM(Y315:Y317),"0")</f>
        <v>101.39999999999999</v>
      </c>
      <c r="Z319" s="37"/>
      <c r="AA319" s="546"/>
      <c r="AB319" s="546"/>
      <c r="AC319" s="546"/>
    </row>
    <row r="320" spans="1:68" ht="14.25" customHeight="1" x14ac:dyDescent="0.25">
      <c r="A320" s="557" t="s">
        <v>93</v>
      </c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50">
        <v>4607091388381</v>
      </c>
      <c r="E321" s="551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50">
        <v>4607091388374</v>
      </c>
      <c r="E322" s="551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50">
        <v>4607091383102</v>
      </c>
      <c r="E323" s="551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50">
        <v>4607091388404</v>
      </c>
      <c r="E324" s="551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69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x14ac:dyDescent="0.2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69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customHeight="1" x14ac:dyDescent="0.25">
      <c r="A327" s="557" t="s">
        <v>514</v>
      </c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39"/>
      <c r="AB327" s="539"/>
      <c r="AC327" s="539"/>
    </row>
    <row r="328" spans="1:68" ht="16.5" customHeight="1" x14ac:dyDescent="0.25">
      <c r="A328" s="54" t="s">
        <v>515</v>
      </c>
      <c r="B328" s="54" t="s">
        <v>516</v>
      </c>
      <c r="C328" s="31">
        <v>4301180007</v>
      </c>
      <c r="D328" s="550">
        <v>4680115881808</v>
      </c>
      <c r="E328" s="551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4301180006</v>
      </c>
      <c r="D329" s="550">
        <v>4680115881822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521</v>
      </c>
      <c r="B330" s="54" t="s">
        <v>522</v>
      </c>
      <c r="C330" s="31">
        <v>4301180001</v>
      </c>
      <c r="D330" s="550">
        <v>4680115880016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69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x14ac:dyDescent="0.2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69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customHeight="1" x14ac:dyDescent="0.25">
      <c r="A333" s="559" t="s">
        <v>523</v>
      </c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38"/>
      <c r="AB333" s="538"/>
      <c r="AC333" s="538"/>
    </row>
    <row r="334" spans="1:68" ht="14.25" customHeight="1" x14ac:dyDescent="0.25">
      <c r="A334" s="557" t="s">
        <v>73</v>
      </c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50">
        <v>4607091387919</v>
      </c>
      <c r="E335" s="551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50">
        <v>4680115883604</v>
      </c>
      <c r="E336" s="551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126</v>
      </c>
      <c r="Y336" s="544">
        <f>IFERROR(IF(X336="",0,CEILING((X336/$H336),1)*$H336),"")</f>
        <v>126</v>
      </c>
      <c r="Z336" s="36">
        <f>IFERROR(IF(Y336=0,"",ROUNDUP(Y336/H336,0)*0.00651),"")</f>
        <v>0.3906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141.11999999999998</v>
      </c>
      <c r="BN336" s="64">
        <f>IFERROR(Y336*I336/H336,"0")</f>
        <v>141.11999999999998</v>
      </c>
      <c r="BO336" s="64">
        <f>IFERROR(1/J336*(X336/H336),"0")</f>
        <v>0.32967032967032972</v>
      </c>
      <c r="BP336" s="64">
        <f>IFERROR(1/J336*(Y336/H336),"0")</f>
        <v>0.32967032967032972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50">
        <v>4680115883567</v>
      </c>
      <c r="E337" s="551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69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5">
        <f>IFERROR(X335/H335,"0")+IFERROR(X336/H336,"0")+IFERROR(X337/H337,"0")</f>
        <v>60</v>
      </c>
      <c r="Y338" s="545">
        <f>IFERROR(Y335/H335,"0")+IFERROR(Y336/H336,"0")+IFERROR(Y337/H337,"0")</f>
        <v>60</v>
      </c>
      <c r="Z338" s="545">
        <f>IFERROR(IF(Z335="",0,Z335),"0")+IFERROR(IF(Z336="",0,Z336),"0")+IFERROR(IF(Z337="",0,Z337),"0")</f>
        <v>0.3906</v>
      </c>
      <c r="AA338" s="546"/>
      <c r="AB338" s="546"/>
      <c r="AC338" s="546"/>
    </row>
    <row r="339" spans="1:68" x14ac:dyDescent="0.2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69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5">
        <f>IFERROR(SUM(X335:X337),"0")</f>
        <v>126</v>
      </c>
      <c r="Y339" s="545">
        <f>IFERROR(SUM(Y335:Y337),"0")</f>
        <v>126</v>
      </c>
      <c r="Z339" s="37"/>
      <c r="AA339" s="546"/>
      <c r="AB339" s="546"/>
      <c r="AC339" s="546"/>
    </row>
    <row r="340" spans="1:68" ht="27.75" customHeight="1" x14ac:dyDescent="0.2">
      <c r="A340" s="566" t="s">
        <v>533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48"/>
      <c r="AB340" s="48"/>
      <c r="AC340" s="48"/>
    </row>
    <row r="341" spans="1:68" ht="16.5" customHeight="1" x14ac:dyDescent="0.25">
      <c r="A341" s="559" t="s">
        <v>534</v>
      </c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38"/>
      <c r="AB341" s="538"/>
      <c r="AC341" s="538"/>
    </row>
    <row r="342" spans="1:68" ht="14.25" customHeight="1" x14ac:dyDescent="0.25">
      <c r="A342" s="557" t="s">
        <v>101</v>
      </c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50">
        <v>4680115884847</v>
      </c>
      <c r="E343" s="551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3">
        <v>1000</v>
      </c>
      <c r="Y343" s="544">
        <f t="shared" ref="Y343:Y349" si="36">IFERROR(IF(X343="",0,CEILING((X343/$H343),1)*$H343),"")</f>
        <v>1005</v>
      </c>
      <c r="Z343" s="36">
        <f>IFERROR(IF(Y343=0,"",ROUNDUP(Y343/H343,0)*0.02175),"")</f>
        <v>1.4572499999999999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1031.3333333333333</v>
      </c>
      <c r="BN343" s="64">
        <f t="shared" ref="BN343:BN349" si="38">IFERROR(Y343*I343/H343,"0")</f>
        <v>1036.49</v>
      </c>
      <c r="BO343" s="64">
        <f t="shared" ref="BO343:BO349" si="39">IFERROR(1/J343*(X343/H343),"0")</f>
        <v>1.3888888888888888</v>
      </c>
      <c r="BP343" s="64">
        <f t="shared" ref="BP343:BP349" si="40">IFERROR(1/J343*(Y343/H343),"0")</f>
        <v>1.3958333333333333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50">
        <v>4680115884854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1250</v>
      </c>
      <c r="Y344" s="544">
        <f t="shared" si="36"/>
        <v>1260</v>
      </c>
      <c r="Z344" s="36">
        <f>IFERROR(IF(Y344=0,"",ROUNDUP(Y344/H344,0)*0.02175),"")</f>
        <v>1.827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1289.1666666666667</v>
      </c>
      <c r="BN344" s="64">
        <f t="shared" si="38"/>
        <v>1299.48</v>
      </c>
      <c r="BO344" s="64">
        <f t="shared" si="39"/>
        <v>1.7361111111111109</v>
      </c>
      <c r="BP344" s="64">
        <f t="shared" si="40"/>
        <v>1.75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50">
        <v>4680115884830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2000</v>
      </c>
      <c r="Y345" s="544">
        <f t="shared" si="36"/>
        <v>2010</v>
      </c>
      <c r="Z345" s="36">
        <f>IFERROR(IF(Y345=0,"",ROUNDUP(Y345/H345,0)*0.02175),"")</f>
        <v>2.9144999999999999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2062.6666666666665</v>
      </c>
      <c r="BN345" s="64">
        <f t="shared" si="38"/>
        <v>2072.98</v>
      </c>
      <c r="BO345" s="64">
        <f t="shared" si="39"/>
        <v>2.7777777777777777</v>
      </c>
      <c r="BP345" s="64">
        <f t="shared" si="40"/>
        <v>2.7916666666666665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50">
        <v>4680115887046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4301011433</v>
      </c>
      <c r="D347" s="550">
        <v>4680115882638</v>
      </c>
      <c r="E347" s="551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550</v>
      </c>
      <c r="B348" s="54" t="s">
        <v>551</v>
      </c>
      <c r="C348" s="31">
        <v>4301011952</v>
      </c>
      <c r="D348" s="550">
        <v>4680115884922</v>
      </c>
      <c r="E348" s="551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552</v>
      </c>
      <c r="B349" s="54" t="s">
        <v>553</v>
      </c>
      <c r="C349" s="31">
        <v>4301011868</v>
      </c>
      <c r="D349" s="550">
        <v>4680115884861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6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69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5">
        <f>IFERROR(X343/H343,"0")+IFERROR(X344/H344,"0")+IFERROR(X345/H345,"0")+IFERROR(X346/H346,"0")+IFERROR(X347/H347,"0")+IFERROR(X348/H348,"0")+IFERROR(X349/H349,"0")</f>
        <v>283.33333333333337</v>
      </c>
      <c r="Y350" s="545">
        <f>IFERROR(Y343/H343,"0")+IFERROR(Y344/H344,"0")+IFERROR(Y345/H345,"0")+IFERROR(Y346/H346,"0")+IFERROR(Y347/H347,"0")+IFERROR(Y348/H348,"0")+IFERROR(Y349/H349,"0")</f>
        <v>285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6.1987500000000004</v>
      </c>
      <c r="AA350" s="546"/>
      <c r="AB350" s="546"/>
      <c r="AC350" s="546"/>
    </row>
    <row r="351" spans="1:68" x14ac:dyDescent="0.2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69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5">
        <f>IFERROR(SUM(X343:X349),"0")</f>
        <v>4250</v>
      </c>
      <c r="Y351" s="545">
        <f>IFERROR(SUM(Y343:Y349),"0")</f>
        <v>4275</v>
      </c>
      <c r="Z351" s="37"/>
      <c r="AA351" s="546"/>
      <c r="AB351" s="546"/>
      <c r="AC351" s="546"/>
    </row>
    <row r="352" spans="1:68" ht="14.25" customHeight="1" x14ac:dyDescent="0.25">
      <c r="A352" s="557" t="s">
        <v>136</v>
      </c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50">
        <v>4607091383980</v>
      </c>
      <c r="E353" s="551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1000</v>
      </c>
      <c r="Y353" s="544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50">
        <v>4607091384178</v>
      </c>
      <c r="E354" s="551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6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69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5">
        <f>IFERROR(X353/H353,"0")+IFERROR(X354/H354,"0")</f>
        <v>66.666666666666671</v>
      </c>
      <c r="Y355" s="545">
        <f>IFERROR(Y353/H353,"0")+IFERROR(Y354/H354,"0")</f>
        <v>67</v>
      </c>
      <c r="Z355" s="545">
        <f>IFERROR(IF(Z353="",0,Z353),"0")+IFERROR(IF(Z354="",0,Z354),"0")</f>
        <v>1.4572499999999999</v>
      </c>
      <c r="AA355" s="546"/>
      <c r="AB355" s="546"/>
      <c r="AC355" s="546"/>
    </row>
    <row r="356" spans="1:68" x14ac:dyDescent="0.2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69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5">
        <f>IFERROR(SUM(X353:X354),"0")</f>
        <v>1000</v>
      </c>
      <c r="Y356" s="545">
        <f>IFERROR(SUM(Y353:Y354),"0")</f>
        <v>1005</v>
      </c>
      <c r="Z356" s="37"/>
      <c r="AA356" s="546"/>
      <c r="AB356" s="546"/>
      <c r="AC356" s="546"/>
    </row>
    <row r="357" spans="1:68" ht="14.25" customHeight="1" x14ac:dyDescent="0.25">
      <c r="A357" s="557" t="s">
        <v>73</v>
      </c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50">
        <v>4607091383928</v>
      </c>
      <c r="E358" s="551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50">
        <v>4607091384260</v>
      </c>
      <c r="E359" s="551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69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x14ac:dyDescent="0.2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69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customHeight="1" x14ac:dyDescent="0.25">
      <c r="A362" s="557" t="s">
        <v>164</v>
      </c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50">
        <v>4607091384673</v>
      </c>
      <c r="E363" s="551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x14ac:dyDescent="0.2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69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customHeight="1" x14ac:dyDescent="0.25">
      <c r="A366" s="559" t="s">
        <v>569</v>
      </c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38"/>
      <c r="AB366" s="538"/>
      <c r="AC366" s="538"/>
    </row>
    <row r="367" spans="1:68" ht="14.25" customHeight="1" x14ac:dyDescent="0.25">
      <c r="A367" s="557" t="s">
        <v>101</v>
      </c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39"/>
      <c r="AB367" s="539"/>
      <c r="AC367" s="539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50">
        <v>4680115884885</v>
      </c>
      <c r="E368" s="551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50">
        <v>4680115884908</v>
      </c>
      <c r="E369" s="551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69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x14ac:dyDescent="0.2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69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customHeight="1" x14ac:dyDescent="0.25">
      <c r="A372" s="557" t="s">
        <v>64</v>
      </c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50">
        <v>4607091384802</v>
      </c>
      <c r="E373" s="551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50">
        <v>4607091384802</v>
      </c>
      <c r="E374" s="551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69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x14ac:dyDescent="0.2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69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customHeight="1" x14ac:dyDescent="0.25">
      <c r="A377" s="557" t="s">
        <v>73</v>
      </c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50">
        <v>4607091384246</v>
      </c>
      <c r="E378" s="551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4000</v>
      </c>
      <c r="Y378" s="544">
        <f>IFERROR(IF(X378="",0,CEILING((X378/$H378),1)*$H378),"")</f>
        <v>4005</v>
      </c>
      <c r="Z378" s="36">
        <f>IFERROR(IF(Y378=0,"",ROUNDUP(Y378/H378,0)*0.01898),"")</f>
        <v>8.4460999999999995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4219.5555555555557</v>
      </c>
      <c r="BN378" s="64">
        <f>IFERROR(Y378*I378/H378,"0")</f>
        <v>4224.83</v>
      </c>
      <c r="BO378" s="64">
        <f>IFERROR(1/J378*(X378/H378),"0")</f>
        <v>6.9444444444444446</v>
      </c>
      <c r="BP378" s="64">
        <f>IFERROR(1/J378*(Y378/H378),"0")</f>
        <v>6.953125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50">
        <v>4607091384253</v>
      </c>
      <c r="E379" s="551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100</v>
      </c>
      <c r="Y379" s="544">
        <f>IFERROR(IF(X379="",0,CEILING((X379/$H379),1)*$H379),"")</f>
        <v>100.8</v>
      </c>
      <c r="Z379" s="36">
        <f>IFERROR(IF(Y379=0,"",ROUNDUP(Y379/H379,0)*0.00651),"")</f>
        <v>0.27342</v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111.00000000000001</v>
      </c>
      <c r="BN379" s="64">
        <f>IFERROR(Y379*I379/H379,"0")</f>
        <v>111.88800000000001</v>
      </c>
      <c r="BO379" s="64">
        <f>IFERROR(1/J379*(X379/H379),"0")</f>
        <v>0.22893772893772898</v>
      </c>
      <c r="BP379" s="64">
        <f>IFERROR(1/J379*(Y379/H379),"0")</f>
        <v>0.23076923076923078</v>
      </c>
    </row>
    <row r="380" spans="1:68" ht="27" customHeight="1" x14ac:dyDescent="0.25">
      <c r="A380" s="54" t="s">
        <v>583</v>
      </c>
      <c r="B380" s="54" t="s">
        <v>585</v>
      </c>
      <c r="C380" s="31">
        <v>4301052069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7" t="s">
        <v>586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69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IFERROR(X378/H378,"0")+IFERROR(X379/H379,"0")+IFERROR(X380/H380,"0")</f>
        <v>486.11111111111114</v>
      </c>
      <c r="Y381" s="545">
        <f>IFERROR(Y378/H378,"0")+IFERROR(Y379/H379,"0")+IFERROR(Y380/H380,"0")</f>
        <v>487</v>
      </c>
      <c r="Z381" s="545">
        <f>IFERROR(IF(Z378="",0,Z378),"0")+IFERROR(IF(Z379="",0,Z379),"0")+IFERROR(IF(Z380="",0,Z380),"0")</f>
        <v>8.7195199999999993</v>
      </c>
      <c r="AA381" s="546"/>
      <c r="AB381" s="546"/>
      <c r="AC381" s="546"/>
    </row>
    <row r="382" spans="1:68" x14ac:dyDescent="0.2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69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IFERROR(SUM(X378:X380),"0")</f>
        <v>4100</v>
      </c>
      <c r="Y382" s="545">
        <f>IFERROR(SUM(Y378:Y380),"0")</f>
        <v>4105.8</v>
      </c>
      <c r="Z382" s="37"/>
      <c r="AA382" s="546"/>
      <c r="AB382" s="546"/>
      <c r="AC382" s="546"/>
    </row>
    <row r="383" spans="1:68" ht="27.75" customHeight="1" x14ac:dyDescent="0.2">
      <c r="A383" s="566" t="s">
        <v>588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589</v>
      </c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38"/>
      <c r="AB384" s="538"/>
      <c r="AC384" s="538"/>
    </row>
    <row r="385" spans="1:68" ht="14.25" customHeight="1" x14ac:dyDescent="0.25">
      <c r="A385" s="557" t="s">
        <v>64</v>
      </c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69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69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7" t="s">
        <v>73</v>
      </c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39"/>
      <c r="AB397" s="539"/>
      <c r="AC397" s="539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6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69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69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620</v>
      </c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38"/>
      <c r="AB402" s="538"/>
      <c r="AC402" s="538"/>
    </row>
    <row r="403" spans="1:68" ht="14.25" customHeight="1" x14ac:dyDescent="0.25">
      <c r="A403" s="557" t="s">
        <v>136</v>
      </c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39"/>
      <c r="AB403" s="539"/>
      <c r="AC403" s="539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69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69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7" t="s">
        <v>64</v>
      </c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69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69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635</v>
      </c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38"/>
      <c r="AB414" s="538"/>
      <c r="AC414" s="538"/>
    </row>
    <row r="415" spans="1:68" ht="14.25" customHeight="1" x14ac:dyDescent="0.25">
      <c r="A415" s="557" t="s">
        <v>64</v>
      </c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39"/>
      <c r="AB415" s="539"/>
      <c r="AC415" s="539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6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69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69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639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639</v>
      </c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38"/>
      <c r="AB420" s="538"/>
      <c r="AC420" s="538"/>
    </row>
    <row r="421" spans="1:68" ht="14.25" customHeight="1" x14ac:dyDescent="0.25">
      <c r="A421" s="557" t="s">
        <v>101</v>
      </c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100</v>
      </c>
      <c r="Y422" s="544">
        <f t="shared" ref="Y422:Y432" si="47">IFERROR(IF(X422="",0,CEILING((X422/$H422),1)*$H422),"")</f>
        <v>100.32000000000001</v>
      </c>
      <c r="Z422" s="36">
        <f t="shared" ref="Z422:Z427" si="48">IFERROR(IF(Y422=0,"",ROUNDUP(Y422/H422,0)*0.01196),"")</f>
        <v>0.22724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106.62878787878788</v>
      </c>
      <c r="BN422" s="64">
        <f t="shared" ref="BN422:BN432" si="50">IFERROR(Y422*I422/H422,"0")</f>
        <v>106.97</v>
      </c>
      <c r="BO422" s="64">
        <f t="shared" ref="BO422:BO432" si="51">IFERROR(1/J422*(X422/H422),"0")</f>
        <v>0.18210955710955709</v>
      </c>
      <c r="BP422" s="64">
        <f t="shared" ref="BP422:BP432" si="52">IFERROR(1/J422*(Y422/H422),"0")</f>
        <v>0.18269230769230771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50">
        <v>4607091383522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50">
        <v>4680115885271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250</v>
      </c>
      <c r="Y424" s="544">
        <f t="shared" si="47"/>
        <v>253.44</v>
      </c>
      <c r="Z424" s="36">
        <f t="shared" si="48"/>
        <v>0.57408000000000003</v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266.57196969696969</v>
      </c>
      <c r="BN424" s="64">
        <f t="shared" si="50"/>
        <v>270.23999999999995</v>
      </c>
      <c r="BO424" s="64">
        <f t="shared" si="51"/>
        <v>0.45527389277389274</v>
      </c>
      <c r="BP424" s="64">
        <f t="shared" si="52"/>
        <v>0.46153846153846156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50">
        <v>4680115885226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1000</v>
      </c>
      <c r="Y425" s="544">
        <f t="shared" si="47"/>
        <v>1003.2</v>
      </c>
      <c r="Z425" s="36">
        <f t="shared" si="48"/>
        <v>2.2724000000000002</v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1066.2878787878788</v>
      </c>
      <c r="BN425" s="64">
        <f t="shared" si="50"/>
        <v>1069.7</v>
      </c>
      <c r="BO425" s="64">
        <f t="shared" si="51"/>
        <v>1.821095571095571</v>
      </c>
      <c r="BP425" s="64">
        <f t="shared" si="52"/>
        <v>1.8269230769230771</v>
      </c>
    </row>
    <row r="426" spans="1:68" ht="16.5" customHeight="1" x14ac:dyDescent="0.25">
      <c r="A426" s="54" t="s">
        <v>651</v>
      </c>
      <c r="B426" s="54" t="s">
        <v>652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500</v>
      </c>
      <c r="Y427" s="544">
        <f t="shared" si="47"/>
        <v>501.6</v>
      </c>
      <c r="Z427" s="36">
        <f t="shared" si="48"/>
        <v>1.1362000000000001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533.14393939393938</v>
      </c>
      <c r="BN427" s="64">
        <f t="shared" si="50"/>
        <v>534.85</v>
      </c>
      <c r="BO427" s="64">
        <f t="shared" si="51"/>
        <v>0.91054778554778548</v>
      </c>
      <c r="BP427" s="64">
        <f t="shared" si="52"/>
        <v>0.91346153846153855</v>
      </c>
    </row>
    <row r="428" spans="1:68" ht="27" customHeight="1" x14ac:dyDescent="0.25">
      <c r="A428" s="54" t="s">
        <v>657</v>
      </c>
      <c r="B428" s="54" t="s">
        <v>658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7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69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350.37878787878788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352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4.2099200000000003</v>
      </c>
      <c r="AA433" s="546"/>
      <c r="AB433" s="546"/>
      <c r="AC433" s="546"/>
    </row>
    <row r="434" spans="1:68" x14ac:dyDescent="0.2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69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1850</v>
      </c>
      <c r="Y434" s="545">
        <f>IFERROR(SUM(Y422:Y432),"0")</f>
        <v>1858.56</v>
      </c>
      <c r="Z434" s="37"/>
      <c r="AA434" s="546"/>
      <c r="AB434" s="546"/>
      <c r="AC434" s="546"/>
    </row>
    <row r="435" spans="1:68" ht="14.25" customHeight="1" x14ac:dyDescent="0.25">
      <c r="A435" s="557" t="s">
        <v>136</v>
      </c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500</v>
      </c>
      <c r="Y436" s="544">
        <f>IFERROR(IF(X436="",0,CEILING((X436/$H436),1)*$H436),"")</f>
        <v>501.6</v>
      </c>
      <c r="Z436" s="36">
        <f>IFERROR(IF(Y436=0,"",ROUNDUP(Y436/H436,0)*0.01196),"")</f>
        <v>1.1362000000000001</v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533.14393939393938</v>
      </c>
      <c r="BN436" s="64">
        <f>IFERROR(Y436*I436/H436,"0")</f>
        <v>534.85</v>
      </c>
      <c r="BO436" s="64">
        <f>IFERROR(1/J436*(X436/H436),"0")</f>
        <v>0.91054778554778548</v>
      </c>
      <c r="BP436" s="64">
        <f>IFERROR(1/J436*(Y436/H436),"0")</f>
        <v>0.91346153846153855</v>
      </c>
    </row>
    <row r="437" spans="1:68" ht="16.5" customHeight="1" x14ac:dyDescent="0.25">
      <c r="A437" s="54" t="s">
        <v>671</v>
      </c>
      <c r="B437" s="54" t="s">
        <v>672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69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94.696969696969688</v>
      </c>
      <c r="Y439" s="545">
        <f>IFERROR(Y436/H436,"0")+IFERROR(Y437/H437,"0")+IFERROR(Y438/H438,"0")</f>
        <v>95</v>
      </c>
      <c r="Z439" s="545">
        <f>IFERROR(IF(Z436="",0,Z436),"0")+IFERROR(IF(Z437="",0,Z437),"0")+IFERROR(IF(Z438="",0,Z438),"0")</f>
        <v>1.1362000000000001</v>
      </c>
      <c r="AA439" s="546"/>
      <c r="AB439" s="546"/>
      <c r="AC439" s="546"/>
    </row>
    <row r="440" spans="1:68" x14ac:dyDescent="0.2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69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500</v>
      </c>
      <c r="Y440" s="545">
        <f>IFERROR(SUM(Y436:Y438),"0")</f>
        <v>501.6</v>
      </c>
      <c r="Z440" s="37"/>
      <c r="AA440" s="546"/>
      <c r="AB440" s="546"/>
      <c r="AC440" s="546"/>
    </row>
    <row r="441" spans="1:68" ht="14.25" customHeight="1" x14ac:dyDescent="0.25">
      <c r="A441" s="557" t="s">
        <v>64</v>
      </c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213.25757575757575</v>
      </c>
      <c r="BN442" s="64">
        <f t="shared" ref="BN442:BN447" si="55">IFERROR(Y442*I442/H442,"0")</f>
        <v>213.94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500</v>
      </c>
      <c r="Y443" s="544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500</v>
      </c>
      <c r="Y444" s="544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533.14393939393938</v>
      </c>
      <c r="BN444" s="64">
        <f t="shared" si="55"/>
        <v>534.85</v>
      </c>
      <c r="BO444" s="64">
        <f t="shared" si="56"/>
        <v>0.91054778554778548</v>
      </c>
      <c r="BP444" s="64">
        <f t="shared" si="57"/>
        <v>0.91346153846153855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69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227.27272727272725</v>
      </c>
      <c r="Y448" s="545">
        <f>IFERROR(Y442/H442,"0")+IFERROR(Y443/H443,"0")+IFERROR(Y444/H444,"0")+IFERROR(Y445/H445,"0")+IFERROR(Y446/H446,"0")+IFERROR(Y447/H447,"0")</f>
        <v>228</v>
      </c>
      <c r="Z448" s="545">
        <f>IFERROR(IF(Z442="",0,Z442),"0")+IFERROR(IF(Z443="",0,Z443),"0")+IFERROR(IF(Z444="",0,Z444),"0")+IFERROR(IF(Z445="",0,Z445),"0")+IFERROR(IF(Z446="",0,Z446),"0")+IFERROR(IF(Z447="",0,Z447),"0")</f>
        <v>2.7268800000000004</v>
      </c>
      <c r="AA448" s="546"/>
      <c r="AB448" s="546"/>
      <c r="AC448" s="546"/>
    </row>
    <row r="449" spans="1:68" x14ac:dyDescent="0.2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69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1200</v>
      </c>
      <c r="Y449" s="545">
        <f>IFERROR(SUM(Y442:Y447),"0")</f>
        <v>1203.8400000000001</v>
      </c>
      <c r="Z449" s="37"/>
      <c r="AA449" s="546"/>
      <c r="AB449" s="546"/>
      <c r="AC449" s="546"/>
    </row>
    <row r="450" spans="1:68" ht="14.25" customHeight="1" x14ac:dyDescent="0.25">
      <c r="A450" s="557" t="s">
        <v>73</v>
      </c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39"/>
      <c r="AB450" s="539"/>
      <c r="AC450" s="539"/>
    </row>
    <row r="451" spans="1:68" ht="16.5" customHeight="1" x14ac:dyDescent="0.25">
      <c r="A451" s="54" t="s">
        <v>690</v>
      </c>
      <c r="B451" s="54" t="s">
        <v>691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69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69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699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699</v>
      </c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38"/>
      <c r="AB457" s="538"/>
      <c r="AC457" s="538"/>
    </row>
    <row r="458" spans="1:68" ht="14.25" customHeight="1" x14ac:dyDescent="0.25">
      <c r="A458" s="557" t="s">
        <v>101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100</v>
      </c>
      <c r="Y461" s="544">
        <f>IFERROR(IF(X461="",0,CEILING((X461/$H461),1)*$H461),"")</f>
        <v>108</v>
      </c>
      <c r="Z461" s="36">
        <f>IFERROR(IF(Y461=0,"",ROUNDUP(Y461/H461,0)*0.01898),"")</f>
        <v>0.17082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103.41666666666667</v>
      </c>
      <c r="BN461" s="64">
        <f>IFERROR(Y461*I461/H461,"0")</f>
        <v>111.69</v>
      </c>
      <c r="BO461" s="64">
        <f>IFERROR(1/J461*(X461/H461),"0")</f>
        <v>0.13020833333333334</v>
      </c>
      <c r="BP461" s="64">
        <f>IFERROR(1/J461*(Y461/H461),"0")</f>
        <v>0.140625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69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8.3333333333333339</v>
      </c>
      <c r="Y463" s="545">
        <f>IFERROR(Y459/H459,"0")+IFERROR(Y460/H460,"0")+IFERROR(Y461/H461,"0")+IFERROR(Y462/H462,"0")</f>
        <v>9</v>
      </c>
      <c r="Z463" s="545">
        <f>IFERROR(IF(Z459="",0,Z459),"0")+IFERROR(IF(Z460="",0,Z460),"0")+IFERROR(IF(Z461="",0,Z461),"0")+IFERROR(IF(Z462="",0,Z462),"0")</f>
        <v>0.17082</v>
      </c>
      <c r="AA463" s="546"/>
      <c r="AB463" s="546"/>
      <c r="AC463" s="546"/>
    </row>
    <row r="464" spans="1:68" x14ac:dyDescent="0.2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69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100</v>
      </c>
      <c r="Y464" s="545">
        <f>IFERROR(SUM(Y459:Y462),"0")</f>
        <v>108</v>
      </c>
      <c r="Z464" s="37"/>
      <c r="AA464" s="546"/>
      <c r="AB464" s="546"/>
      <c r="AC464" s="546"/>
    </row>
    <row r="465" spans="1:68" ht="14.25" customHeight="1" x14ac:dyDescent="0.25">
      <c r="A465" s="557" t="s">
        <v>136</v>
      </c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69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7" t="s">
        <v>64</v>
      </c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69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7" t="s">
        <v>73</v>
      </c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200</v>
      </c>
      <c r="Y477" s="544">
        <f>IFERROR(IF(X477="",0,CEILING((X477/$H477),1)*$H477),"")</f>
        <v>207</v>
      </c>
      <c r="Z477" s="36">
        <f>IFERROR(IF(Y477=0,"",ROUNDUP(Y477/H477,0)*0.01898),"")</f>
        <v>0.43653999999999998</v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210.97777777777776</v>
      </c>
      <c r="BN477" s="64">
        <f>IFERROR(Y477*I477/H477,"0")</f>
        <v>218.36199999999999</v>
      </c>
      <c r="BO477" s="64">
        <f>IFERROR(1/J477*(X477/H477),"0")</f>
        <v>0.34722222222222221</v>
      </c>
      <c r="BP477" s="64">
        <f>IFERROR(1/J477*(Y477/H477),"0")</f>
        <v>0.359375</v>
      </c>
    </row>
    <row r="478" spans="1:68" x14ac:dyDescent="0.2">
      <c r="A478" s="56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69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22.222222222222221</v>
      </c>
      <c r="Y478" s="545">
        <f>IFERROR(Y477/H477,"0")</f>
        <v>23</v>
      </c>
      <c r="Z478" s="545">
        <f>IFERROR(IF(Z477="",0,Z477),"0")</f>
        <v>0.43653999999999998</v>
      </c>
      <c r="AA478" s="546"/>
      <c r="AB478" s="546"/>
      <c r="AC478" s="546"/>
    </row>
    <row r="479" spans="1:68" x14ac:dyDescent="0.2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200</v>
      </c>
      <c r="Y479" s="545">
        <f>IFERROR(SUM(Y477:Y477),"0")</f>
        <v>207</v>
      </c>
      <c r="Z479" s="37"/>
      <c r="AA479" s="546"/>
      <c r="AB479" s="546"/>
      <c r="AC479" s="546"/>
    </row>
    <row r="480" spans="1:68" ht="14.25" customHeight="1" x14ac:dyDescent="0.25">
      <c r="A480" s="557" t="s">
        <v>164</v>
      </c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69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735</v>
      </c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38"/>
      <c r="AB485" s="538"/>
      <c r="AC485" s="538"/>
    </row>
    <row r="486" spans="1:68" ht="14.25" customHeight="1" x14ac:dyDescent="0.25">
      <c r="A486" s="557" t="s">
        <v>136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69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5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705"/>
      <c r="P490" s="637" t="s">
        <v>739</v>
      </c>
      <c r="Q490" s="638"/>
      <c r="R490" s="638"/>
      <c r="S490" s="638"/>
      <c r="T490" s="638"/>
      <c r="U490" s="638"/>
      <c r="V490" s="639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17416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17525.7</v>
      </c>
      <c r="Z490" s="37"/>
      <c r="AA490" s="546"/>
      <c r="AB490" s="546"/>
      <c r="AC490" s="546"/>
    </row>
    <row r="491" spans="1:68" x14ac:dyDescent="0.2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05"/>
      <c r="P491" s="637" t="s">
        <v>740</v>
      </c>
      <c r="Q491" s="638"/>
      <c r="R491" s="638"/>
      <c r="S491" s="638"/>
      <c r="T491" s="638"/>
      <c r="U491" s="638"/>
      <c r="V491" s="639"/>
      <c r="W491" s="37" t="s">
        <v>69</v>
      </c>
      <c r="X491" s="545">
        <f>IFERROR(SUM(BM22:BM487),"0")</f>
        <v>18332.736224207896</v>
      </c>
      <c r="Y491" s="545">
        <f>IFERROR(SUM(BN22:BN487),"0")</f>
        <v>18447.701999999994</v>
      </c>
      <c r="Z491" s="37"/>
      <c r="AA491" s="546"/>
      <c r="AB491" s="546"/>
      <c r="AC491" s="546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05"/>
      <c r="P492" s="637" t="s">
        <v>741</v>
      </c>
      <c r="Q492" s="638"/>
      <c r="R492" s="638"/>
      <c r="S492" s="638"/>
      <c r="T492" s="638"/>
      <c r="U492" s="638"/>
      <c r="V492" s="639"/>
      <c r="W492" s="37" t="s">
        <v>742</v>
      </c>
      <c r="X492" s="38">
        <f>ROUNDUP(SUM(BO22:BO487),0)</f>
        <v>30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05"/>
      <c r="P493" s="637" t="s">
        <v>743</v>
      </c>
      <c r="Q493" s="638"/>
      <c r="R493" s="638"/>
      <c r="S493" s="638"/>
      <c r="T493" s="638"/>
      <c r="U493" s="638"/>
      <c r="V493" s="639"/>
      <c r="W493" s="37" t="s">
        <v>69</v>
      </c>
      <c r="X493" s="545">
        <f>GrossWeightTotal+PalletQtyTotal*25</f>
        <v>19082.736224207896</v>
      </c>
      <c r="Y493" s="545">
        <f>GrossWeightTotalR+PalletQtyTotalR*25</f>
        <v>19197.701999999994</v>
      </c>
      <c r="Z493" s="37"/>
      <c r="AA493" s="546"/>
      <c r="AB493" s="546"/>
      <c r="AC493" s="546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05"/>
      <c r="P494" s="637" t="s">
        <v>744</v>
      </c>
      <c r="Q494" s="638"/>
      <c r="R494" s="638"/>
      <c r="S494" s="638"/>
      <c r="T494" s="638"/>
      <c r="U494" s="638"/>
      <c r="V494" s="639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2346.6409824743159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2360</v>
      </c>
      <c r="Z494" s="37"/>
      <c r="AA494" s="546"/>
      <c r="AB494" s="546"/>
      <c r="AC494" s="546"/>
    </row>
    <row r="495" spans="1:68" ht="14.25" customHeight="1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05"/>
      <c r="P495" s="637" t="s">
        <v>745</v>
      </c>
      <c r="Q495" s="638"/>
      <c r="R495" s="638"/>
      <c r="S495" s="638"/>
      <c r="T495" s="638"/>
      <c r="U495" s="638"/>
      <c r="V495" s="639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34.532469999999996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250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533</v>
      </c>
      <c r="T497" s="602"/>
      <c r="U497" s="598" t="s">
        <v>588</v>
      </c>
      <c r="V497" s="601"/>
      <c r="W497" s="602"/>
      <c r="X497" s="540" t="s">
        <v>639</v>
      </c>
      <c r="Y497" s="598" t="s">
        <v>699</v>
      </c>
      <c r="Z497" s="602"/>
      <c r="AB497" s="52"/>
      <c r="AC497" s="52"/>
      <c r="AF497" s="541"/>
    </row>
    <row r="498" spans="1:32" ht="14.25" customHeight="1" thickTop="1" x14ac:dyDescent="0.2">
      <c r="A498" s="614" t="s">
        <v>748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251</v>
      </c>
      <c r="J498" s="598" t="s">
        <v>296</v>
      </c>
      <c r="K498" s="598" t="s">
        <v>355</v>
      </c>
      <c r="L498" s="598" t="s">
        <v>397</v>
      </c>
      <c r="M498" s="598" t="s">
        <v>413</v>
      </c>
      <c r="N498" s="541"/>
      <c r="O498" s="598" t="s">
        <v>424</v>
      </c>
      <c r="P498" s="598" t="s">
        <v>433</v>
      </c>
      <c r="Q498" s="598" t="s">
        <v>446</v>
      </c>
      <c r="R498" s="598" t="s">
        <v>523</v>
      </c>
      <c r="S498" s="598" t="s">
        <v>534</v>
      </c>
      <c r="T498" s="598" t="s">
        <v>569</v>
      </c>
      <c r="U498" s="598" t="s">
        <v>589</v>
      </c>
      <c r="V498" s="598" t="s">
        <v>620</v>
      </c>
      <c r="W498" s="598" t="s">
        <v>635</v>
      </c>
      <c r="X498" s="598" t="s">
        <v>639</v>
      </c>
      <c r="Y498" s="598" t="s">
        <v>699</v>
      </c>
      <c r="Z498" s="598" t="s">
        <v>735</v>
      </c>
      <c r="AB498" s="52"/>
      <c r="AC498" s="52"/>
      <c r="AF498" s="541"/>
    </row>
    <row r="499" spans="1:32" ht="13.5" customHeight="1" thickBot="1" x14ac:dyDescent="0.25">
      <c r="A499" s="615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41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205.20000000000002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507.6</v>
      </c>
      <c r="E500" s="46">
        <f>IFERROR(Y85*1,"0")+IFERROR(Y86*1,"0")+IFERROR(Y87*1,"0")+IFERROR(Y91*1,"0")+IFERROR(Y92*1,"0")+IFERROR(Y93*1,"0")+IFERROR(Y94*1,"0")</f>
        <v>1069.2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1266.3000000000002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283.2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803.4</v>
      </c>
      <c r="R500" s="46">
        <f>IFERROR(Y335*1,"0")+IFERROR(Y336*1,"0")+IFERROR(Y337*1,"0")</f>
        <v>126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5280</v>
      </c>
      <c r="T500" s="46">
        <f>IFERROR(Y368*1,"0")+IFERROR(Y369*1,"0")+IFERROR(Y373*1,"0")+IFERROR(Y374*1,"0")+IFERROR(Y378*1,"0")+IFERROR(Y379*1,"0")+IFERROR(Y380*1,"0")</f>
        <v>4105.8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3563.9999999999995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315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D17:E18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94:T294"/>
    <mergeCell ref="P23:V23"/>
    <mergeCell ref="A262:Z262"/>
    <mergeCell ref="A333:Z333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P492:V492"/>
    <mergeCell ref="A103:O104"/>
    <mergeCell ref="P286:V286"/>
    <mergeCell ref="P479:V479"/>
    <mergeCell ref="M17:M18"/>
    <mergeCell ref="O17:O18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02:T102"/>
    <mergeCell ref="P196:T196"/>
    <mergeCell ref="P281:V281"/>
    <mergeCell ref="P354:T354"/>
    <mergeCell ref="D226:E226"/>
    <mergeCell ref="D164:E164"/>
    <mergeCell ref="D462:E462"/>
    <mergeCell ref="P62:T62"/>
    <mergeCell ref="Z498:Z499"/>
    <mergeCell ref="X498:X499"/>
    <mergeCell ref="P474:V474"/>
    <mergeCell ref="P103:V103"/>
    <mergeCell ref="A155:Z155"/>
    <mergeCell ref="P401:V401"/>
    <mergeCell ref="P268:V268"/>
    <mergeCell ref="P339:V339"/>
    <mergeCell ref="P201:T201"/>
    <mergeCell ref="D389:E389"/>
    <mergeCell ref="A318:O319"/>
    <mergeCell ref="P176:T176"/>
    <mergeCell ref="P247:T247"/>
    <mergeCell ref="P114:T114"/>
    <mergeCell ref="P241:T241"/>
    <mergeCell ref="A222:Z222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A478:O479"/>
    <mergeCell ref="P348:T348"/>
    <mergeCell ref="D294:E294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69:V469"/>
    <mergeCell ref="A465:Z465"/>
    <mergeCell ref="A136:O137"/>
    <mergeCell ref="P344:T344"/>
    <mergeCell ref="D265:E265"/>
    <mergeCell ref="A463:O464"/>
    <mergeCell ref="P321:T321"/>
    <mergeCell ref="P125:T125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J9:M9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A38:Z38"/>
    <mergeCell ref="P330:T330"/>
    <mergeCell ref="D140:E140"/>
    <mergeCell ref="D438:E438"/>
    <mergeCell ref="A340:Z340"/>
    <mergeCell ref="D425:E425"/>
    <mergeCell ref="D359:E359"/>
    <mergeCell ref="P346:T346"/>
    <mergeCell ref="D292:E292"/>
    <mergeCell ref="D227:E227"/>
    <mergeCell ref="P43:V43"/>
    <mergeCell ref="A39:Z39"/>
    <mergeCell ref="P60:T60"/>
    <mergeCell ref="Y17:Y18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V5:W5"/>
    <mergeCell ref="A295:O296"/>
    <mergeCell ref="D233:E233"/>
    <mergeCell ref="D409:E40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T5:U5"/>
    <mergeCell ref="D119:E119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12:M12"/>
    <mergeCell ref="P355:V355"/>
    <mergeCell ref="D487:E487"/>
    <mergeCell ref="A240:Z240"/>
    <mergeCell ref="D343:E343"/>
    <mergeCell ref="P74:T74"/>
    <mergeCell ref="P243:V243"/>
    <mergeCell ref="A19:Z19"/>
    <mergeCell ref="P310:T310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162:E162"/>
    <mergeCell ref="P272:T272"/>
    <mergeCell ref="D460:E460"/>
    <mergeCell ref="P210:T210"/>
    <mergeCell ref="P439:V439"/>
    <mergeCell ref="D398:E398"/>
    <mergeCell ref="A267:O268"/>
    <mergeCell ref="P433:V433"/>
    <mergeCell ref="P308:T308"/>
    <mergeCell ref="A69:O70"/>
    <mergeCell ref="P185:T185"/>
    <mergeCell ref="D416:E416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A274:O275"/>
    <mergeCell ref="P169:T169"/>
    <mergeCell ref="P411:T411"/>
    <mergeCell ref="P467:T467"/>
    <mergeCell ref="P442:T442"/>
    <mergeCell ref="P489:V489"/>
    <mergeCell ref="P463:V463"/>
    <mergeCell ref="P267:V267"/>
    <mergeCell ref="Q9:R9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D9:E9"/>
    <mergeCell ref="P197:T197"/>
    <mergeCell ref="F9:G9"/>
    <mergeCell ref="P53:T53"/>
    <mergeCell ref="D167:E167"/>
    <mergeCell ref="P422:T422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A469:O470"/>
    <mergeCell ref="D211:E211"/>
    <mergeCell ref="P168:T168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P79:T79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2025-12-01T07:20:10Z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