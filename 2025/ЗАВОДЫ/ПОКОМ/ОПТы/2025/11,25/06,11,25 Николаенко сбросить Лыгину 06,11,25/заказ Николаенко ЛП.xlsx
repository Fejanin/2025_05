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8D5459D8-20AE-4E64-A4A9-298D9678C15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BP328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BP278" i="1" s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Z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X188" i="1"/>
  <c r="X187" i="1"/>
  <c r="BO186" i="1"/>
  <c r="BM186" i="1"/>
  <c r="Y186" i="1"/>
  <c r="BP186" i="1" s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30" i="1" l="1"/>
  <c r="BN30" i="1"/>
  <c r="Z53" i="1"/>
  <c r="BN53" i="1"/>
  <c r="Z73" i="1"/>
  <c r="BN73" i="1"/>
  <c r="Z93" i="1"/>
  <c r="BN93" i="1"/>
  <c r="Z108" i="1"/>
  <c r="BN108" i="1"/>
  <c r="Y116" i="1"/>
  <c r="Z129" i="1"/>
  <c r="BN129" i="1"/>
  <c r="Z148" i="1"/>
  <c r="BN148" i="1"/>
  <c r="Z165" i="1"/>
  <c r="BN165" i="1"/>
  <c r="Z186" i="1"/>
  <c r="BN186" i="1"/>
  <c r="Z190" i="1"/>
  <c r="BN190" i="1"/>
  <c r="Z202" i="1"/>
  <c r="BN202" i="1"/>
  <c r="Z211" i="1"/>
  <c r="BN211" i="1"/>
  <c r="Z226" i="1"/>
  <c r="BN226" i="1"/>
  <c r="Z246" i="1"/>
  <c r="BN246" i="1"/>
  <c r="Z264" i="1"/>
  <c r="BN264" i="1"/>
  <c r="Y274" i="1"/>
  <c r="Z289" i="1"/>
  <c r="BN289" i="1"/>
  <c r="Z301" i="1"/>
  <c r="BN301" i="1"/>
  <c r="Z311" i="1"/>
  <c r="BN311" i="1"/>
  <c r="Z328" i="1"/>
  <c r="BN328" i="1"/>
  <c r="Z345" i="1"/>
  <c r="BN345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Y149" i="1"/>
  <c r="BP303" i="1"/>
  <c r="BN303" i="1"/>
  <c r="Z303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Y76" i="1"/>
  <c r="Z80" i="1"/>
  <c r="BN80" i="1"/>
  <c r="Z85" i="1"/>
  <c r="BN85" i="1"/>
  <c r="Z91" i="1"/>
  <c r="BN91" i="1"/>
  <c r="BP91" i="1"/>
  <c r="Z100" i="1"/>
  <c r="BN100" i="1"/>
  <c r="Z106" i="1"/>
  <c r="BN106" i="1"/>
  <c r="Z112" i="1"/>
  <c r="BN112" i="1"/>
  <c r="BP112" i="1"/>
  <c r="Z125" i="1"/>
  <c r="BN125" i="1"/>
  <c r="Y131" i="1"/>
  <c r="Z135" i="1"/>
  <c r="BN135" i="1"/>
  <c r="Z140" i="1"/>
  <c r="BN140" i="1"/>
  <c r="Z146" i="1"/>
  <c r="BN146" i="1"/>
  <c r="BP146" i="1"/>
  <c r="Z163" i="1"/>
  <c r="BN163" i="1"/>
  <c r="Z167" i="1"/>
  <c r="BN167" i="1"/>
  <c r="Z175" i="1"/>
  <c r="BN175" i="1"/>
  <c r="Z196" i="1"/>
  <c r="BN196" i="1"/>
  <c r="Z200" i="1"/>
  <c r="BN200" i="1"/>
  <c r="Z206" i="1"/>
  <c r="BN206" i="1"/>
  <c r="Z213" i="1"/>
  <c r="BN213" i="1"/>
  <c r="Z224" i="1"/>
  <c r="BN224" i="1"/>
  <c r="Z228" i="1"/>
  <c r="BN228" i="1"/>
  <c r="Z232" i="1"/>
  <c r="BN232" i="1"/>
  <c r="Z248" i="1"/>
  <c r="BN248" i="1"/>
  <c r="Z257" i="1"/>
  <c r="BN257" i="1"/>
  <c r="Z266" i="1"/>
  <c r="BN266" i="1"/>
  <c r="Z273" i="1"/>
  <c r="BN273" i="1"/>
  <c r="Z278" i="1"/>
  <c r="BN278" i="1"/>
  <c r="Z291" i="1"/>
  <c r="BN291" i="1"/>
  <c r="Z297" i="1"/>
  <c r="BN297" i="1"/>
  <c r="BP297" i="1"/>
  <c r="BP299" i="1"/>
  <c r="BN299" i="1"/>
  <c r="Z299" i="1"/>
  <c r="BP309" i="1"/>
  <c r="BN309" i="1"/>
  <c r="Z309" i="1"/>
  <c r="Y326" i="1"/>
  <c r="BP321" i="1"/>
  <c r="BN321" i="1"/>
  <c r="Z321" i="1"/>
  <c r="Y325" i="1"/>
  <c r="BP330" i="1"/>
  <c r="BN330" i="1"/>
  <c r="Z330" i="1"/>
  <c r="Y338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Y31" i="1"/>
  <c r="Y43" i="1"/>
  <c r="Y58" i="1"/>
  <c r="Y64" i="1"/>
  <c r="Y70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BP141" i="1"/>
  <c r="BN141" i="1"/>
  <c r="Z141" i="1"/>
  <c r="Z143" i="1" s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4" i="1"/>
  <c r="BN214" i="1"/>
  <c r="Z214" i="1"/>
  <c r="Y216" i="1"/>
  <c r="Y221" i="1"/>
  <c r="BP218" i="1"/>
  <c r="BN218" i="1"/>
  <c r="Z218" i="1"/>
  <c r="Z220" i="1" s="1"/>
  <c r="Y220" i="1"/>
  <c r="BP279" i="1"/>
  <c r="BN279" i="1"/>
  <c r="Z279" i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BP75" i="1"/>
  <c r="BN75" i="1"/>
  <c r="Z75" i="1"/>
  <c r="Y77" i="1"/>
  <c r="Y82" i="1"/>
  <c r="BP79" i="1"/>
  <c r="BN79" i="1"/>
  <c r="Z79" i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BP258" i="1"/>
  <c r="BN258" i="1"/>
  <c r="Z258" i="1"/>
  <c r="Y260" i="1"/>
  <c r="M499" i="1"/>
  <c r="Y268" i="1"/>
  <c r="BP263" i="1"/>
  <c r="BN263" i="1"/>
  <c r="Z263" i="1"/>
  <c r="Z267" i="1" s="1"/>
  <c r="Y267" i="1"/>
  <c r="Z274" i="1"/>
  <c r="BP272" i="1"/>
  <c r="BN272" i="1"/>
  <c r="Z272" i="1"/>
  <c r="BP290" i="1"/>
  <c r="BN290" i="1"/>
  <c r="Z290" i="1"/>
  <c r="BP298" i="1"/>
  <c r="BN298" i="1"/>
  <c r="Z298" i="1"/>
  <c r="BP302" i="1"/>
  <c r="BN302" i="1"/>
  <c r="Z302" i="1"/>
  <c r="Y313" i="1"/>
  <c r="BP310" i="1"/>
  <c r="BN310" i="1"/>
  <c r="Z310" i="1"/>
  <c r="Y319" i="1"/>
  <c r="BP323" i="1"/>
  <c r="BN323" i="1"/>
  <c r="Z323" i="1"/>
  <c r="Z325" i="1" s="1"/>
  <c r="Y332" i="1"/>
  <c r="Z338" i="1"/>
  <c r="BP336" i="1"/>
  <c r="BN336" i="1"/>
  <c r="Z336" i="1"/>
  <c r="BP347" i="1"/>
  <c r="BN347" i="1"/>
  <c r="Z347" i="1"/>
  <c r="Z350" i="1" s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Y483" i="1"/>
  <c r="Z499" i="1"/>
  <c r="Y487" i="1"/>
  <c r="BP486" i="1"/>
  <c r="BN486" i="1"/>
  <c r="Z486" i="1"/>
  <c r="Z487" i="1" s="1"/>
  <c r="Y488" i="1"/>
  <c r="Z215" i="1" l="1"/>
  <c r="Z468" i="1"/>
  <c r="Z453" i="1"/>
  <c r="Z69" i="1"/>
  <c r="Z331" i="1"/>
  <c r="Z192" i="1"/>
  <c r="Z234" i="1"/>
  <c r="Y491" i="1"/>
  <c r="Y490" i="1"/>
  <c r="Z482" i="1"/>
  <c r="Z438" i="1"/>
  <c r="Z399" i="1"/>
  <c r="Z304" i="1"/>
  <c r="Z462" i="1"/>
  <c r="Z312" i="1"/>
  <c r="Z116" i="1"/>
  <c r="Z95" i="1"/>
  <c r="Z81" i="1"/>
  <c r="Z57" i="1"/>
  <c r="Z31" i="1"/>
  <c r="Z280" i="1"/>
  <c r="Z126" i="1"/>
  <c r="Y493" i="1"/>
  <c r="Y492" i="1"/>
  <c r="Z447" i="1"/>
  <c r="Y489" i="1"/>
  <c r="Z394" i="1"/>
  <c r="Z259" i="1"/>
  <c r="Z250" i="1"/>
  <c r="Z76" i="1"/>
  <c r="Z63" i="1"/>
  <c r="X492" i="1"/>
  <c r="Z294" i="1"/>
  <c r="Z171" i="1"/>
  <c r="Z103" i="1"/>
  <c r="Z432" i="1"/>
  <c r="Z203" i="1"/>
  <c r="Z177" i="1"/>
  <c r="Z494" i="1" l="1"/>
</calcChain>
</file>

<file path=xl/sharedStrings.xml><?xml version="1.0" encoding="utf-8"?>
<sst xmlns="http://schemas.openxmlformats.org/spreadsheetml/2006/main" count="2230" uniqueCount="770">
  <si>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</si>
  <si>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</si>
  <si>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</si>
  <si>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</si>
  <si>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</si>
  <si>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</si>
  <si>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</si>
  <si>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</si>
  <si>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</si>
  <si>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</si>
  <si>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</si>
  <si>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</si>
  <si>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</si>
  <si>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</si>
  <si>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</si>
  <si>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</si>
  <si>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</si>
  <si>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</si>
  <si>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</si>
  <si>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</si>
  <si>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</si>
  <si>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</si>
  <si>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</si>
  <si>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</si>
  <si>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</si>
  <si>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</si>
  <si>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</si>
  <si>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</si>
  <si>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</si>
  <si>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</si>
  <si>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</si>
  <si>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</si>
  <si>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</si>
  <si>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</si>
  <si>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</si>
  <si>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</si>
  <si>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</si>
  <si>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</si>
  <si>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</si>
  <si>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</si>
  <si>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</si>
  <si>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</si>
  <si>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</si>
  <si>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</si>
  <si>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</si>
  <si>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</si>
  <si>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</si>
  <si>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</si>
  <si>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</si>
  <si>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</si>
  <si>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</si>
  <si>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</si>
  <si>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</si>
  <si>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</si>
  <si>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</si>
  <si>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</si>
  <si>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</si>
  <si>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</si>
  <si>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</si>
  <si>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</si>
  <si>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</si>
  <si>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</si>
  <si>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</si>
  <si>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</si>
  <si>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</si>
  <si>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</si>
  <si>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</si>
  <si>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</si>
  <si>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</si>
  <si>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</si>
  <si>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</si>
  <si>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</si>
  <si>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</si>
  <si>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</si>
  <si>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</si>
  <si>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</si>
  <si>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</si>
  <si>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Короб, мин. 14</t>
  </si>
  <si>
    <t>СК3</t>
  </si>
  <si>
    <t>ЕАЭС N RU Д-RU.РА06.В.91067/23, ЕАЭС N RU Д-RU.РА08.В.78145/23</t>
  </si>
  <si>
    <t>Короб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</si>
  <si>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</si>
  <si>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</si>
  <si>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</si>
  <si>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</si>
  <si>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</si>
  <si>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</si>
  <si>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</si>
  <si>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</si>
  <si>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</si>
  <si>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</si>
  <si>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</si>
  <si>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</si>
  <si>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</si>
  <si>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</si>
  <si>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</si>
  <si>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</si>
  <si>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</si>
  <si>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</si>
  <si>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</si>
  <si>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</si>
  <si>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</si>
  <si>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</si>
  <si>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</si>
  <si>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</si>
  <si>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</si>
  <si>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</si>
  <si>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</si>
  <si>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</si>
  <si>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</si>
  <si>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</si>
  <si>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360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</si>
  <si>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</si>
  <si>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</si>
  <si>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</si>
  <si>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</si>
  <si>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</si>
  <si>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</si>
  <si>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</si>
  <si>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</si>
  <si>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</si>
  <si>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</si>
  <si>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</si>
  <si>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</si>
  <si>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</si>
  <si>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</si>
  <si>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</si>
  <si>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</si>
  <si>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</si>
  <si>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</si>
  <si>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</si>
  <si>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</si>
  <si>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</si>
  <si>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</si>
  <si>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</si>
  <si>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Короб, мин. 270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</si>
  <si>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</si>
  <si>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</si>
  <si>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</si>
  <si>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</si>
  <si>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</si>
  <si>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</si>
  <si>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</si>
  <si>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</si>
  <si>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</si>
  <si>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</si>
  <si>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</si>
  <si>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</si>
  <si>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</si>
  <si>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</si>
  <si>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</si>
  <si>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</si>
  <si>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</si>
  <si>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</si>
  <si>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</si>
  <si>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</si>
  <si>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</si>
  <si>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</si>
  <si>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</si>
  <si>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</si>
  <si>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</si>
  <si>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</si>
  <si>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</si>
  <si>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</si>
  <si>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</si>
  <si>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</si>
  <si>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</si>
  <si>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</si>
  <si>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</si>
  <si>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</si>
  <si>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</si>
  <si>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</si>
  <si>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</si>
  <si>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</si>
  <si>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</si>
  <si>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</si>
  <si>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</si>
  <si>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</si>
  <si>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</si>
  <si>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</si>
  <si>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Короб, мин. 450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</si>
  <si>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</si>
  <si>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</si>
  <si>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</si>
  <si>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</si>
  <si>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</si>
  <si>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</si>
  <si>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</si>
  <si>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</si>
  <si>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</si>
  <si>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</si>
  <si>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</si>
  <si>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</si>
  <si>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</si>
  <si>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</si>
  <si>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</si>
  <si>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</si>
  <si>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</si>
  <si>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</si>
  <si>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</si>
  <si>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</si>
  <si>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</si>
  <si>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</si>
  <si>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</si>
  <si>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</si>
  <si>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</si>
  <si>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</si>
  <si>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</si>
  <si>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</si>
  <si>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</si>
  <si>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</si>
  <si>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</si>
  <si>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</si>
  <si>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</si>
  <si>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</si>
  <si>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</si>
  <si>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</si>
  <si>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</si>
  <si>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</si>
  <si>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</si>
  <si>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</si>
  <si>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</si>
  <si>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</si>
  <si>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</si>
  <si>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</si>
  <si>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</si>
  <si>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</si>
  <si>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</si>
  <si>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</si>
  <si>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</si>
  <si>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</si>
  <si>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</si>
  <si>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</si>
  <si>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</si>
  <si>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</si>
  <si>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</si>
  <si>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</si>
  <si>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</si>
  <si>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</si>
  <si>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</si>
  <si>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</si>
  <si>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</si>
  <si>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</si>
  <si>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</si>
  <si>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</si>
  <si>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</si>
  <si>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</si>
  <si>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</si>
  <si>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</si>
  <si>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</si>
  <si>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</si>
  <si>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</si>
  <si>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</si>
  <si>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</si>
  <si>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</si>
  <si>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</si>
  <si>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</si>
  <si>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</si>
  <si>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</si>
  <si>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</si>
  <si>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</si>
  <si>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</si>
  <si>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</si>
  <si>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</si>
  <si>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</si>
  <si>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</si>
  <si>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</si>
  <si>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</si>
  <si>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</si>
  <si>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</si>
  <si>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</si>
  <si>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</si>
  <si>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</si>
  <si>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</si>
  <si>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</si>
  <si>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</si>
  <si>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</si>
  <si>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</si>
  <si>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</si>
  <si>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</si>
  <si>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</si>
  <si>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</si>
  <si>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</si>
  <si>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</si>
  <si>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</si>
  <si>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</si>
  <si>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</si>
  <si>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</si>
  <si>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</si>
  <si>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</si>
  <si>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</si>
  <si>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</si>
  <si>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</si>
  <si>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</si>
  <si>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</si>
  <si>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</si>
  <si>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</si>
  <si>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</si>
  <si>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</si>
  <si>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</si>
  <si>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</si>
  <si>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</si>
  <si>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</si>
  <si>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</si>
  <si>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</si>
  <si>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</si>
  <si>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</si>
  <si>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</si>
  <si>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</si>
  <si>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</si>
  <si>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</si>
  <si>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</si>
  <si>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</si>
  <si>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</si>
  <si>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</si>
  <si>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</si>
  <si>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</si>
  <si>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</si>
  <si>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</si>
  <si>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</si>
  <si>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</si>
  <si>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</si>
  <si>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</si>
  <si>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</si>
  <si>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</si>
  <si>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</si>
  <si>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</si>
  <si>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</si>
  <si>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</si>
  <si>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</si>
  <si>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</si>
  <si>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</si>
  <si>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</si>
  <si>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</si>
  <si>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</si>
  <si>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</si>
  <si>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</si>
  <si>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</si>
  <si>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</si>
  <si>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</si>
  <si>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</si>
  <si>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</si>
  <si>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</si>
  <si>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</si>
  <si>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</si>
  <si>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</si>
  <si>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</si>
  <si>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</si>
  <si>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</si>
  <si>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</si>
  <si>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</si>
  <si>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</si>
  <si>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</si>
  <si>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</si>
  <si>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</si>
  <si>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</si>
  <si>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</si>
  <si>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</si>
  <si>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</si>
  <si>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</si>
  <si>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</si>
  <si>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</si>
  <si>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</si>
  <si>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</si>
  <si>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</si>
  <si>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</si>
  <si>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</si>
  <si>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</si>
  <si>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</si>
  <si>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</si>
  <si>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</si>
  <si>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</si>
  <si>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</si>
  <si>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</si>
  <si>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</si>
  <si>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</si>
  <si>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</si>
  <si>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</si>
  <si>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</si>
  <si>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</si>
  <si>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</si>
  <si>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</si>
  <si>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</si>
  <si>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</si>
  <si>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</si>
  <si>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</si>
  <si>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</si>
  <si>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</si>
  <si>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</si>
  <si>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</si>
  <si>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</si>
  <si>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</si>
  <si>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</si>
  <si>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</si>
  <si>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</si>
  <si>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</si>
  <si>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</si>
  <si>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</si>
  <si>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</si>
  <si>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</si>
  <si>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</si>
  <si>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</si>
  <si>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</si>
  <si>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</si>
  <si>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</si>
  <si>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</si>
  <si>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</si>
  <si>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</si>
  <si>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</si>
  <si>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</si>
  <si>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</si>
  <si>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</si>
  <si>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</si>
  <si>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</si>
  <si>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</si>
  <si>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</si>
  <si>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</si>
  <si>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</si>
  <si>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</si>
  <si>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</si>
  <si>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</si>
  <si>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</si>
  <si>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</si>
  <si>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</si>
  <si>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</si>
  <si>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</si>
  <si>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</si>
  <si>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</si>
  <si>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</si>
  <si>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</si>
  <si>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</si>
  <si>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</si>
  <si>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</si>
  <si>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</si>
  <si>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</si>
  <si>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</si>
  <si>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</si>
  <si>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</si>
  <si>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</si>
  <si>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</si>
  <si>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</si>
  <si>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</si>
  <si>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</si>
  <si>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</si>
  <si>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</si>
  <si>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</si>
  <si>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</si>
  <si>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</si>
  <si>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</si>
  <si>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</si>
  <si>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</si>
  <si>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</si>
  <si>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</si>
  <si>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</si>
  <si>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</si>
  <si>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</si>
  <si>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</si>
  <si>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</si>
  <si>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</si>
  <si>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</si>
  <si>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</si>
  <si>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</si>
  <si>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</si>
  <si>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</si>
  <si>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</si>
  <si>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</si>
  <si>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</si>
  <si>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</si>
  <si>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</si>
  <si>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</si>
  <si>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</si>
  <si>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</si>
  <si>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</si>
  <si>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</si>
  <si>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</si>
  <si>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</si>
  <si>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</si>
  <si>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</si>
  <si>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</si>
  <si>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</si>
  <si>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</si>
  <si>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</si>
  <si>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</si>
  <si>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</si>
  <si>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</si>
  <si>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</si>
  <si>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</si>
  <si>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</si>
  <si>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</si>
  <si>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</si>
  <si>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</si>
  <si>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</si>
  <si>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</si>
  <si>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</si>
  <si>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</si>
  <si>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</si>
  <si>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</si>
  <si>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</si>
  <si>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</si>
  <si>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</si>
  <si>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</si>
  <si>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</si>
  <si>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</si>
  <si>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</si>
  <si>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</si>
  <si>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</si>
  <si>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</si>
  <si>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</si>
  <si>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</si>
  <si>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</si>
  <si>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</si>
  <si>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</si>
  <si>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</si>
  <si>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</si>
  <si>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</si>
  <si>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</si>
  <si>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</si>
  <si>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</si>
  <si>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</si>
  <si>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</si>
  <si>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</si>
  <si>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</si>
  <si>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</si>
  <si>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</si>
  <si>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</si>
  <si>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</si>
  <si>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</si>
  <si>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</si>
  <si>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</si>
  <si>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</si>
  <si>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</si>
  <si>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</si>
  <si>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</si>
  <si>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</si>
  <si>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</si>
  <si>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</si>
  <si>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</si>
  <si>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</si>
  <si>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</si>
  <si>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</si>
  <si>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</si>
  <si>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</si>
  <si>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</si>
  <si>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</si>
  <si>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</si>
  <si>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</si>
  <si>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Короб, мин. 705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</si>
  <si>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</si>
  <si>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</si>
  <si>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</si>
  <si>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</si>
  <si>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</si>
  <si>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</si>
  <si>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</si>
  <si>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</si>
  <si>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</si>
  <si>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</si>
  <si>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</si>
  <si>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</si>
  <si>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</si>
  <si>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</si>
  <si>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</si>
  <si>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</si>
  <si>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</si>
  <si>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Короб, мин. 1005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</si>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</sst>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7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2"/>
      <c r="F1" s="572"/>
      <c r="G1" s="12" t="s">
        <v>1</v>
      </c>
      <c r="H1" s="613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9"/>
      <c r="C5" s="630"/>
      <c r="D5" s="616"/>
      <c r="E5" s="617"/>
      <c r="F5" s="824" t="s">
        <v>9</v>
      </c>
      <c r="G5" s="630"/>
      <c r="H5" s="616"/>
      <c r="I5" s="762"/>
      <c r="J5" s="762"/>
      <c r="K5" s="762"/>
      <c r="L5" s="762"/>
      <c r="M5" s="617"/>
      <c r="N5" s="58"/>
      <c r="P5" s="24" t="s">
        <v>10</v>
      </c>
      <c r="Q5" s="838">
        <v>45970</v>
      </c>
      <c r="R5" s="651"/>
      <c r="T5" s="700" t="s">
        <v>11</v>
      </c>
      <c r="U5" s="701"/>
      <c r="V5" s="703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Воскресенье</v>
      </c>
      <c r="R6" s="549"/>
      <c r="T6" s="707" t="s">
        <v>16</v>
      </c>
      <c r="U6" s="701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5"/>
      <c r="U7" s="701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61">
        <v>0.41666666666666669</v>
      </c>
      <c r="R8" s="598"/>
      <c r="T8" s="555"/>
      <c r="U8" s="701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1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8"/>
      <c r="R10" s="709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9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61"/>
      <c r="R12" s="598"/>
      <c r="S12" s="23"/>
      <c r="U12" s="24"/>
      <c r="V12" s="572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9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2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30"/>
      <c r="W17" s="581" t="s">
        <v>52</v>
      </c>
      <c r="X17" s="581" t="s">
        <v>53</v>
      </c>
      <c r="Y17" s="859" t="s">
        <v>54</v>
      </c>
      <c r="Z17" s="760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1"/>
      <c r="AA18" s="742"/>
      <c r="AB18" s="742"/>
      <c r="AC18" s="742"/>
      <c r="AD18" s="821"/>
      <c r="AE18" s="822"/>
      <c r="AF18" s="823"/>
      <c r="AG18" s="66"/>
      <c r="BD18" s="65"/>
    </row>
    <row r="19" spans="1:68" ht="27.75" customHeight="1" x14ac:dyDescent="0.2">
      <c r="A19" s="633" t="s">
        <v>63</v>
      </c>
      <c r="B19" s="634"/>
      <c r="C19" s="634"/>
      <c r="D19" s="634"/>
      <c r="E19" s="634"/>
      <c r="F19" s="634"/>
      <c r="G19" s="634"/>
      <c r="H19" s="634"/>
      <c r="I19" s="634"/>
      <c r="J19" s="634"/>
      <c r="K19" s="634"/>
      <c r="L19" s="634"/>
      <c r="M19" s="634"/>
      <c r="N19" s="634"/>
      <c r="O19" s="634"/>
      <c r="P19" s="634"/>
      <c r="Q19" s="634"/>
      <c r="R19" s="634"/>
      <c r="S19" s="634"/>
      <c r="T19" s="634"/>
      <c r="U19" s="634"/>
      <c r="V19" s="634"/>
      <c r="W19" s="634"/>
      <c r="X19" s="634"/>
      <c r="Y19" s="634"/>
      <c r="Z19" s="634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 t="s">
        <v>77</v>
      </c>
      <c r="M26" s="33" t="s">
        <v>78</v>
      </c>
      <c r="N26" s="33"/>
      <c r="O26" s="32">
        <v>40</v>
      </c>
      <c r="P26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79</v>
      </c>
      <c r="AG26" s="64"/>
      <c r="AJ26" s="68" t="s">
        <v>80</v>
      </c>
      <c r="AK26" s="68">
        <v>25.2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78</v>
      </c>
      <c r="N27" s="33"/>
      <c r="O27" s="32">
        <v>40</v>
      </c>
      <c r="P27" s="7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83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84</v>
      </c>
      <c r="B28" s="54" t="s">
        <v>85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86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88</v>
      </c>
      <c r="B29" s="54" t="s">
        <v>89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86</v>
      </c>
      <c r="N29" s="33"/>
      <c r="O29" s="32">
        <v>40</v>
      </c>
      <c r="P29" s="6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90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86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3" t="s">
        <v>99</v>
      </c>
      <c r="B37" s="634"/>
      <c r="C37" s="634"/>
      <c r="D37" s="634"/>
      <c r="E37" s="634"/>
      <c r="F37" s="634"/>
      <c r="G37" s="634"/>
      <c r="H37" s="634"/>
      <c r="I37" s="634"/>
      <c r="J37" s="634"/>
      <c r="K37" s="634"/>
      <c r="L37" s="634"/>
      <c r="M37" s="634"/>
      <c r="N37" s="634"/>
      <c r="O37" s="634"/>
      <c r="P37" s="634"/>
      <c r="Q37" s="634"/>
      <c r="R37" s="634"/>
      <c r="S37" s="634"/>
      <c r="T37" s="634"/>
      <c r="U37" s="634"/>
      <c r="V37" s="634"/>
      <c r="W37" s="634"/>
      <c r="X37" s="634"/>
      <c r="Y37" s="634"/>
      <c r="Z37" s="634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60</v>
      </c>
      <c r="Y40" s="542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107</v>
      </c>
      <c r="AG40" s="64"/>
      <c r="AJ40" s="68" t="s">
        <v>80</v>
      </c>
      <c r="AK40" s="68">
        <v>86.4</v>
      </c>
      <c r="BB40" s="84" t="s">
        <v>1</v>
      </c>
      <c r="BM40" s="64">
        <f>IFERROR(X40*I40/H40,"0")</f>
        <v>62.277777777777779</v>
      </c>
      <c r="BN40" s="64">
        <f>IFERROR(Y40*I40/H40,"0")</f>
        <v>67.260000000000005</v>
      </c>
      <c r="BO40" s="64">
        <f>IFERROR(1/J40*(X40/H40),"0")</f>
        <v>8.6805555555555552E-2</v>
      </c>
      <c r="BP40" s="64">
        <f>IFERROR(1/J40*(Y40/H40),"0")</f>
        <v>9.3750000000000014E-2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78</v>
      </c>
      <c r="N41" s="33"/>
      <c r="O41" s="32">
        <v>50</v>
      </c>
      <c r="P41" s="79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80</v>
      </c>
      <c r="AK41" s="68">
        <v>1440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78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5.5555555555555554</v>
      </c>
      <c r="Y43" s="543">
        <f>IFERROR(Y40/H40,"0")+IFERROR(Y41/H41,"0")+IFERROR(Y42/H42,"0")</f>
        <v>6.0000000000000009</v>
      </c>
      <c r="Z43" s="543">
        <f>IFERROR(IF(Z40="",0,Z40),"0")+IFERROR(IF(Z41="",0,Z41),"0")+IFERROR(IF(Z42="",0,Z42),"0")</f>
        <v>0.11388000000000001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60</v>
      </c>
      <c r="Y44" s="543">
        <f>IFERROR(SUM(Y40:Y42),"0")</f>
        <v>64.800000000000011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78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/>
      <c r="M51" s="33" t="s">
        <v>78</v>
      </c>
      <c r="N51" s="33"/>
      <c r="O51" s="32">
        <v>50</v>
      </c>
      <c r="P51" s="71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 t="s">
        <v>80</v>
      </c>
      <c r="AK52" s="68">
        <v>10.8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86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 t="s">
        <v>135</v>
      </c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136</v>
      </c>
      <c r="AG56" s="64"/>
      <c r="AJ56" s="68" t="s">
        <v>80</v>
      </c>
      <c r="AK56" s="68">
        <v>1215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9.2592592592592595</v>
      </c>
      <c r="Y57" s="543">
        <f>IFERROR(Y51/H51,"0")+IFERROR(Y52/H52,"0")+IFERROR(Y53/H53,"0")+IFERROR(Y54/H54,"0")+IFERROR(Y55/H55,"0")+IFERROR(Y56/H56,"0")</f>
        <v>10</v>
      </c>
      <c r="Z57" s="543">
        <f>IFERROR(IF(Z51="",0,Z51),"0")+IFERROR(IF(Z52="",0,Z52),"0")+IFERROR(IF(Z53="",0,Z53),"0")+IFERROR(IF(Z54="",0,Z54),"0")+IFERROR(IF(Z55="",0,Z55),"0")+IFERROR(IF(Z56="",0,Z56),"0")</f>
        <v>0.1898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100</v>
      </c>
      <c r="Y58" s="543">
        <f>IFERROR(SUM(Y51:Y56),"0")</f>
        <v>108</v>
      </c>
      <c r="Z58" s="37"/>
      <c r="AA58" s="544"/>
      <c r="AB58" s="544"/>
      <c r="AC58" s="544"/>
    </row>
    <row r="59" spans="1:68" ht="14.25" customHeight="1" x14ac:dyDescent="0.25">
      <c r="A59" s="558" t="s">
        <v>137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138</v>
      </c>
      <c r="B60" s="54" t="s">
        <v>139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50</v>
      </c>
      <c r="Y60" s="542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140</v>
      </c>
      <c r="AG60" s="64"/>
      <c r="AJ60" s="68"/>
      <c r="AK60" s="68">
        <v>0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customHeight="1" x14ac:dyDescent="0.25">
      <c r="A61" s="54" t="s">
        <v>141</v>
      </c>
      <c r="B61" s="54" t="s">
        <v>142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78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140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143</v>
      </c>
      <c r="B62" s="54" t="s">
        <v>144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 t="s">
        <v>77</v>
      </c>
      <c r="M62" s="33" t="s">
        <v>106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 t="s">
        <v>80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4.6296296296296298</v>
      </c>
      <c r="Y63" s="543">
        <f>IFERROR(Y60/H60,"0")+IFERROR(Y61/H61,"0")+IFERROR(Y62/H62,"0")</f>
        <v>5</v>
      </c>
      <c r="Z63" s="543">
        <f>IFERROR(IF(Z60="",0,Z60),"0")+IFERROR(IF(Z61="",0,Z61),"0")+IFERROR(IF(Z62="",0,Z62),"0")</f>
        <v>9.4899999999999998E-2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50</v>
      </c>
      <c r="Y64" s="543">
        <f>IFERROR(SUM(Y60:Y62),"0")</f>
        <v>54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145</v>
      </c>
      <c r="B66" s="54" t="s">
        <v>146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147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148</v>
      </c>
      <c r="B67" s="54" t="s">
        <v>149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154</v>
      </c>
      <c r="B72" s="54" t="s">
        <v>155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78</v>
      </c>
      <c r="N72" s="33"/>
      <c r="O72" s="32">
        <v>45</v>
      </c>
      <c r="P72" s="83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156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157</v>
      </c>
      <c r="B73" s="54" t="s">
        <v>158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78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160</v>
      </c>
      <c r="B74" s="54" t="s">
        <v>161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78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156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78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164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165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166</v>
      </c>
      <c r="B79" s="54" t="s">
        <v>167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168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169</v>
      </c>
      <c r="B80" s="54" t="s">
        <v>170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/>
      <c r="M80" s="33" t="s">
        <v>78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171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172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60</v>
      </c>
      <c r="Y85" s="542">
        <f>IFERROR(IF(X85="",0,CEILING((X85/$H85),1)*$H85),"")</f>
        <v>64.800000000000011</v>
      </c>
      <c r="Z85" s="36">
        <f>IFERROR(IF(Y85=0,"",ROUNDUP(Y85/H85,0)*0.01898),"")</f>
        <v>0.11388000000000001</v>
      </c>
      <c r="AA85" s="56"/>
      <c r="AB85" s="57"/>
      <c r="AC85" s="127" t="s">
        <v>175</v>
      </c>
      <c r="AG85" s="64"/>
      <c r="AJ85" s="68" t="s">
        <v>80</v>
      </c>
      <c r="AK85" s="68">
        <v>86.4</v>
      </c>
      <c r="BB85" s="128" t="s">
        <v>1</v>
      </c>
      <c r="BM85" s="64">
        <f>IFERROR(X85*I85/H85,"0")</f>
        <v>62.277777777777779</v>
      </c>
      <c r="BN85" s="64">
        <f>IFERROR(Y85*I85/H85,"0")</f>
        <v>67.260000000000005</v>
      </c>
      <c r="BO85" s="64">
        <f>IFERROR(1/J85*(X85/H85),"0")</f>
        <v>8.6805555555555552E-2</v>
      </c>
      <c r="BP85" s="64">
        <f>IFERROR(1/J85*(Y85/H85),"0")</f>
        <v>9.3750000000000014E-2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78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180</v>
      </c>
      <c r="M87" s="33" t="s">
        <v>86</v>
      </c>
      <c r="N87" s="33"/>
      <c r="O87" s="32">
        <v>50</v>
      </c>
      <c r="P87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22.5</v>
      </c>
      <c r="Y87" s="542">
        <f>IFERROR(IF(X87="",0,CEILING((X87/$H87),1)*$H87),"")</f>
        <v>22.5</v>
      </c>
      <c r="Z87" s="36">
        <f>IFERROR(IF(Y87=0,"",ROUNDUP(Y87/H87,0)*0.00902),"")</f>
        <v>4.5100000000000001E-2</v>
      </c>
      <c r="AA87" s="56"/>
      <c r="AB87" s="57"/>
      <c r="AC87" s="131" t="s">
        <v>175</v>
      </c>
      <c r="AG87" s="64"/>
      <c r="AJ87" s="68" t="s">
        <v>80</v>
      </c>
      <c r="AK87" s="68">
        <v>2025</v>
      </c>
      <c r="BB87" s="132" t="s">
        <v>1</v>
      </c>
      <c r="BM87" s="64">
        <f>IFERROR(X87*I87/H87,"0")</f>
        <v>23.450000000000003</v>
      </c>
      <c r="BN87" s="64">
        <f>IFERROR(Y87*I87/H87,"0")</f>
        <v>23.450000000000003</v>
      </c>
      <c r="BO87" s="64">
        <f>IFERROR(1/J87*(X87/H87),"0")</f>
        <v>3.787878787878788E-2</v>
      </c>
      <c r="BP87" s="64">
        <f>IFERROR(1/J87*(Y87/H87),"0")</f>
        <v>3.787878787878788E-2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10.555555555555555</v>
      </c>
      <c r="Y88" s="543">
        <f>IFERROR(Y85/H85,"0")+IFERROR(Y86/H86,"0")+IFERROR(Y87/H87,"0")</f>
        <v>11</v>
      </c>
      <c r="Z88" s="543">
        <f>IFERROR(IF(Z85="",0,Z85),"0")+IFERROR(IF(Z86="",0,Z86),"0")+IFERROR(IF(Z87="",0,Z87),"0")</f>
        <v>0.15898000000000001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82.5</v>
      </c>
      <c r="Y89" s="543">
        <f>IFERROR(SUM(Y85:Y87),"0")</f>
        <v>87.300000000000011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181</v>
      </c>
      <c r="B91" s="54" t="s">
        <v>182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/>
      <c r="M91" s="33" t="s">
        <v>86</v>
      </c>
      <c r="N91" s="33"/>
      <c r="O91" s="32">
        <v>45</v>
      </c>
      <c r="P91" s="73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183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184</v>
      </c>
      <c r="B92" s="54" t="s">
        <v>185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78</v>
      </c>
      <c r="N92" s="33"/>
      <c r="O92" s="32">
        <v>45</v>
      </c>
      <c r="P92" s="59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186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86</v>
      </c>
      <c r="N93" s="33"/>
      <c r="O93" s="32">
        <v>45</v>
      </c>
      <c r="P93" s="77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78</v>
      </c>
      <c r="N94" s="33"/>
      <c r="O94" s="32">
        <v>45</v>
      </c>
      <c r="P94" s="6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9" t="s">
        <v>192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195</v>
      </c>
      <c r="AG99" s="64"/>
      <c r="AJ99" s="68" t="s">
        <v>80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196</v>
      </c>
      <c r="B100" s="54" t="s">
        <v>197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/>
      <c r="M100" s="33" t="s">
        <v>78</v>
      </c>
      <c r="N100" s="33"/>
      <c r="O100" s="32">
        <v>50</v>
      </c>
      <c r="P100" s="6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200</v>
      </c>
      <c r="M101" s="33" t="s">
        <v>78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80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201</v>
      </c>
      <c r="B102" s="54" t="s">
        <v>202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78</v>
      </c>
      <c r="N102" s="33"/>
      <c r="O102" s="32">
        <v>50</v>
      </c>
      <c r="P102" s="8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137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203</v>
      </c>
      <c r="B106" s="54" t="s">
        <v>204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205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206</v>
      </c>
      <c r="B107" s="54" t="s">
        <v>207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208</v>
      </c>
      <c r="B108" s="54" t="s">
        <v>209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210</v>
      </c>
      <c r="B112" s="54" t="s">
        <v>211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/>
      <c r="M112" s="33" t="s">
        <v>86</v>
      </c>
      <c r="N112" s="33"/>
      <c r="O112" s="32">
        <v>45</v>
      </c>
      <c r="P112" s="7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212</v>
      </c>
      <c r="AG112" s="64"/>
      <c r="AJ112" s="68"/>
      <c r="AK112" s="68">
        <v>0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213</v>
      </c>
      <c r="B113" s="54" t="s">
        <v>214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86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212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216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/>
      <c r="M114" s="33" t="s">
        <v>86</v>
      </c>
      <c r="N114" s="33"/>
      <c r="O114" s="32">
        <v>45</v>
      </c>
      <c r="P114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217</v>
      </c>
      <c r="B115" s="54" t="s">
        <v>218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77</v>
      </c>
      <c r="M115" s="33" t="s">
        <v>78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219</v>
      </c>
      <c r="AG115" s="64"/>
      <c r="AJ115" s="68" t="s">
        <v>80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8" t="s">
        <v>165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220</v>
      </c>
      <c r="B119" s="54" t="s">
        <v>221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77</v>
      </c>
      <c r="M119" s="33" t="s">
        <v>78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222</v>
      </c>
      <c r="AG119" s="64"/>
      <c r="AJ119" s="68" t="s">
        <v>80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223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224</v>
      </c>
      <c r="B124" s="54" t="s">
        <v>225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226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224</v>
      </c>
      <c r="B125" s="54" t="s">
        <v>227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96</v>
      </c>
      <c r="N125" s="33"/>
      <c r="O125" s="32">
        <v>90</v>
      </c>
      <c r="P125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226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228</v>
      </c>
      <c r="B129" s="54" t="s">
        <v>229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230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228</v>
      </c>
      <c r="B130" s="54" t="s">
        <v>231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96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230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232</v>
      </c>
      <c r="B134" s="54" t="s">
        <v>233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226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232</v>
      </c>
      <c r="B135" s="54" t="s">
        <v>234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226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235</v>
      </c>
      <c r="B140" s="54" t="s">
        <v>236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237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238</v>
      </c>
      <c r="B141" s="54" t="s">
        <v>239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/>
      <c r="M141" s="33" t="s">
        <v>106</v>
      </c>
      <c r="N141" s="33"/>
      <c r="O141" s="32">
        <v>50</v>
      </c>
      <c r="P141" s="7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240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241</v>
      </c>
      <c r="B142" s="54" t="s">
        <v>242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5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243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244</v>
      </c>
      <c r="B146" s="54" t="s">
        <v>245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/>
      <c r="M146" s="33" t="s">
        <v>106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246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247</v>
      </c>
      <c r="B147" s="54" t="s">
        <v>248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249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250</v>
      </c>
      <c r="B148" s="54" t="s">
        <v>251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/>
      <c r="M148" s="33" t="s">
        <v>68</v>
      </c>
      <c r="N148" s="33"/>
      <c r="O148" s="32">
        <v>40</v>
      </c>
      <c r="P148" s="6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252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253</v>
      </c>
      <c r="B152" s="54" t="s">
        <v>254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78</v>
      </c>
      <c r="N152" s="33"/>
      <c r="O152" s="32">
        <v>45</v>
      </c>
      <c r="P152" s="577" t="s">
        <v>255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256</v>
      </c>
      <c r="AC152" s="189" t="s">
        <v>257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3" t="s">
        <v>258</v>
      </c>
      <c r="B155" s="634"/>
      <c r="C155" s="634"/>
      <c r="D155" s="634"/>
      <c r="E155" s="634"/>
      <c r="F155" s="634"/>
      <c r="G155" s="634"/>
      <c r="H155" s="634"/>
      <c r="I155" s="634"/>
      <c r="J155" s="634"/>
      <c r="K155" s="634"/>
      <c r="L155" s="634"/>
      <c r="M155" s="634"/>
      <c r="N155" s="634"/>
      <c r="O155" s="634"/>
      <c r="P155" s="634"/>
      <c r="Q155" s="634"/>
      <c r="R155" s="634"/>
      <c r="S155" s="634"/>
      <c r="T155" s="634"/>
      <c r="U155" s="634"/>
      <c r="V155" s="634"/>
      <c r="W155" s="634"/>
      <c r="X155" s="634"/>
      <c r="Y155" s="634"/>
      <c r="Z155" s="634"/>
      <c r="AA155" s="48"/>
      <c r="AB155" s="48"/>
      <c r="AC155" s="48"/>
    </row>
    <row r="156" spans="1:68" ht="16.5" customHeight="1" x14ac:dyDescent="0.25">
      <c r="A156" s="559" t="s">
        <v>259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137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260</v>
      </c>
      <c r="B158" s="54" t="s">
        <v>261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262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263</v>
      </c>
      <c r="B162" s="54" t="s">
        <v>264</v>
      </c>
      <c r="C162" s="31">
        <v>4301031191</v>
      </c>
      <c r="D162" s="548">
        <v>4680115880993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200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265</v>
      </c>
      <c r="AG162" s="64"/>
      <c r="AJ162" s="68" t="s">
        <v>80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266</v>
      </c>
      <c r="B163" s="54" t="s">
        <v>267</v>
      </c>
      <c r="C163" s="31">
        <v>4301031204</v>
      </c>
      <c r="D163" s="548">
        <v>4680115881761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268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269</v>
      </c>
      <c r="B164" s="54" t="s">
        <v>270</v>
      </c>
      <c r="C164" s="31">
        <v>4301031201</v>
      </c>
      <c r="D164" s="548">
        <v>4680115881563</v>
      </c>
      <c r="E164" s="549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200</v>
      </c>
      <c r="M164" s="33" t="s">
        <v>68</v>
      </c>
      <c r="N164" s="33"/>
      <c r="O164" s="32">
        <v>40</v>
      </c>
      <c r="P164" s="7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10</v>
      </c>
      <c r="Y164" s="542">
        <f t="shared" si="5"/>
        <v>12.600000000000001</v>
      </c>
      <c r="Z164" s="36">
        <f>IFERROR(IF(Y164=0,"",ROUNDUP(Y164/H164,0)*0.00902),"")</f>
        <v>2.7060000000000001E-2</v>
      </c>
      <c r="AA164" s="56"/>
      <c r="AB164" s="57"/>
      <c r="AC164" s="197" t="s">
        <v>271</v>
      </c>
      <c r="AG164" s="64"/>
      <c r="AJ164" s="68" t="s">
        <v>80</v>
      </c>
      <c r="AK164" s="68">
        <v>50.4</v>
      </c>
      <c r="BB164" s="198" t="s">
        <v>1</v>
      </c>
      <c r="BM164" s="64">
        <f t="shared" si="6"/>
        <v>10.452380952380951</v>
      </c>
      <c r="BN164" s="64">
        <f t="shared" si="7"/>
        <v>13.17</v>
      </c>
      <c r="BO164" s="64">
        <f t="shared" si="8"/>
        <v>1.8037518037518036E-2</v>
      </c>
      <c r="BP164" s="64">
        <f t="shared" si="9"/>
        <v>2.2727272727272728E-2</v>
      </c>
    </row>
    <row r="165" spans="1:68" ht="27" customHeight="1" x14ac:dyDescent="0.25">
      <c r="A165" s="54" t="s">
        <v>272</v>
      </c>
      <c r="B165" s="54" t="s">
        <v>273</v>
      </c>
      <c r="C165" s="31">
        <v>4301031199</v>
      </c>
      <c r="D165" s="548">
        <v>4680115880986</v>
      </c>
      <c r="E165" s="549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40</v>
      </c>
      <c r="P165" s="5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265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274</v>
      </c>
      <c r="B166" s="54" t="s">
        <v>275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276</v>
      </c>
      <c r="M166" s="33" t="s">
        <v>68</v>
      </c>
      <c r="N166" s="33"/>
      <c r="O166" s="32">
        <v>40</v>
      </c>
      <c r="P166" s="6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268</v>
      </c>
      <c r="AG166" s="64"/>
      <c r="AJ166" s="68" t="s">
        <v>80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277</v>
      </c>
      <c r="B167" s="54" t="s">
        <v>278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280</v>
      </c>
      <c r="B168" s="54" t="s">
        <v>281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276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271</v>
      </c>
      <c r="AG168" s="64"/>
      <c r="AJ168" s="68" t="s">
        <v>80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271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284</v>
      </c>
      <c r="B170" s="54" t="s">
        <v>285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286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2.3809523809523809</v>
      </c>
      <c r="Y171" s="543">
        <f>IFERROR(Y162/H162,"0")+IFERROR(Y163/H163,"0")+IFERROR(Y164/H164,"0")+IFERROR(Y165/H165,"0")+IFERROR(Y166/H166,"0")+IFERROR(Y167/H167,"0")+IFERROR(Y168/H168,"0")+IFERROR(Y169/H169,"0")+IFERROR(Y170/H170,"0")</f>
        <v>3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2.7060000000000001E-2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IFERROR(SUM(X162:X170),"0")</f>
        <v>10</v>
      </c>
      <c r="Y172" s="543">
        <f>IFERROR(SUM(Y162:Y170),"0")</f>
        <v>12.600000000000001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287</v>
      </c>
      <c r="B174" s="54" t="s">
        <v>288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289</v>
      </c>
      <c r="L174" s="32"/>
      <c r="M174" s="33" t="s">
        <v>290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291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292</v>
      </c>
      <c r="B175" s="54" t="s">
        <v>293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289</v>
      </c>
      <c r="L175" s="32"/>
      <c r="M175" s="33" t="s">
        <v>290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294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295</v>
      </c>
      <c r="B176" s="54" t="s">
        <v>296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289</v>
      </c>
      <c r="L176" s="32"/>
      <c r="M176" s="33" t="s">
        <v>290</v>
      </c>
      <c r="N176" s="33"/>
      <c r="O176" s="32">
        <v>90</v>
      </c>
      <c r="P176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294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297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298</v>
      </c>
      <c r="B180" s="54" t="s">
        <v>299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289</v>
      </c>
      <c r="L180" s="32"/>
      <c r="M180" s="33" t="s">
        <v>290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294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300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301</v>
      </c>
      <c r="B185" s="54" t="s">
        <v>302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303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304</v>
      </c>
      <c r="B186" s="54" t="s">
        <v>305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106</v>
      </c>
      <c r="N186" s="33"/>
      <c r="O186" s="32">
        <v>55</v>
      </c>
      <c r="P186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303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137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306</v>
      </c>
      <c r="B190" s="54" t="s">
        <v>307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308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309</v>
      </c>
      <c r="B191" s="54" t="s">
        <v>310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308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311</v>
      </c>
      <c r="B195" s="54" t="s">
        <v>312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200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313</v>
      </c>
      <c r="AG195" s="64"/>
      <c r="AJ195" s="68" t="s">
        <v>80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314</v>
      </c>
      <c r="B196" s="54" t="s">
        <v>315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200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40</v>
      </c>
      <c r="Y196" s="542">
        <f t="shared" si="10"/>
        <v>43.2</v>
      </c>
      <c r="Z196" s="36">
        <f>IFERROR(IF(Y196=0,"",ROUNDUP(Y196/H196,0)*0.00902),"")</f>
        <v>7.2160000000000002E-2</v>
      </c>
      <c r="AA196" s="56"/>
      <c r="AB196" s="57"/>
      <c r="AC196" s="229" t="s">
        <v>316</v>
      </c>
      <c r="AG196" s="64"/>
      <c r="AJ196" s="68" t="s">
        <v>80</v>
      </c>
      <c r="AK196" s="68">
        <v>64.8</v>
      </c>
      <c r="BB196" s="230" t="s">
        <v>1</v>
      </c>
      <c r="BM196" s="64">
        <f t="shared" si="11"/>
        <v>41.407407407407405</v>
      </c>
      <c r="BN196" s="64">
        <f t="shared" si="12"/>
        <v>44.72</v>
      </c>
      <c r="BO196" s="64">
        <f t="shared" si="13"/>
        <v>5.6116722783389444E-2</v>
      </c>
      <c r="BP196" s="64">
        <f t="shared" si="14"/>
        <v>6.0606060606060608E-2</v>
      </c>
    </row>
    <row r="197" spans="1:68" ht="27" customHeight="1" x14ac:dyDescent="0.25">
      <c r="A197" s="54" t="s">
        <v>317</v>
      </c>
      <c r="B197" s="54" t="s">
        <v>318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200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80</v>
      </c>
      <c r="Y197" s="542">
        <f t="shared" si="10"/>
        <v>81</v>
      </c>
      <c r="Z197" s="36">
        <f>IFERROR(IF(Y197=0,"",ROUNDUP(Y197/H197,0)*0.00902),"")</f>
        <v>0.1353</v>
      </c>
      <c r="AA197" s="56"/>
      <c r="AB197" s="57"/>
      <c r="AC197" s="231" t="s">
        <v>319</v>
      </c>
      <c r="AG197" s="64"/>
      <c r="AJ197" s="68" t="s">
        <v>80</v>
      </c>
      <c r="AK197" s="68">
        <v>64.8</v>
      </c>
      <c r="BB197" s="232" t="s">
        <v>1</v>
      </c>
      <c r="BM197" s="64">
        <f t="shared" si="11"/>
        <v>82.81481481481481</v>
      </c>
      <c r="BN197" s="64">
        <f t="shared" si="12"/>
        <v>83.85</v>
      </c>
      <c r="BO197" s="64">
        <f t="shared" si="13"/>
        <v>0.11223344556677889</v>
      </c>
      <c r="BP197" s="64">
        <f t="shared" si="14"/>
        <v>0.11363636363636363</v>
      </c>
    </row>
    <row r="198" spans="1:68" ht="27" customHeight="1" x14ac:dyDescent="0.25">
      <c r="A198" s="54" t="s">
        <v>320</v>
      </c>
      <c r="B198" s="54" t="s">
        <v>321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200</v>
      </c>
      <c r="M198" s="33" t="s">
        <v>68</v>
      </c>
      <c r="N198" s="33"/>
      <c r="O198" s="32">
        <v>40</v>
      </c>
      <c r="P198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40</v>
      </c>
      <c r="Y198" s="542">
        <f t="shared" si="10"/>
        <v>43.2</v>
      </c>
      <c r="Z198" s="36">
        <f>IFERROR(IF(Y198=0,"",ROUNDUP(Y198/H198,0)*0.00902),"")</f>
        <v>7.2160000000000002E-2</v>
      </c>
      <c r="AA198" s="56"/>
      <c r="AB198" s="57"/>
      <c r="AC198" s="233" t="s">
        <v>322</v>
      </c>
      <c r="AG198" s="64"/>
      <c r="AJ198" s="68" t="s">
        <v>80</v>
      </c>
      <c r="AK198" s="68">
        <v>64.8</v>
      </c>
      <c r="BB198" s="234" t="s">
        <v>1</v>
      </c>
      <c r="BM198" s="64">
        <f t="shared" si="11"/>
        <v>41.407407407407405</v>
      </c>
      <c r="BN198" s="64">
        <f t="shared" si="12"/>
        <v>44.72</v>
      </c>
      <c r="BO198" s="64">
        <f t="shared" si="13"/>
        <v>5.6116722783389444E-2</v>
      </c>
      <c r="BP198" s="64">
        <f t="shared" si="14"/>
        <v>6.0606060606060608E-2</v>
      </c>
    </row>
    <row r="199" spans="1:68" ht="27" customHeight="1" x14ac:dyDescent="0.25">
      <c r="A199" s="54" t="s">
        <v>323</v>
      </c>
      <c r="B199" s="54" t="s">
        <v>324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83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313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325</v>
      </c>
      <c r="B200" s="54" t="s">
        <v>326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316</v>
      </c>
      <c r="AG200" s="64"/>
      <c r="AJ200" s="68" t="s">
        <v>80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327</v>
      </c>
      <c r="B201" s="54" t="s">
        <v>328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276</v>
      </c>
      <c r="M201" s="33" t="s">
        <v>68</v>
      </c>
      <c r="N201" s="33"/>
      <c r="O201" s="32">
        <v>40</v>
      </c>
      <c r="P201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319</v>
      </c>
      <c r="AG201" s="64"/>
      <c r="AJ201" s="68" t="s">
        <v>80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329</v>
      </c>
      <c r="B202" s="54" t="s">
        <v>330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322</v>
      </c>
      <c r="AG202" s="64"/>
      <c r="AJ202" s="68" t="s">
        <v>80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29.629629629629626</v>
      </c>
      <c r="Y203" s="543">
        <f>IFERROR(Y195/H195,"0")+IFERROR(Y196/H196,"0")+IFERROR(Y197/H197,"0")+IFERROR(Y198/H198,"0")+IFERROR(Y199/H199,"0")+IFERROR(Y200/H200,"0")+IFERROR(Y201/H201,"0")+IFERROR(Y202/H202,"0")</f>
        <v>31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0.27961999999999998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160</v>
      </c>
      <c r="Y204" s="543">
        <f>IFERROR(SUM(Y195:Y202),"0")</f>
        <v>167.4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331</v>
      </c>
      <c r="B206" s="54" t="s">
        <v>332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78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20</v>
      </c>
      <c r="Y206" s="542">
        <f t="shared" ref="Y206:Y214" si="15">IFERROR(IF(X206="",0,CEILING((X206/$H206),1)*$H206),"")</f>
        <v>24.299999999999997</v>
      </c>
      <c r="Z206" s="36">
        <f>IFERROR(IF(Y206=0,"",ROUNDUP(Y206/H206,0)*0.01898),"")</f>
        <v>5.6940000000000004E-2</v>
      </c>
      <c r="AA206" s="56"/>
      <c r="AB206" s="57"/>
      <c r="AC206" s="243" t="s">
        <v>333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21.219753086419754</v>
      </c>
      <c r="BN206" s="64">
        <f t="shared" ref="BN206:BN214" si="17">IFERROR(Y206*I206/H206,"0")</f>
        <v>25.781999999999996</v>
      </c>
      <c r="BO206" s="64">
        <f t="shared" ref="BO206:BO214" si="18">IFERROR(1/J206*(X206/H206),"0")</f>
        <v>3.8580246913580252E-2</v>
      </c>
      <c r="BP206" s="64">
        <f t="shared" ref="BP206:BP214" si="19">IFERROR(1/J206*(Y206/H206),"0")</f>
        <v>4.6875E-2</v>
      </c>
    </row>
    <row r="207" spans="1:68" ht="27" customHeight="1" x14ac:dyDescent="0.25">
      <c r="A207" s="54" t="s">
        <v>334</v>
      </c>
      <c r="B207" s="54" t="s">
        <v>335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78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30</v>
      </c>
      <c r="Y207" s="542">
        <f t="shared" si="15"/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336</v>
      </c>
      <c r="AG207" s="64"/>
      <c r="AJ207" s="68"/>
      <c r="AK207" s="68">
        <v>0</v>
      </c>
      <c r="BB207" s="246" t="s">
        <v>1</v>
      </c>
      <c r="BM207" s="64">
        <f t="shared" si="16"/>
        <v>31.76296296296297</v>
      </c>
      <c r="BN207" s="64">
        <f t="shared" si="17"/>
        <v>34.304000000000002</v>
      </c>
      <c r="BO207" s="64">
        <f t="shared" si="18"/>
        <v>5.7870370370370371E-2</v>
      </c>
      <c r="BP207" s="64">
        <f t="shared" si="19"/>
        <v>6.25E-2</v>
      </c>
    </row>
    <row r="208" spans="1:68" ht="27" customHeight="1" x14ac:dyDescent="0.25">
      <c r="A208" s="54" t="s">
        <v>337</v>
      </c>
      <c r="B208" s="54" t="s">
        <v>338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78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339</v>
      </c>
      <c r="AG208" s="64"/>
      <c r="AJ208" s="68" t="s">
        <v>80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340</v>
      </c>
      <c r="B209" s="54" t="s">
        <v>341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77</v>
      </c>
      <c r="M209" s="33" t="s">
        <v>78</v>
      </c>
      <c r="N209" s="33"/>
      <c r="O209" s="32">
        <v>40</v>
      </c>
      <c r="P209" s="5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4.8000000000000007</v>
      </c>
      <c r="Y209" s="542">
        <f t="shared" si="15"/>
        <v>4.8</v>
      </c>
      <c r="Z209" s="36">
        <f t="shared" ref="Z209:Z214" si="20">IFERROR(IF(Y209=0,"",ROUNDUP(Y209/H209,0)*0.00651),"")</f>
        <v>1.302E-2</v>
      </c>
      <c r="AA209" s="56"/>
      <c r="AB209" s="57"/>
      <c r="AC209" s="249" t="s">
        <v>333</v>
      </c>
      <c r="AG209" s="64"/>
      <c r="AJ209" s="68" t="s">
        <v>80</v>
      </c>
      <c r="AK209" s="68">
        <v>33.6</v>
      </c>
      <c r="BB209" s="250" t="s">
        <v>1</v>
      </c>
      <c r="BM209" s="64">
        <f t="shared" si="16"/>
        <v>5.3400000000000007</v>
      </c>
      <c r="BN209" s="64">
        <f t="shared" si="17"/>
        <v>5.34</v>
      </c>
      <c r="BO209" s="64">
        <f t="shared" si="18"/>
        <v>1.0989010989010992E-2</v>
      </c>
      <c r="BP209" s="64">
        <f t="shared" si="19"/>
        <v>1.098901098901099E-2</v>
      </c>
    </row>
    <row r="210" spans="1:68" ht="27" customHeight="1" x14ac:dyDescent="0.25">
      <c r="A210" s="54" t="s">
        <v>342</v>
      </c>
      <c r="B210" s="54" t="s">
        <v>343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86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344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345</v>
      </c>
      <c r="B211" s="54" t="s">
        <v>346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77</v>
      </c>
      <c r="M211" s="33" t="s">
        <v>78</v>
      </c>
      <c r="N211" s="33"/>
      <c r="O211" s="32">
        <v>45</v>
      </c>
      <c r="P211" s="7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4.8000000000000007</v>
      </c>
      <c r="Y211" s="542">
        <f t="shared" si="15"/>
        <v>4.8</v>
      </c>
      <c r="Z211" s="36">
        <f t="shared" si="20"/>
        <v>1.302E-2</v>
      </c>
      <c r="AA211" s="56"/>
      <c r="AB211" s="57"/>
      <c r="AC211" s="253" t="s">
        <v>339</v>
      </c>
      <c r="AG211" s="64"/>
      <c r="AJ211" s="68" t="s">
        <v>80</v>
      </c>
      <c r="AK211" s="68">
        <v>33.6</v>
      </c>
      <c r="BB211" s="254" t="s">
        <v>1</v>
      </c>
      <c r="BM211" s="64">
        <f t="shared" si="16"/>
        <v>5.3040000000000012</v>
      </c>
      <c r="BN211" s="64">
        <f t="shared" si="17"/>
        <v>5.3040000000000003</v>
      </c>
      <c r="BO211" s="64">
        <f t="shared" si="18"/>
        <v>1.0989010989010992E-2</v>
      </c>
      <c r="BP211" s="64">
        <f t="shared" si="19"/>
        <v>1.098901098901099E-2</v>
      </c>
    </row>
    <row r="212" spans="1:68" ht="27" customHeight="1" x14ac:dyDescent="0.25">
      <c r="A212" s="54" t="s">
        <v>347</v>
      </c>
      <c r="B212" s="54" t="s">
        <v>348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78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339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349</v>
      </c>
      <c r="B213" s="54" t="s">
        <v>350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77</v>
      </c>
      <c r="M213" s="33" t="s">
        <v>86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351</v>
      </c>
      <c r="AG213" s="64"/>
      <c r="AJ213" s="68" t="s">
        <v>80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352</v>
      </c>
      <c r="B214" s="54" t="s">
        <v>353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77</v>
      </c>
      <c r="M214" s="33" t="s">
        <v>78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336</v>
      </c>
      <c r="AG214" s="64"/>
      <c r="AJ214" s="68" t="s">
        <v>80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10.17283950617284</v>
      </c>
      <c r="Y215" s="543">
        <f>IFERROR(Y206/H206,"0")+IFERROR(Y207/H207,"0")+IFERROR(Y208/H208,"0")+IFERROR(Y209/H209,"0")+IFERROR(Y210/H210,"0")+IFERROR(Y211/H211,"0")+IFERROR(Y212/H212,"0")+IFERROR(Y213/H213,"0")+IFERROR(Y214/H214,"0")</f>
        <v>11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0.15890000000000001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59.599999999999994</v>
      </c>
      <c r="Y216" s="543">
        <f>IFERROR(SUM(Y206:Y214),"0")</f>
        <v>66.3</v>
      </c>
      <c r="Z216" s="37"/>
      <c r="AA216" s="544"/>
      <c r="AB216" s="544"/>
      <c r="AC216" s="544"/>
    </row>
    <row r="217" spans="1:68" ht="14.25" customHeight="1" x14ac:dyDescent="0.25">
      <c r="A217" s="558" t="s">
        <v>165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354</v>
      </c>
      <c r="B218" s="54" t="s">
        <v>355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77</v>
      </c>
      <c r="M218" s="33" t="s">
        <v>86</v>
      </c>
      <c r="N218" s="33"/>
      <c r="O218" s="32">
        <v>40</v>
      </c>
      <c r="P218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356</v>
      </c>
      <c r="AG218" s="64"/>
      <c r="AJ218" s="68" t="s">
        <v>80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357</v>
      </c>
      <c r="B219" s="54" t="s">
        <v>358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77</v>
      </c>
      <c r="M219" s="33" t="s">
        <v>78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359</v>
      </c>
      <c r="AG219" s="64"/>
      <c r="AJ219" s="68" t="s">
        <v>80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360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361</v>
      </c>
      <c r="B224" s="54" t="s">
        <v>362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363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364</v>
      </c>
      <c r="B225" s="54" t="s">
        <v>365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366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367</v>
      </c>
      <c r="B226" s="54" t="s">
        <v>368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369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370</v>
      </c>
      <c r="B227" s="54" t="s">
        <v>371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/>
      <c r="M227" s="33" t="s">
        <v>106</v>
      </c>
      <c r="N227" s="33"/>
      <c r="O227" s="32">
        <v>55</v>
      </c>
      <c r="P227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363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370</v>
      </c>
      <c r="B228" s="54" t="s">
        <v>372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363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373</v>
      </c>
      <c r="B229" s="54" t="s">
        <v>374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375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376</v>
      </c>
      <c r="B230" s="54" t="s">
        <v>377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378</v>
      </c>
      <c r="B231" s="54" t="s">
        <v>379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380</v>
      </c>
      <c r="B232" s="54" t="s">
        <v>381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200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369</v>
      </c>
      <c r="AG232" s="64"/>
      <c r="AJ232" s="68" t="s">
        <v>80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380</v>
      </c>
      <c r="B233" s="54" t="s">
        <v>382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369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137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383</v>
      </c>
      <c r="B237" s="54" t="s">
        <v>384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78</v>
      </c>
      <c r="N237" s="33"/>
      <c r="O237" s="32">
        <v>50</v>
      </c>
      <c r="P237" s="6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385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386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387</v>
      </c>
      <c r="B241" s="54" t="s">
        <v>388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289</v>
      </c>
      <c r="L241" s="32"/>
      <c r="M241" s="33" t="s">
        <v>290</v>
      </c>
      <c r="N241" s="33"/>
      <c r="O241" s="32">
        <v>45</v>
      </c>
      <c r="P241" s="79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389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390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391</v>
      </c>
      <c r="B245" s="54" t="s">
        <v>392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289</v>
      </c>
      <c r="L245" s="32"/>
      <c r="M245" s="33" t="s">
        <v>290</v>
      </c>
      <c r="N245" s="33"/>
      <c r="O245" s="32">
        <v>90</v>
      </c>
      <c r="P245" s="7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393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394</v>
      </c>
      <c r="B246" s="54" t="s">
        <v>395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289</v>
      </c>
      <c r="L246" s="32"/>
      <c r="M246" s="33" t="s">
        <v>290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393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396</v>
      </c>
      <c r="B247" s="54" t="s">
        <v>397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289</v>
      </c>
      <c r="L247" s="32"/>
      <c r="M247" s="33" t="s">
        <v>290</v>
      </c>
      <c r="N247" s="33"/>
      <c r="O247" s="32">
        <v>90</v>
      </c>
      <c r="P247" s="7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393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398</v>
      </c>
      <c r="B248" s="54" t="s">
        <v>399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289</v>
      </c>
      <c r="L248" s="32"/>
      <c r="M248" s="33" t="s">
        <v>290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393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400</v>
      </c>
      <c r="B249" s="54" t="s">
        <v>401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289</v>
      </c>
      <c r="L249" s="32"/>
      <c r="M249" s="33" t="s">
        <v>290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393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402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403</v>
      </c>
      <c r="B254" s="54" t="s">
        <v>404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/>
      <c r="M254" s="33" t="s">
        <v>106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405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406</v>
      </c>
      <c r="B255" s="54" t="s">
        <v>407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20</v>
      </c>
      <c r="Y255" s="542">
        <f>IFERROR(IF(X255="",0,CEILING((X255/$H255),1)*$H255),"")</f>
        <v>21.6</v>
      </c>
      <c r="Z255" s="36">
        <f>IFERROR(IF(Y255=0,"",ROUNDUP(Y255/H255,0)*0.01898),"")</f>
        <v>3.7960000000000001E-2</v>
      </c>
      <c r="AA255" s="56"/>
      <c r="AB255" s="57"/>
      <c r="AC255" s="301" t="s">
        <v>408</v>
      </c>
      <c r="AG255" s="64"/>
      <c r="AJ255" s="68"/>
      <c r="AK255" s="68">
        <v>0</v>
      </c>
      <c r="BB255" s="302" t="s">
        <v>1</v>
      </c>
      <c r="BM255" s="64">
        <f>IFERROR(X255*I255/H255,"0")</f>
        <v>20.75925925925926</v>
      </c>
      <c r="BN255" s="64">
        <f>IFERROR(Y255*I255/H255,"0")</f>
        <v>22.42</v>
      </c>
      <c r="BO255" s="64">
        <f>IFERROR(1/J255*(X255/H255),"0")</f>
        <v>2.8935185185185182E-2</v>
      </c>
      <c r="BP255" s="64">
        <f>IFERROR(1/J255*(Y255/H255),"0")</f>
        <v>3.125E-2</v>
      </c>
    </row>
    <row r="256" spans="1:68" ht="27" customHeight="1" x14ac:dyDescent="0.25">
      <c r="A256" s="54" t="s">
        <v>409</v>
      </c>
      <c r="B256" s="54" t="s">
        <v>410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411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412</v>
      </c>
      <c r="B257" s="54" t="s">
        <v>413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414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415</v>
      </c>
      <c r="B258" s="54" t="s">
        <v>416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417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1.8518518518518516</v>
      </c>
      <c r="Y259" s="543">
        <f>IFERROR(Y254/H254,"0")+IFERROR(Y255/H255,"0")+IFERROR(Y256/H256,"0")+IFERROR(Y257/H257,"0")+IFERROR(Y258/H258,"0")</f>
        <v>2</v>
      </c>
      <c r="Z259" s="543">
        <f>IFERROR(IF(Z254="",0,Z254),"0")+IFERROR(IF(Z255="",0,Z255),"0")+IFERROR(IF(Z256="",0,Z256),"0")+IFERROR(IF(Z257="",0,Z257),"0")+IFERROR(IF(Z258="",0,Z258),"0")</f>
        <v>3.7960000000000001E-2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20</v>
      </c>
      <c r="Y260" s="543">
        <f>IFERROR(SUM(Y254:Y258),"0")</f>
        <v>21.6</v>
      </c>
      <c r="Z260" s="37"/>
      <c r="AA260" s="544"/>
      <c r="AB260" s="544"/>
      <c r="AC260" s="544"/>
    </row>
    <row r="261" spans="1:68" ht="16.5" customHeight="1" x14ac:dyDescent="0.25">
      <c r="A261" s="559" t="s">
        <v>418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419</v>
      </c>
      <c r="B263" s="54" t="s">
        <v>420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78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421</v>
      </c>
      <c r="B264" s="54" t="s">
        <v>422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78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423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424</v>
      </c>
      <c r="B265" s="54" t="s">
        <v>425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78</v>
      </c>
      <c r="N265" s="33"/>
      <c r="O265" s="32">
        <v>35</v>
      </c>
      <c r="P265" s="60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369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426</v>
      </c>
      <c r="B266" s="54" t="s">
        <v>427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429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430</v>
      </c>
      <c r="B271" s="54" t="s">
        <v>431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78</v>
      </c>
      <c r="N271" s="33"/>
      <c r="O271" s="32">
        <v>45</v>
      </c>
      <c r="P271" s="60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432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433</v>
      </c>
      <c r="B272" s="54" t="s">
        <v>434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77</v>
      </c>
      <c r="M272" s="33" t="s">
        <v>86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435</v>
      </c>
      <c r="AG272" s="64"/>
      <c r="AJ272" s="68" t="s">
        <v>80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436</v>
      </c>
      <c r="B273" s="54" t="s">
        <v>437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78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432</v>
      </c>
      <c r="AG273" s="64"/>
      <c r="AJ273" s="68" t="s">
        <v>80</v>
      </c>
      <c r="AK273" s="68">
        <v>2.4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438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439</v>
      </c>
      <c r="B278" s="54" t="s">
        <v>440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441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442</v>
      </c>
      <c r="B279" s="54" t="s">
        <v>443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444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445</v>
      </c>
      <c r="B283" s="54" t="s">
        <v>446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/>
      <c r="M283" s="33" t="s">
        <v>78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447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54"/>
      <c r="B284" s="555"/>
      <c r="C284" s="555"/>
      <c r="D284" s="555"/>
      <c r="E284" s="555"/>
      <c r="F284" s="555"/>
      <c r="G284" s="555"/>
      <c r="H284" s="555"/>
      <c r="I284" s="555"/>
      <c r="J284" s="555"/>
      <c r="K284" s="555"/>
      <c r="L284" s="555"/>
      <c r="M284" s="555"/>
      <c r="N284" s="555"/>
      <c r="O284" s="556"/>
      <c r="P284" s="562" t="s">
        <v>71</v>
      </c>
      <c r="Q284" s="563"/>
      <c r="R284" s="563"/>
      <c r="S284" s="563"/>
      <c r="T284" s="563"/>
      <c r="U284" s="563"/>
      <c r="V284" s="564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x14ac:dyDescent="0.2">
      <c r="A285" s="555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customHeight="1" x14ac:dyDescent="0.25">
      <c r="A286" s="559" t="s">
        <v>448</v>
      </c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5"/>
      <c r="P286" s="555"/>
      <c r="Q286" s="555"/>
      <c r="R286" s="555"/>
      <c r="S286" s="555"/>
      <c r="T286" s="555"/>
      <c r="U286" s="555"/>
      <c r="V286" s="555"/>
      <c r="W286" s="555"/>
      <c r="X286" s="555"/>
      <c r="Y286" s="555"/>
      <c r="Z286" s="555"/>
      <c r="AA286" s="536"/>
      <c r="AB286" s="536"/>
      <c r="AC286" s="536"/>
    </row>
    <row r="287" spans="1:68" ht="14.25" customHeight="1" x14ac:dyDescent="0.25">
      <c r="A287" s="558" t="s">
        <v>101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7"/>
      <c r="AB287" s="537"/>
      <c r="AC287" s="537"/>
    </row>
    <row r="288" spans="1:68" ht="27" customHeight="1" x14ac:dyDescent="0.25">
      <c r="A288" s="54" t="s">
        <v>449</v>
      </c>
      <c r="B288" s="54" t="s">
        <v>450</v>
      </c>
      <c r="C288" s="31">
        <v>4301012126</v>
      </c>
      <c r="D288" s="548">
        <v>4607091386004</v>
      </c>
      <c r="E288" s="549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451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452</v>
      </c>
      <c r="B289" s="54" t="s">
        <v>453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78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454</v>
      </c>
      <c r="AG289" s="64"/>
      <c r="AJ289" s="68"/>
      <c r="AK289" s="68">
        <v>0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customHeight="1" x14ac:dyDescent="0.25">
      <c r="A290" s="54" t="s">
        <v>455</v>
      </c>
      <c r="B290" s="54" t="s">
        <v>456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457</v>
      </c>
      <c r="AG290" s="64"/>
      <c r="AJ290" s="68"/>
      <c r="AK290" s="68">
        <v>0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customHeight="1" x14ac:dyDescent="0.25">
      <c r="A291" s="54" t="s">
        <v>458</v>
      </c>
      <c r="B291" s="54" t="s">
        <v>459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78</v>
      </c>
      <c r="N291" s="33"/>
      <c r="O291" s="32">
        <v>55</v>
      </c>
      <c r="P291" s="8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460</v>
      </c>
      <c r="AG291" s="64"/>
      <c r="AJ291" s="68"/>
      <c r="AK291" s="68">
        <v>0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461</v>
      </c>
      <c r="B292" s="54" t="s">
        <v>462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/>
      <c r="M292" s="33" t="s">
        <v>106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454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/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IFERROR(X288/H288,"0")+IFERROR(X289/H289,"0")+IFERROR(X290/H290,"0")+IFERROR(X291/H291,"0")+IFERROR(X292/H292,"0")+IFERROR(X293/H293,"0")</f>
        <v>0</v>
      </c>
      <c r="Y294" s="543">
        <f>IFERROR(Y288/H288,"0")+IFERROR(Y289/H289,"0")+IFERROR(Y290/H290,"0")+IFERROR(Y291/H291,"0")+IFERROR(Y292/H292,"0")+IFERROR(Y293/H293,"0")</f>
        <v>0</v>
      </c>
      <c r="Z294" s="543">
        <f>IFERROR(IF(Z288="",0,Z288),"0")+IFERROR(IF(Z289="",0,Z289),"0")+IFERROR(IF(Z290="",0,Z290),"0")+IFERROR(IF(Z291="",0,Z291),"0")+IFERROR(IF(Z292="",0,Z292),"0")+IFERROR(IF(Z293="",0,Z293),"0")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IFERROR(SUM(X288:X293),"0")</f>
        <v>0</v>
      </c>
      <c r="Y295" s="543">
        <f>IFERROR(SUM(Y288:Y293),"0")</f>
        <v>0</v>
      </c>
      <c r="Z295" s="37"/>
      <c r="AA295" s="544"/>
      <c r="AB295" s="544"/>
      <c r="AC295" s="544"/>
    </row>
    <row r="296" spans="1:68" ht="14.25" customHeight="1" x14ac:dyDescent="0.25">
      <c r="A296" s="558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466</v>
      </c>
      <c r="B297" s="54" t="s">
        <v>467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/>
      <c r="M297" s="33" t="s">
        <v>68</v>
      </c>
      <c r="N297" s="33"/>
      <c r="O297" s="32">
        <v>35</v>
      </c>
      <c r="P297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10</v>
      </c>
      <c r="Y297" s="542">
        <f t="shared" ref="Y297:Y303" si="31">IFERROR(IF(X297="",0,CEILING((X297/$H297),1)*$H297),"")</f>
        <v>12.600000000000001</v>
      </c>
      <c r="Z297" s="36">
        <f>IFERROR(IF(Y297=0,"",ROUNDUP(Y297/H297,0)*0.00902),"")</f>
        <v>2.7060000000000001E-2</v>
      </c>
      <c r="AA297" s="56"/>
      <c r="AB297" s="57"/>
      <c r="AC297" s="341" t="s">
        <v>468</v>
      </c>
      <c r="AG297" s="64"/>
      <c r="AJ297" s="68"/>
      <c r="AK297" s="68">
        <v>0</v>
      </c>
      <c r="BB297" s="342" t="s">
        <v>1</v>
      </c>
      <c r="BM297" s="64">
        <f t="shared" ref="BM297:BM303" si="32">IFERROR(X297*I297/H297,"0")</f>
        <v>10.595238095238095</v>
      </c>
      <c r="BN297" s="64">
        <f t="shared" ref="BN297:BN303" si="33">IFERROR(Y297*I297/H297,"0")</f>
        <v>13.350000000000001</v>
      </c>
      <c r="BO297" s="64">
        <f t="shared" ref="BO297:BO303" si="34">IFERROR(1/J297*(X297/H297),"0")</f>
        <v>1.8037518037518036E-2</v>
      </c>
      <c r="BP297" s="64">
        <f t="shared" ref="BP297:BP303" si="35">IFERROR(1/J297*(Y297/H297),"0")</f>
        <v>2.2727272727272728E-2</v>
      </c>
    </row>
    <row r="298" spans="1:68" ht="27" customHeight="1" x14ac:dyDescent="0.25">
      <c r="A298" s="54" t="s">
        <v>469</v>
      </c>
      <c r="B298" s="54" t="s">
        <v>470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31"/>
        <v>0</v>
      </c>
      <c r="Z298" s="36" t="str">
        <f>IFERROR(IF(Y298=0,"",ROUNDUP(Y298/H298,0)*0.00902),"")</f>
        <v/>
      </c>
      <c r="AA298" s="56"/>
      <c r="AB298" s="57"/>
      <c r="AC298" s="343" t="s">
        <v>471</v>
      </c>
      <c r="AG298" s="64"/>
      <c r="AJ298" s="68"/>
      <c r="AK298" s="68">
        <v>0</v>
      </c>
      <c r="BB298" s="344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472</v>
      </c>
      <c r="B299" s="54" t="s">
        <v>473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474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475</v>
      </c>
      <c r="B300" s="54" t="s">
        <v>476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471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276</v>
      </c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479</v>
      </c>
      <c r="AG301" s="64"/>
      <c r="AJ301" s="68" t="s">
        <v>80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77</v>
      </c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484</v>
      </c>
      <c r="AG303" s="64"/>
      <c r="AJ303" s="68" t="s">
        <v>80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2.3809523809523809</v>
      </c>
      <c r="Y304" s="543">
        <f>IFERROR(Y297/H297,"0")+IFERROR(Y298/H298,"0")+IFERROR(Y299/H299,"0")+IFERROR(Y300/H300,"0")+IFERROR(Y301/H301,"0")+IFERROR(Y302/H302,"0")+IFERROR(Y303/H303,"0")</f>
        <v>3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2.7060000000000001E-2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10</v>
      </c>
      <c r="Y305" s="543">
        <f>IFERROR(SUM(Y297:Y303),"0")</f>
        <v>12.600000000000001</v>
      </c>
      <c r="Z305" s="37"/>
      <c r="AA305" s="544"/>
      <c r="AB305" s="544"/>
      <c r="AC305" s="544"/>
    </row>
    <row r="306" spans="1:68" ht="14.25" customHeight="1" x14ac:dyDescent="0.25">
      <c r="A306" s="558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485</v>
      </c>
      <c r="B307" s="54" t="s">
        <v>486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/>
      <c r="M307" s="33" t="s">
        <v>78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487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488</v>
      </c>
      <c r="B308" s="54" t="s">
        <v>489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78</v>
      </c>
      <c r="N308" s="33"/>
      <c r="O308" s="32">
        <v>40</v>
      </c>
      <c r="P308" s="6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490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491</v>
      </c>
      <c r="B309" s="54" t="s">
        <v>492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78</v>
      </c>
      <c r="N309" s="33"/>
      <c r="O309" s="32">
        <v>40</v>
      </c>
      <c r="P309" s="71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493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494</v>
      </c>
      <c r="B310" s="54" t="s">
        <v>495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78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496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497</v>
      </c>
      <c r="B311" s="54" t="s">
        <v>498</v>
      </c>
      <c r="C311" s="31">
        <v>4301051578</v>
      </c>
      <c r="D311" s="548">
        <v>4607091387513</v>
      </c>
      <c r="E311" s="549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86</v>
      </c>
      <c r="N311" s="33"/>
      <c r="O311" s="32">
        <v>40</v>
      </c>
      <c r="P311" s="70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499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165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500</v>
      </c>
      <c r="B315" s="54" t="s">
        <v>501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78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502</v>
      </c>
      <c r="AG315" s="64"/>
      <c r="AJ315" s="68" t="s">
        <v>80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503</v>
      </c>
      <c r="B316" s="54" t="s">
        <v>504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78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25</v>
      </c>
      <c r="Y316" s="542">
        <f>IFERROR(IF(X316="",0,CEILING((X316/$H316),1)*$H316),"")</f>
        <v>31.2</v>
      </c>
      <c r="Z316" s="36">
        <f>IFERROR(IF(Y316=0,"",ROUNDUP(Y316/H316,0)*0.01898),"")</f>
        <v>7.5920000000000001E-2</v>
      </c>
      <c r="AA316" s="56"/>
      <c r="AB316" s="57"/>
      <c r="AC316" s="367" t="s">
        <v>505</v>
      </c>
      <c r="AG316" s="64"/>
      <c r="AJ316" s="68" t="s">
        <v>80</v>
      </c>
      <c r="AK316" s="68">
        <v>62.4</v>
      </c>
      <c r="BB316" s="368" t="s">
        <v>1</v>
      </c>
      <c r="BM316" s="64">
        <f>IFERROR(X316*I316/H316,"0")</f>
        <v>26.583333333333336</v>
      </c>
      <c r="BN316" s="64">
        <f>IFERROR(Y316*I316/H316,"0")</f>
        <v>33.176000000000002</v>
      </c>
      <c r="BO316" s="64">
        <f>IFERROR(1/J316*(X316/H316),"0")</f>
        <v>5.0080128205128208E-2</v>
      </c>
      <c r="BP316" s="64">
        <f>IFERROR(1/J316*(Y316/H316),"0")</f>
        <v>6.25E-2</v>
      </c>
    </row>
    <row r="317" spans="1:68" ht="16.5" customHeight="1" x14ac:dyDescent="0.25">
      <c r="A317" s="54" t="s">
        <v>506</v>
      </c>
      <c r="B317" s="54" t="s">
        <v>507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/>
      <c r="M317" s="33" t="s">
        <v>86</v>
      </c>
      <c r="N317" s="33"/>
      <c r="O317" s="32">
        <v>30</v>
      </c>
      <c r="P317" s="8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508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3.2051282051282053</v>
      </c>
      <c r="Y318" s="543">
        <f>IFERROR(Y315/H315,"0")+IFERROR(Y316/H316,"0")+IFERROR(Y317/H317,"0")</f>
        <v>4</v>
      </c>
      <c r="Z318" s="543">
        <f>IFERROR(IF(Z315="",0,Z315),"0")+IFERROR(IF(Z316="",0,Z316),"0")+IFERROR(IF(Z317="",0,Z317),"0")</f>
        <v>7.5920000000000001E-2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25</v>
      </c>
      <c r="Y319" s="543">
        <f>IFERROR(SUM(Y315:Y317),"0")</f>
        <v>31.2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509</v>
      </c>
      <c r="B321" s="54" t="s">
        <v>510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511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512</v>
      </c>
      <c r="B322" s="54" t="s">
        <v>513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5" t="s">
        <v>514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515</v>
      </c>
      <c r="B323" s="54" t="s">
        <v>516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77</v>
      </c>
      <c r="M323" s="33" t="s">
        <v>96</v>
      </c>
      <c r="N323" s="33"/>
      <c r="O323" s="32">
        <v>180</v>
      </c>
      <c r="P323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517</v>
      </c>
      <c r="AG323" s="64"/>
      <c r="AJ323" s="68" t="s">
        <v>80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518</v>
      </c>
      <c r="B324" s="54" t="s">
        <v>519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511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520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521</v>
      </c>
      <c r="B328" s="54" t="s">
        <v>522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523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524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525</v>
      </c>
      <c r="B329" s="54" t="s">
        <v>526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523</v>
      </c>
      <c r="N329" s="33"/>
      <c r="O329" s="32">
        <v>730</v>
      </c>
      <c r="P329" s="6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524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523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524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529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530</v>
      </c>
      <c r="B335" s="54" t="s">
        <v>531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/>
      <c r="M335" s="33" t="s">
        <v>86</v>
      </c>
      <c r="N335" s="33"/>
      <c r="O335" s="32">
        <v>45</v>
      </c>
      <c r="P335" s="7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532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77</v>
      </c>
      <c r="M336" s="33" t="s">
        <v>78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6.3</v>
      </c>
      <c r="Y336" s="542">
        <f>IFERROR(IF(X336="",0,CEILING((X336/$H336),1)*$H336),"")</f>
        <v>6.3000000000000007</v>
      </c>
      <c r="Z336" s="36">
        <f>IFERROR(IF(Y336=0,"",ROUNDUP(Y336/H336,0)*0.00651),"")</f>
        <v>1.9529999999999999E-2</v>
      </c>
      <c r="AA336" s="56"/>
      <c r="AB336" s="57"/>
      <c r="AC336" s="387" t="s">
        <v>535</v>
      </c>
      <c r="AG336" s="64"/>
      <c r="AJ336" s="68" t="s">
        <v>80</v>
      </c>
      <c r="AK336" s="68">
        <v>29.4</v>
      </c>
      <c r="BB336" s="388" t="s">
        <v>1</v>
      </c>
      <c r="BM336" s="64">
        <f>IFERROR(X336*I336/H336,"0")</f>
        <v>7.0559999999999992</v>
      </c>
      <c r="BN336" s="64">
        <f>IFERROR(Y336*I336/H336,"0")</f>
        <v>7.056</v>
      </c>
      <c r="BO336" s="64">
        <f>IFERROR(1/J336*(X336/H336),"0")</f>
        <v>1.6483516483516484E-2</v>
      </c>
      <c r="BP336" s="64">
        <f>IFERROR(1/J336*(Y336/H336),"0")</f>
        <v>1.6483516483516484E-2</v>
      </c>
    </row>
    <row r="337" spans="1:68" ht="27" customHeight="1" x14ac:dyDescent="0.25">
      <c r="A337" s="54" t="s">
        <v>536</v>
      </c>
      <c r="B337" s="54" t="s">
        <v>537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77</v>
      </c>
      <c r="M337" s="33" t="s">
        <v>86</v>
      </c>
      <c r="N337" s="33"/>
      <c r="O337" s="32">
        <v>40</v>
      </c>
      <c r="P337" s="6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6.3</v>
      </c>
      <c r="Y337" s="542">
        <f>IFERROR(IF(X337="",0,CEILING((X337/$H337),1)*$H337),"")</f>
        <v>6.3000000000000007</v>
      </c>
      <c r="Z337" s="36">
        <f>IFERROR(IF(Y337=0,"",ROUNDUP(Y337/H337,0)*0.00651),"")</f>
        <v>1.9529999999999999E-2</v>
      </c>
      <c r="AA337" s="56"/>
      <c r="AB337" s="57"/>
      <c r="AC337" s="389" t="s">
        <v>538</v>
      </c>
      <c r="AG337" s="64"/>
      <c r="AJ337" s="68" t="s">
        <v>80</v>
      </c>
      <c r="AK337" s="68">
        <v>29.4</v>
      </c>
      <c r="BB337" s="390" t="s">
        <v>1</v>
      </c>
      <c r="BM337" s="64">
        <f>IFERROR(X337*I337/H337,"0")</f>
        <v>7.02</v>
      </c>
      <c r="BN337" s="64">
        <f>IFERROR(Y337*I337/H337,"0")</f>
        <v>7.0200000000000005</v>
      </c>
      <c r="BO337" s="64">
        <f>IFERROR(1/J337*(X337/H337),"0")</f>
        <v>1.6483516483516484E-2</v>
      </c>
      <c r="BP337" s="64">
        <f>IFERROR(1/J337*(Y337/H337),"0")</f>
        <v>1.6483516483516484E-2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6</v>
      </c>
      <c r="Y338" s="543">
        <f>IFERROR(Y335/H335,"0")+IFERROR(Y336/H336,"0")+IFERROR(Y337/H337,"0")</f>
        <v>6</v>
      </c>
      <c r="Z338" s="543">
        <f>IFERROR(IF(Z335="",0,Z335),"0")+IFERROR(IF(Z336="",0,Z336),"0")+IFERROR(IF(Z337="",0,Z337),"0")</f>
        <v>3.9059999999999997E-2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12.6</v>
      </c>
      <c r="Y339" s="543">
        <f>IFERROR(SUM(Y335:Y337),"0")</f>
        <v>12.600000000000001</v>
      </c>
      <c r="Z339" s="37"/>
      <c r="AA339" s="544"/>
      <c r="AB339" s="544"/>
      <c r="AC339" s="544"/>
    </row>
    <row r="340" spans="1:68" ht="27.75" customHeight="1" x14ac:dyDescent="0.2">
      <c r="A340" s="633" t="s">
        <v>539</v>
      </c>
      <c r="B340" s="634"/>
      <c r="C340" s="634"/>
      <c r="D340" s="634"/>
      <c r="E340" s="634"/>
      <c r="F340" s="634"/>
      <c r="G340" s="634"/>
      <c r="H340" s="634"/>
      <c r="I340" s="634"/>
      <c r="J340" s="634"/>
      <c r="K340" s="634"/>
      <c r="L340" s="634"/>
      <c r="M340" s="634"/>
      <c r="N340" s="634"/>
      <c r="O340" s="634"/>
      <c r="P340" s="634"/>
      <c r="Q340" s="634"/>
      <c r="R340" s="634"/>
      <c r="S340" s="634"/>
      <c r="T340" s="634"/>
      <c r="U340" s="634"/>
      <c r="V340" s="634"/>
      <c r="W340" s="634"/>
      <c r="X340" s="634"/>
      <c r="Y340" s="634"/>
      <c r="Z340" s="634"/>
      <c r="AA340" s="48"/>
      <c r="AB340" s="48"/>
      <c r="AC340" s="48"/>
    </row>
    <row r="341" spans="1:68" ht="16.5" customHeight="1" x14ac:dyDescent="0.25">
      <c r="A341" s="559" t="s">
        <v>540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541</v>
      </c>
      <c r="B343" s="54" t="s">
        <v>542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 t="s">
        <v>105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543</v>
      </c>
      <c r="AG343" s="64"/>
      <c r="AJ343" s="68" t="s">
        <v>80</v>
      </c>
      <c r="AK343" s="68">
        <v>120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544</v>
      </c>
      <c r="B344" s="54" t="s">
        <v>545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 t="s">
        <v>546</v>
      </c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547</v>
      </c>
      <c r="AG344" s="64"/>
      <c r="AJ344" s="68" t="s">
        <v>80</v>
      </c>
      <c r="AK344" s="68">
        <v>10575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548</v>
      </c>
      <c r="B345" s="54" t="s">
        <v>549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 t="s">
        <v>105</v>
      </c>
      <c r="M345" s="33" t="s">
        <v>68</v>
      </c>
      <c r="N345" s="33"/>
      <c r="O345" s="32">
        <v>60</v>
      </c>
      <c r="P345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250</v>
      </c>
      <c r="Y345" s="542">
        <f t="shared" si="36"/>
        <v>255</v>
      </c>
      <c r="Z345" s="36">
        <f>IFERROR(IF(Y345=0,"",ROUNDUP(Y345/H345,0)*0.02175),"")</f>
        <v>0.36974999999999997</v>
      </c>
      <c r="AA345" s="56"/>
      <c r="AB345" s="57"/>
      <c r="AC345" s="395" t="s">
        <v>550</v>
      </c>
      <c r="AG345" s="64"/>
      <c r="AJ345" s="68" t="s">
        <v>80</v>
      </c>
      <c r="AK345" s="68">
        <v>120</v>
      </c>
      <c r="BB345" s="396" t="s">
        <v>1</v>
      </c>
      <c r="BM345" s="64">
        <f t="shared" si="37"/>
        <v>257.83333333333331</v>
      </c>
      <c r="BN345" s="64">
        <f t="shared" si="38"/>
        <v>262.99</v>
      </c>
      <c r="BO345" s="64">
        <f t="shared" si="39"/>
        <v>0.34722222222222221</v>
      </c>
      <c r="BP345" s="64">
        <f t="shared" si="40"/>
        <v>0.35416666666666663</v>
      </c>
    </row>
    <row r="346" spans="1:68" ht="27" customHeight="1" x14ac:dyDescent="0.25">
      <c r="A346" s="54" t="s">
        <v>551</v>
      </c>
      <c r="B346" s="54" t="s">
        <v>552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86</v>
      </c>
      <c r="N346" s="33"/>
      <c r="O346" s="32">
        <v>60</v>
      </c>
      <c r="P346" s="783" t="s">
        <v>553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554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555</v>
      </c>
      <c r="B347" s="54" t="s">
        <v>556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557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558</v>
      </c>
      <c r="B348" s="54" t="s">
        <v>559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547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560</v>
      </c>
      <c r="B349" s="54" t="s">
        <v>561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550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16.666666666666668</v>
      </c>
      <c r="Y350" s="543">
        <f>IFERROR(Y343/H343,"0")+IFERROR(Y344/H344,"0")+IFERROR(Y345/H345,"0")+IFERROR(Y346/H346,"0")+IFERROR(Y347/H347,"0")+IFERROR(Y348/H348,"0")+IFERROR(Y349/H349,"0")</f>
        <v>17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0.36974999999999997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250</v>
      </c>
      <c r="Y351" s="543">
        <f>IFERROR(SUM(Y343:Y349),"0")</f>
        <v>255</v>
      </c>
      <c r="Z351" s="37"/>
      <c r="AA351" s="544"/>
      <c r="AB351" s="544"/>
      <c r="AC351" s="544"/>
    </row>
    <row r="352" spans="1:68" ht="14.25" customHeight="1" x14ac:dyDescent="0.25">
      <c r="A352" s="558" t="s">
        <v>137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562</v>
      </c>
      <c r="B353" s="54" t="s">
        <v>563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 t="s">
        <v>564</v>
      </c>
      <c r="M353" s="33" t="s">
        <v>106</v>
      </c>
      <c r="N353" s="33"/>
      <c r="O353" s="32">
        <v>50</v>
      </c>
      <c r="P353" s="6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200</v>
      </c>
      <c r="Y353" s="542">
        <f>IFERROR(IF(X353="",0,CEILING((X353/$H353),1)*$H353),"")</f>
        <v>210</v>
      </c>
      <c r="Z353" s="36">
        <f>IFERROR(IF(Y353=0,"",ROUNDUP(Y353/H353,0)*0.02175),"")</f>
        <v>0.30449999999999999</v>
      </c>
      <c r="AA353" s="56"/>
      <c r="AB353" s="57"/>
      <c r="AC353" s="405" t="s">
        <v>565</v>
      </c>
      <c r="AG353" s="64"/>
      <c r="AJ353" s="68" t="s">
        <v>80</v>
      </c>
      <c r="AK353" s="68">
        <v>15075</v>
      </c>
      <c r="BB353" s="406" t="s">
        <v>1</v>
      </c>
      <c r="BM353" s="64">
        <f>IFERROR(X353*I353/H353,"0")</f>
        <v>206.26666666666668</v>
      </c>
      <c r="BN353" s="64">
        <f>IFERROR(Y353*I353/H353,"0")</f>
        <v>216.58</v>
      </c>
      <c r="BO353" s="64">
        <f>IFERROR(1/J353*(X353/H353),"0")</f>
        <v>0.27777777777777779</v>
      </c>
      <c r="BP353" s="64">
        <f>IFERROR(1/J353*(Y353/H353),"0")</f>
        <v>0.29166666666666663</v>
      </c>
    </row>
    <row r="354" spans="1:68" ht="16.5" customHeight="1" x14ac:dyDescent="0.25">
      <c r="A354" s="54" t="s">
        <v>566</v>
      </c>
      <c r="B354" s="54" t="s">
        <v>567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13.333333333333334</v>
      </c>
      <c r="Y355" s="543">
        <f>IFERROR(Y353/H353,"0")+IFERROR(Y354/H354,"0")</f>
        <v>14</v>
      </c>
      <c r="Z355" s="543">
        <f>IFERROR(IF(Z353="",0,Z353),"0")+IFERROR(IF(Z354="",0,Z354),"0")</f>
        <v>0.30449999999999999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200</v>
      </c>
      <c r="Y356" s="543">
        <f>IFERROR(SUM(Y353:Y354),"0")</f>
        <v>210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568</v>
      </c>
      <c r="B358" s="54" t="s">
        <v>569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/>
      <c r="M358" s="33" t="s">
        <v>78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570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571</v>
      </c>
      <c r="B359" s="54" t="s">
        <v>572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/>
      <c r="M359" s="33" t="s">
        <v>78</v>
      </c>
      <c r="N359" s="33"/>
      <c r="O359" s="32">
        <v>40</v>
      </c>
      <c r="P359" s="7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573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165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574</v>
      </c>
      <c r="B363" s="54" t="s">
        <v>575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78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576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577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578</v>
      </c>
      <c r="B368" s="54" t="s">
        <v>579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580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581</v>
      </c>
      <c r="B369" s="54" t="s">
        <v>582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/>
      <c r="M369" s="33" t="s">
        <v>68</v>
      </c>
      <c r="N369" s="33"/>
      <c r="O369" s="32">
        <v>60</v>
      </c>
      <c r="P369" s="8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580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583</v>
      </c>
      <c r="B373" s="54" t="s">
        <v>584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/>
      <c r="M373" s="33" t="s">
        <v>68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585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583</v>
      </c>
      <c r="B374" s="54" t="s">
        <v>586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587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588</v>
      </c>
      <c r="B378" s="54" t="s">
        <v>589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/>
      <c r="M378" s="33" t="s">
        <v>78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590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591</v>
      </c>
      <c r="B379" s="54" t="s">
        <v>592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78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3" t="s">
        <v>593</v>
      </c>
      <c r="B382" s="634"/>
      <c r="C382" s="634"/>
      <c r="D382" s="634"/>
      <c r="E382" s="634"/>
      <c r="F382" s="634"/>
      <c r="G382" s="634"/>
      <c r="H382" s="634"/>
      <c r="I382" s="634"/>
      <c r="J382" s="634"/>
      <c r="K382" s="634"/>
      <c r="L382" s="634"/>
      <c r="M382" s="634"/>
      <c r="N382" s="634"/>
      <c r="O382" s="634"/>
      <c r="P382" s="634"/>
      <c r="Q382" s="634"/>
      <c r="R382" s="634"/>
      <c r="S382" s="634"/>
      <c r="T382" s="634"/>
      <c r="U382" s="634"/>
      <c r="V382" s="634"/>
      <c r="W382" s="634"/>
      <c r="X382" s="634"/>
      <c r="Y382" s="634"/>
      <c r="Z382" s="634"/>
      <c r="AA382" s="48"/>
      <c r="AB382" s="48"/>
      <c r="AC382" s="48"/>
    </row>
    <row r="383" spans="1:68" ht="16.5" customHeight="1" x14ac:dyDescent="0.25">
      <c r="A383" s="559" t="s">
        <v>594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595</v>
      </c>
      <c r="B385" s="54" t="s">
        <v>596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20</v>
      </c>
      <c r="Y385" s="542">
        <f t="shared" ref="Y385:Y393" si="41">IFERROR(IF(X385="",0,CEILING((X385/$H385),1)*$H385),"")</f>
        <v>21.6</v>
      </c>
      <c r="Z385" s="36">
        <f>IFERROR(IF(Y385=0,"",ROUNDUP(Y385/H385,0)*0.00902),"")</f>
        <v>3.6080000000000001E-2</v>
      </c>
      <c r="AA385" s="56"/>
      <c r="AB385" s="57"/>
      <c r="AC385" s="427" t="s">
        <v>597</v>
      </c>
      <c r="AG385" s="64"/>
      <c r="AJ385" s="68"/>
      <c r="AK385" s="68">
        <v>0</v>
      </c>
      <c r="BB385" s="428" t="s">
        <v>1</v>
      </c>
      <c r="BM385" s="64">
        <f t="shared" ref="BM385:BM393" si="42">IFERROR(X385*I385/H385,"0")</f>
        <v>20.703703703703702</v>
      </c>
      <c r="BN385" s="64">
        <f t="shared" ref="BN385:BN393" si="43">IFERROR(Y385*I385/H385,"0")</f>
        <v>22.36</v>
      </c>
      <c r="BO385" s="64">
        <f t="shared" ref="BO385:BO393" si="44">IFERROR(1/J385*(X385/H385),"0")</f>
        <v>2.8058361391694722E-2</v>
      </c>
      <c r="BP385" s="64">
        <f t="shared" ref="BP385:BP393" si="45">IFERROR(1/J385*(Y385/H385),"0")</f>
        <v>3.0303030303030304E-2</v>
      </c>
    </row>
    <row r="386" spans="1:68" ht="27" customHeight="1" x14ac:dyDescent="0.25">
      <c r="A386" s="54" t="s">
        <v>598</v>
      </c>
      <c r="B386" s="54" t="s">
        <v>599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600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601</v>
      </c>
      <c r="B387" s="54" t="s">
        <v>602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603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604</v>
      </c>
      <c r="B388" s="54" t="s">
        <v>605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597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606</v>
      </c>
      <c r="B389" s="54" t="s">
        <v>607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276</v>
      </c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597</v>
      </c>
      <c r="AG389" s="64"/>
      <c r="AJ389" s="68" t="s">
        <v>80</v>
      </c>
      <c r="AK389" s="68">
        <v>37.799999999999997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608</v>
      </c>
      <c r="B390" s="54" t="s">
        <v>609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610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611</v>
      </c>
      <c r="B391" s="54" t="s">
        <v>612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613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614</v>
      </c>
      <c r="B392" s="54" t="s">
        <v>615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616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617</v>
      </c>
      <c r="B393" s="54" t="s">
        <v>618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613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3.7037037037037033</v>
      </c>
      <c r="Y394" s="543">
        <f>IFERROR(Y385/H385,"0")+IFERROR(Y386/H386,"0")+IFERROR(Y387/H387,"0")+IFERROR(Y388/H388,"0")+IFERROR(Y389/H389,"0")+IFERROR(Y390/H390,"0")+IFERROR(Y391/H391,"0")+IFERROR(Y392/H392,"0")+IFERROR(Y393/H393,"0")</f>
        <v>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3.6080000000000001E-2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20</v>
      </c>
      <c r="Y395" s="543">
        <f>IFERROR(SUM(Y385:Y393),"0")</f>
        <v>21.6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619</v>
      </c>
      <c r="B397" s="54" t="s">
        <v>620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/>
      <c r="M397" s="33" t="s">
        <v>78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621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622</v>
      </c>
      <c r="B398" s="54" t="s">
        <v>623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78</v>
      </c>
      <c r="N398" s="33"/>
      <c r="O398" s="32">
        <v>45</v>
      </c>
      <c r="P398" s="77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624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625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137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626</v>
      </c>
      <c r="B403" s="54" t="s">
        <v>627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628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629</v>
      </c>
      <c r="B407" s="54" t="s">
        <v>630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/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631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632</v>
      </c>
      <c r="B408" s="54" t="s">
        <v>633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634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635</v>
      </c>
      <c r="B409" s="54" t="s">
        <v>636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637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638</v>
      </c>
      <c r="B410" s="54" t="s">
        <v>639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640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641</v>
      </c>
      <c r="B415" s="54" t="s">
        <v>642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643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3" t="s">
        <v>644</v>
      </c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4"/>
      <c r="P418" s="634"/>
      <c r="Q418" s="634"/>
      <c r="R418" s="634"/>
      <c r="S418" s="634"/>
      <c r="T418" s="634"/>
      <c r="U418" s="634"/>
      <c r="V418" s="634"/>
      <c r="W418" s="634"/>
      <c r="X418" s="634"/>
      <c r="Y418" s="634"/>
      <c r="Z418" s="634"/>
      <c r="AA418" s="48"/>
      <c r="AB418" s="48"/>
      <c r="AC418" s="48"/>
    </row>
    <row r="419" spans="1:68" ht="16.5" customHeight="1" x14ac:dyDescent="0.25">
      <c r="A419" s="559" t="s">
        <v>644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645</v>
      </c>
      <c r="B421" s="54" t="s">
        <v>646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60</v>
      </c>
      <c r="Y421" s="542">
        <f t="shared" ref="Y421:Y431" si="47">IFERROR(IF(X421="",0,CEILING((X421/$H421),1)*$H421),"")</f>
        <v>63.36</v>
      </c>
      <c r="Z421" s="36">
        <f t="shared" ref="Z421:Z426" si="48">IFERROR(IF(Y421=0,"",ROUNDUP(Y421/H421,0)*0.01196),"")</f>
        <v>0.14352000000000001</v>
      </c>
      <c r="AA421" s="56"/>
      <c r="AB421" s="57"/>
      <c r="AC421" s="461" t="s">
        <v>107</v>
      </c>
      <c r="AG421" s="64"/>
      <c r="AJ421" s="68" t="s">
        <v>80</v>
      </c>
      <c r="AK421" s="68">
        <v>42.24</v>
      </c>
      <c r="BB421" s="462" t="s">
        <v>1</v>
      </c>
      <c r="BM421" s="64">
        <f t="shared" ref="BM421:BM431" si="49">IFERROR(X421*I421/H421,"0")</f>
        <v>63.977272727272727</v>
      </c>
      <c r="BN421" s="64">
        <f t="shared" ref="BN421:BN431" si="50">IFERROR(Y421*I421/H421,"0")</f>
        <v>67.559999999999988</v>
      </c>
      <c r="BO421" s="64">
        <f t="shared" ref="BO421:BO431" si="51">IFERROR(1/J421*(X421/H421),"0")</f>
        <v>0.10926573426573427</v>
      </c>
      <c r="BP421" s="64">
        <f t="shared" ref="BP421:BP431" si="52">IFERROR(1/J421*(Y421/H421),"0")</f>
        <v>0.11538461538461539</v>
      </c>
    </row>
    <row r="422" spans="1:68" ht="27" customHeight="1" x14ac:dyDescent="0.25">
      <c r="A422" s="54" t="s">
        <v>647</v>
      </c>
      <c r="B422" s="54" t="s">
        <v>648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649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650</v>
      </c>
      <c r="B423" s="54" t="s">
        <v>651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78</v>
      </c>
      <c r="N423" s="33"/>
      <c r="O423" s="32">
        <v>60</v>
      </c>
      <c r="P423" s="6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652</v>
      </c>
      <c r="AG423" s="64"/>
      <c r="AJ423" s="68" t="s">
        <v>80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653</v>
      </c>
      <c r="B424" s="54" t="s">
        <v>654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6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656</v>
      </c>
      <c r="B425" s="54" t="s">
        <v>657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658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661</v>
      </c>
      <c r="AG426" s="64"/>
      <c r="AJ426" s="68" t="s">
        <v>80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662</v>
      </c>
      <c r="B427" s="54" t="s">
        <v>663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78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666</v>
      </c>
      <c r="B429" s="54" t="s">
        <v>667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649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668</v>
      </c>
      <c r="B430" s="54" t="s">
        <v>669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670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671</v>
      </c>
      <c r="B431" s="54" t="s">
        <v>672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661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11.363636363636363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0.14352000000000001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60</v>
      </c>
      <c r="Y433" s="543">
        <f>IFERROR(SUM(Y421:Y431),"0")</f>
        <v>63.36</v>
      </c>
      <c r="Z433" s="37"/>
      <c r="AA433" s="544"/>
      <c r="AB433" s="544"/>
      <c r="AC433" s="544"/>
    </row>
    <row r="434" spans="1:68" ht="14.25" customHeight="1" x14ac:dyDescent="0.25">
      <c r="A434" s="558" t="s">
        <v>137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673</v>
      </c>
      <c r="B435" s="54" t="s">
        <v>674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/>
      <c r="M435" s="33" t="s">
        <v>78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30</v>
      </c>
      <c r="Y435" s="542">
        <f>IFERROR(IF(X435="",0,CEILING((X435/$H435),1)*$H435),"")</f>
        <v>31.68</v>
      </c>
      <c r="Z435" s="36">
        <f>IFERROR(IF(Y435=0,"",ROUNDUP(Y435/H435,0)*0.01196),"")</f>
        <v>7.1760000000000004E-2</v>
      </c>
      <c r="AA435" s="56"/>
      <c r="AB435" s="57"/>
      <c r="AC435" s="483" t="s">
        <v>675</v>
      </c>
      <c r="AG435" s="64"/>
      <c r="AJ435" s="68"/>
      <c r="AK435" s="68">
        <v>0</v>
      </c>
      <c r="BB435" s="484" t="s">
        <v>1</v>
      </c>
      <c r="BM435" s="64">
        <f>IFERROR(X435*I435/H435,"0")</f>
        <v>31.988636363636363</v>
      </c>
      <c r="BN435" s="64">
        <f>IFERROR(Y435*I435/H435,"0")</f>
        <v>33.779999999999994</v>
      </c>
      <c r="BO435" s="64">
        <f>IFERROR(1/J435*(X435/H435),"0")</f>
        <v>5.4632867132867136E-2</v>
      </c>
      <c r="BP435" s="64">
        <f>IFERROR(1/J435*(Y435/H435),"0")</f>
        <v>5.7692307692307696E-2</v>
      </c>
    </row>
    <row r="436" spans="1:68" ht="16.5" customHeight="1" x14ac:dyDescent="0.25">
      <c r="A436" s="54" t="s">
        <v>676</v>
      </c>
      <c r="B436" s="54" t="s">
        <v>677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78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678</v>
      </c>
      <c r="B437" s="54" t="s">
        <v>679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5.6818181818181817</v>
      </c>
      <c r="Y438" s="543">
        <f>IFERROR(Y435/H435,"0")+IFERROR(Y436/H436,"0")+IFERROR(Y437/H437,"0")</f>
        <v>6</v>
      </c>
      <c r="Z438" s="543">
        <f>IFERROR(IF(Z435="",0,Z435),"0")+IFERROR(IF(Z436="",0,Z436),"0")+IFERROR(IF(Z437="",0,Z437),"0")</f>
        <v>7.1760000000000004E-2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30</v>
      </c>
      <c r="Y439" s="543">
        <f>IFERROR(SUM(Y435:Y437),"0")</f>
        <v>31.68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680</v>
      </c>
      <c r="B441" s="54" t="s">
        <v>681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/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682</v>
      </c>
      <c r="AG441" s="64"/>
      <c r="AJ441" s="68"/>
      <c r="AK441" s="68">
        <v>0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683</v>
      </c>
      <c r="B442" s="54" t="s">
        <v>684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35</v>
      </c>
      <c r="Y442" s="542">
        <f t="shared" si="53"/>
        <v>36.96</v>
      </c>
      <c r="Z442" s="36">
        <f>IFERROR(IF(Y442=0,"",ROUNDUP(Y442/H442,0)*0.01196),"")</f>
        <v>8.3720000000000003E-2</v>
      </c>
      <c r="AA442" s="56"/>
      <c r="AB442" s="57"/>
      <c r="AC442" s="491" t="s">
        <v>685</v>
      </c>
      <c r="AG442" s="64"/>
      <c r="AJ442" s="68" t="s">
        <v>80</v>
      </c>
      <c r="AK442" s="68">
        <v>42.24</v>
      </c>
      <c r="BB442" s="492" t="s">
        <v>1</v>
      </c>
      <c r="BM442" s="64">
        <f t="shared" si="54"/>
        <v>37.320075757575751</v>
      </c>
      <c r="BN442" s="64">
        <f t="shared" si="55"/>
        <v>39.409999999999997</v>
      </c>
      <c r="BO442" s="64">
        <f t="shared" si="56"/>
        <v>6.3738344988344992E-2</v>
      </c>
      <c r="BP442" s="64">
        <f t="shared" si="57"/>
        <v>6.7307692307692318E-2</v>
      </c>
    </row>
    <row r="443" spans="1:68" ht="27" customHeight="1" x14ac:dyDescent="0.25">
      <c r="A443" s="54" t="s">
        <v>686</v>
      </c>
      <c r="B443" s="54" t="s">
        <v>687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60</v>
      </c>
      <c r="Y443" s="542">
        <f t="shared" si="53"/>
        <v>63.36</v>
      </c>
      <c r="Z443" s="36">
        <f>IFERROR(IF(Y443=0,"",ROUNDUP(Y443/H443,0)*0.01196),"")</f>
        <v>0.14352000000000001</v>
      </c>
      <c r="AA443" s="56"/>
      <c r="AB443" s="57"/>
      <c r="AC443" s="493" t="s">
        <v>688</v>
      </c>
      <c r="AG443" s="64"/>
      <c r="AJ443" s="68" t="s">
        <v>80</v>
      </c>
      <c r="AK443" s="68">
        <v>42.24</v>
      </c>
      <c r="BB443" s="494" t="s">
        <v>1</v>
      </c>
      <c r="BM443" s="64">
        <f t="shared" si="54"/>
        <v>63.977272727272727</v>
      </c>
      <c r="BN443" s="64">
        <f t="shared" si="55"/>
        <v>67.559999999999988</v>
      </c>
      <c r="BO443" s="64">
        <f t="shared" si="56"/>
        <v>0.10926573426573427</v>
      </c>
      <c r="BP443" s="64">
        <f t="shared" si="57"/>
        <v>0.11538461538461539</v>
      </c>
    </row>
    <row r="444" spans="1:68" ht="27" customHeight="1" x14ac:dyDescent="0.25">
      <c r="A444" s="54" t="s">
        <v>689</v>
      </c>
      <c r="B444" s="54" t="s">
        <v>690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682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691</v>
      </c>
      <c r="B445" s="54" t="s">
        <v>692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685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688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17.992424242424242</v>
      </c>
      <c r="Y447" s="543">
        <f>IFERROR(Y441/H441,"0")+IFERROR(Y442/H442,"0")+IFERROR(Y443/H443,"0")+IFERROR(Y444/H444,"0")+IFERROR(Y445/H445,"0")+IFERROR(Y446/H446,"0")</f>
        <v>19</v>
      </c>
      <c r="Z447" s="543">
        <f>IFERROR(IF(Z441="",0,Z441),"0")+IFERROR(IF(Z442="",0,Z442),"0")+IFERROR(IF(Z443="",0,Z443),"0")+IFERROR(IF(Z444="",0,Z444),"0")+IFERROR(IF(Z445="",0,Z445),"0")+IFERROR(IF(Z446="",0,Z446),"0")</f>
        <v>0.22724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95</v>
      </c>
      <c r="Y448" s="543">
        <f>IFERROR(SUM(Y441:Y446),"0")</f>
        <v>100.32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695</v>
      </c>
      <c r="B450" s="54" t="s">
        <v>696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78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697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698</v>
      </c>
      <c r="B451" s="54" t="s">
        <v>699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78</v>
      </c>
      <c r="N451" s="33"/>
      <c r="O451" s="32">
        <v>45</v>
      </c>
      <c r="P451" s="71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700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78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3" t="s">
        <v>704</v>
      </c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4"/>
      <c r="P455" s="634"/>
      <c r="Q455" s="634"/>
      <c r="R455" s="634"/>
      <c r="S455" s="634"/>
      <c r="T455" s="634"/>
      <c r="U455" s="634"/>
      <c r="V455" s="634"/>
      <c r="W455" s="634"/>
      <c r="X455" s="634"/>
      <c r="Y455" s="634"/>
      <c r="Z455" s="634"/>
      <c r="AA455" s="48"/>
      <c r="AB455" s="48"/>
      <c r="AC455" s="48"/>
    </row>
    <row r="456" spans="1:68" ht="16.5" customHeight="1" x14ac:dyDescent="0.25">
      <c r="A456" s="559" t="s">
        <v>704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705</v>
      </c>
      <c r="B458" s="54" t="s">
        <v>706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78</v>
      </c>
      <c r="N458" s="33"/>
      <c r="O458" s="32">
        <v>55</v>
      </c>
      <c r="P458" s="60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707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708</v>
      </c>
      <c r="B459" s="54" t="s">
        <v>709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710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713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78</v>
      </c>
      <c r="N461" s="33"/>
      <c r="O461" s="32">
        <v>55</v>
      </c>
      <c r="P461" s="76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707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137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716</v>
      </c>
      <c r="B465" s="54" t="s">
        <v>717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719</v>
      </c>
      <c r="B466" s="54" t="s">
        <v>720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721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724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725</v>
      </c>
      <c r="B471" s="54" t="s">
        <v>726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/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727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730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/>
      <c r="M476" s="33" t="s">
        <v>86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150</v>
      </c>
      <c r="Y476" s="542">
        <f>IFERROR(IF(X476="",0,CEILING((X476/$H476),1)*$H476),"")</f>
        <v>153</v>
      </c>
      <c r="Z476" s="36">
        <f>IFERROR(IF(Y476=0,"",ROUNDUP(Y476/H476,0)*0.01898),"")</f>
        <v>0.32266</v>
      </c>
      <c r="AA476" s="56"/>
      <c r="AB476" s="57"/>
      <c r="AC476" s="525" t="s">
        <v>733</v>
      </c>
      <c r="AG476" s="64"/>
      <c r="AJ476" s="68"/>
      <c r="AK476" s="68">
        <v>0</v>
      </c>
      <c r="BB476" s="526" t="s">
        <v>1</v>
      </c>
      <c r="BM476" s="64">
        <f>IFERROR(X476*I476/H476,"0")</f>
        <v>158.23333333333332</v>
      </c>
      <c r="BN476" s="64">
        <f>IFERROR(Y476*I476/H476,"0")</f>
        <v>161.398</v>
      </c>
      <c r="BO476" s="64">
        <f>IFERROR(1/J476*(X476/H476),"0")</f>
        <v>0.26041666666666669</v>
      </c>
      <c r="BP476" s="64">
        <f>IFERROR(1/J476*(Y476/H476),"0")</f>
        <v>0.265625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16.666666666666668</v>
      </c>
      <c r="Y477" s="543">
        <f>IFERROR(Y476/H476,"0")</f>
        <v>17</v>
      </c>
      <c r="Z477" s="543">
        <f>IFERROR(IF(Z476="",0,Z476),"0")</f>
        <v>0.32266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150</v>
      </c>
      <c r="Y478" s="543">
        <f>IFERROR(SUM(Y476:Y476),"0")</f>
        <v>153</v>
      </c>
      <c r="Z478" s="37"/>
      <c r="AA478" s="544"/>
      <c r="AB478" s="544"/>
      <c r="AC478" s="544"/>
    </row>
    <row r="479" spans="1:68" ht="14.25" customHeight="1" x14ac:dyDescent="0.25">
      <c r="A479" s="558" t="s">
        <v>165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78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736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78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739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740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137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743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1"/>
      <c r="P489" s="628" t="s">
        <v>744</v>
      </c>
      <c r="Q489" s="629"/>
      <c r="R489" s="629"/>
      <c r="S489" s="629"/>
      <c r="T489" s="629"/>
      <c r="U489" s="629"/>
      <c r="V489" s="630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1394.7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1473.36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1"/>
      <c r="P490" s="628" t="s">
        <v>745</v>
      </c>
      <c r="Q490" s="629"/>
      <c r="R490" s="629"/>
      <c r="S490" s="629"/>
      <c r="T490" s="629"/>
      <c r="U490" s="629"/>
      <c r="V490" s="630"/>
      <c r="W490" s="37" t="s">
        <v>69</v>
      </c>
      <c r="X490" s="543">
        <f>IFERROR(SUM(BM22:BM486),"0")</f>
        <v>1455.7228519320186</v>
      </c>
      <c r="Y490" s="543">
        <f>IFERROR(SUM(BN22:BN486),"0")</f>
        <v>1537.9699999999998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1"/>
      <c r="P491" s="628" t="s">
        <v>746</v>
      </c>
      <c r="Q491" s="629"/>
      <c r="R491" s="629"/>
      <c r="S491" s="629"/>
      <c r="T491" s="629"/>
      <c r="U491" s="629"/>
      <c r="V491" s="630"/>
      <c r="W491" s="37" t="s">
        <v>747</v>
      </c>
      <c r="X491" s="38">
        <f>ROUNDUP(SUM(BO22:BO486),0)</f>
        <v>3</v>
      </c>
      <c r="Y491" s="38">
        <f>ROUNDUP(SUM(BP22:BP486),0)</f>
        <v>3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1"/>
      <c r="P492" s="628" t="s">
        <v>748</v>
      </c>
      <c r="Q492" s="629"/>
      <c r="R492" s="629"/>
      <c r="S492" s="629"/>
      <c r="T492" s="629"/>
      <c r="U492" s="629"/>
      <c r="V492" s="630"/>
      <c r="W492" s="37" t="s">
        <v>69</v>
      </c>
      <c r="X492" s="543">
        <f>GrossWeightTotal+PalletQtyTotal*25</f>
        <v>1530.7228519320186</v>
      </c>
      <c r="Y492" s="543">
        <f>GrossWeightTotalR+PalletQtyTotalR*25</f>
        <v>1612.9699999999998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1"/>
      <c r="P493" s="628" t="s">
        <v>749</v>
      </c>
      <c r="Q493" s="629"/>
      <c r="R493" s="629"/>
      <c r="S493" s="629"/>
      <c r="T493" s="629"/>
      <c r="U493" s="629"/>
      <c r="V493" s="630"/>
      <c r="W493" s="37" t="s">
        <v>747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171.02960311293646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181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1"/>
      <c r="P494" s="628" t="s">
        <v>750</v>
      </c>
      <c r="Q494" s="629"/>
      <c r="R494" s="629"/>
      <c r="S494" s="629"/>
      <c r="T494" s="629"/>
      <c r="U494" s="629"/>
      <c r="V494" s="630"/>
      <c r="W494" s="39" t="s">
        <v>751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2.6786500000000002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38" t="s">
        <v>63</v>
      </c>
      <c r="C496" s="591" t="s">
        <v>99</v>
      </c>
      <c r="D496" s="653"/>
      <c r="E496" s="653"/>
      <c r="F496" s="653"/>
      <c r="G496" s="653"/>
      <c r="H496" s="622"/>
      <c r="I496" s="591" t="s">
        <v>258</v>
      </c>
      <c r="J496" s="653"/>
      <c r="K496" s="653"/>
      <c r="L496" s="653"/>
      <c r="M496" s="653"/>
      <c r="N496" s="653"/>
      <c r="O496" s="653"/>
      <c r="P496" s="653"/>
      <c r="Q496" s="653"/>
      <c r="R496" s="622"/>
      <c r="S496" s="591" t="s">
        <v>539</v>
      </c>
      <c r="T496" s="622"/>
      <c r="U496" s="591" t="s">
        <v>593</v>
      </c>
      <c r="V496" s="653"/>
      <c r="W496" s="622"/>
      <c r="X496" s="538" t="s">
        <v>644</v>
      </c>
      <c r="Y496" s="591" t="s">
        <v>704</v>
      </c>
      <c r="Z496" s="622"/>
      <c r="AB496" s="52"/>
      <c r="AC496" s="52"/>
      <c r="AF496" s="539"/>
    </row>
    <row r="497" spans="1:32" ht="14.25" customHeight="1" thickTop="1" x14ac:dyDescent="0.2">
      <c r="A497" s="834" t="s">
        <v>753</v>
      </c>
      <c r="B497" s="591" t="s">
        <v>63</v>
      </c>
      <c r="C497" s="591" t="s">
        <v>100</v>
      </c>
      <c r="D497" s="591" t="s">
        <v>117</v>
      </c>
      <c r="E497" s="591" t="s">
        <v>172</v>
      </c>
      <c r="F497" s="591" t="s">
        <v>192</v>
      </c>
      <c r="G497" s="591" t="s">
        <v>223</v>
      </c>
      <c r="H497" s="591" t="s">
        <v>99</v>
      </c>
      <c r="I497" s="591" t="s">
        <v>259</v>
      </c>
      <c r="J497" s="591" t="s">
        <v>300</v>
      </c>
      <c r="K497" s="591" t="s">
        <v>360</v>
      </c>
      <c r="L497" s="591" t="s">
        <v>402</v>
      </c>
      <c r="M497" s="591" t="s">
        <v>418</v>
      </c>
      <c r="N497" s="539"/>
      <c r="O497" s="591" t="s">
        <v>429</v>
      </c>
      <c r="P497" s="591" t="s">
        <v>438</v>
      </c>
      <c r="Q497" s="591" t="s">
        <v>448</v>
      </c>
      <c r="R497" s="591" t="s">
        <v>529</v>
      </c>
      <c r="S497" s="591" t="s">
        <v>540</v>
      </c>
      <c r="T497" s="591" t="s">
        <v>577</v>
      </c>
      <c r="U497" s="591" t="s">
        <v>594</v>
      </c>
      <c r="V497" s="591" t="s">
        <v>625</v>
      </c>
      <c r="W497" s="591" t="s">
        <v>640</v>
      </c>
      <c r="X497" s="591" t="s">
        <v>644</v>
      </c>
      <c r="Y497" s="591" t="s">
        <v>704</v>
      </c>
      <c r="Z497" s="591" t="s">
        <v>740</v>
      </c>
      <c r="AB497" s="52"/>
      <c r="AC497" s="52"/>
      <c r="AF497" s="539"/>
    </row>
    <row r="498" spans="1:32" ht="13.5" customHeight="1" thickBot="1" x14ac:dyDescent="0.25">
      <c r="A498" s="835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9"/>
    </row>
    <row r="499" spans="1:32" ht="18" customHeight="1" thickTop="1" thickBot="1" x14ac:dyDescent="0.25">
      <c r="A499" s="40" t="s">
        <v>754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64.800000000000011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162</v>
      </c>
      <c r="E499" s="46">
        <f>IFERROR(Y85*1,"0")+IFERROR(Y86*1,"0")+IFERROR(Y87*1,"0")+IFERROR(Y91*1,"0")+IFERROR(Y92*1,"0")+IFERROR(Y93*1,"0")+IFERROR(Y94*1,"0")</f>
        <v>87.300000000000011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12.600000000000001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233.70000000000002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21.6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43.8</v>
      </c>
      <c r="R499" s="46">
        <f>IFERROR(Y335*1,"0")+IFERROR(Y336*1,"0")+IFERROR(Y337*1,"0")</f>
        <v>12.600000000000001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465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21.6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195.36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153</v>
      </c>
      <c r="Z499" s="46">
        <f>IFERROR(Y486*1,"0")</f>
        <v>0</v>
      </c>
      <c r="AB499" s="52"/>
      <c r="AC499" s="52"/>
      <c r="AF499" s="539"/>
    </row>
  </sheetData>
  <sheetProtection algorithmName="SHA-512" hashValue="+LFtqCPKpyJhKSpcth2pHiSwAASugJpkUHM6NvK/Pl1A1a6r7hIf5+w1XjnOqhtYzR/mmjLxw6fFkewlL7t9sw==" saltValue="8VcFXbmwE0hx5u8cDCGGh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A21:Z21"/>
    <mergeCell ref="P438:V438"/>
    <mergeCell ref="A355:O356"/>
    <mergeCell ref="A194:Z194"/>
    <mergeCell ref="Q497:Q498"/>
    <mergeCell ref="G497:G498"/>
    <mergeCell ref="I497:I498"/>
    <mergeCell ref="P356:V356"/>
    <mergeCell ref="A468:O469"/>
    <mergeCell ref="P363:T363"/>
    <mergeCell ref="D344:E344"/>
    <mergeCell ref="A479:Z479"/>
    <mergeCell ref="D42:E42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U17:V17"/>
    <mergeCell ref="P410:T410"/>
    <mergeCell ref="P385:T385"/>
    <mergeCell ref="Y17:Y18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D17:E18"/>
    <mergeCell ref="X17:X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305:V305"/>
    <mergeCell ref="P263:T263"/>
    <mergeCell ref="P228:T228"/>
    <mergeCell ref="D336:E336"/>
    <mergeCell ref="P293:T293"/>
    <mergeCell ref="D407:E407"/>
    <mergeCell ref="A149:O150"/>
    <mergeCell ref="Q6:R6"/>
    <mergeCell ref="P200:T200"/>
    <mergeCell ref="P134:T134"/>
    <mergeCell ref="P292:T292"/>
    <mergeCell ref="A360:O361"/>
    <mergeCell ref="D102:E102"/>
    <mergeCell ref="P23:V23"/>
    <mergeCell ref="V12:W12"/>
    <mergeCell ref="P85:T85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A192:O193"/>
    <mergeCell ref="D279:E279"/>
    <mergeCell ref="P146:T14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A136:O13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B497:B498"/>
    <mergeCell ref="P492:V492"/>
    <mergeCell ref="A103:O104"/>
    <mergeCell ref="S496:T496"/>
    <mergeCell ref="P415:T415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P354:T354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157:Z157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P284:V284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474:V474"/>
    <mergeCell ref="P103:V103"/>
    <mergeCell ref="A155:Z155"/>
    <mergeCell ref="P268:V268"/>
    <mergeCell ref="P339:V339"/>
    <mergeCell ref="P201:T201"/>
    <mergeCell ref="P101:T101"/>
    <mergeCell ref="P465:T465"/>
    <mergeCell ref="D386:E386"/>
    <mergeCell ref="P250:V250"/>
    <mergeCell ref="A364:O365"/>
    <mergeCell ref="D170:E170"/>
    <mergeCell ref="P132:V132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A306:Z306"/>
    <mergeCell ref="D6:M6"/>
    <mergeCell ref="P175:T175"/>
    <mergeCell ref="P95:V95"/>
    <mergeCell ref="P162:T162"/>
    <mergeCell ref="P331:V331"/>
    <mergeCell ref="P460:T460"/>
    <mergeCell ref="D441:E441"/>
    <mergeCell ref="P398:T398"/>
    <mergeCell ref="P227:T227"/>
    <mergeCell ref="D368:E368"/>
    <mergeCell ref="P106:T106"/>
    <mergeCell ref="A294:O295"/>
    <mergeCell ref="P335:T335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A90:Z90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P120:V120"/>
    <mergeCell ref="P93:T93"/>
    <mergeCell ref="D299:E299"/>
    <mergeCell ref="D85:E85"/>
    <mergeCell ref="P405:V405"/>
    <mergeCell ref="A401:Z401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AB17:AB18"/>
    <mergeCell ref="P57:V57"/>
    <mergeCell ref="A81:O82"/>
    <mergeCell ref="P483:V483"/>
    <mergeCell ref="D298:E298"/>
    <mergeCell ref="P91:T91"/>
    <mergeCell ref="P404:V404"/>
    <mergeCell ref="D273:E273"/>
    <mergeCell ref="P468:V468"/>
    <mergeCell ref="A464:Z464"/>
    <mergeCell ref="P212:T212"/>
    <mergeCell ref="AA17:AA18"/>
    <mergeCell ref="A377:Z377"/>
    <mergeCell ref="G17:G18"/>
    <mergeCell ref="P171:V171"/>
    <mergeCell ref="P242:V242"/>
    <mergeCell ref="P121:V121"/>
    <mergeCell ref="D80:E80"/>
    <mergeCell ref="A296:Z296"/>
    <mergeCell ref="D459:E459"/>
    <mergeCell ref="D288:E288"/>
    <mergeCell ref="P130:T130"/>
    <mergeCell ref="P190:T190"/>
    <mergeCell ref="P46:T46"/>
    <mergeCell ref="P482:V482"/>
    <mergeCell ref="D225:E225"/>
    <mergeCell ref="P409:T409"/>
    <mergeCell ref="D465:E465"/>
    <mergeCell ref="D198:E198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C497:C498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215:V215"/>
    <mergeCell ref="P393:T393"/>
    <mergeCell ref="D374:E374"/>
    <mergeCell ref="P232:T232"/>
    <mergeCell ref="P330:T330"/>
    <mergeCell ref="D140:E140"/>
    <mergeCell ref="A340:Z3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D176:E176"/>
    <mergeCell ref="A38:Z38"/>
    <mergeCell ref="D425:E425"/>
    <mergeCell ref="D359:E359"/>
    <mergeCell ref="H17:H18"/>
    <mergeCell ref="A220:O221"/>
    <mergeCell ref="P388:T388"/>
    <mergeCell ref="V6:W9"/>
    <mergeCell ref="A9:C9"/>
    <mergeCell ref="A242:O243"/>
    <mergeCell ref="A179:Z179"/>
    <mergeCell ref="P32:V32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P211:T211"/>
    <mergeCell ref="P309:T309"/>
    <mergeCell ref="P324:T324"/>
    <mergeCell ref="A143:O14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P294:V294"/>
    <mergeCell ref="D46:E46"/>
    <mergeCell ref="D40:E40"/>
    <mergeCell ref="V5:W5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335:E335"/>
    <mergeCell ref="P51:T51"/>
    <mergeCell ref="P26:T26"/>
    <mergeCell ref="P58:V58"/>
    <mergeCell ref="A13:M13"/>
    <mergeCell ref="D61:E61"/>
    <mergeCell ref="A15:M15"/>
    <mergeCell ref="P229:T229"/>
    <mergeCell ref="A153:O154"/>
    <mergeCell ref="A133:Z133"/>
    <mergeCell ref="D125:E125"/>
    <mergeCell ref="Q13:R13"/>
    <mergeCell ref="A35:O36"/>
    <mergeCell ref="D22:E22"/>
    <mergeCell ref="P34:T34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P136:V136"/>
    <mergeCell ref="A253:Z253"/>
    <mergeCell ref="A419:Z419"/>
    <mergeCell ref="P446:T446"/>
    <mergeCell ref="P459:T459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P63:V63"/>
    <mergeCell ref="P72:T72"/>
    <mergeCell ref="A31:O32"/>
    <mergeCell ref="N17:N18"/>
    <mergeCell ref="P199:T199"/>
    <mergeCell ref="F17:F18"/>
    <mergeCell ref="A447:O448"/>
    <mergeCell ref="P436:T436"/>
    <mergeCell ref="A39:Z39"/>
    <mergeCell ref="P60:T60"/>
    <mergeCell ref="D291:E291"/>
    <mergeCell ref="D266:E266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442:T442"/>
    <mergeCell ref="P489:V489"/>
    <mergeCell ref="D388:E388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P497:P498"/>
    <mergeCell ref="A402:Z402"/>
    <mergeCell ref="D229:E229"/>
    <mergeCell ref="R497:R498"/>
    <mergeCell ref="D158:E158"/>
    <mergeCell ref="D108:E108"/>
    <mergeCell ref="P429:T429"/>
    <mergeCell ref="P258:T258"/>
    <mergeCell ref="D369:E369"/>
    <mergeCell ref="P423:T423"/>
    <mergeCell ref="A304:O305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403:E403"/>
    <mergeCell ref="D232:E232"/>
    <mergeCell ref="Z497:Z498"/>
    <mergeCell ref="P238:V238"/>
    <mergeCell ref="D1:F1"/>
    <mergeCell ref="P466:T466"/>
    <mergeCell ref="A71:Z71"/>
    <mergeCell ref="P488:V488"/>
    <mergeCell ref="J17:J18"/>
    <mergeCell ref="L17:L18"/>
    <mergeCell ref="A184:Z184"/>
    <mergeCell ref="A244:Z244"/>
    <mergeCell ref="P490:V490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113:T113"/>
    <mergeCell ref="A173:Z173"/>
    <mergeCell ref="P17:T18"/>
    <mergeCell ref="P129:T129"/>
    <mergeCell ref="A482:O483"/>
    <mergeCell ref="A416:O417"/>
    <mergeCell ref="D329:E329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D210:E210"/>
    <mergeCell ref="A250:O251"/>
    <mergeCell ref="D308:E308"/>
    <mergeCell ref="P337:T337"/>
    <mergeCell ref="D209:E209"/>
    <mergeCell ref="A282:Z282"/>
    <mergeCell ref="P188:V188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P148:T148"/>
    <mergeCell ref="A109:O110"/>
    <mergeCell ref="A47:O48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P158:T158"/>
    <mergeCell ref="P251:V251"/>
    <mergeCell ref="P416:V416"/>
    <mergeCell ref="P266:T266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151:Z151"/>
    <mergeCell ref="A449:Z449"/>
    <mergeCell ref="P325:V325"/>
    <mergeCell ref="P154:V154"/>
    <mergeCell ref="D378:E378"/>
    <mergeCell ref="P458:T458"/>
    <mergeCell ref="P487:V487"/>
    <mergeCell ref="P182:V182"/>
    <mergeCell ref="P476:T476"/>
    <mergeCell ref="P407:T407"/>
    <mergeCell ref="P471:T471"/>
    <mergeCell ref="V10:W10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A50:Z50"/>
    <mergeCell ref="P96:V96"/>
    <mergeCell ref="W17:W18"/>
    <mergeCell ref="D142:E142"/>
    <mergeCell ref="A120:O121"/>
    <mergeCell ref="D129:E129"/>
    <mergeCell ref="D245:E245"/>
    <mergeCell ref="D301:E301"/>
    <mergeCell ref="P166:T166"/>
    <mergeCell ref="D147:E147"/>
    <mergeCell ref="A105:Z105"/>
    <mergeCell ref="D224:E224"/>
    <mergeCell ref="P230:T230"/>
    <mergeCell ref="D211:E211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168:T168"/>
    <mergeCell ref="P52:T52"/>
    <mergeCell ref="I17:I18"/>
    <mergeCell ref="D72:E72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D486:E486"/>
    <mergeCell ref="P86:T86"/>
    <mergeCell ref="P328:T328"/>
    <mergeCell ref="P213:T213"/>
    <mergeCell ref="D134:E134"/>
    <mergeCell ref="P249:T249"/>
    <mergeCell ref="D363:E363"/>
    <mergeCell ref="R1:T1"/>
    <mergeCell ref="P28:T28"/>
    <mergeCell ref="P392:T392"/>
    <mergeCell ref="P386:T386"/>
    <mergeCell ref="D307:E307"/>
    <mergeCell ref="P165:T165"/>
    <mergeCell ref="P400:V400"/>
    <mergeCell ref="P152:T152"/>
    <mergeCell ref="P77:V77"/>
    <mergeCell ref="D73:E73"/>
    <mergeCell ref="A76:O77"/>
    <mergeCell ref="P375:V375"/>
    <mergeCell ref="P30:T30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A65:Z65"/>
    <mergeCell ref="D426:E426"/>
    <mergeCell ref="A63:O64"/>
    <mergeCell ref="P304:V304"/>
    <mergeCell ref="P181:V181"/>
    <mergeCell ref="A98:Z98"/>
    <mergeCell ref="A396:Z396"/>
    <mergeCell ref="P174:T17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6 X40:X41 X52 X56 X62 X85 X87 X99 X101 X115 X119 X162 X164 X166 X168 X195:X198 X200:X202 X208:X209 X211 X213:X214 X218:X219 X232 X272:X273 X301 X303 X315:X316 X323 X336:X337 X343:X345 X353 X389 X421 X423 X426 X442:X443" xr:uid="{00000000-0002-0000-0000-000011000000}">
      <formula1>IF(AK26&gt;0,OR(X26=0,AND(IF(X26-AK26&gt;=0,TRUE,FALSE),X26&gt;0,IF(X26/H26=ROUND(X26/H26,0),TRUE,FALSE))),FALSE)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0zru38HvRFtmJkxodY1ibjMz7MIlv/UWvJArf7+CrRm/lbi+KxdfQEAaLZPB0yo7rtcbtiqnoGoltVmLTxiItA==" saltValue="aRO5BGi73heDdwh7w9Dvf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2025-11-06T06:22:09Z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